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Yatra Wishlist" sheetId="8" state="visible" r:id="rId8"/>
    <sheet xmlns:r="http://schemas.openxmlformats.org/officeDocument/2006/relationships" name="To Confirm" sheetId="9" state="visible" r:id="rId9"/>
    <sheet xmlns:r="http://schemas.openxmlformats.org/officeDocument/2006/relationships" name="Alerts" sheetId="10" state="visible" r:id="rId10"/>
    <sheet xmlns:r="http://schemas.openxmlformats.org/officeDocument/2006/relationships" name="Sources &amp; Method" sheetId="11" state="visible" r:id="rId11"/>
  </sheets>
  <definedNames>
    <definedName name="_xlnm._FilterDatabase" localSheetId="1" hidden="1">'Travel Log'!$A$4:$L$85</definedName>
    <definedName name="_xlnm._FilterDatabase" localSheetId="4" hidden="1">'Access Map'!$A$4:$N$40</definedName>
    <definedName name="_xlnm._FilterDatabase" localSheetId="6" hidden="1">'Yatra Visa Planner'!$A$4:$K$36</definedName>
    <definedName name="_xlnm._FilterDatabase" localSheetId="7" hidden="1">'Yatra Wishlist'!$A$4:$N$112</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FF2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27"/>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Held'!$B$14</f>
        <v/>
      </c>
      <c r="C6" t="inlineStr">
        <is>
          <t>Indian passport</t>
        </is>
      </c>
    </row>
    <row r="7">
      <c r="A7" s="4" t="inlineStr">
        <is>
          <t>Days to passport expiry</t>
        </is>
      </c>
      <c r="B7" s="6">
        <f>'Visas Held'!$B$16</f>
        <v/>
      </c>
      <c r="C7" t="inlineStr"/>
    </row>
    <row r="8">
      <c r="A8" s="4" t="inlineStr">
        <is>
          <t>Last safe travel date (6-month rule)</t>
        </is>
      </c>
      <c r="B8" s="5">
        <f>'Visas Held'!$B$17</f>
        <v/>
      </c>
      <c r="C8" t="inlineStr">
        <is>
          <t>Most countries need 6 months validity</t>
        </is>
      </c>
    </row>
    <row r="9">
      <c r="A9" s="4" t="inlineStr">
        <is>
          <t>Start passport renewal by</t>
        </is>
      </c>
      <c r="B9" s="5">
        <f>'Visas Held'!$B$18</f>
        <v/>
      </c>
      <c r="C9" t="inlineStr"/>
    </row>
    <row r="10">
      <c r="A10" s="4" t="inlineStr">
        <is>
          <t>USA B1/B2 - valid until</t>
        </is>
      </c>
      <c r="B10" s="5">
        <f>'Visas Held'!$E$5</f>
        <v/>
      </c>
      <c r="C10" t="inlineStr">
        <is>
          <t>Used Sep 2025</t>
        </is>
      </c>
    </row>
    <row r="11">
      <c r="A11" s="4" t="inlineStr">
        <is>
          <t>USA B1/B2 - days left</t>
        </is>
      </c>
      <c r="B11" s="6">
        <f>'Visas Held'!$E$5-TODAY()</f>
        <v/>
      </c>
      <c r="C11" t="inlineStr"/>
    </row>
    <row r="12">
      <c r="A12" s="4" t="inlineStr">
        <is>
          <t>Australia visitor - valid until</t>
        </is>
      </c>
      <c r="B12" s="5">
        <f>'Visas Held'!$E$6</f>
        <v/>
      </c>
      <c r="C12" t="inlineStr">
        <is>
          <t>Business Visitor stream - check before pilgrimage use</t>
        </is>
      </c>
    </row>
    <row r="13">
      <c r="A13" s="4" t="inlineStr">
        <is>
          <t>Australia - days left</t>
        </is>
      </c>
      <c r="B13" s="6">
        <f>'Visas Held'!$E$6-TODAY()</f>
        <v/>
      </c>
      <c r="C13" t="inlineStr"/>
    </row>
    <row r="14">
      <c r="A14" s="4" t="inlineStr">
        <is>
          <t>Countries visited (stamp-verified)</t>
        </is>
      </c>
      <c r="B14" s="6">
        <f>COUNTIF('Country Summary'!B5:B18,"&gt;0")</f>
        <v/>
      </c>
      <c r="C14" t="inlineStr">
        <is>
          <t>Includes Schengen countries visited Jul 2024</t>
        </is>
      </c>
    </row>
    <row r="15">
      <c r="A15" s="4" t="inlineStr">
        <is>
          <t>Total international visits logged</t>
        </is>
      </c>
      <c r="B15" s="6">
        <f>'Country Summary'!B20</f>
        <v/>
      </c>
      <c r="C15" t="inlineStr">
        <is>
          <t>Each entry = one visit</t>
        </is>
      </c>
    </row>
    <row r="16">
      <c r="A16" s="4" t="inlineStr">
        <is>
          <t>Visits to most-visited country</t>
        </is>
      </c>
      <c r="B16" s="6">
        <f>MAX('Country Summary'!B5:B18)</f>
        <v/>
      </c>
      <c r="C16" t="inlineStr"/>
    </row>
    <row r="17">
      <c r="A17" s="4" t="inlineStr">
        <is>
          <t>Destinations reachable NOW via visa privileges</t>
        </is>
      </c>
      <c r="B17" s="6">
        <f>COUNTIF('Access Map'!N5:N40,"YES")</f>
        <v/>
      </c>
      <c r="C17" t="inlineStr">
        <is>
          <t>Excludes visa-free countries for Indians; see Access Map</t>
        </is>
      </c>
    </row>
    <row r="18">
      <c r="A18" s="4" t="inlineStr">
        <is>
          <t>Wishlist ideas (open)</t>
        </is>
      </c>
      <c r="B18" s="6">
        <f>COUNTIFS('Yatra Wishlist'!K5:K200,"&lt;&gt;Done",'Yatra Wishlist'!K5:K200,"&lt;&gt;Dropped",'Yatra Wishlist'!B5:B200,"&lt;&gt;")</f>
        <v/>
      </c>
      <c r="C18" t="inlineStr">
        <is>
          <t>See Yatra Wishlist</t>
        </is>
      </c>
    </row>
    <row r="19">
      <c r="A19" s="4" t="inlineStr">
        <is>
          <t>Valid visas right now</t>
        </is>
      </c>
      <c r="B19" s="6">
        <f>COUNTIF('Visas Held'!H5:H30,"VALID")</f>
        <v/>
      </c>
      <c r="C19" t="inlineStr"/>
    </row>
    <row r="20">
      <c r="A20" s="4" t="inlineStr">
        <is>
          <t>Expired visas to renew</t>
        </is>
      </c>
      <c r="B20" s="6">
        <f>COUNTIF('Visas Held'!H5:H30,"EXPIRED")</f>
        <v/>
      </c>
      <c r="C20" t="inlineStr">
        <is>
          <t>Schengen &amp; UK</t>
        </is>
      </c>
    </row>
    <row r="22">
      <c r="A22" s="7" t="inlineStr">
        <is>
          <t>Top actions</t>
        </is>
      </c>
    </row>
    <row r="23" ht="48" customHeight="1">
      <c r="A23" s="8" t="inlineStr">
        <is>
          <t>Passport expires 17 Sep 2028</t>
        </is>
      </c>
      <c r="C23"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24" ht="48" customHeight="1">
      <c r="A24" s="8" t="inlineStr">
        <is>
          <t>Schengen: no valid visa</t>
        </is>
      </c>
      <c r="C24" s="8" t="inlineStr">
        <is>
          <t>Both France visas expired (Apr 2026). You now have 2 lawful visas in 3 years -&gt; eligible for the EU 'cascade' 2-year multiple-entry visa. Apply 3 months before the next Europe yatra.</t>
        </is>
      </c>
    </row>
    <row r="25" ht="48" customHeight="1">
      <c r="A25" s="8" t="inlineStr">
        <is>
          <t>UK: no valid visa</t>
        </is>
      </c>
      <c r="C25" s="8" t="inlineStr">
        <is>
          <t>UK visa expired 29 Dec 2024. Apply 3-4 weeks ahead; consider a 2-year or 5-year Standard Visitor visa if you will return often.</t>
        </is>
      </c>
    </row>
    <row r="26" ht="48" customHeight="1">
      <c r="A26" s="8" t="inlineStr">
        <is>
          <t>Australia: confirm stream</t>
        </is>
      </c>
      <c r="C26" s="8" t="inlineStr">
        <is>
          <t>Visa is Business Visitor stream (condition 8115). A pilgrimage yatra with devotees may count as tourism - confirm whether to apply for a Tourist-stream visa.</t>
        </is>
      </c>
    </row>
    <row r="27" ht="48" customHeight="1">
      <c r="A27" s="8" t="inlineStr">
        <is>
          <t>Malaysia visa-free ends 31 Dec 2026</t>
        </is>
      </c>
      <c r="C27"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25"/>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45500</v>
      </c>
      <c r="E16" s="9">
        <f>IF(AND(ISNUMBER(C16),ISNUMBER(D16)),D16-C16+1,"")</f>
        <v/>
      </c>
      <c r="F16" s="9" t="inlineStr">
        <is>
          <t>Visit</t>
        </is>
      </c>
      <c r="G16" s="9" t="inlineStr">
        <is>
          <t>Paris CDG</t>
        </is>
      </c>
      <c r="H16" s="9" t="inlineStr">
        <is>
          <t>Milan Malpensa (Italy)</t>
        </is>
      </c>
      <c r="I16" s="9" t="inlineStr">
        <is>
          <t>Schengen C visa #1 (France-issued, Pondicherry)</t>
        </is>
      </c>
      <c r="J16" s="9" t="inlineStr">
        <is>
          <t>Passport p.9/p.17: CDG stamp 15 Jul 2024; Malpensa stamp 27 Jul 2024; India dep. Mumbai 14 Jul 2024</t>
        </is>
      </c>
      <c r="K16" s="9" t="inlineStr">
        <is>
          <t>High</t>
        </is>
      </c>
      <c r="L16" s="9" t="inlineStr">
        <is>
          <t>Schengen trip 15-27 Jul 2024 covering France, Belgium, Netherlands, Germany, Switzerland, Italy/Rome, Vatican City; France dates = whole-trip window, split per country when known</t>
        </is>
      </c>
    </row>
    <row r="17">
      <c r="A17" s="9" t="n">
        <v>13</v>
      </c>
      <c r="B17" s="9" t="inlineStr">
        <is>
          <t>Belgium</t>
        </is>
      </c>
      <c r="C17" s="10" t="n"/>
      <c r="D17" s="10" t="n"/>
      <c r="E17" s="9">
        <f>IF(AND(ISNUMBER(C17),ISNUMBER(D17)),D17-C17+1,"")</f>
        <v/>
      </c>
      <c r="F17" s="9" t="inlineStr">
        <is>
          <t>Visit</t>
        </is>
      </c>
      <c r="G17" s="9" t="inlineStr">
        <is>
          <t>By road/rail within Schengen (no stamp)</t>
        </is>
      </c>
      <c r="H17" s="9" t="inlineStr">
        <is>
          <t>By road/rail within Schengen (no stamp)</t>
        </is>
      </c>
      <c r="I17" s="9" t="inlineStr">
        <is>
          <t>Schengen C visa #1</t>
        </is>
      </c>
      <c r="J17" s="9" t="inlineStr">
        <is>
          <t>Your confirmation (Oct 2026): visited during the 15-27 Jul 2024 Europe trip</t>
        </is>
      </c>
      <c r="K17" s="11" t="inlineStr">
        <is>
          <t>Check</t>
        </is>
      </c>
      <c r="L17" s="9" t="inlineStr">
        <is>
          <t>Dates unknown - within 15-27 Jul 2024; add from itinerary</t>
        </is>
      </c>
    </row>
    <row r="18">
      <c r="A18" s="9" t="n">
        <v>14</v>
      </c>
      <c r="B18" s="9" t="inlineStr">
        <is>
          <t>Netherlands</t>
        </is>
      </c>
      <c r="C18" s="10" t="n"/>
      <c r="D18" s="10" t="n"/>
      <c r="E18" s="9">
        <f>IF(AND(ISNUMBER(C18),ISNUMBER(D18)),D18-C18+1,"")</f>
        <v/>
      </c>
      <c r="F18" s="9" t="inlineStr">
        <is>
          <t>Visit</t>
        </is>
      </c>
      <c r="G18" s="9" t="inlineStr">
        <is>
          <t>By road/rail within Schengen (no stamp)</t>
        </is>
      </c>
      <c r="H18" s="9" t="inlineStr">
        <is>
          <t>By road/rail within Schengen (no stamp)</t>
        </is>
      </c>
      <c r="I18" s="9" t="inlineStr">
        <is>
          <t>Schengen C visa #1</t>
        </is>
      </c>
      <c r="J18" s="9" t="inlineStr">
        <is>
          <t>Your confirmation (Oct 2026): visited during the 15-27 Jul 2024 Europe trip</t>
        </is>
      </c>
      <c r="K18" s="11" t="inlineStr">
        <is>
          <t>Check</t>
        </is>
      </c>
      <c r="L18" s="9" t="inlineStr">
        <is>
          <t>Dates unknown - within 15-27 Jul 2024; add from itinerary</t>
        </is>
      </c>
    </row>
    <row r="19">
      <c r="A19" s="9" t="n">
        <v>15</v>
      </c>
      <c r="B19" s="9" t="inlineStr">
        <is>
          <t>Germany</t>
        </is>
      </c>
      <c r="C19" s="10" t="n"/>
      <c r="D19" s="10" t="n"/>
      <c r="E19" s="9">
        <f>IF(AND(ISNUMBER(C19),ISNUMBER(D19)),D19-C19+1,"")</f>
        <v/>
      </c>
      <c r="F19" s="9" t="inlineStr">
        <is>
          <t>Visit</t>
        </is>
      </c>
      <c r="G19" s="9" t="inlineStr">
        <is>
          <t>By road/rail within Schengen (no stamp)</t>
        </is>
      </c>
      <c r="H19" s="9" t="inlineStr">
        <is>
          <t>By road/rail within Schengen (no stamp)</t>
        </is>
      </c>
      <c r="I19" s="9" t="inlineStr">
        <is>
          <t>Schengen C visa #1</t>
        </is>
      </c>
      <c r="J19" s="9" t="inlineStr">
        <is>
          <t>Your confirmation (Oct 2026): visited during the 15-27 Jul 2024 Europe trip</t>
        </is>
      </c>
      <c r="K19" s="11" t="inlineStr">
        <is>
          <t>Check</t>
        </is>
      </c>
      <c r="L19" s="9" t="inlineStr">
        <is>
          <t>Dates unknown - within 15-27 Jul 2024; add from itinerary</t>
        </is>
      </c>
    </row>
    <row r="20">
      <c r="A20" s="9" t="n">
        <v>16</v>
      </c>
      <c r="B20" s="9" t="inlineStr">
        <is>
          <t>Switzerland</t>
        </is>
      </c>
      <c r="C20" s="10" t="n"/>
      <c r="D20" s="10" t="n"/>
      <c r="E20" s="9">
        <f>IF(AND(ISNUMBER(C20),ISNUMBER(D20)),D20-C20+1,"")</f>
        <v/>
      </c>
      <c r="F20" s="9" t="inlineStr">
        <is>
          <t>Visit</t>
        </is>
      </c>
      <c r="G20" s="9" t="inlineStr">
        <is>
          <t>By road/rail within Schengen (no stamp)</t>
        </is>
      </c>
      <c r="H20" s="9" t="inlineStr">
        <is>
          <t>By road/rail within Schengen (no stamp)</t>
        </is>
      </c>
      <c r="I20" s="9" t="inlineStr">
        <is>
          <t>Schengen C visa #1</t>
        </is>
      </c>
      <c r="J20" s="9" t="inlineStr">
        <is>
          <t>Your confirmation (Oct 2026): visited during the 15-27 Jul 2024 Europe trip</t>
        </is>
      </c>
      <c r="K20" s="11" t="inlineStr">
        <is>
          <t>Check</t>
        </is>
      </c>
      <c r="L20" s="9" t="inlineStr">
        <is>
          <t>Dates unknown - within 15-27 Jul 2024; add from itinerary</t>
        </is>
      </c>
    </row>
    <row r="21">
      <c r="A21" s="9" t="n">
        <v>17</v>
      </c>
      <c r="B21" s="9" t="inlineStr">
        <is>
          <t>Vatican City</t>
        </is>
      </c>
      <c r="C21" s="10" t="n"/>
      <c r="D21" s="10" t="n"/>
      <c r="E21" s="9">
        <f>IF(AND(ISNUMBER(C21),ISNUMBER(D21)),D21-C21+1,"")</f>
        <v/>
      </c>
      <c r="F21" s="9" t="inlineStr">
        <is>
          <t>Visit</t>
        </is>
      </c>
      <c r="G21" s="9" t="inlineStr">
        <is>
          <t>On foot from Rome (no border control)</t>
        </is>
      </c>
      <c r="H21" s="9" t="inlineStr">
        <is>
          <t>On foot from Rome (no border control)</t>
        </is>
      </c>
      <c r="I21" s="9" t="inlineStr">
        <is>
          <t>Schengen C visa #1 (Vatican has open border with Italy)</t>
        </is>
      </c>
      <c r="J21" s="9" t="inlineStr">
        <is>
          <t>Your confirmation (Oct 2026): visited from Rome during the 15-27 Jul 2024 Europe trip</t>
        </is>
      </c>
      <c r="K21" s="11" t="inlineStr">
        <is>
          <t>Check</t>
        </is>
      </c>
      <c r="L21" s="9" t="inlineStr">
        <is>
          <t>Sovereign state; same day(s) as Rome - add date from itinerary</t>
        </is>
      </c>
    </row>
    <row r="22">
      <c r="A22" s="9" t="n">
        <v>18</v>
      </c>
      <c r="B22" s="9" t="inlineStr">
        <is>
          <t>Italy</t>
        </is>
      </c>
      <c r="C22" s="10" t="n"/>
      <c r="D22" s="10" t="n">
        <v>45500</v>
      </c>
      <c r="E22" s="9">
        <f>IF(AND(ISNUMBER(C22),ISNUMBER(D22)),D22-C22+1,"")</f>
        <v/>
      </c>
      <c r="F22" s="9" t="inlineStr">
        <is>
          <t>Visit</t>
        </is>
      </c>
      <c r="G22" s="9" t="inlineStr">
        <is>
          <t>By road/rail within Schengen (Rome visited)</t>
        </is>
      </c>
      <c r="H22" s="9" t="inlineStr">
        <is>
          <t>Milan Malpensa (MXP) -&gt; London Gatwick</t>
        </is>
      </c>
      <c r="I22" s="9" t="inlineStr">
        <is>
          <t>Schengen C visa #1</t>
        </is>
      </c>
      <c r="J22" s="9" t="inlineStr">
        <is>
          <t>Your confirmation (Oct 2026): Rome visited; Passport p.17: Malpensa exit stamp 27 Jul 2024</t>
        </is>
      </c>
      <c r="K22" s="11" t="inlineStr">
        <is>
          <t>Check</t>
        </is>
      </c>
      <c r="L22" s="9" t="inlineStr">
        <is>
          <t>Entry date unknown - within 15-27 Jul 2024; departed Schengen from Milan</t>
        </is>
      </c>
    </row>
    <row r="23">
      <c r="A23" s="9" t="n">
        <v>19</v>
      </c>
      <c r="B23" s="9" t="inlineStr">
        <is>
          <t>United Kingdom</t>
        </is>
      </c>
      <c r="C23" s="12" t="n">
        <v>45500</v>
      </c>
      <c r="D23" s="10" t="n"/>
      <c r="E23" s="9">
        <f>IF(AND(ISNUMBER(C23),ISNUMBER(D23)),D23-C23+1,"")</f>
        <v/>
      </c>
      <c r="F23" s="9" t="inlineStr">
        <is>
          <t>Visit</t>
        </is>
      </c>
      <c r="G23" s="9" t="inlineStr">
        <is>
          <t>London Gatwick</t>
        </is>
      </c>
      <c r="H23" s="9" t="inlineStr">
        <is>
          <t>(UK does not stamp exit)</t>
        </is>
      </c>
      <c r="I23" s="9" t="inlineStr">
        <is>
          <t>UK Standard Visitor C-visit, multiple, 29 Jun-29 Dec 2024</t>
        </is>
      </c>
      <c r="J23" s="9" t="inlineStr">
        <is>
          <t>Passport p.23: Gatwick stamp 27 Jul 2024</t>
        </is>
      </c>
      <c r="K23" s="9" t="inlineStr">
        <is>
          <t>High</t>
        </is>
      </c>
      <c r="L23" s="9" t="inlineStr">
        <is>
          <t>Left UK by 01 Aug 2024 (UAE entry)</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Visa/entry per stamp (Indian PP)</t>
        </is>
      </c>
      <c r="J24" s="9" t="inlineStr">
        <is>
          <t>Passport p.10: UAE entry stamp 01 Aug 2024;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sheetData>
  <autoFilter ref="A4:L85"/>
  <dataValidations count="1">
    <dataValidation sqref="F5:F85"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F22"/>
  <sheetViews>
    <sheetView zoomScale="10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8" customWidth="1" min="5" max="5"/>
    <col width="60" customWidth="1" min="6" max="6"/>
  </cols>
  <sheetData>
    <row r="1">
      <c r="A1" s="1" t="inlineStr">
        <is>
          <t>Countries visited - summary</t>
        </is>
      </c>
    </row>
    <row r="2">
      <c r="A2" s="2" t="inlineStr">
        <is>
          <t>Counts rows of type 'Visit' in the Travel Log. Add a country name in column A and the rest fills in.</t>
        </is>
      </c>
    </row>
    <row r="4">
      <c r="A4" s="3" t="inlineStr">
        <is>
          <t>Country</t>
        </is>
      </c>
      <c r="B4" s="3" t="inlineStr">
        <is>
          <t>Times visited</t>
        </is>
      </c>
      <c r="C4" s="3" t="inlineStr">
        <is>
          <t>First entry</t>
        </is>
      </c>
      <c r="D4" s="3" t="inlineStr">
        <is>
          <t>Latest entry</t>
        </is>
      </c>
      <c r="E4" s="3" t="inlineStr">
        <is>
          <t>Total days (known)</t>
        </is>
      </c>
      <c r="F4" s="3" t="inlineStr">
        <is>
          <t>Visa types used</t>
        </is>
      </c>
    </row>
    <row r="5">
      <c r="A5" s="9" t="inlineStr">
        <is>
          <t>Belgium</t>
        </is>
      </c>
      <c r="B5" s="9">
        <f>COUNTIFS('Travel Log'!$B$5:$B$85,A5,'Travel Log'!$F$5:$F$85,"Visit")</f>
        <v/>
      </c>
      <c r="C5" s="12">
        <f>IF(COUNTIFS('Travel Log'!$B$5:$B$85,A5,'Travel Log'!$C$5:$C$85,"&gt;0")=0,"",_xlfn.MINIFS('Travel Log'!$C$5:$C$85,'Travel Log'!$B$5:$B$85,A5,'Travel Log'!$C$5:$C$85,"&gt;0"))</f>
        <v/>
      </c>
      <c r="D5" s="12">
        <f>IF(COUNTIFS('Travel Log'!$B$5:$B$85,A5,'Travel Log'!$C$5:$C$85,"&gt;0")=0,"",_xlfn.MAXIFS('Travel Log'!$C$5:$C$85,'Travel Log'!$B$5:$B$85,A5,'Travel Log'!$C$5:$C$85,"&gt;0"))</f>
        <v/>
      </c>
      <c r="E5" s="9">
        <f>SUMIFS('Travel Log'!$E$5:$E$85,'Travel Log'!$B$5:$B$85,A5,'Travel Log'!$F$5:$F$85,"Visit")</f>
        <v/>
      </c>
      <c r="F5" s="9" t="inlineStr">
        <is>
          <t>Schengen C visa #1</t>
        </is>
      </c>
    </row>
    <row r="6">
      <c r="A6" s="9" t="inlineStr">
        <is>
          <t>Cambodia</t>
        </is>
      </c>
      <c r="B6" s="9">
        <f>COUNTIFS('Travel Log'!$B$5:$B$85,A6,'Travel Log'!$F$5:$F$85,"Visit")</f>
        <v/>
      </c>
      <c r="C6" s="12">
        <f>IF(COUNTIFS('Travel Log'!$B$5:$B$85,A6,'Travel Log'!$C$5:$C$85,"&gt;0")=0,"",_xlfn.MINIFS('Travel Log'!$C$5:$C$85,'Travel Log'!$B$5:$B$85,A6,'Travel Log'!$C$5:$C$85,"&gt;0"))</f>
        <v/>
      </c>
      <c r="D6" s="12">
        <f>IF(COUNTIFS('Travel Log'!$B$5:$B$85,A6,'Travel Log'!$C$5:$C$85,"&gt;0")=0,"",_xlfn.MAXIFS('Travel Log'!$C$5:$C$85,'Travel Log'!$B$5:$B$85,A6,'Travel Log'!$C$5:$C$85,"&gt;0"))</f>
        <v/>
      </c>
      <c r="E6" s="9">
        <f>SUMIFS('Travel Log'!$E$5:$E$85,'Travel Log'!$B$5:$B$85,A6,'Travel Log'!$F$5:$F$85,"Visit")</f>
        <v/>
      </c>
      <c r="F6" s="9" t="inlineStr">
        <is>
          <t>e-Visa (valid 27 Jun-26 Jul 2023); e-Visa (valid to 07 Mar 2023)</t>
        </is>
      </c>
    </row>
    <row r="7">
      <c r="A7" s="9" t="inlineStr">
        <is>
          <t>France</t>
        </is>
      </c>
      <c r="B7" s="9">
        <f>COUNTIFS('Travel Log'!$B$5:$B$85,A7,'Travel Log'!$F$5:$F$85,"Visit")</f>
        <v/>
      </c>
      <c r="C7" s="12">
        <f>IF(COUNTIFS('Travel Log'!$B$5:$B$85,A7,'Travel Log'!$C$5:$C$85,"&gt;0")=0,"",_xlfn.MINIFS('Travel Log'!$C$5:$C$85,'Travel Log'!$B$5:$B$85,A7,'Travel Log'!$C$5:$C$85,"&gt;0"))</f>
        <v/>
      </c>
      <c r="D7" s="12">
        <f>IF(COUNTIFS('Travel Log'!$B$5:$B$85,A7,'Travel Log'!$C$5:$C$85,"&gt;0")=0,"",_xlfn.MAXIFS('Travel Log'!$C$5:$C$85,'Travel Log'!$B$5:$B$85,A7,'Travel Log'!$C$5:$C$85,"&gt;0"))</f>
        <v/>
      </c>
      <c r="E7" s="9">
        <f>SUMIFS('Travel Log'!$E$5:$E$85,'Travel Log'!$B$5:$B$85,A7,'Travel Log'!$F$5:$F$85,"Visit")</f>
        <v/>
      </c>
      <c r="F7" s="9" t="inlineStr">
        <is>
          <t>Schengen C visa #1 (France-issued, Pondicherry)</t>
        </is>
      </c>
    </row>
    <row r="8">
      <c r="A8" s="9" t="inlineStr">
        <is>
          <t>Germany</t>
        </is>
      </c>
      <c r="B8" s="9">
        <f>COUNTIFS('Travel Log'!$B$5:$B$85,A8,'Travel Log'!$F$5:$F$85,"Visit")</f>
        <v/>
      </c>
      <c r="C8" s="12">
        <f>IF(COUNTIFS('Travel Log'!$B$5:$B$85,A8,'Travel Log'!$C$5:$C$85,"&gt;0")=0,"",_xlfn.MINIFS('Travel Log'!$C$5:$C$85,'Travel Log'!$B$5:$B$85,A8,'Travel Log'!$C$5:$C$85,"&gt;0"))</f>
        <v/>
      </c>
      <c r="D8" s="12">
        <f>IF(COUNTIFS('Travel Log'!$B$5:$B$85,A8,'Travel Log'!$C$5:$C$85,"&gt;0")=0,"",_xlfn.MAXIFS('Travel Log'!$C$5:$C$85,'Travel Log'!$B$5:$B$85,A8,'Travel Log'!$C$5:$C$85,"&gt;0"))</f>
        <v/>
      </c>
      <c r="E8" s="9">
        <f>SUMIFS('Travel Log'!$E$5:$E$85,'Travel Log'!$B$5:$B$85,A8,'Travel Log'!$F$5:$F$85,"Visit")</f>
        <v/>
      </c>
      <c r="F8" s="9" t="inlineStr">
        <is>
          <t>Schengen C visa #1</t>
        </is>
      </c>
    </row>
    <row r="9">
      <c r="A9" s="9" t="inlineStr">
        <is>
          <t>Italy</t>
        </is>
      </c>
      <c r="B9" s="9">
        <f>COUNTIFS('Travel Log'!$B$5:$B$85,A9,'Travel Log'!$F$5:$F$85,"Visit")</f>
        <v/>
      </c>
      <c r="C9" s="12">
        <f>IF(COUNTIFS('Travel Log'!$B$5:$B$85,A9,'Travel Log'!$C$5:$C$85,"&gt;0")=0,"",_xlfn.MINIFS('Travel Log'!$C$5:$C$85,'Travel Log'!$B$5:$B$85,A9,'Travel Log'!$C$5:$C$85,"&gt;0"))</f>
        <v/>
      </c>
      <c r="D9" s="12">
        <f>IF(COUNTIFS('Travel Log'!$B$5:$B$85,A9,'Travel Log'!$C$5:$C$85,"&gt;0")=0,"",_xlfn.MAXIFS('Travel Log'!$C$5:$C$85,'Travel Log'!$B$5:$B$85,A9,'Travel Log'!$C$5:$C$85,"&gt;0"))</f>
        <v/>
      </c>
      <c r="E9" s="9">
        <f>SUMIFS('Travel Log'!$E$5:$E$85,'Travel Log'!$B$5:$B$85,A9,'Travel Log'!$F$5:$F$85,"Visit")</f>
        <v/>
      </c>
      <c r="F9" s="9" t="inlineStr">
        <is>
          <t>Schengen C visa #1</t>
        </is>
      </c>
    </row>
    <row r="10">
      <c r="A10" s="9" t="inlineStr">
        <is>
          <t>Nepal</t>
        </is>
      </c>
      <c r="B10" s="9">
        <f>COUNTIFS('Travel Log'!$B$5:$B$85,A10,'Travel Log'!$F$5:$F$85,"Visit")</f>
        <v/>
      </c>
      <c r="C10" s="12">
        <f>IF(COUNTIFS('Travel Log'!$B$5:$B$85,A10,'Travel Log'!$C$5:$C$85,"&gt;0")=0,"",_xlfn.MINIFS('Travel Log'!$C$5:$C$85,'Travel Log'!$B$5:$B$85,A10,'Travel Log'!$C$5:$C$85,"&gt;0"))</f>
        <v/>
      </c>
      <c r="D10" s="12">
        <f>IF(COUNTIFS('Travel Log'!$B$5:$B$85,A10,'Travel Log'!$C$5:$C$85,"&gt;0")=0,"",_xlfn.MAXIFS('Travel Log'!$C$5:$C$85,'Travel Log'!$B$5:$B$85,A10,'Travel Log'!$C$5:$C$85,"&gt;0"))</f>
        <v/>
      </c>
      <c r="E10" s="9">
        <f>SUMIFS('Travel Log'!$E$5:$E$85,'Travel Log'!$B$5:$B$85,A10,'Travel Log'!$F$5:$F$85,"Visit")</f>
        <v/>
      </c>
      <c r="F10" s="9" t="inlineStr">
        <is>
          <t>No visa needed; No visa needed (Indian PP)</t>
        </is>
      </c>
    </row>
    <row r="11">
      <c r="A11" s="9" t="inlineStr">
        <is>
          <t>Netherlands</t>
        </is>
      </c>
      <c r="B11" s="9">
        <f>COUNTIFS('Travel Log'!$B$5:$B$85,A11,'Travel Log'!$F$5:$F$85,"Visit")</f>
        <v/>
      </c>
      <c r="C11" s="12">
        <f>IF(COUNTIFS('Travel Log'!$B$5:$B$85,A11,'Travel Log'!$C$5:$C$85,"&gt;0")=0,"",_xlfn.MINIFS('Travel Log'!$C$5:$C$85,'Travel Log'!$B$5:$B$85,A11,'Travel Log'!$C$5:$C$85,"&gt;0"))</f>
        <v/>
      </c>
      <c r="D11" s="12">
        <f>IF(COUNTIFS('Travel Log'!$B$5:$B$85,A11,'Travel Log'!$C$5:$C$85,"&gt;0")=0,"",_xlfn.MAXIFS('Travel Log'!$C$5:$C$85,'Travel Log'!$B$5:$B$85,A11,'Travel Log'!$C$5:$C$85,"&gt;0"))</f>
        <v/>
      </c>
      <c r="E11" s="9">
        <f>SUMIFS('Travel Log'!$E$5:$E$85,'Travel Log'!$B$5:$B$85,A11,'Travel Log'!$F$5:$F$85,"Visit")</f>
        <v/>
      </c>
      <c r="F11" s="9" t="inlineStr">
        <is>
          <t>Schengen C visa #1</t>
        </is>
      </c>
    </row>
    <row r="12">
      <c r="A12" s="9" t="inlineStr">
        <is>
          <t>Sri Lanka</t>
        </is>
      </c>
      <c r="B12" s="9">
        <f>COUNTIFS('Travel Log'!$B$5:$B$85,A12,'Travel Log'!$F$5:$F$85,"Visit")</f>
        <v/>
      </c>
      <c r="C12" s="12">
        <f>IF(COUNTIFS('Travel Log'!$B$5:$B$85,A12,'Travel Log'!$C$5:$C$85,"&gt;0")=0,"",_xlfn.MINIFS('Travel Log'!$C$5:$C$85,'Travel Log'!$B$5:$B$85,A12,'Travel Log'!$C$5:$C$85,"&gt;0"))</f>
        <v/>
      </c>
      <c r="D12" s="12">
        <f>IF(COUNTIFS('Travel Log'!$B$5:$B$85,A12,'Travel Log'!$C$5:$C$85,"&gt;0")=0,"",_xlfn.MAXIFS('Travel Log'!$C$5:$C$85,'Travel Log'!$B$5:$B$85,A12,'Travel Log'!$C$5:$C$85,"&gt;0"))</f>
        <v/>
      </c>
      <c r="E12" s="9">
        <f>SUMIFS('Travel Log'!$E$5:$E$85,'Travel Log'!$B$5:$B$85,A12,'Travel Log'!$F$5:$F$85,"Visit")</f>
        <v/>
      </c>
      <c r="F12" s="9" t="inlineStr">
        <is>
          <t>ETA 30-day, 1st visit (exp 16/01/2020); ETA 30-day, 1st visit (exp 23/02/2022); ETA 30-day, 1st visit (exp 28/10/2019)</t>
        </is>
      </c>
    </row>
    <row r="13">
      <c r="A13" s="9" t="inlineStr">
        <is>
          <t>Switzerland</t>
        </is>
      </c>
      <c r="B13" s="9">
        <f>COUNTIFS('Travel Log'!$B$5:$B$85,A13,'Travel Log'!$F$5:$F$85,"Visit")</f>
        <v/>
      </c>
      <c r="C13" s="12">
        <f>IF(COUNTIFS('Travel Log'!$B$5:$B$85,A13,'Travel Log'!$C$5:$C$85,"&gt;0")=0,"",_xlfn.MINIFS('Travel Log'!$C$5:$C$85,'Travel Log'!$B$5:$B$85,A13,'Travel Log'!$C$5:$C$85,"&gt;0"))</f>
        <v/>
      </c>
      <c r="D13" s="12">
        <f>IF(COUNTIFS('Travel Log'!$B$5:$B$85,A13,'Travel Log'!$C$5:$C$85,"&gt;0")=0,"",_xlfn.MAXIFS('Travel Log'!$C$5:$C$85,'Travel Log'!$B$5:$B$85,A13,'Travel Log'!$C$5:$C$85,"&gt;0"))</f>
        <v/>
      </c>
      <c r="E13" s="9">
        <f>SUMIFS('Travel Log'!$E$5:$E$85,'Travel Log'!$B$5:$B$85,A13,'Travel Log'!$F$5:$F$85,"Visit")</f>
        <v/>
      </c>
      <c r="F13" s="9" t="inlineStr">
        <is>
          <t>Schengen C visa #1</t>
        </is>
      </c>
    </row>
    <row r="14">
      <c r="A14" s="9" t="inlineStr">
        <is>
          <t>Thailand</t>
        </is>
      </c>
      <c r="B14" s="9">
        <f>COUNTIFS('Travel Log'!$B$5:$B$85,A14,'Travel Log'!$F$5:$F$85,"Visit")</f>
        <v/>
      </c>
      <c r="C14" s="12">
        <f>IF(COUNTIFS('Travel Log'!$B$5:$B$85,A14,'Travel Log'!$C$5:$C$85,"&gt;0")=0,"",_xlfn.MINIFS('Travel Log'!$C$5:$C$85,'Travel Log'!$B$5:$B$85,A14,'Travel Log'!$C$5:$C$85,"&gt;0"))</f>
        <v/>
      </c>
      <c r="D14" s="12">
        <f>IF(COUNTIFS('Travel Log'!$B$5:$B$85,A14,'Travel Log'!$C$5:$C$85,"&gt;0")=0,"",_xlfn.MAXIFS('Travel Log'!$C$5:$C$85,'Travel Log'!$B$5:$B$85,A14,'Travel Log'!$C$5:$C$85,"&gt;0"))</f>
        <v/>
      </c>
      <c r="E14" s="9">
        <f>SUMIFS('Travel Log'!$E$5:$E$85,'Travel Log'!$B$5:$B$85,A14,'Travel Log'!$F$5:$F$85,"Visit")</f>
        <v/>
      </c>
      <c r="F14" s="9" t="inlineStr">
        <is>
          <t>Visa on Arrival; Visa on Arrival (30 days)</t>
        </is>
      </c>
    </row>
    <row r="15">
      <c r="A15" s="9" t="inlineStr">
        <is>
          <t>UAE</t>
        </is>
      </c>
      <c r="B15" s="9">
        <f>COUNTIFS('Travel Log'!$B$5:$B$85,A15,'Travel Log'!$F$5:$F$85,"Visit")</f>
        <v/>
      </c>
      <c r="C15" s="12">
        <f>IF(COUNTIFS('Travel Log'!$B$5:$B$85,A15,'Travel Log'!$C$5:$C$85,"&gt;0")=0,"",_xlfn.MINIFS('Travel Log'!$C$5:$C$85,'Travel Log'!$B$5:$B$85,A15,'Travel Log'!$C$5:$C$85,"&gt;0"))</f>
        <v/>
      </c>
      <c r="D15" s="12">
        <f>IF(COUNTIFS('Travel Log'!$B$5:$B$85,A15,'Travel Log'!$C$5:$C$85,"&gt;0")=0,"",_xlfn.MAXIFS('Travel Log'!$C$5:$C$85,'Travel Log'!$B$5:$B$85,A15,'Travel Log'!$C$5:$C$85,"&gt;0"))</f>
        <v/>
      </c>
      <c r="E15" s="9">
        <f>SUMIFS('Travel Log'!$E$5:$E$85,'Travel Log'!$B$5:$B$85,A15,'Travel Log'!$F$5:$F$85,"Visit")</f>
        <v/>
      </c>
      <c r="F15" s="9" t="inlineStr">
        <is>
          <t>Visa/entry per stamp (Indian PP)</t>
        </is>
      </c>
    </row>
    <row r="16">
      <c r="A16" s="9" t="inlineStr">
        <is>
          <t>USA</t>
        </is>
      </c>
      <c r="B16" s="9">
        <f>COUNTIFS('Travel Log'!$B$5:$B$85,A16,'Travel Log'!$F$5:$F$85,"Visit")</f>
        <v/>
      </c>
      <c r="C16" s="12">
        <f>IF(COUNTIFS('Travel Log'!$B$5:$B$85,A16,'Travel Log'!$C$5:$C$85,"&gt;0")=0,"",_xlfn.MINIFS('Travel Log'!$C$5:$C$85,'Travel Log'!$B$5:$B$85,A16,'Travel Log'!$C$5:$C$85,"&gt;0"))</f>
        <v/>
      </c>
      <c r="D16" s="12">
        <f>IF(COUNTIFS('Travel Log'!$B$5:$B$85,A16,'Travel Log'!$C$5:$C$85,"&gt;0")=0,"",_xlfn.MAXIFS('Travel Log'!$C$5:$C$85,'Travel Log'!$B$5:$B$85,A16,'Travel Log'!$C$5:$C$85,"&gt;0"))</f>
        <v/>
      </c>
      <c r="E16" s="9">
        <f>SUMIFS('Travel Log'!$E$5:$E$85,'Travel Log'!$B$5:$B$85,A16,'Travel Log'!$F$5:$F$85,"Visit")</f>
        <v/>
      </c>
      <c r="F16" s="9" t="inlineStr">
        <is>
          <t>B1/B2 10-yr visa (admitted until 03 Mar 2026)</t>
        </is>
      </c>
    </row>
    <row r="17">
      <c r="A17" s="9" t="inlineStr">
        <is>
          <t>United Kingdom</t>
        </is>
      </c>
      <c r="B17" s="9">
        <f>COUNTIFS('Travel Log'!$B$5:$B$85,A17,'Travel Log'!$F$5:$F$85,"Visit")</f>
        <v/>
      </c>
      <c r="C17" s="12">
        <f>IF(COUNTIFS('Travel Log'!$B$5:$B$85,A17,'Travel Log'!$C$5:$C$85,"&gt;0")=0,"",_xlfn.MINIFS('Travel Log'!$C$5:$C$85,'Travel Log'!$B$5:$B$85,A17,'Travel Log'!$C$5:$C$85,"&gt;0"))</f>
        <v/>
      </c>
      <c r="D17" s="12">
        <f>IF(COUNTIFS('Travel Log'!$B$5:$B$85,A17,'Travel Log'!$C$5:$C$85,"&gt;0")=0,"",_xlfn.MAXIFS('Travel Log'!$C$5:$C$85,'Travel Log'!$B$5:$B$85,A17,'Travel Log'!$C$5:$C$85,"&gt;0"))</f>
        <v/>
      </c>
      <c r="E17" s="9">
        <f>SUMIFS('Travel Log'!$E$5:$E$85,'Travel Log'!$B$5:$B$85,A17,'Travel Log'!$F$5:$F$85,"Visit")</f>
        <v/>
      </c>
      <c r="F17" s="9" t="inlineStr">
        <is>
          <t>UK Standard Visitor C-visit, multiple, 29 Jun-29 Dec 2024</t>
        </is>
      </c>
    </row>
    <row r="18">
      <c r="A18" s="9" t="inlineStr">
        <is>
          <t>Vatican City</t>
        </is>
      </c>
      <c r="B18" s="9">
        <f>COUNTIFS('Travel Log'!$B$5:$B$85,A18,'Travel Log'!$F$5:$F$85,"Visit")</f>
        <v/>
      </c>
      <c r="C18" s="12">
        <f>IF(COUNTIFS('Travel Log'!$B$5:$B$85,A18,'Travel Log'!$C$5:$C$85,"&gt;0")=0,"",_xlfn.MINIFS('Travel Log'!$C$5:$C$85,'Travel Log'!$B$5:$B$85,A18,'Travel Log'!$C$5:$C$85,"&gt;0"))</f>
        <v/>
      </c>
      <c r="D18" s="12">
        <f>IF(COUNTIFS('Travel Log'!$B$5:$B$85,A18,'Travel Log'!$C$5:$C$85,"&gt;0")=0,"",_xlfn.MAXIFS('Travel Log'!$C$5:$C$85,'Travel Log'!$B$5:$B$85,A18,'Travel Log'!$C$5:$C$85,"&gt;0"))</f>
        <v/>
      </c>
      <c r="E18" s="9">
        <f>SUMIFS('Travel Log'!$E$5:$E$85,'Travel Log'!$B$5:$B$85,A18,'Travel Log'!$F$5:$F$85,"Visit")</f>
        <v/>
      </c>
      <c r="F18" s="9" t="inlineStr">
        <is>
          <t>Schengen C visa #1 (Vatican has open border with Italy)</t>
        </is>
      </c>
    </row>
    <row r="20">
      <c r="A20" s="4" t="inlineStr">
        <is>
          <t>TOTAL</t>
        </is>
      </c>
      <c r="B20" s="4">
        <f>SUM(B5:B18)</f>
        <v/>
      </c>
      <c r="E20" s="4">
        <f>SUM(E5:E18)</f>
        <v/>
      </c>
    </row>
    <row r="22" ht="45" customHeight="1">
      <c r="A22" s="8" t="inlineStr">
        <is>
          <t>Schengen trip 15-27 Jul 2024: France (entry CDG), Belgium, Netherlands, Germany, Switzerland, Italy/Rome + Vatican City (exit Milan) - internal borders are not stamped, so per-country dates are blank until you add them.</t>
        </is>
      </c>
    </row>
  </sheetData>
  <mergeCells count="1">
    <mergeCell ref="A22:F22"/>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L19"/>
  <sheetViews>
    <sheetView zoomScale="100" workbookViewId="0">
      <pane ySplit="4" topLeftCell="A5" activePane="bottomLeft" state="frozen"/>
      <selection pane="bottomLeft" activeCell="A1" sqref="A1"/>
    </sheetView>
  </sheetViews>
  <sheetFormatPr baseColWidth="8" defaultRowHeight="15"/>
  <cols>
    <col width="28" customWidth="1" min="1" max="1"/>
    <col width="16" customWidth="1" min="2" max="2"/>
    <col width="24" customWidth="1" min="3" max="3"/>
    <col width="13" customWidth="1" min="4" max="4"/>
    <col width="13" customWidth="1" min="5" max="5"/>
    <col width="10" customWidth="1" min="6" max="6"/>
    <col width="26" customWidth="1" min="7" max="7"/>
    <col width="14" customWidth="1" min="8" max="8"/>
    <col width="12" customWidth="1" min="9" max="9"/>
    <col width="22" customWidth="1" min="10" max="10"/>
    <col width="52" customWidth="1" min="11" max="11"/>
    <col width="28" customWidth="1" min="12" max="12"/>
  </cols>
  <sheetData>
    <row r="1">
      <c r="A1" s="1" t="inlineStr">
        <is>
          <t>Visas I hold / have held</t>
        </is>
      </c>
    </row>
    <row r="2">
      <c r="A2" s="2" t="inlineStr">
        <is>
          <t>Status, days left and warnings are formulas based on TODAY().</t>
        </is>
      </c>
    </row>
    <row r="4">
      <c r="A4" s="3" t="inlineStr">
        <is>
          <t>Visa</t>
        </is>
      </c>
      <c r="B4" s="3" t="inlineStr">
        <is>
          <t>Country / area</t>
        </is>
      </c>
      <c r="C4" s="3" t="inlineStr">
        <is>
          <t>Category</t>
        </is>
      </c>
      <c r="D4" s="3" t="inlineStr">
        <is>
          <t>Valid from</t>
        </is>
      </c>
      <c r="E4" s="3" t="inlineStr">
        <is>
          <t>Valid to</t>
        </is>
      </c>
      <c r="F4" s="3" t="inlineStr">
        <is>
          <t>Entries</t>
        </is>
      </c>
      <c r="G4" s="3" t="inlineStr">
        <is>
          <t>Stay allowed</t>
        </is>
      </c>
      <c r="H4" s="3" t="inlineStr">
        <is>
          <t>Status (auto)</t>
        </is>
      </c>
      <c r="I4" s="3" t="inlineStr">
        <is>
          <t>Days left (auto)</t>
        </is>
      </c>
      <c r="J4" s="3" t="inlineStr">
        <is>
          <t>Used?</t>
        </is>
      </c>
      <c r="K4" s="3" t="inlineStr">
        <is>
          <t>Notes / conditions</t>
        </is>
      </c>
      <c r="L4" s="3" t="inlineStr">
        <is>
          <t>Source</t>
        </is>
      </c>
    </row>
    <row r="5">
      <c r="A5" s="9" t="inlineStr">
        <is>
          <t>USA B1/B2 Visitor</t>
        </is>
      </c>
      <c r="B5" s="9" t="inlineStr">
        <is>
          <t>United States</t>
        </is>
      </c>
      <c r="C5" s="9" t="inlineStr">
        <is>
          <t>B1/B2, 10 yrs</t>
        </is>
      </c>
      <c r="D5" s="12" t="n">
        <v>45657</v>
      </c>
      <c r="E5" s="12" t="n">
        <v>49304</v>
      </c>
      <c r="F5" s="9" t="inlineStr">
        <is>
          <t>Multiple</t>
        </is>
      </c>
      <c r="G5" s="9" t="inlineStr">
        <is>
          <t>Up to 6 months per admission (set by CBP)</t>
        </is>
      </c>
      <c r="H5" s="9">
        <f>IF(E5&lt;TODAY(),"EXPIRED",IF(E5-TODAY()&lt;180,"EXPIRING SOON","VALID"))</f>
        <v/>
      </c>
      <c r="I5" s="9">
        <f>E5-TODAY()</f>
        <v/>
      </c>
      <c r="J5" s="9" t="inlineStr">
        <is>
          <t>Used once (Sep 2025)</t>
        </is>
      </c>
      <c r="K5" s="9" t="inlineStr">
        <is>
          <t>Used once (Sep 2025) | Ref: Control no. ...0010 / foil V2775359</t>
        </is>
      </c>
      <c r="L5" s="9" t="inlineStr">
        <is>
          <t>Passport p.26 + your Visa sheet</t>
        </is>
      </c>
    </row>
    <row r="6">
      <c r="A6" s="9" t="inlineStr">
        <is>
          <t>Australia Visitor (subclass 600)</t>
        </is>
      </c>
      <c r="B6" s="9" t="inlineStr">
        <is>
          <t>Australia</t>
        </is>
      </c>
      <c r="C6" s="9" t="inlineStr">
        <is>
          <t>Business Visitor stream</t>
        </is>
      </c>
      <c r="D6" s="12" t="n">
        <v>45974</v>
      </c>
      <c r="E6" s="12" t="n">
        <v>47800</v>
      </c>
      <c r="F6" s="9" t="inlineStr">
        <is>
          <t>Multiple</t>
        </is>
      </c>
      <c r="G6" s="9" t="inlineStr">
        <is>
          <t>3 months per arrival</t>
        </is>
      </c>
      <c r="H6" s="9">
        <f>IF(E6&lt;TODAY(),"EXPIRED",IF(E6-TODAY()&lt;180,"EXPIRING SOON","VALID"))</f>
        <v/>
      </c>
      <c r="I6" s="9">
        <f>E6-TODAY()</f>
        <v/>
      </c>
      <c r="J6" s="9" t="inlineStr">
        <is>
          <t>Not yet used (as per records)</t>
        </is>
      </c>
      <c r="K6" s="9" t="inlineStr">
        <is>
          <t>Not yet used (as per records) - conditions 8115 (business-visitor activity only), 8201 (max 3 months study) | Ref: Doc no. matches passport (VEVO)</t>
        </is>
      </c>
      <c r="L6" s="9" t="inlineStr">
        <is>
          <t>VEVO check 13 Nov 2025</t>
        </is>
      </c>
    </row>
    <row r="7">
      <c r="A7" s="9" t="inlineStr">
        <is>
          <t>Schengen C (France) #1</t>
        </is>
      </c>
      <c r="B7" s="9" t="inlineStr">
        <is>
          <t>Schengen area</t>
        </is>
      </c>
      <c r="C7" s="9" t="inlineStr">
        <is>
          <t>Arts/Science/Sport (cultural)</t>
        </is>
      </c>
      <c r="D7" s="12" t="n">
        <v>45488</v>
      </c>
      <c r="E7" s="12" t="n">
        <v>45533</v>
      </c>
      <c r="F7" s="9" t="inlineStr">
        <is>
          <t>Multiple</t>
        </is>
      </c>
      <c r="G7" s="9" t="inlineStr">
        <is>
          <t>30 days</t>
        </is>
      </c>
      <c r="H7" s="9">
        <f>IF(E7&lt;TODAY(),"EXPIRED",IF(E7-TODAY()&lt;180,"EXPIRING SOON","VALID"))</f>
        <v/>
      </c>
      <c r="I7" s="9">
        <f>E7-TODAY()</f>
        <v/>
      </c>
      <c r="J7" s="9" t="inlineStr">
        <is>
          <t>Used Jul 2024 (France-&gt;Italy)</t>
        </is>
      </c>
      <c r="K7" s="9" t="inlineStr"/>
      <c r="L7" s="9" t="inlineStr">
        <is>
          <t>Passport p.17</t>
        </is>
      </c>
    </row>
    <row r="8">
      <c r="A8" s="9" t="inlineStr">
        <is>
          <t>Schengen C (France) #2</t>
        </is>
      </c>
      <c r="B8" s="9" t="inlineStr">
        <is>
          <t>Schengen area</t>
        </is>
      </c>
      <c r="C8" s="9" t="inlineStr">
        <is>
          <t>Arts/Science/Sport (cultural)</t>
        </is>
      </c>
      <c r="D8" s="12" t="n">
        <v>45951</v>
      </c>
      <c r="E8" s="12" t="n">
        <v>46131</v>
      </c>
      <c r="F8" s="9" t="inlineStr">
        <is>
          <t>Multiple</t>
        </is>
      </c>
      <c r="G8" s="9" t="inlineStr">
        <is>
          <t>30 days</t>
        </is>
      </c>
      <c r="H8" s="9">
        <f>IF(E8&lt;TODAY(),"EXPIRED",IF(E8-TODAY()&lt;180,"EXPIRING SOON","VALID"))</f>
        <v/>
      </c>
      <c r="I8" s="9">
        <f>E8-TODAY()</f>
        <v/>
      </c>
      <c r="J8" s="9" t="inlineStr">
        <is>
          <t>Expired 19 Apr 2026</t>
        </is>
      </c>
      <c r="K8" s="9" t="inlineStr"/>
      <c r="L8" s="9" t="inlineStr">
        <is>
          <t>Passport p.18</t>
        </is>
      </c>
    </row>
    <row r="9">
      <c r="A9" s="9" t="inlineStr">
        <is>
          <t>UK Standard Visitor</t>
        </is>
      </c>
      <c r="B9" s="9" t="inlineStr">
        <is>
          <t>United Kingdom</t>
        </is>
      </c>
      <c r="C9" s="9" t="inlineStr">
        <is>
          <t>C-visit, 180 days, no work</t>
        </is>
      </c>
      <c r="D9" s="12" t="n">
        <v>45472</v>
      </c>
      <c r="E9" s="12" t="n">
        <v>45655</v>
      </c>
      <c r="F9" s="9" t="inlineStr">
        <is>
          <t>Multiple</t>
        </is>
      </c>
      <c r="G9" s="9" t="inlineStr">
        <is>
          <t>up to 6 months per visit</t>
        </is>
      </c>
      <c r="H9" s="9">
        <f>IF(E9&lt;TODAY(),"EXPIRED",IF(E9-TODAY()&lt;180,"EXPIRING SOON","VALID"))</f>
        <v/>
      </c>
      <c r="I9" s="9">
        <f>E9-TODAY()</f>
        <v/>
      </c>
      <c r="J9" s="9" t="inlineStr">
        <is>
          <t>Used Jul 2024; expired 29 Dec 2024</t>
        </is>
      </c>
      <c r="K9" s="9" t="inlineStr"/>
      <c r="L9" s="9" t="inlineStr">
        <is>
          <t>Passport p.23</t>
        </is>
      </c>
    </row>
    <row r="11">
      <c r="A11" s="13" t="inlineStr">
        <is>
          <t>PASSPORT</t>
        </is>
      </c>
    </row>
    <row r="12">
      <c r="A12" s="4" t="inlineStr">
        <is>
          <t>Document</t>
        </is>
      </c>
      <c r="B12" t="inlineStr">
        <is>
          <t>Indian ordinary passport (36 pages)</t>
        </is>
      </c>
    </row>
    <row r="13">
      <c r="A13" s="4" t="inlineStr">
        <is>
          <t>Issued</t>
        </is>
      </c>
      <c r="B13" s="5" t="n">
        <v>43361</v>
      </c>
    </row>
    <row r="14">
      <c r="A14" s="4" t="inlineStr">
        <is>
          <t>Expires</t>
        </is>
      </c>
      <c r="B14" s="5" t="n">
        <v>47013</v>
      </c>
    </row>
    <row r="15">
      <c r="A15" s="4" t="inlineStr">
        <is>
          <t>Place of issue</t>
        </is>
      </c>
      <c r="B15" t="inlineStr">
        <is>
          <t>Hyderabad</t>
        </is>
      </c>
    </row>
    <row r="16">
      <c r="A16" s="4" t="inlineStr">
        <is>
          <t>Days to expiry</t>
        </is>
      </c>
      <c r="B16" s="14">
        <f>B14-TODAY()</f>
        <v/>
      </c>
    </row>
    <row r="17">
      <c r="A17" s="4" t="inlineStr">
        <is>
          <t>6-month rule date</t>
        </is>
      </c>
      <c r="B17" s="5">
        <f>EDATE(B14,-6)</f>
        <v/>
      </c>
    </row>
    <row r="18">
      <c r="A18" s="4" t="inlineStr">
        <is>
          <t>Start renewal by</t>
        </is>
      </c>
      <c r="B18" s="5">
        <f>EDATE(B14,-12)</f>
        <v/>
      </c>
    </row>
    <row r="19">
      <c r="A19" t="inlineStr">
        <is>
          <t>Old passport (issued 15/10/2008, Bangalore) not supplied - earlier travel not captured.</t>
        </is>
      </c>
    </row>
  </sheetData>
  <conditionalFormatting sqref="H5:H30">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N42"/>
  <sheetViews>
    <sheetView zoomScale="100" workbookViewId="0">
      <pane ySplit="4" topLeftCell="A5" activePane="bottomLeft" state="frozen"/>
      <selection pane="bottomLeft" activeCell="A1" sqref="A1"/>
    </sheetView>
  </sheetViews>
  <sheetFormatPr baseColWidth="8" defaultRowHeight="15"/>
  <cols>
    <col width="34" customWidth="1" min="1" max="1"/>
    <col width="18" customWidth="1" min="2" max="2"/>
    <col width="26" customWidth="1" min="3" max="3"/>
    <col width="22" customWidth="1" min="4" max="4"/>
    <col width="44" customWidth="1" min="5" max="5"/>
    <col width="11"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14" customWidth="1" min="14" max="14"/>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F3" s="15" t="inlineStr">
        <is>
          <t>I hold -&gt;</t>
        </is>
      </c>
      <c r="G3" s="16" t="inlineStr">
        <is>
          <t>Yes</t>
        </is>
      </c>
      <c r="H3" s="16" t="inlineStr">
        <is>
          <t>No</t>
        </is>
      </c>
      <c r="I3" s="16" t="inlineStr">
        <is>
          <t>No</t>
        </is>
      </c>
      <c r="J3" s="16" t="inlineStr">
        <is>
          <t>No</t>
        </is>
      </c>
      <c r="K3" s="16" t="inlineStr">
        <is>
          <t>No</t>
        </is>
      </c>
      <c r="L3" s="16" t="inlineStr">
        <is>
          <t>Yes</t>
        </is>
      </c>
      <c r="M3" s="16" t="inlineStr">
        <is>
          <t>No</t>
        </is>
      </c>
    </row>
    <row r="4">
      <c r="A4" s="3" t="inlineStr">
        <is>
          <t>Country / territory</t>
        </is>
      </c>
      <c r="B4" s="3" t="inlineStr">
        <is>
          <t>Region</t>
        </is>
      </c>
      <c r="C4" s="3" t="inlineStr">
        <is>
          <t>What you get</t>
        </is>
      </c>
      <c r="D4" s="3" t="inlineStr">
        <is>
          <t>Stay</t>
        </is>
      </c>
      <c r="E4" s="3" t="inlineStr">
        <is>
          <t>Notes</t>
        </is>
      </c>
      <c r="F4" s="3" t="inlineStr">
        <is>
          <t>Confidence</t>
        </is>
      </c>
      <c r="G4" s="3" t="inlineStr">
        <is>
          <t>USA B1/B2 visa</t>
        </is>
      </c>
      <c r="H4" s="3" t="inlineStr">
        <is>
          <t>Schengen C visa (multi-entry)</t>
        </is>
      </c>
      <c r="I4" s="3" t="inlineStr">
        <is>
          <t>UK Standard Visitor visa</t>
        </is>
      </c>
      <c r="J4" s="3" t="inlineStr">
        <is>
          <t>Canada visitor visa (TRV)</t>
        </is>
      </c>
      <c r="K4" s="3" t="inlineStr">
        <is>
          <t>Japan visa</t>
        </is>
      </c>
      <c r="L4" s="3" t="inlineStr">
        <is>
          <t>Australia Visitor visa</t>
        </is>
      </c>
      <c r="M4" s="3" t="inlineStr">
        <is>
          <t>Singapore visa</t>
        </is>
      </c>
      <c r="N4" s="3" t="inlineStr">
        <is>
          <t>Usable NOW?</t>
        </is>
      </c>
    </row>
    <row r="5">
      <c r="A5" s="9" t="inlineStr">
        <is>
          <t>Mexico</t>
        </is>
      </c>
      <c r="B5" s="9" t="inlineStr">
        <is>
          <t>Americas</t>
        </is>
      </c>
      <c r="C5" s="9" t="inlineStr">
        <is>
          <t>Visa exempt</t>
        </is>
      </c>
      <c r="D5" s="9" t="inlineStr">
        <is>
          <t>up to 180 d</t>
        </is>
      </c>
      <c r="E5" s="9" t="inlineStr">
        <is>
          <t>Australia NOT accepted. US visa is the safe one.</t>
        </is>
      </c>
      <c r="F5" s="9" t="inlineStr">
        <is>
          <t>Researched</t>
        </is>
      </c>
      <c r="G5" s="9" t="inlineStr">
        <is>
          <t>Yes</t>
        </is>
      </c>
      <c r="H5" s="9" t="inlineStr">
        <is>
          <t>Yes - often refused w/o residence proof</t>
        </is>
      </c>
      <c r="I5" s="9" t="inlineStr">
        <is>
          <t>Yes - often refused w/o residence proof</t>
        </is>
      </c>
      <c r="J5" s="9" t="inlineStr">
        <is>
          <t>Yes</t>
        </is>
      </c>
      <c r="K5" s="9" t="inlineStr">
        <is>
          <t>Yes - often refused w/o residence proof</t>
        </is>
      </c>
      <c r="L5" s="9" t="inlineStr"/>
      <c r="M5" s="9" t="inlineStr"/>
      <c r="N5" s="9">
        <f>IF(SUMPRODUCT(--($G$3:$M$3="Yes"),--(G5:M5&lt;&gt;""))&gt;0,"YES","-")</f>
        <v/>
      </c>
    </row>
    <row r="6">
      <c r="A6" s="9" t="inlineStr">
        <is>
          <t>Costa Rica</t>
        </is>
      </c>
      <c r="B6" s="9" t="inlineStr">
        <is>
          <t>Americas</t>
        </is>
      </c>
      <c r="C6" s="9" t="inlineStr">
        <is>
          <t>Visa exempt</t>
        </is>
      </c>
      <c r="D6" s="9" t="inlineStr">
        <is>
          <t>~30-90 d</t>
        </is>
      </c>
      <c r="E6" s="9" t="inlineStr">
        <is>
          <t>Transit (C1-C3) US visas excluded</t>
        </is>
      </c>
      <c r="F6" s="9" t="inlineStr">
        <is>
          <t>Researched</t>
        </is>
      </c>
      <c r="G6" s="9" t="inlineStr">
        <is>
          <t>Yes - multiple-entry; valid on entry</t>
        </is>
      </c>
      <c r="H6" s="9" t="inlineStr">
        <is>
          <t>Yes - C multi-entry/D; 90 d validity left</t>
        </is>
      </c>
      <c r="I6" s="9" t="inlineStr"/>
      <c r="J6" s="9" t="inlineStr">
        <is>
          <t>Yes - multiple-entry</t>
        </is>
      </c>
      <c r="K6" s="9" t="inlineStr"/>
      <c r="L6" s="9" t="inlineStr"/>
      <c r="M6" s="9" t="inlineStr"/>
      <c r="N6" s="9">
        <f>IF(SUMPRODUCT(--($G$3:$M$3="Yes"),--(G6:M6&lt;&gt;""))&gt;0,"YES","-")</f>
        <v/>
      </c>
    </row>
    <row r="7">
      <c r="A7" s="9" t="inlineStr">
        <is>
          <t>Panama</t>
        </is>
      </c>
      <c r="B7" s="9" t="inlineStr">
        <is>
          <t>Americas</t>
        </is>
      </c>
      <c r="C7" s="9" t="inlineStr">
        <is>
          <t>Visa exempt</t>
        </is>
      </c>
      <c r="D7" s="9" t="inlineStr">
        <is>
          <t>30 d</t>
        </is>
      </c>
      <c r="E7" s="9" t="inlineStr">
        <is>
          <t>Your Aus visa is UNUSED so not yet valid for this</t>
        </is>
      </c>
      <c r="F7" s="9" t="inlineStr">
        <is>
          <t>Researched</t>
        </is>
      </c>
      <c r="G7" s="9" t="inlineStr">
        <is>
          <t>Yes - used once; &gt;=1 yr validity left</t>
        </is>
      </c>
      <c r="H7" s="9" t="inlineStr">
        <is>
          <t>Yes - used once; &gt;=1 yr left</t>
        </is>
      </c>
      <c r="I7" s="9" t="inlineStr">
        <is>
          <t>Yes - used once; &gt;=1 yr left</t>
        </is>
      </c>
      <c r="J7" s="9" t="inlineStr">
        <is>
          <t>Yes - used once; &gt;=1 yr left</t>
        </is>
      </c>
      <c r="K7" s="9" t="inlineStr">
        <is>
          <t>Yes - used once; &gt;=1 yr left</t>
        </is>
      </c>
      <c r="L7" s="9" t="inlineStr">
        <is>
          <t>Yes - used once; &gt;=1 yr left</t>
        </is>
      </c>
      <c r="M7" s="9" t="inlineStr"/>
      <c r="N7" s="9">
        <f>IF(SUMPRODUCT(--($G$3:$M$3="Yes"),--(G7:M7&lt;&gt;""))&gt;0,"YES","-")</f>
        <v/>
      </c>
    </row>
    <row r="8">
      <c r="A8" s="9" t="inlineStr">
        <is>
          <t>Belize</t>
        </is>
      </c>
      <c r="B8" s="9" t="inlineStr">
        <is>
          <t>Americas</t>
        </is>
      </c>
      <c r="C8" s="9" t="inlineStr">
        <is>
          <t>VoA / exempt</t>
        </is>
      </c>
      <c r="D8" s="9" t="inlineStr">
        <is>
          <t>90 d (Schengen)</t>
        </is>
      </c>
      <c r="E8" s="9" t="inlineStr"/>
      <c r="F8" s="9" t="inlineStr">
        <is>
          <t>Researched</t>
        </is>
      </c>
      <c r="G8" s="9" t="inlineStr">
        <is>
          <t>Yes - multiple-entry</t>
        </is>
      </c>
      <c r="H8" s="9" t="inlineStr">
        <is>
          <t>Yes</t>
        </is>
      </c>
      <c r="I8" s="9" t="inlineStr"/>
      <c r="J8" s="9" t="inlineStr">
        <is>
          <t>Yes - multiple-entry</t>
        </is>
      </c>
      <c r="K8" s="9" t="inlineStr"/>
      <c r="L8" s="9" t="inlineStr"/>
      <c r="M8" s="9" t="inlineStr"/>
      <c r="N8" s="9">
        <f>IF(SUMPRODUCT(--($G$3:$M$3="Yes"),--(G8:M8&lt;&gt;""))&gt;0,"YES","-")</f>
        <v/>
      </c>
    </row>
    <row r="9">
      <c r="A9" s="9" t="inlineStr">
        <is>
          <t>Guatemala</t>
        </is>
      </c>
      <c r="B9" s="9" t="inlineStr">
        <is>
          <t>Americas</t>
        </is>
      </c>
      <c r="C9" s="9" t="inlineStr">
        <is>
          <t>Visa exempt</t>
        </is>
      </c>
      <c r="D9" s="9" t="inlineStr">
        <is>
          <t>90 d</t>
        </is>
      </c>
      <c r="E9" s="9" t="inlineStr">
        <is>
          <t>Sources conflict (some list e-Visa) - confirm</t>
        </is>
      </c>
      <c r="F9" s="11" t="inlineStr">
        <is>
          <t>CONFIRM</t>
        </is>
      </c>
      <c r="G9" s="9" t="inlineStr">
        <is>
          <t>Yes</t>
        </is>
      </c>
      <c r="H9" s="9" t="inlineStr">
        <is>
          <t>Yes</t>
        </is>
      </c>
      <c r="I9" s="9" t="inlineStr"/>
      <c r="J9" s="9" t="inlineStr">
        <is>
          <t>Yes</t>
        </is>
      </c>
      <c r="K9" s="9" t="inlineStr"/>
      <c r="L9" s="9" t="inlineStr"/>
      <c r="M9" s="9" t="inlineStr"/>
      <c r="N9" s="9">
        <f>IF(SUMPRODUCT(--($G$3:$M$3="Yes"),--(G9:M9&lt;&gt;""))&gt;0,"YES","-")</f>
        <v/>
      </c>
    </row>
    <row r="10">
      <c r="A10" s="9" t="inlineStr">
        <is>
          <t>Honduras</t>
        </is>
      </c>
      <c r="B10" s="9" t="inlineStr">
        <is>
          <t>Americas</t>
        </is>
      </c>
      <c r="C10" s="9" t="inlineStr">
        <is>
          <t>Visa exempt</t>
        </is>
      </c>
      <c r="D10" s="9" t="inlineStr">
        <is>
          <t>90 d</t>
        </is>
      </c>
      <c r="E10" s="9" t="inlineStr"/>
      <c r="F10" s="9" t="inlineStr">
        <is>
          <t>Researched</t>
        </is>
      </c>
      <c r="G10" s="9" t="inlineStr">
        <is>
          <t>Yes</t>
        </is>
      </c>
      <c r="H10" s="9" t="inlineStr">
        <is>
          <t>Yes</t>
        </is>
      </c>
      <c r="I10" s="9" t="inlineStr"/>
      <c r="J10" s="9" t="inlineStr">
        <is>
          <t>Yes</t>
        </is>
      </c>
      <c r="K10" s="9" t="inlineStr"/>
      <c r="L10" s="9" t="inlineStr"/>
      <c r="M10" s="9" t="inlineStr"/>
      <c r="N10" s="9">
        <f>IF(SUMPRODUCT(--($G$3:$M$3="Yes"),--(G10:M10&lt;&gt;""))&gt;0,"YES","-")</f>
        <v/>
      </c>
    </row>
    <row r="11">
      <c r="A11" s="9" t="inlineStr">
        <is>
          <t>Dominican Republic</t>
        </is>
      </c>
      <c r="B11" s="9" t="inlineStr">
        <is>
          <t>Americas</t>
        </is>
      </c>
      <c r="C11" s="9" t="inlineStr">
        <is>
          <t>Tourist card on arrival (~US$10)</t>
        </is>
      </c>
      <c r="D11" s="9" t="inlineStr">
        <is>
          <t>~30 d</t>
        </is>
      </c>
      <c r="E11" s="9" t="inlineStr"/>
      <c r="F11" s="9" t="inlineStr">
        <is>
          <t>Researched</t>
        </is>
      </c>
      <c r="G11" s="9" t="inlineStr">
        <is>
          <t>Yes - multiple-entry, in passport</t>
        </is>
      </c>
      <c r="H11" s="9" t="inlineStr">
        <is>
          <t>Yes - multiple-entry</t>
        </is>
      </c>
      <c r="I11" s="9" t="inlineStr">
        <is>
          <t>Yes - multiple-entry</t>
        </is>
      </c>
      <c r="J11" s="9" t="inlineStr">
        <is>
          <t>Yes - multiple-entry</t>
        </is>
      </c>
      <c r="K11" s="9" t="inlineStr"/>
      <c r="L11" s="9" t="inlineStr"/>
      <c r="M11" s="9" t="inlineStr"/>
      <c r="N11" s="9">
        <f>IF(SUMPRODUCT(--($G$3:$M$3="Yes"),--(G11:M11&lt;&gt;""))&gt;0,"YES","-")</f>
        <v/>
      </c>
    </row>
    <row r="12">
      <c r="A12" s="9" t="inlineStr">
        <is>
          <t>Colombia</t>
        </is>
      </c>
      <c r="B12" s="9" t="inlineStr">
        <is>
          <t>Americas</t>
        </is>
      </c>
      <c r="C12" s="9" t="inlineStr">
        <is>
          <t>Visa exempt</t>
        </is>
      </c>
      <c r="D12" s="9" t="inlineStr">
        <is>
          <t>90 d</t>
        </is>
      </c>
      <c r="E12" s="9" t="inlineStr">
        <is>
          <t>Resolution 0439/2016 via Indian Embassy Bogota</t>
        </is>
      </c>
      <c r="F12" s="9" t="inlineStr">
        <is>
          <t>Researched</t>
        </is>
      </c>
      <c r="G12" s="9" t="inlineStr">
        <is>
          <t>Yes - not C1; &gt;=180 d validity left</t>
        </is>
      </c>
      <c r="H12" s="9" t="inlineStr">
        <is>
          <t>Yes - &gt;=180 d validity left</t>
        </is>
      </c>
      <c r="I12" s="9" t="inlineStr"/>
      <c r="J12" s="9" t="inlineStr"/>
      <c r="K12" s="9" t="inlineStr"/>
      <c r="L12" s="9" t="inlineStr"/>
      <c r="M12" s="9" t="inlineStr"/>
      <c r="N12" s="9">
        <f>IF(SUMPRODUCT(--($G$3:$M$3="Yes"),--(G12:M12&lt;&gt;""))&gt;0,"YES","-")</f>
        <v/>
      </c>
    </row>
    <row r="13">
      <c r="A13" s="9" t="inlineStr">
        <is>
          <t>Peru</t>
        </is>
      </c>
      <c r="B13" s="9" t="inlineStr">
        <is>
          <t>Americas</t>
        </is>
      </c>
      <c r="C13" s="9" t="inlineStr">
        <is>
          <t>Visa exempt</t>
        </is>
      </c>
      <c r="D13" s="9" t="inlineStr">
        <is>
          <t>up to 180 d / 365</t>
        </is>
      </c>
      <c r="E13" s="9" t="inlineStr">
        <is>
          <t>Australia works</t>
        </is>
      </c>
      <c r="F13" s="9" t="inlineStr">
        <is>
          <t>Researched</t>
        </is>
      </c>
      <c r="G13" s="9" t="inlineStr">
        <is>
          <t>Yes - &gt;=6 mo validity left</t>
        </is>
      </c>
      <c r="H13" s="9" t="inlineStr">
        <is>
          <t>Yes</t>
        </is>
      </c>
      <c r="I13" s="9" t="inlineStr">
        <is>
          <t>Yes</t>
        </is>
      </c>
      <c r="J13" s="9" t="inlineStr">
        <is>
          <t>Yes</t>
        </is>
      </c>
      <c r="K13" s="9" t="inlineStr"/>
      <c r="L13" s="9" t="inlineStr">
        <is>
          <t>Yes - &gt;=6 mo validity left</t>
        </is>
      </c>
      <c r="M13" s="9" t="inlineStr"/>
      <c r="N13" s="9">
        <f>IF(SUMPRODUCT(--($G$3:$M$3="Yes"),--(G13:M13&lt;&gt;""))&gt;0,"YES","-")</f>
        <v/>
      </c>
    </row>
    <row r="14">
      <c r="A14" s="9" t="inlineStr">
        <is>
          <t>Chile</t>
        </is>
      </c>
      <c r="B14" s="9" t="inlineStr">
        <is>
          <t>Americas</t>
        </is>
      </c>
      <c r="C14" s="9" t="inlineStr">
        <is>
          <t>Visa exempt</t>
        </is>
      </c>
      <c r="D14" s="9" t="inlineStr">
        <is>
          <t>-</t>
        </is>
      </c>
      <c r="E14" s="9" t="inlineStr"/>
      <c r="F14" s="9" t="inlineStr">
        <is>
          <t>Researched</t>
        </is>
      </c>
      <c r="G14" s="9" t="inlineStr">
        <is>
          <t>Yes - not transit C; &gt;=6 mo validity</t>
        </is>
      </c>
      <c r="H14" s="9" t="inlineStr"/>
      <c r="I14" s="9" t="inlineStr"/>
      <c r="J14" s="9" t="inlineStr"/>
      <c r="K14" s="9" t="inlineStr"/>
      <c r="L14" s="9" t="inlineStr"/>
      <c r="M14" s="9" t="inlineStr"/>
      <c r="N14" s="9">
        <f>IF(SUMPRODUCT(--($G$3:$M$3="Yes"),--(G14:M14&lt;&gt;""))&gt;0,"YES","-")</f>
        <v/>
      </c>
    </row>
    <row r="15">
      <c r="A15" s="9" t="inlineStr">
        <is>
          <t>Argentina</t>
        </is>
      </c>
      <c r="B15" s="9" t="inlineStr">
        <is>
          <t>Americas</t>
        </is>
      </c>
      <c r="C15" s="9" t="inlineStr">
        <is>
          <t>Visa-free tourism (Res. 353/2025)</t>
        </is>
      </c>
      <c r="D15" s="9" t="inlineStr">
        <is>
          <t>90 d (one notice: 30 d)</t>
        </is>
      </c>
      <c r="E15" s="9" t="inlineStr">
        <is>
          <t>Wikipedia's 'Apr 2026' note looks wrong</t>
        </is>
      </c>
      <c r="F15" s="9" t="inlineStr">
        <is>
          <t>Researched</t>
        </is>
      </c>
      <c r="G15" s="9" t="inlineStr">
        <is>
          <t>Yes - B2 etc.; insurance required</t>
        </is>
      </c>
      <c r="H15" s="9" t="inlineStr"/>
      <c r="I15" s="9" t="inlineStr"/>
      <c r="J15" s="9" t="inlineStr"/>
      <c r="K15" s="9" t="inlineStr"/>
      <c r="L15" s="9" t="inlineStr"/>
      <c r="M15" s="9" t="inlineStr"/>
      <c r="N15" s="9">
        <f>IF(SUMPRODUCT(--($G$3:$M$3="Yes"),--(G15:M15&lt;&gt;""))&gt;0,"YES","-")</f>
        <v/>
      </c>
    </row>
    <row r="16">
      <c r="A16" s="9" t="inlineStr">
        <is>
          <t>Aruba / Curacao / Bonaire / Sint Maarten</t>
        </is>
      </c>
      <c r="B16" s="9" t="inlineStr">
        <is>
          <t>Caribbean</t>
        </is>
      </c>
      <c r="C16" s="9" t="inlineStr">
        <is>
          <t>Visa exempt</t>
        </is>
      </c>
      <c r="D16" s="9" t="inlineStr">
        <is>
          <t>~30 d</t>
        </is>
      </c>
      <c r="E16" s="9" t="inlineStr">
        <is>
          <t>Single-entry visas do NOT qualify</t>
        </is>
      </c>
      <c r="F16" s="9" t="inlineStr">
        <is>
          <t>Researched</t>
        </is>
      </c>
      <c r="G16" s="9" t="inlineStr">
        <is>
          <t>Yes - multiple-entry only</t>
        </is>
      </c>
      <c r="H16" s="9" t="inlineStr">
        <is>
          <t>Yes - multiple-entry only</t>
        </is>
      </c>
      <c r="I16" s="9" t="inlineStr">
        <is>
          <t>Yes - multiple-entry only</t>
        </is>
      </c>
      <c r="J16" s="9" t="inlineStr">
        <is>
          <t>Yes - multiple-entry only</t>
        </is>
      </c>
      <c r="K16" s="9" t="inlineStr"/>
      <c r="L16" s="9" t="inlineStr"/>
      <c r="M16" s="9" t="inlineStr"/>
      <c r="N16" s="9">
        <f>IF(SUMPRODUCT(--($G$3:$M$3="Yes"),--(G16:M16&lt;&gt;""))&gt;0,"YES","-")</f>
        <v/>
      </c>
    </row>
    <row r="17">
      <c r="A17" s="9" t="inlineStr">
        <is>
          <t>Bahamas</t>
        </is>
      </c>
      <c r="B17" s="9" t="inlineStr">
        <is>
          <t>Caribbean</t>
        </is>
      </c>
      <c r="C17" s="9" t="inlineStr">
        <is>
          <t>VoA</t>
        </is>
      </c>
      <c r="D17" s="9" t="inlineStr">
        <is>
          <t>up to 3 mo</t>
        </is>
      </c>
      <c r="E17" s="9" t="inlineStr">
        <is>
          <t>Otherwise eVisa</t>
        </is>
      </c>
      <c r="F17" s="9" t="inlineStr">
        <is>
          <t>Researched</t>
        </is>
      </c>
      <c r="G17" s="9" t="inlineStr">
        <is>
          <t>Yes</t>
        </is>
      </c>
      <c r="H17" s="9" t="inlineStr">
        <is>
          <t>Yes</t>
        </is>
      </c>
      <c r="I17" s="9" t="inlineStr">
        <is>
          <t>Yes</t>
        </is>
      </c>
      <c r="J17" s="9" t="inlineStr">
        <is>
          <t>Yes</t>
        </is>
      </c>
      <c r="K17" s="9" t="inlineStr"/>
      <c r="L17" s="9" t="inlineStr"/>
      <c r="M17" s="9" t="inlineStr"/>
      <c r="N17" s="9">
        <f>IF(SUMPRODUCT(--($G$3:$M$3="Yes"),--(G17:M17&lt;&gt;""))&gt;0,"YES","-")</f>
        <v/>
      </c>
    </row>
    <row r="18">
      <c r="A18" s="9" t="inlineStr">
        <is>
          <t>Antigua &amp; Barbuda</t>
        </is>
      </c>
      <c r="B18" s="9" t="inlineStr">
        <is>
          <t>Caribbean</t>
        </is>
      </c>
      <c r="C18" s="9" t="inlineStr">
        <is>
          <t>VoA (US$100)</t>
        </is>
      </c>
      <c r="D18" s="9" t="inlineStr">
        <is>
          <t>30 d</t>
        </is>
      </c>
      <c r="E18" s="9" t="inlineStr"/>
      <c r="F18" s="9" t="inlineStr">
        <is>
          <t>Researched</t>
        </is>
      </c>
      <c r="G18" s="9" t="inlineStr">
        <is>
          <t>Yes</t>
        </is>
      </c>
      <c r="H18" s="9" t="inlineStr">
        <is>
          <t>Yes</t>
        </is>
      </c>
      <c r="I18" s="9" t="inlineStr">
        <is>
          <t>Yes</t>
        </is>
      </c>
      <c r="J18" s="9" t="inlineStr">
        <is>
          <t>Yes</t>
        </is>
      </c>
      <c r="K18" s="9" t="inlineStr"/>
      <c r="L18" s="9" t="inlineStr"/>
      <c r="M18" s="9" t="inlineStr"/>
      <c r="N18" s="9">
        <f>IF(SUMPRODUCT(--($G$3:$M$3="Yes"),--(G18:M18&lt;&gt;""))&gt;0,"YES","-")</f>
        <v/>
      </c>
    </row>
    <row r="19">
      <c r="A19" s="9" t="inlineStr">
        <is>
          <t>Albania</t>
        </is>
      </c>
      <c r="B19" s="9" t="inlineStr">
        <is>
          <t>Europe (non-Schengen)</t>
        </is>
      </c>
      <c r="C19" s="9" t="inlineStr">
        <is>
          <t>Visa exempt</t>
        </is>
      </c>
      <c r="D19" s="9" t="inlineStr">
        <is>
          <t>90 d</t>
        </is>
      </c>
      <c r="E19" s="9" t="inlineStr">
        <is>
          <t>Otherwise eVisa</t>
        </is>
      </c>
      <c r="F19" s="9" t="inlineStr">
        <is>
          <t>Researched</t>
        </is>
      </c>
      <c r="G19" s="9" t="inlineStr">
        <is>
          <t>Yes - multi-entry, used once</t>
        </is>
      </c>
      <c r="H19" s="9" t="inlineStr">
        <is>
          <t>Yes - multi-entry, used once in Schengen</t>
        </is>
      </c>
      <c r="I19" s="9" t="inlineStr">
        <is>
          <t>Yes - multi-entry, used once</t>
        </is>
      </c>
      <c r="J19" s="9" t="inlineStr"/>
      <c r="K19" s="9" t="inlineStr"/>
      <c r="L19" s="9" t="inlineStr"/>
      <c r="M19" s="9" t="inlineStr"/>
      <c r="N19" s="9">
        <f>IF(SUMPRODUCT(--($G$3:$M$3="Yes"),--(G19:M19&lt;&gt;""))&gt;0,"YES","-")</f>
        <v/>
      </c>
    </row>
    <row r="20">
      <c r="A20" s="9" t="inlineStr">
        <is>
          <t>Montenegro</t>
        </is>
      </c>
      <c r="B20" s="9" t="inlineStr">
        <is>
          <t>Europe (non-Schengen)</t>
        </is>
      </c>
      <c r="C20" s="9" t="inlineStr">
        <is>
          <t>Visa exempt</t>
        </is>
      </c>
      <c r="D20" s="9" t="inlineStr">
        <is>
          <t>30 d</t>
        </is>
      </c>
      <c r="E20" s="9" t="inlineStr">
        <is>
          <t>Australia works</t>
        </is>
      </c>
      <c r="F20" s="9" t="inlineStr">
        <is>
          <t>Researched</t>
        </is>
      </c>
      <c r="G20" s="9" t="inlineStr">
        <is>
          <t>Yes</t>
        </is>
      </c>
      <c r="H20" s="9" t="inlineStr">
        <is>
          <t>Yes</t>
        </is>
      </c>
      <c r="I20" s="9" t="inlineStr">
        <is>
          <t>Yes</t>
        </is>
      </c>
      <c r="J20" s="9" t="inlineStr">
        <is>
          <t>Yes</t>
        </is>
      </c>
      <c r="K20" s="9" t="inlineStr">
        <is>
          <t>Yes</t>
        </is>
      </c>
      <c r="L20" s="9" t="inlineStr">
        <is>
          <t>Yes</t>
        </is>
      </c>
      <c r="M20" s="9" t="inlineStr"/>
      <c r="N20" s="9">
        <f>IF(SUMPRODUCT(--($G$3:$M$3="Yes"),--(G20:M20&lt;&gt;""))&gt;0,"YES","-")</f>
        <v/>
      </c>
    </row>
    <row r="21">
      <c r="A21" s="9" t="inlineStr">
        <is>
          <t>Serbia</t>
        </is>
      </c>
      <c r="B21" s="9" t="inlineStr">
        <is>
          <t>Europe (non-Schengen)</t>
        </is>
      </c>
      <c r="C21" s="9" t="inlineStr">
        <is>
          <t>Visa exempt</t>
        </is>
      </c>
      <c r="D21" s="9" t="inlineStr">
        <is>
          <t>90 d / 180</t>
        </is>
      </c>
      <c r="E21" s="9" t="inlineStr">
        <is>
          <t>Blogs add multi-entry/used-once conditions</t>
        </is>
      </c>
      <c r="F21" s="9" t="inlineStr">
        <is>
          <t>Researched</t>
        </is>
      </c>
      <c r="G21" s="9" t="inlineStr">
        <is>
          <t>Yes</t>
        </is>
      </c>
      <c r="H21" s="9" t="inlineStr">
        <is>
          <t>Yes</t>
        </is>
      </c>
      <c r="I21" s="9" t="inlineStr">
        <is>
          <t>Yes</t>
        </is>
      </c>
      <c r="J21" s="9" t="inlineStr"/>
      <c r="K21" s="9" t="inlineStr"/>
      <c r="L21" s="9" t="inlineStr"/>
      <c r="M21" s="9" t="inlineStr"/>
      <c r="N21" s="9">
        <f>IF(SUMPRODUCT(--($G$3:$M$3="Yes"),--(G21:M21&lt;&gt;""))&gt;0,"YES","-")</f>
        <v/>
      </c>
    </row>
    <row r="22">
      <c r="A22" s="9" t="inlineStr">
        <is>
          <t>North Macedonia</t>
        </is>
      </c>
      <c r="B22" s="9" t="inlineStr">
        <is>
          <t>Europe (non-Schengen)</t>
        </is>
      </c>
      <c r="C22" s="9" t="inlineStr">
        <is>
          <t>Visa exempt</t>
        </is>
      </c>
      <c r="D22" s="9" t="inlineStr">
        <is>
          <t>15 d</t>
        </is>
      </c>
      <c r="E22" s="9" t="inlineStr">
        <is>
          <t>Onward ticket needed</t>
        </is>
      </c>
      <c r="F22" s="9" t="inlineStr">
        <is>
          <t>Researched</t>
        </is>
      </c>
      <c r="G22" s="9" t="inlineStr">
        <is>
          <t>Yes - visa physically in passport</t>
        </is>
      </c>
      <c r="H22" s="9" t="inlineStr">
        <is>
          <t>Yes - multi-entry C</t>
        </is>
      </c>
      <c r="I22" s="9" t="inlineStr">
        <is>
          <t>Yes</t>
        </is>
      </c>
      <c r="J22" s="9" t="inlineStr">
        <is>
          <t>Yes</t>
        </is>
      </c>
      <c r="K22" s="9" t="inlineStr"/>
      <c r="L22" s="9" t="inlineStr"/>
      <c r="M22" s="9" t="inlineStr"/>
      <c r="N22" s="9">
        <f>IF(SUMPRODUCT(--($G$3:$M$3="Yes"),--(G22:M22&lt;&gt;""))&gt;0,"YES","-")</f>
        <v/>
      </c>
    </row>
    <row r="23">
      <c r="A23" s="9" t="inlineStr">
        <is>
          <t>Bosnia &amp; Herzegovina</t>
        </is>
      </c>
      <c r="B23" s="9" t="inlineStr">
        <is>
          <t>Europe (non-Schengen)</t>
        </is>
      </c>
      <c r="C23" s="9" t="inlineStr">
        <is>
          <t>Visa exempt</t>
        </is>
      </c>
      <c r="D23" s="9" t="inlineStr">
        <is>
          <t>up to 6 mo (your old sheet said 30 d)</t>
        </is>
      </c>
      <c r="E23" s="9" t="inlineStr"/>
      <c r="F23" s="9" t="inlineStr">
        <is>
          <t>Researched</t>
        </is>
      </c>
      <c r="G23" s="9" t="inlineStr">
        <is>
          <t>Yes - multi-entry</t>
        </is>
      </c>
      <c r="H23" s="9" t="inlineStr">
        <is>
          <t>Yes - multi-entry</t>
        </is>
      </c>
      <c r="I23" s="9" t="inlineStr"/>
      <c r="J23" s="9" t="inlineStr"/>
      <c r="K23" s="9" t="inlineStr"/>
      <c r="L23" s="9" t="inlineStr"/>
      <c r="M23" s="9" t="inlineStr"/>
      <c r="N23" s="9">
        <f>IF(SUMPRODUCT(--($G$3:$M$3="Yes"),--(G23:M23&lt;&gt;""))&gt;0,"YES","-")</f>
        <v/>
      </c>
    </row>
    <row r="24">
      <c r="A24" s="9" t="inlineStr">
        <is>
          <t>Georgia</t>
        </is>
      </c>
      <c r="B24" s="9" t="inlineStr">
        <is>
          <t>Caucasus</t>
        </is>
      </c>
      <c r="C24" s="9" t="inlineStr">
        <is>
          <t>Visa exempt</t>
        </is>
      </c>
      <c r="D24" s="9" t="inlineStr">
        <is>
          <t>90 d / 180</t>
        </is>
      </c>
      <c r="E24" s="9" t="inlineStr">
        <is>
          <t>Otherwise eVisa 30 d. Australia works</t>
        </is>
      </c>
      <c r="F24" s="9" t="inlineStr">
        <is>
          <t>Researched</t>
        </is>
      </c>
      <c r="G24" s="9" t="inlineStr">
        <is>
          <t>Yes</t>
        </is>
      </c>
      <c r="H24" s="9" t="inlineStr">
        <is>
          <t>Yes</t>
        </is>
      </c>
      <c r="I24" s="9" t="inlineStr">
        <is>
          <t>Yes</t>
        </is>
      </c>
      <c r="J24" s="9" t="inlineStr">
        <is>
          <t>Yes</t>
        </is>
      </c>
      <c r="K24" s="9" t="inlineStr">
        <is>
          <t>Yes</t>
        </is>
      </c>
      <c r="L24" s="9" t="inlineStr">
        <is>
          <t>Yes</t>
        </is>
      </c>
      <c r="M24" s="9" t="inlineStr"/>
      <c r="N24" s="9">
        <f>IF(SUMPRODUCT(--($G$3:$M$3="Yes"),--(G24:M24&lt;&gt;""))&gt;0,"YES","-")</f>
        <v/>
      </c>
    </row>
    <row r="25">
      <c r="A25" s="9" t="inlineStr">
        <is>
          <t>Moldova</t>
        </is>
      </c>
      <c r="B25" s="9" t="inlineStr">
        <is>
          <t>Europe (non-Schengen)</t>
        </is>
      </c>
      <c r="C25" s="9" t="inlineStr">
        <is>
          <t>Visa exempt</t>
        </is>
      </c>
      <c r="D25" s="9" t="inlineStr">
        <is>
          <t>90 d</t>
        </is>
      </c>
      <c r="E25" s="9" t="inlineStr"/>
      <c r="F25" s="9" t="inlineStr">
        <is>
          <t>Researched</t>
        </is>
      </c>
      <c r="G25" s="9" t="inlineStr">
        <is>
          <t>Yes - not transit</t>
        </is>
      </c>
      <c r="H25" s="9" t="inlineStr"/>
      <c r="I25" s="9" t="inlineStr"/>
      <c r="J25" s="9" t="inlineStr">
        <is>
          <t>Yes</t>
        </is>
      </c>
      <c r="K25" s="9" t="inlineStr"/>
      <c r="L25" s="9" t="inlineStr"/>
      <c r="M25" s="9" t="inlineStr"/>
      <c r="N25" s="9">
        <f>IF(SUMPRODUCT(--($G$3:$M$3="Yes"),--(G25:M25&lt;&gt;""))&gt;0,"YES","-")</f>
        <v/>
      </c>
    </row>
    <row r="26">
      <c r="A26" s="9" t="inlineStr">
        <is>
          <t>Armenia</t>
        </is>
      </c>
      <c r="B26" s="9" t="inlineStr">
        <is>
          <t>Caucasus</t>
        </is>
      </c>
      <c r="C26" s="9" t="inlineStr">
        <is>
          <t>VoA</t>
        </is>
      </c>
      <c r="D26" s="9" t="inlineStr">
        <is>
          <t>90 d</t>
        </is>
      </c>
      <c r="E26" s="9" t="inlineStr">
        <is>
          <t>Australia works. (Your old sheet said UK visa 120 d - recheck)</t>
        </is>
      </c>
      <c r="F26" s="9" t="inlineStr">
        <is>
          <t>Researched</t>
        </is>
      </c>
      <c r="G26" s="9" t="inlineStr">
        <is>
          <t>Yes</t>
        </is>
      </c>
      <c r="H26" s="9" t="inlineStr">
        <is>
          <t>Yes</t>
        </is>
      </c>
      <c r="I26" s="9" t="inlineStr">
        <is>
          <t>Yes</t>
        </is>
      </c>
      <c r="J26" s="9" t="inlineStr">
        <is>
          <t>Yes</t>
        </is>
      </c>
      <c r="K26" s="9" t="inlineStr">
        <is>
          <t>Yes</t>
        </is>
      </c>
      <c r="L26" s="9" t="inlineStr">
        <is>
          <t>Yes</t>
        </is>
      </c>
      <c r="M26" s="9" t="inlineStr"/>
      <c r="N26" s="9">
        <f>IF(SUMPRODUCT(--($G$3:$M$3="Yes"),--(G26:M26&lt;&gt;""))&gt;0,"YES","-")</f>
        <v/>
      </c>
    </row>
    <row r="27">
      <c r="A27" s="9" t="inlineStr">
        <is>
          <t>Turkey</t>
        </is>
      </c>
      <c r="B27" s="9" t="inlineStr">
        <is>
          <t>Europe/Asia</t>
        </is>
      </c>
      <c r="C27" s="9" t="inlineStr">
        <is>
          <t>Conditional eVisa (single entry)</t>
        </is>
      </c>
      <c r="D27" s="9" t="inlineStr">
        <is>
          <t>~30 d</t>
        </is>
      </c>
      <c r="E27" s="9" t="inlineStr">
        <is>
          <t>Australia NOT accepted</t>
        </is>
      </c>
      <c r="F27" s="9" t="inlineStr">
        <is>
          <t>Researched</t>
        </is>
      </c>
      <c r="G27" s="9" t="inlineStr">
        <is>
          <t>Yes</t>
        </is>
      </c>
      <c r="H27" s="9" t="inlineStr">
        <is>
          <t>Yes</t>
        </is>
      </c>
      <c r="I27" s="9" t="inlineStr">
        <is>
          <t>Yes</t>
        </is>
      </c>
      <c r="J27" s="9" t="inlineStr"/>
      <c r="K27" s="9" t="inlineStr"/>
      <c r="L27" s="9" t="inlineStr"/>
      <c r="M27" s="9" t="inlineStr"/>
      <c r="N27" s="9">
        <f>IF(SUMPRODUCT(--($G$3:$M$3="Yes"),--(G27:M27&lt;&gt;""))&gt;0,"YES","-")</f>
        <v/>
      </c>
    </row>
    <row r="28">
      <c r="A28" s="9" t="inlineStr">
        <is>
          <t>Cyprus</t>
        </is>
      </c>
      <c r="B28" s="9" t="inlineStr">
        <is>
          <t>Europe</t>
        </is>
      </c>
      <c r="C28" s="9" t="inlineStr">
        <is>
          <t>Visa exempt (reported)</t>
        </is>
      </c>
      <c r="D28" s="9" t="inlineStr">
        <is>
          <t>-</t>
        </is>
      </c>
      <c r="E28" s="9" t="inlineStr">
        <is>
          <t>Only a Schengen claim found - confirm</t>
        </is>
      </c>
      <c r="F28" s="11" t="inlineStr">
        <is>
          <t>CONFIRM</t>
        </is>
      </c>
      <c r="G28" s="9" t="inlineStr"/>
      <c r="H28" s="9" t="inlineStr">
        <is>
          <t>Yes - multi-entry C</t>
        </is>
      </c>
      <c r="I28" s="9" t="inlineStr"/>
      <c r="J28" s="9" t="inlineStr"/>
      <c r="K28" s="9" t="inlineStr"/>
      <c r="L28" s="9" t="inlineStr"/>
      <c r="M28" s="9" t="inlineStr"/>
      <c r="N28" s="9">
        <f>IF(SUMPRODUCT(--($G$3:$M$3="Yes"),--(G28:M28&lt;&gt;""))&gt;0,"YES","-")</f>
        <v/>
      </c>
    </row>
    <row r="29">
      <c r="A29" s="9" t="inlineStr">
        <is>
          <t>Ireland</t>
        </is>
      </c>
      <c r="B29" s="9" t="inlineStr">
        <is>
          <t>Europe</t>
        </is>
      </c>
      <c r="C29" s="9" t="inlineStr">
        <is>
          <t>Visa exempt via UK BIVS</t>
        </is>
      </c>
      <c r="D29" s="9" t="inlineStr">
        <is>
          <t>-</t>
        </is>
      </c>
      <c r="E29" s="9" t="inlineStr">
        <is>
          <t>US/Schengen give nothing</t>
        </is>
      </c>
      <c r="F29" s="9" t="inlineStr">
        <is>
          <t>Researched</t>
        </is>
      </c>
      <c r="G29" s="9" t="inlineStr"/>
      <c r="H29" s="9" t="inlineStr"/>
      <c r="I29" s="9" t="inlineStr">
        <is>
          <t>Yes - must first enter UK on a short-stay visa</t>
        </is>
      </c>
      <c r="J29" s="9" t="inlineStr"/>
      <c r="K29" s="9" t="inlineStr"/>
      <c r="L29" s="9" t="inlineStr"/>
      <c r="M29" s="9" t="inlineStr"/>
      <c r="N29" s="9">
        <f>IF(SUMPRODUCT(--($G$3:$M$3="Yes"),--(G29:M29&lt;&gt;""))&gt;0,"YES","-")</f>
        <v/>
      </c>
    </row>
    <row r="30">
      <c r="A30" s="9" t="inlineStr">
        <is>
          <t>Gibraltar</t>
        </is>
      </c>
      <c r="B30" s="9" t="inlineStr">
        <is>
          <t>Europe</t>
        </is>
      </c>
      <c r="C30" s="9" t="inlineStr">
        <is>
          <t>Visa exempt</t>
        </is>
      </c>
      <c r="D30" s="9" t="inlineStr">
        <is>
          <t>-</t>
        </is>
      </c>
      <c r="E30" s="9" t="inlineStr">
        <is>
          <t>US/Aus give nothing</t>
        </is>
      </c>
      <c r="F30" s="9" t="inlineStr">
        <is>
          <t>Researched</t>
        </is>
      </c>
      <c r="G30" s="9" t="inlineStr"/>
      <c r="H30" s="9" t="inlineStr">
        <is>
          <t>Yes - multi-entry</t>
        </is>
      </c>
      <c r="I30" s="9" t="inlineStr">
        <is>
          <t>Yes - &gt;=6 mo validity</t>
        </is>
      </c>
      <c r="J30" s="9" t="inlineStr"/>
      <c r="K30" s="9" t="inlineStr"/>
      <c r="L30" s="9" t="inlineStr"/>
      <c r="M30" s="9" t="inlineStr"/>
      <c r="N30" s="9">
        <f>IF(SUMPRODUCT(--($G$3:$M$3="Yes"),--(G30:M30&lt;&gt;""))&gt;0,"YES","-")</f>
        <v/>
      </c>
    </row>
    <row r="31">
      <c r="A31" s="9" t="inlineStr">
        <is>
          <t>UK (airside transit only)</t>
        </is>
      </c>
      <c r="B31" s="9" t="inlineStr">
        <is>
          <t>Europe</t>
        </is>
      </c>
      <c r="C31" s="9" t="inlineStr">
        <is>
          <t>DATV-exempt transit</t>
        </is>
      </c>
      <c r="D31" s="9" t="inlineStr">
        <is>
          <t>24 h airside</t>
        </is>
      </c>
      <c r="E31" s="9" t="inlineStr">
        <is>
          <t>Landside transit w/o visa is discretionary</t>
        </is>
      </c>
      <c r="F31" s="9" t="inlineStr">
        <is>
          <t>Researched</t>
        </is>
      </c>
      <c r="G31" s="9" t="inlineStr">
        <is>
          <t>Yes - to/from USA</t>
        </is>
      </c>
      <c r="H31" s="9" t="inlineStr"/>
      <c r="I31" s="9" t="inlineStr"/>
      <c r="J31" s="9" t="inlineStr">
        <is>
          <t>Yes - to/from Canada</t>
        </is>
      </c>
      <c r="K31" s="9" t="inlineStr"/>
      <c r="L31" s="9" t="inlineStr">
        <is>
          <t>Yes - to/from Australia</t>
        </is>
      </c>
      <c r="M31" s="9" t="inlineStr"/>
      <c r="N31" s="9">
        <f>IF(SUMPRODUCT(--($G$3:$M$3="Yes"),--(G31:M31&lt;&gt;""))&gt;0,"YES","-")</f>
        <v/>
      </c>
    </row>
    <row r="32">
      <c r="A32" s="9" t="inlineStr">
        <is>
          <t>UAE</t>
        </is>
      </c>
      <c r="B32" s="9" t="inlineStr">
        <is>
          <t>Middle East</t>
        </is>
      </c>
      <c r="C32" s="9" t="inlineStr">
        <is>
          <t>VoA</t>
        </is>
      </c>
      <c r="D32" s="9" t="inlineStr">
        <is>
          <t>14 d (+14)</t>
        </is>
      </c>
      <c r="E32" s="9" t="inlineStr">
        <is>
          <t>Aus VISITOR visa NOT accepted (only Aus residence permits)</t>
        </is>
      </c>
      <c r="F32" s="9" t="inlineStr">
        <is>
          <t>Researched</t>
        </is>
      </c>
      <c r="G32" s="9" t="inlineStr">
        <is>
          <t>Yes</t>
        </is>
      </c>
      <c r="H32" s="9" t="inlineStr">
        <is>
          <t>Yes - EU/Schengen visa</t>
        </is>
      </c>
      <c r="I32" s="9" t="inlineStr">
        <is>
          <t>Yes</t>
        </is>
      </c>
      <c r="J32" s="9" t="inlineStr"/>
      <c r="K32" s="9" t="inlineStr"/>
      <c r="L32" s="9" t="inlineStr"/>
      <c r="M32" s="9" t="inlineStr"/>
      <c r="N32" s="9">
        <f>IF(SUMPRODUCT(--($G$3:$M$3="Yes"),--(G32:M32&lt;&gt;""))&gt;0,"YES","-")</f>
        <v/>
      </c>
    </row>
    <row r="33">
      <c r="A33" s="9" t="inlineStr">
        <is>
          <t>Oman</t>
        </is>
      </c>
      <c r="B33" s="9" t="inlineStr">
        <is>
          <t>Middle East</t>
        </is>
      </c>
      <c r="C33" s="9" t="inlineStr">
        <is>
          <t>VoA / exempt</t>
        </is>
      </c>
      <c r="D33" s="9" t="inlineStr">
        <is>
          <t>14 d</t>
        </is>
      </c>
      <c r="E33" s="9" t="inlineStr">
        <is>
          <t>Australia works</t>
        </is>
      </c>
      <c r="F33" s="9" t="inlineStr">
        <is>
          <t>Researched</t>
        </is>
      </c>
      <c r="G33" s="9" t="inlineStr">
        <is>
          <t>Yes</t>
        </is>
      </c>
      <c r="H33" s="9" t="inlineStr">
        <is>
          <t>Yes</t>
        </is>
      </c>
      <c r="I33" s="9" t="inlineStr">
        <is>
          <t>Yes</t>
        </is>
      </c>
      <c r="J33" s="9" t="inlineStr">
        <is>
          <t>Yes</t>
        </is>
      </c>
      <c r="K33" s="9" t="inlineStr">
        <is>
          <t>Yes</t>
        </is>
      </c>
      <c r="L33" s="9" t="inlineStr">
        <is>
          <t>Yes</t>
        </is>
      </c>
      <c r="M33" s="9" t="inlineStr"/>
      <c r="N33" s="9">
        <f>IF(SUMPRODUCT(--($G$3:$M$3="Yes"),--(G33:M33&lt;&gt;""))&gt;0,"YES","-")</f>
        <v/>
      </c>
    </row>
    <row r="34">
      <c r="A34" s="9" t="inlineStr">
        <is>
          <t>Saudi Arabia</t>
        </is>
      </c>
      <c r="B34" s="9" t="inlineStr">
        <is>
          <t>Middle East</t>
        </is>
      </c>
      <c r="C34" s="9" t="inlineStr">
        <is>
          <t>eVisa / VoA</t>
        </is>
      </c>
      <c r="D34" s="9" t="inlineStr">
        <is>
          <t>up to 90 d</t>
        </is>
      </c>
      <c r="E34" s="9" t="inlineStr">
        <is>
          <t>Aus NOT accepted</t>
        </is>
      </c>
      <c r="F34" s="9" t="inlineStr">
        <is>
          <t>Researched</t>
        </is>
      </c>
      <c r="G34" s="9" t="inlineStr">
        <is>
          <t>Yes - may need used-once</t>
        </is>
      </c>
      <c r="H34" s="9" t="inlineStr">
        <is>
          <t>Yes - may need used-once</t>
        </is>
      </c>
      <c r="I34" s="9" t="inlineStr">
        <is>
          <t>Yes - may need used-once</t>
        </is>
      </c>
      <c r="J34" s="9" t="inlineStr"/>
      <c r="K34" s="9" t="inlineStr"/>
      <c r="L34" s="9" t="inlineStr"/>
      <c r="M34" s="9" t="inlineStr"/>
      <c r="N34" s="9">
        <f>IF(SUMPRODUCT(--($G$3:$M$3="Yes"),--(G34:M34&lt;&gt;""))&gt;0,"YES","-")</f>
        <v/>
      </c>
    </row>
    <row r="35">
      <c r="A35" s="9" t="inlineStr">
        <is>
          <t>Bahrain</t>
        </is>
      </c>
      <c r="B35" s="9" t="inlineStr">
        <is>
          <t>Middle East</t>
        </is>
      </c>
      <c r="C35" s="9" t="inlineStr">
        <is>
          <t>VoA / eVisa</t>
        </is>
      </c>
      <c r="D35" s="9" t="inlineStr">
        <is>
          <t>14 d</t>
        </is>
      </c>
      <c r="E35" s="9" t="inlineStr">
        <is>
          <t>Aus NOT accepted</t>
        </is>
      </c>
      <c r="F35" s="9" t="inlineStr">
        <is>
          <t>Researched</t>
        </is>
      </c>
      <c r="G35" s="9" t="inlineStr">
        <is>
          <t>Yes - visit visa/Green Card</t>
        </is>
      </c>
      <c r="H35" s="9" t="inlineStr">
        <is>
          <t>Yes</t>
        </is>
      </c>
      <c r="I35" s="9" t="inlineStr">
        <is>
          <t>Yes</t>
        </is>
      </c>
      <c r="J35" s="9" t="inlineStr"/>
      <c r="K35" s="9" t="inlineStr"/>
      <c r="L35" s="9" t="inlineStr"/>
      <c r="M35" s="9" t="inlineStr"/>
      <c r="N35" s="9">
        <f>IF(SUMPRODUCT(--($G$3:$M$3="Yes"),--(G35:M35&lt;&gt;""))&gt;0,"YES","-")</f>
        <v/>
      </c>
    </row>
    <row r="36">
      <c r="A36" s="9" t="inlineStr">
        <is>
          <t>Kuwait</t>
        </is>
      </c>
      <c r="B36" s="9" t="inlineStr">
        <is>
          <t>Middle East</t>
        </is>
      </c>
      <c r="C36" s="9" t="inlineStr">
        <is>
          <t>eVisa eligibility</t>
        </is>
      </c>
      <c r="D36" s="9" t="inlineStr">
        <is>
          <t>-</t>
        </is>
      </c>
      <c r="E36" s="9" t="inlineStr"/>
      <c r="F36" s="9" t="inlineStr">
        <is>
          <t>Researched</t>
        </is>
      </c>
      <c r="G36" s="9" t="inlineStr">
        <is>
          <t>Yes</t>
        </is>
      </c>
      <c r="H36" s="9" t="inlineStr">
        <is>
          <t>Yes</t>
        </is>
      </c>
      <c r="I36" s="9" t="inlineStr">
        <is>
          <t>Yes</t>
        </is>
      </c>
      <c r="J36" s="9" t="inlineStr"/>
      <c r="K36" s="9" t="inlineStr"/>
      <c r="L36" s="9" t="inlineStr"/>
      <c r="M36" s="9" t="inlineStr"/>
      <c r="N36" s="9">
        <f>IF(SUMPRODUCT(--($G$3:$M$3="Yes"),--(G36:M36&lt;&gt;""))&gt;0,"YES","-")</f>
        <v/>
      </c>
    </row>
    <row r="37">
      <c r="A37" s="9" t="inlineStr">
        <is>
          <t>Philippines</t>
        </is>
      </c>
      <c r="B37" s="9" t="inlineStr">
        <is>
          <t>Asia-Pacific</t>
        </is>
      </c>
      <c r="C37" s="9" t="inlineStr">
        <is>
          <t>Visa-free</t>
        </is>
      </c>
      <c r="D37" s="9" t="inlineStr">
        <is>
          <t>30 d (vs 14 d normally)</t>
        </is>
      </c>
      <c r="E37" s="9" t="inlineStr">
        <is>
          <t>Australia works; 6 mo passport, return ticket</t>
        </is>
      </c>
      <c r="F37" s="9" t="inlineStr">
        <is>
          <t>Researched</t>
        </is>
      </c>
      <c r="G37" s="9" t="inlineStr">
        <is>
          <t>Yes</t>
        </is>
      </c>
      <c r="H37" s="9" t="inlineStr">
        <is>
          <t>Yes</t>
        </is>
      </c>
      <c r="I37" s="9" t="inlineStr">
        <is>
          <t>Yes</t>
        </is>
      </c>
      <c r="J37" s="9" t="inlineStr">
        <is>
          <t>Yes</t>
        </is>
      </c>
      <c r="K37" s="9" t="inlineStr">
        <is>
          <t>Yes</t>
        </is>
      </c>
      <c r="L37" s="9" t="inlineStr">
        <is>
          <t>Yes</t>
        </is>
      </c>
      <c r="M37" s="9" t="inlineStr">
        <is>
          <t>Yes</t>
        </is>
      </c>
      <c r="N37" s="9">
        <f>IF(SUMPRODUCT(--($G$3:$M$3="Yes"),--(G37:M37&lt;&gt;""))&gt;0,"YES","-")</f>
        <v/>
      </c>
    </row>
    <row r="38">
      <c r="A38" s="9" t="inlineStr">
        <is>
          <t>Taiwan</t>
        </is>
      </c>
      <c r="B38" s="9" t="inlineStr">
        <is>
          <t>Asia-Pacific</t>
        </is>
      </c>
      <c r="C38" s="9" t="inlineStr">
        <is>
          <t>Travel Authorization Certificate</t>
        </is>
      </c>
      <c r="D38" s="9" t="inlineStr">
        <is>
          <t>14 d (old 30 d outdated)</t>
        </is>
      </c>
      <c r="E38" s="9" t="inlineStr">
        <is>
          <t>Expired visas also count</t>
        </is>
      </c>
      <c r="F38" s="9" t="inlineStr">
        <is>
          <t>Researched</t>
        </is>
      </c>
      <c r="G38" s="9" t="inlineStr">
        <is>
          <t>Yes - even if expired &lt;10 yrs</t>
        </is>
      </c>
      <c r="H38" s="9" t="inlineStr">
        <is>
          <t>Yes</t>
        </is>
      </c>
      <c r="I38" s="9" t="inlineStr">
        <is>
          <t>Yes</t>
        </is>
      </c>
      <c r="J38" s="9" t="inlineStr">
        <is>
          <t>Yes</t>
        </is>
      </c>
      <c r="K38" s="9" t="inlineStr">
        <is>
          <t>Yes</t>
        </is>
      </c>
      <c r="L38" s="9" t="inlineStr">
        <is>
          <t>Yes</t>
        </is>
      </c>
      <c r="M38" s="9" t="inlineStr"/>
      <c r="N38" s="9">
        <f>IF(SUMPRODUCT(--($G$3:$M$3="Yes"),--(G38:M38&lt;&gt;""))&gt;0,"YES","-")</f>
        <v/>
      </c>
    </row>
    <row r="39">
      <c r="A39" s="9" t="inlineStr">
        <is>
          <t>South Korea (transit)</t>
        </is>
      </c>
      <c r="B39" s="9" t="inlineStr">
        <is>
          <t>Asia-Pacific</t>
        </is>
      </c>
      <c r="C39" s="9" t="inlineStr">
        <is>
          <t>Visa-free B-2 transit</t>
        </is>
      </c>
      <c r="D39" s="9" t="inlineStr">
        <is>
          <t>up to 30 d, onward ticket</t>
        </is>
      </c>
      <c r="E39" s="9" t="inlineStr">
        <is>
          <t>Must continue to 3rd country</t>
        </is>
      </c>
      <c r="F39" s="9" t="inlineStr">
        <is>
          <t>Researched</t>
        </is>
      </c>
      <c r="G39" s="9" t="inlineStr">
        <is>
          <t>Yes</t>
        </is>
      </c>
      <c r="H39" s="9" t="inlineStr">
        <is>
          <t>Yes - European visa</t>
        </is>
      </c>
      <c r="I39" s="9" t="inlineStr"/>
      <c r="J39" s="9" t="inlineStr">
        <is>
          <t>Yes</t>
        </is>
      </c>
      <c r="K39" s="9" t="inlineStr"/>
      <c r="L39" s="9" t="inlineStr">
        <is>
          <t>Yes - checked via VEVO</t>
        </is>
      </c>
      <c r="M39" s="9" t="inlineStr"/>
      <c r="N39" s="9">
        <f>IF(SUMPRODUCT(--($G$3:$M$3="Yes"),--(G39:M39&lt;&gt;""))&gt;0,"YES","-")</f>
        <v/>
      </c>
    </row>
    <row r="40">
      <c r="A40" s="9" t="inlineStr">
        <is>
          <t>Singapore (transit)</t>
        </is>
      </c>
      <c r="B40" s="9" t="inlineStr">
        <is>
          <t>Asia-Pacific</t>
        </is>
      </c>
      <c r="C40" s="9" t="inlineStr">
        <is>
          <t>96-hr visa-free transit</t>
        </is>
      </c>
      <c r="D40" s="9" t="inlineStr">
        <is>
          <t>96 h</t>
        </is>
      </c>
      <c r="E40" s="9" t="inlineStr">
        <is>
          <t>Onward ticket required</t>
        </is>
      </c>
      <c r="F40" s="9" t="inlineStr">
        <is>
          <t>Researched</t>
        </is>
      </c>
      <c r="G40" s="9" t="inlineStr">
        <is>
          <t>Yes - &gt;=1 mo validity</t>
        </is>
      </c>
      <c r="H40" s="9" t="inlineStr"/>
      <c r="I40" s="9" t="inlineStr">
        <is>
          <t>Yes</t>
        </is>
      </c>
      <c r="J40" s="9" t="inlineStr">
        <is>
          <t>Yes</t>
        </is>
      </c>
      <c r="K40" s="9" t="inlineStr">
        <is>
          <t>Yes</t>
        </is>
      </c>
      <c r="L40" s="9" t="inlineStr">
        <is>
          <t>Yes</t>
        </is>
      </c>
      <c r="M40" s="9" t="inlineStr"/>
      <c r="N40" s="9">
        <f>IF(SUMPRODUCT(--($G$3:$M$3="Yes"),--(G40:M40&lt;&gt;""))&gt;0,"YES","-")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N40"/>
  <mergeCells count="1">
    <mergeCell ref="A42:N42"/>
  </mergeCells>
  <conditionalFormatting sqref="N5:N80">
    <cfRule type="cellIs" priority="1" operator="equal" dxfId="2">
      <formula>"YES"</formula>
    </cfRule>
  </conditionalFormatting>
  <dataValidations count="1">
    <dataValidation sqref="G3:M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Map'!G3</f>
        <v/>
      </c>
      <c r="D5" s="9">
        <f>COUNTIF('Access Map'!G5:G40,"?*")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Map'!H3</f>
        <v/>
      </c>
      <c r="D6" s="9">
        <f>COUNTIF('Access Map'!H5:H40,"?*")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Map'!I3</f>
        <v/>
      </c>
      <c r="D7" s="9">
        <f>COUNTIF('Access Map'!I5:I40,"?*")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Map'!L3</f>
        <v/>
      </c>
      <c r="D8" s="9">
        <f>COUNTIF('Access Map'!L5:L40,"?*")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Map'!J3</f>
        <v/>
      </c>
      <c r="D9" s="9">
        <f>COUNTIF('Access Map'!J5:J40,"?*")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Map'!K3</f>
        <v/>
      </c>
      <c r="D10" s="9">
        <f>COUNTIF('Access Map'!K5:K40,"?*")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K36"/>
  <sheetViews>
    <sheetView zoomScale="100" workbookViewId="0">
      <pane ySplit="4" topLeftCell="A5" activePane="bottomLeft" state="frozen"/>
      <selection pane="bottomLeft" activeCell="A1" sqref="A1"/>
    </sheetView>
  </sheetViews>
  <sheetFormatPr baseColWidth="8" defaultRowHeight="15"/>
  <cols>
    <col width="24" customWidth="1" min="1" max="1"/>
    <col width="26" customWidth="1" min="2" max="2"/>
    <col width="70" customWidth="1" min="3" max="3"/>
    <col width="18" customWidth="1" min="4" max="4"/>
    <col width="22" customWidth="1" min="5" max="5"/>
    <col width="22" customWidth="1" min="6" max="6"/>
    <col width="16" customWidth="1" min="7" max="7"/>
    <col width="11" customWidth="1" min="8" max="8"/>
    <col width="30" customWidth="1" min="9" max="9"/>
    <col width="16" customWidth="1" min="10" max="10"/>
    <col width="30" customWidth="1" min="11" max="11"/>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Destination</t>
        </is>
      </c>
      <c r="B4" s="3" t="inlineStr">
        <is>
          <t>Yatra use</t>
        </is>
      </c>
      <c r="C4" s="3" t="inlineStr">
        <is>
          <t>Entry requirement (Indian passport)</t>
        </is>
      </c>
      <c r="D4" s="3" t="inlineStr">
        <is>
          <t>Max stay</t>
        </is>
      </c>
      <c r="E4" s="3" t="inlineStr">
        <is>
          <t>Cost / lead time</t>
        </is>
      </c>
      <c r="F4" s="3" t="inlineStr">
        <is>
          <t>Helped by a visa I hold?</t>
        </is>
      </c>
      <c r="G4" s="3" t="inlineStr">
        <is>
          <t>Priority</t>
        </is>
      </c>
      <c r="H4" s="3" t="inlineStr">
        <is>
          <t>Confidence</t>
        </is>
      </c>
      <c r="I4" s="3" t="inlineStr">
        <is>
          <t>Source</t>
        </is>
      </c>
      <c r="J4" s="3" t="inlineStr">
        <is>
          <t>My status</t>
        </is>
      </c>
      <c r="K4" s="3" t="inlineStr">
        <is>
          <t>Next action / date</t>
        </is>
      </c>
    </row>
    <row r="5">
      <c r="A5" s="9" t="inlineStr">
        <is>
          <t>Nepal</t>
        </is>
      </c>
      <c r="B5" s="9" t="inlineStr">
        <is>
          <t>Muktinath, Pashupatinath, Janakpur</t>
        </is>
      </c>
      <c r="C5" s="9" t="inlineStr">
        <is>
          <t>No visa. Valid passport or original Voter ID (Aadhaar conflicting - don't rely). Muktinath needs TIMS/ACAP permits via operator (U)</t>
        </is>
      </c>
      <c r="D5" s="9" t="inlineStr">
        <is>
          <t>No limit set for Indians</t>
        </is>
      </c>
      <c r="E5" s="9" t="inlineStr">
        <is>
          <t>Free / none</t>
        </is>
      </c>
      <c r="F5" s="9" t="inlineStr">
        <is>
          <t>n/a</t>
        </is>
      </c>
      <c r="G5" s="9" t="inlineStr">
        <is>
          <t>Done before x3</t>
        </is>
      </c>
      <c r="H5" s="9" t="inlineStr">
        <is>
          <t>Researched</t>
        </is>
      </c>
      <c r="I5" s="9" t="inlineStr">
        <is>
          <t>happyfares.in 2026</t>
        </is>
      </c>
      <c r="J5" s="19" t="inlineStr">
        <is>
          <t>To check</t>
        </is>
      </c>
      <c r="K5" s="19" t="inlineStr"/>
    </row>
    <row r="6">
      <c r="A6" s="9" t="inlineStr">
        <is>
          <t>Bhutan</t>
        </is>
      </c>
      <c r="B6" s="9" t="inlineStr">
        <is>
          <t>Monastery circuit</t>
        </is>
      </c>
      <c r="C6" s="9" t="inlineStr">
        <is>
          <t>No visa but Entry PERMIT via registered operator. SDF Nu 1,200/person/night (under 6 free, 6-12 half)</t>
        </is>
      </c>
      <c r="D6" s="9" t="inlineStr">
        <is>
          <t>Per permit</t>
        </is>
      </c>
      <c r="E6" s="9" t="inlineStr">
        <is>
          <t>SDF + operator</t>
        </is>
      </c>
      <c r="F6" s="9" t="inlineStr">
        <is>
          <t>n/a</t>
        </is>
      </c>
      <c r="G6" s="9" t="inlineStr">
        <is>
          <t>Medium</t>
        </is>
      </c>
      <c r="H6" s="9" t="inlineStr">
        <is>
          <t>Researched</t>
        </is>
      </c>
      <c r="I6" s="9" t="inlineStr">
        <is>
          <t>windhorsetours.com 2026</t>
        </is>
      </c>
      <c r="J6" s="19" t="inlineStr">
        <is>
          <t>To check</t>
        </is>
      </c>
      <c r="K6" s="19" t="inlineStr"/>
    </row>
    <row r="7">
      <c r="A7" s="9" t="inlineStr">
        <is>
          <t>Sri Lanka</t>
        </is>
      </c>
      <c r="B7" s="9" t="inlineStr">
        <is>
          <t>Ramayana trail</t>
        </is>
      </c>
      <c r="C7" s="9" t="inlineStr">
        <is>
          <t>Free 30-day double-entry tourist ETA scheme reported from 25 May 2026 (still apply online at eta.gov.lk). End date unclear</t>
        </is>
      </c>
      <c r="D7" s="9" t="inlineStr">
        <is>
          <t>30 days</t>
        </is>
      </c>
      <c r="E7" s="9" t="inlineStr">
        <is>
          <t>Free (reported) / 1-2 days</t>
        </is>
      </c>
      <c r="F7" s="9" t="inlineStr">
        <is>
          <t>n/a</t>
        </is>
      </c>
      <c r="G7" s="9" t="inlineStr">
        <is>
          <t>Done before x3</t>
        </is>
      </c>
      <c r="H7" s="9" t="inlineStr">
        <is>
          <t>Researched</t>
        </is>
      </c>
      <c r="I7" s="9" t="inlineStr">
        <is>
          <t>traveltradejournal, newsonair 2026</t>
        </is>
      </c>
      <c r="J7" s="19" t="inlineStr">
        <is>
          <t>To check</t>
        </is>
      </c>
      <c r="K7" s="19" t="inlineStr"/>
    </row>
    <row r="8">
      <c r="A8" s="9" t="inlineStr">
        <is>
          <t>Thailand</t>
        </is>
      </c>
      <c r="B8" s="9" t="inlineStr">
        <is>
          <t>Bangkok/Pattaya temples, Cambodia gateway</t>
        </is>
      </c>
      <c r="C8" s="9" t="inlineStr">
        <is>
          <t>Visa-exempt tourism. REPORTED cut from 60 to 30 days from 15 Sep 2026; TDAC arrival card within 3 days before arrival</t>
        </is>
      </c>
      <c r="D8" s="9" t="inlineStr">
        <is>
          <t>30 days (+30 ext. discretionary)</t>
        </is>
      </c>
      <c r="E8" s="9" t="inlineStr">
        <is>
          <t>Free / TDAC online</t>
        </is>
      </c>
      <c r="F8" s="9" t="inlineStr">
        <is>
          <t>n/a</t>
        </is>
      </c>
      <c r="G8" s="9" t="inlineStr">
        <is>
          <t>Done before x3</t>
        </is>
      </c>
      <c r="H8" s="9" t="inlineStr">
        <is>
          <t>Researched</t>
        </is>
      </c>
      <c r="I8" s="9" t="inlineStr">
        <is>
          <t>Khaleej Times, VisaVerge Sep 2026</t>
        </is>
      </c>
      <c r="J8" s="19" t="inlineStr">
        <is>
          <t>To check</t>
        </is>
      </c>
      <c r="K8" s="19" t="inlineStr"/>
    </row>
    <row r="9">
      <c r="A9" s="9" t="inlineStr">
        <is>
          <t>Cambodia</t>
        </is>
      </c>
      <c r="B9" s="9" t="inlineStr">
        <is>
          <t>Angkor Wat</t>
        </is>
      </c>
      <c r="C9" s="9" t="inlineStr">
        <is>
          <t>e-Visa (about US$30, ~30 days) - from background knowledge</t>
        </is>
      </c>
      <c r="D9" s="9" t="inlineStr">
        <is>
          <t>~30 days</t>
        </is>
      </c>
      <c r="E9" s="9" t="inlineStr">
        <is>
          <t>~US$30 / 3-4 days</t>
        </is>
      </c>
      <c r="F9" s="9" t="inlineStr">
        <is>
          <t>n/a</t>
        </is>
      </c>
      <c r="G9" s="9" t="inlineStr">
        <is>
          <t>Done before x2</t>
        </is>
      </c>
      <c r="H9" s="11" t="inlineStr">
        <is>
          <t>Confirm</t>
        </is>
      </c>
      <c r="I9" s="9" t="inlineStr">
        <is>
          <t>previous stamps p.10/p.20</t>
        </is>
      </c>
      <c r="J9" s="19" t="inlineStr">
        <is>
          <t>To check</t>
        </is>
      </c>
      <c r="K9" s="19" t="inlineStr"/>
    </row>
    <row r="10">
      <c r="A10" s="9" t="inlineStr">
        <is>
          <t>Malaysia</t>
        </is>
      </c>
      <c r="B10" s="9" t="inlineStr">
        <is>
          <t>Batu Caves, KL temples</t>
        </is>
      </c>
      <c r="C10" s="9" t="inlineStr">
        <is>
          <t>Visa-free 30 days until 31 Dec 2026 (no extension seen) -&gt; plan visa fallback for 2027</t>
        </is>
      </c>
      <c r="D10" s="9" t="inlineStr">
        <is>
          <t>30 days</t>
        </is>
      </c>
      <c r="E10" s="9" t="inlineStr">
        <is>
          <t>Free</t>
        </is>
      </c>
      <c r="F10" s="9" t="inlineStr">
        <is>
          <t>n/a</t>
        </is>
      </c>
      <c r="G10" s="9" t="inlineStr">
        <is>
          <t>Medium</t>
        </is>
      </c>
      <c r="H10" s="9" t="inlineStr">
        <is>
          <t>Researched</t>
        </is>
      </c>
      <c r="I10" s="9" t="inlineStr">
        <is>
          <t>theweek.in Dec 2024</t>
        </is>
      </c>
      <c r="J10" s="19" t="inlineStr">
        <is>
          <t>To check</t>
        </is>
      </c>
      <c r="K10" s="19" t="inlineStr"/>
    </row>
    <row r="11">
      <c r="A11" s="9" t="inlineStr">
        <is>
          <t>Vietnam</t>
        </is>
      </c>
      <c r="B11" s="9" t="inlineStr">
        <is>
          <t>Cham temples, Angkor-route extension</t>
        </is>
      </c>
      <c r="C11" s="9" t="inlineStr">
        <is>
          <t>e-Visa valid 90 days; US$25 single / US$50 multiple; apply only at evisa.gov.vn</t>
        </is>
      </c>
      <c r="D11" s="9" t="inlineStr">
        <is>
          <t>Up to 90 days</t>
        </is>
      </c>
      <c r="E11" s="9" t="inlineStr">
        <is>
          <t>US$25-50 / ~3-5 days</t>
        </is>
      </c>
      <c r="F11" s="9" t="inlineStr">
        <is>
          <t>n/a</t>
        </is>
      </c>
      <c r="G11" s="9" t="inlineStr">
        <is>
          <t>Medium</t>
        </is>
      </c>
      <c r="H11" s="9" t="inlineStr">
        <is>
          <t>Researched</t>
        </is>
      </c>
      <c r="I11" s="9" t="inlineStr">
        <is>
          <t>wego 2026</t>
        </is>
      </c>
      <c r="J11" s="19" t="inlineStr">
        <is>
          <t>To check</t>
        </is>
      </c>
      <c r="K11" s="19" t="inlineStr"/>
    </row>
    <row r="12">
      <c r="A12" s="9" t="inlineStr">
        <is>
          <t>Indonesia (Bali, Java)</t>
        </is>
      </c>
      <c r="B12" s="9" t="inlineStr">
        <is>
          <t>Hindu temples, Prambanan</t>
        </is>
      </c>
      <c r="C12" s="9" t="inlineStr">
        <is>
          <t>e-VOA IDR 500,000, 30 days (+1 ext.). Bali levy IDR 150,000 + digital arrival card. Confirm India on eligible list</t>
        </is>
      </c>
      <c r="D12" s="9" t="inlineStr">
        <is>
          <t>30 days (+30)</t>
        </is>
      </c>
      <c r="E12" s="9" t="inlineStr">
        <is>
          <t>~IDR 650k</t>
        </is>
      </c>
      <c r="F12" s="9" t="inlineStr">
        <is>
          <t>n/a</t>
        </is>
      </c>
      <c r="G12" s="9" t="inlineStr">
        <is>
          <t>Planned Feb 2026</t>
        </is>
      </c>
      <c r="H12" s="11" t="inlineStr">
        <is>
          <t>Confirm</t>
        </is>
      </c>
      <c r="I12" s="9" t="inlineStr">
        <is>
          <t>wego 2026</t>
        </is>
      </c>
      <c r="J12" s="19" t="inlineStr">
        <is>
          <t>To check</t>
        </is>
      </c>
      <c r="K12" s="19" t="inlineStr"/>
    </row>
    <row r="13">
      <c r="A13" s="9" t="inlineStr">
        <is>
          <t>Philippines</t>
        </is>
      </c>
      <c r="B13" s="9" t="inlineStr">
        <is>
          <t>Limited</t>
        </is>
      </c>
      <c r="C13" s="9" t="inlineStr">
        <is>
          <t>Visa-free 14 days (hotel, funds, onward ticket). Holders of valid US/Japan/AU/CA/Schengen/SG/UK visa get 30 days</t>
        </is>
      </c>
      <c r="D13" s="9" t="inlineStr">
        <is>
          <t>14 days / 30 days with US or AU visa</t>
        </is>
      </c>
      <c r="E13" s="9" t="inlineStr">
        <is>
          <t>Free</t>
        </is>
      </c>
      <c r="F13" s="9" t="inlineStr">
        <is>
          <t>YES - your US visa or Australia visa</t>
        </is>
      </c>
      <c r="G13" s="9" t="inlineStr">
        <is>
          <t>Low</t>
        </is>
      </c>
      <c r="H13" s="9" t="inlineStr">
        <is>
          <t>Researched</t>
        </is>
      </c>
      <c r="I13" s="9" t="inlineStr">
        <is>
          <t>Philippine Consulate advisory 07-2025</t>
        </is>
      </c>
      <c r="J13" s="19" t="inlineStr">
        <is>
          <t>To check</t>
        </is>
      </c>
      <c r="K13" s="19" t="inlineStr"/>
    </row>
    <row r="14">
      <c r="A14" s="9" t="inlineStr">
        <is>
          <t>Japan</t>
        </is>
      </c>
      <c r="B14" s="9" t="inlineStr">
        <is>
          <t>Buddhist/ISKCON centres</t>
        </is>
      </c>
      <c r="C14" s="9" t="inlineStr">
        <is>
          <t>Visa required: e-Visa/VFS route, fee Rs 500 + service charges (reported)</t>
        </is>
      </c>
      <c r="D14" s="9" t="inlineStr">
        <is>
          <t>Typically 15-90 days</t>
        </is>
      </c>
      <c r="E14" s="9" t="inlineStr">
        <is>
          <t>Rs 500 + VFS / 5-10 days</t>
        </is>
      </c>
      <c r="F14" s="9" t="inlineStr">
        <is>
          <t>n/a</t>
        </is>
      </c>
      <c r="G14" s="9" t="inlineStr">
        <is>
          <t>Medium</t>
        </is>
      </c>
      <c r="H14" s="9" t="inlineStr">
        <is>
          <t>Researched</t>
        </is>
      </c>
      <c r="I14" s="9" t="inlineStr">
        <is>
          <t>businesstoday Jul 2026</t>
        </is>
      </c>
      <c r="J14" s="19" t="inlineStr">
        <is>
          <t>To check</t>
        </is>
      </c>
      <c r="K14" s="19" t="inlineStr"/>
    </row>
    <row r="15">
      <c r="A15" s="9" t="inlineStr">
        <is>
          <t>China (incl. Tibet / Kailash)</t>
        </is>
      </c>
      <c r="B15" s="9" t="inlineStr">
        <is>
          <t>Kailash Mansarovar</t>
        </is>
      </c>
      <c r="C15" s="9" t="inlineStr">
        <is>
          <t>Chinese visa (tourist: 4 working days; group visa via operator ~6 working days) + Tibet Travel Permit + ATP via Nepal; or MEA KMY lottery (kmy.gov.in, June-Aug, 1,000 pilgrims)</t>
        </is>
      </c>
      <c r="D15" s="9" t="inlineStr">
        <is>
          <t>Per permit</t>
        </is>
      </c>
      <c r="E15" s="9" t="inlineStr">
        <is>
          <t>MEA route ~Rs 2.1-3.3 lakh</t>
        </is>
      </c>
      <c r="F15" s="9" t="inlineStr">
        <is>
          <t>n/a</t>
        </is>
      </c>
      <c r="G15" s="9" t="inlineStr">
        <is>
          <t>HIGH (Kailash)</t>
        </is>
      </c>
      <c r="H15" s="9" t="inlineStr">
        <is>
          <t>Researched</t>
        </is>
      </c>
      <c r="I15" s="9" t="inlineStr">
        <is>
          <t>Tribune, businesstoday 2026</t>
        </is>
      </c>
      <c r="J15" s="19" t="inlineStr">
        <is>
          <t>To check</t>
        </is>
      </c>
      <c r="K15" s="19" t="inlineStr"/>
    </row>
    <row r="16">
      <c r="A16" s="9" t="inlineStr">
        <is>
          <t>Hong Kong</t>
        </is>
      </c>
      <c r="B16" s="9" t="inlineStr">
        <is>
          <t>Transit hub</t>
        </is>
      </c>
      <c r="C16" s="9" t="inlineStr">
        <is>
          <t>Pre-Arrival Registration (PAR) online, up to 14 days; valid 6 months</t>
        </is>
      </c>
      <c r="D16" s="9" t="inlineStr">
        <is>
          <t>14 days</t>
        </is>
      </c>
      <c r="E16" s="9" t="inlineStr">
        <is>
          <t>Free / minutes</t>
        </is>
      </c>
      <c r="F16" s="9" t="inlineStr">
        <is>
          <t>n/a</t>
        </is>
      </c>
      <c r="G16" s="9" t="inlineStr">
        <is>
          <t>Low</t>
        </is>
      </c>
      <c r="H16" s="9" t="inlineStr">
        <is>
          <t>Researched</t>
        </is>
      </c>
      <c r="I16" s="9" t="inlineStr">
        <is>
          <t>HK Immigration ID1023</t>
        </is>
      </c>
      <c r="J16" s="19" t="inlineStr">
        <is>
          <t>To check</t>
        </is>
      </c>
      <c r="K16" s="19" t="inlineStr"/>
    </row>
    <row r="17">
      <c r="A17" s="9" t="inlineStr">
        <is>
          <t>Russia</t>
        </is>
      </c>
      <c r="B17" s="9" t="inlineStr">
        <is>
          <t>ISKCON Moscow</t>
        </is>
      </c>
      <c r="C17" s="9" t="inlineStr">
        <is>
          <t>e-Visa (up to 16 days). Visa-free group scheme still only under negotiation</t>
        </is>
      </c>
      <c r="D17" s="9" t="inlineStr">
        <is>
          <t>16 days</t>
        </is>
      </c>
      <c r="E17" s="9" t="inlineStr">
        <is>
          <t>e-Visa fee / ~4 days</t>
        </is>
      </c>
      <c r="F17" s="9" t="inlineStr">
        <is>
          <t>n/a</t>
        </is>
      </c>
      <c r="G17" s="9" t="inlineStr">
        <is>
          <t>Medium</t>
        </is>
      </c>
      <c r="H17" s="9" t="inlineStr">
        <is>
          <t>Researched</t>
        </is>
      </c>
      <c r="I17" s="9" t="inlineStr">
        <is>
          <t>happyfares Jul 2026</t>
        </is>
      </c>
      <c r="J17" s="19" t="inlineStr">
        <is>
          <t>To check</t>
        </is>
      </c>
      <c r="K17" s="19" t="inlineStr"/>
    </row>
    <row r="18">
      <c r="A18" s="9" t="inlineStr">
        <is>
          <t>Kazakhstan</t>
        </is>
      </c>
      <c r="B18" s="9" t="inlineStr">
        <is>
          <t>Almaty</t>
        </is>
      </c>
      <c r="C18" s="9" t="inlineStr">
        <is>
          <t>Visa-free 14 days reported (conflicting 30-90 elsewhere)</t>
        </is>
      </c>
      <c r="D18" s="9" t="inlineStr">
        <is>
          <t>14 days</t>
        </is>
      </c>
      <c r="E18" s="9" t="inlineStr">
        <is>
          <t>Free</t>
        </is>
      </c>
      <c r="F18" s="9" t="inlineStr">
        <is>
          <t>n/a</t>
        </is>
      </c>
      <c r="G18" s="9" t="inlineStr">
        <is>
          <t>Low</t>
        </is>
      </c>
      <c r="H18" s="9" t="inlineStr">
        <is>
          <t>Researched</t>
        </is>
      </c>
      <c r="I18" s="9" t="inlineStr">
        <is>
          <t>Gulf News 2026</t>
        </is>
      </c>
      <c r="J18" s="19" t="inlineStr">
        <is>
          <t>To check</t>
        </is>
      </c>
      <c r="K18" s="19" t="inlineStr"/>
    </row>
    <row r="19">
      <c r="A19" s="9" t="inlineStr">
        <is>
          <t>Uzbekistan</t>
        </is>
      </c>
      <c r="B19" s="9" t="inlineStr">
        <is>
          <t>Silk Road</t>
        </is>
      </c>
      <c r="C19" s="9" t="inlineStr">
        <is>
          <t>30-day visa-free announced Aug 2026, effective date not announced -&gt; e-Visa until then</t>
        </is>
      </c>
      <c r="D19" s="9" t="inlineStr">
        <is>
          <t>30 days</t>
        </is>
      </c>
      <c r="E19" s="9" t="inlineStr">
        <is>
          <t>e-Visa until start</t>
        </is>
      </c>
      <c r="F19" s="9" t="inlineStr">
        <is>
          <t>n/a</t>
        </is>
      </c>
      <c r="G19" s="9" t="inlineStr">
        <is>
          <t>Low</t>
        </is>
      </c>
      <c r="H19" s="9" t="inlineStr">
        <is>
          <t>Researched</t>
        </is>
      </c>
      <c r="I19" s="9" t="inlineStr">
        <is>
          <t>careinsurance 2026</t>
        </is>
      </c>
      <c r="J19" s="19" t="inlineStr">
        <is>
          <t>To check</t>
        </is>
      </c>
      <c r="K19" s="19" t="inlineStr"/>
    </row>
    <row r="20">
      <c r="A20" s="9" t="inlineStr">
        <is>
          <t>Iran</t>
        </is>
      </c>
      <c r="B20" s="9" t="inlineStr">
        <is>
          <t>Qom/Mashhad (not typical)</t>
        </is>
      </c>
      <c r="C20" s="9" t="inlineStr">
        <is>
          <t>Visa-waiver for Indians SUSPENDED from 22 Nov 2025 - visa needed even for transit</t>
        </is>
      </c>
      <c r="D20" s="9" t="inlineStr">
        <is>
          <t>-</t>
        </is>
      </c>
      <c r="E20" s="9" t="inlineStr">
        <is>
          <t>Visa</t>
        </is>
      </c>
      <c r="F20" s="9" t="inlineStr">
        <is>
          <t>n/a</t>
        </is>
      </c>
      <c r="G20" s="9" t="inlineStr">
        <is>
          <t>Avoid</t>
        </is>
      </c>
      <c r="H20" s="9" t="inlineStr">
        <is>
          <t>Researched</t>
        </is>
      </c>
      <c r="I20" s="9" t="inlineStr">
        <is>
          <t>Tribune, businesstoday Nov 2025</t>
        </is>
      </c>
      <c r="J20" s="19" t="inlineStr">
        <is>
          <t>To check</t>
        </is>
      </c>
      <c r="K20" s="19" t="inlineStr"/>
    </row>
    <row r="21">
      <c r="A21" s="9" t="inlineStr">
        <is>
          <t>Kenya</t>
        </is>
      </c>
      <c r="B21" s="9" t="inlineStr">
        <is>
          <t>ISKCON Nairobi</t>
        </is>
      </c>
      <c r="C21" s="9" t="inlineStr">
        <is>
          <t>eTA mandatory, no VoA; use etakenya.go.ke only (fee quotes conflict US$30-100)</t>
        </is>
      </c>
      <c r="D21" s="9" t="inlineStr">
        <is>
          <t>Per eTA</t>
        </is>
      </c>
      <c r="E21" s="9" t="inlineStr">
        <is>
          <t>US$30-100 / 3 days</t>
        </is>
      </c>
      <c r="F21" s="9" t="inlineStr">
        <is>
          <t>n/a</t>
        </is>
      </c>
      <c r="G21" s="9" t="inlineStr">
        <is>
          <t>Low</t>
        </is>
      </c>
      <c r="H21" s="9" t="inlineStr">
        <is>
          <t>Researched</t>
        </is>
      </c>
      <c r="I21" s="9" t="inlineStr">
        <is>
          <t>safarifind 2026</t>
        </is>
      </c>
      <c r="J21" s="19" t="inlineStr">
        <is>
          <t>To check</t>
        </is>
      </c>
      <c r="K21" s="19" t="inlineStr"/>
    </row>
    <row r="22">
      <c r="A22" s="9" t="inlineStr">
        <is>
          <t>Mauritius</t>
        </is>
      </c>
      <c r="B22" s="9" t="inlineStr">
        <is>
          <t>ISKCON Mauritius, Ganga Talao</t>
        </is>
      </c>
      <c r="C22" s="9" t="inlineStr">
        <is>
          <t>Visa-free 90 days (list source)</t>
        </is>
      </c>
      <c r="D22" s="9" t="inlineStr">
        <is>
          <t>90 days</t>
        </is>
      </c>
      <c r="E22" s="9" t="inlineStr">
        <is>
          <t>Free</t>
        </is>
      </c>
      <c r="F22" s="9" t="inlineStr">
        <is>
          <t>n/a</t>
        </is>
      </c>
      <c r="G22" s="9" t="inlineStr">
        <is>
          <t>Medium</t>
        </is>
      </c>
      <c r="H22" s="11" t="inlineStr">
        <is>
          <t>Confirm</t>
        </is>
      </c>
      <c r="I22" s="9" t="inlineStr">
        <is>
          <t>matrix.in 2026</t>
        </is>
      </c>
      <c r="J22" s="19" t="inlineStr">
        <is>
          <t>To check</t>
        </is>
      </c>
      <c r="K22" s="19" t="inlineStr"/>
    </row>
    <row r="23">
      <c r="A23" s="9" t="inlineStr">
        <is>
          <t>Fiji</t>
        </is>
      </c>
      <c r="B23" s="9" t="inlineStr">
        <is>
          <t>ISKCON Fiji</t>
        </is>
      </c>
      <c r="C23" s="9" t="inlineStr">
        <is>
          <t>Visa-free 120 days (list source)</t>
        </is>
      </c>
      <c r="D23" s="9" t="inlineStr">
        <is>
          <t>120 days</t>
        </is>
      </c>
      <c r="E23" s="9" t="inlineStr">
        <is>
          <t>Free</t>
        </is>
      </c>
      <c r="F23" s="9" t="inlineStr">
        <is>
          <t>n/a</t>
        </is>
      </c>
      <c r="G23" s="9" t="inlineStr">
        <is>
          <t>Low</t>
        </is>
      </c>
      <c r="H23" s="11" t="inlineStr">
        <is>
          <t>Confirm</t>
        </is>
      </c>
      <c r="I23" s="9" t="inlineStr">
        <is>
          <t>matrix.in 2026</t>
        </is>
      </c>
      <c r="J23" s="19" t="inlineStr">
        <is>
          <t>To check</t>
        </is>
      </c>
      <c r="K23" s="19" t="inlineStr"/>
    </row>
    <row r="24">
      <c r="A24" s="9" t="inlineStr">
        <is>
          <t>Trinidad &amp; Tobago</t>
        </is>
      </c>
      <c r="B24" s="9" t="inlineStr">
        <is>
          <t>Hindu diaspora</t>
        </is>
      </c>
      <c r="C24" s="9" t="inlineStr">
        <is>
          <t>Visa-free 90 days, 6 months passport validity, onward ticket</t>
        </is>
      </c>
      <c r="D24" s="9" t="inlineStr">
        <is>
          <t>90 days</t>
        </is>
      </c>
      <c r="E24" s="9" t="inlineStr">
        <is>
          <t>Free</t>
        </is>
      </c>
      <c r="F24" s="9" t="inlineStr">
        <is>
          <t>n/a</t>
        </is>
      </c>
      <c r="G24" s="9" t="inlineStr">
        <is>
          <t>Low</t>
        </is>
      </c>
      <c r="H24" s="9" t="inlineStr">
        <is>
          <t>Researched</t>
        </is>
      </c>
      <c r="I24" s="9" t="inlineStr">
        <is>
          <t>evisas.io 2026</t>
        </is>
      </c>
      <c r="J24" s="19" t="inlineStr">
        <is>
          <t>To check</t>
        </is>
      </c>
      <c r="K24" s="19" t="inlineStr"/>
    </row>
    <row r="25">
      <c r="A25" s="9" t="inlineStr">
        <is>
          <t>Suriname / Guyana</t>
        </is>
      </c>
      <c r="B25" s="9" t="inlineStr">
        <is>
          <t>Diaspora</t>
        </is>
      </c>
      <c r="C25" s="9" t="inlineStr">
        <is>
          <t>Suriname 30 days visa-free reported (single site); Guyana not found</t>
        </is>
      </c>
      <c r="D25" s="9" t="inlineStr">
        <is>
          <t>30 days</t>
        </is>
      </c>
      <c r="E25" s="9" t="inlineStr">
        <is>
          <t>Free</t>
        </is>
      </c>
      <c r="F25" s="9" t="inlineStr">
        <is>
          <t>n/a</t>
        </is>
      </c>
      <c r="G25" s="9" t="inlineStr">
        <is>
          <t>Low</t>
        </is>
      </c>
      <c r="H25" s="11" t="inlineStr">
        <is>
          <t>Confirm</t>
        </is>
      </c>
      <c r="I25" s="9" t="inlineStr">
        <is>
          <t>visago.dev</t>
        </is>
      </c>
      <c r="J25" s="19" t="inlineStr">
        <is>
          <t>To check</t>
        </is>
      </c>
      <c r="K25" s="19" t="inlineStr"/>
    </row>
    <row r="26">
      <c r="A26" s="9" t="inlineStr">
        <is>
          <t>Pakistan (Katas Raj)</t>
        </is>
      </c>
      <c r="B26" s="9" t="inlineStr">
        <is>
          <t>Shiva temple pilgrimage</t>
        </is>
      </c>
      <c r="C26" s="9" t="inlineStr">
        <is>
          <t>Only via 1974 Protocol group visas from Pak High Commission, New Delhi; Lahore/Chakwal only; no 2026 notice found</t>
        </is>
      </c>
      <c r="D26" s="9" t="inlineStr">
        <is>
          <t>Per visa</t>
        </is>
      </c>
      <c r="E26" s="9" t="inlineStr">
        <is>
          <t>Group visa</t>
        </is>
      </c>
      <c r="F26" s="9" t="inlineStr">
        <is>
          <t>n/a</t>
        </is>
      </c>
      <c r="G26" s="9" t="inlineStr">
        <is>
          <t>Occasional</t>
        </is>
      </c>
      <c r="H26" s="9" t="inlineStr">
        <is>
          <t>Researched</t>
        </is>
      </c>
      <c r="I26" s="9" t="inlineStr">
        <is>
          <t>businesstoday Feb 2025</t>
        </is>
      </c>
      <c r="J26" s="19" t="inlineStr">
        <is>
          <t>To check</t>
        </is>
      </c>
      <c r="K26" s="19" t="inlineStr"/>
    </row>
    <row r="27">
      <c r="A27" s="9" t="inlineStr">
        <is>
          <t>Bangladesh</t>
        </is>
      </c>
      <c r="B27" s="9" t="inlineStr">
        <is>
          <t>Dhaka, Dhakeshwari</t>
        </is>
      </c>
      <c r="C27" s="9" t="inlineStr">
        <is>
          <t>Visa required (unverified)</t>
        </is>
      </c>
      <c r="D27" s="9" t="inlineStr">
        <is>
          <t>-</t>
        </is>
      </c>
      <c r="E27" s="9" t="inlineStr">
        <is>
          <t>-</t>
        </is>
      </c>
      <c r="F27" s="9" t="inlineStr">
        <is>
          <t>n/a</t>
        </is>
      </c>
      <c r="G27" s="9" t="inlineStr">
        <is>
          <t>Medium</t>
        </is>
      </c>
      <c r="H27" s="11" t="inlineStr">
        <is>
          <t>Confirm</t>
        </is>
      </c>
      <c r="I27" s="9" t="inlineStr">
        <is>
          <t>not researched</t>
        </is>
      </c>
      <c r="J27" s="19" t="inlineStr">
        <is>
          <t>To check</t>
        </is>
      </c>
      <c r="K27" s="19" t="inlineStr"/>
    </row>
    <row r="28">
      <c r="A28" s="9" t="inlineStr">
        <is>
          <t>Maldives</t>
        </is>
      </c>
      <c r="B28" s="9" t="inlineStr">
        <is>
          <t>-</t>
        </is>
      </c>
      <c r="C28" s="9" t="inlineStr">
        <is>
          <t>Free visa on arrival, usually 30 days (unverified)</t>
        </is>
      </c>
      <c r="D28" s="9" t="inlineStr">
        <is>
          <t>30 days</t>
        </is>
      </c>
      <c r="E28" s="9" t="inlineStr">
        <is>
          <t>Free</t>
        </is>
      </c>
      <c r="F28" s="9" t="inlineStr">
        <is>
          <t>n/a</t>
        </is>
      </c>
      <c r="G28" s="9" t="inlineStr">
        <is>
          <t>Low</t>
        </is>
      </c>
      <c r="H28" s="11" t="inlineStr">
        <is>
          <t>Confirm</t>
        </is>
      </c>
      <c r="I28" s="9" t="inlineStr">
        <is>
          <t>not researched</t>
        </is>
      </c>
      <c r="J28" s="19" t="inlineStr">
        <is>
          <t>To check</t>
        </is>
      </c>
      <c r="K28" s="19" t="inlineStr"/>
    </row>
    <row r="29">
      <c r="A29" s="9" t="inlineStr">
        <is>
          <t>Singapore / South Korea / Macau</t>
        </is>
      </c>
      <c r="B29" s="9" t="inlineStr">
        <is>
          <t>-</t>
        </is>
      </c>
      <c r="C29" s="9" t="inlineStr">
        <is>
          <t>Visa required for Indian PP (background knowledge). Singapore: 96-hr transit visa-free if onward ticket + valid US/AU visa (see Access Map)</t>
        </is>
      </c>
      <c r="D29" s="9" t="inlineStr">
        <is>
          <t>-</t>
        </is>
      </c>
      <c r="E29" s="9" t="inlineStr">
        <is>
          <t>-</t>
        </is>
      </c>
      <c r="F29" s="9" t="inlineStr">
        <is>
          <t>YES (transit)</t>
        </is>
      </c>
      <c r="G29" s="9" t="inlineStr">
        <is>
          <t>Low</t>
        </is>
      </c>
      <c r="H29" s="11" t="inlineStr">
        <is>
          <t>Confirm</t>
        </is>
      </c>
      <c r="I29" s="9" t="inlineStr">
        <is>
          <t>not researched</t>
        </is>
      </c>
      <c r="J29" s="19" t="inlineStr">
        <is>
          <t>To check</t>
        </is>
      </c>
      <c r="K29" s="19" t="inlineStr"/>
    </row>
    <row r="30">
      <c r="A30" s="9" t="inlineStr">
        <is>
          <t>UAE</t>
        </is>
      </c>
      <c r="B30" s="9" t="inlineStr">
        <is>
          <t>Dubai (ISKCON), transit hub</t>
        </is>
      </c>
      <c r="C30" s="9" t="inlineStr">
        <is>
          <t>Indians WITH valid US visa / Schengen / UK visa etc. may get visa on arrival 14 days; otherwise e-visa. Last used Aug 2024</t>
        </is>
      </c>
      <c r="D30" s="9" t="inlineStr">
        <is>
          <t>14 days VoA</t>
        </is>
      </c>
      <c r="E30" s="9" t="inlineStr">
        <is>
          <t>~Rs 7-9k e-visa</t>
        </is>
      </c>
      <c r="F30" s="9" t="inlineStr">
        <is>
          <t>YES - US visa (VoA)</t>
        </is>
      </c>
      <c r="G30" s="9" t="inlineStr">
        <is>
          <t>Medium</t>
        </is>
      </c>
      <c r="H30" s="11" t="inlineStr">
        <is>
          <t>Confirm</t>
        </is>
      </c>
      <c r="I30" s="9" t="inlineStr">
        <is>
          <t>Passport stamp 01 Aug 2024</t>
        </is>
      </c>
      <c r="J30" s="19" t="inlineStr">
        <is>
          <t>To check</t>
        </is>
      </c>
      <c r="K30" s="19" t="inlineStr"/>
    </row>
    <row r="31">
      <c r="A31" s="9" t="inlineStr">
        <is>
          <t>UK</t>
        </is>
      </c>
      <c r="B31" s="9" t="inlineStr">
        <is>
          <t>ISKCON Bhaktivedanta Manor</t>
        </is>
      </c>
      <c r="C31" s="9" t="inlineStr">
        <is>
          <t>Standard Visitor visa required (ETA not applicable to Indians). EXPIRED 29 Dec 2024 - renew before next UK yatra</t>
        </is>
      </c>
      <c r="D31" s="9" t="inlineStr">
        <is>
          <t>6 months</t>
        </is>
      </c>
      <c r="E31" s="9" t="inlineStr">
        <is>
          <t>GBP 127 (6-mo) / 3 wks</t>
        </is>
      </c>
      <c r="F31" s="9" t="inlineStr">
        <is>
          <t>n/a</t>
        </is>
      </c>
      <c r="G31" s="9" t="inlineStr">
        <is>
          <t>HIGH - expired</t>
        </is>
      </c>
      <c r="H31" s="11" t="inlineStr">
        <is>
          <t>Confirm</t>
        </is>
      </c>
      <c r="I31" s="9" t="inlineStr">
        <is>
          <t>Passport p.23</t>
        </is>
      </c>
      <c r="J31" s="19" t="inlineStr">
        <is>
          <t>Expired</t>
        </is>
      </c>
      <c r="K31" s="19" t="inlineStr"/>
    </row>
    <row r="32">
      <c r="A32" s="9" t="inlineStr">
        <is>
          <t>Schengen (Europe)</t>
        </is>
      </c>
      <c r="B32" s="9" t="inlineStr">
        <is>
          <t>ISKCON Europe, Radhadesh, Paris</t>
        </is>
      </c>
      <c r="C32" s="9" t="inlineStr">
        <is>
          <t>C-visa via France/VFS. Both visas EXPIRED (last 19 Apr 2026). EU cascade rule: after 2 lawful Schengen visas in 3 yrs -&gt; 2-yr multiple-entry visa, later 5-yr</t>
        </is>
      </c>
      <c r="D32" s="9" t="inlineStr">
        <is>
          <t>90/180 days</t>
        </is>
      </c>
      <c r="E32" s="9" t="inlineStr">
        <is>
          <t>EUR 90 / 15 days+</t>
        </is>
      </c>
      <c r="F32" s="9" t="inlineStr">
        <is>
          <t>n/a</t>
        </is>
      </c>
      <c r="G32" s="9" t="inlineStr">
        <is>
          <t>HIGH - expired</t>
        </is>
      </c>
      <c r="H32" s="9" t="inlineStr">
        <is>
          <t>Researched</t>
        </is>
      </c>
      <c r="I32" s="9" t="inlineStr">
        <is>
          <t>EEAS 18 Apr 2024; C(2024)2434</t>
        </is>
      </c>
      <c r="J32" s="19" t="inlineStr">
        <is>
          <t>Expired</t>
        </is>
      </c>
      <c r="K32" s="19" t="inlineStr"/>
    </row>
    <row r="33">
      <c r="A33" s="9" t="inlineStr">
        <is>
          <t>USA</t>
        </is>
      </c>
      <c r="B33" s="9" t="inlineStr">
        <is>
          <t>ISKCON US temples</t>
        </is>
      </c>
      <c r="C33" s="9" t="inlineStr">
        <is>
          <t>B1/B2 held until 26 Dec 2034 (use passport in which it is stamped)</t>
        </is>
      </c>
      <c r="D33" s="9" t="inlineStr">
        <is>
          <t>Per CBP (up to 6 mo)</t>
        </is>
      </c>
      <c r="E33" s="9" t="inlineStr">
        <is>
          <t>-</t>
        </is>
      </c>
      <c r="F33" s="9" t="inlineStr">
        <is>
          <t>HELD</t>
        </is>
      </c>
      <c r="G33" s="9" t="inlineStr">
        <is>
          <t>Valid</t>
        </is>
      </c>
      <c r="H33" s="9" t="inlineStr">
        <is>
          <t>Researched</t>
        </is>
      </c>
      <c r="I33" s="9" t="inlineStr">
        <is>
          <t>Passport p.26</t>
        </is>
      </c>
      <c r="J33" s="19" t="inlineStr">
        <is>
          <t>Have</t>
        </is>
      </c>
      <c r="K33" s="19" t="inlineStr"/>
    </row>
    <row r="34">
      <c r="A34" s="9" t="inlineStr">
        <is>
          <t>Australia</t>
        </is>
      </c>
      <c r="B34" s="9" t="inlineStr">
        <is>
          <t>Melbourne/Sydney temples</t>
        </is>
      </c>
      <c r="C34" s="9" t="inlineStr">
        <is>
          <t>Subclass 600 held to 13 Nov 2030. BUT 'Business Visitor' stream allows business enquiries/conferences only - pilgrimage/tourism normally needs the TOURIST stream. Confirm with Home Affairs before the Feb yatra</t>
        </is>
      </c>
      <c r="D34" s="9" t="inlineStr">
        <is>
          <t>3 months per arrival</t>
        </is>
      </c>
      <c r="E34" s="9" t="inlineStr">
        <is>
          <t>-</t>
        </is>
      </c>
      <c r="F34" s="9" t="inlineStr">
        <is>
          <t>HELD</t>
        </is>
      </c>
      <c r="G34" s="9" t="inlineStr">
        <is>
          <t>Valid (check stream)</t>
        </is>
      </c>
      <c r="H34" s="9" t="inlineStr">
        <is>
          <t>Researched</t>
        </is>
      </c>
      <c r="I34" s="9" t="inlineStr">
        <is>
          <t>VEVO 13 Nov 2025; BDO</t>
        </is>
      </c>
      <c r="J34" s="19" t="inlineStr">
        <is>
          <t>Have</t>
        </is>
      </c>
      <c r="K34" s="19" t="inlineStr"/>
    </row>
    <row r="35">
      <c r="A35" s="9" t="inlineStr">
        <is>
          <t>Canada</t>
        </is>
      </c>
      <c r="B35" s="9" t="inlineStr">
        <is>
          <t>ISKCON Toronto</t>
        </is>
      </c>
      <c r="C35" s="9" t="inlineStr">
        <is>
          <t>TRV required for Indian PP (unverified)</t>
        </is>
      </c>
      <c r="D35" s="9" t="inlineStr">
        <is>
          <t>6 months</t>
        </is>
      </c>
      <c r="E35" s="9" t="inlineStr">
        <is>
          <t>CAD 100 / weeks</t>
        </is>
      </c>
      <c r="F35" s="9" t="inlineStr">
        <is>
          <t>n/a</t>
        </is>
      </c>
      <c r="G35" s="9" t="inlineStr">
        <is>
          <t>Medium</t>
        </is>
      </c>
      <c r="H35" s="11" t="inlineStr">
        <is>
          <t>Confirm</t>
        </is>
      </c>
      <c r="I35" s="9" t="inlineStr">
        <is>
          <t>not researched</t>
        </is>
      </c>
      <c r="J35" s="19" t="inlineStr">
        <is>
          <t>To check</t>
        </is>
      </c>
      <c r="K35" s="19" t="inlineStr"/>
    </row>
    <row r="36">
      <c r="A36" s="9" t="inlineStr">
        <is>
          <t>New Zealand</t>
        </is>
      </c>
      <c r="B36" s="9" t="inlineStr">
        <is>
          <t>ISKCON Auckland</t>
        </is>
      </c>
      <c r="C36" s="9" t="inlineStr">
        <is>
          <t>Visitor visa required (NZeTA not valid for Indians) (unverified)</t>
        </is>
      </c>
      <c r="D36" s="9" t="inlineStr">
        <is>
          <t>-</t>
        </is>
      </c>
      <c r="E36" s="9" t="inlineStr">
        <is>
          <t>-</t>
        </is>
      </c>
      <c r="F36" s="9" t="inlineStr">
        <is>
          <t>n/a</t>
        </is>
      </c>
      <c r="G36" s="9" t="inlineStr">
        <is>
          <t>Low</t>
        </is>
      </c>
      <c r="H36" s="11" t="inlineStr">
        <is>
          <t>Confirm</t>
        </is>
      </c>
      <c r="I36" s="9" t="inlineStr">
        <is>
          <t>not researched</t>
        </is>
      </c>
      <c r="J36" s="19" t="inlineStr">
        <is>
          <t>To check</t>
        </is>
      </c>
      <c r="K36" s="19" t="inlineStr"/>
    </row>
  </sheetData>
  <autoFilter ref="A4:K36"/>
  <conditionalFormatting sqref="J5:J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J5:J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N12"/>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Mysore Dasara</t>
        </is>
      </c>
      <c r="C5" s="9" t="inlineStr">
        <is>
          <t>Mysuru, Karnataka, India</t>
        </is>
      </c>
      <c r="D5" s="9" t="inlineStr">
        <is>
          <t>Festival yatra</t>
        </is>
      </c>
      <c r="E5" s="9" t="inlineStr">
        <is>
          <t>Sep-Oct (Navaratri)</t>
        </is>
      </c>
      <c r="F5" s="9" t="inlineStr">
        <is>
          <t>10 days ending Vijayadashami; Jamboo Savari on the last day</t>
        </is>
      </c>
      <c r="G5" s="9" t="inlineStr">
        <is>
          <t>3-4</t>
        </is>
      </c>
      <c r="H5" s="9" t="inlineStr">
        <is>
          <t>None (domestic)</t>
        </is>
      </c>
      <c r="I5" s="9" t="inlineStr">
        <is>
          <t>Palace illumination, Chamundi Hill, Jamboo Savari procession. Book stay months ahead; ISKCON Mysore nearby. Combine with Srirangapatna, Melukote.</t>
        </is>
      </c>
      <c r="J5" s="19" t="inlineStr">
        <is>
          <t>High</t>
        </is>
      </c>
      <c r="K5" s="19" t="inlineStr">
        <is>
          <t>Idea</t>
        </is>
      </c>
      <c r="L5" s="19" t="inlineStr"/>
      <c r="M5" s="19" t="inlineStr"/>
      <c r="N5" s="12" t="n">
        <v>46316</v>
      </c>
    </row>
    <row r="6">
      <c r="A6" s="9" t="n">
        <v>2</v>
      </c>
      <c r="B6" s="9" t="inlineStr">
        <is>
          <t>Tirupati Balaji Brahmotsavam</t>
        </is>
      </c>
      <c r="C6" s="9" t="inlineStr">
        <is>
          <t>Tirumala, Andhra Pradesh, India</t>
        </is>
      </c>
      <c r="D6" s="9" t="inlineStr">
        <is>
          <t>Festival yatra</t>
        </is>
      </c>
      <c r="E6" s="9" t="inlineStr">
        <is>
          <t>Sep-Oct (Salakatla Brahmotsavam); some years a 2nd Navaratri Brahmotsavam</t>
        </is>
      </c>
      <c r="F6" s="9" t="inlineStr">
        <is>
          <t>9 days; Garuda Seva day is the peak</t>
        </is>
      </c>
      <c r="G6" s="9" t="inlineStr">
        <is>
          <t>2-3</t>
        </is>
      </c>
      <c r="H6" s="9" t="inlineStr">
        <is>
          <t>None; TTD darshan tokens / SED booking via tirupatibalaji.ap.gov.in</t>
        </is>
      </c>
      <c r="I6" s="9" t="inlineStr">
        <is>
          <t>Vahana sevas each morning/evening; Garuda Seva night draws lakhs. Arrange accommodation via TTD or HKM contacts well in advance.</t>
        </is>
      </c>
      <c r="J6" s="19" t="inlineStr">
        <is>
          <t>High</t>
        </is>
      </c>
      <c r="K6" s="19" t="inlineStr">
        <is>
          <t>Idea</t>
        </is>
      </c>
      <c r="L6" s="19" t="inlineStr"/>
      <c r="M6" s="19" t="inlineStr"/>
      <c r="N6" s="12" t="n">
        <v>46316</v>
      </c>
    </row>
    <row r="7">
      <c r="A7" s="9" t="n">
        <v>3</v>
      </c>
      <c r="B7" s="9" t="inlineStr">
        <is>
          <t>Vaishno Devi</t>
        </is>
      </c>
      <c r="C7" s="9" t="inlineStr">
        <is>
          <t>Katra, Jammu &amp; Kashmir, India</t>
        </is>
      </c>
      <c r="D7" s="9" t="inlineStr">
        <is>
          <t>Shakti-peetha trek</t>
        </is>
      </c>
      <c r="E7" s="9" t="inlineStr">
        <is>
          <t>Mar-Jun and Sep-Nov (avoid peak summer rush and Jan snow)</t>
        </is>
      </c>
      <c r="F7" s="9" t="inlineStr">
        <is>
          <t>Navaratri very crowded</t>
        </is>
      </c>
      <c r="G7" s="9" t="inlineStr">
        <is>
          <t>3-4 (with travel)</t>
        </is>
      </c>
      <c r="H7" s="9" t="inlineStr">
        <is>
          <t>None; free RFID yatra card from SMVDSB (online or Katra)</t>
        </is>
      </c>
      <c r="I7" s="9" t="inlineStr">
        <is>
          <t>13 km trek from Katra (ponies/palki/helicopter available). Combine with Jammu Raghunath temple; optionally Amritsar.</t>
        </is>
      </c>
      <c r="J7" s="19" t="inlineStr">
        <is>
          <t>High</t>
        </is>
      </c>
      <c r="K7" s="19" t="inlineStr">
        <is>
          <t>Idea</t>
        </is>
      </c>
      <c r="L7" s="19" t="inlineStr"/>
      <c r="M7" s="19" t="inlineStr"/>
      <c r="N7" s="12" t="n">
        <v>46316</v>
      </c>
    </row>
    <row r="8">
      <c r="A8" s="9" t="n">
        <v>4</v>
      </c>
      <c r="B8" s="9" t="inlineStr">
        <is>
          <t>Amarnath Yatra</t>
        </is>
      </c>
      <c r="C8" s="9" t="inlineStr">
        <is>
          <t>Pahalgam / Baltal, Jammu &amp; Kashmir, India</t>
        </is>
      </c>
      <c r="D8" s="9" t="inlineStr">
        <is>
          <t>High-altitude cave pilgrimage</t>
        </is>
      </c>
      <c r="E8" s="9" t="inlineStr">
        <is>
          <t>Jul-Aug only (yatra window set yearly by SASB)</t>
        </is>
      </c>
      <c r="F8" s="9" t="inlineStr">
        <is>
          <t>~45-60 days, Ashadha Purnima to Shravana Purnima (Raksha Bandhan)</t>
        </is>
      </c>
      <c r="G8" s="9" t="inlineStr">
        <is>
          <t>5-7</t>
        </is>
      </c>
      <c r="H8" s="9" t="inlineStr">
        <is>
          <t>Compulsory SASB registration + Compulsory Health Certificate from authorised doctor; RFID card; age 13-70</t>
        </is>
      </c>
      <c r="I8" s="9" t="inlineStr">
        <is>
          <t>Register as soon as the window opens (Mar-Apr). Pahalgam route 32 km (3 days) or Baltal 14 km (1 day); helicopter options. Needs fitness prep.</t>
        </is>
      </c>
      <c r="J8" s="19" t="inlineStr">
        <is>
          <t>High</t>
        </is>
      </c>
      <c r="K8" s="19" t="inlineStr">
        <is>
          <t>Idea</t>
        </is>
      </c>
      <c r="L8" s="19" t="inlineStr"/>
      <c r="M8" s="19" t="inlineStr"/>
      <c r="N8" s="12" t="n">
        <v>46316</v>
      </c>
    </row>
    <row r="9">
      <c r="A9" s="9" t="n">
        <v>5</v>
      </c>
      <c r="B9" s="9" t="inlineStr">
        <is>
          <t>Seven Sisters (North-East India)</t>
        </is>
      </c>
      <c r="C9" s="9" t="inlineStr">
        <is>
          <t>Assam, Meghalaya, Arunachal, Nagaland, Manipur, Mizoram, Tripura</t>
        </is>
      </c>
      <c r="D9" s="9" t="inlineStr">
        <is>
          <t>Multi-state exploration yatra</t>
        </is>
      </c>
      <c r="E9" s="9" t="inlineStr">
        <is>
          <t>Oct-Apr (dry, clear)</t>
        </is>
      </c>
      <c r="F9" s="9" t="inlineStr">
        <is>
          <t>Avoid Jun-Sep monsoon</t>
        </is>
      </c>
      <c r="G9" s="9" t="inlineStr">
        <is>
          <t>10-14</t>
        </is>
      </c>
      <c r="H9" s="9" t="inlineStr">
        <is>
          <t>Inner Line Permit (ILP) for Arunachal, Nagaland, Mizoram, Manipur - online; none for Assam/Meghalaya/Tripura</t>
        </is>
      </c>
      <c r="I9" s="9" t="inlineStr">
        <is>
          <t>Kamakhya (Guwahati), Majuli satras (Vaishnava), Tawang monastery, Cherrapunji/Living root bridges, Loktak lake, Tripureshwari temple. Plan as 2 circuits (Assam-Meghalaya-Arunachal; Manipur-Mizoram-Tripura-Nagaland).</t>
        </is>
      </c>
      <c r="J9" s="19" t="inlineStr">
        <is>
          <t>Medium</t>
        </is>
      </c>
      <c r="K9" s="19" t="inlineStr">
        <is>
          <t>Idea</t>
        </is>
      </c>
      <c r="L9" s="19" t="inlineStr"/>
      <c r="M9" s="19" t="inlineStr"/>
      <c r="N9" s="12" t="n">
        <v>46316</v>
      </c>
    </row>
    <row r="10">
      <c r="A10" s="9" t="n">
        <v>6</v>
      </c>
      <c r="B10" s="9" t="inlineStr">
        <is>
          <t>Pune</t>
        </is>
      </c>
      <c r="C10" s="9" t="inlineStr">
        <is>
          <t>Pune, Maharashtra, India</t>
        </is>
      </c>
      <c r="D10" s="9" t="inlineStr">
        <is>
          <t>City + temple exploration</t>
        </is>
      </c>
      <c r="E10" s="9" t="inlineStr">
        <is>
          <t>Oct-Feb (pleasant); Ganesh Chaturthi (Aug-Sep) for the festival</t>
        </is>
      </c>
      <c r="F10" s="9" t="inlineStr">
        <is>
          <t>Ganeshotsav 10 days ending Anant Chaturdashi</t>
        </is>
      </c>
      <c r="G10" s="9" t="inlineStr">
        <is>
          <t>3-4</t>
        </is>
      </c>
      <c r="H10" s="9" t="inlineStr">
        <is>
          <t>None (domestic)</t>
        </is>
      </c>
      <c r="I10"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0" s="19" t="inlineStr">
        <is>
          <t>Medium</t>
        </is>
      </c>
      <c r="K10" s="19" t="inlineStr">
        <is>
          <t>Idea</t>
        </is>
      </c>
      <c r="L10" s="19" t="inlineStr"/>
      <c r="M10" s="19" t="inlineStr"/>
      <c r="N10" s="12" t="n">
        <v>46316</v>
      </c>
    </row>
    <row r="11">
      <c r="A11" s="9" t="n">
        <v>7</v>
      </c>
      <c r="B11" s="9" t="inlineStr">
        <is>
          <t>Indore &amp; Madhya Pradesh</t>
        </is>
      </c>
      <c r="C11" s="9" t="inlineStr">
        <is>
          <t>Indore / Ujjain / Omkareshwar / Maheshwar, Madhya Pradesh, India</t>
        </is>
      </c>
      <c r="D11" s="9" t="inlineStr">
        <is>
          <t>Jyotirlinga + heritage yatra</t>
        </is>
      </c>
      <c r="E11" s="9" t="inlineStr">
        <is>
          <t>Oct-Mar (avoid Apr-Jun heat)</t>
        </is>
      </c>
      <c r="F11" s="9" t="inlineStr">
        <is>
          <t>Ujjain Simhastha Kumbh next due 2028 (Apr-May); Mahakal Bhasma Aarti daily at ~4 am (book online)</t>
        </is>
      </c>
      <c r="G11" s="9" t="inlineStr">
        <is>
          <t>5-7</t>
        </is>
      </c>
      <c r="H11" s="9" t="inlineStr">
        <is>
          <t>None (domestic); Bhasma Aarti permission via shrimahakaleshwar.com</t>
        </is>
      </c>
      <c r="I11"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1" s="19" t="inlineStr">
        <is>
          <t>High</t>
        </is>
      </c>
      <c r="K11" s="19" t="inlineStr">
        <is>
          <t>Idea</t>
        </is>
      </c>
      <c r="L11" s="19" t="inlineStr"/>
      <c r="M11" s="19" t="inlineStr"/>
      <c r="N11" s="12" t="n">
        <v>46316</v>
      </c>
    </row>
    <row r="12">
      <c r="A12" s="9" t="n">
        <v>8</v>
      </c>
      <c r="B12" s="9" t="inlineStr">
        <is>
          <t>Kerala</t>
        </is>
      </c>
      <c r="C12" s="9" t="inlineStr">
        <is>
          <t>Kerala, India</t>
        </is>
      </c>
      <c r="D12" s="9" t="inlineStr">
        <is>
          <t>Temple + culture yatra</t>
        </is>
      </c>
      <c r="E12" s="9" t="inlineStr">
        <is>
          <t>Oct-Mar; Sabarimala season Nov-Jan</t>
        </is>
      </c>
      <c r="F12" s="9" t="inlineStr">
        <is>
          <t>Guruvayur Ekadasi (Nov-Dec); Thrissur Pooram (Apr-May)</t>
        </is>
      </c>
      <c r="G12" s="9" t="inlineStr">
        <is>
          <t>6-8</t>
        </is>
      </c>
      <c r="H12" s="9" t="inlineStr">
        <is>
          <t>None (domestic); Sabarimala needs virtual-queue booking</t>
        </is>
      </c>
      <c r="I12" s="9" t="inlineStr">
        <is>
          <t>Guruvayur, Padmanabhaswamy (dress code), Sabarimala, Ambalappuzha, Aranmula, Chottanikkara; backwaters. Combine with Kanyakumari/Suchindram.</t>
        </is>
      </c>
      <c r="J12" s="19" t="inlineStr">
        <is>
          <t>Medium</t>
        </is>
      </c>
      <c r="K12" s="19" t="inlineStr">
        <is>
          <t>Idea</t>
        </is>
      </c>
      <c r="L12" s="19" t="inlineStr"/>
      <c r="M12" s="19" t="inlineStr"/>
      <c r="N12" s="12" t="n">
        <v>46316</v>
      </c>
    </row>
  </sheetData>
  <autoFilter ref="A4:N112"/>
  <conditionalFormatting sqref="K5:K112">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2" showDropDown="0" showInputMessage="0" showErrorMessage="0" allowBlank="1" type="list">
      <formula1>"Idea,Researching,Planned,Booked,Done,Dropped"</formula1>
    </dataValidation>
    <dataValidation sqref="J5:J112" showDropDown="0" showInputMessage="0" showErrorMessage="0" allowBlank="1" type="list">
      <formula1>"High,Medium,Low"</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G14"/>
  <sheetViews>
    <sheetView zoomScale="100" workbookViewId="0">
      <pane ySplit="4" topLeftCell="A5" activePane="bottomLeft" state="frozen"/>
      <selection pane="bottomLeft" activeCell="A1" sqref="A1"/>
    </sheetView>
  </sheetViews>
  <sheetFormatPr baseColWidth="8" defaultRowHeight="15"/>
  <cols>
    <col width="30" customWidth="1" min="1" max="1"/>
    <col width="13" customWidth="1" min="2" max="2"/>
    <col width="13" customWidth="1" min="3" max="3"/>
    <col width="26" customWidth="1" min="4" max="4"/>
    <col width="70" customWidth="1" min="5" max="5"/>
    <col width="12" customWidth="1" min="6" max="6"/>
    <col width="14" customWidth="1" min="7" max="7"/>
  </cols>
  <sheetData>
    <row r="1">
      <c r="A1" s="1" t="inlineStr">
        <is>
          <t>Trips in your dashboard with NO passport stamp yet</t>
        </is>
      </c>
    </row>
    <row r="2">
      <c r="A2" s="2" t="inlineStr">
        <is>
          <t>Your spreadsheet shows these; the passport scan (to Nov 2025) doesn't. Confirm -&gt; copy to Travel Log.</t>
        </is>
      </c>
    </row>
    <row r="4">
      <c r="A4" s="3" t="inlineStr">
        <is>
          <t>Trip</t>
        </is>
      </c>
      <c r="B4" s="3" t="inlineStr">
        <is>
          <t>From</t>
        </is>
      </c>
      <c r="C4" s="3" t="inlineStr">
        <is>
          <t>To</t>
        </is>
      </c>
      <c r="D4" s="3" t="inlineStr">
        <is>
          <t>Where recorded</t>
        </is>
      </c>
      <c r="E4" s="3" t="inlineStr">
        <is>
          <t>Observation</t>
        </is>
      </c>
      <c r="F4" s="3" t="inlineStr">
        <is>
          <t>Action</t>
        </is>
      </c>
      <c r="G4" s="3" t="inlineStr">
        <is>
          <t>Confirmed? (Y/N)</t>
        </is>
      </c>
    </row>
    <row r="5">
      <c r="A5" s="9" t="inlineStr">
        <is>
          <t>Europe (Schengen)</t>
        </is>
      </c>
      <c r="B5" s="12" t="n">
        <v>45934</v>
      </c>
      <c r="C5" s="12" t="n">
        <v>45947</v>
      </c>
      <c r="D5" s="9" t="inlineStr">
        <is>
          <t>Dashboard 'MKCD' column</t>
        </is>
      </c>
      <c r="E5" s="9" t="inlineStr">
        <is>
          <t>Schengen visa #2 only valid from 21 Oct 2025 - this window pre-dates it; likely moved to Nov</t>
        </is>
      </c>
      <c r="F5" s="9" t="inlineStr">
        <is>
          <t>Confirm</t>
        </is>
      </c>
      <c r="G5" s="19" t="inlineStr"/>
    </row>
    <row r="6">
      <c r="A6" s="9" t="inlineStr">
        <is>
          <t>Europe (Schengen)</t>
        </is>
      </c>
      <c r="B6" s="12" t="n">
        <v>45967</v>
      </c>
      <c r="C6" s="12" t="n">
        <v>45981</v>
      </c>
      <c r="D6" s="9" t="inlineStr">
        <is>
          <t>Dashboard 'MKCD' column</t>
        </is>
      </c>
      <c r="E6" s="9" t="inlineStr">
        <is>
          <t>Inside Schengen #2 validity (21 Oct 2025-19 Apr 2026); no stamp in Nov-2025 scan</t>
        </is>
      </c>
      <c r="F6" s="9" t="inlineStr">
        <is>
          <t>Confirm</t>
        </is>
      </c>
      <c r="G6" s="19" t="inlineStr"/>
    </row>
    <row r="7">
      <c r="A7" s="9" t="inlineStr">
        <is>
          <t>Sri Lanka (Ramayan Yatra)</t>
        </is>
      </c>
      <c r="B7" s="12" t="n">
        <v>46040</v>
      </c>
      <c r="C7" s="12" t="n">
        <v>46048</v>
      </c>
      <c r="D7" s="9" t="inlineStr">
        <is>
          <t>Dashboard 'MKCD' column</t>
        </is>
      </c>
      <c r="E7" s="9" t="inlineStr">
        <is>
          <t>Future relative to scan; confirm if done</t>
        </is>
      </c>
      <c r="F7" s="9" t="inlineStr">
        <is>
          <t>Confirm</t>
        </is>
      </c>
      <c r="G7" s="19" t="inlineStr"/>
    </row>
    <row r="8">
      <c r="A8" s="9" t="inlineStr">
        <is>
          <t>Australia (Yatra)</t>
        </is>
      </c>
      <c r="B8" s="12" t="n">
        <v>46063</v>
      </c>
      <c r="C8" s="12" t="n">
        <v>46072</v>
      </c>
      <c r="D8" s="9" t="inlineStr">
        <is>
          <t>Dashboard 'MKCD' column</t>
        </is>
      </c>
      <c r="E8" s="9" t="inlineStr">
        <is>
          <t>Visa granted 13 Nov 2025; would be FIRST Australia entry - confirm</t>
        </is>
      </c>
      <c r="F8" s="9" t="inlineStr">
        <is>
          <t>Confirm</t>
        </is>
      </c>
      <c r="G8" s="19" t="inlineStr"/>
    </row>
    <row r="9">
      <c r="A9" s="9" t="inlineStr">
        <is>
          <t>Bali, Indonesia</t>
        </is>
      </c>
      <c r="B9" s="12" t="n">
        <v>46074</v>
      </c>
      <c r="C9" s="12" t="n">
        <v>46080</v>
      </c>
      <c r="D9" s="9" t="inlineStr">
        <is>
          <t>Dashboard 'MKCD' column</t>
        </is>
      </c>
      <c r="E9" s="9" t="inlineStr">
        <is>
          <t>Confirm</t>
        </is>
      </c>
      <c r="F9" s="9" t="inlineStr">
        <is>
          <t>Confirm</t>
        </is>
      </c>
      <c r="G9" s="19" t="inlineStr"/>
    </row>
    <row r="10">
      <c r="A10" s="9" t="inlineStr">
        <is>
          <t>Nepal (Muktinath Yatra)</t>
        </is>
      </c>
      <c r="B10" s="12" t="n">
        <v>45592</v>
      </c>
      <c r="C10" s="12" t="n">
        <v>45598</v>
      </c>
      <c r="D10" s="9" t="inlineStr">
        <is>
          <t>Dashboard yatra column</t>
        </is>
      </c>
      <c r="E10" s="9" t="inlineStr">
        <is>
          <t>No 2024 Nepal stamp seen - may have been an escorted group yatra or not run</t>
        </is>
      </c>
      <c r="F10" s="9" t="inlineStr">
        <is>
          <t>Confirm</t>
        </is>
      </c>
      <c r="G10" s="19" t="inlineStr"/>
    </row>
    <row r="11">
      <c r="A11" s="9" t="inlineStr">
        <is>
          <t>Sri Lanka (Ramayan Yatra)</t>
        </is>
      </c>
      <c r="B11" s="12" t="n">
        <v>45627</v>
      </c>
      <c r="C11" s="12" t="n">
        <v>45633</v>
      </c>
      <c r="D11" s="9" t="inlineStr">
        <is>
          <t>Dashboard yatra column</t>
        </is>
      </c>
      <c r="E11" s="9" t="inlineStr">
        <is>
          <t>No Dec-2024 SL stamp in scan - confirm</t>
        </is>
      </c>
      <c r="F11" s="9" t="inlineStr">
        <is>
          <t>Confirm</t>
        </is>
      </c>
      <c r="G11" s="19" t="inlineStr"/>
    </row>
    <row r="12">
      <c r="A12" s="9" t="inlineStr">
        <is>
          <t>Thailand / Cambodia Yatra</t>
        </is>
      </c>
      <c r="B12" s="12" t="n">
        <v>45664</v>
      </c>
      <c r="C12" s="12" t="n">
        <v>45669</v>
      </c>
      <c r="D12" s="9" t="inlineStr">
        <is>
          <t>Dashboard yatra column</t>
        </is>
      </c>
      <c r="E12" s="9" t="inlineStr">
        <is>
          <t>No Jan-2025 stamp in scan - confirm</t>
        </is>
      </c>
      <c r="F12" s="9" t="inlineStr">
        <is>
          <t>Confirm</t>
        </is>
      </c>
      <c r="G12" s="19" t="inlineStr"/>
    </row>
    <row r="13">
      <c r="A13" s="9" t="inlineStr">
        <is>
          <t>Nepal (Muktinath Yatra)</t>
        </is>
      </c>
      <c r="B13" s="12" t="n">
        <v>45748</v>
      </c>
      <c r="C13" s="12" t="n">
        <v>45768</v>
      </c>
      <c r="D13" s="9" t="inlineStr">
        <is>
          <t>Dashboard yatra column</t>
        </is>
      </c>
      <c r="E13" s="9" t="inlineStr">
        <is>
          <t>No Apr-2025 stamp in scan - confirm</t>
        </is>
      </c>
      <c r="F13" s="9" t="inlineStr">
        <is>
          <t>Confirm</t>
        </is>
      </c>
      <c r="G13" s="19" t="inlineStr"/>
    </row>
    <row r="14">
      <c r="A14" s="9" t="inlineStr">
        <is>
          <t>OOS / BJ (domestic?)</t>
        </is>
      </c>
      <c r="B14" s="12" t="n">
        <v>45727</v>
      </c>
      <c r="C14" s="12" t="n">
        <v>45732</v>
      </c>
      <c r="D14" s="9" t="inlineStr">
        <is>
          <t>Dashboard 'MKCD' column</t>
        </is>
      </c>
      <c r="E14" s="9" t="inlineStr">
        <is>
          <t>Label unclear ('OOS'); probably out-of-station, not international</t>
        </is>
      </c>
      <c r="F14" s="9" t="inlineStr">
        <is>
          <t>Ignore?</t>
        </is>
      </c>
      <c r="G14" s="19" t="inlineStr"/>
    </row>
  </sheetData>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B18"/>
  <sheetViews>
    <sheetView zoomScale="100" workbookViewId="0">
      <pane ySplit="4" topLeftCell="A5" activePane="bottomLeft" state="frozen"/>
      <selection pane="bottomLeft" activeCell="A1" sqref="A1"/>
    </sheetView>
  </sheetViews>
  <sheetFormatPr baseColWidth="8" defaultRowHeight="15"/>
  <cols>
    <col width="42" customWidth="1" min="1" max="1"/>
    <col width="120" customWidth="1" min="2" max="2"/>
  </cols>
  <sheetData>
    <row r="1">
      <c r="A1" s="1" t="inlineStr">
        <is>
          <t>Alerts &amp; action items</t>
        </is>
      </c>
    </row>
    <row r="2">
      <c r="A2" s="2" t="inlineStr">
        <is>
          <t>Review every month.</t>
        </is>
      </c>
    </row>
    <row r="4">
      <c r="A4" s="3" t="inlineStr">
        <is>
          <t>Alert</t>
        </is>
      </c>
      <c r="B4" s="3" t="inlineStr">
        <is>
          <t>What to do</t>
        </is>
      </c>
    </row>
    <row r="5">
      <c r="A5" s="9" t="inlineStr">
        <is>
          <t>Passport expires 17 Sep 2028</t>
        </is>
      </c>
      <c r="B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inlineStr">
        <is>
          <t>Schengen: no valid visa</t>
        </is>
      </c>
      <c r="B6" s="9" t="inlineStr">
        <is>
          <t>Both France visas expired (Apr 2026). You now have 2 lawful visas in 3 years -&gt; eligible for the EU 'cascade' 2-year multiple-entry visa. Apply 3 months before the next Europe yatra.</t>
        </is>
      </c>
    </row>
    <row r="7">
      <c r="A7" s="9" t="inlineStr">
        <is>
          <t>UK: no valid visa</t>
        </is>
      </c>
      <c r="B7" s="9" t="inlineStr">
        <is>
          <t>UK visa expired 29 Dec 2024. Apply 3-4 weeks ahead; consider a 2-year or 5-year Standard Visitor visa if you will return often.</t>
        </is>
      </c>
    </row>
    <row r="8">
      <c r="A8" s="9" t="inlineStr">
        <is>
          <t>Australia: confirm stream</t>
        </is>
      </c>
      <c r="B8" s="9" t="inlineStr">
        <is>
          <t>Visa is Business Visitor stream (condition 8115). A pilgrimage yatra with devotees may count as tourism - confirm whether to apply for a Tourist-stream visa.</t>
        </is>
      </c>
    </row>
    <row r="9">
      <c r="A9" s="9" t="inlineStr">
        <is>
          <t>Malaysia visa-free ends 31 Dec 2026</t>
        </is>
      </c>
      <c r="B9" s="9" t="inlineStr">
        <is>
          <t>Get visa/e-visa for any 2027 Malaysia yatra unless extended.</t>
        </is>
      </c>
    </row>
    <row r="10">
      <c r="A10" s="9" t="inlineStr">
        <is>
          <t>Thailand now 30 days (from 15 Sep 2026, reported)</t>
        </is>
      </c>
      <c r="B10" s="9" t="inlineStr">
        <is>
          <t>Plan group stays accordingly; complete TDAC before arrival.</t>
        </is>
      </c>
    </row>
    <row r="12">
      <c r="A12" s="17" t="inlineStr">
        <is>
          <t>Mismatches found between your sheets and the documents</t>
        </is>
      </c>
    </row>
    <row r="13">
      <c r="A13" s="9" t="inlineStr">
        <is>
          <t>Schengen #1 duration</t>
        </is>
      </c>
      <c r="B13" s="9" t="inlineStr">
        <is>
          <t>Your 'Visa' tab says 45 days; the visa sticker says 30 days (valid 15-Jul-24 to 29-Aug-24).</t>
        </is>
      </c>
    </row>
    <row r="14">
      <c r="A14" s="9" t="inlineStr">
        <is>
          <t>Schengen #2 duration</t>
        </is>
      </c>
      <c r="B14" s="9" t="inlineStr">
        <is>
          <t>Sticker: 30 days within 21-Oct-25 to 19-Apr-26 (your tab shows 180 = validity window, not stay).</t>
        </is>
      </c>
    </row>
    <row r="15">
      <c r="A15" s="9" t="inlineStr">
        <is>
          <t>US visa stay</t>
        </is>
      </c>
      <c r="B15" s="9" t="inlineStr">
        <is>
          <t>Your tab shows 3,647 days = visa validity. Stay per entry is set by CBP at the port (I-94), not by the visa.</t>
        </is>
      </c>
    </row>
    <row r="16">
      <c r="A16" s="9" t="inlineStr">
        <is>
          <t>Australia</t>
        </is>
      </c>
      <c r="B16" s="9" t="inlineStr">
        <is>
          <t>Your tab says 'Business'. VEVO confirms Business Visitor stream (conditions 8115/8201). Tourism/pilgrimage may need Tourist stream.</t>
        </is>
      </c>
    </row>
    <row r="17">
      <c r="A17" s="9" t="inlineStr">
        <is>
          <t>Old access lists</t>
        </is>
      </c>
      <c r="B17" s="9" t="inlineStr">
        <is>
          <t>Armenia 'UK visa 120 days', Bosnia '30 days', Montenegro 'US 15 days', Turkey/Qatar/Kuwait entries were out of date - corrected in Access Map.</t>
        </is>
      </c>
    </row>
    <row r="18">
      <c r="A18" s="9" t="inlineStr">
        <is>
          <t>Hong Kong / Barbados etc.</t>
        </is>
      </c>
      <c r="B18" s="9" t="inlineStr">
        <is>
          <t>Your 'Indian PP visa on arrival' rows were not re-researched except those listed in the Yatra Visa Planner. Treat as unverified.</t>
        </is>
      </c>
    </row>
  </sheetData>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2026-10-21T06:51:36Z</dcterms:created>
  <dcterms:modified xmlns:dcterms="http://purl.org/dc/terms/" xmlns:xsi="http://www.w3.org/2001/XMLSchema-instance" xsi:type="dcterms:W3CDTF">2026-10-21T06:51:36Z</dcterms:modified>
</cp:coreProperties>
</file>
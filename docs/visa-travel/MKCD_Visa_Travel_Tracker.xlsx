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Yatra Wishlist" sheetId="8" state="visible" r:id="rId8"/>
    <sheet xmlns:r="http://schemas.openxmlformats.org/officeDocument/2006/relationships" name="To Confirm" sheetId="9" state="visible" r:id="rId9"/>
    <sheet xmlns:r="http://schemas.openxmlformats.org/officeDocument/2006/relationships" name="Alerts" sheetId="10" state="visible" r:id="rId10"/>
    <sheet xmlns:r="http://schemas.openxmlformats.org/officeDocument/2006/relationships" name="Sources &amp; Method" sheetId="11" state="visible" r:id="rId11"/>
  </sheets>
  <definedNames>
    <definedName name="_xlnm._FilterDatabase" localSheetId="1" hidden="1">'Travel Log'!$A$4:$L$85</definedName>
    <definedName name="_xlnm._FilterDatabase" localSheetId="4" hidden="1">'Access Map'!$A$4:$N$40</definedName>
    <definedName name="_xlnm._FilterDatabase" localSheetId="6" hidden="1">'Yatra Visa Planner'!$A$4:$K$36</definedName>
    <definedName name="_xlnm._FilterDatabase" localSheetId="7" hidden="1">'Yatra Wishlist'!$A$4:$N$110</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FF2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27"/>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Held'!$B$14</f>
        <v/>
      </c>
      <c r="C6" t="inlineStr">
        <is>
          <t>Indian passport</t>
        </is>
      </c>
    </row>
    <row r="7">
      <c r="A7" s="4" t="inlineStr">
        <is>
          <t>Days to passport expiry</t>
        </is>
      </c>
      <c r="B7" s="6">
        <f>'Visas Held'!$B$16</f>
        <v/>
      </c>
      <c r="C7" t="inlineStr"/>
    </row>
    <row r="8">
      <c r="A8" s="4" t="inlineStr">
        <is>
          <t>Last safe travel date (6-month rule)</t>
        </is>
      </c>
      <c r="B8" s="5">
        <f>'Visas Held'!$B$17</f>
        <v/>
      </c>
      <c r="C8" t="inlineStr">
        <is>
          <t>Most countries need 6 months validity</t>
        </is>
      </c>
    </row>
    <row r="9">
      <c r="A9" s="4" t="inlineStr">
        <is>
          <t>Start passport renewal by</t>
        </is>
      </c>
      <c r="B9" s="5">
        <f>'Visas Held'!$B$18</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Summary'!B5:B18,"&gt;0")</f>
        <v/>
      </c>
      <c r="C14" t="inlineStr">
        <is>
          <t>Includes Schengen countries visited Jul 2024</t>
        </is>
      </c>
    </row>
    <row r="15">
      <c r="A15" s="4" t="inlineStr">
        <is>
          <t>Total international visits logged</t>
        </is>
      </c>
      <c r="B15" s="6">
        <f>'Country Summary'!B20</f>
        <v/>
      </c>
      <c r="C15" t="inlineStr">
        <is>
          <t>Each entry = one visit</t>
        </is>
      </c>
    </row>
    <row r="16">
      <c r="A16" s="4" t="inlineStr">
        <is>
          <t>Visits to most-visited country</t>
        </is>
      </c>
      <c r="B16" s="6">
        <f>MAX('Country Summary'!B5:B18)</f>
        <v/>
      </c>
      <c r="C16" t="inlineStr"/>
    </row>
    <row r="17">
      <c r="A17" s="4" t="inlineStr">
        <is>
          <t>Destinations reachable NOW via visa privileges</t>
        </is>
      </c>
      <c r="B17" s="6">
        <f>COUNTIF('Access Map'!N5:N40,"YES")</f>
        <v/>
      </c>
      <c r="C17" t="inlineStr">
        <is>
          <t>Excludes visa-free countries for Indians; see Access Map</t>
        </is>
      </c>
    </row>
    <row r="18">
      <c r="A18" s="4" t="inlineStr">
        <is>
          <t>Wishlist ideas (open)</t>
        </is>
      </c>
      <c r="B18" s="6">
        <f>COUNTIFS('Yatra Wishlist'!K5:K200,"&lt;&gt;Done",'Yatra Wishlist'!K5:K200,"&lt;&gt;Dropped",'Yatra Wishlist'!B5:B200,"&lt;&gt;")</f>
        <v/>
      </c>
      <c r="C18" t="inlineStr">
        <is>
          <t>See Yatra Wishlist</t>
        </is>
      </c>
    </row>
    <row r="19">
      <c r="A19" s="4" t="inlineStr">
        <is>
          <t>Valid visas right now</t>
        </is>
      </c>
      <c r="B19" s="6">
        <f>COUNTIF('Visas Held'!H5:H30,"VALID")</f>
        <v/>
      </c>
      <c r="C19" t="inlineStr"/>
    </row>
    <row r="20">
      <c r="A20" s="4" t="inlineStr">
        <is>
          <t>Expired visas to renew</t>
        </is>
      </c>
      <c r="B20" s="6">
        <f>COUNTIF('Visas Held'!H5:H30,"EXPIRED")</f>
        <v/>
      </c>
      <c r="C20" t="inlineStr">
        <is>
          <t>Schengen &amp; UK</t>
        </is>
      </c>
    </row>
    <row r="22">
      <c r="A22" s="7" t="inlineStr">
        <is>
          <t>Top actions</t>
        </is>
      </c>
    </row>
    <row r="23" ht="48" customHeight="1">
      <c r="A23" s="8" t="inlineStr">
        <is>
          <t>Passport expires 17 Sep 2028</t>
        </is>
      </c>
      <c r="C23"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24" ht="48" customHeight="1">
      <c r="A24" s="8" t="inlineStr">
        <is>
          <t>Schengen: no valid visa</t>
        </is>
      </c>
      <c r="C24" s="8" t="inlineStr">
        <is>
          <t>Both France visas expired (Apr 2026). You now have 2 lawful visas in 3 years -&gt; eligible for the EU 'cascade' 2-year multiple-entry visa. Apply 3 months before the next Europe yatra.</t>
        </is>
      </c>
    </row>
    <row r="25" ht="48" customHeight="1">
      <c r="A25" s="8" t="inlineStr">
        <is>
          <t>UK: no valid visa</t>
        </is>
      </c>
      <c r="C25" s="8" t="inlineStr">
        <is>
          <t>UK visa expired 29 Dec 2024. Apply 3-4 weeks ahead; consider a 2-year or 5-year Standard Visitor visa if you will return often.</t>
        </is>
      </c>
    </row>
    <row r="26" ht="48" customHeight="1">
      <c r="A26" s="8" t="inlineStr">
        <is>
          <t>Australia: confirm stream</t>
        </is>
      </c>
      <c r="C26" s="8" t="inlineStr">
        <is>
          <t>Visa is Business Visitor stream (condition 8115). A pilgrimage yatra with devotees may count as tourism - confirm whether to apply for a Tourist-stream visa.</t>
        </is>
      </c>
    </row>
    <row r="27" ht="48" customHeight="1">
      <c r="A27" s="8" t="inlineStr">
        <is>
          <t>Malaysia visa-free ends 31 Dec 2026</t>
        </is>
      </c>
      <c r="C27"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25"/>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45500</v>
      </c>
      <c r="E16" s="9">
        <f>IF(AND(ISNUMBER(C16),ISNUMBER(D16)),D16-C16+1,"")</f>
        <v/>
      </c>
      <c r="F16" s="9" t="inlineStr">
        <is>
          <t>Visit</t>
        </is>
      </c>
      <c r="G16" s="9" t="inlineStr">
        <is>
          <t>Paris CDG</t>
        </is>
      </c>
      <c r="H16" s="9" t="inlineStr">
        <is>
          <t>Milan Malpensa (Italy)</t>
        </is>
      </c>
      <c r="I16" s="9" t="inlineStr">
        <is>
          <t>Schengen C visa #1 (France-issued, Pondicherry)</t>
        </is>
      </c>
      <c r="J16" s="9" t="inlineStr">
        <is>
          <t>Passport p.9/p.17: CDG stamp 15 Jul 2024; Malpensa stamp 27 Jul 2024; India dep. Mumbai 14 Jul 2024</t>
        </is>
      </c>
      <c r="K16" s="9" t="inlineStr">
        <is>
          <t>High</t>
        </is>
      </c>
      <c r="L16" s="9" t="inlineStr">
        <is>
          <t>Schengen trip 15-27 Jul 2024 covering France, Belgium, Netherlands, Germany, Switzerland, Italy/Rome, Vatican City; France dates = whole-trip window, split per country when known</t>
        </is>
      </c>
    </row>
    <row r="17">
      <c r="A17" s="9" t="n">
        <v>13</v>
      </c>
      <c r="B17" s="9" t="inlineStr">
        <is>
          <t>Belgium</t>
        </is>
      </c>
      <c r="C17" s="10" t="n"/>
      <c r="D17" s="10" t="n"/>
      <c r="E17" s="9">
        <f>IF(AND(ISNUMBER(C17),ISNUMBER(D17)),D17-C17+1,"")</f>
        <v/>
      </c>
      <c r="F17" s="9" t="inlineStr">
        <is>
          <t>Visit</t>
        </is>
      </c>
      <c r="G17" s="9" t="inlineStr">
        <is>
          <t>By road/rail within Schengen (no stamp)</t>
        </is>
      </c>
      <c r="H17" s="9" t="inlineStr">
        <is>
          <t>By road/rail within Schengen (no stamp)</t>
        </is>
      </c>
      <c r="I17" s="9" t="inlineStr">
        <is>
          <t>Schengen C visa #1</t>
        </is>
      </c>
      <c r="J17" s="9" t="inlineStr">
        <is>
          <t>Your confirmation (Oct 2026): visited during the 15-27 Jul 2024 Europe trip</t>
        </is>
      </c>
      <c r="K17" s="11" t="inlineStr">
        <is>
          <t>Check</t>
        </is>
      </c>
      <c r="L17" s="9" t="inlineStr">
        <is>
          <t>Dates unknown - within 15-27 Jul 2024; add from itinerary</t>
        </is>
      </c>
    </row>
    <row r="18">
      <c r="A18" s="9" t="n">
        <v>14</v>
      </c>
      <c r="B18" s="9" t="inlineStr">
        <is>
          <t>Netherlands</t>
        </is>
      </c>
      <c r="C18" s="10" t="n"/>
      <c r="D18" s="10" t="n"/>
      <c r="E18" s="9">
        <f>IF(AND(ISNUMBER(C18),ISNUMBER(D18)),D18-C18+1,"")</f>
        <v/>
      </c>
      <c r="F18" s="9" t="inlineStr">
        <is>
          <t>Visit</t>
        </is>
      </c>
      <c r="G18" s="9" t="inlineStr">
        <is>
          <t>By road/rail within Schengen (no stamp)</t>
        </is>
      </c>
      <c r="H18" s="9" t="inlineStr">
        <is>
          <t>By road/rail within Schengen (no stamp)</t>
        </is>
      </c>
      <c r="I18" s="9" t="inlineStr">
        <is>
          <t>Schengen C visa #1</t>
        </is>
      </c>
      <c r="J18" s="9" t="inlineStr">
        <is>
          <t>Your confirmation (Oct 2026): visited during the 15-27 Jul 2024 Europe trip</t>
        </is>
      </c>
      <c r="K18" s="11" t="inlineStr">
        <is>
          <t>Check</t>
        </is>
      </c>
      <c r="L18" s="9" t="inlineStr">
        <is>
          <t>Dates unknown - within 15-27 Jul 2024; add from itinerary</t>
        </is>
      </c>
    </row>
    <row r="19">
      <c r="A19" s="9" t="n">
        <v>15</v>
      </c>
      <c r="B19" s="9" t="inlineStr">
        <is>
          <t>Germany</t>
        </is>
      </c>
      <c r="C19" s="10" t="n"/>
      <c r="D19" s="10" t="n"/>
      <c r="E19" s="9">
        <f>IF(AND(ISNUMBER(C19),ISNUMBER(D19)),D19-C19+1,"")</f>
        <v/>
      </c>
      <c r="F19" s="9" t="inlineStr">
        <is>
          <t>Visit</t>
        </is>
      </c>
      <c r="G19" s="9" t="inlineStr">
        <is>
          <t>By road/rail within Schengen (no stamp)</t>
        </is>
      </c>
      <c r="H19" s="9" t="inlineStr">
        <is>
          <t>By road/rail within Schengen (no stamp)</t>
        </is>
      </c>
      <c r="I19" s="9" t="inlineStr">
        <is>
          <t>Schengen C visa #1</t>
        </is>
      </c>
      <c r="J19" s="9" t="inlineStr">
        <is>
          <t>Your confirmation (Oct 2026): visited during the 15-27 Jul 2024 Europe trip</t>
        </is>
      </c>
      <c r="K19" s="11" t="inlineStr">
        <is>
          <t>Check</t>
        </is>
      </c>
      <c r="L19" s="9" t="inlineStr">
        <is>
          <t>Dates unknown - within 15-27 Jul 2024; add from itinerary</t>
        </is>
      </c>
    </row>
    <row r="20">
      <c r="A20" s="9" t="n">
        <v>16</v>
      </c>
      <c r="B20" s="9" t="inlineStr">
        <is>
          <t>Switzerland</t>
        </is>
      </c>
      <c r="C20" s="10" t="n"/>
      <c r="D20" s="10" t="n"/>
      <c r="E20" s="9">
        <f>IF(AND(ISNUMBER(C20),ISNUMBER(D20)),D20-C20+1,"")</f>
        <v/>
      </c>
      <c r="F20" s="9" t="inlineStr">
        <is>
          <t>Visit</t>
        </is>
      </c>
      <c r="G20" s="9" t="inlineStr">
        <is>
          <t>By road/rail within Schengen (no stamp)</t>
        </is>
      </c>
      <c r="H20" s="9" t="inlineStr">
        <is>
          <t>By road/rail within Schengen (no stamp)</t>
        </is>
      </c>
      <c r="I20" s="9" t="inlineStr">
        <is>
          <t>Schengen C visa #1</t>
        </is>
      </c>
      <c r="J20" s="9" t="inlineStr">
        <is>
          <t>Your confirmation (Oct 2026): visited during the 15-27 Jul 2024 Europe trip</t>
        </is>
      </c>
      <c r="K20" s="11" t="inlineStr">
        <is>
          <t>Check</t>
        </is>
      </c>
      <c r="L20" s="9" t="inlineStr">
        <is>
          <t>Dates unknown - within 15-27 Jul 2024; add from itinerary</t>
        </is>
      </c>
    </row>
    <row r="21">
      <c r="A21" s="9" t="n">
        <v>17</v>
      </c>
      <c r="B21" s="9" t="inlineStr">
        <is>
          <t>Vatican City</t>
        </is>
      </c>
      <c r="C21" s="10" t="n"/>
      <c r="D21" s="10" t="n"/>
      <c r="E21" s="9">
        <f>IF(AND(ISNUMBER(C21),ISNUMBER(D21)),D21-C21+1,"")</f>
        <v/>
      </c>
      <c r="F21" s="9" t="inlineStr">
        <is>
          <t>Visit</t>
        </is>
      </c>
      <c r="G21" s="9" t="inlineStr">
        <is>
          <t>On foot from Rome (no border control)</t>
        </is>
      </c>
      <c r="H21" s="9" t="inlineStr">
        <is>
          <t>On foot from Rome (no border control)</t>
        </is>
      </c>
      <c r="I21" s="9" t="inlineStr">
        <is>
          <t>Schengen C visa #1 (Vatican has open border with Italy)</t>
        </is>
      </c>
      <c r="J21" s="9" t="inlineStr">
        <is>
          <t>Your confirmation (Oct 2026): visited from Rome during the 15-27 Jul 2024 Europe trip</t>
        </is>
      </c>
      <c r="K21" s="11" t="inlineStr">
        <is>
          <t>Check</t>
        </is>
      </c>
      <c r="L21" s="9" t="inlineStr">
        <is>
          <t>Sovereign state; same day(s) as Rome - add date from itinerary</t>
        </is>
      </c>
    </row>
    <row r="22">
      <c r="A22" s="9" t="n">
        <v>18</v>
      </c>
      <c r="B22" s="9" t="inlineStr">
        <is>
          <t>Italy</t>
        </is>
      </c>
      <c r="C22" s="10" t="n"/>
      <c r="D22" s="10" t="n">
        <v>45500</v>
      </c>
      <c r="E22" s="9">
        <f>IF(AND(ISNUMBER(C22),ISNUMBER(D22)),D22-C22+1,"")</f>
        <v/>
      </c>
      <c r="F22" s="9" t="inlineStr">
        <is>
          <t>Visit</t>
        </is>
      </c>
      <c r="G22" s="9" t="inlineStr">
        <is>
          <t>By road/rail within Schengen (Rome visited)</t>
        </is>
      </c>
      <c r="H22" s="9" t="inlineStr">
        <is>
          <t>Milan Malpensa (MXP) -&gt; London Gatwick</t>
        </is>
      </c>
      <c r="I22" s="9" t="inlineStr">
        <is>
          <t>Schengen C visa #1</t>
        </is>
      </c>
      <c r="J22" s="9" t="inlineStr">
        <is>
          <t>Your confirmation (Oct 2026): Rome visited; Passport p.17: Malpensa exit stamp 27 Jul 2024</t>
        </is>
      </c>
      <c r="K22" s="11" t="inlineStr">
        <is>
          <t>Check</t>
        </is>
      </c>
      <c r="L22" s="9" t="inlineStr">
        <is>
          <t>Entry date unknown - within 15-27 Jul 2024; departed Schengen from Milan</t>
        </is>
      </c>
    </row>
    <row r="23">
      <c r="A23" s="9" t="n">
        <v>19</v>
      </c>
      <c r="B23" s="9" t="inlineStr">
        <is>
          <t>United Kingdom</t>
        </is>
      </c>
      <c r="C23" s="12" t="n">
        <v>45500</v>
      </c>
      <c r="D23" s="10" t="n"/>
      <c r="E23" s="9">
        <f>IF(AND(ISNUMBER(C23),ISNUMBER(D23)),D23-C23+1,"")</f>
        <v/>
      </c>
      <c r="F23" s="9" t="inlineStr">
        <is>
          <t>Visit</t>
        </is>
      </c>
      <c r="G23" s="9" t="inlineStr">
        <is>
          <t>London Gatwick</t>
        </is>
      </c>
      <c r="H23" s="9" t="inlineStr">
        <is>
          <t>(UK does not stamp exit)</t>
        </is>
      </c>
      <c r="I23" s="9" t="inlineStr">
        <is>
          <t>UK Standard Visitor C-visit, multiple, 29 Jun-29 Dec 2024</t>
        </is>
      </c>
      <c r="J23" s="9" t="inlineStr">
        <is>
          <t>Passport p.23: Gatwick stamp 27 Jul 2024</t>
        </is>
      </c>
      <c r="K23" s="9" t="inlineStr">
        <is>
          <t>High</t>
        </is>
      </c>
      <c r="L23" s="9" t="inlineStr">
        <is>
          <t>Left UK by 01 Aug 2024 (UAE entry)</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Visa/entry per stamp (Indian PP)</t>
        </is>
      </c>
      <c r="J24" s="9" t="inlineStr">
        <is>
          <t>Passport p.10: UAE entry stamp 01 Aug 2024;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sheetData>
  <autoFilter ref="A4:L85"/>
  <dataValidations count="1">
    <dataValidation sqref="F5:F85"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22"/>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Belgium</t>
        </is>
      </c>
      <c r="B5" s="9">
        <f>COUNTIFS('Travel Log'!$B$5:$B$85,A5,'Travel Log'!$F$5:$F$85,"Visit")</f>
        <v/>
      </c>
      <c r="C5" s="12">
        <f>IF(COUNTIFS('Travel Log'!$B$5:$B$85,A5,'Travel Log'!$C$5:$C$85,"&gt;0")=0,"",_xlfn.MINIFS('Travel Log'!$C$5:$C$85,'Travel Log'!$B$5:$B$85,A5,'Travel Log'!$C$5:$C$85,"&gt;0"))</f>
        <v/>
      </c>
      <c r="D5" s="12">
        <f>IF(COUNTIFS('Travel Log'!$B$5:$B$85,A5,'Travel Log'!$C$5:$C$85,"&gt;0")=0,"",_xlfn.MAXIFS('Travel Log'!$C$5:$C$85,'Travel Log'!$B$5:$B$85,A5,'Travel Log'!$C$5:$C$85,"&gt;0"))</f>
        <v/>
      </c>
      <c r="E5" s="9">
        <f>SUMIFS('Travel Log'!$E$5:$E$85,'Travel Log'!$B$5:$B$85,A5,'Travel Log'!$F$5:$F$85,"Visit")</f>
        <v/>
      </c>
      <c r="F5" s="9" t="inlineStr">
        <is>
          <t>Schengen C visa #1</t>
        </is>
      </c>
    </row>
    <row r="6">
      <c r="A6" s="9" t="inlineStr">
        <is>
          <t>Cambodia</t>
        </is>
      </c>
      <c r="B6" s="9">
        <f>COUNTIFS('Travel Log'!$B$5:$B$85,A6,'Travel Log'!$F$5:$F$85,"Visit")</f>
        <v/>
      </c>
      <c r="C6" s="12">
        <f>IF(COUNTIFS('Travel Log'!$B$5:$B$85,A6,'Travel Log'!$C$5:$C$85,"&gt;0")=0,"",_xlfn.MINIFS('Travel Log'!$C$5:$C$85,'Travel Log'!$B$5:$B$85,A6,'Travel Log'!$C$5:$C$85,"&gt;0"))</f>
        <v/>
      </c>
      <c r="D6" s="12">
        <f>IF(COUNTIFS('Travel Log'!$B$5:$B$85,A6,'Travel Log'!$C$5:$C$85,"&gt;0")=0,"",_xlfn.MAXIFS('Travel Log'!$C$5:$C$85,'Travel Log'!$B$5:$B$85,A6,'Travel Log'!$C$5:$C$85,"&gt;0"))</f>
        <v/>
      </c>
      <c r="E6" s="9">
        <f>SUMIFS('Travel Log'!$E$5:$E$85,'Travel Log'!$B$5:$B$85,A6,'Travel Log'!$F$5:$F$85,"Visit")</f>
        <v/>
      </c>
      <c r="F6" s="9" t="inlineStr">
        <is>
          <t>e-Visa (valid 27 Jun-26 Jul 2023); e-Visa (valid to 07 Mar 2023)</t>
        </is>
      </c>
    </row>
    <row r="7">
      <c r="A7" s="9" t="inlineStr">
        <is>
          <t>France</t>
        </is>
      </c>
      <c r="B7" s="9">
        <f>COUNTIFS('Travel Log'!$B$5:$B$85,A7,'Travel Log'!$F$5:$F$85,"Visit")</f>
        <v/>
      </c>
      <c r="C7" s="12">
        <f>IF(COUNTIFS('Travel Log'!$B$5:$B$85,A7,'Travel Log'!$C$5:$C$85,"&gt;0")=0,"",_xlfn.MINIFS('Travel Log'!$C$5:$C$85,'Travel Log'!$B$5:$B$85,A7,'Travel Log'!$C$5:$C$85,"&gt;0"))</f>
        <v/>
      </c>
      <c r="D7" s="12">
        <f>IF(COUNTIFS('Travel Log'!$B$5:$B$85,A7,'Travel Log'!$C$5:$C$85,"&gt;0")=0,"",_xlfn.MAXIFS('Travel Log'!$C$5:$C$85,'Travel Log'!$B$5:$B$85,A7,'Travel Log'!$C$5:$C$85,"&gt;0"))</f>
        <v/>
      </c>
      <c r="E7" s="9">
        <f>SUMIFS('Travel Log'!$E$5:$E$85,'Travel Log'!$B$5:$B$85,A7,'Travel Log'!$F$5:$F$85,"Visit")</f>
        <v/>
      </c>
      <c r="F7" s="9" t="inlineStr">
        <is>
          <t>Schengen C visa #1 (France-issued, Pondicherry)</t>
        </is>
      </c>
    </row>
    <row r="8">
      <c r="A8" s="9" t="inlineStr">
        <is>
          <t>Germany</t>
        </is>
      </c>
      <c r="B8" s="9">
        <f>COUNTIFS('Travel Log'!$B$5:$B$85,A8,'Travel Log'!$F$5:$F$85,"Visit")</f>
        <v/>
      </c>
      <c r="C8" s="12">
        <f>IF(COUNTIFS('Travel Log'!$B$5:$B$85,A8,'Travel Log'!$C$5:$C$85,"&gt;0")=0,"",_xlfn.MINIFS('Travel Log'!$C$5:$C$85,'Travel Log'!$B$5:$B$85,A8,'Travel Log'!$C$5:$C$85,"&gt;0"))</f>
        <v/>
      </c>
      <c r="D8" s="12">
        <f>IF(COUNTIFS('Travel Log'!$B$5:$B$85,A8,'Travel Log'!$C$5:$C$85,"&gt;0")=0,"",_xlfn.MAXIFS('Travel Log'!$C$5:$C$85,'Travel Log'!$B$5:$B$85,A8,'Travel Log'!$C$5:$C$85,"&gt;0"))</f>
        <v/>
      </c>
      <c r="E8" s="9">
        <f>SUMIFS('Travel Log'!$E$5:$E$85,'Travel Log'!$B$5:$B$85,A8,'Travel Log'!$F$5:$F$85,"Visit")</f>
        <v/>
      </c>
      <c r="F8" s="9" t="inlineStr">
        <is>
          <t>Schengen C visa #1</t>
        </is>
      </c>
    </row>
    <row r="9">
      <c r="A9" s="9" t="inlineStr">
        <is>
          <t>Italy</t>
        </is>
      </c>
      <c r="B9" s="9">
        <f>COUNTIFS('Travel Log'!$B$5:$B$85,A9,'Travel Log'!$F$5:$F$85,"Visit")</f>
        <v/>
      </c>
      <c r="C9" s="12">
        <f>IF(COUNTIFS('Travel Log'!$B$5:$B$85,A9,'Travel Log'!$C$5:$C$85,"&gt;0")=0,"",_xlfn.MINIFS('Travel Log'!$C$5:$C$85,'Travel Log'!$B$5:$B$85,A9,'Travel Log'!$C$5:$C$85,"&gt;0"))</f>
        <v/>
      </c>
      <c r="D9" s="12">
        <f>IF(COUNTIFS('Travel Log'!$B$5:$B$85,A9,'Travel Log'!$C$5:$C$85,"&gt;0")=0,"",_xlfn.MAXIFS('Travel Log'!$C$5:$C$85,'Travel Log'!$B$5:$B$85,A9,'Travel Log'!$C$5:$C$85,"&gt;0"))</f>
        <v/>
      </c>
      <c r="E9" s="9">
        <f>SUMIFS('Travel Log'!$E$5:$E$85,'Travel Log'!$B$5:$B$85,A9,'Travel Log'!$F$5:$F$85,"Visit")</f>
        <v/>
      </c>
      <c r="F9" s="9" t="inlineStr">
        <is>
          <t>Schengen C visa #1</t>
        </is>
      </c>
    </row>
    <row r="10">
      <c r="A10" s="9" t="inlineStr">
        <is>
          <t>Nepal</t>
        </is>
      </c>
      <c r="B10" s="9">
        <f>COUNTIFS('Travel Log'!$B$5:$B$85,A10,'Travel Log'!$F$5:$F$85,"Visit")</f>
        <v/>
      </c>
      <c r="C10" s="12">
        <f>IF(COUNTIFS('Travel Log'!$B$5:$B$85,A10,'Travel Log'!$C$5:$C$85,"&gt;0")=0,"",_xlfn.MINIFS('Travel Log'!$C$5:$C$85,'Travel Log'!$B$5:$B$85,A10,'Travel Log'!$C$5:$C$85,"&gt;0"))</f>
        <v/>
      </c>
      <c r="D10" s="12">
        <f>IF(COUNTIFS('Travel Log'!$B$5:$B$85,A10,'Travel Log'!$C$5:$C$85,"&gt;0")=0,"",_xlfn.MAXIFS('Travel Log'!$C$5:$C$85,'Travel Log'!$B$5:$B$85,A10,'Travel Log'!$C$5:$C$85,"&gt;0"))</f>
        <v/>
      </c>
      <c r="E10" s="9">
        <f>SUMIFS('Travel Log'!$E$5:$E$85,'Travel Log'!$B$5:$B$85,A10,'Travel Log'!$F$5:$F$85,"Visit")</f>
        <v/>
      </c>
      <c r="F10" s="9" t="inlineStr">
        <is>
          <t>No visa needed; No visa needed (Indian PP)</t>
        </is>
      </c>
    </row>
    <row r="11">
      <c r="A11" s="9" t="inlineStr">
        <is>
          <t>Netherlands</t>
        </is>
      </c>
      <c r="B11" s="9">
        <f>COUNTIFS('Travel Log'!$B$5:$B$85,A11,'Travel Log'!$F$5:$F$85,"Visit")</f>
        <v/>
      </c>
      <c r="C11" s="12">
        <f>IF(COUNTIFS('Travel Log'!$B$5:$B$85,A11,'Travel Log'!$C$5:$C$85,"&gt;0")=0,"",_xlfn.MINIFS('Travel Log'!$C$5:$C$85,'Travel Log'!$B$5:$B$85,A11,'Travel Log'!$C$5:$C$85,"&gt;0"))</f>
        <v/>
      </c>
      <c r="D11" s="12">
        <f>IF(COUNTIFS('Travel Log'!$B$5:$B$85,A11,'Travel Log'!$C$5:$C$85,"&gt;0")=0,"",_xlfn.MAXIFS('Travel Log'!$C$5:$C$85,'Travel Log'!$B$5:$B$85,A11,'Travel Log'!$C$5:$C$85,"&gt;0"))</f>
        <v/>
      </c>
      <c r="E11" s="9">
        <f>SUMIFS('Travel Log'!$E$5:$E$85,'Travel Log'!$B$5:$B$85,A11,'Travel Log'!$F$5:$F$85,"Visit")</f>
        <v/>
      </c>
      <c r="F11" s="9" t="inlineStr">
        <is>
          <t>Schengen C visa #1</t>
        </is>
      </c>
    </row>
    <row r="12">
      <c r="A12" s="9" t="inlineStr">
        <is>
          <t>Sri Lanka</t>
        </is>
      </c>
      <c r="B12" s="9">
        <f>COUNTIFS('Travel Log'!$B$5:$B$85,A12,'Travel Log'!$F$5:$F$85,"Visit")</f>
        <v/>
      </c>
      <c r="C12" s="12">
        <f>IF(COUNTIFS('Travel Log'!$B$5:$B$85,A12,'Travel Log'!$C$5:$C$85,"&gt;0")=0,"",_xlfn.MINIFS('Travel Log'!$C$5:$C$85,'Travel Log'!$B$5:$B$85,A12,'Travel Log'!$C$5:$C$85,"&gt;0"))</f>
        <v/>
      </c>
      <c r="D12" s="12">
        <f>IF(COUNTIFS('Travel Log'!$B$5:$B$85,A12,'Travel Log'!$C$5:$C$85,"&gt;0")=0,"",_xlfn.MAXIFS('Travel Log'!$C$5:$C$85,'Travel Log'!$B$5:$B$85,A12,'Travel Log'!$C$5:$C$85,"&gt;0"))</f>
        <v/>
      </c>
      <c r="E12" s="9">
        <f>SUMIFS('Travel Log'!$E$5:$E$85,'Travel Log'!$B$5:$B$85,A12,'Travel Log'!$F$5:$F$85,"Visit")</f>
        <v/>
      </c>
      <c r="F12" s="9" t="inlineStr">
        <is>
          <t>ETA 30-day, 1st visit (exp 16/01/2020); ETA 30-day, 1st visit (exp 23/02/2022); ETA 30-day, 1st visit (exp 28/10/2019)</t>
        </is>
      </c>
    </row>
    <row r="13">
      <c r="A13" s="9" t="inlineStr">
        <is>
          <t>Switzerland</t>
        </is>
      </c>
      <c r="B13" s="9">
        <f>COUNTIFS('Travel Log'!$B$5:$B$85,A13,'Travel Log'!$F$5:$F$85,"Visit")</f>
        <v/>
      </c>
      <c r="C13" s="12">
        <f>IF(COUNTIFS('Travel Log'!$B$5:$B$85,A13,'Travel Log'!$C$5:$C$85,"&gt;0")=0,"",_xlfn.MINIFS('Travel Log'!$C$5:$C$85,'Travel Log'!$B$5:$B$85,A13,'Travel Log'!$C$5:$C$85,"&gt;0"))</f>
        <v/>
      </c>
      <c r="D13" s="12">
        <f>IF(COUNTIFS('Travel Log'!$B$5:$B$85,A13,'Travel Log'!$C$5:$C$85,"&gt;0")=0,"",_xlfn.MAXIFS('Travel Log'!$C$5:$C$85,'Travel Log'!$B$5:$B$85,A13,'Travel Log'!$C$5:$C$85,"&gt;0"))</f>
        <v/>
      </c>
      <c r="E13" s="9">
        <f>SUMIFS('Travel Log'!$E$5:$E$85,'Travel Log'!$B$5:$B$85,A13,'Travel Log'!$F$5:$F$85,"Visit")</f>
        <v/>
      </c>
      <c r="F13" s="9" t="inlineStr">
        <is>
          <t>Schengen C visa #1</t>
        </is>
      </c>
    </row>
    <row r="14">
      <c r="A14" s="9" t="inlineStr">
        <is>
          <t>Thailand</t>
        </is>
      </c>
      <c r="B14" s="9">
        <f>COUNTIFS('Travel Log'!$B$5:$B$85,A14,'Travel Log'!$F$5:$F$85,"Visit")</f>
        <v/>
      </c>
      <c r="C14" s="12">
        <f>IF(COUNTIFS('Travel Log'!$B$5:$B$85,A14,'Travel Log'!$C$5:$C$85,"&gt;0")=0,"",_xlfn.MINIFS('Travel Log'!$C$5:$C$85,'Travel Log'!$B$5:$B$85,A14,'Travel Log'!$C$5:$C$85,"&gt;0"))</f>
        <v/>
      </c>
      <c r="D14" s="12">
        <f>IF(COUNTIFS('Travel Log'!$B$5:$B$85,A14,'Travel Log'!$C$5:$C$85,"&gt;0")=0,"",_xlfn.MAXIFS('Travel Log'!$C$5:$C$85,'Travel Log'!$B$5:$B$85,A14,'Travel Log'!$C$5:$C$85,"&gt;0"))</f>
        <v/>
      </c>
      <c r="E14" s="9">
        <f>SUMIFS('Travel Log'!$E$5:$E$85,'Travel Log'!$B$5:$B$85,A14,'Travel Log'!$F$5:$F$85,"Visit")</f>
        <v/>
      </c>
      <c r="F14" s="9" t="inlineStr">
        <is>
          <t>Visa on Arrival; Visa on Arrival (30 days)</t>
        </is>
      </c>
    </row>
    <row r="15">
      <c r="A15" s="9" t="inlineStr">
        <is>
          <t>UAE</t>
        </is>
      </c>
      <c r="B15" s="9">
        <f>COUNTIFS('Travel Log'!$B$5:$B$85,A15,'Travel Log'!$F$5:$F$85,"Visit")</f>
        <v/>
      </c>
      <c r="C15" s="12">
        <f>IF(COUNTIFS('Travel Log'!$B$5:$B$85,A15,'Travel Log'!$C$5:$C$85,"&gt;0")=0,"",_xlfn.MINIFS('Travel Log'!$C$5:$C$85,'Travel Log'!$B$5:$B$85,A15,'Travel Log'!$C$5:$C$85,"&gt;0"))</f>
        <v/>
      </c>
      <c r="D15" s="12">
        <f>IF(COUNTIFS('Travel Log'!$B$5:$B$85,A15,'Travel Log'!$C$5:$C$85,"&gt;0")=0,"",_xlfn.MAXIFS('Travel Log'!$C$5:$C$85,'Travel Log'!$B$5:$B$85,A15,'Travel Log'!$C$5:$C$85,"&gt;0"))</f>
        <v/>
      </c>
      <c r="E15" s="9">
        <f>SUMIFS('Travel Log'!$E$5:$E$85,'Travel Log'!$B$5:$B$85,A15,'Travel Log'!$F$5:$F$85,"Visit")</f>
        <v/>
      </c>
      <c r="F15" s="9" t="inlineStr">
        <is>
          <t>Visa/entry per stamp (Indian PP)</t>
        </is>
      </c>
    </row>
    <row r="16">
      <c r="A16" s="9" t="inlineStr">
        <is>
          <t>USA</t>
        </is>
      </c>
      <c r="B16" s="9">
        <f>COUNTIFS('Travel Log'!$B$5:$B$85,A16,'Travel Log'!$F$5:$F$85,"Visit")</f>
        <v/>
      </c>
      <c r="C16" s="12">
        <f>IF(COUNTIFS('Travel Log'!$B$5:$B$85,A16,'Travel Log'!$C$5:$C$85,"&gt;0")=0,"",_xlfn.MINIFS('Travel Log'!$C$5:$C$85,'Travel Log'!$B$5:$B$85,A16,'Travel Log'!$C$5:$C$85,"&gt;0"))</f>
        <v/>
      </c>
      <c r="D16" s="12">
        <f>IF(COUNTIFS('Travel Log'!$B$5:$B$85,A16,'Travel Log'!$C$5:$C$85,"&gt;0")=0,"",_xlfn.MAXIFS('Travel Log'!$C$5:$C$85,'Travel Log'!$B$5:$B$85,A16,'Travel Log'!$C$5:$C$85,"&gt;0"))</f>
        <v/>
      </c>
      <c r="E16" s="9">
        <f>SUMIFS('Travel Log'!$E$5:$E$85,'Travel Log'!$B$5:$B$85,A16,'Travel Log'!$F$5:$F$85,"Visit")</f>
        <v/>
      </c>
      <c r="F16" s="9" t="inlineStr">
        <is>
          <t>B1/B2 10-yr visa (admitted until 03 Mar 2026)</t>
        </is>
      </c>
    </row>
    <row r="17">
      <c r="A17" s="9" t="inlineStr">
        <is>
          <t>United Kingdom</t>
        </is>
      </c>
      <c r="B17" s="9">
        <f>COUNTIFS('Travel Log'!$B$5:$B$85,A17,'Travel Log'!$F$5:$F$85,"Visit")</f>
        <v/>
      </c>
      <c r="C17" s="12">
        <f>IF(COUNTIFS('Travel Log'!$B$5:$B$85,A17,'Travel Log'!$C$5:$C$85,"&gt;0")=0,"",_xlfn.MINIFS('Travel Log'!$C$5:$C$85,'Travel Log'!$B$5:$B$85,A17,'Travel Log'!$C$5:$C$85,"&gt;0"))</f>
        <v/>
      </c>
      <c r="D17" s="12">
        <f>IF(COUNTIFS('Travel Log'!$B$5:$B$85,A17,'Travel Log'!$C$5:$C$85,"&gt;0")=0,"",_xlfn.MAXIFS('Travel Log'!$C$5:$C$85,'Travel Log'!$B$5:$B$85,A17,'Travel Log'!$C$5:$C$85,"&gt;0"))</f>
        <v/>
      </c>
      <c r="E17" s="9">
        <f>SUMIFS('Travel Log'!$E$5:$E$85,'Travel Log'!$B$5:$B$85,A17,'Travel Log'!$F$5:$F$85,"Visit")</f>
        <v/>
      </c>
      <c r="F17" s="9" t="inlineStr">
        <is>
          <t>UK Standard Visitor C-visit, multiple, 29 Jun-29 Dec 2024</t>
        </is>
      </c>
    </row>
    <row r="18">
      <c r="A18" s="9" t="inlineStr">
        <is>
          <t>Vatican City</t>
        </is>
      </c>
      <c r="B18" s="9">
        <f>COUNTIFS('Travel Log'!$B$5:$B$85,A18,'Travel Log'!$F$5:$F$85,"Visit")</f>
        <v/>
      </c>
      <c r="C18" s="12">
        <f>IF(COUNTIFS('Travel Log'!$B$5:$B$85,A18,'Travel Log'!$C$5:$C$85,"&gt;0")=0,"",_xlfn.MINIFS('Travel Log'!$C$5:$C$85,'Travel Log'!$B$5:$B$85,A18,'Travel Log'!$C$5:$C$85,"&gt;0"))</f>
        <v/>
      </c>
      <c r="D18" s="12">
        <f>IF(COUNTIFS('Travel Log'!$B$5:$B$85,A18,'Travel Log'!$C$5:$C$85,"&gt;0")=0,"",_xlfn.MAXIFS('Travel Log'!$C$5:$C$85,'Travel Log'!$B$5:$B$85,A18,'Travel Log'!$C$5:$C$85,"&gt;0"))</f>
        <v/>
      </c>
      <c r="E18" s="9">
        <f>SUMIFS('Travel Log'!$E$5:$E$85,'Travel Log'!$B$5:$B$85,A18,'Travel Log'!$F$5:$F$85,"Visit")</f>
        <v/>
      </c>
      <c r="F18" s="9" t="inlineStr">
        <is>
          <t>Schengen C visa #1 (Vatican has open border with Italy)</t>
        </is>
      </c>
    </row>
    <row r="20">
      <c r="A20" s="4" t="inlineStr">
        <is>
          <t>TOTAL</t>
        </is>
      </c>
      <c r="B20" s="4">
        <f>SUM(B5:B18)</f>
        <v/>
      </c>
      <c r="E20" s="4">
        <f>SUM(E5:E18)</f>
        <v/>
      </c>
    </row>
    <row r="22" ht="45" customHeight="1">
      <c r="A22" s="8" t="inlineStr">
        <is>
          <t>Schengen trip 15-27 Jul 2024: France (entry CDG), Belgium, Netherlands, Germany, Switzerland, Italy/Rome + Vatican City (exit Milan) - internal borders are not stamped, so per-country dates are blank until you add them.</t>
        </is>
      </c>
    </row>
  </sheetData>
  <mergeCells count="1">
    <mergeCell ref="A22:F22"/>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19"/>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1">
      <c r="A11" s="13" t="inlineStr">
        <is>
          <t>PASSPORT</t>
        </is>
      </c>
    </row>
    <row r="12">
      <c r="A12" s="4" t="inlineStr">
        <is>
          <t>Document</t>
        </is>
      </c>
      <c r="B12" t="inlineStr">
        <is>
          <t>Indian ordinary passport (36 pages)</t>
        </is>
      </c>
    </row>
    <row r="13">
      <c r="A13" s="4" t="inlineStr">
        <is>
          <t>Issued</t>
        </is>
      </c>
      <c r="B13" s="5" t="n">
        <v>43361</v>
      </c>
    </row>
    <row r="14">
      <c r="A14" s="4" t="inlineStr">
        <is>
          <t>Expires</t>
        </is>
      </c>
      <c r="B14" s="5" t="n">
        <v>47013</v>
      </c>
    </row>
    <row r="15">
      <c r="A15" s="4" t="inlineStr">
        <is>
          <t>Place of issue</t>
        </is>
      </c>
      <c r="B15" t="inlineStr">
        <is>
          <t>Hyderabad</t>
        </is>
      </c>
    </row>
    <row r="16">
      <c r="A16" s="4" t="inlineStr">
        <is>
          <t>Days to expiry</t>
        </is>
      </c>
      <c r="B16" s="14">
        <f>B14-TODAY()</f>
        <v/>
      </c>
    </row>
    <row r="17">
      <c r="A17" s="4" t="inlineStr">
        <is>
          <t>6-month rule date</t>
        </is>
      </c>
      <c r="B17" s="5">
        <f>EDATE(B14,-6)</f>
        <v/>
      </c>
    </row>
    <row r="18">
      <c r="A18" s="4" t="inlineStr">
        <is>
          <t>Start renewal by</t>
        </is>
      </c>
      <c r="B18" s="5">
        <f>EDATE(B14,-12)</f>
        <v/>
      </c>
    </row>
    <row r="19">
      <c r="A19" t="inlineStr">
        <is>
          <t>Old passport (issued 15/10/2008, Bangalore) not supplied - earlier travel not captured.</t>
        </is>
      </c>
    </row>
  </sheetData>
  <conditionalFormatting sqref="H5:H30">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HIGH (Kailash)</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N10"/>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Mysore Dasara</t>
        </is>
      </c>
      <c r="C5" s="9" t="inlineStr">
        <is>
          <t>Mysuru, Karnataka, India</t>
        </is>
      </c>
      <c r="D5" s="9" t="inlineStr">
        <is>
          <t>Festival yatra</t>
        </is>
      </c>
      <c r="E5" s="9" t="inlineStr">
        <is>
          <t>Sep-Oct (Navaratri)</t>
        </is>
      </c>
      <c r="F5" s="9" t="inlineStr">
        <is>
          <t>10 days ending Vijayadashami; Jamboo Savari on the last day</t>
        </is>
      </c>
      <c r="G5" s="9" t="inlineStr">
        <is>
          <t>3-4</t>
        </is>
      </c>
      <c r="H5" s="9" t="inlineStr">
        <is>
          <t>None (domestic)</t>
        </is>
      </c>
      <c r="I5" s="9" t="inlineStr">
        <is>
          <t>Palace illumination, Chamundi Hill, Jamboo Savari procession. Book stay months ahead; ISKCON Mysore nearby. Combine with Srirangapatna, Melukote.</t>
        </is>
      </c>
      <c r="J5" s="19" t="inlineStr">
        <is>
          <t>High</t>
        </is>
      </c>
      <c r="K5" s="19" t="inlineStr">
        <is>
          <t>Idea</t>
        </is>
      </c>
      <c r="L5" s="19" t="inlineStr"/>
      <c r="M5" s="19" t="inlineStr"/>
      <c r="N5" s="12" t="n">
        <v>46316</v>
      </c>
    </row>
    <row r="6">
      <c r="A6" s="9" t="n">
        <v>2</v>
      </c>
      <c r="B6" s="9" t="inlineStr">
        <is>
          <t>Tirupati Balaji Brahmotsavam</t>
        </is>
      </c>
      <c r="C6" s="9" t="inlineStr">
        <is>
          <t>Tirumala, Andhra Pradesh, India</t>
        </is>
      </c>
      <c r="D6" s="9" t="inlineStr">
        <is>
          <t>Festival yatra</t>
        </is>
      </c>
      <c r="E6" s="9" t="inlineStr">
        <is>
          <t>Sep-Oct (Salakatla Brahmotsavam); some years a 2nd Navaratri Brahmotsavam</t>
        </is>
      </c>
      <c r="F6" s="9" t="inlineStr">
        <is>
          <t>9 days; Garuda Seva day is the peak</t>
        </is>
      </c>
      <c r="G6" s="9" t="inlineStr">
        <is>
          <t>2-3</t>
        </is>
      </c>
      <c r="H6" s="9" t="inlineStr">
        <is>
          <t>None; TTD darshan tokens / SED booking via tirupatibalaji.ap.gov.in</t>
        </is>
      </c>
      <c r="I6" s="9" t="inlineStr">
        <is>
          <t>Vahana sevas each morning/evening; Garuda Seva night draws lakhs. Arrange accommodation via TTD or HKM contacts well in advance.</t>
        </is>
      </c>
      <c r="J6" s="19" t="inlineStr">
        <is>
          <t>High</t>
        </is>
      </c>
      <c r="K6" s="19" t="inlineStr">
        <is>
          <t>Idea</t>
        </is>
      </c>
      <c r="L6" s="19" t="inlineStr"/>
      <c r="M6" s="19" t="inlineStr"/>
      <c r="N6" s="12" t="n">
        <v>46316</v>
      </c>
    </row>
    <row r="7">
      <c r="A7" s="9" t="n">
        <v>3</v>
      </c>
      <c r="B7" s="9" t="inlineStr">
        <is>
          <t>Vaishno Devi</t>
        </is>
      </c>
      <c r="C7" s="9" t="inlineStr">
        <is>
          <t>Katra, Jammu &amp; Kashmir, India</t>
        </is>
      </c>
      <c r="D7" s="9" t="inlineStr">
        <is>
          <t>Shakti-peetha trek</t>
        </is>
      </c>
      <c r="E7" s="9" t="inlineStr">
        <is>
          <t>Mar-Jun and Sep-Nov (avoid peak summer rush and Jan snow)</t>
        </is>
      </c>
      <c r="F7" s="9" t="inlineStr">
        <is>
          <t>Navaratri very crowded</t>
        </is>
      </c>
      <c r="G7" s="9" t="inlineStr">
        <is>
          <t>3-4 (with travel)</t>
        </is>
      </c>
      <c r="H7" s="9" t="inlineStr">
        <is>
          <t>None; free RFID yatra card from SMVDSB (online or Katra)</t>
        </is>
      </c>
      <c r="I7" s="9" t="inlineStr">
        <is>
          <t>13 km trek from Katra (ponies/palki/helicopter available). Combine with Jammu Raghunath temple; optionally Amritsar.</t>
        </is>
      </c>
      <c r="J7" s="19" t="inlineStr">
        <is>
          <t>High</t>
        </is>
      </c>
      <c r="K7" s="19" t="inlineStr">
        <is>
          <t>Idea</t>
        </is>
      </c>
      <c r="L7" s="19" t="inlineStr"/>
      <c r="M7" s="19" t="inlineStr"/>
      <c r="N7" s="12" t="n">
        <v>46316</v>
      </c>
    </row>
    <row r="8">
      <c r="A8" s="9" t="n">
        <v>4</v>
      </c>
      <c r="B8" s="9" t="inlineStr">
        <is>
          <t>Amarnath Yatra</t>
        </is>
      </c>
      <c r="C8" s="9" t="inlineStr">
        <is>
          <t>Pahalgam / Baltal, Jammu &amp; Kashmir, India</t>
        </is>
      </c>
      <c r="D8" s="9" t="inlineStr">
        <is>
          <t>High-altitude cave pilgrimage</t>
        </is>
      </c>
      <c r="E8" s="9" t="inlineStr">
        <is>
          <t>Jul-Aug only (yatra window set yearly by SASB)</t>
        </is>
      </c>
      <c r="F8" s="9" t="inlineStr">
        <is>
          <t>~45-60 days, Ashadha Purnima to Shravana Purnima (Raksha Bandhan)</t>
        </is>
      </c>
      <c r="G8" s="9" t="inlineStr">
        <is>
          <t>5-7</t>
        </is>
      </c>
      <c r="H8" s="9" t="inlineStr">
        <is>
          <t>Compulsory SASB registration + Compulsory Health Certificate from authorised doctor; RFID card; age 13-70</t>
        </is>
      </c>
      <c r="I8" s="9" t="inlineStr">
        <is>
          <t>Register as soon as the window opens (Mar-Apr). Pahalgam route 32 km (3 days) or Baltal 14 km (1 day); helicopter options. Needs fitness prep.</t>
        </is>
      </c>
      <c r="J8" s="19" t="inlineStr">
        <is>
          <t>High</t>
        </is>
      </c>
      <c r="K8" s="19" t="inlineStr">
        <is>
          <t>Idea</t>
        </is>
      </c>
      <c r="L8" s="19" t="inlineStr"/>
      <c r="M8" s="19" t="inlineStr"/>
      <c r="N8" s="12" t="n">
        <v>46316</v>
      </c>
    </row>
    <row r="9">
      <c r="A9" s="9" t="n">
        <v>5</v>
      </c>
      <c r="B9" s="9" t="inlineStr">
        <is>
          <t>Seven Sisters (North-East India)</t>
        </is>
      </c>
      <c r="C9" s="9" t="inlineStr">
        <is>
          <t>Assam, Meghalaya, Arunachal, Nagaland, Manipur, Mizoram, Tripura</t>
        </is>
      </c>
      <c r="D9" s="9" t="inlineStr">
        <is>
          <t>Multi-state exploration yatra</t>
        </is>
      </c>
      <c r="E9" s="9" t="inlineStr">
        <is>
          <t>Oct-Apr (dry, clear)</t>
        </is>
      </c>
      <c r="F9" s="9" t="inlineStr">
        <is>
          <t>Avoid Jun-Sep monsoon</t>
        </is>
      </c>
      <c r="G9" s="9" t="inlineStr">
        <is>
          <t>10-14</t>
        </is>
      </c>
      <c r="H9" s="9" t="inlineStr">
        <is>
          <t>Inner Line Permit (ILP) for Arunachal, Nagaland, Mizoram, Manipur - online; none for Assam/Meghalaya/Tripura</t>
        </is>
      </c>
      <c r="I9" s="9" t="inlineStr">
        <is>
          <t>Kamakhya (Guwahati), Majuli satras (Vaishnava), Tawang monastery, Cherrapunji/Living root bridges, Loktak lake, Tripureshwari temple. Plan as 2 circuits (Assam-Meghalaya-Arunachal; Manipur-Mizoram-Tripura-Nagaland).</t>
        </is>
      </c>
      <c r="J9" s="19" t="inlineStr">
        <is>
          <t>Medium</t>
        </is>
      </c>
      <c r="K9" s="19" t="inlineStr">
        <is>
          <t>Idea</t>
        </is>
      </c>
      <c r="L9" s="19" t="inlineStr"/>
      <c r="M9" s="19" t="inlineStr"/>
      <c r="N9" s="12" t="n">
        <v>46316</v>
      </c>
    </row>
    <row r="10">
      <c r="A10" s="9" t="n">
        <v>6</v>
      </c>
      <c r="B10" s="9" t="inlineStr">
        <is>
          <t>Kerala</t>
        </is>
      </c>
      <c r="C10" s="9" t="inlineStr">
        <is>
          <t>Kerala, India</t>
        </is>
      </c>
      <c r="D10" s="9" t="inlineStr">
        <is>
          <t>Temple + culture yatra</t>
        </is>
      </c>
      <c r="E10" s="9" t="inlineStr">
        <is>
          <t>Oct-Mar; Sabarimala season Nov-Jan</t>
        </is>
      </c>
      <c r="F10" s="9" t="inlineStr">
        <is>
          <t>Guruvayur Ekadasi (Nov-Dec); Thrissur Pooram (Apr-May)</t>
        </is>
      </c>
      <c r="G10" s="9" t="inlineStr">
        <is>
          <t>6-8</t>
        </is>
      </c>
      <c r="H10" s="9" t="inlineStr">
        <is>
          <t>None (domestic); Sabarimala needs virtual-queue booking</t>
        </is>
      </c>
      <c r="I10" s="9" t="inlineStr">
        <is>
          <t>Guruvayur, Padmanabhaswamy (dress code), Sabarimala, Ambalappuzha, Aranmula, Chottanikkara; backwaters. Combine with Kanyakumari/Suchindram.</t>
        </is>
      </c>
      <c r="J10" s="19" t="inlineStr">
        <is>
          <t>Medium</t>
        </is>
      </c>
      <c r="K10" s="19" t="inlineStr">
        <is>
          <t>Idea</t>
        </is>
      </c>
      <c r="L10" s="19" t="inlineStr"/>
      <c r="M10" s="19" t="inlineStr"/>
      <c r="N10" s="12" t="n">
        <v>46316</v>
      </c>
    </row>
  </sheetData>
  <autoFilter ref="A4:N110"/>
  <conditionalFormatting sqref="K5:K110">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0" showDropDown="0" showInputMessage="0" showErrorMessage="0" allowBlank="1" type="list">
      <formula1>"Idea,Researching,Planned,Booked,Done,Dropped"</formula1>
    </dataValidation>
    <dataValidation sqref="J5:J110" showDropDown="0" showInputMessage="0" showErrorMessage="0" allowBlank="1" type="list">
      <formula1>"High,Medium,Low"</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Sri Lanka (Ramayan Yatra)</t>
        </is>
      </c>
      <c r="B7" s="12" t="n">
        <v>46040</v>
      </c>
      <c r="C7" s="12" t="n">
        <v>46048</v>
      </c>
      <c r="D7" s="9" t="inlineStr">
        <is>
          <t>Dashboard 'MKCD' column</t>
        </is>
      </c>
      <c r="E7" s="9" t="inlineStr">
        <is>
          <t>Future relative to scan; confirm if done</t>
        </is>
      </c>
      <c r="F7" s="9" t="inlineStr">
        <is>
          <t>Confirm</t>
        </is>
      </c>
      <c r="G7" s="19" t="inlineStr"/>
    </row>
    <row r="8">
      <c r="A8" s="9" t="inlineStr">
        <is>
          <t>Australia (Yatra)</t>
        </is>
      </c>
      <c r="B8" s="12" t="n">
        <v>46063</v>
      </c>
      <c r="C8" s="12" t="n">
        <v>46072</v>
      </c>
      <c r="D8" s="9" t="inlineStr">
        <is>
          <t>Dashboard 'MKCD' column</t>
        </is>
      </c>
      <c r="E8" s="9" t="inlineStr">
        <is>
          <t>Visa granted 13 Nov 2025; would be FIRST Australia entry - confirm</t>
        </is>
      </c>
      <c r="F8" s="9" t="inlineStr">
        <is>
          <t>Confirm</t>
        </is>
      </c>
      <c r="G8" s="19" t="inlineStr"/>
    </row>
    <row r="9">
      <c r="A9" s="9" t="inlineStr">
        <is>
          <t>Bali, Indonesia</t>
        </is>
      </c>
      <c r="B9" s="12" t="n">
        <v>46074</v>
      </c>
      <c r="C9" s="12" t="n">
        <v>46080</v>
      </c>
      <c r="D9" s="9" t="inlineStr">
        <is>
          <t>Dashboard 'MKCD' column</t>
        </is>
      </c>
      <c r="E9" s="9" t="inlineStr">
        <is>
          <t>Confirm</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2026-10-21T06:45:35Z</dcterms:created>
  <dcterms:modified xmlns:dcterms="http://purl.org/dc/terms/" xmlns:xsi="http://www.w3.org/2001/XMLSchema-instance" xsi:type="dcterms:W3CDTF">2026-10-21T06:45:35Z</dcterms:modified>
</cp:coreProperties>
</file>
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To Confirm" sheetId="8" state="visible" r:id="rId8"/>
    <sheet xmlns:r="http://schemas.openxmlformats.org/officeDocument/2006/relationships" name="Alerts" sheetId="9" state="visible" r:id="rId9"/>
    <sheet xmlns:r="http://schemas.openxmlformats.org/officeDocument/2006/relationships" name="Sources &amp; Method" sheetId="10" state="visible" r:id="rId10"/>
  </sheets>
  <definedNames>
    <definedName name="_xlnm._FilterDatabase" localSheetId="1" hidden="1">'Travel Log'!$A$4:$L$80</definedName>
    <definedName name="_xlnm._FilterDatabase" localSheetId="4" hidden="1">'Access Map'!$A$4:$N$40</definedName>
    <definedName name="_xlnm._FilterDatabase" localSheetId="6" hidden="1">'Yatra Visa Planner'!$A$4:$K$36</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6"/>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Summary'!B5:B13,"&gt;0")</f>
        <v/>
      </c>
      <c r="C14" t="inlineStr">
        <is>
          <t>Excludes transit-only (Italy)</t>
        </is>
      </c>
    </row>
    <row r="15">
      <c r="A15" s="4" t="inlineStr">
        <is>
          <t>Total international visits logged</t>
        </is>
      </c>
      <c r="B15" s="6">
        <f>'Country Summary'!B15</f>
        <v/>
      </c>
      <c r="C15" t="inlineStr">
        <is>
          <t>Each entry = one visit</t>
        </is>
      </c>
    </row>
    <row r="16">
      <c r="A16" s="4" t="inlineStr">
        <is>
          <t>Visits to most-visited country</t>
        </is>
      </c>
      <c r="B16" s="6">
        <f>MAX('Country Summary'!B5:B13)</f>
        <v/>
      </c>
      <c r="C16" t="inlineStr"/>
    </row>
    <row r="17">
      <c r="A17" s="4" t="inlineStr">
        <is>
          <t>Destinations reachable NOW via visa privileges</t>
        </is>
      </c>
      <c r="B17" s="6">
        <f>COUNTIF('Access Map'!N5:N40,"YES")</f>
        <v/>
      </c>
      <c r="C17" t="inlineStr">
        <is>
          <t>Excludes visa-free countries for Indians; see Access Map</t>
        </is>
      </c>
    </row>
    <row r="18">
      <c r="A18" s="4" t="inlineStr">
        <is>
          <t>Valid visas right now</t>
        </is>
      </c>
      <c r="B18" s="6">
        <f>COUNTIF('Visas Held'!H5:H30,"VALID")</f>
        <v/>
      </c>
      <c r="C18" t="inlineStr"/>
    </row>
    <row r="19">
      <c r="A19" s="4" t="inlineStr">
        <is>
          <t>Expired visas to renew</t>
        </is>
      </c>
      <c r="B19" s="6">
        <f>COUNTIF('Visas Held'!H5:H30,"EXPIRED")</f>
        <v/>
      </c>
      <c r="C19" t="inlineStr">
        <is>
          <t>Schengen &amp; UK</t>
        </is>
      </c>
    </row>
    <row r="21">
      <c r="A21" s="7" t="inlineStr">
        <is>
          <t>Top actions</t>
        </is>
      </c>
    </row>
    <row r="22" ht="48" customHeight="1">
      <c r="A22" s="8" t="inlineStr">
        <is>
          <t>Passport expires 17 Sep 2028</t>
        </is>
      </c>
      <c r="C22"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3" ht="48" customHeight="1">
      <c r="A23" s="8" t="inlineStr">
        <is>
          <t>Schengen: no valid visa</t>
        </is>
      </c>
      <c r="C23" s="8" t="inlineStr">
        <is>
          <t>Both France visas expired (Apr 2026). You now have 2 lawful visas in 3 years -&gt; eligible for the EU 'cascade' 2-year multiple-entry visa. Apply 3 months before the next Europe yatra.</t>
        </is>
      </c>
    </row>
    <row r="24" ht="48" customHeight="1">
      <c r="A24" s="8" t="inlineStr">
        <is>
          <t>UK: no valid visa</t>
        </is>
      </c>
      <c r="C24" s="8" t="inlineStr">
        <is>
          <t>UK visa expired 29 Dec 2024. Apply 3-4 weeks ahead; consider a 2-year or 5-year Standard Visitor visa if you will return often.</t>
        </is>
      </c>
    </row>
    <row r="25" ht="48" customHeight="1">
      <c r="A25" s="8" t="inlineStr">
        <is>
          <t>Australia: confirm stream</t>
        </is>
      </c>
      <c r="C25" s="8" t="inlineStr">
        <is>
          <t>Visa is Business Visitor stream (condition 8115). A pilgrimage yatra with devotees may count as tourism - confirm whether to apply for a Tourist-stream visa.</t>
        </is>
      </c>
    </row>
    <row r="26" ht="48" customHeight="1">
      <c r="A26" s="8" t="inlineStr">
        <is>
          <t>Malaysia visa-free ends 31 Dec 2026</t>
        </is>
      </c>
      <c r="C26"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0"/>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45102</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(entry day partly legible), Thai departed 27 Jun 2023; India dep. RGI Hyderabad 24 Jun 2023</t>
        </is>
      </c>
      <c r="K14" s="11" t="inlineStr">
        <is>
          <t>Check</t>
        </is>
      </c>
      <c r="L14" s="9" t="inlineStr">
        <is>
          <t>Entry date approx. (24/25 Jun) - please confirm</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~12 days; other Schengen countries visited not stamped - add from itinerary</t>
        </is>
      </c>
    </row>
    <row r="17">
      <c r="A17" s="9" t="n">
        <v>13</v>
      </c>
      <c r="B17" s="9" t="inlineStr">
        <is>
          <t>Italy</t>
        </is>
      </c>
      <c r="C17" s="10" t="n">
        <v>45500</v>
      </c>
      <c r="D17" s="10" t="n">
        <v>45500</v>
      </c>
      <c r="E17" s="9">
        <f>IF(AND(ISNUMBER(C17),ISNUMBER(D17)),D17-C17+1,"")</f>
        <v/>
      </c>
      <c r="F17" s="9" t="inlineStr">
        <is>
          <t>Transit</t>
        </is>
      </c>
      <c r="G17" s="9" t="inlineStr">
        <is>
          <t>Milan Malpensa (MXP)</t>
        </is>
      </c>
      <c r="H17" s="9" t="inlineStr">
        <is>
          <t>Milan Malpensa (MXP) -&gt; London Gatwick</t>
        </is>
      </c>
      <c r="I17" s="9" t="inlineStr">
        <is>
          <t>Schengen C visa #1</t>
        </is>
      </c>
      <c r="J17" s="9" t="inlineStr">
        <is>
          <t>Passport p.17: Malpensa stamp 27 Jul 2024</t>
        </is>
      </c>
      <c r="K17" s="11" t="inlineStr">
        <is>
          <t>Check</t>
        </is>
      </c>
      <c r="L17" s="9" t="inlineStr">
        <is>
          <t>Exit/transit stamp (same day as UK entry)</t>
        </is>
      </c>
    </row>
    <row r="18">
      <c r="A18" s="9" t="n">
        <v>14</v>
      </c>
      <c r="B18" s="9" t="inlineStr">
        <is>
          <t>United Kingdom</t>
        </is>
      </c>
      <c r="C18" s="12" t="n">
        <v>45500</v>
      </c>
      <c r="D18" s="10" t="n"/>
      <c r="E18" s="9">
        <f>IF(AND(ISNUMBER(C18),ISNUMBER(D18)),D18-C18+1,"")</f>
        <v/>
      </c>
      <c r="F18" s="9" t="inlineStr">
        <is>
          <t>Visit</t>
        </is>
      </c>
      <c r="G18" s="9" t="inlineStr">
        <is>
          <t>London Gatwick</t>
        </is>
      </c>
      <c r="H18" s="9" t="inlineStr">
        <is>
          <t>(UK does not stamp exit)</t>
        </is>
      </c>
      <c r="I18" s="9" t="inlineStr">
        <is>
          <t>UK Standard Visitor C-visit, multiple, 29 Jun-29 Dec 2024</t>
        </is>
      </c>
      <c r="J18" s="9" t="inlineStr">
        <is>
          <t>Passport p.23: Gatwick stamp 27 Jul 2024</t>
        </is>
      </c>
      <c r="K18" s="9" t="inlineStr">
        <is>
          <t>High</t>
        </is>
      </c>
      <c r="L18" s="9" t="inlineStr">
        <is>
          <t>Left UK by 01 Aug 2024 (UAE entry)</t>
        </is>
      </c>
    </row>
    <row r="19">
      <c r="A19" s="9" t="n">
        <v>15</v>
      </c>
      <c r="B19" s="9" t="inlineStr">
        <is>
          <t>UAE</t>
        </is>
      </c>
      <c r="C19" s="12" t="n">
        <v>45505</v>
      </c>
      <c r="D19" s="10" t="n"/>
      <c r="E19" s="9">
        <f>IF(AND(ISNUMBER(C19),ISNUMBER(D19)),D19-C19+1,"")</f>
        <v/>
      </c>
      <c r="F19" s="9" t="inlineStr">
        <is>
          <t>Visit</t>
        </is>
      </c>
      <c r="G19" s="9" t="inlineStr">
        <is>
          <t>Dubai Intl (DXB)</t>
        </is>
      </c>
      <c r="H19" s="9" t="inlineStr">
        <is>
          <t>(UAE does not stamp exit)</t>
        </is>
      </c>
      <c r="I19" s="9" t="inlineStr">
        <is>
          <t>Visa/entry per stamp (Indian PP)</t>
        </is>
      </c>
      <c r="J19" s="9" t="inlineStr">
        <is>
          <t>Passport p.10: UAE entry stamp 01 Aug 2024; India arrival RGI Hyderabad 05 Aug 2024</t>
        </is>
      </c>
      <c r="K19" s="9" t="inlineStr">
        <is>
          <t>High</t>
        </is>
      </c>
      <c r="L19" s="9" t="inlineStr">
        <is>
          <t>Stayed up to ~4 days</t>
        </is>
      </c>
    </row>
    <row r="20">
      <c r="A20" s="9" t="n">
        <v>16</v>
      </c>
      <c r="B20" s="9" t="inlineStr">
        <is>
          <t>USA</t>
        </is>
      </c>
      <c r="C20" s="12" t="n">
        <v>45904</v>
      </c>
      <c r="D20" s="12" t="n">
        <v>45930</v>
      </c>
      <c r="E20" s="9">
        <f>IF(AND(ISNUMBER(C20),ISNUMBER(D20)),D20-C20+1,"")</f>
        <v/>
      </c>
      <c r="F20" s="9" t="inlineStr">
        <is>
          <t>Visit</t>
        </is>
      </c>
      <c r="G20" s="9" t="inlineStr">
        <is>
          <t>USA (CBP admitted 04 Sep 2025)</t>
        </is>
      </c>
      <c r="H20" s="9" t="inlineStr">
        <is>
          <t>USA -&gt; Mumbai</t>
        </is>
      </c>
      <c r="I20" s="9" t="inlineStr">
        <is>
          <t>B1/B2 10-yr visa (admitted until 03 Mar 2026)</t>
        </is>
      </c>
      <c r="J20" s="9" t="inlineStr">
        <is>
          <t>Passport p.26 + p.10: India dep. New Delhi 03 Sep 2025; CBP stamp 04 Sep 2025; India arrival Mumbai 30 Sep 2025</t>
        </is>
      </c>
      <c r="K20" s="9" t="inlineStr">
        <is>
          <t>High</t>
        </is>
      </c>
      <c r="L20" s="9" t="inlineStr">
        <is>
          <t>First use of US visa</t>
        </is>
      </c>
    </row>
  </sheetData>
  <autoFilter ref="A4:L80"/>
  <dataValidations count="1">
    <dataValidation sqref="F5:F80"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17"/>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Cambodia</t>
        </is>
      </c>
      <c r="B5" s="9">
        <f>COUNTIFS('Travel Log'!$B$5:$B$80,A5,'Travel Log'!$F$5:$F$80,"Visit")</f>
        <v/>
      </c>
      <c r="C5" s="12">
        <f>IFERROR(_xlfn.MINIFS('Travel Log'!$C$5:$C$80,'Travel Log'!$B$5:$B$80,A5),"")</f>
        <v/>
      </c>
      <c r="D5" s="12">
        <f>IFERROR(_xlfn.MAXIFS('Travel Log'!$C$5:$C$80,'Travel Log'!$B$5:$B$80,A5),"")</f>
        <v/>
      </c>
      <c r="E5" s="9">
        <f>SUMIFS('Travel Log'!$E$5:$E$80,'Travel Log'!$B$5:$B$80,A5,'Travel Log'!$F$5:$F$80,"Visit")</f>
        <v/>
      </c>
      <c r="F5" s="9" t="inlineStr">
        <is>
          <t>e-Visa (valid 27 Jun-26 Jul 2023); e-Visa (valid to 07 Mar 2023)</t>
        </is>
      </c>
    </row>
    <row r="6">
      <c r="A6" s="9" t="inlineStr">
        <is>
          <t>France</t>
        </is>
      </c>
      <c r="B6" s="9">
        <f>COUNTIFS('Travel Log'!$B$5:$B$80,A6,'Travel Log'!$F$5:$F$80,"Visit")</f>
        <v/>
      </c>
      <c r="C6" s="12">
        <f>IFERROR(_xlfn.MINIFS('Travel Log'!$C$5:$C$80,'Travel Log'!$B$5:$B$80,A6),"")</f>
        <v/>
      </c>
      <c r="D6" s="12">
        <f>IFERROR(_xlfn.MAXIFS('Travel Log'!$C$5:$C$80,'Travel Log'!$B$5:$B$80,A6),"")</f>
        <v/>
      </c>
      <c r="E6" s="9">
        <f>SUMIFS('Travel Log'!$E$5:$E$80,'Travel Log'!$B$5:$B$80,A6,'Travel Log'!$F$5:$F$80,"Visit")</f>
        <v/>
      </c>
      <c r="F6" s="9" t="inlineStr">
        <is>
          <t>Schengen C visa #1 (France-issued, Pondicherry)</t>
        </is>
      </c>
    </row>
    <row r="7">
      <c r="A7" s="9" t="inlineStr">
        <is>
          <t>Italy</t>
        </is>
      </c>
      <c r="B7" s="9">
        <f>COUNTIFS('Travel Log'!$B$5:$B$80,A7,'Travel Log'!$F$5:$F$80,"Visit")</f>
        <v/>
      </c>
      <c r="C7" s="12">
        <f>IFERROR(_xlfn.MINIFS('Travel Log'!$C$5:$C$80,'Travel Log'!$B$5:$B$80,A7),"")</f>
        <v/>
      </c>
      <c r="D7" s="12">
        <f>IFERROR(_xlfn.MAXIFS('Travel Log'!$C$5:$C$80,'Travel Log'!$B$5:$B$80,A7),"")</f>
        <v/>
      </c>
      <c r="E7" s="9">
        <f>SUMIFS('Travel Log'!$E$5:$E$80,'Travel Log'!$B$5:$B$80,A7,'Travel Log'!$F$5:$F$80,"Visit")</f>
        <v/>
      </c>
      <c r="F7" s="9" t="inlineStr">
        <is>
          <t>Schengen C visa #1</t>
        </is>
      </c>
    </row>
    <row r="8">
      <c r="A8" s="9" t="inlineStr">
        <is>
          <t>Nepal</t>
        </is>
      </c>
      <c r="B8" s="9">
        <f>COUNTIFS('Travel Log'!$B$5:$B$80,A8,'Travel Log'!$F$5:$F$80,"Visit")</f>
        <v/>
      </c>
      <c r="C8" s="12">
        <f>IFERROR(_xlfn.MINIFS('Travel Log'!$C$5:$C$80,'Travel Log'!$B$5:$B$80,A8),"")</f>
        <v/>
      </c>
      <c r="D8" s="12">
        <f>IFERROR(_xlfn.MAXIFS('Travel Log'!$C$5:$C$80,'Travel Log'!$B$5:$B$80,A8),"")</f>
        <v/>
      </c>
      <c r="E8" s="9">
        <f>SUMIFS('Travel Log'!$E$5:$E$80,'Travel Log'!$B$5:$B$80,A8,'Travel Log'!$F$5:$F$80,"Visit")</f>
        <v/>
      </c>
      <c r="F8" s="9" t="inlineStr">
        <is>
          <t>No visa needed; No visa needed (Indian PP)</t>
        </is>
      </c>
    </row>
    <row r="9">
      <c r="A9" s="9" t="inlineStr">
        <is>
          <t>Sri Lanka</t>
        </is>
      </c>
      <c r="B9" s="9">
        <f>COUNTIFS('Travel Log'!$B$5:$B$80,A9,'Travel Log'!$F$5:$F$80,"Visit")</f>
        <v/>
      </c>
      <c r="C9" s="12">
        <f>IFERROR(_xlfn.MINIFS('Travel Log'!$C$5:$C$80,'Travel Log'!$B$5:$B$80,A9),"")</f>
        <v/>
      </c>
      <c r="D9" s="12">
        <f>IFERROR(_xlfn.MAXIFS('Travel Log'!$C$5:$C$80,'Travel Log'!$B$5:$B$80,A9),"")</f>
        <v/>
      </c>
      <c r="E9" s="9">
        <f>SUMIFS('Travel Log'!$E$5:$E$80,'Travel Log'!$B$5:$B$80,A9,'Travel Log'!$F$5:$F$80,"Visit")</f>
        <v/>
      </c>
      <c r="F9" s="9" t="inlineStr">
        <is>
          <t>ETA 30-day, 1st visit (exp 16/01/2020); ETA 30-day, 1st visit (exp 23/02/2022); ETA 30-day, 1st visit (exp 28/10/2019)</t>
        </is>
      </c>
    </row>
    <row r="10">
      <c r="A10" s="9" t="inlineStr">
        <is>
          <t>Thailand</t>
        </is>
      </c>
      <c r="B10" s="9">
        <f>COUNTIFS('Travel Log'!$B$5:$B$80,A10,'Travel Log'!$F$5:$F$80,"Visit")</f>
        <v/>
      </c>
      <c r="C10" s="12">
        <f>IFERROR(_xlfn.MINIFS('Travel Log'!$C$5:$C$80,'Travel Log'!$B$5:$B$80,A10),"")</f>
        <v/>
      </c>
      <c r="D10" s="12">
        <f>IFERROR(_xlfn.MAXIFS('Travel Log'!$C$5:$C$80,'Travel Log'!$B$5:$B$80,A10),"")</f>
        <v/>
      </c>
      <c r="E10" s="9">
        <f>SUMIFS('Travel Log'!$E$5:$E$80,'Travel Log'!$B$5:$B$80,A10,'Travel Log'!$F$5:$F$80,"Visit")</f>
        <v/>
      </c>
      <c r="F10" s="9" t="inlineStr">
        <is>
          <t>Visa on Arrival; Visa on Arrival (30 days)</t>
        </is>
      </c>
    </row>
    <row r="11">
      <c r="A11" s="9" t="inlineStr">
        <is>
          <t>UAE</t>
        </is>
      </c>
      <c r="B11" s="9">
        <f>COUNTIFS('Travel Log'!$B$5:$B$80,A11,'Travel Log'!$F$5:$F$80,"Visit")</f>
        <v/>
      </c>
      <c r="C11" s="12">
        <f>IFERROR(_xlfn.MINIFS('Travel Log'!$C$5:$C$80,'Travel Log'!$B$5:$B$80,A11),"")</f>
        <v/>
      </c>
      <c r="D11" s="12">
        <f>IFERROR(_xlfn.MAXIFS('Travel Log'!$C$5:$C$80,'Travel Log'!$B$5:$B$80,A11),"")</f>
        <v/>
      </c>
      <c r="E11" s="9">
        <f>SUMIFS('Travel Log'!$E$5:$E$80,'Travel Log'!$B$5:$B$80,A11,'Travel Log'!$F$5:$F$80,"Visit")</f>
        <v/>
      </c>
      <c r="F11" s="9" t="inlineStr">
        <is>
          <t>Visa/entry per stamp (Indian PP)</t>
        </is>
      </c>
    </row>
    <row r="12">
      <c r="A12" s="9" t="inlineStr">
        <is>
          <t>USA</t>
        </is>
      </c>
      <c r="B12" s="9">
        <f>COUNTIFS('Travel Log'!$B$5:$B$80,A12,'Travel Log'!$F$5:$F$80,"Visit")</f>
        <v/>
      </c>
      <c r="C12" s="12">
        <f>IFERROR(_xlfn.MINIFS('Travel Log'!$C$5:$C$80,'Travel Log'!$B$5:$B$80,A12),"")</f>
        <v/>
      </c>
      <c r="D12" s="12">
        <f>IFERROR(_xlfn.MAXIFS('Travel Log'!$C$5:$C$80,'Travel Log'!$B$5:$B$80,A12),"")</f>
        <v/>
      </c>
      <c r="E12" s="9">
        <f>SUMIFS('Travel Log'!$E$5:$E$80,'Travel Log'!$B$5:$B$80,A12,'Travel Log'!$F$5:$F$80,"Visit")</f>
        <v/>
      </c>
      <c r="F12" s="9" t="inlineStr">
        <is>
          <t>B1/B2 10-yr visa (admitted until 03 Mar 2026)</t>
        </is>
      </c>
    </row>
    <row r="13">
      <c r="A13" s="9" t="inlineStr">
        <is>
          <t>United Kingdom</t>
        </is>
      </c>
      <c r="B13" s="9">
        <f>COUNTIFS('Travel Log'!$B$5:$B$80,A13,'Travel Log'!$F$5:$F$80,"Visit")</f>
        <v/>
      </c>
      <c r="C13" s="12">
        <f>IFERROR(_xlfn.MINIFS('Travel Log'!$C$5:$C$80,'Travel Log'!$B$5:$B$80,A13),"")</f>
        <v/>
      </c>
      <c r="D13" s="12">
        <f>IFERROR(_xlfn.MAXIFS('Travel Log'!$C$5:$C$80,'Travel Log'!$B$5:$B$80,A13),"")</f>
        <v/>
      </c>
      <c r="E13" s="9">
        <f>SUMIFS('Travel Log'!$E$5:$E$80,'Travel Log'!$B$5:$B$80,A13,'Travel Log'!$F$5:$F$80,"Visit")</f>
        <v/>
      </c>
      <c r="F13" s="9" t="inlineStr">
        <is>
          <t>UK Standard Visitor C-visit, multiple, 29 Jun-29 Dec 2024</t>
        </is>
      </c>
    </row>
    <row r="15">
      <c r="A15" s="4" t="inlineStr">
        <is>
          <t>TOTAL</t>
        </is>
      </c>
      <c r="B15" s="4">
        <f>SUM(B5:B13)</f>
        <v/>
      </c>
      <c r="E15" s="4">
        <f>SUM(E5:E13)</f>
        <v/>
      </c>
    </row>
    <row r="17" ht="45" customHeight="1">
      <c r="A17" s="8" t="inlineStr">
        <is>
          <t>Note: 'Italy' is a transit stamp (counted as Transit, not a visit). Schengen trip 15-27 Jul 2024 likely covered more countries than stamped - add them to the Travel Log from your itinerary.</t>
        </is>
      </c>
    </row>
  </sheetData>
  <mergeCells count="1">
    <mergeCell ref="A17:F17"/>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2026-10-20T13:06:23Z</dcterms:created>
  <dcterms:modified xmlns:dcterms="http://purl.org/dc/terms/" xmlns:xsi="http://www.w3.org/2001/XMLSchema-instance" xsi:type="dcterms:W3CDTF">2026-10-20T13:06:23Z</dcterms:modified>
</cp:coreProperties>
</file>
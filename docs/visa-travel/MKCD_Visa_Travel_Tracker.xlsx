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ravel Log" sheetId="2" state="visible" r:id="rId2"/>
    <sheet xmlns:r="http://schemas.openxmlformats.org/officeDocument/2006/relationships" name="Country Summary" sheetId="3" state="visible" r:id="rId3"/>
    <sheet xmlns:r="http://schemas.openxmlformats.org/officeDocument/2006/relationships" name="Visas Held" sheetId="4" state="visible" r:id="rId4"/>
    <sheet xmlns:r="http://schemas.openxmlformats.org/officeDocument/2006/relationships" name="Access Map" sheetId="5" state="visible" r:id="rId5"/>
    <sheet xmlns:r="http://schemas.openxmlformats.org/officeDocument/2006/relationships" name="Power Visas" sheetId="6" state="visible" r:id="rId6"/>
    <sheet xmlns:r="http://schemas.openxmlformats.org/officeDocument/2006/relationships" name="Yatra Visa Planner" sheetId="7" state="visible" r:id="rId7"/>
    <sheet xmlns:r="http://schemas.openxmlformats.org/officeDocument/2006/relationships" name="To Confirm" sheetId="8" state="visible" r:id="rId8"/>
    <sheet xmlns:r="http://schemas.openxmlformats.org/officeDocument/2006/relationships" name="Alerts" sheetId="9" state="visible" r:id="rId9"/>
    <sheet xmlns:r="http://schemas.openxmlformats.org/officeDocument/2006/relationships" name="Sources &amp; Method" sheetId="10" state="visible" r:id="rId10"/>
  </sheets>
  <definedNames>
    <definedName name="_xlnm._FilterDatabase" localSheetId="1" hidden="1">'Travel Log'!$A$4:$L$84</definedName>
    <definedName name="_xlnm._FilterDatabase" localSheetId="4" hidden="1">'Access Map'!$A$4:$N$40</definedName>
    <definedName name="_xlnm._FilterDatabase" localSheetId="6" hidden="1">'Yatra Visa Planner'!$A$4:$K$36</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9">
    <font>
      <name val="Calibri"/>
      <family val="2"/>
      <color theme="1"/>
      <sz val="11"/>
      <scheme val="minor"/>
    </font>
    <font>
      <b val="1"/>
      <color rgb="001F2A44"/>
      <sz val="16"/>
    </font>
    <font>
      <i val="1"/>
      <color rgb="00666666"/>
    </font>
    <font>
      <name val="Calibri"/>
      <b val="1"/>
      <color rgb="00FFFFFF"/>
      <sz val="11"/>
    </font>
    <font>
      <b val="1"/>
    </font>
    <font>
      <b val="1"/>
      <color rgb="001F2A44"/>
      <sz val="13"/>
    </font>
    <font>
      <b val="1"/>
      <color rgb="00E8731A"/>
    </font>
    <font>
      <b val="1"/>
      <color rgb="001F2A44"/>
    </font>
    <font>
      <b val="1"/>
      <color rgb="00E8731A"/>
      <sz val="13"/>
    </font>
  </fonts>
  <fills count="5">
    <fill>
      <patternFill/>
    </fill>
    <fill>
      <patternFill patternType="gray125"/>
    </fill>
    <fill>
      <patternFill patternType="solid">
        <fgColor rgb="001F2A44"/>
      </patternFill>
    </fill>
    <fill>
      <patternFill patternType="solid">
        <fgColor rgb="00FFF2CC"/>
      </patternFill>
    </fill>
    <fill>
      <patternFill patternType="solid">
        <fgColor rgb="00FFFB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164" fontId="0" fillId="0" borderId="0" applyAlignment="1" pivotButton="0" quotePrefix="0" xfId="0">
      <alignment horizontal="left"/>
    </xf>
    <xf numFmtId="1" fontId="0" fillId="0" borderId="0" applyAlignment="1" pivotButton="0" quotePrefix="0" xfId="0">
      <alignment horizontal="left"/>
    </xf>
    <xf numFmtId="0" fontId="8"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164" fontId="0" fillId="3" borderId="1" applyAlignment="1" pivotButton="0" quotePrefix="0" xfId="0">
      <alignment vertical="top" wrapText="1"/>
    </xf>
    <xf numFmtId="0" fontId="0" fillId="3" borderId="1" applyAlignment="1" pivotButton="0" quotePrefix="0" xfId="0">
      <alignment vertical="top" wrapText="1"/>
    </xf>
    <xf numFmtId="164" fontId="0" fillId="0" borderId="1" applyAlignment="1" pivotButton="0" quotePrefix="0" xfId="0">
      <alignment vertical="top" wrapText="1"/>
    </xf>
    <xf numFmtId="0" fontId="5" fillId="0" borderId="0" pivotButton="0" quotePrefix="0" xfId="0"/>
    <xf numFmtId="0" fontId="0" fillId="0" borderId="0" applyAlignment="1" pivotButton="0" quotePrefix="0" xfId="0">
      <alignment horizontal="left"/>
    </xf>
    <xf numFmtId="0" fontId="6" fillId="0" borderId="0" applyAlignment="1" pivotButton="0" quotePrefix="0" xfId="0">
      <alignment horizontal="right"/>
    </xf>
    <xf numFmtId="0" fontId="4" fillId="4" borderId="1" applyAlignment="1" pivotButton="0" quotePrefix="0" xfId="0">
      <alignment horizontal="center"/>
    </xf>
    <xf numFmtId="0" fontId="7" fillId="0" borderId="0" pivotButton="0" quotePrefix="0" xfId="0"/>
    <xf numFmtId="0" fontId="3" fillId="2" borderId="0" pivotButton="0" quotePrefix="0" xfId="0"/>
    <xf numFmtId="0" fontId="0" fillId="4" borderId="1" applyAlignment="1" pivotButton="0" quotePrefix="0" xfId="0">
      <alignment vertical="top" wrapText="1"/>
    </xf>
  </cellXfs>
  <cellStyles count="1">
    <cellStyle name="Normal" xfId="0" builtinId="0" hidden="0"/>
  </cellStyles>
  <dxfs count="3">
    <dxf>
      <fill>
        <patternFill patternType="solid">
          <fgColor rgb="00F4CCCC"/>
        </patternFill>
      </fill>
    </dxf>
    <dxf>
      <fill>
        <patternFill patternType="solid">
          <fgColor rgb="00FFF2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31A"/>
    <outlinePr summaryBelow="1" summaryRight="1"/>
    <pageSetUpPr/>
  </sheetPr>
  <dimension ref="A1:C26"/>
  <sheetViews>
    <sheetView zoomScale="100" workbookViewId="0">
      <pane ySplit="4" topLeftCell="A5" activePane="bottomLeft" state="frozen"/>
      <selection pane="bottomLeft" activeCell="A1" sqref="A1"/>
    </sheetView>
  </sheetViews>
  <sheetFormatPr baseColWidth="8" defaultRowHeight="15"/>
  <cols>
    <col width="38" customWidth="1" min="1" max="1"/>
    <col width="22" customWidth="1" min="2" max="2"/>
    <col width="70" customWidth="1" min="3" max="3"/>
  </cols>
  <sheetData>
    <row r="1">
      <c r="A1" s="1" t="inlineStr">
        <is>
          <t>MKCD - Visa &amp; Travel Dashboard</t>
        </is>
      </c>
    </row>
    <row r="2">
      <c r="A2" s="2" t="inlineStr">
        <is>
          <t>Living workbook: edit the yellow cells / add rows; everything else recalculates.</t>
        </is>
      </c>
    </row>
    <row r="4">
      <c r="A4" s="3" t="inlineStr">
        <is>
          <t>Item</t>
        </is>
      </c>
      <c r="B4" s="3" t="inlineStr">
        <is>
          <t>Value</t>
        </is>
      </c>
      <c r="C4" s="3" t="inlineStr">
        <is>
          <t>Comment</t>
        </is>
      </c>
    </row>
    <row r="5">
      <c r="A5" s="4" t="inlineStr">
        <is>
          <t>Today</t>
        </is>
      </c>
      <c r="B5" s="5">
        <f>TODAY()</f>
        <v/>
      </c>
      <c r="C5" t="inlineStr">
        <is>
          <t>Auto</t>
        </is>
      </c>
    </row>
    <row r="6">
      <c r="A6" s="4" t="inlineStr">
        <is>
          <t>Passport expires</t>
        </is>
      </c>
      <c r="B6" s="5">
        <f>'Visas Held'!$B$14</f>
        <v/>
      </c>
      <c r="C6" t="inlineStr">
        <is>
          <t>Indian passport</t>
        </is>
      </c>
    </row>
    <row r="7">
      <c r="A7" s="4" t="inlineStr">
        <is>
          <t>Days to passport expiry</t>
        </is>
      </c>
      <c r="B7" s="6">
        <f>'Visas Held'!$B$16</f>
        <v/>
      </c>
      <c r="C7" t="inlineStr"/>
    </row>
    <row r="8">
      <c r="A8" s="4" t="inlineStr">
        <is>
          <t>Last safe travel date (6-month rule)</t>
        </is>
      </c>
      <c r="B8" s="5">
        <f>'Visas Held'!$B$17</f>
        <v/>
      </c>
      <c r="C8" t="inlineStr">
        <is>
          <t>Most countries need 6 months validity</t>
        </is>
      </c>
    </row>
    <row r="9">
      <c r="A9" s="4" t="inlineStr">
        <is>
          <t>Start passport renewal by</t>
        </is>
      </c>
      <c r="B9" s="5">
        <f>'Visas Held'!$B$18</f>
        <v/>
      </c>
      <c r="C9" t="inlineStr"/>
    </row>
    <row r="10">
      <c r="A10" s="4" t="inlineStr">
        <is>
          <t>USA B1/B2 - valid until</t>
        </is>
      </c>
      <c r="B10" s="5">
        <f>'Visas Held'!$E$5</f>
        <v/>
      </c>
      <c r="C10" t="inlineStr">
        <is>
          <t>Used Sep 2025</t>
        </is>
      </c>
    </row>
    <row r="11">
      <c r="A11" s="4" t="inlineStr">
        <is>
          <t>USA B1/B2 - days left</t>
        </is>
      </c>
      <c r="B11" s="6">
        <f>'Visas Held'!$E$5-TODAY()</f>
        <v/>
      </c>
      <c r="C11" t="inlineStr"/>
    </row>
    <row r="12">
      <c r="A12" s="4" t="inlineStr">
        <is>
          <t>Australia visitor - valid until</t>
        </is>
      </c>
      <c r="B12" s="5">
        <f>'Visas Held'!$E$6</f>
        <v/>
      </c>
      <c r="C12" t="inlineStr">
        <is>
          <t>Business Visitor stream - check before pilgrimage use</t>
        </is>
      </c>
    </row>
    <row r="13">
      <c r="A13" s="4" t="inlineStr">
        <is>
          <t>Australia - days left</t>
        </is>
      </c>
      <c r="B13" s="6">
        <f>'Visas Held'!$E$6-TODAY()</f>
        <v/>
      </c>
      <c r="C13" t="inlineStr"/>
    </row>
    <row r="14">
      <c r="A14" s="4" t="inlineStr">
        <is>
          <t>Countries visited (stamp-verified)</t>
        </is>
      </c>
      <c r="B14" s="6">
        <f>COUNTIF('Country Summary'!B5:B17,"&gt;0")</f>
        <v/>
      </c>
      <c r="C14" t="inlineStr">
        <is>
          <t>Includes Schengen countries visited Jul 2024</t>
        </is>
      </c>
    </row>
    <row r="15">
      <c r="A15" s="4" t="inlineStr">
        <is>
          <t>Total international visits logged</t>
        </is>
      </c>
      <c r="B15" s="6">
        <f>'Country Summary'!B19</f>
        <v/>
      </c>
      <c r="C15" t="inlineStr">
        <is>
          <t>Each entry = one visit</t>
        </is>
      </c>
    </row>
    <row r="16">
      <c r="A16" s="4" t="inlineStr">
        <is>
          <t>Visits to most-visited country</t>
        </is>
      </c>
      <c r="B16" s="6">
        <f>MAX('Country Summary'!B5:B17)</f>
        <v/>
      </c>
      <c r="C16" t="inlineStr"/>
    </row>
    <row r="17">
      <c r="A17" s="4" t="inlineStr">
        <is>
          <t>Destinations reachable NOW via visa privileges</t>
        </is>
      </c>
      <c r="B17" s="6">
        <f>COUNTIF('Access Map'!N5:N40,"YES")</f>
        <v/>
      </c>
      <c r="C17" t="inlineStr">
        <is>
          <t>Excludes visa-free countries for Indians; see Access Map</t>
        </is>
      </c>
    </row>
    <row r="18">
      <c r="A18" s="4" t="inlineStr">
        <is>
          <t>Valid visas right now</t>
        </is>
      </c>
      <c r="B18" s="6">
        <f>COUNTIF('Visas Held'!H5:H30,"VALID")</f>
        <v/>
      </c>
      <c r="C18" t="inlineStr"/>
    </row>
    <row r="19">
      <c r="A19" s="4" t="inlineStr">
        <is>
          <t>Expired visas to renew</t>
        </is>
      </c>
      <c r="B19" s="6">
        <f>COUNTIF('Visas Held'!H5:H30,"EXPIRED")</f>
        <v/>
      </c>
      <c r="C19" t="inlineStr">
        <is>
          <t>Schengen &amp; UK</t>
        </is>
      </c>
    </row>
    <row r="21">
      <c r="A21" s="7" t="inlineStr">
        <is>
          <t>Top actions</t>
        </is>
      </c>
    </row>
    <row r="22" ht="48" customHeight="1">
      <c r="A22" s="8" t="inlineStr">
        <is>
          <t>Passport expires 17 Sep 2028</t>
        </is>
      </c>
      <c r="C22" s="8" t="inlineStr">
        <is>
          <t>Most countries need 6 months validity -&gt; practical last safe travel date ~17 Mar 2028. Start renewal ~Sep 2027. Passports issued in India are e-passports since 28 May 2025. Keep old passport: US &amp; Australia visas stay valid but must be carried; tell Australia Home Affairs new passport number (ImmiAccount).</t>
        </is>
      </c>
    </row>
    <row r="23" ht="48" customHeight="1">
      <c r="A23" s="8" t="inlineStr">
        <is>
          <t>Schengen: no valid visa</t>
        </is>
      </c>
      <c r="C23" s="8" t="inlineStr">
        <is>
          <t>Both France visas expired (Apr 2026). You now have 2 lawful visas in 3 years -&gt; eligible for the EU 'cascade' 2-year multiple-entry visa. Apply 3 months before the next Europe yatra.</t>
        </is>
      </c>
    </row>
    <row r="24" ht="48" customHeight="1">
      <c r="A24" s="8" t="inlineStr">
        <is>
          <t>UK: no valid visa</t>
        </is>
      </c>
      <c r="C24" s="8" t="inlineStr">
        <is>
          <t>UK visa expired 29 Dec 2024. Apply 3-4 weeks ahead; consider a 2-year or 5-year Standard Visitor visa if you will return often.</t>
        </is>
      </c>
    </row>
    <row r="25" ht="48" customHeight="1">
      <c r="A25" s="8" t="inlineStr">
        <is>
          <t>Australia: confirm stream</t>
        </is>
      </c>
      <c r="C25" s="8" t="inlineStr">
        <is>
          <t>Visa is Business Visitor stream (condition 8115). A pilgrimage yatra with devotees may count as tourism - confirm whether to apply for a Tourist-stream visa.</t>
        </is>
      </c>
    </row>
    <row r="26" ht="48" customHeight="1">
      <c r="A26" s="8" t="inlineStr">
        <is>
          <t>Malaysia visa-free ends 31 Dec 2026</t>
        </is>
      </c>
      <c r="C26" s="8" t="inlineStr">
        <is>
          <t>Get visa/e-visa for any 2027 Malaysia yatra unless extended.</t>
        </is>
      </c>
    </row>
  </sheetData>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A1:L24"/>
  <sheetViews>
    <sheetView zoomScale="100" workbookViewId="0">
      <pane ySplit="4" topLeftCell="A5" activePane="bottomLeft" state="frozen"/>
      <selection pane="bottomLeft" activeCell="A1" sqref="A1"/>
    </sheetView>
  </sheetViews>
  <sheetFormatPr baseColWidth="8" defaultRowHeight="15"/>
  <cols>
    <col width="5" customWidth="1" min="1" max="1"/>
    <col width="16" customWidth="1" min="2" max="2"/>
    <col width="13" customWidth="1" min="3" max="3"/>
    <col width="13" customWidth="1" min="4" max="4"/>
    <col width="9" customWidth="1" min="5" max="5"/>
    <col width="10" customWidth="1" min="6" max="6"/>
    <col width="26" customWidth="1" min="7" max="7"/>
    <col width="26" customWidth="1" min="8" max="8"/>
    <col width="30" customWidth="1" min="9" max="9"/>
    <col width="48" customWidth="1" min="10" max="10"/>
    <col width="11" customWidth="1" min="11" max="11"/>
    <col width="40" customWidth="1" min="12" max="12"/>
  </cols>
  <sheetData>
    <row r="1">
      <c r="A1" s="1" t="inlineStr">
        <is>
          <t>Travel Log - stamp-verified international trips</t>
        </is>
      </c>
    </row>
    <row r="2">
      <c r="A2" s="2" t="inlineStr">
        <is>
          <t>Source: passport scan (Nov 2025). Add new rows at the bottom; Days &amp; Country Summary update automatically. Yellow = please confirm.</t>
        </is>
      </c>
    </row>
    <row r="4">
      <c r="A4" s="3" t="inlineStr">
        <is>
          <t>#</t>
        </is>
      </c>
      <c r="B4" s="3" t="inlineStr">
        <is>
          <t>Country</t>
        </is>
      </c>
      <c r="C4" s="3" t="inlineStr">
        <is>
          <t>Entry date</t>
        </is>
      </c>
      <c r="D4" s="3" t="inlineStr">
        <is>
          <t>Exit date</t>
        </is>
      </c>
      <c r="E4" s="3" t="inlineStr">
        <is>
          <t>Days (incl.)</t>
        </is>
      </c>
      <c r="F4" s="3" t="inlineStr">
        <is>
          <t>Type</t>
        </is>
      </c>
      <c r="G4" s="3" t="inlineStr">
        <is>
          <t>Entry point</t>
        </is>
      </c>
      <c r="H4" s="3" t="inlineStr">
        <is>
          <t>Exit point</t>
        </is>
      </c>
      <c r="I4" s="3" t="inlineStr">
        <is>
          <t>Visa / permit used</t>
        </is>
      </c>
      <c r="J4" s="3" t="inlineStr">
        <is>
          <t>Evidence (passport page)</t>
        </is>
      </c>
      <c r="K4" s="3" t="inlineStr">
        <is>
          <t>Confidence</t>
        </is>
      </c>
      <c r="L4" s="3" t="inlineStr">
        <is>
          <t>Notes</t>
        </is>
      </c>
    </row>
    <row r="5">
      <c r="A5" s="9" t="n">
        <v>1</v>
      </c>
      <c r="B5" s="9" t="inlineStr">
        <is>
          <t>Nepal</t>
        </is>
      </c>
      <c r="C5" s="10" t="n"/>
      <c r="D5" s="10" t="n">
        <v>43531</v>
      </c>
      <c r="E5" s="9">
        <f>IF(AND(ISNUMBER(C5),ISNUMBER(D5)),D5-C5+1,"")</f>
        <v/>
      </c>
      <c r="F5" s="9" t="inlineStr">
        <is>
          <t>Visit</t>
        </is>
      </c>
      <c r="G5" s="9" t="inlineStr">
        <is>
          <t>(entry stamp not in this passport)</t>
        </is>
      </c>
      <c r="H5" s="9" t="inlineStr">
        <is>
          <t>Tribhuvan Intl, Kathmandu</t>
        </is>
      </c>
      <c r="I5" s="9" t="inlineStr">
        <is>
          <t>No visa needed (Indian PP)</t>
        </is>
      </c>
      <c r="J5" s="9" t="inlineStr">
        <is>
          <t>Passport p.3: Nepal departed + India arrival New Delhi 07 Mar 2019</t>
        </is>
      </c>
      <c r="K5" s="11" t="inlineStr">
        <is>
          <t>Check</t>
        </is>
      </c>
      <c r="L5" s="9" t="inlineStr">
        <is>
          <t>Entry date unknown - add from old passport/tickets</t>
        </is>
      </c>
    </row>
    <row r="6">
      <c r="A6" s="9" t="n">
        <v>2</v>
      </c>
      <c r="B6" s="9" t="inlineStr">
        <is>
          <t>Nepal</t>
        </is>
      </c>
      <c r="C6" s="12" t="n">
        <v>43600</v>
      </c>
      <c r="D6" s="10" t="n"/>
      <c r="E6" s="9">
        <f>IF(AND(ISNUMBER(C6),ISNUMBER(D6)),D6-C6+1,"")</f>
        <v/>
      </c>
      <c r="F6" s="9" t="inlineStr">
        <is>
          <t>Visit</t>
        </is>
      </c>
      <c r="G6" s="9" t="inlineStr">
        <is>
          <t>Nepal land/air entry</t>
        </is>
      </c>
      <c r="H6" s="9" t="inlineStr">
        <is>
          <t>(exit stamp not in this passport)</t>
        </is>
      </c>
      <c r="I6" s="9" t="inlineStr">
        <is>
          <t>No visa needed</t>
        </is>
      </c>
      <c r="J6" s="9" t="inlineStr">
        <is>
          <t>Passport p.3: India departed New Delhi 15 May 2019, Nepal arrived 15 May 2019</t>
        </is>
      </c>
      <c r="K6" s="9" t="inlineStr">
        <is>
          <t>High</t>
        </is>
      </c>
      <c r="L6" s="9" t="inlineStr">
        <is>
          <t>Return date unknown - add</t>
        </is>
      </c>
    </row>
    <row r="7">
      <c r="A7" s="9" t="n">
        <v>3</v>
      </c>
      <c r="B7" s="9" t="inlineStr">
        <is>
          <t>Sri Lanka</t>
        </is>
      </c>
      <c r="C7" s="12" t="n">
        <v>43736</v>
      </c>
      <c r="D7" s="12" t="n">
        <v>43745</v>
      </c>
      <c r="E7" s="9">
        <f>IF(AND(ISNUMBER(C7),ISNUMBER(D7)),D7-C7+1,"")</f>
        <v/>
      </c>
      <c r="F7" s="9" t="inlineStr">
        <is>
          <t>Visit</t>
        </is>
      </c>
      <c r="G7" s="9" t="inlineStr">
        <is>
          <t>Colombo (BIA)</t>
        </is>
      </c>
      <c r="H7" s="9" t="inlineStr">
        <is>
          <t>Colombo (BIA) -&gt; Madurai</t>
        </is>
      </c>
      <c r="I7" s="9" t="inlineStr">
        <is>
          <t>ETA 30-day, 1st visit (exp 28/10/2019)</t>
        </is>
      </c>
      <c r="J7" s="9" t="inlineStr">
        <is>
          <t>Passport p.5/p.9: SL permitted 28 Sep 2019; embarked 07 Oct 2019; India arrival Madurai 07 Oct 2019</t>
        </is>
      </c>
      <c r="K7" s="9" t="inlineStr">
        <is>
          <t>High</t>
        </is>
      </c>
      <c r="L7" s="9" t="inlineStr">
        <is>
          <t>India departure New Delhi 27 Sep 2019</t>
        </is>
      </c>
    </row>
    <row r="8">
      <c r="A8" s="9" t="n">
        <v>4</v>
      </c>
      <c r="B8" s="9" t="inlineStr">
        <is>
          <t>Sri Lanka</t>
        </is>
      </c>
      <c r="C8" s="12" t="n">
        <v>43816</v>
      </c>
      <c r="D8" s="12" t="n">
        <v>43828</v>
      </c>
      <c r="E8" s="9">
        <f>IF(AND(ISNUMBER(C8),ISNUMBER(D8)),D8-C8+1,"")</f>
        <v/>
      </c>
      <c r="F8" s="9" t="inlineStr">
        <is>
          <t>Visit</t>
        </is>
      </c>
      <c r="G8" s="9" t="inlineStr">
        <is>
          <t>Colombo (BIA)</t>
        </is>
      </c>
      <c r="H8" s="9" t="inlineStr">
        <is>
          <t>Colombo (BIA) -&gt; Hyderabad</t>
        </is>
      </c>
      <c r="I8" s="9" t="inlineStr">
        <is>
          <t>ETA 30-day, 1st visit (exp 16/01/2020)</t>
        </is>
      </c>
      <c r="J8" s="9" t="inlineStr">
        <is>
          <t>Passport p.4: India dep. RGI Hyderabad 17 Dec 2019; SL departure + India arrival RGI 29 Dec 2019</t>
        </is>
      </c>
      <c r="K8" s="9" t="inlineStr">
        <is>
          <t>High</t>
        </is>
      </c>
      <c r="L8" s="9" t="inlineStr"/>
    </row>
    <row r="9">
      <c r="A9" s="9" t="n">
        <v>5</v>
      </c>
      <c r="B9" s="9" t="inlineStr">
        <is>
          <t>Sri Lanka</t>
        </is>
      </c>
      <c r="C9" s="12" t="n">
        <v>44585</v>
      </c>
      <c r="D9" s="12" t="n">
        <v>44592</v>
      </c>
      <c r="E9" s="9">
        <f>IF(AND(ISNUMBER(C9),ISNUMBER(D9)),D9-C9+1,"")</f>
        <v/>
      </c>
      <c r="F9" s="9" t="inlineStr">
        <is>
          <t>Visit</t>
        </is>
      </c>
      <c r="G9" s="9" t="inlineStr">
        <is>
          <t>Colombo (BIA)</t>
        </is>
      </c>
      <c r="H9" s="9" t="inlineStr">
        <is>
          <t>Colombo (BIA) -&gt; Chennai</t>
        </is>
      </c>
      <c r="I9" s="9" t="inlineStr">
        <is>
          <t>ETA 30-day, 1st visit (exp 23/02/2022)</t>
        </is>
      </c>
      <c r="J9" s="9" t="inlineStr">
        <is>
          <t>Passport p.4/p.9: India dep. Chennai 24 Jan 2022; SL embarked 31 Jan 2022; India arrival Chennai 31 Jan 2022</t>
        </is>
      </c>
      <c r="K9" s="9" t="inlineStr">
        <is>
          <t>High</t>
        </is>
      </c>
      <c r="L9" s="9" t="inlineStr">
        <is>
          <t>COVID-era trip</t>
        </is>
      </c>
    </row>
    <row r="10">
      <c r="A10" s="9" t="n">
        <v>6</v>
      </c>
      <c r="B10" s="9" t="inlineStr">
        <is>
          <t>Nepal</t>
        </is>
      </c>
      <c r="C10" s="12" t="n">
        <v>44665</v>
      </c>
      <c r="D10" s="12" t="n">
        <v>44672</v>
      </c>
      <c r="E10" s="9">
        <f>IF(AND(ISNUMBER(C10),ISNUMBER(D10)),D10-C10+1,"")</f>
        <v/>
      </c>
      <c r="F10" s="9" t="inlineStr">
        <is>
          <t>Visit</t>
        </is>
      </c>
      <c r="G10" s="9" t="inlineStr">
        <is>
          <t>Nepal (arrived 14 Apr 2022)</t>
        </is>
      </c>
      <c r="H10" s="9" t="inlineStr">
        <is>
          <t>Tribhuvan Intl, Kathmandu -&gt; Bengaluru</t>
        </is>
      </c>
      <c r="I10" s="9" t="inlineStr">
        <is>
          <t>No visa needed</t>
        </is>
      </c>
      <c r="J10" s="9" t="inlineStr">
        <is>
          <t>Passport p.6/p.7/p.9: India dep. New Delhi 14 Apr 2022; Nepal departed 21 Apr 2022; India arrival Bengaluru 21 Apr 2022</t>
        </is>
      </c>
      <c r="K10" s="9" t="inlineStr">
        <is>
          <t>High</t>
        </is>
      </c>
      <c r="L10" s="9" t="inlineStr"/>
    </row>
    <row r="11">
      <c r="A11" s="9" t="n">
        <v>7</v>
      </c>
      <c r="B11" s="9" t="inlineStr">
        <is>
          <t>Thailand</t>
        </is>
      </c>
      <c r="C11" s="12" t="n">
        <v>44964</v>
      </c>
      <c r="D11" s="12" t="n">
        <v>44965</v>
      </c>
      <c r="E11" s="9">
        <f>IF(AND(ISNUMBER(C11),ISNUMBER(D11)),D11-C11+1,"")</f>
        <v/>
      </c>
      <c r="F11" s="9" t="inlineStr">
        <is>
          <t>Visit</t>
        </is>
      </c>
      <c r="G11" s="9" t="inlineStr">
        <is>
          <t>Suvarnabhumi (BKK)</t>
        </is>
      </c>
      <c r="H11" s="9" t="inlineStr">
        <is>
          <t>Suvarnabhumi (BKK)</t>
        </is>
      </c>
      <c r="I11" s="9" t="inlineStr">
        <is>
          <t>Visa on Arrival (30 days)</t>
        </is>
      </c>
      <c r="J11" s="9" t="inlineStr">
        <is>
          <t>Passport p.7-8: Thai admitted 7 Feb 2023, departed 8 Feb 2023; India dep. Bengaluru 07 Feb 2023</t>
        </is>
      </c>
      <c r="K11" s="9" t="inlineStr">
        <is>
          <t>High</t>
        </is>
      </c>
      <c r="L11" s="9" t="inlineStr">
        <is>
          <t>Connection/transit stop en route to Cambodia</t>
        </is>
      </c>
    </row>
    <row r="12">
      <c r="A12" s="9" t="n">
        <v>8</v>
      </c>
      <c r="B12" s="9" t="inlineStr">
        <is>
          <t>Cambodia</t>
        </is>
      </c>
      <c r="C12" s="12" t="n">
        <v>44965</v>
      </c>
      <c r="D12" s="12" t="n">
        <v>44967</v>
      </c>
      <c r="E12" s="9">
        <f>IF(AND(ISNUMBER(C12),ISNUMBER(D12)),D12-C12+1,"")</f>
        <v/>
      </c>
      <c r="F12" s="9" t="inlineStr">
        <is>
          <t>Visit</t>
        </is>
      </c>
      <c r="G12" s="9" t="inlineStr">
        <is>
          <t>Siem Reap (REP)</t>
        </is>
      </c>
      <c r="H12" s="9" t="inlineStr">
        <is>
          <t>Siem Reap (REP)</t>
        </is>
      </c>
      <c r="I12" s="9" t="inlineStr">
        <is>
          <t>e-Visa (valid to 07 Mar 2023)</t>
        </is>
      </c>
      <c r="J12" s="9" t="inlineStr">
        <is>
          <t>Passport p.10: Cambodia entry 08 Feb 2023, exit 10 Feb 2023</t>
        </is>
      </c>
      <c r="K12" s="9" t="inlineStr">
        <is>
          <t>High</t>
        </is>
      </c>
      <c r="L12" s="9" t="inlineStr"/>
    </row>
    <row r="13">
      <c r="A13" s="9" t="n">
        <v>9</v>
      </c>
      <c r="B13" s="9" t="inlineStr">
        <is>
          <t>Thailand</t>
        </is>
      </c>
      <c r="C13" s="12" t="n">
        <v>44967</v>
      </c>
      <c r="D13" s="12" t="n">
        <v>44969</v>
      </c>
      <c r="E13" s="9">
        <f>IF(AND(ISNUMBER(C13),ISNUMBER(D13)),D13-C13+1,"")</f>
        <v/>
      </c>
      <c r="F13" s="9" t="inlineStr">
        <is>
          <t>Visit</t>
        </is>
      </c>
      <c r="G13" s="9" t="inlineStr">
        <is>
          <t>Suvarnabhumi (BKK)</t>
        </is>
      </c>
      <c r="H13" s="9" t="inlineStr">
        <is>
          <t>Suvarnabhumi (BKK) -&gt; Bengaluru</t>
        </is>
      </c>
      <c r="I13" s="9" t="inlineStr">
        <is>
          <t>Visa on Arrival (30 days)</t>
        </is>
      </c>
      <c r="J13" s="9" t="inlineStr">
        <is>
          <t>Passport p.8: Thai admitted 10 Feb 2023 (until 11 Mar), departed 12 Feb 2023; India arrival Bengaluru 12 Feb 2023</t>
        </is>
      </c>
      <c r="K13" s="9" t="inlineStr">
        <is>
          <t>High</t>
        </is>
      </c>
      <c r="L13" s="9" t="inlineStr"/>
    </row>
    <row r="14">
      <c r="A14" s="9" t="n">
        <v>10</v>
      </c>
      <c r="B14" s="9" t="inlineStr">
        <is>
          <t>Thailand</t>
        </is>
      </c>
      <c r="C14" s="10" t="n">
        <v>45101</v>
      </c>
      <c r="D14" s="10" t="n">
        <v>45104</v>
      </c>
      <c r="E14" s="9">
        <f>IF(AND(ISNUMBER(C14),ISNUMBER(D14)),D14-C14+1,"")</f>
        <v/>
      </c>
      <c r="F14" s="9" t="inlineStr">
        <is>
          <t>Visit</t>
        </is>
      </c>
      <c r="G14" s="9" t="inlineStr">
        <is>
          <t>Thailand (BKK)</t>
        </is>
      </c>
      <c r="H14" s="9" t="inlineStr">
        <is>
          <t>Thailand (BKK)</t>
        </is>
      </c>
      <c r="I14" s="9" t="inlineStr">
        <is>
          <t>Visa on Arrival</t>
        </is>
      </c>
      <c r="J14" s="9" t="inlineStr">
        <is>
          <t>Passport p.20-21: Thai VOA stamp admitted 2? Jun 2023 until 9 Jul 2023 (class TR-15 = 15 days -&gt; 24 Jun); Thai departed 27 Jun 2023; India dep. RGI Hyderabad 24 Jun 2023</t>
        </is>
      </c>
      <c r="K14" s="11" t="inlineStr">
        <is>
          <t>Check</t>
        </is>
      </c>
      <c r="L14" s="9" t="inlineStr">
        <is>
          <t>Day digit smudged; 24 Jun inferred from 15-day limit (9 Jul) + India departure 24 Jun</t>
        </is>
      </c>
    </row>
    <row r="15">
      <c r="A15" s="9" t="n">
        <v>11</v>
      </c>
      <c r="B15" s="9" t="inlineStr">
        <is>
          <t>Cambodia</t>
        </is>
      </c>
      <c r="C15" s="12" t="n">
        <v>45104</v>
      </c>
      <c r="D15" s="12" t="n">
        <v>45107</v>
      </c>
      <c r="E15" s="9">
        <f>IF(AND(ISNUMBER(C15),ISNUMBER(D15)),D15-C15+1,"")</f>
        <v/>
      </c>
      <c r="F15" s="9" t="inlineStr">
        <is>
          <t>Visit</t>
        </is>
      </c>
      <c r="G15" s="9" t="inlineStr">
        <is>
          <t>Siem Reap (REP)</t>
        </is>
      </c>
      <c r="H15" s="9" t="inlineStr">
        <is>
          <t>Siem Reap (REP)</t>
        </is>
      </c>
      <c r="I15" s="9" t="inlineStr">
        <is>
          <t>e-Visa (valid 27 Jun-26 Jul 2023)</t>
        </is>
      </c>
      <c r="J15" s="9" t="inlineStr">
        <is>
          <t>Passport p.20: Cambodia entry 27 Jun 2023, exit 30 Jun 2023</t>
        </is>
      </c>
      <c r="K15" s="9" t="inlineStr">
        <is>
          <t>High</t>
        </is>
      </c>
      <c r="L15" s="9" t="inlineStr">
        <is>
          <t>India arrival RGI Hyderabad 01 Jul 2023 (return probably via Thailand)</t>
        </is>
      </c>
    </row>
    <row r="16">
      <c r="A16" s="9" t="n">
        <v>12</v>
      </c>
      <c r="B16" s="9" t="inlineStr">
        <is>
          <t>France</t>
        </is>
      </c>
      <c r="C16" s="12" t="n">
        <v>45488</v>
      </c>
      <c r="D16" s="12" t="n">
        <v>45500</v>
      </c>
      <c r="E16" s="9">
        <f>IF(AND(ISNUMBER(C16),ISNUMBER(D16)),D16-C16+1,"")</f>
        <v/>
      </c>
      <c r="F16" s="9" t="inlineStr">
        <is>
          <t>Visit</t>
        </is>
      </c>
      <c r="G16" s="9" t="inlineStr">
        <is>
          <t>Paris CDG</t>
        </is>
      </c>
      <c r="H16" s="9" t="inlineStr">
        <is>
          <t>Milan Malpensa (Italy)</t>
        </is>
      </c>
      <c r="I16" s="9" t="inlineStr">
        <is>
          <t>Schengen C visa #1 (France-issued, Pondicherry)</t>
        </is>
      </c>
      <c r="J16" s="9" t="inlineStr">
        <is>
          <t>Passport p.9/p.17: CDG stamp 15 Jul 2024; Malpensa stamp 27 Jul 2024; India dep. Mumbai 14 Jul 2024</t>
        </is>
      </c>
      <c r="K16" s="9" t="inlineStr">
        <is>
          <t>High</t>
        </is>
      </c>
      <c r="L16" s="9" t="inlineStr">
        <is>
          <t>Schengen trip 15-27 Jul 2024 covering France, Belgium, Netherlands, Germany, Switzerland, Italy; France dates = whole-trip window, split per country when known</t>
        </is>
      </c>
    </row>
    <row r="17">
      <c r="A17" s="9" t="n">
        <v>13</v>
      </c>
      <c r="B17" s="9" t="inlineStr">
        <is>
          <t>Belgium</t>
        </is>
      </c>
      <c r="C17" s="10" t="n"/>
      <c r="D17" s="10" t="n"/>
      <c r="E17" s="9">
        <f>IF(AND(ISNUMBER(C17),ISNUMBER(D17)),D17-C17+1,"")</f>
        <v/>
      </c>
      <c r="F17" s="9" t="inlineStr">
        <is>
          <t>Visit</t>
        </is>
      </c>
      <c r="G17" s="9" t="inlineStr">
        <is>
          <t>By road/rail within Schengen (no stamp)</t>
        </is>
      </c>
      <c r="H17" s="9" t="inlineStr">
        <is>
          <t>By road/rail within Schengen (no stamp)</t>
        </is>
      </c>
      <c r="I17" s="9" t="inlineStr">
        <is>
          <t>Schengen C visa #1</t>
        </is>
      </c>
      <c r="J17" s="9" t="inlineStr">
        <is>
          <t>Your confirmation (Oct 2026): visited during the 15-27 Jul 2024 Europe trip</t>
        </is>
      </c>
      <c r="K17" s="11" t="inlineStr">
        <is>
          <t>Check</t>
        </is>
      </c>
      <c r="L17" s="9" t="inlineStr">
        <is>
          <t>Dates unknown - within 15-27 Jul 2024; add from itinerary</t>
        </is>
      </c>
    </row>
    <row r="18">
      <c r="A18" s="9" t="n">
        <v>14</v>
      </c>
      <c r="B18" s="9" t="inlineStr">
        <is>
          <t>Netherlands</t>
        </is>
      </c>
      <c r="C18" s="10" t="n"/>
      <c r="D18" s="10" t="n"/>
      <c r="E18" s="9">
        <f>IF(AND(ISNUMBER(C18),ISNUMBER(D18)),D18-C18+1,"")</f>
        <v/>
      </c>
      <c r="F18" s="9" t="inlineStr">
        <is>
          <t>Visit</t>
        </is>
      </c>
      <c r="G18" s="9" t="inlineStr">
        <is>
          <t>By road/rail within Schengen (no stamp)</t>
        </is>
      </c>
      <c r="H18" s="9" t="inlineStr">
        <is>
          <t>By road/rail within Schengen (no stamp)</t>
        </is>
      </c>
      <c r="I18" s="9" t="inlineStr">
        <is>
          <t>Schengen C visa #1</t>
        </is>
      </c>
      <c r="J18" s="9" t="inlineStr">
        <is>
          <t>Your confirmation (Oct 2026): visited during the 15-27 Jul 2024 Europe trip</t>
        </is>
      </c>
      <c r="K18" s="11" t="inlineStr">
        <is>
          <t>Check</t>
        </is>
      </c>
      <c r="L18" s="9" t="inlineStr">
        <is>
          <t>Dates unknown - within 15-27 Jul 2024; add from itinerary</t>
        </is>
      </c>
    </row>
    <row r="19">
      <c r="A19" s="9" t="n">
        <v>15</v>
      </c>
      <c r="B19" s="9" t="inlineStr">
        <is>
          <t>Germany</t>
        </is>
      </c>
      <c r="C19" s="10" t="n"/>
      <c r="D19" s="10" t="n"/>
      <c r="E19" s="9">
        <f>IF(AND(ISNUMBER(C19),ISNUMBER(D19)),D19-C19+1,"")</f>
        <v/>
      </c>
      <c r="F19" s="9" t="inlineStr">
        <is>
          <t>Visit</t>
        </is>
      </c>
      <c r="G19" s="9" t="inlineStr">
        <is>
          <t>By road/rail within Schengen (no stamp)</t>
        </is>
      </c>
      <c r="H19" s="9" t="inlineStr">
        <is>
          <t>By road/rail within Schengen (no stamp)</t>
        </is>
      </c>
      <c r="I19" s="9" t="inlineStr">
        <is>
          <t>Schengen C visa #1</t>
        </is>
      </c>
      <c r="J19" s="9" t="inlineStr">
        <is>
          <t>Your confirmation (Oct 2026): visited during the 15-27 Jul 2024 Europe trip</t>
        </is>
      </c>
      <c r="K19" s="11" t="inlineStr">
        <is>
          <t>Check</t>
        </is>
      </c>
      <c r="L19" s="9" t="inlineStr">
        <is>
          <t>Dates unknown - within 15-27 Jul 2024; add from itinerary</t>
        </is>
      </c>
    </row>
    <row r="20">
      <c r="A20" s="9" t="n">
        <v>16</v>
      </c>
      <c r="B20" s="9" t="inlineStr">
        <is>
          <t>Switzerland</t>
        </is>
      </c>
      <c r="C20" s="10" t="n"/>
      <c r="D20" s="10" t="n"/>
      <c r="E20" s="9">
        <f>IF(AND(ISNUMBER(C20),ISNUMBER(D20)),D20-C20+1,"")</f>
        <v/>
      </c>
      <c r="F20" s="9" t="inlineStr">
        <is>
          <t>Visit</t>
        </is>
      </c>
      <c r="G20" s="9" t="inlineStr">
        <is>
          <t>By road/rail within Schengen (no stamp)</t>
        </is>
      </c>
      <c r="H20" s="9" t="inlineStr">
        <is>
          <t>By road/rail within Schengen (no stamp)</t>
        </is>
      </c>
      <c r="I20" s="9" t="inlineStr">
        <is>
          <t>Schengen C visa #1</t>
        </is>
      </c>
      <c r="J20" s="9" t="inlineStr">
        <is>
          <t>Your confirmation (Oct 2026): visited during the 15-27 Jul 2024 Europe trip</t>
        </is>
      </c>
      <c r="K20" s="11" t="inlineStr">
        <is>
          <t>Check</t>
        </is>
      </c>
      <c r="L20" s="9" t="inlineStr">
        <is>
          <t>Dates unknown - within 15-27 Jul 2024; add from itinerary</t>
        </is>
      </c>
    </row>
    <row r="21">
      <c r="A21" s="9" t="n">
        <v>17</v>
      </c>
      <c r="B21" s="9" t="inlineStr">
        <is>
          <t>Italy</t>
        </is>
      </c>
      <c r="C21" s="10" t="n"/>
      <c r="D21" s="10" t="n">
        <v>45500</v>
      </c>
      <c r="E21" s="9">
        <f>IF(AND(ISNUMBER(C21),ISNUMBER(D21)),D21-C21+1,"")</f>
        <v/>
      </c>
      <c r="F21" s="9" t="inlineStr">
        <is>
          <t>Visit</t>
        </is>
      </c>
      <c r="G21" s="9" t="inlineStr">
        <is>
          <t>By road/rail within Schengen (Rome visited)</t>
        </is>
      </c>
      <c r="H21" s="9" t="inlineStr">
        <is>
          <t>Milan Malpensa (MXP) -&gt; London Gatwick</t>
        </is>
      </c>
      <c r="I21" s="9" t="inlineStr">
        <is>
          <t>Schengen C visa #1</t>
        </is>
      </c>
      <c r="J21" s="9" t="inlineStr">
        <is>
          <t>Your confirmation (Oct 2026): Rome visited; Passport p.17: Malpensa exit stamp 27 Jul 2024</t>
        </is>
      </c>
      <c r="K21" s="11" t="inlineStr">
        <is>
          <t>Check</t>
        </is>
      </c>
      <c r="L21" s="9" t="inlineStr">
        <is>
          <t>Entry date unknown - within 15-27 Jul 2024; departed Schengen from Milan</t>
        </is>
      </c>
    </row>
    <row r="22">
      <c r="A22" s="9" t="n">
        <v>18</v>
      </c>
      <c r="B22" s="9" t="inlineStr">
        <is>
          <t>United Kingdom</t>
        </is>
      </c>
      <c r="C22" s="12" t="n">
        <v>45500</v>
      </c>
      <c r="D22" s="10" t="n"/>
      <c r="E22" s="9">
        <f>IF(AND(ISNUMBER(C22),ISNUMBER(D22)),D22-C22+1,"")</f>
        <v/>
      </c>
      <c r="F22" s="9" t="inlineStr">
        <is>
          <t>Visit</t>
        </is>
      </c>
      <c r="G22" s="9" t="inlineStr">
        <is>
          <t>London Gatwick</t>
        </is>
      </c>
      <c r="H22" s="9" t="inlineStr">
        <is>
          <t>(UK does not stamp exit)</t>
        </is>
      </c>
      <c r="I22" s="9" t="inlineStr">
        <is>
          <t>UK Standard Visitor C-visit, multiple, 29 Jun-29 Dec 2024</t>
        </is>
      </c>
      <c r="J22" s="9" t="inlineStr">
        <is>
          <t>Passport p.23: Gatwick stamp 27 Jul 2024</t>
        </is>
      </c>
      <c r="K22" s="9" t="inlineStr">
        <is>
          <t>High</t>
        </is>
      </c>
      <c r="L22" s="9" t="inlineStr">
        <is>
          <t>Left UK by 01 Aug 2024 (UAE entry)</t>
        </is>
      </c>
    </row>
    <row r="23">
      <c r="A23" s="9" t="n">
        <v>19</v>
      </c>
      <c r="B23" s="9" t="inlineStr">
        <is>
          <t>UAE</t>
        </is>
      </c>
      <c r="C23" s="12" t="n">
        <v>45505</v>
      </c>
      <c r="D23" s="10" t="n"/>
      <c r="E23" s="9">
        <f>IF(AND(ISNUMBER(C23),ISNUMBER(D23)),D23-C23+1,"")</f>
        <v/>
      </c>
      <c r="F23" s="9" t="inlineStr">
        <is>
          <t>Visit</t>
        </is>
      </c>
      <c r="G23" s="9" t="inlineStr">
        <is>
          <t>Dubai Intl (DXB)</t>
        </is>
      </c>
      <c r="H23" s="9" t="inlineStr">
        <is>
          <t>(UAE does not stamp exit)</t>
        </is>
      </c>
      <c r="I23" s="9" t="inlineStr">
        <is>
          <t>Visa/entry per stamp (Indian PP)</t>
        </is>
      </c>
      <c r="J23" s="9" t="inlineStr">
        <is>
          <t>Passport p.10: UAE entry stamp 01 Aug 2024; India arrival RGI Hyderabad 05 Aug 2024</t>
        </is>
      </c>
      <c r="K23" s="9" t="inlineStr">
        <is>
          <t>High</t>
        </is>
      </c>
      <c r="L23" s="9" t="inlineStr">
        <is>
          <t>Stayed up to ~4 days</t>
        </is>
      </c>
    </row>
    <row r="24">
      <c r="A24" s="9" t="n">
        <v>20</v>
      </c>
      <c r="B24" s="9" t="inlineStr">
        <is>
          <t>USA</t>
        </is>
      </c>
      <c r="C24" s="12" t="n">
        <v>45904</v>
      </c>
      <c r="D24" s="12" t="n">
        <v>45930</v>
      </c>
      <c r="E24" s="9">
        <f>IF(AND(ISNUMBER(C24),ISNUMBER(D24)),D24-C24+1,"")</f>
        <v/>
      </c>
      <c r="F24" s="9" t="inlineStr">
        <is>
          <t>Visit</t>
        </is>
      </c>
      <c r="G24" s="9" t="inlineStr">
        <is>
          <t>USA (CBP admitted 04 Sep 2025)</t>
        </is>
      </c>
      <c r="H24" s="9" t="inlineStr">
        <is>
          <t>USA -&gt; Mumbai</t>
        </is>
      </c>
      <c r="I24" s="9" t="inlineStr">
        <is>
          <t>B1/B2 10-yr visa (admitted until 03 Mar 2026)</t>
        </is>
      </c>
      <c r="J24" s="9" t="inlineStr">
        <is>
          <t>Passport p.26 + p.10: India dep. New Delhi 03 Sep 2025; CBP stamp 04 Sep 2025; India arrival Mumbai 30 Sep 2025</t>
        </is>
      </c>
      <c r="K24" s="9" t="inlineStr">
        <is>
          <t>High</t>
        </is>
      </c>
      <c r="L24" s="9" t="inlineStr">
        <is>
          <t>First use of US visa</t>
        </is>
      </c>
    </row>
  </sheetData>
  <autoFilter ref="A4:L84"/>
  <dataValidations count="1">
    <dataValidation sqref="F5:F84" showDropDown="0" showInputMessage="0" showErrorMessage="0" allowBlank="1" type="list">
      <formula1>"Visit,Transit"</formula1>
    </dataValidation>
  </dataValidations>
  <pageMargins left="0.75" right="0.75" top="1" bottom="1" header="0.5" footer="0.5"/>
</worksheet>
</file>

<file path=xl/worksheets/sheet3.xml><?xml version="1.0" encoding="utf-8"?>
<worksheet xmlns="http://schemas.openxmlformats.org/spreadsheetml/2006/main">
  <sheetPr>
    <tabColor rgb="001F2A44"/>
    <outlinePr summaryBelow="1" summaryRight="1"/>
    <pageSetUpPr/>
  </sheetPr>
  <dimension ref="A1:F21"/>
  <sheetViews>
    <sheetView zoomScale="100"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8" customWidth="1" min="5" max="5"/>
    <col width="60" customWidth="1" min="6" max="6"/>
  </cols>
  <sheetData>
    <row r="1">
      <c r="A1" s="1" t="inlineStr">
        <is>
          <t>Countries visited - summary</t>
        </is>
      </c>
    </row>
    <row r="2">
      <c r="A2" s="2" t="inlineStr">
        <is>
          <t>Counts rows of type 'Visit' in the Travel Log. Add a country name in column A and the rest fills in.</t>
        </is>
      </c>
    </row>
    <row r="4">
      <c r="A4" s="3" t="inlineStr">
        <is>
          <t>Country</t>
        </is>
      </c>
      <c r="B4" s="3" t="inlineStr">
        <is>
          <t>Times visited</t>
        </is>
      </c>
      <c r="C4" s="3" t="inlineStr">
        <is>
          <t>First entry</t>
        </is>
      </c>
      <c r="D4" s="3" t="inlineStr">
        <is>
          <t>Latest entry</t>
        </is>
      </c>
      <c r="E4" s="3" t="inlineStr">
        <is>
          <t>Total days (known)</t>
        </is>
      </c>
      <c r="F4" s="3" t="inlineStr">
        <is>
          <t>Visa types used</t>
        </is>
      </c>
    </row>
    <row r="5">
      <c r="A5" s="9" t="inlineStr">
        <is>
          <t>Belgium</t>
        </is>
      </c>
      <c r="B5" s="9">
        <f>COUNTIFS('Travel Log'!$B$5:$B$84,A5,'Travel Log'!$F$5:$F$84,"Visit")</f>
        <v/>
      </c>
      <c r="C5" s="12">
        <f>IF(COUNTIFS('Travel Log'!$B$5:$B$84,A5,'Travel Log'!$C$5:$C$84,"&gt;0")=0,"",_xlfn.MINIFS('Travel Log'!$C$5:$C$84,'Travel Log'!$B$5:$B$84,A5,'Travel Log'!$C$5:$C$84,"&gt;0"))</f>
        <v/>
      </c>
      <c r="D5" s="12">
        <f>IF(COUNTIFS('Travel Log'!$B$5:$B$84,A5,'Travel Log'!$C$5:$C$84,"&gt;0")=0,"",_xlfn.MAXIFS('Travel Log'!$C$5:$C$84,'Travel Log'!$B$5:$B$84,A5,'Travel Log'!$C$5:$C$84,"&gt;0"))</f>
        <v/>
      </c>
      <c r="E5" s="9">
        <f>SUMIFS('Travel Log'!$E$5:$E$84,'Travel Log'!$B$5:$B$84,A5,'Travel Log'!$F$5:$F$84,"Visit")</f>
        <v/>
      </c>
      <c r="F5" s="9" t="inlineStr">
        <is>
          <t>Schengen C visa #1</t>
        </is>
      </c>
    </row>
    <row r="6">
      <c r="A6" s="9" t="inlineStr">
        <is>
          <t>Cambodia</t>
        </is>
      </c>
      <c r="B6" s="9">
        <f>COUNTIFS('Travel Log'!$B$5:$B$84,A6,'Travel Log'!$F$5:$F$84,"Visit")</f>
        <v/>
      </c>
      <c r="C6" s="12">
        <f>IF(COUNTIFS('Travel Log'!$B$5:$B$84,A6,'Travel Log'!$C$5:$C$84,"&gt;0")=0,"",_xlfn.MINIFS('Travel Log'!$C$5:$C$84,'Travel Log'!$B$5:$B$84,A6,'Travel Log'!$C$5:$C$84,"&gt;0"))</f>
        <v/>
      </c>
      <c r="D6" s="12">
        <f>IF(COUNTIFS('Travel Log'!$B$5:$B$84,A6,'Travel Log'!$C$5:$C$84,"&gt;0")=0,"",_xlfn.MAXIFS('Travel Log'!$C$5:$C$84,'Travel Log'!$B$5:$B$84,A6,'Travel Log'!$C$5:$C$84,"&gt;0"))</f>
        <v/>
      </c>
      <c r="E6" s="9">
        <f>SUMIFS('Travel Log'!$E$5:$E$84,'Travel Log'!$B$5:$B$84,A6,'Travel Log'!$F$5:$F$84,"Visit")</f>
        <v/>
      </c>
      <c r="F6" s="9" t="inlineStr">
        <is>
          <t>e-Visa (valid 27 Jun-26 Jul 2023); e-Visa (valid to 07 Mar 2023)</t>
        </is>
      </c>
    </row>
    <row r="7">
      <c r="A7" s="9" t="inlineStr">
        <is>
          <t>France</t>
        </is>
      </c>
      <c r="B7" s="9">
        <f>COUNTIFS('Travel Log'!$B$5:$B$84,A7,'Travel Log'!$F$5:$F$84,"Visit")</f>
        <v/>
      </c>
      <c r="C7" s="12">
        <f>IF(COUNTIFS('Travel Log'!$B$5:$B$84,A7,'Travel Log'!$C$5:$C$84,"&gt;0")=0,"",_xlfn.MINIFS('Travel Log'!$C$5:$C$84,'Travel Log'!$B$5:$B$84,A7,'Travel Log'!$C$5:$C$84,"&gt;0"))</f>
        <v/>
      </c>
      <c r="D7" s="12">
        <f>IF(COUNTIFS('Travel Log'!$B$5:$B$84,A7,'Travel Log'!$C$5:$C$84,"&gt;0")=0,"",_xlfn.MAXIFS('Travel Log'!$C$5:$C$84,'Travel Log'!$B$5:$B$84,A7,'Travel Log'!$C$5:$C$84,"&gt;0"))</f>
        <v/>
      </c>
      <c r="E7" s="9">
        <f>SUMIFS('Travel Log'!$E$5:$E$84,'Travel Log'!$B$5:$B$84,A7,'Travel Log'!$F$5:$F$84,"Visit")</f>
        <v/>
      </c>
      <c r="F7" s="9" t="inlineStr">
        <is>
          <t>Schengen C visa #1 (France-issued, Pondicherry)</t>
        </is>
      </c>
    </row>
    <row r="8">
      <c r="A8" s="9" t="inlineStr">
        <is>
          <t>Germany</t>
        </is>
      </c>
      <c r="B8" s="9">
        <f>COUNTIFS('Travel Log'!$B$5:$B$84,A8,'Travel Log'!$F$5:$F$84,"Visit")</f>
        <v/>
      </c>
      <c r="C8" s="12">
        <f>IF(COUNTIFS('Travel Log'!$B$5:$B$84,A8,'Travel Log'!$C$5:$C$84,"&gt;0")=0,"",_xlfn.MINIFS('Travel Log'!$C$5:$C$84,'Travel Log'!$B$5:$B$84,A8,'Travel Log'!$C$5:$C$84,"&gt;0"))</f>
        <v/>
      </c>
      <c r="D8" s="12">
        <f>IF(COUNTIFS('Travel Log'!$B$5:$B$84,A8,'Travel Log'!$C$5:$C$84,"&gt;0")=0,"",_xlfn.MAXIFS('Travel Log'!$C$5:$C$84,'Travel Log'!$B$5:$B$84,A8,'Travel Log'!$C$5:$C$84,"&gt;0"))</f>
        <v/>
      </c>
      <c r="E8" s="9">
        <f>SUMIFS('Travel Log'!$E$5:$E$84,'Travel Log'!$B$5:$B$84,A8,'Travel Log'!$F$5:$F$84,"Visit")</f>
        <v/>
      </c>
      <c r="F8" s="9" t="inlineStr">
        <is>
          <t>Schengen C visa #1</t>
        </is>
      </c>
    </row>
    <row r="9">
      <c r="A9" s="9" t="inlineStr">
        <is>
          <t>Italy</t>
        </is>
      </c>
      <c r="B9" s="9">
        <f>COUNTIFS('Travel Log'!$B$5:$B$84,A9,'Travel Log'!$F$5:$F$84,"Visit")</f>
        <v/>
      </c>
      <c r="C9" s="12">
        <f>IF(COUNTIFS('Travel Log'!$B$5:$B$84,A9,'Travel Log'!$C$5:$C$84,"&gt;0")=0,"",_xlfn.MINIFS('Travel Log'!$C$5:$C$84,'Travel Log'!$B$5:$B$84,A9,'Travel Log'!$C$5:$C$84,"&gt;0"))</f>
        <v/>
      </c>
      <c r="D9" s="12">
        <f>IF(COUNTIFS('Travel Log'!$B$5:$B$84,A9,'Travel Log'!$C$5:$C$84,"&gt;0")=0,"",_xlfn.MAXIFS('Travel Log'!$C$5:$C$84,'Travel Log'!$B$5:$B$84,A9,'Travel Log'!$C$5:$C$84,"&gt;0"))</f>
        <v/>
      </c>
      <c r="E9" s="9">
        <f>SUMIFS('Travel Log'!$E$5:$E$84,'Travel Log'!$B$5:$B$84,A9,'Travel Log'!$F$5:$F$84,"Visit")</f>
        <v/>
      </c>
      <c r="F9" s="9" t="inlineStr">
        <is>
          <t>Schengen C visa #1</t>
        </is>
      </c>
    </row>
    <row r="10">
      <c r="A10" s="9" t="inlineStr">
        <is>
          <t>Nepal</t>
        </is>
      </c>
      <c r="B10" s="9">
        <f>COUNTIFS('Travel Log'!$B$5:$B$84,A10,'Travel Log'!$F$5:$F$84,"Visit")</f>
        <v/>
      </c>
      <c r="C10" s="12">
        <f>IF(COUNTIFS('Travel Log'!$B$5:$B$84,A10,'Travel Log'!$C$5:$C$84,"&gt;0")=0,"",_xlfn.MINIFS('Travel Log'!$C$5:$C$84,'Travel Log'!$B$5:$B$84,A10,'Travel Log'!$C$5:$C$84,"&gt;0"))</f>
        <v/>
      </c>
      <c r="D10" s="12">
        <f>IF(COUNTIFS('Travel Log'!$B$5:$B$84,A10,'Travel Log'!$C$5:$C$84,"&gt;0")=0,"",_xlfn.MAXIFS('Travel Log'!$C$5:$C$84,'Travel Log'!$B$5:$B$84,A10,'Travel Log'!$C$5:$C$84,"&gt;0"))</f>
        <v/>
      </c>
      <c r="E10" s="9">
        <f>SUMIFS('Travel Log'!$E$5:$E$84,'Travel Log'!$B$5:$B$84,A10,'Travel Log'!$F$5:$F$84,"Visit")</f>
        <v/>
      </c>
      <c r="F10" s="9" t="inlineStr">
        <is>
          <t>No visa needed; No visa needed (Indian PP)</t>
        </is>
      </c>
    </row>
    <row r="11">
      <c r="A11" s="9" t="inlineStr">
        <is>
          <t>Netherlands</t>
        </is>
      </c>
      <c r="B11" s="9">
        <f>COUNTIFS('Travel Log'!$B$5:$B$84,A11,'Travel Log'!$F$5:$F$84,"Visit")</f>
        <v/>
      </c>
      <c r="C11" s="12">
        <f>IF(COUNTIFS('Travel Log'!$B$5:$B$84,A11,'Travel Log'!$C$5:$C$84,"&gt;0")=0,"",_xlfn.MINIFS('Travel Log'!$C$5:$C$84,'Travel Log'!$B$5:$B$84,A11,'Travel Log'!$C$5:$C$84,"&gt;0"))</f>
        <v/>
      </c>
      <c r="D11" s="12">
        <f>IF(COUNTIFS('Travel Log'!$B$5:$B$84,A11,'Travel Log'!$C$5:$C$84,"&gt;0")=0,"",_xlfn.MAXIFS('Travel Log'!$C$5:$C$84,'Travel Log'!$B$5:$B$84,A11,'Travel Log'!$C$5:$C$84,"&gt;0"))</f>
        <v/>
      </c>
      <c r="E11" s="9">
        <f>SUMIFS('Travel Log'!$E$5:$E$84,'Travel Log'!$B$5:$B$84,A11,'Travel Log'!$F$5:$F$84,"Visit")</f>
        <v/>
      </c>
      <c r="F11" s="9" t="inlineStr">
        <is>
          <t>Schengen C visa #1</t>
        </is>
      </c>
    </row>
    <row r="12">
      <c r="A12" s="9" t="inlineStr">
        <is>
          <t>Sri Lanka</t>
        </is>
      </c>
      <c r="B12" s="9">
        <f>COUNTIFS('Travel Log'!$B$5:$B$84,A12,'Travel Log'!$F$5:$F$84,"Visit")</f>
        <v/>
      </c>
      <c r="C12" s="12">
        <f>IF(COUNTIFS('Travel Log'!$B$5:$B$84,A12,'Travel Log'!$C$5:$C$84,"&gt;0")=0,"",_xlfn.MINIFS('Travel Log'!$C$5:$C$84,'Travel Log'!$B$5:$B$84,A12,'Travel Log'!$C$5:$C$84,"&gt;0"))</f>
        <v/>
      </c>
      <c r="D12" s="12">
        <f>IF(COUNTIFS('Travel Log'!$B$5:$B$84,A12,'Travel Log'!$C$5:$C$84,"&gt;0")=0,"",_xlfn.MAXIFS('Travel Log'!$C$5:$C$84,'Travel Log'!$B$5:$B$84,A12,'Travel Log'!$C$5:$C$84,"&gt;0"))</f>
        <v/>
      </c>
      <c r="E12" s="9">
        <f>SUMIFS('Travel Log'!$E$5:$E$84,'Travel Log'!$B$5:$B$84,A12,'Travel Log'!$F$5:$F$84,"Visit")</f>
        <v/>
      </c>
      <c r="F12" s="9" t="inlineStr">
        <is>
          <t>ETA 30-day, 1st visit (exp 16/01/2020); ETA 30-day, 1st visit (exp 23/02/2022); ETA 30-day, 1st visit (exp 28/10/2019)</t>
        </is>
      </c>
    </row>
    <row r="13">
      <c r="A13" s="9" t="inlineStr">
        <is>
          <t>Switzerland</t>
        </is>
      </c>
      <c r="B13" s="9">
        <f>COUNTIFS('Travel Log'!$B$5:$B$84,A13,'Travel Log'!$F$5:$F$84,"Visit")</f>
        <v/>
      </c>
      <c r="C13" s="12">
        <f>IF(COUNTIFS('Travel Log'!$B$5:$B$84,A13,'Travel Log'!$C$5:$C$84,"&gt;0")=0,"",_xlfn.MINIFS('Travel Log'!$C$5:$C$84,'Travel Log'!$B$5:$B$84,A13,'Travel Log'!$C$5:$C$84,"&gt;0"))</f>
        <v/>
      </c>
      <c r="D13" s="12">
        <f>IF(COUNTIFS('Travel Log'!$B$5:$B$84,A13,'Travel Log'!$C$5:$C$84,"&gt;0")=0,"",_xlfn.MAXIFS('Travel Log'!$C$5:$C$84,'Travel Log'!$B$5:$B$84,A13,'Travel Log'!$C$5:$C$84,"&gt;0"))</f>
        <v/>
      </c>
      <c r="E13" s="9">
        <f>SUMIFS('Travel Log'!$E$5:$E$84,'Travel Log'!$B$5:$B$84,A13,'Travel Log'!$F$5:$F$84,"Visit")</f>
        <v/>
      </c>
      <c r="F13" s="9" t="inlineStr">
        <is>
          <t>Schengen C visa #1</t>
        </is>
      </c>
    </row>
    <row r="14">
      <c r="A14" s="9" t="inlineStr">
        <is>
          <t>Thailand</t>
        </is>
      </c>
      <c r="B14" s="9">
        <f>COUNTIFS('Travel Log'!$B$5:$B$84,A14,'Travel Log'!$F$5:$F$84,"Visit")</f>
        <v/>
      </c>
      <c r="C14" s="12">
        <f>IF(COUNTIFS('Travel Log'!$B$5:$B$84,A14,'Travel Log'!$C$5:$C$84,"&gt;0")=0,"",_xlfn.MINIFS('Travel Log'!$C$5:$C$84,'Travel Log'!$B$5:$B$84,A14,'Travel Log'!$C$5:$C$84,"&gt;0"))</f>
        <v/>
      </c>
      <c r="D14" s="12">
        <f>IF(COUNTIFS('Travel Log'!$B$5:$B$84,A14,'Travel Log'!$C$5:$C$84,"&gt;0")=0,"",_xlfn.MAXIFS('Travel Log'!$C$5:$C$84,'Travel Log'!$B$5:$B$84,A14,'Travel Log'!$C$5:$C$84,"&gt;0"))</f>
        <v/>
      </c>
      <c r="E14" s="9">
        <f>SUMIFS('Travel Log'!$E$5:$E$84,'Travel Log'!$B$5:$B$84,A14,'Travel Log'!$F$5:$F$84,"Visit")</f>
        <v/>
      </c>
      <c r="F14" s="9" t="inlineStr">
        <is>
          <t>Visa on Arrival; Visa on Arrival (30 days)</t>
        </is>
      </c>
    </row>
    <row r="15">
      <c r="A15" s="9" t="inlineStr">
        <is>
          <t>UAE</t>
        </is>
      </c>
      <c r="B15" s="9">
        <f>COUNTIFS('Travel Log'!$B$5:$B$84,A15,'Travel Log'!$F$5:$F$84,"Visit")</f>
        <v/>
      </c>
      <c r="C15" s="12">
        <f>IF(COUNTIFS('Travel Log'!$B$5:$B$84,A15,'Travel Log'!$C$5:$C$84,"&gt;0")=0,"",_xlfn.MINIFS('Travel Log'!$C$5:$C$84,'Travel Log'!$B$5:$B$84,A15,'Travel Log'!$C$5:$C$84,"&gt;0"))</f>
        <v/>
      </c>
      <c r="D15" s="12">
        <f>IF(COUNTIFS('Travel Log'!$B$5:$B$84,A15,'Travel Log'!$C$5:$C$84,"&gt;0")=0,"",_xlfn.MAXIFS('Travel Log'!$C$5:$C$84,'Travel Log'!$B$5:$B$84,A15,'Travel Log'!$C$5:$C$84,"&gt;0"))</f>
        <v/>
      </c>
      <c r="E15" s="9">
        <f>SUMIFS('Travel Log'!$E$5:$E$84,'Travel Log'!$B$5:$B$84,A15,'Travel Log'!$F$5:$F$84,"Visit")</f>
        <v/>
      </c>
      <c r="F15" s="9" t="inlineStr">
        <is>
          <t>Visa/entry per stamp (Indian PP)</t>
        </is>
      </c>
    </row>
    <row r="16">
      <c r="A16" s="9" t="inlineStr">
        <is>
          <t>USA</t>
        </is>
      </c>
      <c r="B16" s="9">
        <f>COUNTIFS('Travel Log'!$B$5:$B$84,A16,'Travel Log'!$F$5:$F$84,"Visit")</f>
        <v/>
      </c>
      <c r="C16" s="12">
        <f>IF(COUNTIFS('Travel Log'!$B$5:$B$84,A16,'Travel Log'!$C$5:$C$84,"&gt;0")=0,"",_xlfn.MINIFS('Travel Log'!$C$5:$C$84,'Travel Log'!$B$5:$B$84,A16,'Travel Log'!$C$5:$C$84,"&gt;0"))</f>
        <v/>
      </c>
      <c r="D16" s="12">
        <f>IF(COUNTIFS('Travel Log'!$B$5:$B$84,A16,'Travel Log'!$C$5:$C$84,"&gt;0")=0,"",_xlfn.MAXIFS('Travel Log'!$C$5:$C$84,'Travel Log'!$B$5:$B$84,A16,'Travel Log'!$C$5:$C$84,"&gt;0"))</f>
        <v/>
      </c>
      <c r="E16" s="9">
        <f>SUMIFS('Travel Log'!$E$5:$E$84,'Travel Log'!$B$5:$B$84,A16,'Travel Log'!$F$5:$F$84,"Visit")</f>
        <v/>
      </c>
      <c r="F16" s="9" t="inlineStr">
        <is>
          <t>B1/B2 10-yr visa (admitted until 03 Mar 2026)</t>
        </is>
      </c>
    </row>
    <row r="17">
      <c r="A17" s="9" t="inlineStr">
        <is>
          <t>United Kingdom</t>
        </is>
      </c>
      <c r="B17" s="9">
        <f>COUNTIFS('Travel Log'!$B$5:$B$84,A17,'Travel Log'!$F$5:$F$84,"Visit")</f>
        <v/>
      </c>
      <c r="C17" s="12">
        <f>IF(COUNTIFS('Travel Log'!$B$5:$B$84,A17,'Travel Log'!$C$5:$C$84,"&gt;0")=0,"",_xlfn.MINIFS('Travel Log'!$C$5:$C$84,'Travel Log'!$B$5:$B$84,A17,'Travel Log'!$C$5:$C$84,"&gt;0"))</f>
        <v/>
      </c>
      <c r="D17" s="12">
        <f>IF(COUNTIFS('Travel Log'!$B$5:$B$84,A17,'Travel Log'!$C$5:$C$84,"&gt;0")=0,"",_xlfn.MAXIFS('Travel Log'!$C$5:$C$84,'Travel Log'!$B$5:$B$84,A17,'Travel Log'!$C$5:$C$84,"&gt;0"))</f>
        <v/>
      </c>
      <c r="E17" s="9">
        <f>SUMIFS('Travel Log'!$E$5:$E$84,'Travel Log'!$B$5:$B$84,A17,'Travel Log'!$F$5:$F$84,"Visit")</f>
        <v/>
      </c>
      <c r="F17" s="9" t="inlineStr">
        <is>
          <t>UK Standard Visitor C-visit, multiple, 29 Jun-29 Dec 2024</t>
        </is>
      </c>
    </row>
    <row r="19">
      <c r="A19" s="4" t="inlineStr">
        <is>
          <t>TOTAL</t>
        </is>
      </c>
      <c r="B19" s="4">
        <f>SUM(B5:B17)</f>
        <v/>
      </c>
      <c r="E19" s="4">
        <f>SUM(E5:E17)</f>
        <v/>
      </c>
    </row>
    <row r="21" ht="45" customHeight="1">
      <c r="A21" s="8" t="inlineStr">
        <is>
          <t>Schengen trip 15-27 Jul 2024: France (entry CDG), Belgium, Netherlands, Germany, Switzerland, Italy/Rome (exit Milan) - internal borders are not stamped, so per-country dates are blank until you add them.</t>
        </is>
      </c>
    </row>
  </sheetData>
  <mergeCells count="1">
    <mergeCell ref="A21:F21"/>
  </mergeCells>
  <pageMargins left="0.75" right="0.75" top="1" bottom="1" header="0.5" footer="0.5"/>
</worksheet>
</file>

<file path=xl/worksheets/sheet4.xml><?xml version="1.0" encoding="utf-8"?>
<worksheet xmlns="http://schemas.openxmlformats.org/spreadsheetml/2006/main">
  <sheetPr>
    <tabColor rgb="001F2A44"/>
    <outlinePr summaryBelow="1" summaryRight="1"/>
    <pageSetUpPr/>
  </sheetPr>
  <dimension ref="A1:L19"/>
  <sheetViews>
    <sheetView zoomScale="100" workbookViewId="0">
      <pane ySplit="4" topLeftCell="A5" activePane="bottomLeft" state="frozen"/>
      <selection pane="bottomLeft" activeCell="A1" sqref="A1"/>
    </sheetView>
  </sheetViews>
  <sheetFormatPr baseColWidth="8" defaultRowHeight="15"/>
  <cols>
    <col width="28" customWidth="1" min="1" max="1"/>
    <col width="16" customWidth="1" min="2" max="2"/>
    <col width="24" customWidth="1" min="3" max="3"/>
    <col width="13" customWidth="1" min="4" max="4"/>
    <col width="13" customWidth="1" min="5" max="5"/>
    <col width="10" customWidth="1" min="6" max="6"/>
    <col width="26" customWidth="1" min="7" max="7"/>
    <col width="14" customWidth="1" min="8" max="8"/>
    <col width="12" customWidth="1" min="9" max="9"/>
    <col width="22" customWidth="1" min="10" max="10"/>
    <col width="52" customWidth="1" min="11" max="11"/>
    <col width="28" customWidth="1" min="12" max="12"/>
  </cols>
  <sheetData>
    <row r="1">
      <c r="A1" s="1" t="inlineStr">
        <is>
          <t>Visas I hold / have held</t>
        </is>
      </c>
    </row>
    <row r="2">
      <c r="A2" s="2" t="inlineStr">
        <is>
          <t>Status, days left and warnings are formulas based on TODAY().</t>
        </is>
      </c>
    </row>
    <row r="4">
      <c r="A4" s="3" t="inlineStr">
        <is>
          <t>Visa</t>
        </is>
      </c>
      <c r="B4" s="3" t="inlineStr">
        <is>
          <t>Country / area</t>
        </is>
      </c>
      <c r="C4" s="3" t="inlineStr">
        <is>
          <t>Category</t>
        </is>
      </c>
      <c r="D4" s="3" t="inlineStr">
        <is>
          <t>Valid from</t>
        </is>
      </c>
      <c r="E4" s="3" t="inlineStr">
        <is>
          <t>Valid to</t>
        </is>
      </c>
      <c r="F4" s="3" t="inlineStr">
        <is>
          <t>Entries</t>
        </is>
      </c>
      <c r="G4" s="3" t="inlineStr">
        <is>
          <t>Stay allowed</t>
        </is>
      </c>
      <c r="H4" s="3" t="inlineStr">
        <is>
          <t>Status (auto)</t>
        </is>
      </c>
      <c r="I4" s="3" t="inlineStr">
        <is>
          <t>Days left (auto)</t>
        </is>
      </c>
      <c r="J4" s="3" t="inlineStr">
        <is>
          <t>Used?</t>
        </is>
      </c>
      <c r="K4" s="3" t="inlineStr">
        <is>
          <t>Notes / conditions</t>
        </is>
      </c>
      <c r="L4" s="3" t="inlineStr">
        <is>
          <t>Source</t>
        </is>
      </c>
    </row>
    <row r="5">
      <c r="A5" s="9" t="inlineStr">
        <is>
          <t>USA B1/B2 Visitor</t>
        </is>
      </c>
      <c r="B5" s="9" t="inlineStr">
        <is>
          <t>United States</t>
        </is>
      </c>
      <c r="C5" s="9" t="inlineStr">
        <is>
          <t>B1/B2, 10 yrs</t>
        </is>
      </c>
      <c r="D5" s="12" t="n">
        <v>45657</v>
      </c>
      <c r="E5" s="12" t="n">
        <v>49304</v>
      </c>
      <c r="F5" s="9" t="inlineStr">
        <is>
          <t>Multiple</t>
        </is>
      </c>
      <c r="G5" s="9" t="inlineStr">
        <is>
          <t>Up to 6 months per admission (set by CBP)</t>
        </is>
      </c>
      <c r="H5" s="9">
        <f>IF(E5&lt;TODAY(),"EXPIRED",IF(E5-TODAY()&lt;180,"EXPIRING SOON","VALID"))</f>
        <v/>
      </c>
      <c r="I5" s="9">
        <f>E5-TODAY()</f>
        <v/>
      </c>
      <c r="J5" s="9" t="inlineStr">
        <is>
          <t>Used once (Sep 2025)</t>
        </is>
      </c>
      <c r="K5" s="9" t="inlineStr">
        <is>
          <t>Used once (Sep 2025) | Ref: Control no. ...0010 / foil V2775359</t>
        </is>
      </c>
      <c r="L5" s="9" t="inlineStr">
        <is>
          <t>Passport p.26 + your Visa sheet</t>
        </is>
      </c>
    </row>
    <row r="6">
      <c r="A6" s="9" t="inlineStr">
        <is>
          <t>Australia Visitor (subclass 600)</t>
        </is>
      </c>
      <c r="B6" s="9" t="inlineStr">
        <is>
          <t>Australia</t>
        </is>
      </c>
      <c r="C6" s="9" t="inlineStr">
        <is>
          <t>Business Visitor stream</t>
        </is>
      </c>
      <c r="D6" s="12" t="n">
        <v>45974</v>
      </c>
      <c r="E6" s="12" t="n">
        <v>47800</v>
      </c>
      <c r="F6" s="9" t="inlineStr">
        <is>
          <t>Multiple</t>
        </is>
      </c>
      <c r="G6" s="9" t="inlineStr">
        <is>
          <t>3 months per arrival</t>
        </is>
      </c>
      <c r="H6" s="9">
        <f>IF(E6&lt;TODAY(),"EXPIRED",IF(E6-TODAY()&lt;180,"EXPIRING SOON","VALID"))</f>
        <v/>
      </c>
      <c r="I6" s="9">
        <f>E6-TODAY()</f>
        <v/>
      </c>
      <c r="J6" s="9" t="inlineStr">
        <is>
          <t>Not yet used (as per records)</t>
        </is>
      </c>
      <c r="K6" s="9" t="inlineStr">
        <is>
          <t>Not yet used (as per records) - conditions 8115 (business-visitor activity only), 8201 (max 3 months study) | Ref: Doc no. matches passport (VEVO)</t>
        </is>
      </c>
      <c r="L6" s="9" t="inlineStr">
        <is>
          <t>VEVO check 13 Nov 2025</t>
        </is>
      </c>
    </row>
    <row r="7">
      <c r="A7" s="9" t="inlineStr">
        <is>
          <t>Schengen C (France) #1</t>
        </is>
      </c>
      <c r="B7" s="9" t="inlineStr">
        <is>
          <t>Schengen area</t>
        </is>
      </c>
      <c r="C7" s="9" t="inlineStr">
        <is>
          <t>Arts/Science/Sport (cultural)</t>
        </is>
      </c>
      <c r="D7" s="12" t="n">
        <v>45488</v>
      </c>
      <c r="E7" s="12" t="n">
        <v>45533</v>
      </c>
      <c r="F7" s="9" t="inlineStr">
        <is>
          <t>Multiple</t>
        </is>
      </c>
      <c r="G7" s="9" t="inlineStr">
        <is>
          <t>30 days</t>
        </is>
      </c>
      <c r="H7" s="9">
        <f>IF(E7&lt;TODAY(),"EXPIRED",IF(E7-TODAY()&lt;180,"EXPIRING SOON","VALID"))</f>
        <v/>
      </c>
      <c r="I7" s="9">
        <f>E7-TODAY()</f>
        <v/>
      </c>
      <c r="J7" s="9" t="inlineStr">
        <is>
          <t>Used Jul 2024 (France-&gt;Italy)</t>
        </is>
      </c>
      <c r="K7" s="9" t="inlineStr"/>
      <c r="L7" s="9" t="inlineStr">
        <is>
          <t>Passport p.17</t>
        </is>
      </c>
    </row>
    <row r="8">
      <c r="A8" s="9" t="inlineStr">
        <is>
          <t>Schengen C (France) #2</t>
        </is>
      </c>
      <c r="B8" s="9" t="inlineStr">
        <is>
          <t>Schengen area</t>
        </is>
      </c>
      <c r="C8" s="9" t="inlineStr">
        <is>
          <t>Arts/Science/Sport (cultural)</t>
        </is>
      </c>
      <c r="D8" s="12" t="n">
        <v>45951</v>
      </c>
      <c r="E8" s="12" t="n">
        <v>46131</v>
      </c>
      <c r="F8" s="9" t="inlineStr">
        <is>
          <t>Multiple</t>
        </is>
      </c>
      <c r="G8" s="9" t="inlineStr">
        <is>
          <t>30 days</t>
        </is>
      </c>
      <c r="H8" s="9">
        <f>IF(E8&lt;TODAY(),"EXPIRED",IF(E8-TODAY()&lt;180,"EXPIRING SOON","VALID"))</f>
        <v/>
      </c>
      <c r="I8" s="9">
        <f>E8-TODAY()</f>
        <v/>
      </c>
      <c r="J8" s="9" t="inlineStr">
        <is>
          <t>Expired 19 Apr 2026</t>
        </is>
      </c>
      <c r="K8" s="9" t="inlineStr"/>
      <c r="L8" s="9" t="inlineStr">
        <is>
          <t>Passport p.18</t>
        </is>
      </c>
    </row>
    <row r="9">
      <c r="A9" s="9" t="inlineStr">
        <is>
          <t>UK Standard Visitor</t>
        </is>
      </c>
      <c r="B9" s="9" t="inlineStr">
        <is>
          <t>United Kingdom</t>
        </is>
      </c>
      <c r="C9" s="9" t="inlineStr">
        <is>
          <t>C-visit, 180 days, no work</t>
        </is>
      </c>
      <c r="D9" s="12" t="n">
        <v>45472</v>
      </c>
      <c r="E9" s="12" t="n">
        <v>45655</v>
      </c>
      <c r="F9" s="9" t="inlineStr">
        <is>
          <t>Multiple</t>
        </is>
      </c>
      <c r="G9" s="9" t="inlineStr">
        <is>
          <t>up to 6 months per visit</t>
        </is>
      </c>
      <c r="H9" s="9">
        <f>IF(E9&lt;TODAY(),"EXPIRED",IF(E9-TODAY()&lt;180,"EXPIRING SOON","VALID"))</f>
        <v/>
      </c>
      <c r="I9" s="9">
        <f>E9-TODAY()</f>
        <v/>
      </c>
      <c r="J9" s="9" t="inlineStr">
        <is>
          <t>Used Jul 2024; expired 29 Dec 2024</t>
        </is>
      </c>
      <c r="K9" s="9" t="inlineStr"/>
      <c r="L9" s="9" t="inlineStr">
        <is>
          <t>Passport p.23</t>
        </is>
      </c>
    </row>
    <row r="11">
      <c r="A11" s="13" t="inlineStr">
        <is>
          <t>PASSPORT</t>
        </is>
      </c>
    </row>
    <row r="12">
      <c r="A12" s="4" t="inlineStr">
        <is>
          <t>Document</t>
        </is>
      </c>
      <c r="B12" t="inlineStr">
        <is>
          <t>Indian ordinary passport (36 pages)</t>
        </is>
      </c>
    </row>
    <row r="13">
      <c r="A13" s="4" t="inlineStr">
        <is>
          <t>Issued</t>
        </is>
      </c>
      <c r="B13" s="5" t="n">
        <v>43361</v>
      </c>
    </row>
    <row r="14">
      <c r="A14" s="4" t="inlineStr">
        <is>
          <t>Expires</t>
        </is>
      </c>
      <c r="B14" s="5" t="n">
        <v>47013</v>
      </c>
    </row>
    <row r="15">
      <c r="A15" s="4" t="inlineStr">
        <is>
          <t>Place of issue</t>
        </is>
      </c>
      <c r="B15" t="inlineStr">
        <is>
          <t>Hyderabad</t>
        </is>
      </c>
    </row>
    <row r="16">
      <c r="A16" s="4" t="inlineStr">
        <is>
          <t>Days to expiry</t>
        </is>
      </c>
      <c r="B16" s="14">
        <f>B14-TODAY()</f>
        <v/>
      </c>
    </row>
    <row r="17">
      <c r="A17" s="4" t="inlineStr">
        <is>
          <t>6-month rule date</t>
        </is>
      </c>
      <c r="B17" s="5">
        <f>EDATE(B14,-6)</f>
        <v/>
      </c>
    </row>
    <row r="18">
      <c r="A18" s="4" t="inlineStr">
        <is>
          <t>Start renewal by</t>
        </is>
      </c>
      <c r="B18" s="5">
        <f>EDATE(B14,-12)</f>
        <v/>
      </c>
    </row>
    <row r="19">
      <c r="A19" t="inlineStr">
        <is>
          <t>Old passport (issued 15/10/2008, Bangalore) not supplied - earlier travel not captured.</t>
        </is>
      </c>
    </row>
  </sheetData>
  <conditionalFormatting sqref="H5:H30">
    <cfRule type="cellIs" priority="1" operator="equal" dxfId="0">
      <formula>"EXPIRED"</formula>
    </cfRule>
    <cfRule type="cellIs" priority="2" operator="equal" dxfId="1">
      <formula>"EXPIRING SOON"</formula>
    </cfRule>
    <cfRule type="cellIs" priority="3" operator="equal" dxfId="2">
      <formula>"VALID"</formula>
    </cfRule>
  </conditionalFormatting>
  <pageMargins left="0.75" right="0.75" top="1" bottom="1" header="0.5" footer="0.5"/>
</worksheet>
</file>

<file path=xl/worksheets/sheet5.xml><?xml version="1.0" encoding="utf-8"?>
<worksheet xmlns="http://schemas.openxmlformats.org/spreadsheetml/2006/main">
  <sheetPr>
    <tabColor rgb="001F2A44"/>
    <outlinePr summaryBelow="1" summaryRight="1"/>
    <pageSetUpPr/>
  </sheetPr>
  <dimension ref="A1:N42"/>
  <sheetViews>
    <sheetView zoomScale="100" workbookViewId="0">
      <pane ySplit="4" topLeftCell="A5" activePane="bottomLeft" state="frozen"/>
      <selection pane="bottomLeft" activeCell="A1" sqref="A1"/>
    </sheetView>
  </sheetViews>
  <sheetFormatPr baseColWidth="8" defaultRowHeight="15"/>
  <cols>
    <col width="34" customWidth="1" min="1" max="1"/>
    <col width="18" customWidth="1" min="2" max="2"/>
    <col width="26" customWidth="1" min="3" max="3"/>
    <col width="22" customWidth="1" min="4" max="4"/>
    <col width="44" customWidth="1" min="5" max="5"/>
    <col width="11"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14" customWidth="1" min="14" max="14"/>
  </cols>
  <sheetData>
    <row r="1">
      <c r="A1" s="1" t="inlineStr">
        <is>
          <t>Access Map - where a third-country visa replaces a separate visa (Indian passport)</t>
        </is>
      </c>
    </row>
    <row r="2">
      <c r="A2" s="2" t="inlineStr">
        <is>
          <t>Row 3: set each document to Yes/No (Yes = you hold it today). Column K then shows where you can go NOW. Cell text = condition to check.</t>
        </is>
      </c>
    </row>
    <row r="3">
      <c r="F3" s="15" t="inlineStr">
        <is>
          <t>I hold -&gt;</t>
        </is>
      </c>
      <c r="G3" s="16" t="inlineStr">
        <is>
          <t>Yes</t>
        </is>
      </c>
      <c r="H3" s="16" t="inlineStr">
        <is>
          <t>No</t>
        </is>
      </c>
      <c r="I3" s="16" t="inlineStr">
        <is>
          <t>No</t>
        </is>
      </c>
      <c r="J3" s="16" t="inlineStr">
        <is>
          <t>No</t>
        </is>
      </c>
      <c r="K3" s="16" t="inlineStr">
        <is>
          <t>No</t>
        </is>
      </c>
      <c r="L3" s="16" t="inlineStr">
        <is>
          <t>Yes</t>
        </is>
      </c>
      <c r="M3" s="16" t="inlineStr">
        <is>
          <t>No</t>
        </is>
      </c>
    </row>
    <row r="4">
      <c r="A4" s="3" t="inlineStr">
        <is>
          <t>Country / territory</t>
        </is>
      </c>
      <c r="B4" s="3" t="inlineStr">
        <is>
          <t>Region</t>
        </is>
      </c>
      <c r="C4" s="3" t="inlineStr">
        <is>
          <t>What you get</t>
        </is>
      </c>
      <c r="D4" s="3" t="inlineStr">
        <is>
          <t>Stay</t>
        </is>
      </c>
      <c r="E4" s="3" t="inlineStr">
        <is>
          <t>Notes</t>
        </is>
      </c>
      <c r="F4" s="3" t="inlineStr">
        <is>
          <t>Confidence</t>
        </is>
      </c>
      <c r="G4" s="3" t="inlineStr">
        <is>
          <t>USA B1/B2 visa</t>
        </is>
      </c>
      <c r="H4" s="3" t="inlineStr">
        <is>
          <t>Schengen C visa (multi-entry)</t>
        </is>
      </c>
      <c r="I4" s="3" t="inlineStr">
        <is>
          <t>UK Standard Visitor visa</t>
        </is>
      </c>
      <c r="J4" s="3" t="inlineStr">
        <is>
          <t>Canada visitor visa (TRV)</t>
        </is>
      </c>
      <c r="K4" s="3" t="inlineStr">
        <is>
          <t>Japan visa</t>
        </is>
      </c>
      <c r="L4" s="3" t="inlineStr">
        <is>
          <t>Australia Visitor visa</t>
        </is>
      </c>
      <c r="M4" s="3" t="inlineStr">
        <is>
          <t>Singapore visa</t>
        </is>
      </c>
      <c r="N4" s="3" t="inlineStr">
        <is>
          <t>Usable NOW?</t>
        </is>
      </c>
    </row>
    <row r="5">
      <c r="A5" s="9" t="inlineStr">
        <is>
          <t>Mexico</t>
        </is>
      </c>
      <c r="B5" s="9" t="inlineStr">
        <is>
          <t>Americas</t>
        </is>
      </c>
      <c r="C5" s="9" t="inlineStr">
        <is>
          <t>Visa exempt</t>
        </is>
      </c>
      <c r="D5" s="9" t="inlineStr">
        <is>
          <t>up to 180 d</t>
        </is>
      </c>
      <c r="E5" s="9" t="inlineStr">
        <is>
          <t>Australia NOT accepted. US visa is the safe one.</t>
        </is>
      </c>
      <c r="F5" s="9" t="inlineStr">
        <is>
          <t>Researched</t>
        </is>
      </c>
      <c r="G5" s="9" t="inlineStr">
        <is>
          <t>Yes</t>
        </is>
      </c>
      <c r="H5" s="9" t="inlineStr">
        <is>
          <t>Yes - often refused w/o residence proof</t>
        </is>
      </c>
      <c r="I5" s="9" t="inlineStr">
        <is>
          <t>Yes - often refused w/o residence proof</t>
        </is>
      </c>
      <c r="J5" s="9" t="inlineStr">
        <is>
          <t>Yes</t>
        </is>
      </c>
      <c r="K5" s="9" t="inlineStr">
        <is>
          <t>Yes - often refused w/o residence proof</t>
        </is>
      </c>
      <c r="L5" s="9" t="inlineStr"/>
      <c r="M5" s="9" t="inlineStr"/>
      <c r="N5" s="9">
        <f>IF(SUMPRODUCT(--($G$3:$M$3="Yes"),--(G5:M5&lt;&gt;""))&gt;0,"YES","-")</f>
        <v/>
      </c>
    </row>
    <row r="6">
      <c r="A6" s="9" t="inlineStr">
        <is>
          <t>Costa Rica</t>
        </is>
      </c>
      <c r="B6" s="9" t="inlineStr">
        <is>
          <t>Americas</t>
        </is>
      </c>
      <c r="C6" s="9" t="inlineStr">
        <is>
          <t>Visa exempt</t>
        </is>
      </c>
      <c r="D6" s="9" t="inlineStr">
        <is>
          <t>~30-90 d</t>
        </is>
      </c>
      <c r="E6" s="9" t="inlineStr">
        <is>
          <t>Transit (C1-C3) US visas excluded</t>
        </is>
      </c>
      <c r="F6" s="9" t="inlineStr">
        <is>
          <t>Researched</t>
        </is>
      </c>
      <c r="G6" s="9" t="inlineStr">
        <is>
          <t>Yes - multiple-entry; valid on entry</t>
        </is>
      </c>
      <c r="H6" s="9" t="inlineStr">
        <is>
          <t>Yes - C multi-entry/D; 90 d validity left</t>
        </is>
      </c>
      <c r="I6" s="9" t="inlineStr"/>
      <c r="J6" s="9" t="inlineStr">
        <is>
          <t>Yes - multiple-entry</t>
        </is>
      </c>
      <c r="K6" s="9" t="inlineStr"/>
      <c r="L6" s="9" t="inlineStr"/>
      <c r="M6" s="9" t="inlineStr"/>
      <c r="N6" s="9">
        <f>IF(SUMPRODUCT(--($G$3:$M$3="Yes"),--(G6:M6&lt;&gt;""))&gt;0,"YES","-")</f>
        <v/>
      </c>
    </row>
    <row r="7">
      <c r="A7" s="9" t="inlineStr">
        <is>
          <t>Panama</t>
        </is>
      </c>
      <c r="B7" s="9" t="inlineStr">
        <is>
          <t>Americas</t>
        </is>
      </c>
      <c r="C7" s="9" t="inlineStr">
        <is>
          <t>Visa exempt</t>
        </is>
      </c>
      <c r="D7" s="9" t="inlineStr">
        <is>
          <t>30 d</t>
        </is>
      </c>
      <c r="E7" s="9" t="inlineStr">
        <is>
          <t>Your Aus visa is UNUSED so not yet valid for this</t>
        </is>
      </c>
      <c r="F7" s="9" t="inlineStr">
        <is>
          <t>Researched</t>
        </is>
      </c>
      <c r="G7" s="9" t="inlineStr">
        <is>
          <t>Yes - used once; &gt;=1 yr validity left</t>
        </is>
      </c>
      <c r="H7" s="9" t="inlineStr">
        <is>
          <t>Yes - used once; &gt;=1 yr left</t>
        </is>
      </c>
      <c r="I7" s="9" t="inlineStr">
        <is>
          <t>Yes - used once; &gt;=1 yr left</t>
        </is>
      </c>
      <c r="J7" s="9" t="inlineStr">
        <is>
          <t>Yes - used once; &gt;=1 yr left</t>
        </is>
      </c>
      <c r="K7" s="9" t="inlineStr">
        <is>
          <t>Yes - used once; &gt;=1 yr left</t>
        </is>
      </c>
      <c r="L7" s="9" t="inlineStr">
        <is>
          <t>Yes - used once; &gt;=1 yr left</t>
        </is>
      </c>
      <c r="M7" s="9" t="inlineStr"/>
      <c r="N7" s="9">
        <f>IF(SUMPRODUCT(--($G$3:$M$3="Yes"),--(G7:M7&lt;&gt;""))&gt;0,"YES","-")</f>
        <v/>
      </c>
    </row>
    <row r="8">
      <c r="A8" s="9" t="inlineStr">
        <is>
          <t>Belize</t>
        </is>
      </c>
      <c r="B8" s="9" t="inlineStr">
        <is>
          <t>Americas</t>
        </is>
      </c>
      <c r="C8" s="9" t="inlineStr">
        <is>
          <t>VoA / exempt</t>
        </is>
      </c>
      <c r="D8" s="9" t="inlineStr">
        <is>
          <t>90 d (Schengen)</t>
        </is>
      </c>
      <c r="E8" s="9" t="inlineStr"/>
      <c r="F8" s="9" t="inlineStr">
        <is>
          <t>Researched</t>
        </is>
      </c>
      <c r="G8" s="9" t="inlineStr">
        <is>
          <t>Yes - multiple-entry</t>
        </is>
      </c>
      <c r="H8" s="9" t="inlineStr">
        <is>
          <t>Yes</t>
        </is>
      </c>
      <c r="I8" s="9" t="inlineStr"/>
      <c r="J8" s="9" t="inlineStr">
        <is>
          <t>Yes - multiple-entry</t>
        </is>
      </c>
      <c r="K8" s="9" t="inlineStr"/>
      <c r="L8" s="9" t="inlineStr"/>
      <c r="M8" s="9" t="inlineStr"/>
      <c r="N8" s="9">
        <f>IF(SUMPRODUCT(--($G$3:$M$3="Yes"),--(G8:M8&lt;&gt;""))&gt;0,"YES","-")</f>
        <v/>
      </c>
    </row>
    <row r="9">
      <c r="A9" s="9" t="inlineStr">
        <is>
          <t>Guatemala</t>
        </is>
      </c>
      <c r="B9" s="9" t="inlineStr">
        <is>
          <t>Americas</t>
        </is>
      </c>
      <c r="C9" s="9" t="inlineStr">
        <is>
          <t>Visa exempt</t>
        </is>
      </c>
      <c r="D9" s="9" t="inlineStr">
        <is>
          <t>90 d</t>
        </is>
      </c>
      <c r="E9" s="9" t="inlineStr">
        <is>
          <t>Sources conflict (some list e-Visa) - confirm</t>
        </is>
      </c>
      <c r="F9" s="11" t="inlineStr">
        <is>
          <t>CONFIRM</t>
        </is>
      </c>
      <c r="G9" s="9" t="inlineStr">
        <is>
          <t>Yes</t>
        </is>
      </c>
      <c r="H9" s="9" t="inlineStr">
        <is>
          <t>Yes</t>
        </is>
      </c>
      <c r="I9" s="9" t="inlineStr"/>
      <c r="J9" s="9" t="inlineStr">
        <is>
          <t>Yes</t>
        </is>
      </c>
      <c r="K9" s="9" t="inlineStr"/>
      <c r="L9" s="9" t="inlineStr"/>
      <c r="M9" s="9" t="inlineStr"/>
      <c r="N9" s="9">
        <f>IF(SUMPRODUCT(--($G$3:$M$3="Yes"),--(G9:M9&lt;&gt;""))&gt;0,"YES","-")</f>
        <v/>
      </c>
    </row>
    <row r="10">
      <c r="A10" s="9" t="inlineStr">
        <is>
          <t>Honduras</t>
        </is>
      </c>
      <c r="B10" s="9" t="inlineStr">
        <is>
          <t>Americas</t>
        </is>
      </c>
      <c r="C10" s="9" t="inlineStr">
        <is>
          <t>Visa exempt</t>
        </is>
      </c>
      <c r="D10" s="9" t="inlineStr">
        <is>
          <t>90 d</t>
        </is>
      </c>
      <c r="E10" s="9" t="inlineStr"/>
      <c r="F10" s="9" t="inlineStr">
        <is>
          <t>Researched</t>
        </is>
      </c>
      <c r="G10" s="9" t="inlineStr">
        <is>
          <t>Yes</t>
        </is>
      </c>
      <c r="H10" s="9" t="inlineStr">
        <is>
          <t>Yes</t>
        </is>
      </c>
      <c r="I10" s="9" t="inlineStr"/>
      <c r="J10" s="9" t="inlineStr">
        <is>
          <t>Yes</t>
        </is>
      </c>
      <c r="K10" s="9" t="inlineStr"/>
      <c r="L10" s="9" t="inlineStr"/>
      <c r="M10" s="9" t="inlineStr"/>
      <c r="N10" s="9">
        <f>IF(SUMPRODUCT(--($G$3:$M$3="Yes"),--(G10:M10&lt;&gt;""))&gt;0,"YES","-")</f>
        <v/>
      </c>
    </row>
    <row r="11">
      <c r="A11" s="9" t="inlineStr">
        <is>
          <t>Dominican Republic</t>
        </is>
      </c>
      <c r="B11" s="9" t="inlineStr">
        <is>
          <t>Americas</t>
        </is>
      </c>
      <c r="C11" s="9" t="inlineStr">
        <is>
          <t>Tourist card on arrival (~US$10)</t>
        </is>
      </c>
      <c r="D11" s="9" t="inlineStr">
        <is>
          <t>~30 d</t>
        </is>
      </c>
      <c r="E11" s="9" t="inlineStr"/>
      <c r="F11" s="9" t="inlineStr">
        <is>
          <t>Researched</t>
        </is>
      </c>
      <c r="G11" s="9" t="inlineStr">
        <is>
          <t>Yes - multiple-entry, in passport</t>
        </is>
      </c>
      <c r="H11" s="9" t="inlineStr">
        <is>
          <t>Yes - multiple-entry</t>
        </is>
      </c>
      <c r="I11" s="9" t="inlineStr">
        <is>
          <t>Yes - multiple-entry</t>
        </is>
      </c>
      <c r="J11" s="9" t="inlineStr">
        <is>
          <t>Yes - multiple-entry</t>
        </is>
      </c>
      <c r="K11" s="9" t="inlineStr"/>
      <c r="L11" s="9" t="inlineStr"/>
      <c r="M11" s="9" t="inlineStr"/>
      <c r="N11" s="9">
        <f>IF(SUMPRODUCT(--($G$3:$M$3="Yes"),--(G11:M11&lt;&gt;""))&gt;0,"YES","-")</f>
        <v/>
      </c>
    </row>
    <row r="12">
      <c r="A12" s="9" t="inlineStr">
        <is>
          <t>Colombia</t>
        </is>
      </c>
      <c r="B12" s="9" t="inlineStr">
        <is>
          <t>Americas</t>
        </is>
      </c>
      <c r="C12" s="9" t="inlineStr">
        <is>
          <t>Visa exempt</t>
        </is>
      </c>
      <c r="D12" s="9" t="inlineStr">
        <is>
          <t>90 d</t>
        </is>
      </c>
      <c r="E12" s="9" t="inlineStr">
        <is>
          <t>Resolution 0439/2016 via Indian Embassy Bogota</t>
        </is>
      </c>
      <c r="F12" s="9" t="inlineStr">
        <is>
          <t>Researched</t>
        </is>
      </c>
      <c r="G12" s="9" t="inlineStr">
        <is>
          <t>Yes - not C1; &gt;=180 d validity left</t>
        </is>
      </c>
      <c r="H12" s="9" t="inlineStr">
        <is>
          <t>Yes - &gt;=180 d validity left</t>
        </is>
      </c>
      <c r="I12" s="9" t="inlineStr"/>
      <c r="J12" s="9" t="inlineStr"/>
      <c r="K12" s="9" t="inlineStr"/>
      <c r="L12" s="9" t="inlineStr"/>
      <c r="M12" s="9" t="inlineStr"/>
      <c r="N12" s="9">
        <f>IF(SUMPRODUCT(--($G$3:$M$3="Yes"),--(G12:M12&lt;&gt;""))&gt;0,"YES","-")</f>
        <v/>
      </c>
    </row>
    <row r="13">
      <c r="A13" s="9" t="inlineStr">
        <is>
          <t>Peru</t>
        </is>
      </c>
      <c r="B13" s="9" t="inlineStr">
        <is>
          <t>Americas</t>
        </is>
      </c>
      <c r="C13" s="9" t="inlineStr">
        <is>
          <t>Visa exempt</t>
        </is>
      </c>
      <c r="D13" s="9" t="inlineStr">
        <is>
          <t>up to 180 d / 365</t>
        </is>
      </c>
      <c r="E13" s="9" t="inlineStr">
        <is>
          <t>Australia works</t>
        </is>
      </c>
      <c r="F13" s="9" t="inlineStr">
        <is>
          <t>Researched</t>
        </is>
      </c>
      <c r="G13" s="9" t="inlineStr">
        <is>
          <t>Yes - &gt;=6 mo validity left</t>
        </is>
      </c>
      <c r="H13" s="9" t="inlineStr">
        <is>
          <t>Yes</t>
        </is>
      </c>
      <c r="I13" s="9" t="inlineStr">
        <is>
          <t>Yes</t>
        </is>
      </c>
      <c r="J13" s="9" t="inlineStr">
        <is>
          <t>Yes</t>
        </is>
      </c>
      <c r="K13" s="9" t="inlineStr"/>
      <c r="L13" s="9" t="inlineStr">
        <is>
          <t>Yes - &gt;=6 mo validity left</t>
        </is>
      </c>
      <c r="M13" s="9" t="inlineStr"/>
      <c r="N13" s="9">
        <f>IF(SUMPRODUCT(--($G$3:$M$3="Yes"),--(G13:M13&lt;&gt;""))&gt;0,"YES","-")</f>
        <v/>
      </c>
    </row>
    <row r="14">
      <c r="A14" s="9" t="inlineStr">
        <is>
          <t>Chile</t>
        </is>
      </c>
      <c r="B14" s="9" t="inlineStr">
        <is>
          <t>Americas</t>
        </is>
      </c>
      <c r="C14" s="9" t="inlineStr">
        <is>
          <t>Visa exempt</t>
        </is>
      </c>
      <c r="D14" s="9" t="inlineStr">
        <is>
          <t>-</t>
        </is>
      </c>
      <c r="E14" s="9" t="inlineStr"/>
      <c r="F14" s="9" t="inlineStr">
        <is>
          <t>Researched</t>
        </is>
      </c>
      <c r="G14" s="9" t="inlineStr">
        <is>
          <t>Yes - not transit C; &gt;=6 mo validity</t>
        </is>
      </c>
      <c r="H14" s="9" t="inlineStr"/>
      <c r="I14" s="9" t="inlineStr"/>
      <c r="J14" s="9" t="inlineStr"/>
      <c r="K14" s="9" t="inlineStr"/>
      <c r="L14" s="9" t="inlineStr"/>
      <c r="M14" s="9" t="inlineStr"/>
      <c r="N14" s="9">
        <f>IF(SUMPRODUCT(--($G$3:$M$3="Yes"),--(G14:M14&lt;&gt;""))&gt;0,"YES","-")</f>
        <v/>
      </c>
    </row>
    <row r="15">
      <c r="A15" s="9" t="inlineStr">
        <is>
          <t>Argentina</t>
        </is>
      </c>
      <c r="B15" s="9" t="inlineStr">
        <is>
          <t>Americas</t>
        </is>
      </c>
      <c r="C15" s="9" t="inlineStr">
        <is>
          <t>Visa-free tourism (Res. 353/2025)</t>
        </is>
      </c>
      <c r="D15" s="9" t="inlineStr">
        <is>
          <t>90 d (one notice: 30 d)</t>
        </is>
      </c>
      <c r="E15" s="9" t="inlineStr">
        <is>
          <t>Wikipedia's 'Apr 2026' note looks wrong</t>
        </is>
      </c>
      <c r="F15" s="9" t="inlineStr">
        <is>
          <t>Researched</t>
        </is>
      </c>
      <c r="G15" s="9" t="inlineStr">
        <is>
          <t>Yes - B2 etc.; insurance required</t>
        </is>
      </c>
      <c r="H15" s="9" t="inlineStr"/>
      <c r="I15" s="9" t="inlineStr"/>
      <c r="J15" s="9" t="inlineStr"/>
      <c r="K15" s="9" t="inlineStr"/>
      <c r="L15" s="9" t="inlineStr"/>
      <c r="M15" s="9" t="inlineStr"/>
      <c r="N15" s="9">
        <f>IF(SUMPRODUCT(--($G$3:$M$3="Yes"),--(G15:M15&lt;&gt;""))&gt;0,"YES","-")</f>
        <v/>
      </c>
    </row>
    <row r="16">
      <c r="A16" s="9" t="inlineStr">
        <is>
          <t>Aruba / Curacao / Bonaire / Sint Maarten</t>
        </is>
      </c>
      <c r="B16" s="9" t="inlineStr">
        <is>
          <t>Caribbean</t>
        </is>
      </c>
      <c r="C16" s="9" t="inlineStr">
        <is>
          <t>Visa exempt</t>
        </is>
      </c>
      <c r="D16" s="9" t="inlineStr">
        <is>
          <t>~30 d</t>
        </is>
      </c>
      <c r="E16" s="9" t="inlineStr">
        <is>
          <t>Single-entry visas do NOT qualify</t>
        </is>
      </c>
      <c r="F16" s="9" t="inlineStr">
        <is>
          <t>Researched</t>
        </is>
      </c>
      <c r="G16" s="9" t="inlineStr">
        <is>
          <t>Yes - multiple-entry only</t>
        </is>
      </c>
      <c r="H16" s="9" t="inlineStr">
        <is>
          <t>Yes - multiple-entry only</t>
        </is>
      </c>
      <c r="I16" s="9" t="inlineStr">
        <is>
          <t>Yes - multiple-entry only</t>
        </is>
      </c>
      <c r="J16" s="9" t="inlineStr">
        <is>
          <t>Yes - multiple-entry only</t>
        </is>
      </c>
      <c r="K16" s="9" t="inlineStr"/>
      <c r="L16" s="9" t="inlineStr"/>
      <c r="M16" s="9" t="inlineStr"/>
      <c r="N16" s="9">
        <f>IF(SUMPRODUCT(--($G$3:$M$3="Yes"),--(G16:M16&lt;&gt;""))&gt;0,"YES","-")</f>
        <v/>
      </c>
    </row>
    <row r="17">
      <c r="A17" s="9" t="inlineStr">
        <is>
          <t>Bahamas</t>
        </is>
      </c>
      <c r="B17" s="9" t="inlineStr">
        <is>
          <t>Caribbean</t>
        </is>
      </c>
      <c r="C17" s="9" t="inlineStr">
        <is>
          <t>VoA</t>
        </is>
      </c>
      <c r="D17" s="9" t="inlineStr">
        <is>
          <t>up to 3 mo</t>
        </is>
      </c>
      <c r="E17" s="9" t="inlineStr">
        <is>
          <t>Otherwise eVisa</t>
        </is>
      </c>
      <c r="F17" s="9" t="inlineStr">
        <is>
          <t>Researched</t>
        </is>
      </c>
      <c r="G17" s="9" t="inlineStr">
        <is>
          <t>Yes</t>
        </is>
      </c>
      <c r="H17" s="9" t="inlineStr">
        <is>
          <t>Yes</t>
        </is>
      </c>
      <c r="I17" s="9" t="inlineStr">
        <is>
          <t>Yes</t>
        </is>
      </c>
      <c r="J17" s="9" t="inlineStr">
        <is>
          <t>Yes</t>
        </is>
      </c>
      <c r="K17" s="9" t="inlineStr"/>
      <c r="L17" s="9" t="inlineStr"/>
      <c r="M17" s="9" t="inlineStr"/>
      <c r="N17" s="9">
        <f>IF(SUMPRODUCT(--($G$3:$M$3="Yes"),--(G17:M17&lt;&gt;""))&gt;0,"YES","-")</f>
        <v/>
      </c>
    </row>
    <row r="18">
      <c r="A18" s="9" t="inlineStr">
        <is>
          <t>Antigua &amp; Barbuda</t>
        </is>
      </c>
      <c r="B18" s="9" t="inlineStr">
        <is>
          <t>Caribbean</t>
        </is>
      </c>
      <c r="C18" s="9" t="inlineStr">
        <is>
          <t>VoA (US$100)</t>
        </is>
      </c>
      <c r="D18" s="9" t="inlineStr">
        <is>
          <t>30 d</t>
        </is>
      </c>
      <c r="E18" s="9" t="inlineStr"/>
      <c r="F18" s="9" t="inlineStr">
        <is>
          <t>Researched</t>
        </is>
      </c>
      <c r="G18" s="9" t="inlineStr">
        <is>
          <t>Yes</t>
        </is>
      </c>
      <c r="H18" s="9" t="inlineStr">
        <is>
          <t>Yes</t>
        </is>
      </c>
      <c r="I18" s="9" t="inlineStr">
        <is>
          <t>Yes</t>
        </is>
      </c>
      <c r="J18" s="9" t="inlineStr">
        <is>
          <t>Yes</t>
        </is>
      </c>
      <c r="K18" s="9" t="inlineStr"/>
      <c r="L18" s="9" t="inlineStr"/>
      <c r="M18" s="9" t="inlineStr"/>
      <c r="N18" s="9">
        <f>IF(SUMPRODUCT(--($G$3:$M$3="Yes"),--(G18:M18&lt;&gt;""))&gt;0,"YES","-")</f>
        <v/>
      </c>
    </row>
    <row r="19">
      <c r="A19" s="9" t="inlineStr">
        <is>
          <t>Albania</t>
        </is>
      </c>
      <c r="B19" s="9" t="inlineStr">
        <is>
          <t>Europe (non-Schengen)</t>
        </is>
      </c>
      <c r="C19" s="9" t="inlineStr">
        <is>
          <t>Visa exempt</t>
        </is>
      </c>
      <c r="D19" s="9" t="inlineStr">
        <is>
          <t>90 d</t>
        </is>
      </c>
      <c r="E19" s="9" t="inlineStr">
        <is>
          <t>Otherwise eVisa</t>
        </is>
      </c>
      <c r="F19" s="9" t="inlineStr">
        <is>
          <t>Researched</t>
        </is>
      </c>
      <c r="G19" s="9" t="inlineStr">
        <is>
          <t>Yes - multi-entry, used once</t>
        </is>
      </c>
      <c r="H19" s="9" t="inlineStr">
        <is>
          <t>Yes - multi-entry, used once in Schengen</t>
        </is>
      </c>
      <c r="I19" s="9" t="inlineStr">
        <is>
          <t>Yes - multi-entry, used once</t>
        </is>
      </c>
      <c r="J19" s="9" t="inlineStr"/>
      <c r="K19" s="9" t="inlineStr"/>
      <c r="L19" s="9" t="inlineStr"/>
      <c r="M19" s="9" t="inlineStr"/>
      <c r="N19" s="9">
        <f>IF(SUMPRODUCT(--($G$3:$M$3="Yes"),--(G19:M19&lt;&gt;""))&gt;0,"YES","-")</f>
        <v/>
      </c>
    </row>
    <row r="20">
      <c r="A20" s="9" t="inlineStr">
        <is>
          <t>Montenegro</t>
        </is>
      </c>
      <c r="B20" s="9" t="inlineStr">
        <is>
          <t>Europe (non-Schengen)</t>
        </is>
      </c>
      <c r="C20" s="9" t="inlineStr">
        <is>
          <t>Visa exempt</t>
        </is>
      </c>
      <c r="D20" s="9" t="inlineStr">
        <is>
          <t>30 d</t>
        </is>
      </c>
      <c r="E20" s="9" t="inlineStr">
        <is>
          <t>Australia works</t>
        </is>
      </c>
      <c r="F20" s="9" t="inlineStr">
        <is>
          <t>Researched</t>
        </is>
      </c>
      <c r="G20" s="9" t="inlineStr">
        <is>
          <t>Yes</t>
        </is>
      </c>
      <c r="H20" s="9" t="inlineStr">
        <is>
          <t>Yes</t>
        </is>
      </c>
      <c r="I20" s="9" t="inlineStr">
        <is>
          <t>Yes</t>
        </is>
      </c>
      <c r="J20" s="9" t="inlineStr">
        <is>
          <t>Yes</t>
        </is>
      </c>
      <c r="K20" s="9" t="inlineStr">
        <is>
          <t>Yes</t>
        </is>
      </c>
      <c r="L20" s="9" t="inlineStr">
        <is>
          <t>Yes</t>
        </is>
      </c>
      <c r="M20" s="9" t="inlineStr"/>
      <c r="N20" s="9">
        <f>IF(SUMPRODUCT(--($G$3:$M$3="Yes"),--(G20:M20&lt;&gt;""))&gt;0,"YES","-")</f>
        <v/>
      </c>
    </row>
    <row r="21">
      <c r="A21" s="9" t="inlineStr">
        <is>
          <t>Serbia</t>
        </is>
      </c>
      <c r="B21" s="9" t="inlineStr">
        <is>
          <t>Europe (non-Schengen)</t>
        </is>
      </c>
      <c r="C21" s="9" t="inlineStr">
        <is>
          <t>Visa exempt</t>
        </is>
      </c>
      <c r="D21" s="9" t="inlineStr">
        <is>
          <t>90 d / 180</t>
        </is>
      </c>
      <c r="E21" s="9" t="inlineStr">
        <is>
          <t>Blogs add multi-entry/used-once conditions</t>
        </is>
      </c>
      <c r="F21" s="9" t="inlineStr">
        <is>
          <t>Researched</t>
        </is>
      </c>
      <c r="G21" s="9" t="inlineStr">
        <is>
          <t>Yes</t>
        </is>
      </c>
      <c r="H21" s="9" t="inlineStr">
        <is>
          <t>Yes</t>
        </is>
      </c>
      <c r="I21" s="9" t="inlineStr">
        <is>
          <t>Yes</t>
        </is>
      </c>
      <c r="J21" s="9" t="inlineStr"/>
      <c r="K21" s="9" t="inlineStr"/>
      <c r="L21" s="9" t="inlineStr"/>
      <c r="M21" s="9" t="inlineStr"/>
      <c r="N21" s="9">
        <f>IF(SUMPRODUCT(--($G$3:$M$3="Yes"),--(G21:M21&lt;&gt;""))&gt;0,"YES","-")</f>
        <v/>
      </c>
    </row>
    <row r="22">
      <c r="A22" s="9" t="inlineStr">
        <is>
          <t>North Macedonia</t>
        </is>
      </c>
      <c r="B22" s="9" t="inlineStr">
        <is>
          <t>Europe (non-Schengen)</t>
        </is>
      </c>
      <c r="C22" s="9" t="inlineStr">
        <is>
          <t>Visa exempt</t>
        </is>
      </c>
      <c r="D22" s="9" t="inlineStr">
        <is>
          <t>15 d</t>
        </is>
      </c>
      <c r="E22" s="9" t="inlineStr">
        <is>
          <t>Onward ticket needed</t>
        </is>
      </c>
      <c r="F22" s="9" t="inlineStr">
        <is>
          <t>Researched</t>
        </is>
      </c>
      <c r="G22" s="9" t="inlineStr">
        <is>
          <t>Yes - visa physically in passport</t>
        </is>
      </c>
      <c r="H22" s="9" t="inlineStr">
        <is>
          <t>Yes - multi-entry C</t>
        </is>
      </c>
      <c r="I22" s="9" t="inlineStr">
        <is>
          <t>Yes</t>
        </is>
      </c>
      <c r="J22" s="9" t="inlineStr">
        <is>
          <t>Yes</t>
        </is>
      </c>
      <c r="K22" s="9" t="inlineStr"/>
      <c r="L22" s="9" t="inlineStr"/>
      <c r="M22" s="9" t="inlineStr"/>
      <c r="N22" s="9">
        <f>IF(SUMPRODUCT(--($G$3:$M$3="Yes"),--(G22:M22&lt;&gt;""))&gt;0,"YES","-")</f>
        <v/>
      </c>
    </row>
    <row r="23">
      <c r="A23" s="9" t="inlineStr">
        <is>
          <t>Bosnia &amp; Herzegovina</t>
        </is>
      </c>
      <c r="B23" s="9" t="inlineStr">
        <is>
          <t>Europe (non-Schengen)</t>
        </is>
      </c>
      <c r="C23" s="9" t="inlineStr">
        <is>
          <t>Visa exempt</t>
        </is>
      </c>
      <c r="D23" s="9" t="inlineStr">
        <is>
          <t>up to 6 mo (your old sheet said 30 d)</t>
        </is>
      </c>
      <c r="E23" s="9" t="inlineStr"/>
      <c r="F23" s="9" t="inlineStr">
        <is>
          <t>Researched</t>
        </is>
      </c>
      <c r="G23" s="9" t="inlineStr">
        <is>
          <t>Yes - multi-entry</t>
        </is>
      </c>
      <c r="H23" s="9" t="inlineStr">
        <is>
          <t>Yes - multi-entry</t>
        </is>
      </c>
      <c r="I23" s="9" t="inlineStr"/>
      <c r="J23" s="9" t="inlineStr"/>
      <c r="K23" s="9" t="inlineStr"/>
      <c r="L23" s="9" t="inlineStr"/>
      <c r="M23" s="9" t="inlineStr"/>
      <c r="N23" s="9">
        <f>IF(SUMPRODUCT(--($G$3:$M$3="Yes"),--(G23:M23&lt;&gt;""))&gt;0,"YES","-")</f>
        <v/>
      </c>
    </row>
    <row r="24">
      <c r="A24" s="9" t="inlineStr">
        <is>
          <t>Georgia</t>
        </is>
      </c>
      <c r="B24" s="9" t="inlineStr">
        <is>
          <t>Caucasus</t>
        </is>
      </c>
      <c r="C24" s="9" t="inlineStr">
        <is>
          <t>Visa exempt</t>
        </is>
      </c>
      <c r="D24" s="9" t="inlineStr">
        <is>
          <t>90 d / 180</t>
        </is>
      </c>
      <c r="E24" s="9" t="inlineStr">
        <is>
          <t>Otherwise eVisa 30 d. Australia works</t>
        </is>
      </c>
      <c r="F24" s="9" t="inlineStr">
        <is>
          <t>Researched</t>
        </is>
      </c>
      <c r="G24" s="9" t="inlineStr">
        <is>
          <t>Yes</t>
        </is>
      </c>
      <c r="H24" s="9" t="inlineStr">
        <is>
          <t>Yes</t>
        </is>
      </c>
      <c r="I24" s="9" t="inlineStr">
        <is>
          <t>Yes</t>
        </is>
      </c>
      <c r="J24" s="9" t="inlineStr">
        <is>
          <t>Yes</t>
        </is>
      </c>
      <c r="K24" s="9" t="inlineStr">
        <is>
          <t>Yes</t>
        </is>
      </c>
      <c r="L24" s="9" t="inlineStr">
        <is>
          <t>Yes</t>
        </is>
      </c>
      <c r="M24" s="9" t="inlineStr"/>
      <c r="N24" s="9">
        <f>IF(SUMPRODUCT(--($G$3:$M$3="Yes"),--(G24:M24&lt;&gt;""))&gt;0,"YES","-")</f>
        <v/>
      </c>
    </row>
    <row r="25">
      <c r="A25" s="9" t="inlineStr">
        <is>
          <t>Moldova</t>
        </is>
      </c>
      <c r="B25" s="9" t="inlineStr">
        <is>
          <t>Europe (non-Schengen)</t>
        </is>
      </c>
      <c r="C25" s="9" t="inlineStr">
        <is>
          <t>Visa exempt</t>
        </is>
      </c>
      <c r="D25" s="9" t="inlineStr">
        <is>
          <t>90 d</t>
        </is>
      </c>
      <c r="E25" s="9" t="inlineStr"/>
      <c r="F25" s="9" t="inlineStr">
        <is>
          <t>Researched</t>
        </is>
      </c>
      <c r="G25" s="9" t="inlineStr">
        <is>
          <t>Yes - not transit</t>
        </is>
      </c>
      <c r="H25" s="9" t="inlineStr"/>
      <c r="I25" s="9" t="inlineStr"/>
      <c r="J25" s="9" t="inlineStr">
        <is>
          <t>Yes</t>
        </is>
      </c>
      <c r="K25" s="9" t="inlineStr"/>
      <c r="L25" s="9" t="inlineStr"/>
      <c r="M25" s="9" t="inlineStr"/>
      <c r="N25" s="9">
        <f>IF(SUMPRODUCT(--($G$3:$M$3="Yes"),--(G25:M25&lt;&gt;""))&gt;0,"YES","-")</f>
        <v/>
      </c>
    </row>
    <row r="26">
      <c r="A26" s="9" t="inlineStr">
        <is>
          <t>Armenia</t>
        </is>
      </c>
      <c r="B26" s="9" t="inlineStr">
        <is>
          <t>Caucasus</t>
        </is>
      </c>
      <c r="C26" s="9" t="inlineStr">
        <is>
          <t>VoA</t>
        </is>
      </c>
      <c r="D26" s="9" t="inlineStr">
        <is>
          <t>90 d</t>
        </is>
      </c>
      <c r="E26" s="9" t="inlineStr">
        <is>
          <t>Australia works. (Your old sheet said UK visa 120 d - recheck)</t>
        </is>
      </c>
      <c r="F26" s="9" t="inlineStr">
        <is>
          <t>Researched</t>
        </is>
      </c>
      <c r="G26" s="9" t="inlineStr">
        <is>
          <t>Yes</t>
        </is>
      </c>
      <c r="H26" s="9" t="inlineStr">
        <is>
          <t>Yes</t>
        </is>
      </c>
      <c r="I26" s="9" t="inlineStr">
        <is>
          <t>Yes</t>
        </is>
      </c>
      <c r="J26" s="9" t="inlineStr">
        <is>
          <t>Yes</t>
        </is>
      </c>
      <c r="K26" s="9" t="inlineStr">
        <is>
          <t>Yes</t>
        </is>
      </c>
      <c r="L26" s="9" t="inlineStr">
        <is>
          <t>Yes</t>
        </is>
      </c>
      <c r="M26" s="9" t="inlineStr"/>
      <c r="N26" s="9">
        <f>IF(SUMPRODUCT(--($G$3:$M$3="Yes"),--(G26:M26&lt;&gt;""))&gt;0,"YES","-")</f>
        <v/>
      </c>
    </row>
    <row r="27">
      <c r="A27" s="9" t="inlineStr">
        <is>
          <t>Turkey</t>
        </is>
      </c>
      <c r="B27" s="9" t="inlineStr">
        <is>
          <t>Europe/Asia</t>
        </is>
      </c>
      <c r="C27" s="9" t="inlineStr">
        <is>
          <t>Conditional eVisa (single entry)</t>
        </is>
      </c>
      <c r="D27" s="9" t="inlineStr">
        <is>
          <t>~30 d</t>
        </is>
      </c>
      <c r="E27" s="9" t="inlineStr">
        <is>
          <t>Australia NOT accepted</t>
        </is>
      </c>
      <c r="F27" s="9" t="inlineStr">
        <is>
          <t>Researched</t>
        </is>
      </c>
      <c r="G27" s="9" t="inlineStr">
        <is>
          <t>Yes</t>
        </is>
      </c>
      <c r="H27" s="9" t="inlineStr">
        <is>
          <t>Yes</t>
        </is>
      </c>
      <c r="I27" s="9" t="inlineStr">
        <is>
          <t>Yes</t>
        </is>
      </c>
      <c r="J27" s="9" t="inlineStr"/>
      <c r="K27" s="9" t="inlineStr"/>
      <c r="L27" s="9" t="inlineStr"/>
      <c r="M27" s="9" t="inlineStr"/>
      <c r="N27" s="9">
        <f>IF(SUMPRODUCT(--($G$3:$M$3="Yes"),--(G27:M27&lt;&gt;""))&gt;0,"YES","-")</f>
        <v/>
      </c>
    </row>
    <row r="28">
      <c r="A28" s="9" t="inlineStr">
        <is>
          <t>Cyprus</t>
        </is>
      </c>
      <c r="B28" s="9" t="inlineStr">
        <is>
          <t>Europe</t>
        </is>
      </c>
      <c r="C28" s="9" t="inlineStr">
        <is>
          <t>Visa exempt (reported)</t>
        </is>
      </c>
      <c r="D28" s="9" t="inlineStr">
        <is>
          <t>-</t>
        </is>
      </c>
      <c r="E28" s="9" t="inlineStr">
        <is>
          <t>Only a Schengen claim found - confirm</t>
        </is>
      </c>
      <c r="F28" s="11" t="inlineStr">
        <is>
          <t>CONFIRM</t>
        </is>
      </c>
      <c r="G28" s="9" t="inlineStr"/>
      <c r="H28" s="9" t="inlineStr">
        <is>
          <t>Yes - multi-entry C</t>
        </is>
      </c>
      <c r="I28" s="9" t="inlineStr"/>
      <c r="J28" s="9" t="inlineStr"/>
      <c r="K28" s="9" t="inlineStr"/>
      <c r="L28" s="9" t="inlineStr"/>
      <c r="M28" s="9" t="inlineStr"/>
      <c r="N28" s="9">
        <f>IF(SUMPRODUCT(--($G$3:$M$3="Yes"),--(G28:M28&lt;&gt;""))&gt;0,"YES","-")</f>
        <v/>
      </c>
    </row>
    <row r="29">
      <c r="A29" s="9" t="inlineStr">
        <is>
          <t>Ireland</t>
        </is>
      </c>
      <c r="B29" s="9" t="inlineStr">
        <is>
          <t>Europe</t>
        </is>
      </c>
      <c r="C29" s="9" t="inlineStr">
        <is>
          <t>Visa exempt via UK BIVS</t>
        </is>
      </c>
      <c r="D29" s="9" t="inlineStr">
        <is>
          <t>-</t>
        </is>
      </c>
      <c r="E29" s="9" t="inlineStr">
        <is>
          <t>US/Schengen give nothing</t>
        </is>
      </c>
      <c r="F29" s="9" t="inlineStr">
        <is>
          <t>Researched</t>
        </is>
      </c>
      <c r="G29" s="9" t="inlineStr"/>
      <c r="H29" s="9" t="inlineStr"/>
      <c r="I29" s="9" t="inlineStr">
        <is>
          <t>Yes - must first enter UK on a short-stay visa</t>
        </is>
      </c>
      <c r="J29" s="9" t="inlineStr"/>
      <c r="K29" s="9" t="inlineStr"/>
      <c r="L29" s="9" t="inlineStr"/>
      <c r="M29" s="9" t="inlineStr"/>
      <c r="N29" s="9">
        <f>IF(SUMPRODUCT(--($G$3:$M$3="Yes"),--(G29:M29&lt;&gt;""))&gt;0,"YES","-")</f>
        <v/>
      </c>
    </row>
    <row r="30">
      <c r="A30" s="9" t="inlineStr">
        <is>
          <t>Gibraltar</t>
        </is>
      </c>
      <c r="B30" s="9" t="inlineStr">
        <is>
          <t>Europe</t>
        </is>
      </c>
      <c r="C30" s="9" t="inlineStr">
        <is>
          <t>Visa exempt</t>
        </is>
      </c>
      <c r="D30" s="9" t="inlineStr">
        <is>
          <t>-</t>
        </is>
      </c>
      <c r="E30" s="9" t="inlineStr">
        <is>
          <t>US/Aus give nothing</t>
        </is>
      </c>
      <c r="F30" s="9" t="inlineStr">
        <is>
          <t>Researched</t>
        </is>
      </c>
      <c r="G30" s="9" t="inlineStr"/>
      <c r="H30" s="9" t="inlineStr">
        <is>
          <t>Yes - multi-entry</t>
        </is>
      </c>
      <c r="I30" s="9" t="inlineStr">
        <is>
          <t>Yes - &gt;=6 mo validity</t>
        </is>
      </c>
      <c r="J30" s="9" t="inlineStr"/>
      <c r="K30" s="9" t="inlineStr"/>
      <c r="L30" s="9" t="inlineStr"/>
      <c r="M30" s="9" t="inlineStr"/>
      <c r="N30" s="9">
        <f>IF(SUMPRODUCT(--($G$3:$M$3="Yes"),--(G30:M30&lt;&gt;""))&gt;0,"YES","-")</f>
        <v/>
      </c>
    </row>
    <row r="31">
      <c r="A31" s="9" t="inlineStr">
        <is>
          <t>UK (airside transit only)</t>
        </is>
      </c>
      <c r="B31" s="9" t="inlineStr">
        <is>
          <t>Europe</t>
        </is>
      </c>
      <c r="C31" s="9" t="inlineStr">
        <is>
          <t>DATV-exempt transit</t>
        </is>
      </c>
      <c r="D31" s="9" t="inlineStr">
        <is>
          <t>24 h airside</t>
        </is>
      </c>
      <c r="E31" s="9" t="inlineStr">
        <is>
          <t>Landside transit w/o visa is discretionary</t>
        </is>
      </c>
      <c r="F31" s="9" t="inlineStr">
        <is>
          <t>Researched</t>
        </is>
      </c>
      <c r="G31" s="9" t="inlineStr">
        <is>
          <t>Yes - to/from USA</t>
        </is>
      </c>
      <c r="H31" s="9" t="inlineStr"/>
      <c r="I31" s="9" t="inlineStr"/>
      <c r="J31" s="9" t="inlineStr">
        <is>
          <t>Yes - to/from Canada</t>
        </is>
      </c>
      <c r="K31" s="9" t="inlineStr"/>
      <c r="L31" s="9" t="inlineStr">
        <is>
          <t>Yes - to/from Australia</t>
        </is>
      </c>
      <c r="M31" s="9" t="inlineStr"/>
      <c r="N31" s="9">
        <f>IF(SUMPRODUCT(--($G$3:$M$3="Yes"),--(G31:M31&lt;&gt;""))&gt;0,"YES","-")</f>
        <v/>
      </c>
    </row>
    <row r="32">
      <c r="A32" s="9" t="inlineStr">
        <is>
          <t>UAE</t>
        </is>
      </c>
      <c r="B32" s="9" t="inlineStr">
        <is>
          <t>Middle East</t>
        </is>
      </c>
      <c r="C32" s="9" t="inlineStr">
        <is>
          <t>VoA</t>
        </is>
      </c>
      <c r="D32" s="9" t="inlineStr">
        <is>
          <t>14 d (+14)</t>
        </is>
      </c>
      <c r="E32" s="9" t="inlineStr">
        <is>
          <t>Aus VISITOR visa NOT accepted (only Aus residence permits)</t>
        </is>
      </c>
      <c r="F32" s="9" t="inlineStr">
        <is>
          <t>Researched</t>
        </is>
      </c>
      <c r="G32" s="9" t="inlineStr">
        <is>
          <t>Yes</t>
        </is>
      </c>
      <c r="H32" s="9" t="inlineStr">
        <is>
          <t>Yes - EU/Schengen visa</t>
        </is>
      </c>
      <c r="I32" s="9" t="inlineStr">
        <is>
          <t>Yes</t>
        </is>
      </c>
      <c r="J32" s="9" t="inlineStr"/>
      <c r="K32" s="9" t="inlineStr"/>
      <c r="L32" s="9" t="inlineStr"/>
      <c r="M32" s="9" t="inlineStr"/>
      <c r="N32" s="9">
        <f>IF(SUMPRODUCT(--($G$3:$M$3="Yes"),--(G32:M32&lt;&gt;""))&gt;0,"YES","-")</f>
        <v/>
      </c>
    </row>
    <row r="33">
      <c r="A33" s="9" t="inlineStr">
        <is>
          <t>Oman</t>
        </is>
      </c>
      <c r="B33" s="9" t="inlineStr">
        <is>
          <t>Middle East</t>
        </is>
      </c>
      <c r="C33" s="9" t="inlineStr">
        <is>
          <t>VoA / exempt</t>
        </is>
      </c>
      <c r="D33" s="9" t="inlineStr">
        <is>
          <t>14 d</t>
        </is>
      </c>
      <c r="E33" s="9" t="inlineStr">
        <is>
          <t>Australia works</t>
        </is>
      </c>
      <c r="F33" s="9" t="inlineStr">
        <is>
          <t>Researched</t>
        </is>
      </c>
      <c r="G33" s="9" t="inlineStr">
        <is>
          <t>Yes</t>
        </is>
      </c>
      <c r="H33" s="9" t="inlineStr">
        <is>
          <t>Yes</t>
        </is>
      </c>
      <c r="I33" s="9" t="inlineStr">
        <is>
          <t>Yes</t>
        </is>
      </c>
      <c r="J33" s="9" t="inlineStr">
        <is>
          <t>Yes</t>
        </is>
      </c>
      <c r="K33" s="9" t="inlineStr">
        <is>
          <t>Yes</t>
        </is>
      </c>
      <c r="L33" s="9" t="inlineStr">
        <is>
          <t>Yes</t>
        </is>
      </c>
      <c r="M33" s="9" t="inlineStr"/>
      <c r="N33" s="9">
        <f>IF(SUMPRODUCT(--($G$3:$M$3="Yes"),--(G33:M33&lt;&gt;""))&gt;0,"YES","-")</f>
        <v/>
      </c>
    </row>
    <row r="34">
      <c r="A34" s="9" t="inlineStr">
        <is>
          <t>Saudi Arabia</t>
        </is>
      </c>
      <c r="B34" s="9" t="inlineStr">
        <is>
          <t>Middle East</t>
        </is>
      </c>
      <c r="C34" s="9" t="inlineStr">
        <is>
          <t>eVisa / VoA</t>
        </is>
      </c>
      <c r="D34" s="9" t="inlineStr">
        <is>
          <t>up to 90 d</t>
        </is>
      </c>
      <c r="E34" s="9" t="inlineStr">
        <is>
          <t>Aus NOT accepted</t>
        </is>
      </c>
      <c r="F34" s="9" t="inlineStr">
        <is>
          <t>Researched</t>
        </is>
      </c>
      <c r="G34" s="9" t="inlineStr">
        <is>
          <t>Yes - may need used-once</t>
        </is>
      </c>
      <c r="H34" s="9" t="inlineStr">
        <is>
          <t>Yes - may need used-once</t>
        </is>
      </c>
      <c r="I34" s="9" t="inlineStr">
        <is>
          <t>Yes - may need used-once</t>
        </is>
      </c>
      <c r="J34" s="9" t="inlineStr"/>
      <c r="K34" s="9" t="inlineStr"/>
      <c r="L34" s="9" t="inlineStr"/>
      <c r="M34" s="9" t="inlineStr"/>
      <c r="N34" s="9">
        <f>IF(SUMPRODUCT(--($G$3:$M$3="Yes"),--(G34:M34&lt;&gt;""))&gt;0,"YES","-")</f>
        <v/>
      </c>
    </row>
    <row r="35">
      <c r="A35" s="9" t="inlineStr">
        <is>
          <t>Bahrain</t>
        </is>
      </c>
      <c r="B35" s="9" t="inlineStr">
        <is>
          <t>Middle East</t>
        </is>
      </c>
      <c r="C35" s="9" t="inlineStr">
        <is>
          <t>VoA / eVisa</t>
        </is>
      </c>
      <c r="D35" s="9" t="inlineStr">
        <is>
          <t>14 d</t>
        </is>
      </c>
      <c r="E35" s="9" t="inlineStr">
        <is>
          <t>Aus NOT accepted</t>
        </is>
      </c>
      <c r="F35" s="9" t="inlineStr">
        <is>
          <t>Researched</t>
        </is>
      </c>
      <c r="G35" s="9" t="inlineStr">
        <is>
          <t>Yes - visit visa/Green Card</t>
        </is>
      </c>
      <c r="H35" s="9" t="inlineStr">
        <is>
          <t>Yes</t>
        </is>
      </c>
      <c r="I35" s="9" t="inlineStr">
        <is>
          <t>Yes</t>
        </is>
      </c>
      <c r="J35" s="9" t="inlineStr"/>
      <c r="K35" s="9" t="inlineStr"/>
      <c r="L35" s="9" t="inlineStr"/>
      <c r="M35" s="9" t="inlineStr"/>
      <c r="N35" s="9">
        <f>IF(SUMPRODUCT(--($G$3:$M$3="Yes"),--(G35:M35&lt;&gt;""))&gt;0,"YES","-")</f>
        <v/>
      </c>
    </row>
    <row r="36">
      <c r="A36" s="9" t="inlineStr">
        <is>
          <t>Kuwait</t>
        </is>
      </c>
      <c r="B36" s="9" t="inlineStr">
        <is>
          <t>Middle East</t>
        </is>
      </c>
      <c r="C36" s="9" t="inlineStr">
        <is>
          <t>eVisa eligibility</t>
        </is>
      </c>
      <c r="D36" s="9" t="inlineStr">
        <is>
          <t>-</t>
        </is>
      </c>
      <c r="E36" s="9" t="inlineStr"/>
      <c r="F36" s="9" t="inlineStr">
        <is>
          <t>Researched</t>
        </is>
      </c>
      <c r="G36" s="9" t="inlineStr">
        <is>
          <t>Yes</t>
        </is>
      </c>
      <c r="H36" s="9" t="inlineStr">
        <is>
          <t>Yes</t>
        </is>
      </c>
      <c r="I36" s="9" t="inlineStr">
        <is>
          <t>Yes</t>
        </is>
      </c>
      <c r="J36" s="9" t="inlineStr"/>
      <c r="K36" s="9" t="inlineStr"/>
      <c r="L36" s="9" t="inlineStr"/>
      <c r="M36" s="9" t="inlineStr"/>
      <c r="N36" s="9">
        <f>IF(SUMPRODUCT(--($G$3:$M$3="Yes"),--(G36:M36&lt;&gt;""))&gt;0,"YES","-")</f>
        <v/>
      </c>
    </row>
    <row r="37">
      <c r="A37" s="9" t="inlineStr">
        <is>
          <t>Philippines</t>
        </is>
      </c>
      <c r="B37" s="9" t="inlineStr">
        <is>
          <t>Asia-Pacific</t>
        </is>
      </c>
      <c r="C37" s="9" t="inlineStr">
        <is>
          <t>Visa-free</t>
        </is>
      </c>
      <c r="D37" s="9" t="inlineStr">
        <is>
          <t>30 d (vs 14 d normally)</t>
        </is>
      </c>
      <c r="E37" s="9" t="inlineStr">
        <is>
          <t>Australia works; 6 mo passport, return ticket</t>
        </is>
      </c>
      <c r="F37" s="9" t="inlineStr">
        <is>
          <t>Researched</t>
        </is>
      </c>
      <c r="G37" s="9" t="inlineStr">
        <is>
          <t>Yes</t>
        </is>
      </c>
      <c r="H37" s="9" t="inlineStr">
        <is>
          <t>Yes</t>
        </is>
      </c>
      <c r="I37" s="9" t="inlineStr">
        <is>
          <t>Yes</t>
        </is>
      </c>
      <c r="J37" s="9" t="inlineStr">
        <is>
          <t>Yes</t>
        </is>
      </c>
      <c r="K37" s="9" t="inlineStr">
        <is>
          <t>Yes</t>
        </is>
      </c>
      <c r="L37" s="9" t="inlineStr">
        <is>
          <t>Yes</t>
        </is>
      </c>
      <c r="M37" s="9" t="inlineStr">
        <is>
          <t>Yes</t>
        </is>
      </c>
      <c r="N37" s="9">
        <f>IF(SUMPRODUCT(--($G$3:$M$3="Yes"),--(G37:M37&lt;&gt;""))&gt;0,"YES","-")</f>
        <v/>
      </c>
    </row>
    <row r="38">
      <c r="A38" s="9" t="inlineStr">
        <is>
          <t>Taiwan</t>
        </is>
      </c>
      <c r="B38" s="9" t="inlineStr">
        <is>
          <t>Asia-Pacific</t>
        </is>
      </c>
      <c r="C38" s="9" t="inlineStr">
        <is>
          <t>Travel Authorization Certificate</t>
        </is>
      </c>
      <c r="D38" s="9" t="inlineStr">
        <is>
          <t>14 d (old 30 d outdated)</t>
        </is>
      </c>
      <c r="E38" s="9" t="inlineStr">
        <is>
          <t>Expired visas also count</t>
        </is>
      </c>
      <c r="F38" s="9" t="inlineStr">
        <is>
          <t>Researched</t>
        </is>
      </c>
      <c r="G38" s="9" t="inlineStr">
        <is>
          <t>Yes - even if expired &lt;10 yrs</t>
        </is>
      </c>
      <c r="H38" s="9" t="inlineStr">
        <is>
          <t>Yes</t>
        </is>
      </c>
      <c r="I38" s="9" t="inlineStr">
        <is>
          <t>Yes</t>
        </is>
      </c>
      <c r="J38" s="9" t="inlineStr">
        <is>
          <t>Yes</t>
        </is>
      </c>
      <c r="K38" s="9" t="inlineStr">
        <is>
          <t>Yes</t>
        </is>
      </c>
      <c r="L38" s="9" t="inlineStr">
        <is>
          <t>Yes</t>
        </is>
      </c>
      <c r="M38" s="9" t="inlineStr"/>
      <c r="N38" s="9">
        <f>IF(SUMPRODUCT(--($G$3:$M$3="Yes"),--(G38:M38&lt;&gt;""))&gt;0,"YES","-")</f>
        <v/>
      </c>
    </row>
    <row r="39">
      <c r="A39" s="9" t="inlineStr">
        <is>
          <t>South Korea (transit)</t>
        </is>
      </c>
      <c r="B39" s="9" t="inlineStr">
        <is>
          <t>Asia-Pacific</t>
        </is>
      </c>
      <c r="C39" s="9" t="inlineStr">
        <is>
          <t>Visa-free B-2 transit</t>
        </is>
      </c>
      <c r="D39" s="9" t="inlineStr">
        <is>
          <t>up to 30 d, onward ticket</t>
        </is>
      </c>
      <c r="E39" s="9" t="inlineStr">
        <is>
          <t>Must continue to 3rd country</t>
        </is>
      </c>
      <c r="F39" s="9" t="inlineStr">
        <is>
          <t>Researched</t>
        </is>
      </c>
      <c r="G39" s="9" t="inlineStr">
        <is>
          <t>Yes</t>
        </is>
      </c>
      <c r="H39" s="9" t="inlineStr">
        <is>
          <t>Yes - European visa</t>
        </is>
      </c>
      <c r="I39" s="9" t="inlineStr"/>
      <c r="J39" s="9" t="inlineStr">
        <is>
          <t>Yes</t>
        </is>
      </c>
      <c r="K39" s="9" t="inlineStr"/>
      <c r="L39" s="9" t="inlineStr">
        <is>
          <t>Yes - checked via VEVO</t>
        </is>
      </c>
      <c r="M39" s="9" t="inlineStr"/>
      <c r="N39" s="9">
        <f>IF(SUMPRODUCT(--($G$3:$M$3="Yes"),--(G39:M39&lt;&gt;""))&gt;0,"YES","-")</f>
        <v/>
      </c>
    </row>
    <row r="40">
      <c r="A40" s="9" t="inlineStr">
        <is>
          <t>Singapore (transit)</t>
        </is>
      </c>
      <c r="B40" s="9" t="inlineStr">
        <is>
          <t>Asia-Pacific</t>
        </is>
      </c>
      <c r="C40" s="9" t="inlineStr">
        <is>
          <t>96-hr visa-free transit</t>
        </is>
      </c>
      <c r="D40" s="9" t="inlineStr">
        <is>
          <t>96 h</t>
        </is>
      </c>
      <c r="E40" s="9" t="inlineStr">
        <is>
          <t>Onward ticket required</t>
        </is>
      </c>
      <c r="F40" s="9" t="inlineStr">
        <is>
          <t>Researched</t>
        </is>
      </c>
      <c r="G40" s="9" t="inlineStr">
        <is>
          <t>Yes - &gt;=1 mo validity</t>
        </is>
      </c>
      <c r="H40" s="9" t="inlineStr"/>
      <c r="I40" s="9" t="inlineStr">
        <is>
          <t>Yes</t>
        </is>
      </c>
      <c r="J40" s="9" t="inlineStr">
        <is>
          <t>Yes</t>
        </is>
      </c>
      <c r="K40" s="9" t="inlineStr">
        <is>
          <t>Yes</t>
        </is>
      </c>
      <c r="L40" s="9" t="inlineStr">
        <is>
          <t>Yes</t>
        </is>
      </c>
      <c r="M40" s="9" t="inlineStr"/>
      <c r="N40" s="9">
        <f>IF(SUMPRODUCT(--($G$3:$M$3="Yes"),--(G40:M40&lt;&gt;""))&gt;0,"YES","-")</f>
        <v/>
      </c>
    </row>
    <row r="42" ht="48" customHeight="1">
      <c r="A42" s="8" t="inlineStr">
        <is>
          <t>Schengen area itself (29 countries): Austria, Belgium, Bulgaria, Croatia, Czechia, Denmark, Estonia, Finland, France, Germany, Greece, Hungary, Iceland, Italy, Latvia, Liechtenstein, Lithuania, Luxembourg, Malta, Netherlands, Norway, Poland, Portugal, Romania, Slovakia, Slovenia, Spain, Sweden, Switzerland. Also reachable on a Schengen visa: Monaco, San Marino, Vatican, Andorra (not in research - confirm).</t>
        </is>
      </c>
    </row>
  </sheetData>
  <autoFilter ref="A4:N40"/>
  <mergeCells count="1">
    <mergeCell ref="A42:N42"/>
  </mergeCells>
  <conditionalFormatting sqref="N5:N80">
    <cfRule type="cellIs" priority="1" operator="equal" dxfId="2">
      <formula>"YES"</formula>
    </cfRule>
  </conditionalFormatting>
  <dataValidations count="1">
    <dataValidation sqref="G3:M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1F2A44"/>
    <outlinePr summaryBelow="1" summaryRight="1"/>
    <pageSetUpPr/>
  </sheetPr>
  <dimension ref="A1:H18"/>
  <sheetViews>
    <sheetView zoomScale="100" workbookViewId="0">
      <pane ySplit="4" topLeftCell="A5" activePane="bottomLeft" state="frozen"/>
      <selection pane="bottomLeft" activeCell="A1" sqref="A1"/>
    </sheetView>
  </sheetViews>
  <sheetFormatPr baseColWidth="8" defaultRowHeight="15"/>
  <cols>
    <col width="7" customWidth="1" min="1" max="1"/>
    <col width="34" customWidth="1" min="2" max="2"/>
    <col width="11" customWidth="1" min="3" max="3"/>
    <col width="18" customWidth="1" min="4" max="4"/>
    <col width="16" customWidth="1" min="5" max="5"/>
    <col width="12" customWidth="1" min="6" max="6"/>
    <col width="52" customWidth="1" min="7" max="7"/>
    <col width="60" customWidth="1" min="8" max="8"/>
  </cols>
  <sheetData>
    <row r="1">
      <c r="A1" s="1" t="inlineStr">
        <is>
          <t>Power visas - which visa unlocks the most</t>
        </is>
      </c>
    </row>
    <row r="2">
      <c r="A2" s="2" t="inlineStr">
        <is>
          <t>Counts update automatically from the Access Map. 'Held?' follows the Yes/No switch on the Access Map (row 3).</t>
        </is>
      </c>
    </row>
    <row r="4">
      <c r="A4" s="3" t="inlineStr">
        <is>
          <t>Rank</t>
        </is>
      </c>
      <c r="B4" s="3" t="inlineStr">
        <is>
          <t>Document</t>
        </is>
      </c>
      <c r="C4" s="3" t="inlineStr">
        <is>
          <t>Held now?</t>
        </is>
      </c>
      <c r="D4" s="3" t="inlineStr">
        <is>
          <t>Other countries unlocked (count)</t>
        </is>
      </c>
      <c r="E4" s="3" t="inlineStr">
        <is>
          <t>+ Schengen-area countries</t>
        </is>
      </c>
      <c r="F4" s="3" t="inlineStr">
        <is>
          <t>Total reach</t>
        </is>
      </c>
      <c r="G4" s="3" t="inlineStr">
        <is>
          <t>Best for your yatras</t>
        </is>
      </c>
      <c r="H4" s="3" t="inlineStr">
        <is>
          <t>Recommendation</t>
        </is>
      </c>
    </row>
    <row r="5">
      <c r="A5" s="9" t="n">
        <v>1</v>
      </c>
      <c r="B5" s="9" t="inlineStr">
        <is>
          <t>USA B1/B2 visa</t>
        </is>
      </c>
      <c r="C5" s="9">
        <f>'Access Map'!G3</f>
        <v/>
      </c>
      <c r="D5" s="9">
        <f>COUNTIF('Access Map'!G5:G40,"?*")</f>
        <v/>
      </c>
      <c r="E5" s="9" t="n">
        <v>0</v>
      </c>
      <c r="F5" s="9">
        <f>D5+E5</f>
        <v/>
      </c>
      <c r="G5" s="9" t="inlineStr">
        <is>
          <t>USA yatras; Mexico, Colombia, Peru, Chile, Argentina, Dominican Rep., Gulf (UAE/Saudi/Bahrain/Oman), Balkans</t>
        </is>
      </c>
      <c r="H5" s="9" t="inlineStr">
        <is>
          <t>Keep. Already held to Dec 2034 - best value: Americas, Caribbean, Balkans, Gulf, Philippines, Taiwan. Remember: carry the passport that holds it.</t>
        </is>
      </c>
    </row>
    <row r="6">
      <c r="A6" s="9" t="n">
        <v>2</v>
      </c>
      <c r="B6" s="9" t="inlineStr">
        <is>
          <t>Schengen C visa (multi-entry)</t>
        </is>
      </c>
      <c r="C6" s="9">
        <f>'Access Map'!H3</f>
        <v/>
      </c>
      <c r="D6" s="9">
        <f>COUNTIF('Access Map'!H5:H40,"?*")</f>
        <v/>
      </c>
      <c r="E6" s="9" t="n">
        <v>29</v>
      </c>
      <c r="F6" s="9">
        <f>D6+E6</f>
        <v/>
      </c>
      <c r="G6" s="9" t="inlineStr">
        <is>
          <t>Europe yatras (Paris, Radhadesh, Mayapur-Europe tours) + Albania, Serbia, N. Macedonia, Bosnia, Georgia, Costa Rica, Dominican Rep.</t>
        </is>
      </c>
      <c r="H6" s="9" t="inlineStr">
        <is>
          <t>Renew NOW (expired Apr 2026). You qualify for the EU cascade 2-year multi-entry visa. 29 countries + ~20 extra destinations.</t>
        </is>
      </c>
    </row>
    <row r="7">
      <c r="A7" s="9" t="n">
        <v>3</v>
      </c>
      <c r="B7" s="9" t="inlineStr">
        <is>
          <t>UK Standard Visitor visa</t>
        </is>
      </c>
      <c r="C7" s="9">
        <f>'Access Map'!I3</f>
        <v/>
      </c>
      <c r="D7" s="9">
        <f>COUNTIF('Access Map'!I5:I40,"?*")</f>
        <v/>
      </c>
      <c r="E7" s="9" t="n">
        <v>0</v>
      </c>
      <c r="F7" s="9">
        <f>D7+E7</f>
        <v/>
      </c>
      <c r="G7" s="9" t="inlineStr">
        <is>
          <t>UK/Manor; Ireland; Gulf; Armenia; Georgia; Philippines; Taiwan</t>
        </is>
      </c>
      <c r="H7" s="9" t="inlineStr">
        <is>
          <t>Renew (expired Dec 2024). Ask for 2-year/longer visitor visa. Adds Ireland (via BIVS), Gulf, Armenia, Georgia, Mexico etc.</t>
        </is>
      </c>
    </row>
    <row r="8">
      <c r="A8" s="9" t="n">
        <v>4</v>
      </c>
      <c r="B8" s="9" t="inlineStr">
        <is>
          <t>Australia Visitor visa</t>
        </is>
      </c>
      <c r="C8" s="9">
        <f>'Access Map'!L3</f>
        <v/>
      </c>
      <c r="D8" s="9">
        <f>COUNTIF('Access Map'!L5:L40,"?*")</f>
        <v/>
      </c>
      <c r="E8" s="9" t="n">
        <v>0</v>
      </c>
      <c r="F8" s="9">
        <f>D8+E8</f>
        <v/>
      </c>
      <c r="G8" s="9" t="inlineStr">
        <is>
          <t>Australia; Philippines; Taiwan; Peru; Georgia; Armenia; Oman</t>
        </is>
      </c>
      <c r="H8" s="9" t="inlineStr">
        <is>
          <t>Held to Nov 2030 but it only helps in ~10 places (Philippines, Taiwan, Peru, Georgia, Armenia, Oman, Montenegro, Panama once used, SG/KR transit). Check stream (Business vs Tourist) before yatra.</t>
        </is>
      </c>
    </row>
    <row r="9">
      <c r="A9" s="9" t="n">
        <v>5</v>
      </c>
      <c r="B9" s="9" t="inlineStr">
        <is>
          <t>Canada visitor visa (TRV)</t>
        </is>
      </c>
      <c r="C9" s="9">
        <f>'Access Map'!J3</f>
        <v/>
      </c>
      <c r="D9" s="9">
        <f>COUNTIF('Access Map'!J5:J40,"?*")</f>
        <v/>
      </c>
      <c r="E9" s="9" t="n">
        <v>0</v>
      </c>
      <c r="F9" s="9">
        <f>D9+E9</f>
        <v/>
      </c>
      <c r="G9" s="9" t="inlineStr">
        <is>
          <t>Canada; Mexico; Costa Rica; Panama; Philippines</t>
        </is>
      </c>
      <c r="H9" s="9" t="inlineStr">
        <is>
          <t>Optional. Adds Mexico/Costa Rica/Panama/Peru-type exemptions that US already gives; real value = ISKCON Toronto + Canada itself.</t>
        </is>
      </c>
    </row>
    <row r="10">
      <c r="A10" s="9" t="n">
        <v>6</v>
      </c>
      <c r="B10" s="9" t="inlineStr">
        <is>
          <t>Japan visa</t>
        </is>
      </c>
      <c r="C10" s="9">
        <f>'Access Map'!K3</f>
        <v/>
      </c>
      <c r="D10" s="9">
        <f>COUNTIF('Access Map'!K5:K40,"?*")</f>
        <v/>
      </c>
      <c r="E10" s="9" t="n">
        <v>0</v>
      </c>
      <c r="F10" s="9">
        <f>D10+E10</f>
        <v/>
      </c>
      <c r="G10" s="9" t="inlineStr">
        <is>
          <t>Japan; Philippines; Taiwan; Georgia</t>
        </is>
      </c>
      <c r="H10" s="9" t="inlineStr">
        <is>
          <t>Low priority: only unlocks Mexico/Philippines/Taiwan/Georgia/Oman type entries which you mostly already get.</t>
        </is>
      </c>
    </row>
    <row r="12">
      <c r="A12" s="17" t="inlineStr">
        <is>
          <t>Other multi-country / special-purpose visas worth tracking (unverified background knowledge unless marked)</t>
        </is>
      </c>
    </row>
    <row r="13">
      <c r="A13" s="18" t="inlineStr"/>
      <c r="B13" s="18" t="inlineStr">
        <is>
          <t>Visa</t>
        </is>
      </c>
      <c r="C13" s="18" t="inlineStr">
        <is>
          <t>What it covers</t>
        </is>
      </c>
      <c r="D13" s="18" t="inlineStr">
        <is>
          <t>Yatra relevance</t>
        </is>
      </c>
      <c r="E13" s="18" t="inlineStr">
        <is>
          <t>Priority</t>
        </is>
      </c>
      <c r="F13" s="18" t="inlineStr">
        <is>
          <t>Confidence</t>
        </is>
      </c>
    </row>
    <row r="14">
      <c r="A14" s="9" t="inlineStr"/>
      <c r="B14" s="9" t="inlineStr">
        <is>
          <t>Chinese visa</t>
        </is>
      </c>
      <c r="C14" s="9" t="inlineStr">
        <is>
          <t>Mainland China + enables Tibet/Kailash (needs Tibet permit + ATP)</t>
        </is>
      </c>
      <c r="D14" s="9" t="inlineStr">
        <is>
          <t>Kailash Mansarovar, Buddhist circuit; does NOT unlock other countries</t>
        </is>
      </c>
      <c r="E14" s="9" t="inlineStr">
        <is>
          <t>HIGH for Kailash</t>
        </is>
      </c>
      <c r="F14" s="9" t="inlineStr">
        <is>
          <t>V (see yatra sheet)</t>
        </is>
      </c>
    </row>
    <row r="15">
      <c r="A15" s="9" t="inlineStr"/>
      <c r="B15" s="9" t="inlineStr">
        <is>
          <t>GCC Grand Tours visa</t>
        </is>
      </c>
      <c r="C15" s="9" t="inlineStr">
        <is>
          <t>Planned single visa for UAE, Saudi, Oman, Qatar, Bahrain, Kuwait</t>
        </is>
      </c>
      <c r="D15" s="9" t="inlineStr">
        <is>
          <t>Gulf yatra/transit</t>
        </is>
      </c>
      <c r="E15" s="9" t="inlineStr">
        <is>
          <t>Watch - launch status unconfirmed</t>
        </is>
      </c>
      <c r="F15" s="9" t="inlineStr">
        <is>
          <t>U</t>
        </is>
      </c>
    </row>
    <row r="16">
      <c r="A16" s="9" t="inlineStr"/>
      <c r="B16" s="9" t="inlineStr">
        <is>
          <t>East Africa Tourist Visa (Kenya-Rwanda-Uganda)</t>
        </is>
      </c>
      <c r="C16" s="9" t="inlineStr">
        <is>
          <t>One visa for 3 countries (reported US$100); Kenya now needs eTA</t>
        </is>
      </c>
      <c r="D16" s="9" t="inlineStr">
        <is>
          <t>Nairobi/Kampala ISKCON temples</t>
        </is>
      </c>
      <c r="E16" s="9" t="inlineStr">
        <is>
          <t>Low</t>
        </is>
      </c>
      <c r="F16" s="9" t="inlineStr">
        <is>
          <t>U</t>
        </is>
      </c>
    </row>
    <row r="17">
      <c r="A17" s="9" t="inlineStr"/>
      <c r="B17" s="9" t="inlineStr">
        <is>
          <t>Schengen 2-yr / 5-yr (EU cascade)</t>
        </is>
      </c>
      <c r="C17" s="9" t="inlineStr">
        <is>
          <t>Same 29 countries but multi-year validity - you now qualify (2 Schengen visas within 3 yrs)</t>
        </is>
      </c>
      <c r="D17" s="9" t="inlineStr">
        <is>
          <t>All Europe yatras</t>
        </is>
      </c>
      <c r="E17" s="9" t="inlineStr">
        <is>
          <t>HIGH</t>
        </is>
      </c>
      <c r="F17" s="9" t="inlineStr">
        <is>
          <t>V</t>
        </is>
      </c>
    </row>
    <row r="18">
      <c r="A18" s="9" t="inlineStr"/>
      <c r="B18" s="9" t="inlineStr">
        <is>
          <t>UK 2-yr / 5-yr / 10-yr Standard Visitor</t>
        </is>
      </c>
      <c r="C18" s="9" t="inlineStr">
        <is>
          <t>Long-validity UK visa; unlocks Ireland via BIVS + ~15 other entries</t>
        </is>
      </c>
      <c r="D18" s="9" t="inlineStr">
        <is>
          <t>Manor/Ireland/Gulf</t>
        </is>
      </c>
      <c r="E18" s="9" t="inlineStr">
        <is>
          <t>HIGH</t>
        </is>
      </c>
      <c r="F18" s="9" t="inlineStr">
        <is>
          <t>V</t>
        </is>
      </c>
    </row>
  </sheetData>
  <pageMargins left="0.75" right="0.75" top="1" bottom="1" header="0.5" footer="0.5"/>
</worksheet>
</file>

<file path=xl/worksheets/sheet7.xml><?xml version="1.0" encoding="utf-8"?>
<worksheet xmlns="http://schemas.openxmlformats.org/spreadsheetml/2006/main">
  <sheetPr>
    <tabColor rgb="001F2A44"/>
    <outlinePr summaryBelow="1" summaryRight="1"/>
    <pageSetUpPr/>
  </sheetPr>
  <dimension ref="A1:K36"/>
  <sheetViews>
    <sheetView zoomScale="100" workbookViewId="0">
      <pane ySplit="4" topLeftCell="A5" activePane="bottomLeft" state="frozen"/>
      <selection pane="bottomLeft" activeCell="A1" sqref="A1"/>
    </sheetView>
  </sheetViews>
  <sheetFormatPr baseColWidth="8" defaultRowHeight="15"/>
  <cols>
    <col width="24" customWidth="1" min="1" max="1"/>
    <col width="26" customWidth="1" min="2" max="2"/>
    <col width="70" customWidth="1" min="3" max="3"/>
    <col width="18" customWidth="1" min="4" max="4"/>
    <col width="22" customWidth="1" min="5" max="5"/>
    <col width="22" customWidth="1" min="6" max="6"/>
    <col width="16" customWidth="1" min="7" max="7"/>
    <col width="11" customWidth="1" min="8" max="8"/>
    <col width="30" customWidth="1" min="9" max="9"/>
    <col width="16" customWidth="1" min="10" max="10"/>
    <col width="30" customWidth="1" min="11" max="11"/>
  </cols>
  <sheetData>
    <row r="1">
      <c r="A1" s="1" t="inlineStr">
        <is>
          <t>Yatra Visa Planner - entry rules for an Indian passport (researched 20 Oct 2026)</t>
        </is>
      </c>
    </row>
    <row r="2">
      <c r="A2" s="2" t="inlineStr">
        <is>
          <t>Confidence 'Confirm' = from background knowledge or conflicting reports: check the official portal before booking. Update 'My status' &amp; 'Next action'.</t>
        </is>
      </c>
    </row>
    <row r="4">
      <c r="A4" s="3" t="inlineStr">
        <is>
          <t>Destination</t>
        </is>
      </c>
      <c r="B4" s="3" t="inlineStr">
        <is>
          <t>Yatra use</t>
        </is>
      </c>
      <c r="C4" s="3" t="inlineStr">
        <is>
          <t>Entry requirement (Indian passport)</t>
        </is>
      </c>
      <c r="D4" s="3" t="inlineStr">
        <is>
          <t>Max stay</t>
        </is>
      </c>
      <c r="E4" s="3" t="inlineStr">
        <is>
          <t>Cost / lead time</t>
        </is>
      </c>
      <c r="F4" s="3" t="inlineStr">
        <is>
          <t>Helped by a visa I hold?</t>
        </is>
      </c>
      <c r="G4" s="3" t="inlineStr">
        <is>
          <t>Priority</t>
        </is>
      </c>
      <c r="H4" s="3" t="inlineStr">
        <is>
          <t>Confidence</t>
        </is>
      </c>
      <c r="I4" s="3" t="inlineStr">
        <is>
          <t>Source</t>
        </is>
      </c>
      <c r="J4" s="3" t="inlineStr">
        <is>
          <t>My status</t>
        </is>
      </c>
      <c r="K4" s="3" t="inlineStr">
        <is>
          <t>Next action / date</t>
        </is>
      </c>
    </row>
    <row r="5">
      <c r="A5" s="9" t="inlineStr">
        <is>
          <t>Nepal</t>
        </is>
      </c>
      <c r="B5" s="9" t="inlineStr">
        <is>
          <t>Muktinath, Pashupatinath, Janakpur</t>
        </is>
      </c>
      <c r="C5" s="9" t="inlineStr">
        <is>
          <t>No visa. Valid passport or original Voter ID (Aadhaar conflicting - don't rely). Muktinath needs TIMS/ACAP permits via operator (U)</t>
        </is>
      </c>
      <c r="D5" s="9" t="inlineStr">
        <is>
          <t>No limit set for Indians</t>
        </is>
      </c>
      <c r="E5" s="9" t="inlineStr">
        <is>
          <t>Free / none</t>
        </is>
      </c>
      <c r="F5" s="9" t="inlineStr">
        <is>
          <t>n/a</t>
        </is>
      </c>
      <c r="G5" s="9" t="inlineStr">
        <is>
          <t>Done before x3</t>
        </is>
      </c>
      <c r="H5" s="9" t="inlineStr">
        <is>
          <t>Researched</t>
        </is>
      </c>
      <c r="I5" s="9" t="inlineStr">
        <is>
          <t>happyfares.in 2026</t>
        </is>
      </c>
      <c r="J5" s="19" t="inlineStr">
        <is>
          <t>To check</t>
        </is>
      </c>
      <c r="K5" s="19" t="inlineStr"/>
    </row>
    <row r="6">
      <c r="A6" s="9" t="inlineStr">
        <is>
          <t>Bhutan</t>
        </is>
      </c>
      <c r="B6" s="9" t="inlineStr">
        <is>
          <t>Monastery circuit</t>
        </is>
      </c>
      <c r="C6" s="9" t="inlineStr">
        <is>
          <t>No visa but Entry PERMIT via registered operator. SDF Nu 1,200/person/night (under 6 free, 6-12 half)</t>
        </is>
      </c>
      <c r="D6" s="9" t="inlineStr">
        <is>
          <t>Per permit</t>
        </is>
      </c>
      <c r="E6" s="9" t="inlineStr">
        <is>
          <t>SDF + operator</t>
        </is>
      </c>
      <c r="F6" s="9" t="inlineStr">
        <is>
          <t>n/a</t>
        </is>
      </c>
      <c r="G6" s="9" t="inlineStr">
        <is>
          <t>Medium</t>
        </is>
      </c>
      <c r="H6" s="9" t="inlineStr">
        <is>
          <t>Researched</t>
        </is>
      </c>
      <c r="I6" s="9" t="inlineStr">
        <is>
          <t>windhorsetours.com 2026</t>
        </is>
      </c>
      <c r="J6" s="19" t="inlineStr">
        <is>
          <t>To check</t>
        </is>
      </c>
      <c r="K6" s="19" t="inlineStr"/>
    </row>
    <row r="7">
      <c r="A7" s="9" t="inlineStr">
        <is>
          <t>Sri Lanka</t>
        </is>
      </c>
      <c r="B7" s="9" t="inlineStr">
        <is>
          <t>Ramayana trail</t>
        </is>
      </c>
      <c r="C7" s="9" t="inlineStr">
        <is>
          <t>Free 30-day double-entry tourist ETA scheme reported from 25 May 2026 (still apply online at eta.gov.lk). End date unclear</t>
        </is>
      </c>
      <c r="D7" s="9" t="inlineStr">
        <is>
          <t>30 days</t>
        </is>
      </c>
      <c r="E7" s="9" t="inlineStr">
        <is>
          <t>Free (reported) / 1-2 days</t>
        </is>
      </c>
      <c r="F7" s="9" t="inlineStr">
        <is>
          <t>n/a</t>
        </is>
      </c>
      <c r="G7" s="9" t="inlineStr">
        <is>
          <t>Done before x3</t>
        </is>
      </c>
      <c r="H7" s="9" t="inlineStr">
        <is>
          <t>Researched</t>
        </is>
      </c>
      <c r="I7" s="9" t="inlineStr">
        <is>
          <t>traveltradejournal, newsonair 2026</t>
        </is>
      </c>
      <c r="J7" s="19" t="inlineStr">
        <is>
          <t>To check</t>
        </is>
      </c>
      <c r="K7" s="19" t="inlineStr"/>
    </row>
    <row r="8">
      <c r="A8" s="9" t="inlineStr">
        <is>
          <t>Thailand</t>
        </is>
      </c>
      <c r="B8" s="9" t="inlineStr">
        <is>
          <t>Bangkok/Pattaya temples, Cambodia gateway</t>
        </is>
      </c>
      <c r="C8" s="9" t="inlineStr">
        <is>
          <t>Visa-exempt tourism. REPORTED cut from 60 to 30 days from 15 Sep 2026; TDAC arrival card within 3 days before arrival</t>
        </is>
      </c>
      <c r="D8" s="9" t="inlineStr">
        <is>
          <t>30 days (+30 ext. discretionary)</t>
        </is>
      </c>
      <c r="E8" s="9" t="inlineStr">
        <is>
          <t>Free / TDAC online</t>
        </is>
      </c>
      <c r="F8" s="9" t="inlineStr">
        <is>
          <t>n/a</t>
        </is>
      </c>
      <c r="G8" s="9" t="inlineStr">
        <is>
          <t>Done before x3</t>
        </is>
      </c>
      <c r="H8" s="9" t="inlineStr">
        <is>
          <t>Researched</t>
        </is>
      </c>
      <c r="I8" s="9" t="inlineStr">
        <is>
          <t>Khaleej Times, VisaVerge Sep 2026</t>
        </is>
      </c>
      <c r="J8" s="19" t="inlineStr">
        <is>
          <t>To check</t>
        </is>
      </c>
      <c r="K8" s="19" t="inlineStr"/>
    </row>
    <row r="9">
      <c r="A9" s="9" t="inlineStr">
        <is>
          <t>Cambodia</t>
        </is>
      </c>
      <c r="B9" s="9" t="inlineStr">
        <is>
          <t>Angkor Wat</t>
        </is>
      </c>
      <c r="C9" s="9" t="inlineStr">
        <is>
          <t>e-Visa (about US$30, ~30 days) - from background knowledge</t>
        </is>
      </c>
      <c r="D9" s="9" t="inlineStr">
        <is>
          <t>~30 days</t>
        </is>
      </c>
      <c r="E9" s="9" t="inlineStr">
        <is>
          <t>~US$30 / 3-4 days</t>
        </is>
      </c>
      <c r="F9" s="9" t="inlineStr">
        <is>
          <t>n/a</t>
        </is>
      </c>
      <c r="G9" s="9" t="inlineStr">
        <is>
          <t>Done before x2</t>
        </is>
      </c>
      <c r="H9" s="11" t="inlineStr">
        <is>
          <t>Confirm</t>
        </is>
      </c>
      <c r="I9" s="9" t="inlineStr">
        <is>
          <t>previous stamps p.10/p.20</t>
        </is>
      </c>
      <c r="J9" s="19" t="inlineStr">
        <is>
          <t>To check</t>
        </is>
      </c>
      <c r="K9" s="19" t="inlineStr"/>
    </row>
    <row r="10">
      <c r="A10" s="9" t="inlineStr">
        <is>
          <t>Malaysia</t>
        </is>
      </c>
      <c r="B10" s="9" t="inlineStr">
        <is>
          <t>Batu Caves, KL temples</t>
        </is>
      </c>
      <c r="C10" s="9" t="inlineStr">
        <is>
          <t>Visa-free 30 days until 31 Dec 2026 (no extension seen) -&gt; plan visa fallback for 2027</t>
        </is>
      </c>
      <c r="D10" s="9" t="inlineStr">
        <is>
          <t>30 days</t>
        </is>
      </c>
      <c r="E10" s="9" t="inlineStr">
        <is>
          <t>Free</t>
        </is>
      </c>
      <c r="F10" s="9" t="inlineStr">
        <is>
          <t>n/a</t>
        </is>
      </c>
      <c r="G10" s="9" t="inlineStr">
        <is>
          <t>Medium</t>
        </is>
      </c>
      <c r="H10" s="9" t="inlineStr">
        <is>
          <t>Researched</t>
        </is>
      </c>
      <c r="I10" s="9" t="inlineStr">
        <is>
          <t>theweek.in Dec 2024</t>
        </is>
      </c>
      <c r="J10" s="19" t="inlineStr">
        <is>
          <t>To check</t>
        </is>
      </c>
      <c r="K10" s="19" t="inlineStr"/>
    </row>
    <row r="11">
      <c r="A11" s="9" t="inlineStr">
        <is>
          <t>Vietnam</t>
        </is>
      </c>
      <c r="B11" s="9" t="inlineStr">
        <is>
          <t>Cham temples, Angkor-route extension</t>
        </is>
      </c>
      <c r="C11" s="9" t="inlineStr">
        <is>
          <t>e-Visa valid 90 days; US$25 single / US$50 multiple; apply only at evisa.gov.vn</t>
        </is>
      </c>
      <c r="D11" s="9" t="inlineStr">
        <is>
          <t>Up to 90 days</t>
        </is>
      </c>
      <c r="E11" s="9" t="inlineStr">
        <is>
          <t>US$25-50 / ~3-5 days</t>
        </is>
      </c>
      <c r="F11" s="9" t="inlineStr">
        <is>
          <t>n/a</t>
        </is>
      </c>
      <c r="G11" s="9" t="inlineStr">
        <is>
          <t>Medium</t>
        </is>
      </c>
      <c r="H11" s="9" t="inlineStr">
        <is>
          <t>Researched</t>
        </is>
      </c>
      <c r="I11" s="9" t="inlineStr">
        <is>
          <t>wego 2026</t>
        </is>
      </c>
      <c r="J11" s="19" t="inlineStr">
        <is>
          <t>To check</t>
        </is>
      </c>
      <c r="K11" s="19" t="inlineStr"/>
    </row>
    <row r="12">
      <c r="A12" s="9" t="inlineStr">
        <is>
          <t>Indonesia (Bali, Java)</t>
        </is>
      </c>
      <c r="B12" s="9" t="inlineStr">
        <is>
          <t>Hindu temples, Prambanan</t>
        </is>
      </c>
      <c r="C12" s="9" t="inlineStr">
        <is>
          <t>e-VOA IDR 500,000, 30 days (+1 ext.). Bali levy IDR 150,000 + digital arrival card. Confirm India on eligible list</t>
        </is>
      </c>
      <c r="D12" s="9" t="inlineStr">
        <is>
          <t>30 days (+30)</t>
        </is>
      </c>
      <c r="E12" s="9" t="inlineStr">
        <is>
          <t>~IDR 650k</t>
        </is>
      </c>
      <c r="F12" s="9" t="inlineStr">
        <is>
          <t>n/a</t>
        </is>
      </c>
      <c r="G12" s="9" t="inlineStr">
        <is>
          <t>Planned Feb 2026</t>
        </is>
      </c>
      <c r="H12" s="11" t="inlineStr">
        <is>
          <t>Confirm</t>
        </is>
      </c>
      <c r="I12" s="9" t="inlineStr">
        <is>
          <t>wego 2026</t>
        </is>
      </c>
      <c r="J12" s="19" t="inlineStr">
        <is>
          <t>To check</t>
        </is>
      </c>
      <c r="K12" s="19" t="inlineStr"/>
    </row>
    <row r="13">
      <c r="A13" s="9" t="inlineStr">
        <is>
          <t>Philippines</t>
        </is>
      </c>
      <c r="B13" s="9" t="inlineStr">
        <is>
          <t>Limited</t>
        </is>
      </c>
      <c r="C13" s="9" t="inlineStr">
        <is>
          <t>Visa-free 14 days (hotel, funds, onward ticket). Holders of valid US/Japan/AU/CA/Schengen/SG/UK visa get 30 days</t>
        </is>
      </c>
      <c r="D13" s="9" t="inlineStr">
        <is>
          <t>14 days / 30 days with US or AU visa</t>
        </is>
      </c>
      <c r="E13" s="9" t="inlineStr">
        <is>
          <t>Free</t>
        </is>
      </c>
      <c r="F13" s="9" t="inlineStr">
        <is>
          <t>YES - your US visa or Australia visa</t>
        </is>
      </c>
      <c r="G13" s="9" t="inlineStr">
        <is>
          <t>Low</t>
        </is>
      </c>
      <c r="H13" s="9" t="inlineStr">
        <is>
          <t>Researched</t>
        </is>
      </c>
      <c r="I13" s="9" t="inlineStr">
        <is>
          <t>Philippine Consulate advisory 07-2025</t>
        </is>
      </c>
      <c r="J13" s="19" t="inlineStr">
        <is>
          <t>To check</t>
        </is>
      </c>
      <c r="K13" s="19" t="inlineStr"/>
    </row>
    <row r="14">
      <c r="A14" s="9" t="inlineStr">
        <is>
          <t>Japan</t>
        </is>
      </c>
      <c r="B14" s="9" t="inlineStr">
        <is>
          <t>Buddhist/ISKCON centres</t>
        </is>
      </c>
      <c r="C14" s="9" t="inlineStr">
        <is>
          <t>Visa required: e-Visa/VFS route, fee Rs 500 + service charges (reported)</t>
        </is>
      </c>
      <c r="D14" s="9" t="inlineStr">
        <is>
          <t>Typically 15-90 days</t>
        </is>
      </c>
      <c r="E14" s="9" t="inlineStr">
        <is>
          <t>Rs 500 + VFS / 5-10 days</t>
        </is>
      </c>
      <c r="F14" s="9" t="inlineStr">
        <is>
          <t>n/a</t>
        </is>
      </c>
      <c r="G14" s="9" t="inlineStr">
        <is>
          <t>Medium</t>
        </is>
      </c>
      <c r="H14" s="9" t="inlineStr">
        <is>
          <t>Researched</t>
        </is>
      </c>
      <c r="I14" s="9" t="inlineStr">
        <is>
          <t>businesstoday Jul 2026</t>
        </is>
      </c>
      <c r="J14" s="19" t="inlineStr">
        <is>
          <t>To check</t>
        </is>
      </c>
      <c r="K14" s="19" t="inlineStr"/>
    </row>
    <row r="15">
      <c r="A15" s="9" t="inlineStr">
        <is>
          <t>China (incl. Tibet / Kailash)</t>
        </is>
      </c>
      <c r="B15" s="9" t="inlineStr">
        <is>
          <t>Kailash Mansarovar</t>
        </is>
      </c>
      <c r="C15" s="9" t="inlineStr">
        <is>
          <t>Chinese visa (tourist: 4 working days; group visa via operator ~6 working days) + Tibet Travel Permit + ATP via Nepal; or MEA KMY lottery (kmy.gov.in, June-Aug, 1,000 pilgrims)</t>
        </is>
      </c>
      <c r="D15" s="9" t="inlineStr">
        <is>
          <t>Per permit</t>
        </is>
      </c>
      <c r="E15" s="9" t="inlineStr">
        <is>
          <t>MEA route ~Rs 2.1-3.3 lakh</t>
        </is>
      </c>
      <c r="F15" s="9" t="inlineStr">
        <is>
          <t>n/a</t>
        </is>
      </c>
      <c r="G15" s="9" t="inlineStr">
        <is>
          <t>HIGH (Kailash)</t>
        </is>
      </c>
      <c r="H15" s="9" t="inlineStr">
        <is>
          <t>Researched</t>
        </is>
      </c>
      <c r="I15" s="9" t="inlineStr">
        <is>
          <t>Tribune, businesstoday 2026</t>
        </is>
      </c>
      <c r="J15" s="19" t="inlineStr">
        <is>
          <t>To check</t>
        </is>
      </c>
      <c r="K15" s="19" t="inlineStr"/>
    </row>
    <row r="16">
      <c r="A16" s="9" t="inlineStr">
        <is>
          <t>Hong Kong</t>
        </is>
      </c>
      <c r="B16" s="9" t="inlineStr">
        <is>
          <t>Transit hub</t>
        </is>
      </c>
      <c r="C16" s="9" t="inlineStr">
        <is>
          <t>Pre-Arrival Registration (PAR) online, up to 14 days; valid 6 months</t>
        </is>
      </c>
      <c r="D16" s="9" t="inlineStr">
        <is>
          <t>14 days</t>
        </is>
      </c>
      <c r="E16" s="9" t="inlineStr">
        <is>
          <t>Free / minutes</t>
        </is>
      </c>
      <c r="F16" s="9" t="inlineStr">
        <is>
          <t>n/a</t>
        </is>
      </c>
      <c r="G16" s="9" t="inlineStr">
        <is>
          <t>Low</t>
        </is>
      </c>
      <c r="H16" s="9" t="inlineStr">
        <is>
          <t>Researched</t>
        </is>
      </c>
      <c r="I16" s="9" t="inlineStr">
        <is>
          <t>HK Immigration ID1023</t>
        </is>
      </c>
      <c r="J16" s="19" t="inlineStr">
        <is>
          <t>To check</t>
        </is>
      </c>
      <c r="K16" s="19" t="inlineStr"/>
    </row>
    <row r="17">
      <c r="A17" s="9" t="inlineStr">
        <is>
          <t>Russia</t>
        </is>
      </c>
      <c r="B17" s="9" t="inlineStr">
        <is>
          <t>ISKCON Moscow</t>
        </is>
      </c>
      <c r="C17" s="9" t="inlineStr">
        <is>
          <t>e-Visa (up to 16 days). Visa-free group scheme still only under negotiation</t>
        </is>
      </c>
      <c r="D17" s="9" t="inlineStr">
        <is>
          <t>16 days</t>
        </is>
      </c>
      <c r="E17" s="9" t="inlineStr">
        <is>
          <t>e-Visa fee / ~4 days</t>
        </is>
      </c>
      <c r="F17" s="9" t="inlineStr">
        <is>
          <t>n/a</t>
        </is>
      </c>
      <c r="G17" s="9" t="inlineStr">
        <is>
          <t>Medium</t>
        </is>
      </c>
      <c r="H17" s="9" t="inlineStr">
        <is>
          <t>Researched</t>
        </is>
      </c>
      <c r="I17" s="9" t="inlineStr">
        <is>
          <t>happyfares Jul 2026</t>
        </is>
      </c>
      <c r="J17" s="19" t="inlineStr">
        <is>
          <t>To check</t>
        </is>
      </c>
      <c r="K17" s="19" t="inlineStr"/>
    </row>
    <row r="18">
      <c r="A18" s="9" t="inlineStr">
        <is>
          <t>Kazakhstan</t>
        </is>
      </c>
      <c r="B18" s="9" t="inlineStr">
        <is>
          <t>Almaty</t>
        </is>
      </c>
      <c r="C18" s="9" t="inlineStr">
        <is>
          <t>Visa-free 14 days reported (conflicting 30-90 elsewhere)</t>
        </is>
      </c>
      <c r="D18" s="9" t="inlineStr">
        <is>
          <t>14 days</t>
        </is>
      </c>
      <c r="E18" s="9" t="inlineStr">
        <is>
          <t>Free</t>
        </is>
      </c>
      <c r="F18" s="9" t="inlineStr">
        <is>
          <t>n/a</t>
        </is>
      </c>
      <c r="G18" s="9" t="inlineStr">
        <is>
          <t>Low</t>
        </is>
      </c>
      <c r="H18" s="9" t="inlineStr">
        <is>
          <t>Researched</t>
        </is>
      </c>
      <c r="I18" s="9" t="inlineStr">
        <is>
          <t>Gulf News 2026</t>
        </is>
      </c>
      <c r="J18" s="19" t="inlineStr">
        <is>
          <t>To check</t>
        </is>
      </c>
      <c r="K18" s="19" t="inlineStr"/>
    </row>
    <row r="19">
      <c r="A19" s="9" t="inlineStr">
        <is>
          <t>Uzbekistan</t>
        </is>
      </c>
      <c r="B19" s="9" t="inlineStr">
        <is>
          <t>Silk Road</t>
        </is>
      </c>
      <c r="C19" s="9" t="inlineStr">
        <is>
          <t>30-day visa-free announced Aug 2026, effective date not announced -&gt; e-Visa until then</t>
        </is>
      </c>
      <c r="D19" s="9" t="inlineStr">
        <is>
          <t>30 days</t>
        </is>
      </c>
      <c r="E19" s="9" t="inlineStr">
        <is>
          <t>e-Visa until start</t>
        </is>
      </c>
      <c r="F19" s="9" t="inlineStr">
        <is>
          <t>n/a</t>
        </is>
      </c>
      <c r="G19" s="9" t="inlineStr">
        <is>
          <t>Low</t>
        </is>
      </c>
      <c r="H19" s="9" t="inlineStr">
        <is>
          <t>Researched</t>
        </is>
      </c>
      <c r="I19" s="9" t="inlineStr">
        <is>
          <t>careinsurance 2026</t>
        </is>
      </c>
      <c r="J19" s="19" t="inlineStr">
        <is>
          <t>To check</t>
        </is>
      </c>
      <c r="K19" s="19" t="inlineStr"/>
    </row>
    <row r="20">
      <c r="A20" s="9" t="inlineStr">
        <is>
          <t>Iran</t>
        </is>
      </c>
      <c r="B20" s="9" t="inlineStr">
        <is>
          <t>Qom/Mashhad (not typical)</t>
        </is>
      </c>
      <c r="C20" s="9" t="inlineStr">
        <is>
          <t>Visa-waiver for Indians SUSPENDED from 22 Nov 2025 - visa needed even for transit</t>
        </is>
      </c>
      <c r="D20" s="9" t="inlineStr">
        <is>
          <t>-</t>
        </is>
      </c>
      <c r="E20" s="9" t="inlineStr">
        <is>
          <t>Visa</t>
        </is>
      </c>
      <c r="F20" s="9" t="inlineStr">
        <is>
          <t>n/a</t>
        </is>
      </c>
      <c r="G20" s="9" t="inlineStr">
        <is>
          <t>Avoid</t>
        </is>
      </c>
      <c r="H20" s="9" t="inlineStr">
        <is>
          <t>Researched</t>
        </is>
      </c>
      <c r="I20" s="9" t="inlineStr">
        <is>
          <t>Tribune, businesstoday Nov 2025</t>
        </is>
      </c>
      <c r="J20" s="19" t="inlineStr">
        <is>
          <t>To check</t>
        </is>
      </c>
      <c r="K20" s="19" t="inlineStr"/>
    </row>
    <row r="21">
      <c r="A21" s="9" t="inlineStr">
        <is>
          <t>Kenya</t>
        </is>
      </c>
      <c r="B21" s="9" t="inlineStr">
        <is>
          <t>ISKCON Nairobi</t>
        </is>
      </c>
      <c r="C21" s="9" t="inlineStr">
        <is>
          <t>eTA mandatory, no VoA; use etakenya.go.ke only (fee quotes conflict US$30-100)</t>
        </is>
      </c>
      <c r="D21" s="9" t="inlineStr">
        <is>
          <t>Per eTA</t>
        </is>
      </c>
      <c r="E21" s="9" t="inlineStr">
        <is>
          <t>US$30-100 / 3 days</t>
        </is>
      </c>
      <c r="F21" s="9" t="inlineStr">
        <is>
          <t>n/a</t>
        </is>
      </c>
      <c r="G21" s="9" t="inlineStr">
        <is>
          <t>Low</t>
        </is>
      </c>
      <c r="H21" s="9" t="inlineStr">
        <is>
          <t>Researched</t>
        </is>
      </c>
      <c r="I21" s="9" t="inlineStr">
        <is>
          <t>safarifind 2026</t>
        </is>
      </c>
      <c r="J21" s="19" t="inlineStr">
        <is>
          <t>To check</t>
        </is>
      </c>
      <c r="K21" s="19" t="inlineStr"/>
    </row>
    <row r="22">
      <c r="A22" s="9" t="inlineStr">
        <is>
          <t>Mauritius</t>
        </is>
      </c>
      <c r="B22" s="9" t="inlineStr">
        <is>
          <t>ISKCON Mauritius, Ganga Talao</t>
        </is>
      </c>
      <c r="C22" s="9" t="inlineStr">
        <is>
          <t>Visa-free 90 days (list source)</t>
        </is>
      </c>
      <c r="D22" s="9" t="inlineStr">
        <is>
          <t>90 days</t>
        </is>
      </c>
      <c r="E22" s="9" t="inlineStr">
        <is>
          <t>Free</t>
        </is>
      </c>
      <c r="F22" s="9" t="inlineStr">
        <is>
          <t>n/a</t>
        </is>
      </c>
      <c r="G22" s="9" t="inlineStr">
        <is>
          <t>Medium</t>
        </is>
      </c>
      <c r="H22" s="11" t="inlineStr">
        <is>
          <t>Confirm</t>
        </is>
      </c>
      <c r="I22" s="9" t="inlineStr">
        <is>
          <t>matrix.in 2026</t>
        </is>
      </c>
      <c r="J22" s="19" t="inlineStr">
        <is>
          <t>To check</t>
        </is>
      </c>
      <c r="K22" s="19" t="inlineStr"/>
    </row>
    <row r="23">
      <c r="A23" s="9" t="inlineStr">
        <is>
          <t>Fiji</t>
        </is>
      </c>
      <c r="B23" s="9" t="inlineStr">
        <is>
          <t>ISKCON Fiji</t>
        </is>
      </c>
      <c r="C23" s="9" t="inlineStr">
        <is>
          <t>Visa-free 120 days (list source)</t>
        </is>
      </c>
      <c r="D23" s="9" t="inlineStr">
        <is>
          <t>120 days</t>
        </is>
      </c>
      <c r="E23" s="9" t="inlineStr">
        <is>
          <t>Free</t>
        </is>
      </c>
      <c r="F23" s="9" t="inlineStr">
        <is>
          <t>n/a</t>
        </is>
      </c>
      <c r="G23" s="9" t="inlineStr">
        <is>
          <t>Low</t>
        </is>
      </c>
      <c r="H23" s="11" t="inlineStr">
        <is>
          <t>Confirm</t>
        </is>
      </c>
      <c r="I23" s="9" t="inlineStr">
        <is>
          <t>matrix.in 2026</t>
        </is>
      </c>
      <c r="J23" s="19" t="inlineStr">
        <is>
          <t>To check</t>
        </is>
      </c>
      <c r="K23" s="19" t="inlineStr"/>
    </row>
    <row r="24">
      <c r="A24" s="9" t="inlineStr">
        <is>
          <t>Trinidad &amp; Tobago</t>
        </is>
      </c>
      <c r="B24" s="9" t="inlineStr">
        <is>
          <t>Hindu diaspora</t>
        </is>
      </c>
      <c r="C24" s="9" t="inlineStr">
        <is>
          <t>Visa-free 90 days, 6 months passport validity, onward ticket</t>
        </is>
      </c>
      <c r="D24" s="9" t="inlineStr">
        <is>
          <t>90 days</t>
        </is>
      </c>
      <c r="E24" s="9" t="inlineStr">
        <is>
          <t>Free</t>
        </is>
      </c>
      <c r="F24" s="9" t="inlineStr">
        <is>
          <t>n/a</t>
        </is>
      </c>
      <c r="G24" s="9" t="inlineStr">
        <is>
          <t>Low</t>
        </is>
      </c>
      <c r="H24" s="9" t="inlineStr">
        <is>
          <t>Researched</t>
        </is>
      </c>
      <c r="I24" s="9" t="inlineStr">
        <is>
          <t>evisas.io 2026</t>
        </is>
      </c>
      <c r="J24" s="19" t="inlineStr">
        <is>
          <t>To check</t>
        </is>
      </c>
      <c r="K24" s="19" t="inlineStr"/>
    </row>
    <row r="25">
      <c r="A25" s="9" t="inlineStr">
        <is>
          <t>Suriname / Guyana</t>
        </is>
      </c>
      <c r="B25" s="9" t="inlineStr">
        <is>
          <t>Diaspora</t>
        </is>
      </c>
      <c r="C25" s="9" t="inlineStr">
        <is>
          <t>Suriname 30 days visa-free reported (single site); Guyana not found</t>
        </is>
      </c>
      <c r="D25" s="9" t="inlineStr">
        <is>
          <t>30 days</t>
        </is>
      </c>
      <c r="E25" s="9" t="inlineStr">
        <is>
          <t>Free</t>
        </is>
      </c>
      <c r="F25" s="9" t="inlineStr">
        <is>
          <t>n/a</t>
        </is>
      </c>
      <c r="G25" s="9" t="inlineStr">
        <is>
          <t>Low</t>
        </is>
      </c>
      <c r="H25" s="11" t="inlineStr">
        <is>
          <t>Confirm</t>
        </is>
      </c>
      <c r="I25" s="9" t="inlineStr">
        <is>
          <t>visago.dev</t>
        </is>
      </c>
      <c r="J25" s="19" t="inlineStr">
        <is>
          <t>To check</t>
        </is>
      </c>
      <c r="K25" s="19" t="inlineStr"/>
    </row>
    <row r="26">
      <c r="A26" s="9" t="inlineStr">
        <is>
          <t>Pakistan (Katas Raj)</t>
        </is>
      </c>
      <c r="B26" s="9" t="inlineStr">
        <is>
          <t>Shiva temple pilgrimage</t>
        </is>
      </c>
      <c r="C26" s="9" t="inlineStr">
        <is>
          <t>Only via 1974 Protocol group visas from Pak High Commission, New Delhi; Lahore/Chakwal only; no 2026 notice found</t>
        </is>
      </c>
      <c r="D26" s="9" t="inlineStr">
        <is>
          <t>Per visa</t>
        </is>
      </c>
      <c r="E26" s="9" t="inlineStr">
        <is>
          <t>Group visa</t>
        </is>
      </c>
      <c r="F26" s="9" t="inlineStr">
        <is>
          <t>n/a</t>
        </is>
      </c>
      <c r="G26" s="9" t="inlineStr">
        <is>
          <t>Occasional</t>
        </is>
      </c>
      <c r="H26" s="9" t="inlineStr">
        <is>
          <t>Researched</t>
        </is>
      </c>
      <c r="I26" s="9" t="inlineStr">
        <is>
          <t>businesstoday Feb 2025</t>
        </is>
      </c>
      <c r="J26" s="19" t="inlineStr">
        <is>
          <t>To check</t>
        </is>
      </c>
      <c r="K26" s="19" t="inlineStr"/>
    </row>
    <row r="27">
      <c r="A27" s="9" t="inlineStr">
        <is>
          <t>Bangladesh</t>
        </is>
      </c>
      <c r="B27" s="9" t="inlineStr">
        <is>
          <t>Dhaka, Dhakeshwari</t>
        </is>
      </c>
      <c r="C27" s="9" t="inlineStr">
        <is>
          <t>Visa required (unverified)</t>
        </is>
      </c>
      <c r="D27" s="9" t="inlineStr">
        <is>
          <t>-</t>
        </is>
      </c>
      <c r="E27" s="9" t="inlineStr">
        <is>
          <t>-</t>
        </is>
      </c>
      <c r="F27" s="9" t="inlineStr">
        <is>
          <t>n/a</t>
        </is>
      </c>
      <c r="G27" s="9" t="inlineStr">
        <is>
          <t>Medium</t>
        </is>
      </c>
      <c r="H27" s="11" t="inlineStr">
        <is>
          <t>Confirm</t>
        </is>
      </c>
      <c r="I27" s="9" t="inlineStr">
        <is>
          <t>not researched</t>
        </is>
      </c>
      <c r="J27" s="19" t="inlineStr">
        <is>
          <t>To check</t>
        </is>
      </c>
      <c r="K27" s="19" t="inlineStr"/>
    </row>
    <row r="28">
      <c r="A28" s="9" t="inlineStr">
        <is>
          <t>Maldives</t>
        </is>
      </c>
      <c r="B28" s="9" t="inlineStr">
        <is>
          <t>-</t>
        </is>
      </c>
      <c r="C28" s="9" t="inlineStr">
        <is>
          <t>Free visa on arrival, usually 30 days (unverified)</t>
        </is>
      </c>
      <c r="D28" s="9" t="inlineStr">
        <is>
          <t>30 days</t>
        </is>
      </c>
      <c r="E28" s="9" t="inlineStr">
        <is>
          <t>Free</t>
        </is>
      </c>
      <c r="F28" s="9" t="inlineStr">
        <is>
          <t>n/a</t>
        </is>
      </c>
      <c r="G28" s="9" t="inlineStr">
        <is>
          <t>Low</t>
        </is>
      </c>
      <c r="H28" s="11" t="inlineStr">
        <is>
          <t>Confirm</t>
        </is>
      </c>
      <c r="I28" s="9" t="inlineStr">
        <is>
          <t>not researched</t>
        </is>
      </c>
      <c r="J28" s="19" t="inlineStr">
        <is>
          <t>To check</t>
        </is>
      </c>
      <c r="K28" s="19" t="inlineStr"/>
    </row>
    <row r="29">
      <c r="A29" s="9" t="inlineStr">
        <is>
          <t>Singapore / South Korea / Macau</t>
        </is>
      </c>
      <c r="B29" s="9" t="inlineStr">
        <is>
          <t>-</t>
        </is>
      </c>
      <c r="C29" s="9" t="inlineStr">
        <is>
          <t>Visa required for Indian PP (background knowledge). Singapore: 96-hr transit visa-free if onward ticket + valid US/AU visa (see Access Map)</t>
        </is>
      </c>
      <c r="D29" s="9" t="inlineStr">
        <is>
          <t>-</t>
        </is>
      </c>
      <c r="E29" s="9" t="inlineStr">
        <is>
          <t>-</t>
        </is>
      </c>
      <c r="F29" s="9" t="inlineStr">
        <is>
          <t>YES (transit)</t>
        </is>
      </c>
      <c r="G29" s="9" t="inlineStr">
        <is>
          <t>Low</t>
        </is>
      </c>
      <c r="H29" s="11" t="inlineStr">
        <is>
          <t>Confirm</t>
        </is>
      </c>
      <c r="I29" s="9" t="inlineStr">
        <is>
          <t>not researched</t>
        </is>
      </c>
      <c r="J29" s="19" t="inlineStr">
        <is>
          <t>To check</t>
        </is>
      </c>
      <c r="K29" s="19" t="inlineStr"/>
    </row>
    <row r="30">
      <c r="A30" s="9" t="inlineStr">
        <is>
          <t>UAE</t>
        </is>
      </c>
      <c r="B30" s="9" t="inlineStr">
        <is>
          <t>Dubai (ISKCON), transit hub</t>
        </is>
      </c>
      <c r="C30" s="9" t="inlineStr">
        <is>
          <t>Indians WITH valid US visa / Schengen / UK visa etc. may get visa on arrival 14 days; otherwise e-visa. Last used Aug 2024</t>
        </is>
      </c>
      <c r="D30" s="9" t="inlineStr">
        <is>
          <t>14 days VoA</t>
        </is>
      </c>
      <c r="E30" s="9" t="inlineStr">
        <is>
          <t>~Rs 7-9k e-visa</t>
        </is>
      </c>
      <c r="F30" s="9" t="inlineStr">
        <is>
          <t>YES - US visa (VoA)</t>
        </is>
      </c>
      <c r="G30" s="9" t="inlineStr">
        <is>
          <t>Medium</t>
        </is>
      </c>
      <c r="H30" s="11" t="inlineStr">
        <is>
          <t>Confirm</t>
        </is>
      </c>
      <c r="I30" s="9" t="inlineStr">
        <is>
          <t>Passport stamp 01 Aug 2024</t>
        </is>
      </c>
      <c r="J30" s="19" t="inlineStr">
        <is>
          <t>To check</t>
        </is>
      </c>
      <c r="K30" s="19" t="inlineStr"/>
    </row>
    <row r="31">
      <c r="A31" s="9" t="inlineStr">
        <is>
          <t>UK</t>
        </is>
      </c>
      <c r="B31" s="9" t="inlineStr">
        <is>
          <t>ISKCON Bhaktivedanta Manor</t>
        </is>
      </c>
      <c r="C31" s="9" t="inlineStr">
        <is>
          <t>Standard Visitor visa required (ETA not applicable to Indians). EXPIRED 29 Dec 2024 - renew before next UK yatra</t>
        </is>
      </c>
      <c r="D31" s="9" t="inlineStr">
        <is>
          <t>6 months</t>
        </is>
      </c>
      <c r="E31" s="9" t="inlineStr">
        <is>
          <t>GBP 127 (6-mo) / 3 wks</t>
        </is>
      </c>
      <c r="F31" s="9" t="inlineStr">
        <is>
          <t>n/a</t>
        </is>
      </c>
      <c r="G31" s="9" t="inlineStr">
        <is>
          <t>HIGH - expired</t>
        </is>
      </c>
      <c r="H31" s="11" t="inlineStr">
        <is>
          <t>Confirm</t>
        </is>
      </c>
      <c r="I31" s="9" t="inlineStr">
        <is>
          <t>Passport p.23</t>
        </is>
      </c>
      <c r="J31" s="19" t="inlineStr">
        <is>
          <t>Expired</t>
        </is>
      </c>
      <c r="K31" s="19" t="inlineStr"/>
    </row>
    <row r="32">
      <c r="A32" s="9" t="inlineStr">
        <is>
          <t>Schengen (Europe)</t>
        </is>
      </c>
      <c r="B32" s="9" t="inlineStr">
        <is>
          <t>ISKCON Europe, Radhadesh, Paris</t>
        </is>
      </c>
      <c r="C32" s="9" t="inlineStr">
        <is>
          <t>C-visa via France/VFS. Both visas EXPIRED (last 19 Apr 2026). EU cascade rule: after 2 lawful Schengen visas in 3 yrs -&gt; 2-yr multiple-entry visa, later 5-yr</t>
        </is>
      </c>
      <c r="D32" s="9" t="inlineStr">
        <is>
          <t>90/180 days</t>
        </is>
      </c>
      <c r="E32" s="9" t="inlineStr">
        <is>
          <t>EUR 90 / 15 days+</t>
        </is>
      </c>
      <c r="F32" s="9" t="inlineStr">
        <is>
          <t>n/a</t>
        </is>
      </c>
      <c r="G32" s="9" t="inlineStr">
        <is>
          <t>HIGH - expired</t>
        </is>
      </c>
      <c r="H32" s="9" t="inlineStr">
        <is>
          <t>Researched</t>
        </is>
      </c>
      <c r="I32" s="9" t="inlineStr">
        <is>
          <t>EEAS 18 Apr 2024; C(2024)2434</t>
        </is>
      </c>
      <c r="J32" s="19" t="inlineStr">
        <is>
          <t>Expired</t>
        </is>
      </c>
      <c r="K32" s="19" t="inlineStr"/>
    </row>
    <row r="33">
      <c r="A33" s="9" t="inlineStr">
        <is>
          <t>USA</t>
        </is>
      </c>
      <c r="B33" s="9" t="inlineStr">
        <is>
          <t>ISKCON US temples</t>
        </is>
      </c>
      <c r="C33" s="9" t="inlineStr">
        <is>
          <t>B1/B2 held until 26 Dec 2034 (use passport in which it is stamped)</t>
        </is>
      </c>
      <c r="D33" s="9" t="inlineStr">
        <is>
          <t>Per CBP (up to 6 mo)</t>
        </is>
      </c>
      <c r="E33" s="9" t="inlineStr">
        <is>
          <t>-</t>
        </is>
      </c>
      <c r="F33" s="9" t="inlineStr">
        <is>
          <t>HELD</t>
        </is>
      </c>
      <c r="G33" s="9" t="inlineStr">
        <is>
          <t>Valid</t>
        </is>
      </c>
      <c r="H33" s="9" t="inlineStr">
        <is>
          <t>Researched</t>
        </is>
      </c>
      <c r="I33" s="9" t="inlineStr">
        <is>
          <t>Passport p.26</t>
        </is>
      </c>
      <c r="J33" s="19" t="inlineStr">
        <is>
          <t>Have</t>
        </is>
      </c>
      <c r="K33" s="19" t="inlineStr"/>
    </row>
    <row r="34">
      <c r="A34" s="9" t="inlineStr">
        <is>
          <t>Australia</t>
        </is>
      </c>
      <c r="B34" s="9" t="inlineStr">
        <is>
          <t>Melbourne/Sydney temples</t>
        </is>
      </c>
      <c r="C34" s="9" t="inlineStr">
        <is>
          <t>Subclass 600 held to 13 Nov 2030. BUT 'Business Visitor' stream allows business enquiries/conferences only - pilgrimage/tourism normally needs the TOURIST stream. Confirm with Home Affairs before the Feb yatra</t>
        </is>
      </c>
      <c r="D34" s="9" t="inlineStr">
        <is>
          <t>3 months per arrival</t>
        </is>
      </c>
      <c r="E34" s="9" t="inlineStr">
        <is>
          <t>-</t>
        </is>
      </c>
      <c r="F34" s="9" t="inlineStr">
        <is>
          <t>HELD</t>
        </is>
      </c>
      <c r="G34" s="9" t="inlineStr">
        <is>
          <t>Valid (check stream)</t>
        </is>
      </c>
      <c r="H34" s="9" t="inlineStr">
        <is>
          <t>Researched</t>
        </is>
      </c>
      <c r="I34" s="9" t="inlineStr">
        <is>
          <t>VEVO 13 Nov 2025; BDO</t>
        </is>
      </c>
      <c r="J34" s="19" t="inlineStr">
        <is>
          <t>Have</t>
        </is>
      </c>
      <c r="K34" s="19" t="inlineStr"/>
    </row>
    <row r="35">
      <c r="A35" s="9" t="inlineStr">
        <is>
          <t>Canada</t>
        </is>
      </c>
      <c r="B35" s="9" t="inlineStr">
        <is>
          <t>ISKCON Toronto</t>
        </is>
      </c>
      <c r="C35" s="9" t="inlineStr">
        <is>
          <t>TRV required for Indian PP (unverified)</t>
        </is>
      </c>
      <c r="D35" s="9" t="inlineStr">
        <is>
          <t>6 months</t>
        </is>
      </c>
      <c r="E35" s="9" t="inlineStr">
        <is>
          <t>CAD 100 / weeks</t>
        </is>
      </c>
      <c r="F35" s="9" t="inlineStr">
        <is>
          <t>n/a</t>
        </is>
      </c>
      <c r="G35" s="9" t="inlineStr">
        <is>
          <t>Medium</t>
        </is>
      </c>
      <c r="H35" s="11" t="inlineStr">
        <is>
          <t>Confirm</t>
        </is>
      </c>
      <c r="I35" s="9" t="inlineStr">
        <is>
          <t>not researched</t>
        </is>
      </c>
      <c r="J35" s="19" t="inlineStr">
        <is>
          <t>To check</t>
        </is>
      </c>
      <c r="K35" s="19" t="inlineStr"/>
    </row>
    <row r="36">
      <c r="A36" s="9" t="inlineStr">
        <is>
          <t>New Zealand</t>
        </is>
      </c>
      <c r="B36" s="9" t="inlineStr">
        <is>
          <t>ISKCON Auckland</t>
        </is>
      </c>
      <c r="C36" s="9" t="inlineStr">
        <is>
          <t>Visitor visa required (NZeTA not valid for Indians) (unverified)</t>
        </is>
      </c>
      <c r="D36" s="9" t="inlineStr">
        <is>
          <t>-</t>
        </is>
      </c>
      <c r="E36" s="9" t="inlineStr">
        <is>
          <t>-</t>
        </is>
      </c>
      <c r="F36" s="9" t="inlineStr">
        <is>
          <t>n/a</t>
        </is>
      </c>
      <c r="G36" s="9" t="inlineStr">
        <is>
          <t>Low</t>
        </is>
      </c>
      <c r="H36" s="11" t="inlineStr">
        <is>
          <t>Confirm</t>
        </is>
      </c>
      <c r="I36" s="9" t="inlineStr">
        <is>
          <t>not researched</t>
        </is>
      </c>
      <c r="J36" s="19" t="inlineStr">
        <is>
          <t>To check</t>
        </is>
      </c>
      <c r="K36" s="19" t="inlineStr"/>
    </row>
  </sheetData>
  <autoFilter ref="A4:K36"/>
  <conditionalFormatting sqref="J5:J66">
    <cfRule type="cellIs" priority="1" operator="equal" dxfId="2">
      <formula>"Have"</formula>
    </cfRule>
    <cfRule type="cellIs" priority="2" operator="equal" dxfId="0">
      <formula>"Expired"</formula>
    </cfRule>
    <cfRule type="cellIs" priority="3" operator="equal" dxfId="1">
      <formula>"Need"</formula>
    </cfRule>
  </conditionalFormatting>
  <dataValidations count="1">
    <dataValidation sqref="J5:J66" showDropDown="0" showInputMessage="0" showErrorMessage="0" allowBlank="0" type="list">
      <formula1>"Have,Expired,Need,In progress,Not needed,To check"</formula1>
    </dataValidation>
  </dataValidations>
  <pageMargins left="0.75" right="0.75" top="1" bottom="1" header="0.5" footer="0.5"/>
</worksheet>
</file>

<file path=xl/worksheets/sheet8.xml><?xml version="1.0" encoding="utf-8"?>
<worksheet xmlns="http://schemas.openxmlformats.org/spreadsheetml/2006/main">
  <sheetPr>
    <tabColor rgb="001F2A44"/>
    <outlinePr summaryBelow="1" summaryRight="1"/>
    <pageSetUpPr/>
  </sheetPr>
  <dimension ref="A1:G14"/>
  <sheetViews>
    <sheetView zoomScale="100" workbookViewId="0">
      <pane ySplit="4" topLeftCell="A5" activePane="bottomLeft" state="frozen"/>
      <selection pane="bottomLeft" activeCell="A1" sqref="A1"/>
    </sheetView>
  </sheetViews>
  <sheetFormatPr baseColWidth="8" defaultRowHeight="15"/>
  <cols>
    <col width="30" customWidth="1" min="1" max="1"/>
    <col width="13" customWidth="1" min="2" max="2"/>
    <col width="13" customWidth="1" min="3" max="3"/>
    <col width="26" customWidth="1" min="4" max="4"/>
    <col width="70" customWidth="1" min="5" max="5"/>
    <col width="12" customWidth="1" min="6" max="6"/>
    <col width="14" customWidth="1" min="7" max="7"/>
  </cols>
  <sheetData>
    <row r="1">
      <c r="A1" s="1" t="inlineStr">
        <is>
          <t>Trips in your dashboard with NO passport stamp yet</t>
        </is>
      </c>
    </row>
    <row r="2">
      <c r="A2" s="2" t="inlineStr">
        <is>
          <t>Your spreadsheet shows these; the passport scan (to Nov 2025) doesn't. Confirm -&gt; copy to Travel Log.</t>
        </is>
      </c>
    </row>
    <row r="4">
      <c r="A4" s="3" t="inlineStr">
        <is>
          <t>Trip</t>
        </is>
      </c>
      <c r="B4" s="3" t="inlineStr">
        <is>
          <t>From</t>
        </is>
      </c>
      <c r="C4" s="3" t="inlineStr">
        <is>
          <t>To</t>
        </is>
      </c>
      <c r="D4" s="3" t="inlineStr">
        <is>
          <t>Where recorded</t>
        </is>
      </c>
      <c r="E4" s="3" t="inlineStr">
        <is>
          <t>Observation</t>
        </is>
      </c>
      <c r="F4" s="3" t="inlineStr">
        <is>
          <t>Action</t>
        </is>
      </c>
      <c r="G4" s="3" t="inlineStr">
        <is>
          <t>Confirmed? (Y/N)</t>
        </is>
      </c>
    </row>
    <row r="5">
      <c r="A5" s="9" t="inlineStr">
        <is>
          <t>Europe (Schengen)</t>
        </is>
      </c>
      <c r="B5" s="12" t="n">
        <v>45934</v>
      </c>
      <c r="C5" s="12" t="n">
        <v>45947</v>
      </c>
      <c r="D5" s="9" t="inlineStr">
        <is>
          <t>Dashboard 'MKCD' column</t>
        </is>
      </c>
      <c r="E5" s="9" t="inlineStr">
        <is>
          <t>Schengen visa #2 only valid from 21 Oct 2025 - this window pre-dates it; likely moved to Nov</t>
        </is>
      </c>
      <c r="F5" s="9" t="inlineStr">
        <is>
          <t>Confirm</t>
        </is>
      </c>
      <c r="G5" s="19" t="inlineStr"/>
    </row>
    <row r="6">
      <c r="A6" s="9" t="inlineStr">
        <is>
          <t>Europe (Schengen)</t>
        </is>
      </c>
      <c r="B6" s="12" t="n">
        <v>45967</v>
      </c>
      <c r="C6" s="12" t="n">
        <v>45981</v>
      </c>
      <c r="D6" s="9" t="inlineStr">
        <is>
          <t>Dashboard 'MKCD' column</t>
        </is>
      </c>
      <c r="E6" s="9" t="inlineStr">
        <is>
          <t>Inside Schengen #2 validity (21 Oct 2025-19 Apr 2026); no stamp in Nov-2025 scan</t>
        </is>
      </c>
      <c r="F6" s="9" t="inlineStr">
        <is>
          <t>Confirm</t>
        </is>
      </c>
      <c r="G6" s="19" t="inlineStr"/>
    </row>
    <row r="7">
      <c r="A7" s="9" t="inlineStr">
        <is>
          <t>Sri Lanka (Ramayan Yatra)</t>
        </is>
      </c>
      <c r="B7" s="12" t="n">
        <v>46040</v>
      </c>
      <c r="C7" s="12" t="n">
        <v>46048</v>
      </c>
      <c r="D7" s="9" t="inlineStr">
        <is>
          <t>Dashboard 'MKCD' column</t>
        </is>
      </c>
      <c r="E7" s="9" t="inlineStr">
        <is>
          <t>Future relative to scan; confirm if done</t>
        </is>
      </c>
      <c r="F7" s="9" t="inlineStr">
        <is>
          <t>Confirm</t>
        </is>
      </c>
      <c r="G7" s="19" t="inlineStr"/>
    </row>
    <row r="8">
      <c r="A8" s="9" t="inlineStr">
        <is>
          <t>Australia (Yatra)</t>
        </is>
      </c>
      <c r="B8" s="12" t="n">
        <v>46063</v>
      </c>
      <c r="C8" s="12" t="n">
        <v>46072</v>
      </c>
      <c r="D8" s="9" t="inlineStr">
        <is>
          <t>Dashboard 'MKCD' column</t>
        </is>
      </c>
      <c r="E8" s="9" t="inlineStr">
        <is>
          <t>Visa granted 13 Nov 2025; would be FIRST Australia entry - confirm</t>
        </is>
      </c>
      <c r="F8" s="9" t="inlineStr">
        <is>
          <t>Confirm</t>
        </is>
      </c>
      <c r="G8" s="19" t="inlineStr"/>
    </row>
    <row r="9">
      <c r="A9" s="9" t="inlineStr">
        <is>
          <t>Bali, Indonesia</t>
        </is>
      </c>
      <c r="B9" s="12" t="n">
        <v>46074</v>
      </c>
      <c r="C9" s="12" t="n">
        <v>46080</v>
      </c>
      <c r="D9" s="9" t="inlineStr">
        <is>
          <t>Dashboard 'MKCD' column</t>
        </is>
      </c>
      <c r="E9" s="9" t="inlineStr">
        <is>
          <t>Confirm</t>
        </is>
      </c>
      <c r="F9" s="9" t="inlineStr">
        <is>
          <t>Confirm</t>
        </is>
      </c>
      <c r="G9" s="19" t="inlineStr"/>
    </row>
    <row r="10">
      <c r="A10" s="9" t="inlineStr">
        <is>
          <t>Nepal (Muktinath Yatra)</t>
        </is>
      </c>
      <c r="B10" s="12" t="n">
        <v>45592</v>
      </c>
      <c r="C10" s="12" t="n">
        <v>45598</v>
      </c>
      <c r="D10" s="9" t="inlineStr">
        <is>
          <t>Dashboard yatra column</t>
        </is>
      </c>
      <c r="E10" s="9" t="inlineStr">
        <is>
          <t>No 2024 Nepal stamp seen - may have been an escorted group yatra or not run</t>
        </is>
      </c>
      <c r="F10" s="9" t="inlineStr">
        <is>
          <t>Confirm</t>
        </is>
      </c>
      <c r="G10" s="19" t="inlineStr"/>
    </row>
    <row r="11">
      <c r="A11" s="9" t="inlineStr">
        <is>
          <t>Sri Lanka (Ramayan Yatra)</t>
        </is>
      </c>
      <c r="B11" s="12" t="n">
        <v>45627</v>
      </c>
      <c r="C11" s="12" t="n">
        <v>45633</v>
      </c>
      <c r="D11" s="9" t="inlineStr">
        <is>
          <t>Dashboard yatra column</t>
        </is>
      </c>
      <c r="E11" s="9" t="inlineStr">
        <is>
          <t>No Dec-2024 SL stamp in scan - confirm</t>
        </is>
      </c>
      <c r="F11" s="9" t="inlineStr">
        <is>
          <t>Confirm</t>
        </is>
      </c>
      <c r="G11" s="19" t="inlineStr"/>
    </row>
    <row r="12">
      <c r="A12" s="9" t="inlineStr">
        <is>
          <t>Thailand / Cambodia Yatra</t>
        </is>
      </c>
      <c r="B12" s="12" t="n">
        <v>45664</v>
      </c>
      <c r="C12" s="12" t="n">
        <v>45669</v>
      </c>
      <c r="D12" s="9" t="inlineStr">
        <is>
          <t>Dashboard yatra column</t>
        </is>
      </c>
      <c r="E12" s="9" t="inlineStr">
        <is>
          <t>No Jan-2025 stamp in scan - confirm</t>
        </is>
      </c>
      <c r="F12" s="9" t="inlineStr">
        <is>
          <t>Confirm</t>
        </is>
      </c>
      <c r="G12" s="19" t="inlineStr"/>
    </row>
    <row r="13">
      <c r="A13" s="9" t="inlineStr">
        <is>
          <t>Nepal (Muktinath Yatra)</t>
        </is>
      </c>
      <c r="B13" s="12" t="n">
        <v>45748</v>
      </c>
      <c r="C13" s="12" t="n">
        <v>45768</v>
      </c>
      <c r="D13" s="9" t="inlineStr">
        <is>
          <t>Dashboard yatra column</t>
        </is>
      </c>
      <c r="E13" s="9" t="inlineStr">
        <is>
          <t>No Apr-2025 stamp in scan - confirm</t>
        </is>
      </c>
      <c r="F13" s="9" t="inlineStr">
        <is>
          <t>Confirm</t>
        </is>
      </c>
      <c r="G13" s="19" t="inlineStr"/>
    </row>
    <row r="14">
      <c r="A14" s="9" t="inlineStr">
        <is>
          <t>OOS / BJ (domestic?)</t>
        </is>
      </c>
      <c r="B14" s="12" t="n">
        <v>45727</v>
      </c>
      <c r="C14" s="12" t="n">
        <v>45732</v>
      </c>
      <c r="D14" s="9" t="inlineStr">
        <is>
          <t>Dashboard 'MKCD' column</t>
        </is>
      </c>
      <c r="E14" s="9" t="inlineStr">
        <is>
          <t>Label unclear ('OOS'); probably out-of-station, not international</t>
        </is>
      </c>
      <c r="F14" s="9" t="inlineStr">
        <is>
          <t>Ignore?</t>
        </is>
      </c>
      <c r="G14" s="19" t="inlineStr"/>
    </row>
  </sheetData>
  <pageMargins left="0.75" right="0.75" top="1" bottom="1" header="0.5" footer="0.5"/>
</worksheet>
</file>

<file path=xl/worksheets/sheet9.xml><?xml version="1.0" encoding="utf-8"?>
<worksheet xmlns="http://schemas.openxmlformats.org/spreadsheetml/2006/main">
  <sheetPr>
    <tabColor rgb="001F2A44"/>
    <outlinePr summaryBelow="1" summaryRight="1"/>
    <pageSetUpPr/>
  </sheetPr>
  <dimension ref="A1:B18"/>
  <sheetViews>
    <sheetView zoomScale="100" workbookViewId="0">
      <pane ySplit="4" topLeftCell="A5" activePane="bottomLeft" state="frozen"/>
      <selection pane="bottomLeft" activeCell="A1" sqref="A1"/>
    </sheetView>
  </sheetViews>
  <sheetFormatPr baseColWidth="8" defaultRowHeight="15"/>
  <cols>
    <col width="42" customWidth="1" min="1" max="1"/>
    <col width="120" customWidth="1" min="2" max="2"/>
  </cols>
  <sheetData>
    <row r="1">
      <c r="A1" s="1" t="inlineStr">
        <is>
          <t>Alerts &amp; action items</t>
        </is>
      </c>
    </row>
    <row r="2">
      <c r="A2" s="2" t="inlineStr">
        <is>
          <t>Review every month.</t>
        </is>
      </c>
    </row>
    <row r="4">
      <c r="A4" s="3" t="inlineStr">
        <is>
          <t>Alert</t>
        </is>
      </c>
      <c r="B4" s="3" t="inlineStr">
        <is>
          <t>What to do</t>
        </is>
      </c>
    </row>
    <row r="5">
      <c r="A5" s="9" t="inlineStr">
        <is>
          <t>Passport expires 17 Sep 2028</t>
        </is>
      </c>
      <c r="B5" s="9" t="inlineStr">
        <is>
          <t>Most countries need 6 months validity -&gt; practical last safe travel date ~17 Mar 2028. Start renewal ~Sep 2027. Passports issued in India are e-passports since 28 May 2025. Keep old passport: US &amp; Australia visas stay valid but must be carried; tell Australia Home Affairs new passport number (ImmiAccount).</t>
        </is>
      </c>
    </row>
    <row r="6">
      <c r="A6" s="9" t="inlineStr">
        <is>
          <t>Schengen: no valid visa</t>
        </is>
      </c>
      <c r="B6" s="9" t="inlineStr">
        <is>
          <t>Both France visas expired (Apr 2026). You now have 2 lawful visas in 3 years -&gt; eligible for the EU 'cascade' 2-year multiple-entry visa. Apply 3 months before the next Europe yatra.</t>
        </is>
      </c>
    </row>
    <row r="7">
      <c r="A7" s="9" t="inlineStr">
        <is>
          <t>UK: no valid visa</t>
        </is>
      </c>
      <c r="B7" s="9" t="inlineStr">
        <is>
          <t>UK visa expired 29 Dec 2024. Apply 3-4 weeks ahead; consider a 2-year or 5-year Standard Visitor visa if you will return often.</t>
        </is>
      </c>
    </row>
    <row r="8">
      <c r="A8" s="9" t="inlineStr">
        <is>
          <t>Australia: confirm stream</t>
        </is>
      </c>
      <c r="B8" s="9" t="inlineStr">
        <is>
          <t>Visa is Business Visitor stream (condition 8115). A pilgrimage yatra with devotees may count as tourism - confirm whether to apply for a Tourist-stream visa.</t>
        </is>
      </c>
    </row>
    <row r="9">
      <c r="A9" s="9" t="inlineStr">
        <is>
          <t>Malaysia visa-free ends 31 Dec 2026</t>
        </is>
      </c>
      <c r="B9" s="9" t="inlineStr">
        <is>
          <t>Get visa/e-visa for any 2027 Malaysia yatra unless extended.</t>
        </is>
      </c>
    </row>
    <row r="10">
      <c r="A10" s="9" t="inlineStr">
        <is>
          <t>Thailand now 30 days (from 15 Sep 2026, reported)</t>
        </is>
      </c>
      <c r="B10" s="9" t="inlineStr">
        <is>
          <t>Plan group stays accordingly; complete TDAC before arrival.</t>
        </is>
      </c>
    </row>
    <row r="12">
      <c r="A12" s="17" t="inlineStr">
        <is>
          <t>Mismatches found between your sheets and the documents</t>
        </is>
      </c>
    </row>
    <row r="13">
      <c r="A13" s="9" t="inlineStr">
        <is>
          <t>Schengen #1 duration</t>
        </is>
      </c>
      <c r="B13" s="9" t="inlineStr">
        <is>
          <t>Your 'Visa' tab says 45 days; the visa sticker says 30 days (valid 15-Jul-24 to 29-Aug-24).</t>
        </is>
      </c>
    </row>
    <row r="14">
      <c r="A14" s="9" t="inlineStr">
        <is>
          <t>Schengen #2 duration</t>
        </is>
      </c>
      <c r="B14" s="9" t="inlineStr">
        <is>
          <t>Sticker: 30 days within 21-Oct-25 to 19-Apr-26 (your tab shows 180 = validity window, not stay).</t>
        </is>
      </c>
    </row>
    <row r="15">
      <c r="A15" s="9" t="inlineStr">
        <is>
          <t>US visa stay</t>
        </is>
      </c>
      <c r="B15" s="9" t="inlineStr">
        <is>
          <t>Your tab shows 3,647 days = visa validity. Stay per entry is set by CBP at the port (I-94), not by the visa.</t>
        </is>
      </c>
    </row>
    <row r="16">
      <c r="A16" s="9" t="inlineStr">
        <is>
          <t>Australia</t>
        </is>
      </c>
      <c r="B16" s="9" t="inlineStr">
        <is>
          <t>Your tab says 'Business'. VEVO confirms Business Visitor stream (conditions 8115/8201). Tourism/pilgrimage may need Tourist stream.</t>
        </is>
      </c>
    </row>
    <row r="17">
      <c r="A17" s="9" t="inlineStr">
        <is>
          <t>Old access lists</t>
        </is>
      </c>
      <c r="B17" s="9" t="inlineStr">
        <is>
          <t>Armenia 'UK visa 120 days', Bosnia '30 days', Montenegro 'US 15 days', Turkey/Qatar/Kuwait entries were out of date - corrected in Access Map.</t>
        </is>
      </c>
    </row>
    <row r="18">
      <c r="A18" s="9" t="inlineStr">
        <is>
          <t>Hong Kong / Barbados etc.</t>
        </is>
      </c>
      <c r="B18" s="9" t="inlineStr">
        <is>
          <t>Your 'Indian PP visa on arrival' rows were not re-researched except those listed in the Yatra Visa Planner. Treat as unverified.</t>
        </is>
      </c>
    </row>
  </sheetData>
  <pageMargins left="0.75" right="0.75" top="1" bottom="1" header="0.5" footer="0.5"/>
</worksheet>
</file>

<file path=xl/worksheets/sheet10.xml><?xml version="1.0" encoding="utf-8"?>
<worksheet xmlns="http://schemas.openxmlformats.org/spreadsheetml/2006/main">
  <sheetPr>
    <tabColor rgb="001F2A44"/>
    <outlinePr summaryBelow="1" summaryRight="1"/>
    <pageSetUpPr/>
  </sheetPr>
  <dimension ref="A1:A9"/>
  <sheetViews>
    <sheetView zoomScale="100" workbookViewId="0">
      <selection activeCell="A1" sqref="A1"/>
    </sheetView>
  </sheetViews>
  <sheetFormatPr baseColWidth="8" defaultRowHeight="15"/>
  <cols>
    <col width="150" customWidth="1" min="1" max="1"/>
  </cols>
  <sheetData>
    <row r="1">
      <c r="A1" s="1" t="inlineStr">
        <is>
          <t>Sources, method and change log</t>
        </is>
      </c>
    </row>
    <row r="3">
      <c r="A3" s="8" t="inlineStr">
        <is>
          <t>Travel history: read from the 13-page passport scan 'as on November 2025' (stamps + visa stickers) and the VEVO check dated 13 Nov 2025. Faint stamps are marked 'Check'.</t>
        </is>
      </c>
    </row>
    <row r="4">
      <c r="A4" s="8" t="inlineStr">
        <is>
          <t>Planned/other trips: from tabs 'ACTUAL-Main Updated Dashboard' and 'PLANNED' in 'MKCD 2026 - MY TRAVEL PLAN 2026.xlsx' - NOT proof of travel; listed under To Confirm.</t>
        </is>
      </c>
    </row>
    <row r="5">
      <c r="A5" s="8" t="inlineStr">
        <is>
          <t>Entry rules: research on 20 Oct 2026 mostly from secondary sources (Wikipedia 'Visa requirements for Indian citizens', news, embassy PDFs). Some official sites (IRCC, Taiwan BOCA) would not load. Always verify on the official government portal before issuing tickets.</t>
        </is>
      </c>
    </row>
    <row r="6">
      <c r="A6" s="8" t="inlineStr">
        <is>
          <t>Old passport (issued 2008) was not provided, so pre-2018 travel is not captured.</t>
        </is>
      </c>
    </row>
    <row r="7">
      <c r="A7" s="8" t="inlineStr">
        <is>
          <t>Passport number is shown only in masked form in these files.</t>
        </is>
      </c>
    </row>
    <row r="8">
      <c r="A8" s="8" t="inlineStr">
        <is>
          <t>Change log:</t>
        </is>
      </c>
    </row>
    <row r="9">
      <c r="A9" s="8" t="inlineStr">
        <is>
          <t>20-Oct-2026 - v1 created from the four uploaded files +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2026-10-20T13:23:03Z</dcterms:created>
  <dcterms:modified xmlns:dcterms="http://purl.org/dc/terms/" xmlns:xsi="http://www.w3.org/2001/XMLSchema-instance" xsi:type="dcterms:W3CDTF">2026-10-20T13:23:03Z</dcterms:modified>
</cp:coreProperties>
</file>
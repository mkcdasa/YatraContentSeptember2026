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Passport Baseline" sheetId="7" state="visible" r:id="rId7"/>
    <sheet xmlns:r="http://schemas.openxmlformats.org/officeDocument/2006/relationships" name="Yatra Visa Planner" sheetId="8" state="visible" r:id="rId8"/>
    <sheet xmlns:r="http://schemas.openxmlformats.org/officeDocument/2006/relationships" name="Places Visited" sheetId="9" state="visible" r:id="rId9"/>
    <sheet xmlns:r="http://schemas.openxmlformats.org/officeDocument/2006/relationships" name="World Checklist" sheetId="10" state="visible" r:id="rId10"/>
    <sheet xmlns:r="http://schemas.openxmlformats.org/officeDocument/2006/relationships" name="Checklist Summary" sheetId="11" state="visible" r:id="rId11"/>
    <sheet xmlns:r="http://schemas.openxmlformats.org/officeDocument/2006/relationships" name="GPS Countries" sheetId="12" state="visible" r:id="rId12"/>
    <sheet xmlns:r="http://schemas.openxmlformats.org/officeDocument/2006/relationships" name="India States" sheetId="13" state="visible" r:id="rId13"/>
    <sheet xmlns:r="http://schemas.openxmlformats.org/officeDocument/2006/relationships" name="GPS Cities" sheetId="14" state="visible" r:id="rId14"/>
    <sheet xmlns:r="http://schemas.openxmlformats.org/officeDocument/2006/relationships" name="Pilgrimage Status" sheetId="15" state="visible" r:id="rId15"/>
    <sheet xmlns:r="http://schemas.openxmlformats.org/officeDocument/2006/relationships" name="GPS Places (raw)" sheetId="16" state="visible" r:id="rId16"/>
    <sheet xmlns:r="http://schemas.openxmlformats.org/officeDocument/2006/relationships" name="Yatra Wishlist" sheetId="17" state="visible" r:id="rId17"/>
    <sheet xmlns:r="http://schemas.openxmlformats.org/officeDocument/2006/relationships" name="To Confirm" sheetId="18" state="visible" r:id="rId18"/>
    <sheet xmlns:r="http://schemas.openxmlformats.org/officeDocument/2006/relationships" name="Alerts" sheetId="19" state="visible" r:id="rId19"/>
    <sheet xmlns:r="http://schemas.openxmlformats.org/officeDocument/2006/relationships" name="Sources &amp; Method" sheetId="20" state="visible" r:id="rId20"/>
  </sheets>
  <definedNames>
    <definedName name="_xlnm._FilterDatabase" localSheetId="1" hidden="1">'Travel Log'!$A$4:$L$95</definedName>
    <definedName name="_xlnm._FilterDatabase" localSheetId="4" hidden="1">'Access Map'!$A$4:$O$50</definedName>
    <definedName name="_xlnm._FilterDatabase" localSheetId="7" hidden="1">'Yatra Visa Planner'!$A$4:$L$36</definedName>
    <definedName name="_xlnm._FilterDatabase" localSheetId="8" hidden="1">'Places Visited'!$A$4:$H$412</definedName>
    <definedName name="_xlnm._FilterDatabase" localSheetId="9" hidden="1">'World Checklist'!$A$4:$J$1071</definedName>
    <definedName name="_xlnm._FilterDatabase" localSheetId="13" hidden="1">'GPS Cities'!$A$4:$H$378</definedName>
    <definedName name="_xlnm._FilterDatabase" localSheetId="15" hidden="1">'GPS Places (raw)'!$A$4:$M$2407</definedName>
    <definedName name="_xlnm._FilterDatabase" localSheetId="16" hidden="1">'Yatra Wishlist'!$A$4:$N$116</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10">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sz val="14"/>
    </font>
    <font>
      <b val="1"/>
      <color rgb="00E8731A"/>
      <sz val="13"/>
    </font>
  </fonts>
  <fills count="7">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
      <patternFill patternType="solid">
        <fgColor rgb="00D9EAD3"/>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5" fontId="0" fillId="0" borderId="0" applyAlignment="1" pivotButton="0" quotePrefix="0" xfId="0">
      <alignment horizontal="left"/>
    </xf>
    <xf numFmtId="1" fontId="0" fillId="0" borderId="0" applyAlignment="1" pivotButton="0" quotePrefix="0" xfId="0">
      <alignment horizontal="left"/>
    </xf>
    <xf numFmtId="0" fontId="9"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5" fontId="0" fillId="0" borderId="1" applyAlignment="1" pivotButton="0" quotePrefix="0" xfId="0">
      <alignment vertical="top" wrapText="1"/>
    </xf>
    <xf numFmtId="165" fontId="0" fillId="3" borderId="1" applyAlignment="1" pivotButton="0" quotePrefix="0" xfId="0">
      <alignment vertical="top" wrapText="1"/>
    </xf>
    <xf numFmtId="0" fontId="0" fillId="3"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0" fillId="5" borderId="1" applyAlignment="1" pivotButton="0" quotePrefix="0" xfId="0">
      <alignment vertical="top" wrapText="1"/>
    </xf>
    <xf numFmtId="0" fontId="0" fillId="6" borderId="1"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3" fillId="2" borderId="0" pivotButton="0" quotePrefix="0" xfId="0"/>
    <xf numFmtId="0" fontId="0" fillId="4" borderId="1" applyAlignment="1" pivotButton="0" quotePrefix="0" xfId="0">
      <alignment vertical="top" wrapText="1"/>
    </xf>
    <xf numFmtId="0" fontId="8" fillId="4" borderId="1" applyAlignment="1" pivotButton="0" quotePrefix="0" xfId="0">
      <alignment horizontal="center" vertical="top"/>
    </xf>
    <xf numFmtId="9" fontId="0" fillId="0" borderId="1" applyAlignment="1" pivotButton="0" quotePrefix="0" xfId="0">
      <alignment vertical="top" wrapText="1"/>
    </xf>
    <xf numFmtId="9" fontId="0" fillId="0" borderId="0" pivotButton="0" quotePrefix="0" xfId="0"/>
    <xf numFmtId="0" fontId="6" fillId="0" borderId="0" pivotButton="0" quotePrefix="0" xfId="0"/>
    <xf numFmtId="0" fontId="8" fillId="5" borderId="1" applyAlignment="1" pivotButton="0" quotePrefix="0" xfId="0">
      <alignment horizontal="center"/>
    </xf>
    <xf numFmtId="0" fontId="8" fillId="0" borderId="1" applyAlignment="1" pivotButton="0" quotePrefix="0" xfId="0">
      <alignment horizontal="center"/>
    </xf>
  </cellXfs>
  <cellStyles count="1">
    <cellStyle name="Normal" xfId="0" builtinId="0" hidden="0"/>
  </cellStyles>
  <dxfs count="4">
    <dxf>
      <fill>
        <patternFill patternType="solid">
          <fgColor rgb="00F4CCCC"/>
        </patternFill>
      </fill>
    </dxf>
    <dxf>
      <fill>
        <patternFill patternType="solid">
          <fgColor rgb="00FFF2CC"/>
        </patternFill>
      </fill>
    </dxf>
    <dxf>
      <fill>
        <patternFill patternType="solid">
          <fgColor rgb="00D9EAD3"/>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41"/>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Held'!$B$15</f>
        <v/>
      </c>
      <c r="C6" t="inlineStr">
        <is>
          <t>Indian passport</t>
        </is>
      </c>
    </row>
    <row r="7">
      <c r="A7" s="4" t="inlineStr">
        <is>
          <t>Days to passport expiry</t>
        </is>
      </c>
      <c r="B7" s="6">
        <f>'Visas Held'!$B$17</f>
        <v/>
      </c>
      <c r="C7" t="inlineStr"/>
    </row>
    <row r="8">
      <c r="A8" s="4" t="inlineStr">
        <is>
          <t>Last safe travel date (6-month rule)</t>
        </is>
      </c>
      <c r="B8" s="5">
        <f>'Visas Held'!$B$18</f>
        <v/>
      </c>
      <c r="C8" t="inlineStr">
        <is>
          <t>Most countries need 6 months validity</t>
        </is>
      </c>
    </row>
    <row r="9">
      <c r="A9" s="4" t="inlineStr">
        <is>
          <t>Start passport renewal by</t>
        </is>
      </c>
      <c r="B9" s="5">
        <f>'Visas Held'!$B$19</f>
        <v/>
      </c>
      <c r="C9" t="inlineStr"/>
    </row>
    <row r="10">
      <c r="A10" s="4" t="inlineStr">
        <is>
          <t>USA B1/B2 - valid until</t>
        </is>
      </c>
      <c r="B10" s="5">
        <f>'Visas Held'!$F$5</f>
        <v/>
      </c>
      <c r="C10" t="inlineStr">
        <is>
          <t>Used Sep 2025</t>
        </is>
      </c>
    </row>
    <row r="11">
      <c r="A11" s="4" t="inlineStr">
        <is>
          <t>USA B1/B2 - days left</t>
        </is>
      </c>
      <c r="B11" s="6">
        <f>'Visas Held'!$F$5-TODAY()</f>
        <v/>
      </c>
      <c r="C11" t="inlineStr"/>
    </row>
    <row r="12">
      <c r="A12" s="4" t="inlineStr">
        <is>
          <t>Australia visitor - valid until</t>
        </is>
      </c>
      <c r="B12" s="5">
        <f>'Visas Held'!$F$6</f>
        <v/>
      </c>
      <c r="C12" t="inlineStr">
        <is>
          <t>Business Visitor stream - check before pilgrimage use</t>
        </is>
      </c>
    </row>
    <row r="13">
      <c r="A13" s="4" t="inlineStr">
        <is>
          <t>Australia - days left</t>
        </is>
      </c>
      <c r="B13" s="6">
        <f>'Visas Held'!$F$6-TODAY()</f>
        <v/>
      </c>
      <c r="C13" t="inlineStr"/>
    </row>
    <row r="14">
      <c r="A14" s="4" t="inlineStr">
        <is>
          <t>Countries visited (stamp-verified)</t>
        </is>
      </c>
      <c r="B14" s="6">
        <f>COUNTIF('Country Summary'!C5:C20,"&gt;0")</f>
        <v/>
      </c>
      <c r="C14" t="inlineStr">
        <is>
          <t>Includes Schengen countries visited Jul 2024</t>
        </is>
      </c>
    </row>
    <row r="15">
      <c r="A15" s="4" t="inlineStr">
        <is>
          <t>Total international visits logged</t>
        </is>
      </c>
      <c r="B15" s="6">
        <f>'Country Summary'!C22</f>
        <v/>
      </c>
      <c r="C15" t="inlineStr">
        <is>
          <t>Each entry = one visit</t>
        </is>
      </c>
    </row>
    <row r="16">
      <c r="A16" s="4" t="inlineStr">
        <is>
          <t>Visits to most-visited country</t>
        </is>
      </c>
      <c r="B16" s="6">
        <f>MAX('Country Summary'!C5:C20)</f>
        <v/>
      </c>
      <c r="C16" t="inlineStr"/>
    </row>
    <row r="17">
      <c r="A17" s="4" t="inlineStr">
        <is>
          <t>Indian passport alone (Henley Oct 2026)</t>
        </is>
      </c>
      <c r="B17" s="6" t="n">
        <v>55</v>
      </c>
      <c r="C17" t="inlineStr">
        <is>
          <t>84th (Henley Passport Index, 9 Oct 2026) - see Passport Baseline</t>
        </is>
      </c>
    </row>
    <row r="18">
      <c r="A18" s="4" t="inlineStr">
        <is>
          <t>Destinations reachable NOW via visa privileges</t>
        </is>
      </c>
      <c r="B18" s="6">
        <f>COUNTIF('Access Map'!O5:O50,"YES")</f>
        <v/>
      </c>
      <c r="C18" t="inlineStr">
        <is>
          <t>Excludes visa-free countries for Indians; see Access Map</t>
        </is>
      </c>
    </row>
    <row r="19">
      <c r="A19" s="4" t="inlineStr">
        <is>
          <t>Places / sites logged (master list)</t>
        </is>
      </c>
      <c r="B19" s="6">
        <f>'Places Visited'!$B$116</f>
        <v/>
      </c>
      <c r="C19" t="inlineStr">
        <is>
          <t>See Places Visited</t>
        </is>
      </c>
    </row>
    <row r="20">
      <c r="A20" s="4" t="inlineStr">
        <is>
          <t xml:space="preserve">  of which ISKCON / temples</t>
        </is>
      </c>
      <c r="B20" s="6">
        <f>'Places Visited'!$B$117</f>
        <v/>
      </c>
      <c r="C20" t="inlineStr"/>
    </row>
    <row r="21">
      <c r="A21" s="4" t="inlineStr">
        <is>
          <t>Distinct cities logged</t>
        </is>
      </c>
      <c r="B21" s="6">
        <f>'Places Visited'!$B$118</f>
        <v/>
      </c>
      <c r="C21" t="inlineStr"/>
    </row>
    <row r="22">
      <c r="A22" s="4" t="inlineStr">
        <is>
          <t>World Checklist - places listed</t>
        </is>
      </c>
      <c r="B22" s="6">
        <f>'Checklist Summary'!$C$96</f>
        <v/>
      </c>
      <c r="C22" t="inlineStr">
        <is>
          <t>See World Checklist / Checklist Summary</t>
        </is>
      </c>
    </row>
    <row r="23">
      <c r="A23" s="4" t="inlineStr">
        <is>
          <t xml:space="preserve">  ticked as visited ☑</t>
        </is>
      </c>
      <c r="B23" s="6">
        <f>'Checklist Summary'!$D$96</f>
        <v/>
      </c>
      <c r="C23" t="inlineStr"/>
    </row>
    <row r="24">
      <c r="A24" s="4" t="inlineStr">
        <is>
          <t xml:space="preserve">  likely visited (confirm)</t>
        </is>
      </c>
      <c r="B24" s="6">
        <f>'Checklist Summary'!$E$96</f>
        <v/>
      </c>
      <c r="C24" t="inlineStr">
        <is>
          <t>From your yatra dashboards</t>
        </is>
      </c>
    </row>
    <row r="25">
      <c r="A25" s="4" t="inlineStr">
        <is>
          <t>GPS: Indian states/UTs visited (of 36)</t>
        </is>
      </c>
      <c r="B25" s="6">
        <f>'India States'!$D$42</f>
        <v/>
      </c>
      <c r="C25" t="inlineStr">
        <is>
          <t>See India States</t>
        </is>
      </c>
    </row>
    <row r="26">
      <c r="A26" s="4" t="inlineStr">
        <is>
          <t>GPS: cities &amp; towns with a recorded stop</t>
        </is>
      </c>
      <c r="B26" s="6" t="n">
        <v>374</v>
      </c>
      <c r="C26" t="inlineStr">
        <is>
          <t>See GPS Cities</t>
        </is>
      </c>
    </row>
    <row r="27">
      <c r="A27" s="4" t="inlineStr">
        <is>
          <t>GPS: distinct places</t>
        </is>
      </c>
      <c r="B27" s="6" t="n">
        <v>2403</v>
      </c>
      <c r="C27" t="inlineStr">
        <is>
          <t>See GPS Places (raw)</t>
        </is>
      </c>
    </row>
    <row r="28">
      <c r="A28" s="4" t="inlineStr">
        <is>
          <t>GPS: days abroad (2015-2026)</t>
        </is>
      </c>
      <c r="B28" s="6" t="n">
        <v>161</v>
      </c>
      <c r="C28" t="inlineStr">
        <is>
          <t>Google Maps Timeline</t>
        </is>
      </c>
    </row>
    <row r="29">
      <c r="A29" s="4" t="inlineStr">
        <is>
          <t>Jyotirlingas visited (of 12)</t>
        </is>
      </c>
      <c r="B29" s="6">
        <f>'Pilgrimage Status'!$D$21</f>
        <v/>
      </c>
      <c r="C29" t="inlineStr">
        <is>
          <t>See Pilgrimage Status</t>
        </is>
      </c>
    </row>
    <row r="30">
      <c r="A30" s="4" t="inlineStr">
        <is>
          <t>Char Dham visited (of 4)</t>
        </is>
      </c>
      <c r="B30" s="6">
        <f>'Pilgrimage Status'!$D$22</f>
        <v/>
      </c>
      <c r="C30" t="inlineStr"/>
    </row>
    <row r="31">
      <c r="A31" s="4" t="inlineStr">
        <is>
          <t>Wishlist ideas (open)</t>
        </is>
      </c>
      <c r="B31" s="6">
        <f>COUNTIFS('Yatra Wishlist'!K5:K200,"&lt;&gt;Done",'Yatra Wishlist'!K5:K200,"&lt;&gt;Dropped",'Yatra Wishlist'!B5:B200,"&lt;&gt;")</f>
        <v/>
      </c>
      <c r="C31" t="inlineStr">
        <is>
          <t>See Yatra Wishlist</t>
        </is>
      </c>
    </row>
    <row r="32">
      <c r="A32" s="4" t="inlineStr">
        <is>
          <t>Valid visas right now</t>
        </is>
      </c>
      <c r="B32" s="6">
        <f>COUNTIF('Visas Held'!I5:I30,"VALID")</f>
        <v/>
      </c>
      <c r="C32" t="inlineStr"/>
    </row>
    <row r="33">
      <c r="A33" s="4" t="inlineStr">
        <is>
          <t>NEXT VISA TO GET</t>
        </is>
      </c>
      <c r="B33" s="6" t="inlineStr">
        <is>
          <t>Schengen 2-yr/5-yr MEV</t>
        </is>
      </c>
      <c r="C33" t="inlineStr">
        <is>
          <t>#1 - adds ~65 destinations (29 Schengen + 36 unlocks); then UK 5-yr (+Ireland). See Power Visas</t>
        </is>
      </c>
    </row>
    <row r="34">
      <c r="A34" s="4" t="inlineStr">
        <is>
          <t>Expired visas to renew</t>
        </is>
      </c>
      <c r="B34" s="6">
        <f>COUNTIF('Visas Held'!I5:I30,"EXPIRED")</f>
        <v/>
      </c>
      <c r="C34" t="inlineStr">
        <is>
          <t>Schengen, UK (UAE eVisa was single-use)</t>
        </is>
      </c>
    </row>
    <row r="36">
      <c r="A36" s="7" t="inlineStr">
        <is>
          <t>Top actions</t>
        </is>
      </c>
    </row>
    <row r="37" ht="48" customHeight="1">
      <c r="A37" s="8" t="inlineStr">
        <is>
          <t>Passport expires 17 Sep 2028</t>
        </is>
      </c>
      <c r="C37"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38" ht="48" customHeight="1">
      <c r="A38" s="8" t="inlineStr">
        <is>
          <t>Schengen: no valid visa - #1 PRIORITY</t>
        </is>
      </c>
      <c r="C38" s="8"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39" ht="48" customHeight="1">
      <c r="A39" s="8" t="inlineStr">
        <is>
          <t>UK: no valid visa - #2</t>
        </is>
      </c>
      <c r="C39" s="8" t="inlineStr">
        <is>
          <t>UK visa expired 29 Dec 2024. Fees from 8 Apr 2026: GBP 135 (6-mo), 506 (2-yr), 903 (5-yr), 1,128 (10-yr). Long-validity visa recommended; it also covers Ireland (BIVS - enter UK first). Gibraltar via UK visa ended 15 Jul 2026.</t>
        </is>
      </c>
    </row>
    <row r="40" ht="48" customHeight="1">
      <c r="A40" s="8" t="inlineStr">
        <is>
          <t>Australia: confirm stream</t>
        </is>
      </c>
      <c r="C40" s="8" t="inlineStr">
        <is>
          <t>Visa is Business Visitor stream (condition 8115). A pilgrimage yatra with devotees may count as tourism - confirm whether to apply for a Tourist-stream visa.</t>
        </is>
      </c>
    </row>
    <row r="41" ht="48" customHeight="1">
      <c r="A41" s="8" t="inlineStr">
        <is>
          <t>Malaysia visa-free ends 31 Dec 2026</t>
        </is>
      </c>
      <c r="C41"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35"/>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v>43527</v>
      </c>
      <c r="D5" s="10" t="n">
        <v>43531</v>
      </c>
      <c r="E5" s="9">
        <f>IF(AND(ISNUMBER(C5),ISNUMBER(D5)),D5-C5+1,"")</f>
        <v/>
      </c>
      <c r="F5" s="9" t="inlineStr">
        <is>
          <t>Visit</t>
        </is>
      </c>
      <c r="G5" s="9" t="inlineStr">
        <is>
          <t>Sunauli / Bhairahawa land border (GPS: Siddharthanagar 3 Mar)</t>
        </is>
      </c>
      <c r="H5" s="9" t="inlineStr">
        <is>
          <t>Tribhuvan Intl, Kathmandu</t>
        </is>
      </c>
      <c r="I5" s="9" t="inlineStr">
        <is>
          <t>No visa needed (Indian PP)</t>
        </is>
      </c>
      <c r="J5" s="9" t="inlineStr">
        <is>
          <t>GPS timeline 3-6 Mar 2019 + passport p.3: Nepal departed / India arrival New Delhi 07 Mar 2019</t>
        </is>
      </c>
      <c r="K5" s="9" t="inlineStr">
        <is>
          <t>High</t>
        </is>
      </c>
      <c r="L5" s="9" t="inlineStr">
        <is>
          <t>Kathmandu</t>
        </is>
      </c>
    </row>
    <row r="6">
      <c r="A6" s="9" t="n">
        <v>2</v>
      </c>
      <c r="B6" s="9" t="inlineStr">
        <is>
          <t>Nepal</t>
        </is>
      </c>
      <c r="C6" s="10" t="n">
        <v>43600</v>
      </c>
      <c r="D6" s="10" t="n">
        <v>43611</v>
      </c>
      <c r="E6" s="9">
        <f>IF(AND(ISNUMBER(C6),ISNUMBER(D6)),D6-C6+1,"")</f>
        <v/>
      </c>
      <c r="F6" s="9" t="inlineStr">
        <is>
          <t>Visit</t>
        </is>
      </c>
      <c r="G6" s="9" t="inlineStr">
        <is>
          <t>Kathmandu (stamp 15 May)</t>
        </is>
      </c>
      <c r="H6" s="9" t="inlineStr">
        <is>
          <t>Janakpur -&gt; Sitamarhi land border (GPS 26 May)</t>
        </is>
      </c>
      <c r="I6" s="9" t="inlineStr">
        <is>
          <t>No visa needed</t>
        </is>
      </c>
      <c r="J6" s="9" t="inlineStr">
        <is>
          <t>Passport p.3 + GPS timeline 15-26 May 2019: Kathmandu, Pokhara, Baglung (Muktinath road), Hetauda, Bharatpur/Chitwan, Janakpur</t>
        </is>
      </c>
      <c r="K6" s="9" t="inlineStr">
        <is>
          <t>High</t>
        </is>
      </c>
      <c r="L6" s="9" t="inlineStr">
        <is>
          <t>First Muktinath yatra</t>
        </is>
      </c>
    </row>
    <row r="7">
      <c r="A7" s="9" t="n">
        <v>3</v>
      </c>
      <c r="B7" s="9" t="inlineStr">
        <is>
          <t>Sri Lanka</t>
        </is>
      </c>
      <c r="C7" s="10" t="n">
        <v>43736</v>
      </c>
      <c r="D7" s="10"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0" t="n">
        <v>43816</v>
      </c>
      <c r="D8" s="10"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0" t="n">
        <v>44585</v>
      </c>
      <c r="D9" s="10" t="n">
        <v>44592</v>
      </c>
      <c r="E9" s="9">
        <f>IF(AND(ISNUMBER(C9),ISNUMBER(D9)),D9-C9+1,"")</f>
        <v/>
      </c>
      <c r="F9" s="9" t="inlineStr">
        <is>
          <t>Visit</t>
        </is>
      </c>
      <c r="G9" s="9" t="inlineStr">
        <is>
          <t>Colombo (BIA)</t>
        </is>
      </c>
      <c r="H9" s="9" t="inlineStr">
        <is>
          <t>Colombo (BIA) -&gt; Chennai</t>
        </is>
      </c>
      <c r="I9" s="9" t="inlineStr">
        <is>
          <t>ETA 30-day (exp 23/02/2022)</t>
        </is>
      </c>
      <c r="J9" s="9" t="inlineStr">
        <is>
          <t>Passport p.4/p.9: India dep. Chennai 24 Jan 2022; SL embarked 31 Jan 2022; India arrival Chennai 31 Jan 2022</t>
        </is>
      </c>
      <c r="K9" s="9" t="inlineStr">
        <is>
          <t>High</t>
        </is>
      </c>
      <c r="L9" s="9" t="inlineStr">
        <is>
          <t>Ramayana batch 1 of early 2022</t>
        </is>
      </c>
    </row>
    <row r="10">
      <c r="A10" s="9" t="n">
        <v>6</v>
      </c>
      <c r="B10" s="9" t="inlineStr">
        <is>
          <t>Sri Lanka</t>
        </is>
      </c>
      <c r="C10" s="11" t="n">
        <v>44593</v>
      </c>
      <c r="D10" s="11" t="n">
        <v>44616</v>
      </c>
      <c r="E10" s="9">
        <f>IF(AND(ISNUMBER(C10),ISNUMBER(D10)),D10-C10+1,"")</f>
        <v/>
      </c>
      <c r="F10" s="9" t="inlineStr">
        <is>
          <t>Visit</t>
        </is>
      </c>
      <c r="G10" s="9" t="inlineStr">
        <is>
          <t>Colombo (BIA) - re-entries</t>
        </is>
      </c>
      <c r="H10" s="9" t="inlineStr">
        <is>
          <t>Colombo (BIA)</t>
        </is>
      </c>
      <c r="I10" s="9" t="inlineStr">
        <is>
          <t>ETA(s) - stamps not in scan</t>
        </is>
      </c>
      <c r="J10" s="9" t="inlineStr">
        <is>
          <t>GPS timeline: continuous Sri Lanka presence 24 Jan-24 Feb 2022 (Hatton, Nuwara Eliya, Jaffna, Trincomalee, Kandy, Kataragama...) = further Ramayana batches</t>
        </is>
      </c>
      <c r="K10" s="12" t="inlineStr">
        <is>
          <t>Check</t>
        </is>
      </c>
      <c r="L10" s="9" t="inlineStr">
        <is>
          <t>GPS-derived; passport pages for these not scanned</t>
        </is>
      </c>
    </row>
    <row r="11">
      <c r="A11" s="9" t="n">
        <v>7</v>
      </c>
      <c r="B11" s="9" t="inlineStr">
        <is>
          <t>Sri Lanka</t>
        </is>
      </c>
      <c r="C11" s="11" t="n">
        <v>44622</v>
      </c>
      <c r="D11" s="11" t="n">
        <v>44625</v>
      </c>
      <c r="E11" s="9">
        <f>IF(AND(ISNUMBER(C11),ISNUMBER(D11)),D11-C11+1,"")</f>
        <v/>
      </c>
      <c r="F11" s="9" t="inlineStr">
        <is>
          <t>Visit</t>
        </is>
      </c>
      <c r="G11" s="9" t="inlineStr">
        <is>
          <t>Colombo (BIA)</t>
        </is>
      </c>
      <c r="H11" s="9" t="inlineStr">
        <is>
          <t>Colombo (BIA)</t>
        </is>
      </c>
      <c r="I11" s="9" t="inlineStr">
        <is>
          <t>ETA - stamps not in scan</t>
        </is>
      </c>
      <c r="J11" s="9" t="inlineStr">
        <is>
          <t>GPS timeline 2-5 Mar 2022 (Hatton)</t>
        </is>
      </c>
      <c r="K11" s="12" t="inlineStr">
        <is>
          <t>Check</t>
        </is>
      </c>
      <c r="L11" s="9" t="inlineStr">
        <is>
          <t>GPS-derived</t>
        </is>
      </c>
    </row>
    <row r="12">
      <c r="A12" s="9" t="n">
        <v>8</v>
      </c>
      <c r="B12" s="9" t="inlineStr">
        <is>
          <t>Nepal</t>
        </is>
      </c>
      <c r="C12" s="10" t="n">
        <v>44665</v>
      </c>
      <c r="D12" s="10" t="n">
        <v>44672</v>
      </c>
      <c r="E12" s="9">
        <f>IF(AND(ISNUMBER(C12),ISNUMBER(D12)),D12-C12+1,"")</f>
        <v/>
      </c>
      <c r="F12" s="9" t="inlineStr">
        <is>
          <t>Visit</t>
        </is>
      </c>
      <c r="G12" s="9" t="inlineStr">
        <is>
          <t>Nepal (arrived 14 Apr 2022)</t>
        </is>
      </c>
      <c r="H12" s="9" t="inlineStr">
        <is>
          <t>Tribhuvan Intl, Kathmandu -&gt; Bengaluru</t>
        </is>
      </c>
      <c r="I12" s="9" t="inlineStr">
        <is>
          <t>No visa needed</t>
        </is>
      </c>
      <c r="J12" s="9" t="inlineStr">
        <is>
          <t>Passport p.6/p.7/p.9: India dep. New Delhi 14 Apr 2022; Nepal departed 21 Apr 2022; India arrival Bengaluru 21 Apr 2022</t>
        </is>
      </c>
      <c r="K12" s="9" t="inlineStr">
        <is>
          <t>High</t>
        </is>
      </c>
      <c r="L12" s="9" t="inlineStr"/>
    </row>
    <row r="13">
      <c r="A13" s="9" t="n">
        <v>9</v>
      </c>
      <c r="B13" s="9" t="inlineStr">
        <is>
          <t>Thailand</t>
        </is>
      </c>
      <c r="C13" s="10" t="n">
        <v>44964</v>
      </c>
      <c r="D13" s="10" t="n">
        <v>44965</v>
      </c>
      <c r="E13" s="9">
        <f>IF(AND(ISNUMBER(C13),ISNUMBER(D13)),D13-C13+1,"")</f>
        <v/>
      </c>
      <c r="F13" s="9" t="inlineStr">
        <is>
          <t>Visit</t>
        </is>
      </c>
      <c r="G13" s="9" t="inlineStr">
        <is>
          <t>Suvarnabhumi (BKK)</t>
        </is>
      </c>
      <c r="H13" s="9" t="inlineStr">
        <is>
          <t>Suvarnabhumi (BKK)</t>
        </is>
      </c>
      <c r="I13" s="9" t="inlineStr">
        <is>
          <t>Visa on Arrival (30 days)</t>
        </is>
      </c>
      <c r="J13" s="9" t="inlineStr">
        <is>
          <t>Passport p.7-8: Thai admitted 7 Feb 2023, departed 8 Feb 2023; India dep. Bengaluru 07 Feb 2023</t>
        </is>
      </c>
      <c r="K13" s="9" t="inlineStr">
        <is>
          <t>High</t>
        </is>
      </c>
      <c r="L13" s="9" t="inlineStr">
        <is>
          <t>Connection/transit stop en route to Cambodia</t>
        </is>
      </c>
    </row>
    <row r="14">
      <c r="A14" s="9" t="n">
        <v>10</v>
      </c>
      <c r="B14" s="9" t="inlineStr">
        <is>
          <t>Cambodia</t>
        </is>
      </c>
      <c r="C14" s="10" t="n">
        <v>44965</v>
      </c>
      <c r="D14" s="10" t="n">
        <v>44967</v>
      </c>
      <c r="E14" s="9">
        <f>IF(AND(ISNUMBER(C14),ISNUMBER(D14)),D14-C14+1,"")</f>
        <v/>
      </c>
      <c r="F14" s="9" t="inlineStr">
        <is>
          <t>Visit</t>
        </is>
      </c>
      <c r="G14" s="9" t="inlineStr">
        <is>
          <t>Siem Reap (REP)</t>
        </is>
      </c>
      <c r="H14" s="9" t="inlineStr">
        <is>
          <t>Siem Reap (REP)</t>
        </is>
      </c>
      <c r="I14" s="9" t="inlineStr">
        <is>
          <t>e-Visa (valid to 07 Mar 2023)</t>
        </is>
      </c>
      <c r="J14" s="9" t="inlineStr">
        <is>
          <t>Passport p.10: Cambodia entry 08 Feb 2023, exit 10 Feb 2023</t>
        </is>
      </c>
      <c r="K14" s="9" t="inlineStr">
        <is>
          <t>High</t>
        </is>
      </c>
      <c r="L14" s="9" t="inlineStr"/>
    </row>
    <row r="15">
      <c r="A15" s="9" t="n">
        <v>11</v>
      </c>
      <c r="B15" s="9" t="inlineStr">
        <is>
          <t>Thailand</t>
        </is>
      </c>
      <c r="C15" s="10" t="n">
        <v>44967</v>
      </c>
      <c r="D15" s="10" t="n">
        <v>44969</v>
      </c>
      <c r="E15" s="9">
        <f>IF(AND(ISNUMBER(C15),ISNUMBER(D15)),D15-C15+1,"")</f>
        <v/>
      </c>
      <c r="F15" s="9" t="inlineStr">
        <is>
          <t>Visit</t>
        </is>
      </c>
      <c r="G15" s="9" t="inlineStr">
        <is>
          <t>Suvarnabhumi (BKK)</t>
        </is>
      </c>
      <c r="H15" s="9" t="inlineStr">
        <is>
          <t>Suvarnabhumi (BKK) -&gt; Bengaluru</t>
        </is>
      </c>
      <c r="I15" s="9" t="inlineStr">
        <is>
          <t>Visa on Arrival (30 days)</t>
        </is>
      </c>
      <c r="J15" s="9" t="inlineStr">
        <is>
          <t>Passport p.8: Thai admitted 10 Feb 2023 (until 11 Mar), departed 12 Feb 2023; India arrival Bengaluru 12 Feb 2023</t>
        </is>
      </c>
      <c r="K15" s="9" t="inlineStr">
        <is>
          <t>High</t>
        </is>
      </c>
      <c r="L15" s="9" t="inlineStr"/>
    </row>
    <row r="16">
      <c r="A16" s="9" t="n">
        <v>12</v>
      </c>
      <c r="B16" s="9" t="inlineStr">
        <is>
          <t>Thailand</t>
        </is>
      </c>
      <c r="C16" s="11" t="n">
        <v>45101</v>
      </c>
      <c r="D16" s="11" t="n">
        <v>45104</v>
      </c>
      <c r="E16" s="9">
        <f>IF(AND(ISNUMBER(C16),ISNUMBER(D16)),D16-C16+1,"")</f>
        <v/>
      </c>
      <c r="F16" s="9" t="inlineStr">
        <is>
          <t>Visit</t>
        </is>
      </c>
      <c r="G16" s="9" t="inlineStr">
        <is>
          <t>Thailand (BKK)</t>
        </is>
      </c>
      <c r="H16" s="9" t="inlineStr">
        <is>
          <t>Thailand (BKK)</t>
        </is>
      </c>
      <c r="I16" s="9" t="inlineStr">
        <is>
          <t>Visa on Arrival</t>
        </is>
      </c>
      <c r="J16" s="9" t="inlineStr">
        <is>
          <t>Passport p.20-21: Thai VOA stamp admitted 2? Jun 2023 until 9 Jul 2023 (class TR-15 = 15 days -&gt; 24 Jun); Thai departed 27 Jun 2023; India dep. RGI Hyderabad 24 Jun 2023</t>
        </is>
      </c>
      <c r="K16" s="12" t="inlineStr">
        <is>
          <t>Check</t>
        </is>
      </c>
      <c r="L16" s="9" t="inlineStr">
        <is>
          <t>Day digit smudged; 24 Jun inferred from 15-day limit (9 Jul) + India departure 24 Jun</t>
        </is>
      </c>
    </row>
    <row r="17">
      <c r="A17" s="9" t="n">
        <v>13</v>
      </c>
      <c r="B17" s="9" t="inlineStr">
        <is>
          <t>Cambodia</t>
        </is>
      </c>
      <c r="C17" s="10" t="n">
        <v>45104</v>
      </c>
      <c r="D17" s="10" t="n">
        <v>45107</v>
      </c>
      <c r="E17" s="9">
        <f>IF(AND(ISNUMBER(C17),ISNUMBER(D17)),D17-C17+1,"")</f>
        <v/>
      </c>
      <c r="F17" s="9" t="inlineStr">
        <is>
          <t>Visit</t>
        </is>
      </c>
      <c r="G17" s="9" t="inlineStr">
        <is>
          <t>Siem Reap (REP)</t>
        </is>
      </c>
      <c r="H17" s="9" t="inlineStr">
        <is>
          <t>Siem Reap (REP)</t>
        </is>
      </c>
      <c r="I17" s="9" t="inlineStr">
        <is>
          <t>e-Visa (valid 27 Jun-26 Jul 2023)</t>
        </is>
      </c>
      <c r="J17" s="9" t="inlineStr">
        <is>
          <t>Passport p.20: Cambodia entry 27 Jun 2023, exit 30 Jun 2023</t>
        </is>
      </c>
      <c r="K17" s="9" t="inlineStr">
        <is>
          <t>High</t>
        </is>
      </c>
      <c r="L17" s="9" t="inlineStr">
        <is>
          <t>India arrival RGI Hyderabad 01 Jul 2023 (return probably via Thailand)</t>
        </is>
      </c>
    </row>
    <row r="18">
      <c r="A18" s="9" t="n">
        <v>14</v>
      </c>
      <c r="B18" s="9" t="inlineStr">
        <is>
          <t>UAE</t>
        </is>
      </c>
      <c r="C18" s="10" t="n">
        <v>45488</v>
      </c>
      <c r="D18" s="10" t="n">
        <v>45488</v>
      </c>
      <c r="E18" s="9">
        <f>IF(AND(ISNUMBER(C18),ISNUMBER(D18)),D18-C18+1,"")</f>
        <v/>
      </c>
      <c r="F18" s="9" t="inlineStr">
        <is>
          <t>Visit</t>
        </is>
      </c>
      <c r="G18" s="9" t="inlineStr">
        <is>
          <t>Sharjah (SHJ) - transit</t>
        </is>
      </c>
      <c r="H18" s="9" t="inlineStr">
        <is>
          <t>Sharjah (SHJ) -&gt; Paris</t>
        </is>
      </c>
      <c r="I18" s="9" t="inlineStr">
        <is>
          <t>Airside transit</t>
        </is>
      </c>
      <c r="J18" s="9" t="inlineStr">
        <is>
          <t>GPS timeline: Sharjah 15 Jul 2024 (outbound Hyderabad-Sharjah-Paris)</t>
        </is>
      </c>
      <c r="K18" s="9" t="inlineStr">
        <is>
          <t>High</t>
        </is>
      </c>
      <c r="L18" s="9" t="inlineStr">
        <is>
          <t>Transit only</t>
        </is>
      </c>
    </row>
    <row r="19">
      <c r="A19" s="9" t="n">
        <v>15</v>
      </c>
      <c r="B19" s="9" t="inlineStr">
        <is>
          <t>France</t>
        </is>
      </c>
      <c r="C19" s="10" t="n">
        <v>45488</v>
      </c>
      <c r="D19" s="10" t="n">
        <v>45491</v>
      </c>
      <c r="E19" s="9">
        <f>IF(AND(ISNUMBER(C19),ISNUMBER(D19)),D19-C19+1,"")</f>
        <v/>
      </c>
      <c r="F19" s="9" t="inlineStr">
        <is>
          <t>Visit</t>
        </is>
      </c>
      <c r="G19" s="9" t="inlineStr">
        <is>
          <t>Paris CDG</t>
        </is>
      </c>
      <c r="H19" s="9" t="inlineStr">
        <is>
          <t>By road to Brussels</t>
        </is>
      </c>
      <c r="I19" s="9" t="inlineStr">
        <is>
          <t>Schengen C visa #1 (France-issued, Pondicherry)</t>
        </is>
      </c>
      <c r="J19" s="9" t="inlineStr">
        <is>
          <t>Passport p.9/p.17: CDG stamp 15 Jul 2024; Malpensa stamp 27 Jul 2024; India dep. Mumbai 14 Jul 2024</t>
        </is>
      </c>
      <c r="K19" s="9" t="inlineStr">
        <is>
          <t>High</t>
        </is>
      </c>
      <c r="L19" s="9" t="inlineStr">
        <is>
          <t>GPS-confirmed 15-18 Jul: Paris, Lagny-sur-Marne (next to Disneyland Paris) 16 Jul, Cambrai 18 Jul en route to Brussels</t>
        </is>
      </c>
    </row>
    <row r="20">
      <c r="A20" s="9" t="n">
        <v>16</v>
      </c>
      <c r="B20" s="9" t="inlineStr">
        <is>
          <t>Belgium</t>
        </is>
      </c>
      <c r="C20" s="10" t="n">
        <v>45491</v>
      </c>
      <c r="D20" s="10" t="n">
        <v>45492</v>
      </c>
      <c r="E20" s="9">
        <f>IF(AND(ISNUMBER(C20),ISNUMBER(D20)),D20-C20+1,"")</f>
        <v/>
      </c>
      <c r="F20" s="9" t="inlineStr">
        <is>
          <t>Visit</t>
        </is>
      </c>
      <c r="G20" s="9" t="inlineStr">
        <is>
          <t>By road from Paris</t>
        </is>
      </c>
      <c r="H20" s="9" t="inlineStr">
        <is>
          <t>By road to Amsterdam</t>
        </is>
      </c>
      <c r="I20" s="9" t="inlineStr">
        <is>
          <t>Schengen C visa #1</t>
        </is>
      </c>
      <c r="J20" s="9" t="inlineStr">
        <is>
          <t>GPS-confirmed 18-19 Jul 2024: Brussels, Jette, Leuven, Hoogstraten</t>
        </is>
      </c>
      <c r="K20" s="9" t="inlineStr">
        <is>
          <t>High</t>
        </is>
      </c>
      <c r="L20" s="9" t="inlineStr">
        <is>
          <t>Brussels Grand Place, Manneken Pis, Radhadesh (Durbuy)</t>
        </is>
      </c>
    </row>
    <row r="21">
      <c r="A21" s="9" t="n">
        <v>17</v>
      </c>
      <c r="B21" s="9" t="inlineStr">
        <is>
          <t>Netherlands</t>
        </is>
      </c>
      <c r="C21" s="10" t="n">
        <v>45492</v>
      </c>
      <c r="D21" s="10" t="n">
        <v>45493</v>
      </c>
      <c r="E21" s="9">
        <f>IF(AND(ISNUMBER(C21),ISNUMBER(D21)),D21-C21+1,"")</f>
        <v/>
      </c>
      <c r="F21" s="9" t="inlineStr">
        <is>
          <t>Visit</t>
        </is>
      </c>
      <c r="G21" s="9" t="inlineStr">
        <is>
          <t>By road from Brussels</t>
        </is>
      </c>
      <c r="H21" s="9" t="inlineStr">
        <is>
          <t>By road to Cologne</t>
        </is>
      </c>
      <c r="I21" s="9" t="inlineStr">
        <is>
          <t>Schengen C visa #1</t>
        </is>
      </c>
      <c r="J21" s="9" t="inlineStr">
        <is>
          <t>GPS-confirmed 19-20 Jul 2024: Breda, Oosterhout, Amsterdam</t>
        </is>
      </c>
      <c r="K21" s="9" t="inlineStr">
        <is>
          <t>High</t>
        </is>
      </c>
      <c r="L21" s="9" t="inlineStr">
        <is>
          <t>Amsterdam; 'Hare Krishna Valley' temple on Day 9 (confirm which)</t>
        </is>
      </c>
    </row>
    <row r="22">
      <c r="A22" s="9" t="n">
        <v>18</v>
      </c>
      <c r="B22" s="9" t="inlineStr">
        <is>
          <t>Germany</t>
        </is>
      </c>
      <c r="C22" s="10" t="n">
        <v>45493</v>
      </c>
      <c r="D22" s="10" t="n">
        <v>45494</v>
      </c>
      <c r="E22" s="9">
        <f>IF(AND(ISNUMBER(C22),ISNUMBER(D22)),D22-C22+1,"")</f>
        <v/>
      </c>
      <c r="F22" s="9" t="inlineStr">
        <is>
          <t>Visit</t>
        </is>
      </c>
      <c r="G22" s="9" t="inlineStr">
        <is>
          <t>By road from Amsterdam</t>
        </is>
      </c>
      <c r="H22" s="9" t="inlineStr">
        <is>
          <t>By road via Rhine Falls to Zurich</t>
        </is>
      </c>
      <c r="I22" s="9" t="inlineStr">
        <is>
          <t>Schengen C visa #1</t>
        </is>
      </c>
      <c r="J22" s="9" t="inlineStr">
        <is>
          <t>GPS-confirmed 20-21 Jul 2024: Dusseldorf, Cologne, Frankfurt, Sankt Wendel (Saarland), Offenburg, Waldkirch (Black Forest)</t>
        </is>
      </c>
      <c r="K22" s="9" t="inlineStr">
        <is>
          <t>High</t>
        </is>
      </c>
      <c r="L22" s="9" t="inlineStr"/>
    </row>
    <row r="23">
      <c r="A23" s="9" t="n">
        <v>19</v>
      </c>
      <c r="B23" s="9" t="inlineStr">
        <is>
          <t>Switzerland</t>
        </is>
      </c>
      <c r="C23" s="10" t="n">
        <v>45494</v>
      </c>
      <c r="D23" s="10" t="n">
        <v>45496</v>
      </c>
      <c r="E23" s="9">
        <f>IF(AND(ISNUMBER(C23),ISNUMBER(D23)),D23-C23+1,"")</f>
        <v/>
      </c>
      <c r="F23" s="9" t="inlineStr">
        <is>
          <t>Visit</t>
        </is>
      </c>
      <c r="G23" s="9" t="inlineStr">
        <is>
          <t>Rhine Falls (by road)</t>
        </is>
      </c>
      <c r="H23" s="9" t="inlineStr">
        <is>
          <t>By road to Milan</t>
        </is>
      </c>
      <c r="I23" s="9" t="inlineStr">
        <is>
          <t>Schengen C visa #1</t>
        </is>
      </c>
      <c r="J23" s="9" t="inlineStr">
        <is>
          <t>GPS-confirmed 21-23 Jul 2024: Schaffhausen (Rhine Falls), Zurich, Lucerne/Kriens, Bellinzona (Ticino)</t>
        </is>
      </c>
      <c r="K23" s="9" t="inlineStr">
        <is>
          <t>High</t>
        </is>
      </c>
      <c r="L23" s="9" t="inlineStr"/>
    </row>
    <row r="24">
      <c r="A24" s="9" t="n">
        <v>20</v>
      </c>
      <c r="B24" s="9" t="inlineStr">
        <is>
          <t>Vatican City</t>
        </is>
      </c>
      <c r="C24" s="11" t="n">
        <v>45498</v>
      </c>
      <c r="D24" s="11" t="n">
        <v>45498</v>
      </c>
      <c r="E24" s="9">
        <f>IF(AND(ISNUMBER(C24),ISNUMBER(D24)),D24-C24+1,"")</f>
        <v/>
      </c>
      <c r="F24" s="9" t="inlineStr">
        <is>
          <t>Visit</t>
        </is>
      </c>
      <c r="G24" s="9" t="inlineStr">
        <is>
          <t>On foot from Rome (no border control)</t>
        </is>
      </c>
      <c r="H24" s="9" t="inlineStr">
        <is>
          <t>On foot from Rome</t>
        </is>
      </c>
      <c r="I24" s="9" t="inlineStr">
        <is>
          <t>Schengen C visa #1 (open border with Italy)</t>
        </is>
      </c>
      <c r="J24" s="9" t="inlineStr">
        <is>
          <t>GPS: Rome 25 Jul 2024; St Peter's per itinerary</t>
        </is>
      </c>
      <c r="K24" s="12" t="inlineStr">
        <is>
          <t>Check</t>
        </is>
      </c>
      <c r="L24" s="9" t="inlineStr">
        <is>
          <t>Same day as Rome</t>
        </is>
      </c>
    </row>
    <row r="25">
      <c r="A25" s="9" t="n">
        <v>21</v>
      </c>
      <c r="B25" s="9" t="inlineStr">
        <is>
          <t>Italy</t>
        </is>
      </c>
      <c r="C25" s="10" t="n">
        <v>45496</v>
      </c>
      <c r="D25" s="10" t="n">
        <v>45500</v>
      </c>
      <c r="E25" s="9">
        <f>IF(AND(ISNUMBER(C25),ISNUMBER(D25)),D25-C25+1,"")</f>
        <v/>
      </c>
      <c r="F25" s="9" t="inlineStr">
        <is>
          <t>Visit</t>
        </is>
      </c>
      <c r="G25" s="9" t="inlineStr">
        <is>
          <t>By road from Lucerne</t>
        </is>
      </c>
      <c r="H25" s="9" t="inlineStr">
        <is>
          <t>Milan Malpensa (MXP) -&gt; London Gatwick</t>
        </is>
      </c>
      <c r="I25" s="9" t="inlineStr">
        <is>
          <t>Schengen C visa #1</t>
        </is>
      </c>
      <c r="J25" s="9" t="inlineStr">
        <is>
          <t>GPS-confirmed 23-28 Jul 2024: Milan &amp; Venice 23, Vicenza/Este/Florence/Pisa 24, Rome 25, Perugia 25-26, Modena/Prato/Scandicci 26, Gallarate (Malpensa) 26-28; Malpensa exit stamp 27 Jul</t>
        </is>
      </c>
      <c r="K25" s="9" t="inlineStr">
        <is>
          <t>High</t>
        </is>
      </c>
      <c r="L25" s="9" t="inlineStr">
        <is>
          <t>GPS runs to 28 Jul (late-night flight)</t>
        </is>
      </c>
    </row>
    <row r="26">
      <c r="A26" s="9" t="n">
        <v>22</v>
      </c>
      <c r="B26" s="9" t="inlineStr">
        <is>
          <t>United Kingdom</t>
        </is>
      </c>
      <c r="C26" s="10" t="n">
        <v>45500</v>
      </c>
      <c r="D26" s="10" t="n">
        <v>45504</v>
      </c>
      <c r="E26" s="9">
        <f>IF(AND(ISNUMBER(C26),ISNUMBER(D26)),D26-C26+1,"")</f>
        <v/>
      </c>
      <c r="F26" s="9" t="inlineStr">
        <is>
          <t>Visit</t>
        </is>
      </c>
      <c r="G26" s="9" t="inlineStr">
        <is>
          <t>London Gatwick</t>
        </is>
      </c>
      <c r="H26" s="9" t="inlineStr">
        <is>
          <t>London -&gt; Dubai (UK does not stamp exit)</t>
        </is>
      </c>
      <c r="I26" s="9" t="inlineStr">
        <is>
          <t>UK Standard Visitor C-visit, multiple, 29 Jun-29 Dec 2024</t>
        </is>
      </c>
      <c r="J26" s="9" t="inlineStr">
        <is>
          <t>Passport p.23: Gatwick stamp 27 Jul 2024; GPS London/Horley 28-31 Jul, Bishops Stortford (Stansted) 31 Jul</t>
        </is>
      </c>
      <c r="K26" s="9" t="inlineStr">
        <is>
          <t>High</t>
        </is>
      </c>
      <c r="L26" s="9" t="inlineStr">
        <is>
          <t>London (itinerary Days 1-3 done AFTER the continent): Bhaktivedanta Manor, city tour, London Eye, Thames cruise, Madame Tussauds. Departed Stansted 31 Jul -&gt; Istanbul</t>
        </is>
      </c>
    </row>
    <row r="27">
      <c r="A27" s="9" t="n">
        <v>23</v>
      </c>
      <c r="B27" s="9" t="inlineStr">
        <is>
          <t>Turkey</t>
        </is>
      </c>
      <c r="C27" s="11" t="n">
        <v>45504</v>
      </c>
      <c r="D27" s="11" t="n">
        <v>45505</v>
      </c>
      <c r="E27" s="9">
        <f>IF(AND(ISNUMBER(C27),ISNUMBER(D27)),D27-C27+1,"")</f>
        <v/>
      </c>
      <c r="F27" s="9" t="inlineStr">
        <is>
          <t>Visit</t>
        </is>
      </c>
      <c r="G27" s="9" t="inlineStr">
        <is>
          <t>Istanbul (from Stansted)</t>
        </is>
      </c>
      <c r="H27" s="9" t="inlineStr">
        <is>
          <t>Istanbul -&gt; Dubai</t>
        </is>
      </c>
      <c r="I27" s="9" t="inlineStr">
        <is>
          <t>Turkish eVisa (conditional, via UK/Schengen visa)</t>
        </is>
      </c>
      <c r="J27" s="9" t="inlineStr">
        <is>
          <t>GPS timeline: Umraniye, Istanbul (Asian side) 31 Jul-1 Aug 2024 - left the airport</t>
        </is>
      </c>
      <c r="K27" s="12" t="inlineStr">
        <is>
          <t>Check</t>
        </is>
      </c>
      <c r="L27" s="9" t="inlineStr">
        <is>
          <t>Overnight in Istanbul = Turkey entered. Confirm eVisa used</t>
        </is>
      </c>
    </row>
    <row r="28">
      <c r="A28" s="9" t="n">
        <v>24</v>
      </c>
      <c r="B28" s="9" t="inlineStr">
        <is>
          <t>UAE</t>
        </is>
      </c>
      <c r="C28" s="10" t="n">
        <v>45505</v>
      </c>
      <c r="D28" s="10" t="n">
        <v>45509</v>
      </c>
      <c r="E28" s="9">
        <f>IF(AND(ISNUMBER(C28),ISNUMBER(D28)),D28-C28+1,"")</f>
        <v/>
      </c>
      <c r="F28" s="9" t="inlineStr">
        <is>
          <t>Visit</t>
        </is>
      </c>
      <c r="G28" s="9" t="inlineStr">
        <is>
          <t>Dubai Intl (DXB)</t>
        </is>
      </c>
      <c r="H28" s="9" t="inlineStr">
        <is>
          <t>Sharjah (SHJ) -&gt; Hyderabad</t>
        </is>
      </c>
      <c r="I28" s="9" t="inlineStr">
        <is>
          <t>UAE Tourist eVisa, single entry, 30 days (issued Dubai 18 Jul 2024)</t>
        </is>
      </c>
      <c r="J28" s="9" t="inlineStr">
        <is>
          <t>Passport p.10: UAE entry stamp 01 Aug 2024 + eVisa PDF; GPS: Dubai 1-4 Aug, Abu Dhabi + Masdar City 3 Aug, Sharjah 5 Aug; India arrival RGI 05 Aug 2024</t>
        </is>
      </c>
      <c r="K28" s="9" t="inlineStr">
        <is>
          <t>High</t>
        </is>
      </c>
      <c r="L28" s="9" t="inlineStr">
        <is>
          <t>Dubai + Abu Dhabi day trip</t>
        </is>
      </c>
    </row>
    <row r="29">
      <c r="A29" s="9" t="n">
        <v>25</v>
      </c>
      <c r="B29" s="9" t="inlineStr">
        <is>
          <t>USA</t>
        </is>
      </c>
      <c r="C29" s="10" t="n">
        <v>45904</v>
      </c>
      <c r="D29" s="10" t="n">
        <v>45929</v>
      </c>
      <c r="E29" s="9">
        <f>IF(AND(ISNUMBER(C29),ISNUMBER(D29)),D29-C29+1,"")</f>
        <v/>
      </c>
      <c r="F29" s="9" t="inlineStr">
        <is>
          <t>Visit</t>
        </is>
      </c>
      <c r="G29" s="9" t="inlineStr">
        <is>
          <t>New York JFK (CBP 04 Sep 2025)</t>
        </is>
      </c>
      <c r="H29" s="9" t="inlineStr">
        <is>
          <t>New York -&gt; Istanbul -&gt; Mumbai</t>
        </is>
      </c>
      <c r="I29" s="9" t="inlineStr">
        <is>
          <t>B1/B2 10-yr visa (admitted until 03 Mar 2026)</t>
        </is>
      </c>
      <c r="J29" s="9" t="inlineStr">
        <is>
          <t>Passport p.26 + GPS: NY 4-5, Niagara 5-6, Pittsburgh 6-7, New Vrindaban (Wheeling WV) 7, DC/Baltimore/Fairfax 8-9, NJ/NYC/Philadelphia 10-12, Orlando 12-15, Gainesville (ISKCON Alachua)/Jacksonville 16, Miami 17, Los Angeles 17-20, Fairfax/DC 20-22, Boston/Shrewsbury 23-25, NJ 26-27, Philadelphia/DC/NYC 29; India arrival Mumbai 30 Sep</t>
        </is>
      </c>
      <c r="K29" s="9" t="inlineStr">
        <is>
          <t>High</t>
        </is>
      </c>
      <c r="L29" s="9" t="inlineStr">
        <is>
          <t>First use of US visa. NO San Francisco on this trip (GPS)</t>
        </is>
      </c>
    </row>
    <row r="30">
      <c r="A30" s="9" t="n">
        <v>26</v>
      </c>
      <c r="B30" s="9" t="inlineStr">
        <is>
          <t>Turkey</t>
        </is>
      </c>
      <c r="C30" s="10" t="n">
        <v>45929</v>
      </c>
      <c r="D30" s="10" t="n">
        <v>45929</v>
      </c>
      <c r="E30" s="9">
        <f>IF(AND(ISNUMBER(C30),ISNUMBER(D30)),D30-C30+1,"")</f>
        <v/>
      </c>
      <c r="F30" s="9" t="inlineStr">
        <is>
          <t>Visit</t>
        </is>
      </c>
      <c r="G30" s="9" t="inlineStr">
        <is>
          <t>Istanbul (IST) - transit</t>
        </is>
      </c>
      <c r="H30" s="9" t="inlineStr">
        <is>
          <t>Istanbul -&gt; Mumbai</t>
        </is>
      </c>
      <c r="I30" s="9" t="inlineStr">
        <is>
          <t>Airside transit</t>
        </is>
      </c>
      <c r="J30" s="9" t="inlineStr">
        <is>
          <t>GPS timeline: Bagcilar, Istanbul 29 Sep 2025</t>
        </is>
      </c>
      <c r="K30" s="9" t="inlineStr">
        <is>
          <t>High</t>
        </is>
      </c>
      <c r="L30" s="9" t="inlineStr">
        <is>
          <t>Transit only</t>
        </is>
      </c>
    </row>
    <row r="31">
      <c r="A31" s="9" t="n">
        <v>27</v>
      </c>
      <c r="B31" s="9" t="inlineStr">
        <is>
          <t>Sri Lanka</t>
        </is>
      </c>
      <c r="C31" s="10" t="n">
        <v>46039</v>
      </c>
      <c r="D31" s="10" t="n">
        <v>46047</v>
      </c>
      <c r="E31" s="9">
        <f>IF(AND(ISNUMBER(C31),ISNUMBER(D31)),D31-C31+1,"")</f>
        <v/>
      </c>
      <c r="F31" s="9" t="inlineStr">
        <is>
          <t>Visit</t>
        </is>
      </c>
      <c r="G31" s="9" t="inlineStr">
        <is>
          <t>Jaffna (from Trichy)</t>
        </is>
      </c>
      <c r="H31" s="9" t="inlineStr">
        <is>
          <t>Colombo (BIA)</t>
        </is>
      </c>
      <c r="I31" s="9" t="inlineStr">
        <is>
          <t>Sri Lanka ETA</t>
        </is>
      </c>
      <c r="J31" s="9" t="inlineStr">
        <is>
          <t>Your Ramayan Yatra itinerary 16-25 Jan 2026; confirmed by you 22 Oct 2026 (phone Timeline was off)</t>
        </is>
      </c>
      <c r="K31" s="9" t="inlineStr">
        <is>
          <t>High</t>
        </is>
      </c>
      <c r="L31" s="9" t="inlineStr">
        <is>
          <t>4th+ Sri Lanka visit; all 5 Pancha Ishwaram covered</t>
        </is>
      </c>
    </row>
    <row r="32">
      <c r="A32" s="9" t="n">
        <v>28</v>
      </c>
      <c r="B32" s="9" t="inlineStr">
        <is>
          <t>Nepal</t>
        </is>
      </c>
      <c r="C32" s="10" t="n">
        <v>46166</v>
      </c>
      <c r="D32" s="10" t="n">
        <v>46171</v>
      </c>
      <c r="E32" s="9">
        <f>IF(AND(ISNUMBER(C32),ISNUMBER(D32)),D32-C32+1,"")</f>
        <v/>
      </c>
      <c r="F32" s="9" t="inlineStr">
        <is>
          <t>Visit</t>
        </is>
      </c>
      <c r="G32" s="9" t="inlineStr">
        <is>
          <t>Kathmandu (TIA)</t>
        </is>
      </c>
      <c r="H32" s="9" t="inlineStr">
        <is>
          <t>Kathmandu (TIA)</t>
        </is>
      </c>
      <c r="I32" s="9" t="inlineStr">
        <is>
          <t>No visa needed</t>
        </is>
      </c>
      <c r="J32" s="9" t="inlineStr">
        <is>
          <t>Your Muktinath Yatra itinerary 24-29 May 2026; confirmed by you 22 Oct 2026 (phone Timeline was off)</t>
        </is>
      </c>
      <c r="K32" s="9" t="inlineStr">
        <is>
          <t>High</t>
        </is>
      </c>
      <c r="L32" s="9" t="inlineStr">
        <is>
          <t>Kathmandu, Pokhara, Jomsom, Muktinath</t>
        </is>
      </c>
    </row>
    <row r="33">
      <c r="A33" s="9" t="n">
        <v>29</v>
      </c>
      <c r="B33" s="9" t="inlineStr">
        <is>
          <t>Nepal</t>
        </is>
      </c>
      <c r="C33" s="10" t="n">
        <v>46172</v>
      </c>
      <c r="D33" s="10" t="n">
        <v>46178</v>
      </c>
      <c r="E33" s="9">
        <f>IF(AND(ISNUMBER(C33),ISNUMBER(D33)),D33-C33+1,"")</f>
        <v/>
      </c>
      <c r="F33" s="9" t="inlineStr">
        <is>
          <t>Visit</t>
        </is>
      </c>
      <c r="G33" s="9" t="inlineStr">
        <is>
          <t>Kathmandu (TIA)</t>
        </is>
      </c>
      <c r="H33" s="9" t="inlineStr">
        <is>
          <t>Rasuwagadhi -&gt; Kyirong (China)</t>
        </is>
      </c>
      <c r="I33" s="9" t="inlineStr">
        <is>
          <t>No visa needed</t>
        </is>
      </c>
      <c r="J33" s="9" t="inlineStr">
        <is>
          <t>GPS timeline: Nepal 30 May-5 Jun 2026 (Kathmandu); Kailash itinerary Days 1-3</t>
        </is>
      </c>
      <c r="K33" s="9" t="inlineStr">
        <is>
          <t>High</t>
        </is>
      </c>
      <c r="L33" s="9" t="inlineStr">
        <is>
          <t>Pre-Kailash Kathmandu</t>
        </is>
      </c>
    </row>
    <row r="34">
      <c r="A34" s="9" t="n">
        <v>30</v>
      </c>
      <c r="B34" s="9" t="inlineStr">
        <is>
          <t>China (Tibet)</t>
        </is>
      </c>
      <c r="C34" s="11" t="n">
        <v>46178</v>
      </c>
      <c r="D34" s="11" t="n">
        <v>46183</v>
      </c>
      <c r="E34" s="9">
        <f>IF(AND(ISNUMBER(C34),ISNUMBER(D34)),D34-C34+1,"")</f>
        <v/>
      </c>
      <c r="F34" s="9" t="inlineStr">
        <is>
          <t>Visit</t>
        </is>
      </c>
      <c r="G34" s="9" t="inlineStr">
        <is>
          <t>Kyirong border</t>
        </is>
      </c>
      <c r="H34" s="9" t="inlineStr">
        <is>
          <t>Kyirong border</t>
        </is>
      </c>
      <c r="I34" s="9" t="inlineStr">
        <is>
          <t>Chinese group visa + Tibet Travel Permit (via operator)</t>
        </is>
      </c>
      <c r="J34" s="9" t="inlineStr">
        <is>
          <t>GPS blackout 6-9 Jun 2026 (no data in Tibet) between Nepal legs; Kailash itinerary</t>
        </is>
      </c>
      <c r="K34" s="12" t="inlineStr">
        <is>
          <t>Check</t>
        </is>
      </c>
      <c r="L34" s="9" t="inlineStr">
        <is>
          <t>Manasarovar + Kailash kora (Dolma La). Shorter than the 13-day brochure - confirm</t>
        </is>
      </c>
    </row>
    <row r="35">
      <c r="A35" s="9" t="n">
        <v>31</v>
      </c>
      <c r="B35" s="9" t="inlineStr">
        <is>
          <t>Nepal</t>
        </is>
      </c>
      <c r="C35" s="10" t="n">
        <v>46183</v>
      </c>
      <c r="D35" s="10" t="n">
        <v>46185</v>
      </c>
      <c r="E35" s="9">
        <f>IF(AND(ISNUMBER(C35),ISNUMBER(D35)),D35-C35+1,"")</f>
        <v/>
      </c>
      <c r="F35" s="9" t="inlineStr">
        <is>
          <t>Visit</t>
        </is>
      </c>
      <c r="G35" s="9" t="inlineStr">
        <is>
          <t>Kyirong -&gt; Kathmandu</t>
        </is>
      </c>
      <c r="H35" s="9" t="inlineStr">
        <is>
          <t>Kathmandu (TIA)</t>
        </is>
      </c>
      <c r="I35" s="9" t="inlineStr">
        <is>
          <t>No visa needed</t>
        </is>
      </c>
      <c r="J35" s="9" t="inlineStr">
        <is>
          <t>GPS timeline: Nepal 10-12 Jun 2026</t>
        </is>
      </c>
      <c r="K35" s="9" t="inlineStr">
        <is>
          <t>High</t>
        </is>
      </c>
      <c r="L35" s="9" t="inlineStr">
        <is>
          <t>Return leg</t>
        </is>
      </c>
    </row>
  </sheetData>
  <autoFilter ref="A4:L95"/>
  <dataValidations count="1">
    <dataValidation sqref="F5:F95"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G24"/>
  <sheetViews>
    <sheetView zoomScale="100" workbookViewId="0">
      <pane ySplit="4" topLeftCell="A5" activePane="bottomLeft" state="frozen"/>
      <selection pane="bottomLeft" activeCell="A1" sqref="A1"/>
    </sheetView>
  </sheetViews>
  <sheetFormatPr baseColWidth="8" defaultRowHeight="15"/>
  <cols>
    <col width="5" customWidth="1" min="1" max="1"/>
    <col width="22" customWidth="1" min="2" max="2"/>
    <col width="14" customWidth="1" min="3" max="3"/>
    <col width="14" customWidth="1" min="4" max="4"/>
    <col width="14" customWidth="1" min="5" max="5"/>
    <col width="18" customWidth="1" min="6" max="6"/>
    <col width="60" customWidth="1" min="7" max="7"/>
  </cols>
  <sheetData>
    <row r="1">
      <c r="A1" s="1" t="inlineStr">
        <is>
          <t>Countries visited - summary</t>
        </is>
      </c>
    </row>
    <row r="2">
      <c r="A2" s="2" t="inlineStr">
        <is>
          <t>Counts rows of type 'Visit' in the Travel Log. Add a country name in column A and the rest fills in.</t>
        </is>
      </c>
    </row>
    <row r="4">
      <c r="A4" s="3" t="inlineStr">
        <is>
          <t>#</t>
        </is>
      </c>
      <c r="B4" s="3" t="inlineStr">
        <is>
          <t>Country</t>
        </is>
      </c>
      <c r="C4" s="3" t="inlineStr">
        <is>
          <t>Times visited</t>
        </is>
      </c>
      <c r="D4" s="3" t="inlineStr">
        <is>
          <t>First entry</t>
        </is>
      </c>
      <c r="E4" s="3" t="inlineStr">
        <is>
          <t>Latest entry</t>
        </is>
      </c>
      <c r="F4" s="3" t="inlineStr">
        <is>
          <t>Total days (known)</t>
        </is>
      </c>
      <c r="G4" s="3" t="inlineStr">
        <is>
          <t>Visa types used</t>
        </is>
      </c>
    </row>
    <row r="5">
      <c r="A5" s="9" t="n">
        <v>1</v>
      </c>
      <c r="B5" s="9" t="inlineStr">
        <is>
          <t>Belgium</t>
        </is>
      </c>
      <c r="C5" s="9">
        <f>COUNTIFS('Travel Log'!$B$5:$B$95,B5,'Travel Log'!$F$5:$F$95,"Visit")</f>
        <v/>
      </c>
      <c r="D5" s="10">
        <f>IF(COUNTIFS('Travel Log'!$B$5:$B$95,B5,'Travel Log'!$C$5:$C$95,"&gt;0")=0,"",_xlfn.MINIFS('Travel Log'!$C$5:$C$95,'Travel Log'!$B$5:$B$95,B5,'Travel Log'!$C$5:$C$95,"&gt;0"))</f>
        <v/>
      </c>
      <c r="E5" s="10">
        <f>IF(COUNTIFS('Travel Log'!$B$5:$B$95,B5,'Travel Log'!$C$5:$C$95,"&gt;0")=0,"",_xlfn.MAXIFS('Travel Log'!$C$5:$C$95,'Travel Log'!$B$5:$B$95,B5,'Travel Log'!$C$5:$C$95,"&gt;0"))</f>
        <v/>
      </c>
      <c r="F5" s="9">
        <f>SUMIFS('Travel Log'!$E$5:$E$95,'Travel Log'!$B$5:$B$95,B5,'Travel Log'!$F$5:$F$95,"Visit")</f>
        <v/>
      </c>
      <c r="G5" s="9" t="inlineStr">
        <is>
          <t>Schengen C visa #1</t>
        </is>
      </c>
    </row>
    <row r="6">
      <c r="A6" s="9" t="n">
        <v>2</v>
      </c>
      <c r="B6" s="9" t="inlineStr">
        <is>
          <t>Cambodia</t>
        </is>
      </c>
      <c r="C6" s="9">
        <f>COUNTIFS('Travel Log'!$B$5:$B$95,B6,'Travel Log'!$F$5:$F$95,"Visit")</f>
        <v/>
      </c>
      <c r="D6" s="10">
        <f>IF(COUNTIFS('Travel Log'!$B$5:$B$95,B6,'Travel Log'!$C$5:$C$95,"&gt;0")=0,"",_xlfn.MINIFS('Travel Log'!$C$5:$C$95,'Travel Log'!$B$5:$B$95,B6,'Travel Log'!$C$5:$C$95,"&gt;0"))</f>
        <v/>
      </c>
      <c r="E6" s="10">
        <f>IF(COUNTIFS('Travel Log'!$B$5:$B$95,B6,'Travel Log'!$C$5:$C$95,"&gt;0")=0,"",_xlfn.MAXIFS('Travel Log'!$C$5:$C$95,'Travel Log'!$B$5:$B$95,B6,'Travel Log'!$C$5:$C$95,"&gt;0"))</f>
        <v/>
      </c>
      <c r="F6" s="9">
        <f>SUMIFS('Travel Log'!$E$5:$E$95,'Travel Log'!$B$5:$B$95,B6,'Travel Log'!$F$5:$F$95,"Visit")</f>
        <v/>
      </c>
      <c r="G6" s="9" t="inlineStr">
        <is>
          <t>e-Visa (valid 27 Jun-26 Jul 2023); e-Visa (valid to 07 Mar 2023)</t>
        </is>
      </c>
    </row>
    <row r="7">
      <c r="A7" s="9" t="n">
        <v>3</v>
      </c>
      <c r="B7" s="9" t="inlineStr">
        <is>
          <t>China (Tibet)</t>
        </is>
      </c>
      <c r="C7" s="9">
        <f>COUNTIFS('Travel Log'!$B$5:$B$95,B7,'Travel Log'!$F$5:$F$95,"Visit")</f>
        <v/>
      </c>
      <c r="D7" s="10">
        <f>IF(COUNTIFS('Travel Log'!$B$5:$B$95,B7,'Travel Log'!$C$5:$C$95,"&gt;0")=0,"",_xlfn.MINIFS('Travel Log'!$C$5:$C$95,'Travel Log'!$B$5:$B$95,B7,'Travel Log'!$C$5:$C$95,"&gt;0"))</f>
        <v/>
      </c>
      <c r="E7" s="10">
        <f>IF(COUNTIFS('Travel Log'!$B$5:$B$95,B7,'Travel Log'!$C$5:$C$95,"&gt;0")=0,"",_xlfn.MAXIFS('Travel Log'!$C$5:$C$95,'Travel Log'!$B$5:$B$95,B7,'Travel Log'!$C$5:$C$95,"&gt;0"))</f>
        <v/>
      </c>
      <c r="F7" s="9">
        <f>SUMIFS('Travel Log'!$E$5:$E$95,'Travel Log'!$B$5:$B$95,B7,'Travel Log'!$F$5:$F$95,"Visit")</f>
        <v/>
      </c>
      <c r="G7" s="9" t="inlineStr">
        <is>
          <t>Chinese group visa + Tibet Travel Permit (via operator)</t>
        </is>
      </c>
    </row>
    <row r="8">
      <c r="A8" s="9" t="n">
        <v>4</v>
      </c>
      <c r="B8" s="9" t="inlineStr">
        <is>
          <t>France</t>
        </is>
      </c>
      <c r="C8" s="9">
        <f>COUNTIFS('Travel Log'!$B$5:$B$95,B8,'Travel Log'!$F$5:$F$95,"Visit")</f>
        <v/>
      </c>
      <c r="D8" s="10">
        <f>IF(COUNTIFS('Travel Log'!$B$5:$B$95,B8,'Travel Log'!$C$5:$C$95,"&gt;0")=0,"",_xlfn.MINIFS('Travel Log'!$C$5:$C$95,'Travel Log'!$B$5:$B$95,B8,'Travel Log'!$C$5:$C$95,"&gt;0"))</f>
        <v/>
      </c>
      <c r="E8" s="10">
        <f>IF(COUNTIFS('Travel Log'!$B$5:$B$95,B8,'Travel Log'!$C$5:$C$95,"&gt;0")=0,"",_xlfn.MAXIFS('Travel Log'!$C$5:$C$95,'Travel Log'!$B$5:$B$95,B8,'Travel Log'!$C$5:$C$95,"&gt;0"))</f>
        <v/>
      </c>
      <c r="F8" s="9">
        <f>SUMIFS('Travel Log'!$E$5:$E$95,'Travel Log'!$B$5:$B$95,B8,'Travel Log'!$F$5:$F$95,"Visit")</f>
        <v/>
      </c>
      <c r="G8" s="9" t="inlineStr">
        <is>
          <t>Schengen C visa #1 (France-issued, Pondicherry)</t>
        </is>
      </c>
    </row>
    <row r="9">
      <c r="A9" s="9" t="n">
        <v>5</v>
      </c>
      <c r="B9" s="9" t="inlineStr">
        <is>
          <t>Germany</t>
        </is>
      </c>
      <c r="C9" s="9">
        <f>COUNTIFS('Travel Log'!$B$5:$B$95,B9,'Travel Log'!$F$5:$F$95,"Visit")</f>
        <v/>
      </c>
      <c r="D9" s="10">
        <f>IF(COUNTIFS('Travel Log'!$B$5:$B$95,B9,'Travel Log'!$C$5:$C$95,"&gt;0")=0,"",_xlfn.MINIFS('Travel Log'!$C$5:$C$95,'Travel Log'!$B$5:$B$95,B9,'Travel Log'!$C$5:$C$95,"&gt;0"))</f>
        <v/>
      </c>
      <c r="E9" s="10">
        <f>IF(COUNTIFS('Travel Log'!$B$5:$B$95,B9,'Travel Log'!$C$5:$C$95,"&gt;0")=0,"",_xlfn.MAXIFS('Travel Log'!$C$5:$C$95,'Travel Log'!$B$5:$B$95,B9,'Travel Log'!$C$5:$C$95,"&gt;0"))</f>
        <v/>
      </c>
      <c r="F9" s="9">
        <f>SUMIFS('Travel Log'!$E$5:$E$95,'Travel Log'!$B$5:$B$95,B9,'Travel Log'!$F$5:$F$95,"Visit")</f>
        <v/>
      </c>
      <c r="G9" s="9" t="inlineStr">
        <is>
          <t>Schengen C visa #1</t>
        </is>
      </c>
    </row>
    <row r="10">
      <c r="A10" s="9" t="n">
        <v>6</v>
      </c>
      <c r="B10" s="9" t="inlineStr">
        <is>
          <t>Italy</t>
        </is>
      </c>
      <c r="C10" s="9">
        <f>COUNTIFS('Travel Log'!$B$5:$B$95,B10,'Travel Log'!$F$5:$F$95,"Visit")</f>
        <v/>
      </c>
      <c r="D10" s="10">
        <f>IF(COUNTIFS('Travel Log'!$B$5:$B$95,B10,'Travel Log'!$C$5:$C$95,"&gt;0")=0,"",_xlfn.MINIFS('Travel Log'!$C$5:$C$95,'Travel Log'!$B$5:$B$95,B10,'Travel Log'!$C$5:$C$95,"&gt;0"))</f>
        <v/>
      </c>
      <c r="E10" s="10">
        <f>IF(COUNTIFS('Travel Log'!$B$5:$B$95,B10,'Travel Log'!$C$5:$C$95,"&gt;0")=0,"",_xlfn.MAXIFS('Travel Log'!$C$5:$C$95,'Travel Log'!$B$5:$B$95,B10,'Travel Log'!$C$5:$C$95,"&gt;0"))</f>
        <v/>
      </c>
      <c r="F10" s="9">
        <f>SUMIFS('Travel Log'!$E$5:$E$95,'Travel Log'!$B$5:$B$95,B10,'Travel Log'!$F$5:$F$95,"Visit")</f>
        <v/>
      </c>
      <c r="G10" s="9" t="inlineStr">
        <is>
          <t>Schengen C visa #1</t>
        </is>
      </c>
    </row>
    <row r="11">
      <c r="A11" s="9" t="n">
        <v>7</v>
      </c>
      <c r="B11" s="9" t="inlineStr">
        <is>
          <t>Nepal</t>
        </is>
      </c>
      <c r="C11" s="9">
        <f>COUNTIFS('Travel Log'!$B$5:$B$95,B11,'Travel Log'!$F$5:$F$95,"Visit")</f>
        <v/>
      </c>
      <c r="D11" s="10">
        <f>IF(COUNTIFS('Travel Log'!$B$5:$B$95,B11,'Travel Log'!$C$5:$C$95,"&gt;0")=0,"",_xlfn.MINIFS('Travel Log'!$C$5:$C$95,'Travel Log'!$B$5:$B$95,B11,'Travel Log'!$C$5:$C$95,"&gt;0"))</f>
        <v/>
      </c>
      <c r="E11" s="10">
        <f>IF(COUNTIFS('Travel Log'!$B$5:$B$95,B11,'Travel Log'!$C$5:$C$95,"&gt;0")=0,"",_xlfn.MAXIFS('Travel Log'!$C$5:$C$95,'Travel Log'!$B$5:$B$95,B11,'Travel Log'!$C$5:$C$95,"&gt;0"))</f>
        <v/>
      </c>
      <c r="F11" s="9">
        <f>SUMIFS('Travel Log'!$E$5:$E$95,'Travel Log'!$B$5:$B$95,B11,'Travel Log'!$F$5:$F$95,"Visit")</f>
        <v/>
      </c>
      <c r="G11" s="9" t="inlineStr">
        <is>
          <t>No visa needed; No visa needed (Indian PP)</t>
        </is>
      </c>
    </row>
    <row r="12">
      <c r="A12" s="9" t="n">
        <v>8</v>
      </c>
      <c r="B12" s="9" t="inlineStr">
        <is>
          <t>Netherlands</t>
        </is>
      </c>
      <c r="C12" s="9">
        <f>COUNTIFS('Travel Log'!$B$5:$B$95,B12,'Travel Log'!$F$5:$F$95,"Visit")</f>
        <v/>
      </c>
      <c r="D12" s="10">
        <f>IF(COUNTIFS('Travel Log'!$B$5:$B$95,B12,'Travel Log'!$C$5:$C$95,"&gt;0")=0,"",_xlfn.MINIFS('Travel Log'!$C$5:$C$95,'Travel Log'!$B$5:$B$95,B12,'Travel Log'!$C$5:$C$95,"&gt;0"))</f>
        <v/>
      </c>
      <c r="E12" s="10">
        <f>IF(COUNTIFS('Travel Log'!$B$5:$B$95,B12,'Travel Log'!$C$5:$C$95,"&gt;0")=0,"",_xlfn.MAXIFS('Travel Log'!$C$5:$C$95,'Travel Log'!$B$5:$B$95,B12,'Travel Log'!$C$5:$C$95,"&gt;0"))</f>
        <v/>
      </c>
      <c r="F12" s="9">
        <f>SUMIFS('Travel Log'!$E$5:$E$95,'Travel Log'!$B$5:$B$95,B12,'Travel Log'!$F$5:$F$95,"Visit")</f>
        <v/>
      </c>
      <c r="G12" s="9" t="inlineStr">
        <is>
          <t>Schengen C visa #1</t>
        </is>
      </c>
    </row>
    <row r="13">
      <c r="A13" s="9" t="n">
        <v>9</v>
      </c>
      <c r="B13" s="9" t="inlineStr">
        <is>
          <t>Sri Lanka</t>
        </is>
      </c>
      <c r="C13" s="9">
        <f>COUNTIFS('Travel Log'!$B$5:$B$95,B13,'Travel Log'!$F$5:$F$95,"Visit")</f>
        <v/>
      </c>
      <c r="D13" s="10">
        <f>IF(COUNTIFS('Travel Log'!$B$5:$B$95,B13,'Travel Log'!$C$5:$C$95,"&gt;0")=0,"",_xlfn.MINIFS('Travel Log'!$C$5:$C$95,'Travel Log'!$B$5:$B$95,B13,'Travel Log'!$C$5:$C$95,"&gt;0"))</f>
        <v/>
      </c>
      <c r="E13" s="10">
        <f>IF(COUNTIFS('Travel Log'!$B$5:$B$95,B13,'Travel Log'!$C$5:$C$95,"&gt;0")=0,"",_xlfn.MAXIFS('Travel Log'!$C$5:$C$95,'Travel Log'!$B$5:$B$95,B13,'Travel Log'!$C$5:$C$95,"&gt;0"))</f>
        <v/>
      </c>
      <c r="F13" s="9">
        <f>SUMIFS('Travel Log'!$E$5:$E$95,'Travel Log'!$B$5:$B$95,B13,'Travel Log'!$F$5:$F$95,"Visit")</f>
        <v/>
      </c>
      <c r="G13" s="9" t="inlineStr">
        <is>
          <t>ETA - stamps not in scan; ETA 30-day (exp 23/02/2022); ETA 30-day, 1st visit (exp 16/01/2020); ETA 30-day, 1st visit (exp 28/10/2019); ETA(s) - stamps not in scan; Sri Lanka ETA</t>
        </is>
      </c>
    </row>
    <row r="14">
      <c r="A14" s="9" t="n">
        <v>10</v>
      </c>
      <c r="B14" s="9" t="inlineStr">
        <is>
          <t>Switzerland</t>
        </is>
      </c>
      <c r="C14" s="9">
        <f>COUNTIFS('Travel Log'!$B$5:$B$95,B14,'Travel Log'!$F$5:$F$95,"Visit")</f>
        <v/>
      </c>
      <c r="D14" s="10">
        <f>IF(COUNTIFS('Travel Log'!$B$5:$B$95,B14,'Travel Log'!$C$5:$C$95,"&gt;0")=0,"",_xlfn.MINIFS('Travel Log'!$C$5:$C$95,'Travel Log'!$B$5:$B$95,B14,'Travel Log'!$C$5:$C$95,"&gt;0"))</f>
        <v/>
      </c>
      <c r="E14" s="10">
        <f>IF(COUNTIFS('Travel Log'!$B$5:$B$95,B14,'Travel Log'!$C$5:$C$95,"&gt;0")=0,"",_xlfn.MAXIFS('Travel Log'!$C$5:$C$95,'Travel Log'!$B$5:$B$95,B14,'Travel Log'!$C$5:$C$95,"&gt;0"))</f>
        <v/>
      </c>
      <c r="F14" s="9">
        <f>SUMIFS('Travel Log'!$E$5:$E$95,'Travel Log'!$B$5:$B$95,B14,'Travel Log'!$F$5:$F$95,"Visit")</f>
        <v/>
      </c>
      <c r="G14" s="9" t="inlineStr">
        <is>
          <t>Schengen C visa #1</t>
        </is>
      </c>
    </row>
    <row r="15">
      <c r="A15" s="9" t="n">
        <v>11</v>
      </c>
      <c r="B15" s="9" t="inlineStr">
        <is>
          <t>Thailand</t>
        </is>
      </c>
      <c r="C15" s="9">
        <f>COUNTIFS('Travel Log'!$B$5:$B$95,B15,'Travel Log'!$F$5:$F$95,"Visit")</f>
        <v/>
      </c>
      <c r="D15" s="10">
        <f>IF(COUNTIFS('Travel Log'!$B$5:$B$95,B15,'Travel Log'!$C$5:$C$95,"&gt;0")=0,"",_xlfn.MINIFS('Travel Log'!$C$5:$C$95,'Travel Log'!$B$5:$B$95,B15,'Travel Log'!$C$5:$C$95,"&gt;0"))</f>
        <v/>
      </c>
      <c r="E15" s="10">
        <f>IF(COUNTIFS('Travel Log'!$B$5:$B$95,B15,'Travel Log'!$C$5:$C$95,"&gt;0")=0,"",_xlfn.MAXIFS('Travel Log'!$C$5:$C$95,'Travel Log'!$B$5:$B$95,B15,'Travel Log'!$C$5:$C$95,"&gt;0"))</f>
        <v/>
      </c>
      <c r="F15" s="9">
        <f>SUMIFS('Travel Log'!$E$5:$E$95,'Travel Log'!$B$5:$B$95,B15,'Travel Log'!$F$5:$F$95,"Visit")</f>
        <v/>
      </c>
      <c r="G15" s="9" t="inlineStr">
        <is>
          <t>Visa on Arrival; Visa on Arrival (30 days)</t>
        </is>
      </c>
    </row>
    <row r="16">
      <c r="A16" s="9" t="n">
        <v>12</v>
      </c>
      <c r="B16" s="9" t="inlineStr">
        <is>
          <t>Turkey</t>
        </is>
      </c>
      <c r="C16" s="9">
        <f>COUNTIFS('Travel Log'!$B$5:$B$95,B16,'Travel Log'!$F$5:$F$95,"Visit")</f>
        <v/>
      </c>
      <c r="D16" s="10">
        <f>IF(COUNTIFS('Travel Log'!$B$5:$B$95,B16,'Travel Log'!$C$5:$C$95,"&gt;0")=0,"",_xlfn.MINIFS('Travel Log'!$C$5:$C$95,'Travel Log'!$B$5:$B$95,B16,'Travel Log'!$C$5:$C$95,"&gt;0"))</f>
        <v/>
      </c>
      <c r="E16" s="10">
        <f>IF(COUNTIFS('Travel Log'!$B$5:$B$95,B16,'Travel Log'!$C$5:$C$95,"&gt;0")=0,"",_xlfn.MAXIFS('Travel Log'!$C$5:$C$95,'Travel Log'!$B$5:$B$95,B16,'Travel Log'!$C$5:$C$95,"&gt;0"))</f>
        <v/>
      </c>
      <c r="F16" s="9">
        <f>SUMIFS('Travel Log'!$E$5:$E$95,'Travel Log'!$B$5:$B$95,B16,'Travel Log'!$F$5:$F$95,"Visit")</f>
        <v/>
      </c>
      <c r="G16" s="9" t="inlineStr">
        <is>
          <t>Airside transit; Turkish eVisa (conditional, via UK/Schengen visa)</t>
        </is>
      </c>
    </row>
    <row r="17">
      <c r="A17" s="9" t="n">
        <v>13</v>
      </c>
      <c r="B17" s="9" t="inlineStr">
        <is>
          <t>UAE</t>
        </is>
      </c>
      <c r="C17" s="9">
        <f>COUNTIFS('Travel Log'!$B$5:$B$95,B17,'Travel Log'!$F$5:$F$95,"Visit")</f>
        <v/>
      </c>
      <c r="D17" s="10">
        <f>IF(COUNTIFS('Travel Log'!$B$5:$B$95,B17,'Travel Log'!$C$5:$C$95,"&gt;0")=0,"",_xlfn.MINIFS('Travel Log'!$C$5:$C$95,'Travel Log'!$B$5:$B$95,B17,'Travel Log'!$C$5:$C$95,"&gt;0"))</f>
        <v/>
      </c>
      <c r="E17" s="10">
        <f>IF(COUNTIFS('Travel Log'!$B$5:$B$95,B17,'Travel Log'!$C$5:$C$95,"&gt;0")=0,"",_xlfn.MAXIFS('Travel Log'!$C$5:$C$95,'Travel Log'!$B$5:$B$95,B17,'Travel Log'!$C$5:$C$95,"&gt;0"))</f>
        <v/>
      </c>
      <c r="F17" s="9">
        <f>SUMIFS('Travel Log'!$E$5:$E$95,'Travel Log'!$B$5:$B$95,B17,'Travel Log'!$F$5:$F$95,"Visit")</f>
        <v/>
      </c>
      <c r="G17" s="9" t="inlineStr">
        <is>
          <t>Airside transit; UAE Tourist eVisa, single entry, 30 days (issued Dubai 18 Jul 2024)</t>
        </is>
      </c>
    </row>
    <row r="18">
      <c r="A18" s="9" t="n">
        <v>14</v>
      </c>
      <c r="B18" s="9" t="inlineStr">
        <is>
          <t>USA</t>
        </is>
      </c>
      <c r="C18" s="9">
        <f>COUNTIFS('Travel Log'!$B$5:$B$95,B18,'Travel Log'!$F$5:$F$95,"Visit")</f>
        <v/>
      </c>
      <c r="D18" s="10">
        <f>IF(COUNTIFS('Travel Log'!$B$5:$B$95,B18,'Travel Log'!$C$5:$C$95,"&gt;0")=0,"",_xlfn.MINIFS('Travel Log'!$C$5:$C$95,'Travel Log'!$B$5:$B$95,B18,'Travel Log'!$C$5:$C$95,"&gt;0"))</f>
        <v/>
      </c>
      <c r="E18" s="10">
        <f>IF(COUNTIFS('Travel Log'!$B$5:$B$95,B18,'Travel Log'!$C$5:$C$95,"&gt;0")=0,"",_xlfn.MAXIFS('Travel Log'!$C$5:$C$95,'Travel Log'!$B$5:$B$95,B18,'Travel Log'!$C$5:$C$95,"&gt;0"))</f>
        <v/>
      </c>
      <c r="F18" s="9">
        <f>SUMIFS('Travel Log'!$E$5:$E$95,'Travel Log'!$B$5:$B$95,B18,'Travel Log'!$F$5:$F$95,"Visit")</f>
        <v/>
      </c>
      <c r="G18" s="9" t="inlineStr">
        <is>
          <t>B1/B2 10-yr visa (admitted until 03 Mar 2026)</t>
        </is>
      </c>
    </row>
    <row r="19">
      <c r="A19" s="9" t="n">
        <v>15</v>
      </c>
      <c r="B19" s="9" t="inlineStr">
        <is>
          <t>United Kingdom</t>
        </is>
      </c>
      <c r="C19" s="9">
        <f>COUNTIFS('Travel Log'!$B$5:$B$95,B19,'Travel Log'!$F$5:$F$95,"Visit")</f>
        <v/>
      </c>
      <c r="D19" s="10">
        <f>IF(COUNTIFS('Travel Log'!$B$5:$B$95,B19,'Travel Log'!$C$5:$C$95,"&gt;0")=0,"",_xlfn.MINIFS('Travel Log'!$C$5:$C$95,'Travel Log'!$B$5:$B$95,B19,'Travel Log'!$C$5:$C$95,"&gt;0"))</f>
        <v/>
      </c>
      <c r="E19" s="10">
        <f>IF(COUNTIFS('Travel Log'!$B$5:$B$95,B19,'Travel Log'!$C$5:$C$95,"&gt;0")=0,"",_xlfn.MAXIFS('Travel Log'!$C$5:$C$95,'Travel Log'!$B$5:$B$95,B19,'Travel Log'!$C$5:$C$95,"&gt;0"))</f>
        <v/>
      </c>
      <c r="F19" s="9">
        <f>SUMIFS('Travel Log'!$E$5:$E$95,'Travel Log'!$B$5:$B$95,B19,'Travel Log'!$F$5:$F$95,"Visit")</f>
        <v/>
      </c>
      <c r="G19" s="9" t="inlineStr">
        <is>
          <t>UK Standard Visitor C-visit, multiple, 29 Jun-29 Dec 2024</t>
        </is>
      </c>
    </row>
    <row r="20">
      <c r="A20" s="9" t="n">
        <v>16</v>
      </c>
      <c r="B20" s="9" t="inlineStr">
        <is>
          <t>Vatican City</t>
        </is>
      </c>
      <c r="C20" s="9">
        <f>COUNTIFS('Travel Log'!$B$5:$B$95,B20,'Travel Log'!$F$5:$F$95,"Visit")</f>
        <v/>
      </c>
      <c r="D20" s="10">
        <f>IF(COUNTIFS('Travel Log'!$B$5:$B$95,B20,'Travel Log'!$C$5:$C$95,"&gt;0")=0,"",_xlfn.MINIFS('Travel Log'!$C$5:$C$95,'Travel Log'!$B$5:$B$95,B20,'Travel Log'!$C$5:$C$95,"&gt;0"))</f>
        <v/>
      </c>
      <c r="E20" s="10">
        <f>IF(COUNTIFS('Travel Log'!$B$5:$B$95,B20,'Travel Log'!$C$5:$C$95,"&gt;0")=0,"",_xlfn.MAXIFS('Travel Log'!$C$5:$C$95,'Travel Log'!$B$5:$B$95,B20,'Travel Log'!$C$5:$C$95,"&gt;0"))</f>
        <v/>
      </c>
      <c r="F20" s="9">
        <f>SUMIFS('Travel Log'!$E$5:$E$95,'Travel Log'!$B$5:$B$95,B20,'Travel Log'!$F$5:$F$95,"Visit")</f>
        <v/>
      </c>
      <c r="G20" s="9" t="inlineStr">
        <is>
          <t>Schengen C visa #1 (open border with Italy)</t>
        </is>
      </c>
    </row>
    <row r="22">
      <c r="A22" s="4" t="inlineStr">
        <is>
          <t>TOTAL</t>
        </is>
      </c>
      <c r="C22" s="4">
        <f>SUM(C5:C20)</f>
        <v/>
      </c>
      <c r="F22" s="4">
        <f>SUM(F5:F20)</f>
        <v/>
      </c>
    </row>
    <row r="24" ht="45" customHeight="1">
      <c r="A24" s="8" t="inlineStr">
        <is>
          <t>Schengen trip 15-27 Jul 2024: France (entry CDG), Belgium, Netherlands, Germany, Switzerland, Italy/Rome + Vatican City (exit Milan) - internal borders are not stamped, so per-country dates are blank until you add them.</t>
        </is>
      </c>
    </row>
  </sheetData>
  <mergeCells count="1">
    <mergeCell ref="A24:G24"/>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M20"/>
  <sheetViews>
    <sheetView zoomScale="100" workbookViewId="0">
      <pane ySplit="4" topLeftCell="A5" activePane="bottomLeft" state="frozen"/>
      <selection pane="bottomLeft" activeCell="A1" sqref="A1"/>
    </sheetView>
  </sheetViews>
  <sheetFormatPr baseColWidth="8" defaultRowHeight="15"/>
  <cols>
    <col width="5" customWidth="1" min="1" max="1"/>
    <col width="28" customWidth="1" min="2" max="2"/>
    <col width="16" customWidth="1" min="3" max="3"/>
    <col width="24" customWidth="1" min="4" max="4"/>
    <col width="13" customWidth="1" min="5" max="5"/>
    <col width="13" customWidth="1" min="6" max="6"/>
    <col width="10" customWidth="1" min="7" max="7"/>
    <col width="26" customWidth="1" min="8" max="8"/>
    <col width="14" customWidth="1" min="9" max="9"/>
    <col width="12" customWidth="1" min="10" max="10"/>
    <col width="22" customWidth="1" min="11" max="11"/>
    <col width="52" customWidth="1" min="12" max="12"/>
    <col width="28" customWidth="1" min="13" max="13"/>
  </cols>
  <sheetData>
    <row r="1">
      <c r="A1" s="1" t="inlineStr">
        <is>
          <t>Visas I hold / have held</t>
        </is>
      </c>
    </row>
    <row r="2">
      <c r="A2" s="2" t="inlineStr">
        <is>
          <t>Status, days left and warnings are formulas based on TODAY().</t>
        </is>
      </c>
    </row>
    <row r="4">
      <c r="A4" s="3" t="inlineStr">
        <is>
          <t>#</t>
        </is>
      </c>
      <c r="B4" s="3" t="inlineStr">
        <is>
          <t>Visa</t>
        </is>
      </c>
      <c r="C4" s="3" t="inlineStr">
        <is>
          <t>Country / area</t>
        </is>
      </c>
      <c r="D4" s="3" t="inlineStr">
        <is>
          <t>Category</t>
        </is>
      </c>
      <c r="E4" s="3" t="inlineStr">
        <is>
          <t>Valid from</t>
        </is>
      </c>
      <c r="F4" s="3" t="inlineStr">
        <is>
          <t>Valid to</t>
        </is>
      </c>
      <c r="G4" s="3" t="inlineStr">
        <is>
          <t>Entries</t>
        </is>
      </c>
      <c r="H4" s="3" t="inlineStr">
        <is>
          <t>Stay allowed</t>
        </is>
      </c>
      <c r="I4" s="3" t="inlineStr">
        <is>
          <t>Status (auto)</t>
        </is>
      </c>
      <c r="J4" s="3" t="inlineStr">
        <is>
          <t>Days left (auto)</t>
        </is>
      </c>
      <c r="K4" s="3" t="inlineStr">
        <is>
          <t>Used?</t>
        </is>
      </c>
      <c r="L4" s="3" t="inlineStr">
        <is>
          <t>Notes / conditions</t>
        </is>
      </c>
      <c r="M4" s="3" t="inlineStr">
        <is>
          <t>Source</t>
        </is>
      </c>
    </row>
    <row r="5">
      <c r="A5" s="9" t="n">
        <v>1</v>
      </c>
      <c r="B5" s="9" t="inlineStr">
        <is>
          <t>USA B1/B2 Visitor</t>
        </is>
      </c>
      <c r="C5" s="9" t="inlineStr">
        <is>
          <t>United States</t>
        </is>
      </c>
      <c r="D5" s="9" t="inlineStr">
        <is>
          <t>B1/B2, 10 yrs</t>
        </is>
      </c>
      <c r="E5" s="10" t="n">
        <v>45657</v>
      </c>
      <c r="F5" s="10" t="n">
        <v>49304</v>
      </c>
      <c r="G5" s="9" t="inlineStr">
        <is>
          <t>Multiple</t>
        </is>
      </c>
      <c r="H5" s="9" t="inlineStr">
        <is>
          <t>Up to 6 months per admission (set by CBP)</t>
        </is>
      </c>
      <c r="I5" s="9">
        <f>IF(F5&lt;TODAY(),"EXPIRED",IF(F5-TODAY()&lt;180,"EXPIRING SOON","VALID"))</f>
        <v/>
      </c>
      <c r="J5" s="9">
        <f>F5-TODAY()</f>
        <v/>
      </c>
      <c r="K5" s="9" t="inlineStr">
        <is>
          <t>Used once (Sep 2025)</t>
        </is>
      </c>
      <c r="L5" s="9" t="inlineStr">
        <is>
          <t>Used once (Sep 2025) | Ref: Control no. ...0010 / foil V2775359</t>
        </is>
      </c>
      <c r="M5" s="9" t="inlineStr">
        <is>
          <t>Passport p.26 + your Visa sheet</t>
        </is>
      </c>
    </row>
    <row r="6">
      <c r="A6" s="9" t="n">
        <v>2</v>
      </c>
      <c r="B6" s="9" t="inlineStr">
        <is>
          <t>Australia Visitor (subclass 600)</t>
        </is>
      </c>
      <c r="C6" s="9" t="inlineStr">
        <is>
          <t>Australia</t>
        </is>
      </c>
      <c r="D6" s="9" t="inlineStr">
        <is>
          <t>Business Visitor stream</t>
        </is>
      </c>
      <c r="E6" s="10" t="n">
        <v>45974</v>
      </c>
      <c r="F6" s="10" t="n">
        <v>47800</v>
      </c>
      <c r="G6" s="9" t="inlineStr">
        <is>
          <t>Multiple</t>
        </is>
      </c>
      <c r="H6" s="9" t="inlineStr">
        <is>
          <t>3 months per arrival</t>
        </is>
      </c>
      <c r="I6" s="9">
        <f>IF(F6&lt;TODAY(),"EXPIRED",IF(F6-TODAY()&lt;180,"EXPIRING SOON","VALID"))</f>
        <v/>
      </c>
      <c r="J6" s="9">
        <f>F6-TODAY()</f>
        <v/>
      </c>
      <c r="K6" s="9" t="inlineStr">
        <is>
          <t>Not yet used (as per records)</t>
        </is>
      </c>
      <c r="L6" s="9" t="inlineStr">
        <is>
          <t>Not yet used (as per records) - conditions 8115 (business-visitor activity only), 8201 (max 3 months study) | Ref: Doc no. matches passport (VEVO)</t>
        </is>
      </c>
      <c r="M6" s="9" t="inlineStr">
        <is>
          <t>VEVO check 13 Nov 2025</t>
        </is>
      </c>
    </row>
    <row r="7">
      <c r="A7" s="9" t="n">
        <v>3</v>
      </c>
      <c r="B7" s="9" t="inlineStr">
        <is>
          <t>Schengen C (France) #1</t>
        </is>
      </c>
      <c r="C7" s="9" t="inlineStr">
        <is>
          <t>Schengen area</t>
        </is>
      </c>
      <c r="D7" s="9" t="inlineStr">
        <is>
          <t>Arts/Science/Sport (cultural)</t>
        </is>
      </c>
      <c r="E7" s="10" t="n">
        <v>45488</v>
      </c>
      <c r="F7" s="10" t="n">
        <v>45533</v>
      </c>
      <c r="G7" s="9" t="inlineStr">
        <is>
          <t>Multiple</t>
        </is>
      </c>
      <c r="H7" s="9" t="inlineStr">
        <is>
          <t>30 days</t>
        </is>
      </c>
      <c r="I7" s="9">
        <f>IF(F7&lt;TODAY(),"EXPIRED",IF(F7-TODAY()&lt;180,"EXPIRING SOON","VALID"))</f>
        <v/>
      </c>
      <c r="J7" s="9">
        <f>F7-TODAY()</f>
        <v/>
      </c>
      <c r="K7" s="9" t="inlineStr">
        <is>
          <t>Used Jul 2024 (France-&gt;Italy)</t>
        </is>
      </c>
      <c r="L7" s="9" t="inlineStr"/>
      <c r="M7" s="9" t="inlineStr">
        <is>
          <t>Passport p.17</t>
        </is>
      </c>
    </row>
    <row r="8">
      <c r="A8" s="9" t="n">
        <v>4</v>
      </c>
      <c r="B8" s="9" t="inlineStr">
        <is>
          <t>Schengen C (France) #2</t>
        </is>
      </c>
      <c r="C8" s="9" t="inlineStr">
        <is>
          <t>Schengen area</t>
        </is>
      </c>
      <c r="D8" s="9" t="inlineStr">
        <is>
          <t>Arts/Science/Sport (cultural)</t>
        </is>
      </c>
      <c r="E8" s="10" t="n">
        <v>45951</v>
      </c>
      <c r="F8" s="10" t="n">
        <v>46131</v>
      </c>
      <c r="G8" s="9" t="inlineStr">
        <is>
          <t>Multiple</t>
        </is>
      </c>
      <c r="H8" s="9" t="inlineStr">
        <is>
          <t>30 days</t>
        </is>
      </c>
      <c r="I8" s="9">
        <f>IF(F8&lt;TODAY(),"EXPIRED",IF(F8-TODAY()&lt;180,"EXPIRING SOON","VALID"))</f>
        <v/>
      </c>
      <c r="J8" s="9">
        <f>F8-TODAY()</f>
        <v/>
      </c>
      <c r="K8" s="9" t="inlineStr">
        <is>
          <t>Expired 19 Apr 2026</t>
        </is>
      </c>
      <c r="L8" s="9" t="inlineStr"/>
      <c r="M8" s="9" t="inlineStr">
        <is>
          <t>Passport p.18</t>
        </is>
      </c>
    </row>
    <row r="9">
      <c r="A9" s="9" t="n">
        <v>5</v>
      </c>
      <c r="B9" s="9" t="inlineStr">
        <is>
          <t>UK Standard Visitor</t>
        </is>
      </c>
      <c r="C9" s="9" t="inlineStr">
        <is>
          <t>United Kingdom</t>
        </is>
      </c>
      <c r="D9" s="9" t="inlineStr">
        <is>
          <t>C-visit, 180 days, no work</t>
        </is>
      </c>
      <c r="E9" s="10" t="n">
        <v>45472</v>
      </c>
      <c r="F9" s="10" t="n">
        <v>45655</v>
      </c>
      <c r="G9" s="9" t="inlineStr">
        <is>
          <t>Multiple</t>
        </is>
      </c>
      <c r="H9" s="9" t="inlineStr">
        <is>
          <t>up to 6 months per visit</t>
        </is>
      </c>
      <c r="I9" s="9">
        <f>IF(F9&lt;TODAY(),"EXPIRED",IF(F9-TODAY()&lt;180,"EXPIRING SOON","VALID"))</f>
        <v/>
      </c>
      <c r="J9" s="9">
        <f>F9-TODAY()</f>
        <v/>
      </c>
      <c r="K9" s="9" t="inlineStr">
        <is>
          <t>Used Jul 2024; expired 29 Dec 2024</t>
        </is>
      </c>
      <c r="L9" s="9" t="inlineStr"/>
      <c r="M9" s="9" t="inlineStr">
        <is>
          <t>Passport p.23</t>
        </is>
      </c>
    </row>
    <row r="10">
      <c r="A10" s="9" t="n">
        <v>6</v>
      </c>
      <c r="B10" s="9" t="inlineStr">
        <is>
          <t>UAE Tourist eVisa</t>
        </is>
      </c>
      <c r="C10" s="9" t="inlineStr">
        <is>
          <t>United Arab Emirates</t>
        </is>
      </c>
      <c r="D10" s="9" t="inlineStr">
        <is>
          <t>Tourism - Single entry - 30 days (sponsor: Akbar Travels of India LLC)</t>
        </is>
      </c>
      <c r="E10" s="10" t="n">
        <v>45491</v>
      </c>
      <c r="F10" s="10" t="n">
        <v>45550</v>
      </c>
      <c r="G10" s="9" t="inlineStr">
        <is>
          <t>Single</t>
        </is>
      </c>
      <c r="H10" s="9" t="inlineStr">
        <is>
          <t>30 days max stay</t>
        </is>
      </c>
      <c r="I10" s="9">
        <f>IF(F10&lt;TODAY(),"EXPIRED",IF(F10-TODAY()&lt;180,"EXPIRING SOON","VALID"))</f>
        <v/>
      </c>
      <c r="J10" s="9">
        <f>F10-TODAY()</f>
        <v/>
      </c>
      <c r="K10" s="9" t="inlineStr">
        <is>
          <t>Used 1 Aug 2024 (Dubai); entry validity expired 15 Sep 2024</t>
        </is>
      </c>
      <c r="L10" s="9" t="inlineStr"/>
      <c r="M10" s="9" t="inlineStr">
        <is>
          <t>eVisa PDF (entry permit 201/2024/...)</t>
        </is>
      </c>
    </row>
    <row r="12">
      <c r="A12" s="13" t="inlineStr">
        <is>
          <t>PASSPORT</t>
        </is>
      </c>
    </row>
    <row r="13">
      <c r="A13" s="4" t="inlineStr">
        <is>
          <t>Document</t>
        </is>
      </c>
      <c r="B13" t="inlineStr">
        <is>
          <t>Indian ordinary passport (36 pages)</t>
        </is>
      </c>
    </row>
    <row r="14">
      <c r="A14" s="4" t="inlineStr">
        <is>
          <t>Issued</t>
        </is>
      </c>
      <c r="B14" s="5" t="n">
        <v>43361</v>
      </c>
    </row>
    <row r="15">
      <c r="A15" s="4" t="inlineStr">
        <is>
          <t>Expires</t>
        </is>
      </c>
      <c r="B15" s="5" t="n">
        <v>47013</v>
      </c>
    </row>
    <row r="16">
      <c r="A16" s="4" t="inlineStr">
        <is>
          <t>Place of issue</t>
        </is>
      </c>
      <c r="B16" t="inlineStr">
        <is>
          <t>Hyderabad</t>
        </is>
      </c>
    </row>
    <row r="17">
      <c r="A17" s="4" t="inlineStr">
        <is>
          <t>Days to expiry</t>
        </is>
      </c>
      <c r="B17" s="14">
        <f>B15-TODAY()</f>
        <v/>
      </c>
    </row>
    <row r="18">
      <c r="A18" s="4" t="inlineStr">
        <is>
          <t>6-month rule date</t>
        </is>
      </c>
      <c r="B18" s="5">
        <f>EDATE(B15,-6)</f>
        <v/>
      </c>
    </row>
    <row r="19">
      <c r="A19" s="4" t="inlineStr">
        <is>
          <t>Start renewal by</t>
        </is>
      </c>
      <c r="B19" s="5">
        <f>EDATE(B15,-12)</f>
        <v/>
      </c>
    </row>
    <row r="20">
      <c r="A20" t="inlineStr">
        <is>
          <t>Old passport (issued 15/10/2008, Bangalore) not supplied - earlier travel not captured.</t>
        </is>
      </c>
    </row>
  </sheetData>
  <conditionalFormatting sqref="I5:I31">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O52"/>
  <sheetViews>
    <sheetView zoomScale="100" workbookViewId="0">
      <pane ySplit="4" topLeftCell="A5" activePane="bottomLeft" state="frozen"/>
      <selection pane="bottomLeft" activeCell="A1" sqref="A1"/>
    </sheetView>
  </sheetViews>
  <sheetFormatPr baseColWidth="8" defaultRowHeight="15"/>
  <cols>
    <col width="5" customWidth="1" min="1" max="1"/>
    <col width="34" customWidth="1" min="2" max="2"/>
    <col width="18" customWidth="1" min="3" max="3"/>
    <col width="26" customWidth="1" min="4" max="4"/>
    <col width="22" customWidth="1" min="5" max="5"/>
    <col width="44" customWidth="1" min="6" max="6"/>
    <col width="11"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14" customWidth="1" min="15" max="15"/>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G3" s="15" t="inlineStr">
        <is>
          <t>I hold -&gt;</t>
        </is>
      </c>
      <c r="H3" s="16" t="inlineStr">
        <is>
          <t>Yes</t>
        </is>
      </c>
      <c r="I3" s="16" t="inlineStr">
        <is>
          <t>No</t>
        </is>
      </c>
      <c r="J3" s="16" t="inlineStr">
        <is>
          <t>No</t>
        </is>
      </c>
      <c r="K3" s="16" t="inlineStr">
        <is>
          <t>No</t>
        </is>
      </c>
      <c r="L3" s="16" t="inlineStr">
        <is>
          <t>No</t>
        </is>
      </c>
      <c r="M3" s="16" t="inlineStr">
        <is>
          <t>Yes</t>
        </is>
      </c>
      <c r="N3" s="16" t="inlineStr">
        <is>
          <t>No</t>
        </is>
      </c>
    </row>
    <row r="4">
      <c r="A4" s="3" t="inlineStr">
        <is>
          <t>#</t>
        </is>
      </c>
      <c r="B4" s="3" t="inlineStr">
        <is>
          <t>Country / territory</t>
        </is>
      </c>
      <c r="C4" s="3" t="inlineStr">
        <is>
          <t>Region</t>
        </is>
      </c>
      <c r="D4" s="3" t="inlineStr">
        <is>
          <t>What you get</t>
        </is>
      </c>
      <c r="E4" s="3" t="inlineStr">
        <is>
          <t>Stay</t>
        </is>
      </c>
      <c r="F4" s="3" t="inlineStr">
        <is>
          <t>Notes</t>
        </is>
      </c>
      <c r="G4" s="3" t="inlineStr">
        <is>
          <t>Confidence</t>
        </is>
      </c>
      <c r="H4" s="3" t="inlineStr">
        <is>
          <t>USA B1/B2 visa</t>
        </is>
      </c>
      <c r="I4" s="3" t="inlineStr">
        <is>
          <t>Schengen C visa (multi-entry)</t>
        </is>
      </c>
      <c r="J4" s="3" t="inlineStr">
        <is>
          <t>UK Standard Visitor visa</t>
        </is>
      </c>
      <c r="K4" s="3" t="inlineStr">
        <is>
          <t>Canada visitor visa (TRV)</t>
        </is>
      </c>
      <c r="L4" s="3" t="inlineStr">
        <is>
          <t>Japan visa</t>
        </is>
      </c>
      <c r="M4" s="3" t="inlineStr">
        <is>
          <t>Australia Visitor visa</t>
        </is>
      </c>
      <c r="N4" s="3" t="inlineStr">
        <is>
          <t>Singapore visa</t>
        </is>
      </c>
      <c r="O4" s="3" t="inlineStr">
        <is>
          <t>Usable NOW?</t>
        </is>
      </c>
    </row>
    <row r="5">
      <c r="A5" s="9" t="n">
        <v>1</v>
      </c>
      <c r="B5" s="9" t="inlineStr">
        <is>
          <t>Mexico</t>
        </is>
      </c>
      <c r="C5" s="9" t="inlineStr">
        <is>
          <t>Americas</t>
        </is>
      </c>
      <c r="D5" s="9" t="inlineStr">
        <is>
          <t>Visa exempt</t>
        </is>
      </c>
      <c r="E5" s="9" t="inlineStr">
        <is>
          <t>up to 180 d</t>
        </is>
      </c>
      <c r="F5" s="9" t="inlineStr">
        <is>
          <t>Australia NOT accepted. US visa is the safe one.</t>
        </is>
      </c>
      <c r="G5" s="9" t="inlineStr">
        <is>
          <t>Researched</t>
        </is>
      </c>
      <c r="H5" s="9" t="inlineStr">
        <is>
          <t>Yes</t>
        </is>
      </c>
      <c r="I5" s="9" t="inlineStr">
        <is>
          <t>Yes - often refused w/o residence proof</t>
        </is>
      </c>
      <c r="J5" s="9" t="inlineStr">
        <is>
          <t>Yes - often refused w/o residence proof</t>
        </is>
      </c>
      <c r="K5" s="9" t="inlineStr">
        <is>
          <t>Yes</t>
        </is>
      </c>
      <c r="L5" s="9" t="inlineStr">
        <is>
          <t>Yes - often refused w/o residence proof</t>
        </is>
      </c>
      <c r="M5" s="9" t="inlineStr"/>
      <c r="N5" s="9" t="inlineStr"/>
      <c r="O5" s="9">
        <f>IF(SUMPRODUCT(--($H$3:$N$3="Yes"),--(H5:N5&lt;&gt;""))&gt;0,"YES","-")</f>
        <v/>
      </c>
    </row>
    <row r="6">
      <c r="A6" s="9" t="n">
        <v>2</v>
      </c>
      <c r="B6" s="9" t="inlineStr">
        <is>
          <t>Costa Rica</t>
        </is>
      </c>
      <c r="C6" s="9" t="inlineStr">
        <is>
          <t>Americas</t>
        </is>
      </c>
      <c r="D6" s="9" t="inlineStr">
        <is>
          <t>Visa exempt</t>
        </is>
      </c>
      <c r="E6" s="9" t="inlineStr">
        <is>
          <t>~30-90 d</t>
        </is>
      </c>
      <c r="F6" s="9" t="inlineStr">
        <is>
          <t>Transit (C1-C3) US visas excluded</t>
        </is>
      </c>
      <c r="G6" s="9" t="inlineStr">
        <is>
          <t>Researched</t>
        </is>
      </c>
      <c r="H6" s="9" t="inlineStr">
        <is>
          <t>Yes - multiple-entry; valid on entry</t>
        </is>
      </c>
      <c r="I6" s="9" t="inlineStr">
        <is>
          <t>Yes - C multi-entry/D; &gt;=90 d validity left (Dec 2025 rule)</t>
        </is>
      </c>
      <c r="J6" s="9" t="inlineStr"/>
      <c r="K6" s="9" t="inlineStr">
        <is>
          <t>Yes - multiple-entry</t>
        </is>
      </c>
      <c r="L6" s="9" t="inlineStr"/>
      <c r="M6" s="9" t="inlineStr"/>
      <c r="N6" s="9" t="inlineStr"/>
      <c r="O6" s="9">
        <f>IF(SUMPRODUCT(--($H$3:$N$3="Yes"),--(H6:N6&lt;&gt;""))&gt;0,"YES","-")</f>
        <v/>
      </c>
    </row>
    <row r="7">
      <c r="A7" s="9" t="n">
        <v>3</v>
      </c>
      <c r="B7" s="9" t="inlineStr">
        <is>
          <t>Panama</t>
        </is>
      </c>
      <c r="C7" s="9" t="inlineStr">
        <is>
          <t>Americas</t>
        </is>
      </c>
      <c r="D7" s="9" t="inlineStr">
        <is>
          <t>Visa exempt</t>
        </is>
      </c>
      <c r="E7" s="9" t="inlineStr">
        <is>
          <t>30 d</t>
        </is>
      </c>
      <c r="F7" s="9" t="inlineStr">
        <is>
          <t>Your Aus visa is UNUSED so not yet valid for this</t>
        </is>
      </c>
      <c r="G7" s="9" t="inlineStr">
        <is>
          <t>Researched</t>
        </is>
      </c>
      <c r="H7" s="9" t="inlineStr">
        <is>
          <t>Yes - used once; &gt;=1 yr validity left</t>
        </is>
      </c>
      <c r="I7" s="9" t="inlineStr">
        <is>
          <t>Yes - used once; &gt;=1 yr left</t>
        </is>
      </c>
      <c r="J7" s="9" t="inlineStr">
        <is>
          <t>Yes - used once; &gt;=1 yr left</t>
        </is>
      </c>
      <c r="K7" s="9" t="inlineStr">
        <is>
          <t>Yes - used once; &gt;=1 yr left</t>
        </is>
      </c>
      <c r="L7" s="9" t="inlineStr">
        <is>
          <t>Yes - used once; &gt;=1 yr left</t>
        </is>
      </c>
      <c r="M7" s="9" t="inlineStr">
        <is>
          <t>Yes - used once; &gt;=1 yr left</t>
        </is>
      </c>
      <c r="N7" s="9" t="inlineStr"/>
      <c r="O7" s="9">
        <f>IF(SUMPRODUCT(--($H$3:$N$3="Yes"),--(H7:N7&lt;&gt;""))&gt;0,"YES","-")</f>
        <v/>
      </c>
    </row>
    <row r="8">
      <c r="A8" s="9" t="n">
        <v>4</v>
      </c>
      <c r="B8" s="9" t="inlineStr">
        <is>
          <t>Belize</t>
        </is>
      </c>
      <c r="C8" s="9" t="inlineStr">
        <is>
          <t>Americas</t>
        </is>
      </c>
      <c r="D8" s="9" t="inlineStr">
        <is>
          <t>Visa-free (Schengen) / VoA (US, CA)</t>
        </is>
      </c>
      <c r="E8" s="9" t="inlineStr">
        <is>
          <t>90 d</t>
        </is>
      </c>
      <c r="F8" s="9" t="inlineStr"/>
      <c r="G8" s="9" t="inlineStr">
        <is>
          <t>Researched</t>
        </is>
      </c>
      <c r="H8" s="9" t="inlineStr">
        <is>
          <t>Yes - multiple-entry -&gt; VoA</t>
        </is>
      </c>
      <c r="I8" s="9" t="inlineStr">
        <is>
          <t>Yes - multi-entry -&gt; visa-free</t>
        </is>
      </c>
      <c r="J8" s="9" t="inlineStr"/>
      <c r="K8" s="9" t="inlineStr">
        <is>
          <t>Yes - multiple-entry -&gt; VoA</t>
        </is>
      </c>
      <c r="L8" s="9" t="inlineStr"/>
      <c r="M8" s="9" t="inlineStr"/>
      <c r="N8" s="9" t="inlineStr"/>
      <c r="O8" s="9">
        <f>IF(SUMPRODUCT(--($H$3:$N$3="Yes"),--(H8:N8&lt;&gt;""))&gt;0,"YES","-")</f>
        <v/>
      </c>
    </row>
    <row r="9">
      <c r="A9" s="9" t="n">
        <v>5</v>
      </c>
      <c r="B9" s="9" t="inlineStr">
        <is>
          <t>Guatemala</t>
        </is>
      </c>
      <c r="C9" s="9" t="inlineStr">
        <is>
          <t>Americas</t>
        </is>
      </c>
      <c r="D9" s="9" t="inlineStr">
        <is>
          <t>Visa exempt (CA-4 shared 90 d)</t>
        </is>
      </c>
      <c r="E9" s="9" t="inlineStr">
        <is>
          <t>90 d</t>
        </is>
      </c>
      <c r="F9" s="9" t="inlineStr">
        <is>
          <t>CA-4: Guatemala/El Salvador/Honduras share one 90-day clock. Nicaragua now needs prior approval</t>
        </is>
      </c>
      <c r="G9" s="9" t="inlineStr">
        <is>
          <t>Researched</t>
        </is>
      </c>
      <c r="H9" s="9" t="inlineStr">
        <is>
          <t>Yes</t>
        </is>
      </c>
      <c r="I9" s="9" t="inlineStr">
        <is>
          <t>Yes</t>
        </is>
      </c>
      <c r="J9" s="9" t="inlineStr"/>
      <c r="K9" s="9" t="inlineStr">
        <is>
          <t>Yes</t>
        </is>
      </c>
      <c r="L9" s="9" t="inlineStr"/>
      <c r="M9" s="9" t="inlineStr"/>
      <c r="N9" s="9" t="inlineStr"/>
      <c r="O9" s="9">
        <f>IF(SUMPRODUCT(--($H$3:$N$3="Yes"),--(H9:N9&lt;&gt;""))&gt;0,"YES","-")</f>
        <v/>
      </c>
    </row>
    <row r="10">
      <c r="A10" s="9" t="n">
        <v>6</v>
      </c>
      <c r="B10" s="9" t="inlineStr">
        <is>
          <t>Honduras</t>
        </is>
      </c>
      <c r="C10" s="9" t="inlineStr">
        <is>
          <t>Americas</t>
        </is>
      </c>
      <c r="D10" s="9" t="inlineStr">
        <is>
          <t>Visa exempt (CA-4)</t>
        </is>
      </c>
      <c r="E10" s="9" t="inlineStr">
        <is>
          <t>90 d</t>
        </is>
      </c>
      <c r="F10" s="9" t="inlineStr"/>
      <c r="G10" s="9" t="inlineStr">
        <is>
          <t>Researched</t>
        </is>
      </c>
      <c r="H10" s="9" t="inlineStr">
        <is>
          <t>Yes</t>
        </is>
      </c>
      <c r="I10" s="9" t="inlineStr">
        <is>
          <t>Yes</t>
        </is>
      </c>
      <c r="J10" s="9" t="inlineStr"/>
      <c r="K10" s="9" t="inlineStr">
        <is>
          <t>Yes</t>
        </is>
      </c>
      <c r="L10" s="9" t="inlineStr"/>
      <c r="M10" s="9" t="inlineStr"/>
      <c r="N10" s="9" t="inlineStr"/>
      <c r="O10" s="9">
        <f>IF(SUMPRODUCT(--($H$3:$N$3="Yes"),--(H10:N10&lt;&gt;""))&gt;0,"YES","-")</f>
        <v/>
      </c>
    </row>
    <row r="11">
      <c r="A11" s="9" t="n">
        <v>7</v>
      </c>
      <c r="B11" s="9" t="inlineStr">
        <is>
          <t>El Salvador</t>
        </is>
      </c>
      <c r="C11" s="9" t="inlineStr">
        <is>
          <t>Americas</t>
        </is>
      </c>
      <c r="D11" s="9" t="inlineStr">
        <is>
          <t>Visa exempt (CA-4)</t>
        </is>
      </c>
      <c r="E11" s="9" t="inlineStr">
        <is>
          <t>up to 180 d</t>
        </is>
      </c>
      <c r="F11" s="9" t="inlineStr">
        <is>
          <t>Verify before relying</t>
        </is>
      </c>
      <c r="G11" s="12" t="inlineStr">
        <is>
          <t>CONFIRM</t>
        </is>
      </c>
      <c r="H11" s="9" t="inlineStr">
        <is>
          <t>Yes - valid US visa (single aggregator source)</t>
        </is>
      </c>
      <c r="I11" s="9" t="inlineStr"/>
      <c r="J11" s="9" t="inlineStr"/>
      <c r="K11" s="9" t="inlineStr"/>
      <c r="L11" s="9" t="inlineStr"/>
      <c r="M11" s="9" t="inlineStr"/>
      <c r="N11" s="9" t="inlineStr"/>
      <c r="O11" s="9">
        <f>IF(SUMPRODUCT(--($H$3:$N$3="Yes"),--(H11:N11&lt;&gt;""))&gt;0,"YES","-")</f>
        <v/>
      </c>
    </row>
    <row r="12">
      <c r="A12" s="9" t="n">
        <v>8</v>
      </c>
      <c r="B12" s="9" t="inlineStr">
        <is>
          <t>Dominican Republic</t>
        </is>
      </c>
      <c r="C12" s="9" t="inlineStr">
        <is>
          <t>Americas</t>
        </is>
      </c>
      <c r="D12" s="9" t="inlineStr">
        <is>
          <t>Tourist card on arrival (~US$10)</t>
        </is>
      </c>
      <c r="E12" s="9" t="inlineStr">
        <is>
          <t>~30 d</t>
        </is>
      </c>
      <c r="F12" s="9" t="inlineStr"/>
      <c r="G12" s="9" t="inlineStr">
        <is>
          <t>Researched</t>
        </is>
      </c>
      <c r="H12" s="9" t="inlineStr">
        <is>
          <t>Yes - multiple-entry, in passport</t>
        </is>
      </c>
      <c r="I12" s="9" t="inlineStr">
        <is>
          <t>Yes - multiple-entry</t>
        </is>
      </c>
      <c r="J12" s="9" t="inlineStr">
        <is>
          <t>Yes - multiple-entry</t>
        </is>
      </c>
      <c r="K12" s="9" t="inlineStr">
        <is>
          <t>Yes - multiple-entry</t>
        </is>
      </c>
      <c r="L12" s="9" t="inlineStr"/>
      <c r="M12" s="9" t="inlineStr"/>
      <c r="N12" s="9" t="inlineStr"/>
      <c r="O12" s="9">
        <f>IF(SUMPRODUCT(--($H$3:$N$3="Yes"),--(H12:N12&lt;&gt;""))&gt;0,"YES","-")</f>
        <v/>
      </c>
    </row>
    <row r="13">
      <c r="A13" s="9" t="n">
        <v>9</v>
      </c>
      <c r="B13" s="9" t="inlineStr">
        <is>
          <t>Colombia</t>
        </is>
      </c>
      <c r="C13" s="9" t="inlineStr">
        <is>
          <t>Americas</t>
        </is>
      </c>
      <c r="D13" s="9" t="inlineStr">
        <is>
          <t>Visa exempt</t>
        </is>
      </c>
      <c r="E13" s="9" t="inlineStr">
        <is>
          <t>90 d</t>
        </is>
      </c>
      <c r="F13" s="9" t="inlineStr">
        <is>
          <t>Resolution 0439/2016 via Indian Embassy Bogota</t>
        </is>
      </c>
      <c r="G13" s="9" t="inlineStr">
        <is>
          <t>Researched</t>
        </is>
      </c>
      <c r="H13" s="9" t="inlineStr">
        <is>
          <t>Yes - not C1; &gt;=180 d validity left</t>
        </is>
      </c>
      <c r="I13" s="9" t="inlineStr">
        <is>
          <t>Yes - C or D visa</t>
        </is>
      </c>
      <c r="J13" s="9" t="inlineStr"/>
      <c r="K13" s="9" t="inlineStr"/>
      <c r="L13" s="9" t="inlineStr"/>
      <c r="M13" s="9" t="inlineStr"/>
      <c r="N13" s="9" t="inlineStr"/>
      <c r="O13" s="9">
        <f>IF(SUMPRODUCT(--($H$3:$N$3="Yes"),--(H13:N13&lt;&gt;""))&gt;0,"YES","-")</f>
        <v/>
      </c>
    </row>
    <row r="14">
      <c r="A14" s="9" t="n">
        <v>10</v>
      </c>
      <c r="B14" s="9" t="inlineStr">
        <is>
          <t>Peru</t>
        </is>
      </c>
      <c r="C14" s="9" t="inlineStr">
        <is>
          <t>Americas</t>
        </is>
      </c>
      <c r="D14" s="9" t="inlineStr">
        <is>
          <t>Visa exempt</t>
        </is>
      </c>
      <c r="E14" s="9" t="inlineStr">
        <is>
          <t>up to 180 d / 365</t>
        </is>
      </c>
      <c r="F14" s="9" t="inlineStr">
        <is>
          <t>Australia works</t>
        </is>
      </c>
      <c r="G14" s="9" t="inlineStr">
        <is>
          <t>Researched</t>
        </is>
      </c>
      <c r="H14" s="9" t="inlineStr">
        <is>
          <t>Yes - &gt;=6 mo validity left</t>
        </is>
      </c>
      <c r="I14" s="9" t="inlineStr">
        <is>
          <t>Yes</t>
        </is>
      </c>
      <c r="J14" s="9" t="inlineStr">
        <is>
          <t>Yes</t>
        </is>
      </c>
      <c r="K14" s="9" t="inlineStr">
        <is>
          <t>Yes</t>
        </is>
      </c>
      <c r="L14" s="9" t="inlineStr"/>
      <c r="M14" s="9" t="inlineStr">
        <is>
          <t>Yes - &gt;=6 mo validity left</t>
        </is>
      </c>
      <c r="N14" s="9" t="inlineStr"/>
      <c r="O14" s="9">
        <f>IF(SUMPRODUCT(--($H$3:$N$3="Yes"),--(H14:N14&lt;&gt;""))&gt;0,"YES","-")</f>
        <v/>
      </c>
    </row>
    <row r="15">
      <c r="A15" s="9" t="n">
        <v>11</v>
      </c>
      <c r="B15" s="9" t="inlineStr">
        <is>
          <t>Chile</t>
        </is>
      </c>
      <c r="C15" s="9" t="inlineStr">
        <is>
          <t>Americas</t>
        </is>
      </c>
      <c r="D15" s="9" t="inlineStr">
        <is>
          <t>Visa exempt</t>
        </is>
      </c>
      <c r="E15" s="9" t="inlineStr">
        <is>
          <t>-</t>
        </is>
      </c>
      <c r="F15" s="9" t="inlineStr"/>
      <c r="G15" s="9" t="inlineStr">
        <is>
          <t>Researched</t>
        </is>
      </c>
      <c r="H15" s="9" t="inlineStr">
        <is>
          <t>Yes - not transit C; &gt;=6 mo validity</t>
        </is>
      </c>
      <c r="I15" s="9" t="inlineStr"/>
      <c r="J15" s="9" t="inlineStr"/>
      <c r="K15" s="9" t="inlineStr"/>
      <c r="L15" s="9" t="inlineStr"/>
      <c r="M15" s="9" t="inlineStr"/>
      <c r="N15" s="9" t="inlineStr"/>
      <c r="O15" s="9">
        <f>IF(SUMPRODUCT(--($H$3:$N$3="Yes"),--(H15:N15&lt;&gt;""))&gt;0,"YES","-")</f>
        <v/>
      </c>
    </row>
    <row r="16">
      <c r="A16" s="9" t="n">
        <v>12</v>
      </c>
      <c r="B16" s="9" t="inlineStr">
        <is>
          <t>Argentina</t>
        </is>
      </c>
      <c r="C16" s="9" t="inlineStr">
        <is>
          <t>Americas</t>
        </is>
      </c>
      <c r="D16" s="9" t="inlineStr">
        <is>
          <t>Visa-free tourism (Res. 353/2025)</t>
        </is>
      </c>
      <c r="E16" s="9" t="inlineStr">
        <is>
          <t>90 d (one notice: 30 d)</t>
        </is>
      </c>
      <c r="F16" s="9" t="inlineStr">
        <is>
          <t>Also Green Card from 15 Jan 2026</t>
        </is>
      </c>
      <c r="G16" s="9" t="inlineStr">
        <is>
          <t>Researched</t>
        </is>
      </c>
      <c r="H16" s="9" t="inlineStr">
        <is>
          <t>Yes - B2 etc.; insurance required</t>
        </is>
      </c>
      <c r="I16" s="9" t="inlineStr"/>
      <c r="J16" s="9" t="inlineStr"/>
      <c r="K16" s="9" t="inlineStr"/>
      <c r="L16" s="9" t="inlineStr"/>
      <c r="M16" s="9" t="inlineStr"/>
      <c r="N16" s="9" t="inlineStr"/>
      <c r="O16" s="9">
        <f>IF(SUMPRODUCT(--($H$3:$N$3="Yes"),--(H16:N16&lt;&gt;""))&gt;0,"YES","-")</f>
        <v/>
      </c>
    </row>
    <row r="17">
      <c r="A17" s="9" t="n">
        <v>13</v>
      </c>
      <c r="B17" s="9" t="inlineStr">
        <is>
          <t>Aruba / Curacao / Bonaire / Sint Maarten</t>
        </is>
      </c>
      <c r="C17" s="9" t="inlineStr">
        <is>
          <t>Caribbean</t>
        </is>
      </c>
      <c r="D17" s="9" t="inlineStr">
        <is>
          <t>Visa exempt</t>
        </is>
      </c>
      <c r="E17" s="9" t="inlineStr">
        <is>
          <t>~30 d</t>
        </is>
      </c>
      <c r="F17" s="9" t="inlineStr">
        <is>
          <t>Single-entry visas do NOT qualify</t>
        </is>
      </c>
      <c r="G17" s="9" t="inlineStr">
        <is>
          <t>Researched</t>
        </is>
      </c>
      <c r="H17" s="9" t="inlineStr">
        <is>
          <t>Yes - multiple-entry only</t>
        </is>
      </c>
      <c r="I17" s="9" t="inlineStr">
        <is>
          <t>Yes - multiple-entry only</t>
        </is>
      </c>
      <c r="J17" s="9" t="inlineStr">
        <is>
          <t>Yes - multiple-entry only</t>
        </is>
      </c>
      <c r="K17" s="9" t="inlineStr">
        <is>
          <t>Yes - multiple-entry only</t>
        </is>
      </c>
      <c r="L17" s="9" t="inlineStr"/>
      <c r="M17" s="9" t="inlineStr"/>
      <c r="N17" s="9" t="inlineStr"/>
      <c r="O17" s="9">
        <f>IF(SUMPRODUCT(--($H$3:$N$3="Yes"),--(H17:N17&lt;&gt;""))&gt;0,"YES","-")</f>
        <v/>
      </c>
    </row>
    <row r="18">
      <c r="A18" s="9" t="n">
        <v>14</v>
      </c>
      <c r="B18" s="9" t="inlineStr">
        <is>
          <t>Bahamas</t>
        </is>
      </c>
      <c r="C18" s="9" t="inlineStr">
        <is>
          <t>Caribbean</t>
        </is>
      </c>
      <c r="D18" s="9" t="inlineStr">
        <is>
          <t>Visa-free</t>
        </is>
      </c>
      <c r="E18" s="9" t="inlineStr">
        <is>
          <t>90 d</t>
        </is>
      </c>
      <c r="F18" s="9" t="inlineStr">
        <is>
          <t>Otherwise eVisa</t>
        </is>
      </c>
      <c r="G18" s="9" t="inlineStr">
        <is>
          <t>Researched</t>
        </is>
      </c>
      <c r="H18" s="9" t="inlineStr">
        <is>
          <t>Yes</t>
        </is>
      </c>
      <c r="I18" s="9" t="inlineStr">
        <is>
          <t>Yes</t>
        </is>
      </c>
      <c r="J18" s="9" t="inlineStr">
        <is>
          <t>Yes</t>
        </is>
      </c>
      <c r="K18" s="9" t="inlineStr">
        <is>
          <t>Yes</t>
        </is>
      </c>
      <c r="L18" s="9" t="inlineStr"/>
      <c r="M18" s="9" t="inlineStr"/>
      <c r="N18" s="9" t="inlineStr"/>
      <c r="O18" s="9">
        <f>IF(SUMPRODUCT(--($H$3:$N$3="Yes"),--(H18:N18&lt;&gt;""))&gt;0,"YES","-")</f>
        <v/>
      </c>
    </row>
    <row r="19">
      <c r="A19" s="9" t="n">
        <v>15</v>
      </c>
      <c r="B19" s="9" t="inlineStr">
        <is>
          <t>Antigua &amp; Barbuda</t>
        </is>
      </c>
      <c r="C19" s="9" t="inlineStr">
        <is>
          <t>Caribbean</t>
        </is>
      </c>
      <c r="D19" s="9" t="inlineStr">
        <is>
          <t>VoA (US$100)</t>
        </is>
      </c>
      <c r="E19" s="9" t="inlineStr">
        <is>
          <t>30 d</t>
        </is>
      </c>
      <c r="F19" s="9" t="inlineStr"/>
      <c r="G19" s="9" t="inlineStr">
        <is>
          <t>Researched</t>
        </is>
      </c>
      <c r="H19" s="9" t="inlineStr">
        <is>
          <t>Yes</t>
        </is>
      </c>
      <c r="I19" s="9" t="inlineStr">
        <is>
          <t>Yes</t>
        </is>
      </c>
      <c r="J19" s="9" t="inlineStr">
        <is>
          <t>Yes</t>
        </is>
      </c>
      <c r="K19" s="9" t="inlineStr">
        <is>
          <t>Yes</t>
        </is>
      </c>
      <c r="L19" s="9" t="inlineStr"/>
      <c r="M19" s="9" t="inlineStr"/>
      <c r="N19" s="9" t="inlineStr"/>
      <c r="O19" s="9">
        <f>IF(SUMPRODUCT(--($H$3:$N$3="Yes"),--(H19:N19&lt;&gt;""))&gt;0,"YES","-")</f>
        <v/>
      </c>
    </row>
    <row r="20">
      <c r="A20" s="9" t="n">
        <v>16</v>
      </c>
      <c r="B20" s="9" t="inlineStr">
        <is>
          <t>Albania</t>
        </is>
      </c>
      <c r="C20" s="9" t="inlineStr">
        <is>
          <t>Europe (non-Schengen)</t>
        </is>
      </c>
      <c r="D20" s="9" t="inlineStr">
        <is>
          <t>Visa exempt</t>
        </is>
      </c>
      <c r="E20" s="9" t="inlineStr">
        <is>
          <t>90 d</t>
        </is>
      </c>
      <c r="F20" s="9" t="inlineStr">
        <is>
          <t>Otherwise eVisa</t>
        </is>
      </c>
      <c r="G20" s="9" t="inlineStr">
        <is>
          <t>Researched</t>
        </is>
      </c>
      <c r="H20" s="9" t="inlineStr">
        <is>
          <t>Yes - multi-entry, used once</t>
        </is>
      </c>
      <c r="I20" s="9" t="inlineStr">
        <is>
          <t>Yes - multi-entry, used once in Schengen</t>
        </is>
      </c>
      <c r="J20" s="9" t="inlineStr">
        <is>
          <t>Yes - multi-entry, used once</t>
        </is>
      </c>
      <c r="K20" s="9" t="inlineStr"/>
      <c r="L20" s="9" t="inlineStr"/>
      <c r="M20" s="9" t="inlineStr"/>
      <c r="N20" s="9" t="inlineStr"/>
      <c r="O20" s="9">
        <f>IF(SUMPRODUCT(--($H$3:$N$3="Yes"),--(H20:N20&lt;&gt;""))&gt;0,"YES","-")</f>
        <v/>
      </c>
    </row>
    <row r="21">
      <c r="A21" s="9" t="n">
        <v>17</v>
      </c>
      <c r="B21" s="9" t="inlineStr">
        <is>
          <t>Montenegro</t>
        </is>
      </c>
      <c r="C21" s="9" t="inlineStr">
        <is>
          <t>Europe (non-Schengen)</t>
        </is>
      </c>
      <c r="D21" s="9" t="inlineStr">
        <is>
          <t>Visa exempt</t>
        </is>
      </c>
      <c r="E21" s="9" t="inlineStr">
        <is>
          <t>30 d</t>
        </is>
      </c>
      <c r="F21" s="9" t="inlineStr">
        <is>
          <t>Australia works</t>
        </is>
      </c>
      <c r="G21" s="9" t="inlineStr">
        <is>
          <t>Researched</t>
        </is>
      </c>
      <c r="H21" s="9" t="inlineStr">
        <is>
          <t>Yes</t>
        </is>
      </c>
      <c r="I21" s="9" t="inlineStr">
        <is>
          <t>Yes</t>
        </is>
      </c>
      <c r="J21" s="9" t="inlineStr">
        <is>
          <t>Yes</t>
        </is>
      </c>
      <c r="K21" s="9" t="inlineStr">
        <is>
          <t>Yes</t>
        </is>
      </c>
      <c r="L21" s="9" t="inlineStr">
        <is>
          <t>Yes</t>
        </is>
      </c>
      <c r="M21" s="9" t="inlineStr">
        <is>
          <t>Yes</t>
        </is>
      </c>
      <c r="N21" s="9" t="inlineStr"/>
      <c r="O21" s="9">
        <f>IF(SUMPRODUCT(--($H$3:$N$3="Yes"),--(H21:N21&lt;&gt;""))&gt;0,"YES","-")</f>
        <v/>
      </c>
    </row>
    <row r="22">
      <c r="A22" s="9" t="n">
        <v>18</v>
      </c>
      <c r="B22" s="9" t="inlineStr">
        <is>
          <t>Serbia</t>
        </is>
      </c>
      <c r="C22" s="9" t="inlineStr">
        <is>
          <t>Europe (non-Schengen)</t>
        </is>
      </c>
      <c r="D22" s="9" t="inlineStr">
        <is>
          <t>Visa exempt</t>
        </is>
      </c>
      <c r="E22" s="9" t="inlineStr">
        <is>
          <t>90 d / 180</t>
        </is>
      </c>
      <c r="F22" s="9" t="inlineStr">
        <is>
          <t>Blogs add multi-entry/used-once conditions</t>
        </is>
      </c>
      <c r="G22" s="9" t="inlineStr">
        <is>
          <t>Researched</t>
        </is>
      </c>
      <c r="H22" s="9" t="inlineStr">
        <is>
          <t>Yes</t>
        </is>
      </c>
      <c r="I22" s="9" t="inlineStr">
        <is>
          <t>Yes</t>
        </is>
      </c>
      <c r="J22" s="9" t="inlineStr">
        <is>
          <t>Yes</t>
        </is>
      </c>
      <c r="K22" s="9" t="inlineStr"/>
      <c r="L22" s="9" t="inlineStr"/>
      <c r="M22" s="9" t="inlineStr"/>
      <c r="N22" s="9" t="inlineStr"/>
      <c r="O22" s="9">
        <f>IF(SUMPRODUCT(--($H$3:$N$3="Yes"),--(H22:N22&lt;&gt;""))&gt;0,"YES","-")</f>
        <v/>
      </c>
    </row>
    <row r="23">
      <c r="A23" s="9" t="n">
        <v>19</v>
      </c>
      <c r="B23" s="9" t="inlineStr">
        <is>
          <t>North Macedonia</t>
        </is>
      </c>
      <c r="C23" s="9" t="inlineStr">
        <is>
          <t>Europe (non-Schengen)</t>
        </is>
      </c>
      <c r="D23" s="9" t="inlineStr">
        <is>
          <t>Visa exempt</t>
        </is>
      </c>
      <c r="E23" s="9" t="inlineStr">
        <is>
          <t>15 d</t>
        </is>
      </c>
      <c r="F23" s="9" t="inlineStr">
        <is>
          <t>Onward ticket needed</t>
        </is>
      </c>
      <c r="G23" s="9" t="inlineStr">
        <is>
          <t>Researched</t>
        </is>
      </c>
      <c r="H23" s="9" t="inlineStr">
        <is>
          <t>Yes - visa physically in passport</t>
        </is>
      </c>
      <c r="I23" s="9" t="inlineStr">
        <is>
          <t>Yes - multi-entry C</t>
        </is>
      </c>
      <c r="J23" s="9" t="inlineStr">
        <is>
          <t>Yes</t>
        </is>
      </c>
      <c r="K23" s="9" t="inlineStr">
        <is>
          <t>Yes</t>
        </is>
      </c>
      <c r="L23" s="9" t="inlineStr"/>
      <c r="M23" s="9" t="inlineStr"/>
      <c r="N23" s="9" t="inlineStr"/>
      <c r="O23" s="9">
        <f>IF(SUMPRODUCT(--($H$3:$N$3="Yes"),--(H23:N23&lt;&gt;""))&gt;0,"YES","-")</f>
        <v/>
      </c>
    </row>
    <row r="24">
      <c r="A24" s="9" t="n">
        <v>20</v>
      </c>
      <c r="B24" s="9" t="inlineStr">
        <is>
          <t>Bosnia &amp; Herzegovina</t>
        </is>
      </c>
      <c r="C24" s="9" t="inlineStr">
        <is>
          <t>Europe (non-Schengen)</t>
        </is>
      </c>
      <c r="D24" s="9" t="inlineStr">
        <is>
          <t>Visa exempt</t>
        </is>
      </c>
      <c r="E24" s="9" t="inlineStr">
        <is>
          <t>30 d (some say 15)</t>
        </is>
      </c>
      <c r="F24" s="9" t="inlineStr">
        <is>
          <t>US VISA not accepted (only US residence permit) per Indian Embassy Budapest</t>
        </is>
      </c>
      <c r="G24" s="9" t="inlineStr">
        <is>
          <t>Researched</t>
        </is>
      </c>
      <c r="H24" s="9" t="inlineStr"/>
      <c r="I24" s="9" t="inlineStr">
        <is>
          <t>Yes - multi-entry visa or Schengen/EU/US residence permit</t>
        </is>
      </c>
      <c r="J24" s="9" t="inlineStr"/>
      <c r="K24" s="9" t="inlineStr"/>
      <c r="L24" s="9" t="inlineStr"/>
      <c r="M24" s="9" t="inlineStr"/>
      <c r="N24" s="9" t="inlineStr"/>
      <c r="O24" s="9">
        <f>IF(SUMPRODUCT(--($H$3:$N$3="Yes"),--(H24:N24&lt;&gt;""))&gt;0,"YES","-")</f>
        <v/>
      </c>
    </row>
    <row r="25">
      <c r="A25" s="9" t="n">
        <v>21</v>
      </c>
      <c r="B25" s="9" t="inlineStr">
        <is>
          <t>Georgia</t>
        </is>
      </c>
      <c r="C25" s="9" t="inlineStr">
        <is>
          <t>Caucasus</t>
        </is>
      </c>
      <c r="D25" s="9" t="inlineStr">
        <is>
          <t>Visa exempt</t>
        </is>
      </c>
      <c r="E25" s="9" t="inlineStr">
        <is>
          <t>90 d / 180</t>
        </is>
      </c>
      <c r="F25" s="9" t="inlineStr">
        <is>
          <t>Otherwise eVisa 30 d. Australia works</t>
        </is>
      </c>
      <c r="G25" s="9" t="inlineStr">
        <is>
          <t>Researched</t>
        </is>
      </c>
      <c r="H25" s="9" t="inlineStr">
        <is>
          <t>Yes</t>
        </is>
      </c>
      <c r="I25" s="9" t="inlineStr">
        <is>
          <t>Yes</t>
        </is>
      </c>
      <c r="J25" s="9" t="inlineStr">
        <is>
          <t>Yes</t>
        </is>
      </c>
      <c r="K25" s="9" t="inlineStr">
        <is>
          <t>Yes</t>
        </is>
      </c>
      <c r="L25" s="9" t="inlineStr">
        <is>
          <t>Yes</t>
        </is>
      </c>
      <c r="M25" s="9" t="inlineStr">
        <is>
          <t>Yes</t>
        </is>
      </c>
      <c r="N25" s="9" t="inlineStr"/>
      <c r="O25" s="9">
        <f>IF(SUMPRODUCT(--($H$3:$N$3="Yes"),--(H25:N25&lt;&gt;""))&gt;0,"YES","-")</f>
        <v/>
      </c>
    </row>
    <row r="26">
      <c r="A26" s="9" t="n">
        <v>22</v>
      </c>
      <c r="B26" s="9" t="inlineStr">
        <is>
          <t>Moldova</t>
        </is>
      </c>
      <c r="C26" s="9" t="inlineStr">
        <is>
          <t>Europe (non-Schengen)</t>
        </is>
      </c>
      <c r="D26" s="9" t="inlineStr">
        <is>
          <t>Visa exempt</t>
        </is>
      </c>
      <c r="E26" s="9" t="inlineStr">
        <is>
          <t>90 d</t>
        </is>
      </c>
      <c r="F26" s="9" t="inlineStr"/>
      <c r="G26" s="9" t="inlineStr">
        <is>
          <t>Researched</t>
        </is>
      </c>
      <c r="H26" s="9" t="inlineStr">
        <is>
          <t>Yes - not transit</t>
        </is>
      </c>
      <c r="I26" s="9" t="inlineStr"/>
      <c r="J26" s="9" t="inlineStr"/>
      <c r="K26" s="9" t="inlineStr">
        <is>
          <t>Yes</t>
        </is>
      </c>
      <c r="L26" s="9" t="inlineStr"/>
      <c r="M26" s="9" t="inlineStr"/>
      <c r="N26" s="9" t="inlineStr"/>
      <c r="O26" s="9">
        <f>IF(SUMPRODUCT(--($H$3:$N$3="Yes"),--(H26:N26&lt;&gt;""))&gt;0,"YES","-")</f>
        <v/>
      </c>
    </row>
    <row r="27">
      <c r="A27" s="9" t="n">
        <v>23</v>
      </c>
      <c r="B27" s="9" t="inlineStr">
        <is>
          <t>Armenia</t>
        </is>
      </c>
      <c r="C27" s="9" t="inlineStr">
        <is>
          <t>Caucasus</t>
        </is>
      </c>
      <c r="D27" s="9" t="inlineStr">
        <is>
          <t>VoA</t>
        </is>
      </c>
      <c r="E27" s="9" t="inlineStr">
        <is>
          <t>90 d</t>
        </is>
      </c>
      <c r="F27" s="9" t="inlineStr">
        <is>
          <t>Australia works. (Your old sheet said UK visa 120 d - recheck)</t>
        </is>
      </c>
      <c r="G27" s="9" t="inlineStr">
        <is>
          <t>Researched</t>
        </is>
      </c>
      <c r="H27" s="9" t="inlineStr">
        <is>
          <t>Yes</t>
        </is>
      </c>
      <c r="I27" s="9" t="inlineStr">
        <is>
          <t>Yes</t>
        </is>
      </c>
      <c r="J27" s="9" t="inlineStr">
        <is>
          <t>Yes</t>
        </is>
      </c>
      <c r="K27" s="9" t="inlineStr">
        <is>
          <t>Yes</t>
        </is>
      </c>
      <c r="L27" s="9" t="inlineStr">
        <is>
          <t>Yes</t>
        </is>
      </c>
      <c r="M27" s="9" t="inlineStr">
        <is>
          <t>Yes</t>
        </is>
      </c>
      <c r="N27" s="9" t="inlineStr"/>
      <c r="O27" s="9">
        <f>IF(SUMPRODUCT(--($H$3:$N$3="Yes"),--(H27:N27&lt;&gt;""))&gt;0,"YES","-")</f>
        <v/>
      </c>
    </row>
    <row r="28">
      <c r="A28" s="9" t="n">
        <v>24</v>
      </c>
      <c r="B28" s="9" t="inlineStr">
        <is>
          <t>Turkey</t>
        </is>
      </c>
      <c r="C28" s="9" t="inlineStr">
        <is>
          <t>Europe/Asia</t>
        </is>
      </c>
      <c r="D28" s="9" t="inlineStr">
        <is>
          <t>Conditional eVisa (single entry)</t>
        </is>
      </c>
      <c r="E28" s="9" t="inlineStr">
        <is>
          <t>~30 d</t>
        </is>
      </c>
      <c r="F28" s="9" t="inlineStr">
        <is>
          <t>Australia NOT accepted</t>
        </is>
      </c>
      <c r="G28" s="9" t="inlineStr">
        <is>
          <t>Researched</t>
        </is>
      </c>
      <c r="H28" s="9" t="inlineStr">
        <is>
          <t>Yes</t>
        </is>
      </c>
      <c r="I28" s="9" t="inlineStr">
        <is>
          <t>Yes</t>
        </is>
      </c>
      <c r="J28" s="9" t="inlineStr">
        <is>
          <t>Yes</t>
        </is>
      </c>
      <c r="K28" s="9" t="inlineStr"/>
      <c r="L28" s="9" t="inlineStr"/>
      <c r="M28" s="9" t="inlineStr"/>
      <c r="N28" s="9" t="inlineStr"/>
      <c r="O28" s="9">
        <f>IF(SUMPRODUCT(--($H$3:$N$3="Yes"),--(H28:N28&lt;&gt;""))&gt;0,"YES","-")</f>
        <v/>
      </c>
    </row>
    <row r="29">
      <c r="A29" s="9" t="n">
        <v>25</v>
      </c>
      <c r="B29" s="9" t="inlineStr">
        <is>
          <t>Cyprus</t>
        </is>
      </c>
      <c r="C29" s="9" t="inlineStr">
        <is>
          <t>Europe</t>
        </is>
      </c>
      <c r="D29" s="9" t="inlineStr">
        <is>
          <t>Visa exempt</t>
        </is>
      </c>
      <c r="E29" s="9" t="inlineStr">
        <is>
          <t>90 d</t>
        </is>
      </c>
      <c r="F29" s="9" t="inlineStr">
        <is>
          <t>Cyprus not yet Schengen (target 2027)</t>
        </is>
      </c>
      <c r="G29" s="9" t="inlineStr">
        <is>
          <t>Researched</t>
        </is>
      </c>
      <c r="H29" s="9" t="inlineStr"/>
      <c r="I29" s="9" t="inlineStr">
        <is>
          <t>Yes - double/multi-entry C visa</t>
        </is>
      </c>
      <c r="J29" s="9" t="inlineStr"/>
      <c r="K29" s="9" t="inlineStr"/>
      <c r="L29" s="9" t="inlineStr"/>
      <c r="M29" s="9" t="inlineStr"/>
      <c r="N29" s="9" t="inlineStr"/>
      <c r="O29" s="9">
        <f>IF(SUMPRODUCT(--($H$3:$N$3="Yes"),--(H29:N29&lt;&gt;""))&gt;0,"YES","-")</f>
        <v/>
      </c>
    </row>
    <row r="30">
      <c r="A30" s="9" t="n">
        <v>26</v>
      </c>
      <c r="B30" s="9" t="inlineStr">
        <is>
          <t>Ireland</t>
        </is>
      </c>
      <c r="C30" s="9" t="inlineStr">
        <is>
          <t>Europe</t>
        </is>
      </c>
      <c r="D30" s="9" t="inlineStr">
        <is>
          <t>Visa exempt via UK BIVS</t>
        </is>
      </c>
      <c r="E30" s="9" t="inlineStr">
        <is>
          <t>-</t>
        </is>
      </c>
      <c r="F30" s="9" t="inlineStr">
        <is>
          <t>US/Schengen give nothing</t>
        </is>
      </c>
      <c r="G30" s="9" t="inlineStr">
        <is>
          <t>Researched</t>
        </is>
      </c>
      <c r="H30" s="9" t="inlineStr"/>
      <c r="I30" s="9" t="inlineStr"/>
      <c r="J30" s="9" t="inlineStr">
        <is>
          <t>Yes - must first enter UK on a short-stay visa</t>
        </is>
      </c>
      <c r="K30" s="9" t="inlineStr"/>
      <c r="L30" s="9" t="inlineStr"/>
      <c r="M30" s="9" t="inlineStr"/>
      <c r="N30" s="9" t="inlineStr"/>
      <c r="O30" s="9">
        <f>IF(SUMPRODUCT(--($H$3:$N$3="Yes"),--(H30:N30&lt;&gt;""))&gt;0,"YES","-")</f>
        <v/>
      </c>
    </row>
    <row r="31">
      <c r="A31" s="9" t="n">
        <v>27</v>
      </c>
      <c r="B31" s="9" t="inlineStr">
        <is>
          <t>Gibraltar</t>
        </is>
      </c>
      <c r="C31" s="9" t="inlineStr">
        <is>
          <t>Europe</t>
        </is>
      </c>
      <c r="D31" s="9" t="inlineStr">
        <is>
          <t>Visa exempt</t>
        </is>
      </c>
      <c r="E31" s="9" t="inlineStr">
        <is>
          <t>90 d / 180</t>
        </is>
      </c>
      <c r="F31" s="9" t="inlineStr">
        <is>
          <t>UK-visa route ABOLISHED 15 Jul 2026. US/Aus give nothing</t>
        </is>
      </c>
      <c r="G31" s="9" t="inlineStr">
        <is>
          <t>Researched</t>
        </is>
      </c>
      <c r="H31" s="9" t="inlineStr"/>
      <c r="I31" s="9" t="inlineStr">
        <is>
          <t>Yes - any Schengen short-stay visa (from 15 Jul 2026)</t>
        </is>
      </c>
      <c r="J31" s="9" t="inlineStr"/>
      <c r="K31" s="9" t="inlineStr"/>
      <c r="L31" s="9" t="inlineStr"/>
      <c r="M31" s="9" t="inlineStr"/>
      <c r="N31" s="9" t="inlineStr"/>
      <c r="O31" s="9">
        <f>IF(SUMPRODUCT(--($H$3:$N$3="Yes"),--(H31:N31&lt;&gt;""))&gt;0,"YES","-")</f>
        <v/>
      </c>
    </row>
    <row r="32">
      <c r="A32" s="9" t="n">
        <v>28</v>
      </c>
      <c r="B32" s="9" t="inlineStr">
        <is>
          <t>UK (airside transit only)</t>
        </is>
      </c>
      <c r="C32" s="9" t="inlineStr">
        <is>
          <t>Europe</t>
        </is>
      </c>
      <c r="D32" s="9" t="inlineStr">
        <is>
          <t>DATV-exempt transit</t>
        </is>
      </c>
      <c r="E32" s="9" t="inlineStr">
        <is>
          <t>24 h airside</t>
        </is>
      </c>
      <c r="F32" s="9" t="inlineStr">
        <is>
          <t>Landside transit w/o visa is discretionary</t>
        </is>
      </c>
      <c r="G32" s="9" t="inlineStr">
        <is>
          <t>Researched</t>
        </is>
      </c>
      <c r="H32" s="9" t="inlineStr">
        <is>
          <t>Yes - to/from USA</t>
        </is>
      </c>
      <c r="I32" s="9" t="inlineStr"/>
      <c r="J32" s="9" t="inlineStr"/>
      <c r="K32" s="9" t="inlineStr">
        <is>
          <t>Yes - to/from Canada</t>
        </is>
      </c>
      <c r="L32" s="9" t="inlineStr"/>
      <c r="M32" s="9" t="inlineStr">
        <is>
          <t>Yes - to/from Australia</t>
        </is>
      </c>
      <c r="N32" s="9" t="inlineStr"/>
      <c r="O32" s="9">
        <f>IF(SUMPRODUCT(--($H$3:$N$3="Yes"),--(H32:N32&lt;&gt;""))&gt;0,"YES","-")</f>
        <v/>
      </c>
    </row>
    <row r="33">
      <c r="A33" s="9" t="n">
        <v>29</v>
      </c>
      <c r="B33" s="9" t="inlineStr">
        <is>
          <t>UAE</t>
        </is>
      </c>
      <c r="C33" s="9" t="inlineStr">
        <is>
          <t>Middle East</t>
        </is>
      </c>
      <c r="D33" s="9" t="inlineStr">
        <is>
          <t>VoA</t>
        </is>
      </c>
      <c r="E33" s="9" t="inlineStr">
        <is>
          <t>14 d (+14)</t>
        </is>
      </c>
      <c r="F33" s="9" t="inlineStr">
        <is>
          <t>Aus VISITOR visa NOT accepted (only Aus residence permits)</t>
        </is>
      </c>
      <c r="G33" s="9" t="inlineStr">
        <is>
          <t>Researched</t>
        </is>
      </c>
      <c r="H33" s="9" t="inlineStr">
        <is>
          <t>Yes</t>
        </is>
      </c>
      <c r="I33" s="9" t="inlineStr">
        <is>
          <t>Yes - EU/Schengen visa</t>
        </is>
      </c>
      <c r="J33" s="9" t="inlineStr">
        <is>
          <t>Yes</t>
        </is>
      </c>
      <c r="K33" s="9" t="inlineStr"/>
      <c r="L33" s="9" t="inlineStr"/>
      <c r="M33" s="9" t="inlineStr"/>
      <c r="N33" s="9" t="inlineStr"/>
      <c r="O33" s="9">
        <f>IF(SUMPRODUCT(--($H$3:$N$3="Yes"),--(H33:N33&lt;&gt;""))&gt;0,"YES","-")</f>
        <v/>
      </c>
    </row>
    <row r="34">
      <c r="A34" s="9" t="n">
        <v>30</v>
      </c>
      <c r="B34" s="9" t="inlineStr">
        <is>
          <t>Oman</t>
        </is>
      </c>
      <c r="C34" s="9" t="inlineStr">
        <is>
          <t>Middle East</t>
        </is>
      </c>
      <c r="D34" s="9" t="inlineStr">
        <is>
          <t>VoA / exempt</t>
        </is>
      </c>
      <c r="E34" s="9" t="inlineStr">
        <is>
          <t>14 d</t>
        </is>
      </c>
      <c r="F34" s="9" t="inlineStr">
        <is>
          <t>Australia works</t>
        </is>
      </c>
      <c r="G34" s="9" t="inlineStr">
        <is>
          <t>Researched</t>
        </is>
      </c>
      <c r="H34" s="9" t="inlineStr">
        <is>
          <t>Yes</t>
        </is>
      </c>
      <c r="I34" s="9" t="inlineStr">
        <is>
          <t>Yes</t>
        </is>
      </c>
      <c r="J34" s="9" t="inlineStr">
        <is>
          <t>Yes</t>
        </is>
      </c>
      <c r="K34" s="9" t="inlineStr">
        <is>
          <t>Yes</t>
        </is>
      </c>
      <c r="L34" s="9" t="inlineStr">
        <is>
          <t>Yes</t>
        </is>
      </c>
      <c r="M34" s="9" t="inlineStr">
        <is>
          <t>Yes</t>
        </is>
      </c>
      <c r="N34" s="9" t="inlineStr"/>
      <c r="O34" s="9">
        <f>IF(SUMPRODUCT(--($H$3:$N$3="Yes"),--(H34:N34&lt;&gt;""))&gt;0,"YES","-")</f>
        <v/>
      </c>
    </row>
    <row r="35">
      <c r="A35" s="9" t="n">
        <v>31</v>
      </c>
      <c r="B35" s="9" t="inlineStr">
        <is>
          <t>Saudi Arabia</t>
        </is>
      </c>
      <c r="C35" s="9" t="inlineStr">
        <is>
          <t>Middle East</t>
        </is>
      </c>
      <c r="D35" s="9" t="inlineStr">
        <is>
          <t>eVisa / VoA</t>
        </is>
      </c>
      <c r="E35" s="9" t="inlineStr">
        <is>
          <t>up to 90 d</t>
        </is>
      </c>
      <c r="F35" s="9" t="inlineStr">
        <is>
          <t>Aus NOT accepted</t>
        </is>
      </c>
      <c r="G35" s="9" t="inlineStr">
        <is>
          <t>Researched</t>
        </is>
      </c>
      <c r="H35" s="9" t="inlineStr">
        <is>
          <t>Yes - may need used-once</t>
        </is>
      </c>
      <c r="I35" s="9" t="inlineStr">
        <is>
          <t>Yes - may need used-once</t>
        </is>
      </c>
      <c r="J35" s="9" t="inlineStr">
        <is>
          <t>Yes - may need used-once</t>
        </is>
      </c>
      <c r="K35" s="9" t="inlineStr"/>
      <c r="L35" s="9" t="inlineStr"/>
      <c r="M35" s="9" t="inlineStr"/>
      <c r="N35" s="9" t="inlineStr"/>
      <c r="O35" s="9">
        <f>IF(SUMPRODUCT(--($H$3:$N$3="Yes"),--(H35:N35&lt;&gt;""))&gt;0,"YES","-")</f>
        <v/>
      </c>
    </row>
    <row r="36">
      <c r="A36" s="9" t="n">
        <v>32</v>
      </c>
      <c r="B36" s="9" t="inlineStr">
        <is>
          <t>Bahrain</t>
        </is>
      </c>
      <c r="C36" s="9" t="inlineStr">
        <is>
          <t>Middle East</t>
        </is>
      </c>
      <c r="D36" s="9" t="inlineStr">
        <is>
          <t>VoA / eVisa</t>
        </is>
      </c>
      <c r="E36" s="9" t="inlineStr">
        <is>
          <t>14 d</t>
        </is>
      </c>
      <c r="F36" s="9" t="inlineStr">
        <is>
          <t>Aus NOT accepted</t>
        </is>
      </c>
      <c r="G36" s="9" t="inlineStr">
        <is>
          <t>Researched</t>
        </is>
      </c>
      <c r="H36" s="9" t="inlineStr">
        <is>
          <t>Yes - visit visa/Green Card</t>
        </is>
      </c>
      <c r="I36" s="9" t="inlineStr">
        <is>
          <t>Yes</t>
        </is>
      </c>
      <c r="J36" s="9" t="inlineStr">
        <is>
          <t>Yes</t>
        </is>
      </c>
      <c r="K36" s="9" t="inlineStr"/>
      <c r="L36" s="9" t="inlineStr"/>
      <c r="M36" s="9" t="inlineStr"/>
      <c r="N36" s="9" t="inlineStr"/>
      <c r="O36" s="9">
        <f>IF(SUMPRODUCT(--($H$3:$N$3="Yes"),--(H36:N36&lt;&gt;""))&gt;0,"YES","-")</f>
        <v/>
      </c>
    </row>
    <row r="37">
      <c r="A37" s="9" t="n">
        <v>33</v>
      </c>
      <c r="B37" s="9" t="inlineStr">
        <is>
          <t>Kuwait</t>
        </is>
      </c>
      <c r="C37" s="9" t="inlineStr">
        <is>
          <t>Middle East</t>
        </is>
      </c>
      <c r="D37" s="9" t="inlineStr">
        <is>
          <t>eVisa (KWD 3)</t>
        </is>
      </c>
      <c r="E37" s="9" t="inlineStr">
        <is>
          <t>30 d</t>
        </is>
      </c>
      <c r="F37" s="9" t="inlineStr">
        <is>
          <t>Indian eligibility reported by agencies, not confirmed officially</t>
        </is>
      </c>
      <c r="G37" s="12" t="inlineStr">
        <is>
          <t>CONFIRM</t>
        </is>
      </c>
      <c r="H37" s="9" t="inlineStr">
        <is>
          <t>Yes - tourist visa &gt;=6 mo validity</t>
        </is>
      </c>
      <c r="I37" s="9" t="inlineStr">
        <is>
          <t>Yes</t>
        </is>
      </c>
      <c r="J37" s="9" t="inlineStr">
        <is>
          <t>Yes</t>
        </is>
      </c>
      <c r="K37" s="9" t="inlineStr"/>
      <c r="L37" s="9" t="inlineStr"/>
      <c r="M37" s="9" t="inlineStr"/>
      <c r="N37" s="9" t="inlineStr"/>
      <c r="O37" s="9">
        <f>IF(SUMPRODUCT(--($H$3:$N$3="Yes"),--(H37:N37&lt;&gt;""))&gt;0,"YES","-")</f>
        <v/>
      </c>
    </row>
    <row r="38">
      <c r="A38" s="9" t="n">
        <v>34</v>
      </c>
      <c r="B38" s="9" t="inlineStr">
        <is>
          <t>Egypt</t>
        </is>
      </c>
      <c r="C38" s="9" t="inlineStr">
        <is>
          <t>Middle East / Africa</t>
        </is>
      </c>
      <c r="D38" s="9" t="inlineStr">
        <is>
          <t>VoA (~US$25)</t>
        </is>
      </c>
      <c r="E38" s="9" t="inlineStr">
        <is>
          <t>30 d</t>
        </is>
      </c>
      <c r="F38" s="9" t="inlineStr">
        <is>
          <t>MEA list: used US/Schengen/UK/GCC visa; otherwise eVisa</t>
        </is>
      </c>
      <c r="G38" s="9" t="inlineStr">
        <is>
          <t>Researched</t>
        </is>
      </c>
      <c r="H38" s="9" t="inlineStr">
        <is>
          <t>Yes - visa must be USED</t>
        </is>
      </c>
      <c r="I38" s="9" t="inlineStr">
        <is>
          <t>Yes - used</t>
        </is>
      </c>
      <c r="J38" s="9" t="inlineStr">
        <is>
          <t>Yes - used</t>
        </is>
      </c>
      <c r="K38" s="9" t="inlineStr"/>
      <c r="L38" s="9" t="inlineStr"/>
      <c r="M38" s="9" t="inlineStr"/>
      <c r="N38" s="9" t="inlineStr"/>
      <c r="O38" s="9">
        <f>IF(SUMPRODUCT(--($H$3:$N$3="Yes"),--(H38:N38&lt;&gt;""))&gt;0,"YES","-")</f>
        <v/>
      </c>
    </row>
    <row r="39">
      <c r="A39" s="9" t="n">
        <v>35</v>
      </c>
      <c r="B39" s="9" t="inlineStr">
        <is>
          <t>Bermuda</t>
        </is>
      </c>
      <c r="C39" s="9" t="inlineStr">
        <is>
          <t>Caribbean</t>
        </is>
      </c>
      <c r="D39" s="9" t="inlineStr">
        <is>
          <t>Visa-free</t>
        </is>
      </c>
      <c r="E39" s="9" t="inlineStr">
        <is>
          <t>up to 180 d/yr</t>
        </is>
      </c>
      <c r="F39" s="9" t="inlineStr">
        <is>
          <t>Bermuda no longer issues own visas</t>
        </is>
      </c>
      <c r="G39" s="9" t="inlineStr">
        <is>
          <t>Researched</t>
        </is>
      </c>
      <c r="H39" s="9" t="inlineStr">
        <is>
          <t>Yes - &gt;=45 d validity beyond departure</t>
        </is>
      </c>
      <c r="I39" s="9" t="inlineStr"/>
      <c r="J39" s="9" t="inlineStr">
        <is>
          <t>Yes</t>
        </is>
      </c>
      <c r="K39" s="9" t="inlineStr">
        <is>
          <t>Yes</t>
        </is>
      </c>
      <c r="L39" s="9" t="inlineStr"/>
      <c r="M39" s="9" t="inlineStr"/>
      <c r="N39" s="9" t="inlineStr"/>
      <c r="O39" s="9">
        <f>IF(SUMPRODUCT(--($H$3:$N$3="Yes"),--(H39:N39&lt;&gt;""))&gt;0,"YES","-")</f>
        <v/>
      </c>
    </row>
    <row r="40">
      <c r="A40" s="9" t="n">
        <v>36</v>
      </c>
      <c r="B40" s="9" t="inlineStr">
        <is>
          <t>Cayman Islands</t>
        </is>
      </c>
      <c r="C40" s="9" t="inlineStr">
        <is>
          <t>Caribbean</t>
        </is>
      </c>
      <c r="D40" s="9" t="inlineStr">
        <is>
          <t>Visa-free</t>
        </is>
      </c>
      <c r="E40" s="9" t="inlineStr">
        <is>
          <t>30 d</t>
        </is>
      </c>
      <c r="F40" s="9" t="inlineStr"/>
      <c r="G40" s="9" t="inlineStr">
        <is>
          <t>Researched</t>
        </is>
      </c>
      <c r="H40" s="9" t="inlineStr">
        <is>
          <t>Yes - arriving DIRECT from that country</t>
        </is>
      </c>
      <c r="I40" s="9" t="inlineStr"/>
      <c r="J40" s="9" t="inlineStr">
        <is>
          <t>Yes - direct</t>
        </is>
      </c>
      <c r="K40" s="9" t="inlineStr">
        <is>
          <t>Yes - direct</t>
        </is>
      </c>
      <c r="L40" s="9" t="inlineStr"/>
      <c r="M40" s="9" t="inlineStr"/>
      <c r="N40" s="9" t="inlineStr"/>
      <c r="O40" s="9">
        <f>IF(SUMPRODUCT(--($H$3:$N$3="Yes"),--(H40:N40&lt;&gt;""))&gt;0,"YES","-")</f>
        <v/>
      </c>
    </row>
    <row r="41">
      <c r="A41" s="9" t="n">
        <v>37</v>
      </c>
      <c r="B41" s="9" t="inlineStr">
        <is>
          <t>Turks &amp; Caicos</t>
        </is>
      </c>
      <c r="C41" s="9" t="inlineStr">
        <is>
          <t>Caribbean</t>
        </is>
      </c>
      <c r="D41" s="9" t="inlineStr">
        <is>
          <t>Visa-free</t>
        </is>
      </c>
      <c r="E41" s="9" t="inlineStr">
        <is>
          <t>30-90 d</t>
        </is>
      </c>
      <c r="F41" s="9" t="inlineStr">
        <is>
          <t>Some sources list India visa-free anyway</t>
        </is>
      </c>
      <c r="G41" s="9" t="inlineStr">
        <is>
          <t>Researched</t>
        </is>
      </c>
      <c r="H41" s="9" t="inlineStr">
        <is>
          <t>Yes</t>
        </is>
      </c>
      <c r="I41" s="9" t="inlineStr"/>
      <c r="J41" s="9" t="inlineStr">
        <is>
          <t>Yes</t>
        </is>
      </c>
      <c r="K41" s="9" t="inlineStr">
        <is>
          <t>Yes</t>
        </is>
      </c>
      <c r="L41" s="9" t="inlineStr"/>
      <c r="M41" s="9" t="inlineStr"/>
      <c r="N41" s="9" t="inlineStr"/>
      <c r="O41" s="9">
        <f>IF(SUMPRODUCT(--($H$3:$N$3="Yes"),--(H41:N41&lt;&gt;""))&gt;0,"YES","-")</f>
        <v/>
      </c>
    </row>
    <row r="42">
      <c r="A42" s="9" t="n">
        <v>38</v>
      </c>
      <c r="B42" s="9" t="inlineStr">
        <is>
          <t>Anguilla</t>
        </is>
      </c>
      <c r="C42" s="9" t="inlineStr">
        <is>
          <t>Caribbean</t>
        </is>
      </c>
      <c r="D42" s="9" t="inlineStr">
        <is>
          <t>Visa-free</t>
        </is>
      </c>
      <c r="E42" s="9" t="inlineStr">
        <is>
          <t>-</t>
        </is>
      </c>
      <c r="F42" s="9" t="inlineStr"/>
      <c r="G42" s="9" t="inlineStr">
        <is>
          <t>Researched</t>
        </is>
      </c>
      <c r="H42" s="9" t="inlineStr">
        <is>
          <t>Yes</t>
        </is>
      </c>
      <c r="I42" s="9" t="inlineStr"/>
      <c r="J42" s="9" t="inlineStr">
        <is>
          <t>Yes</t>
        </is>
      </c>
      <c r="K42" s="9" t="inlineStr">
        <is>
          <t>Yes</t>
        </is>
      </c>
      <c r="L42" s="9" t="inlineStr"/>
      <c r="M42" s="9" t="inlineStr"/>
      <c r="N42" s="9" t="inlineStr"/>
      <c r="O42" s="9">
        <f>IF(SUMPRODUCT(--($H$3:$N$3="Yes"),--(H42:N42&lt;&gt;""))&gt;0,"YES","-")</f>
        <v/>
      </c>
    </row>
    <row r="43">
      <c r="A43" s="9" t="n">
        <v>39</v>
      </c>
      <c r="B43" s="9" t="inlineStr">
        <is>
          <t>Kosovo</t>
        </is>
      </c>
      <c r="C43" s="9" t="inlineStr">
        <is>
          <t>Europe (non-Schengen)</t>
        </is>
      </c>
      <c r="D43" s="9" t="inlineStr">
        <is>
          <t>Visa exempt</t>
        </is>
      </c>
      <c r="E43" s="9" t="inlineStr">
        <is>
          <t>15 d</t>
        </is>
      </c>
      <c r="F43" s="9" t="inlineStr">
        <is>
          <t>Wikipedia table; some sources say visa required</t>
        </is>
      </c>
      <c r="G43" s="12" t="inlineStr">
        <is>
          <t>CONFIRM</t>
        </is>
      </c>
      <c r="H43" s="9" t="inlineStr">
        <is>
          <t>Yes</t>
        </is>
      </c>
      <c r="I43" s="9" t="inlineStr">
        <is>
          <t>Yes - multi-entry visa or biometric RP</t>
        </is>
      </c>
      <c r="J43" s="9" t="inlineStr"/>
      <c r="K43" s="9" t="inlineStr">
        <is>
          <t>Yes</t>
        </is>
      </c>
      <c r="L43" s="9" t="inlineStr">
        <is>
          <t>Yes</t>
        </is>
      </c>
      <c r="M43" s="9" t="inlineStr">
        <is>
          <t>Yes</t>
        </is>
      </c>
      <c r="N43" s="9" t="inlineStr"/>
      <c r="O43" s="9">
        <f>IF(SUMPRODUCT(--($H$3:$N$3="Yes"),--(H43:N43&lt;&gt;""))&gt;0,"YES","-")</f>
        <v/>
      </c>
    </row>
    <row r="44">
      <c r="A44" s="9" t="n">
        <v>40</v>
      </c>
      <c r="B44" s="9" t="inlineStr">
        <is>
          <t>Belarus</t>
        </is>
      </c>
      <c r="C44" s="9" t="inlineStr">
        <is>
          <t>Europe</t>
        </is>
      </c>
      <c r="D44" s="9" t="inlineStr">
        <is>
          <t>Visa-free via Minsk airport only</t>
        </is>
      </c>
      <c r="E44" s="9" t="inlineStr">
        <is>
          <t>30 d</t>
        </is>
      </c>
      <c r="F44" s="9" t="inlineStr">
        <is>
          <t>Travel advisories - avoid</t>
        </is>
      </c>
      <c r="G44" s="9" t="inlineStr">
        <is>
          <t>Researched</t>
        </is>
      </c>
      <c r="H44" s="9" t="inlineStr"/>
      <c r="I44" s="9" t="inlineStr">
        <is>
          <t>Yes - EU/Schengen visa; void if travelling to/from Russia</t>
        </is>
      </c>
      <c r="J44" s="9" t="inlineStr"/>
      <c r="K44" s="9" t="inlineStr"/>
      <c r="L44" s="9" t="inlineStr"/>
      <c r="M44" s="9" t="inlineStr"/>
      <c r="N44" s="9" t="inlineStr"/>
      <c r="O44" s="9">
        <f>IF(SUMPRODUCT(--($H$3:$N$3="Yes"),--(H44:N44&lt;&gt;""))&gt;0,"YES","-")</f>
        <v/>
      </c>
    </row>
    <row r="45">
      <c r="A45" s="9" t="n">
        <v>41</v>
      </c>
      <c r="B45" s="9" t="inlineStr">
        <is>
          <t>Kyrgyzstan</t>
        </is>
      </c>
      <c r="C45" s="9" t="inlineStr">
        <is>
          <t>Central Asia</t>
        </is>
      </c>
      <c r="D45" s="9" t="inlineStr">
        <is>
          <t>Visa-free (Manas airport)</t>
        </is>
      </c>
      <c r="E45" s="9" t="inlineStr">
        <is>
          <t>7 d</t>
        </is>
      </c>
      <c r="F45" s="9" t="inlineStr">
        <is>
          <t>Wikipedia table</t>
        </is>
      </c>
      <c r="G45" s="12" t="inlineStr">
        <is>
          <t>CONFIRM</t>
        </is>
      </c>
      <c r="H45" s="9" t="inlineStr">
        <is>
          <t>Yes - visa valid &gt;3 yrs</t>
        </is>
      </c>
      <c r="I45" s="9" t="inlineStr">
        <is>
          <t>Yes</t>
        </is>
      </c>
      <c r="J45" s="9" t="inlineStr">
        <is>
          <t>Yes</t>
        </is>
      </c>
      <c r="K45" s="9" t="inlineStr"/>
      <c r="L45" s="9" t="inlineStr"/>
      <c r="M45" s="9" t="inlineStr"/>
      <c r="N45" s="9" t="inlineStr"/>
      <c r="O45" s="9">
        <f>IF(SUMPRODUCT(--($H$3:$N$3="Yes"),--(H45:N45&lt;&gt;""))&gt;0,"YES","-")</f>
        <v/>
      </c>
    </row>
    <row r="46">
      <c r="A46" s="9" t="n">
        <v>42</v>
      </c>
      <c r="B46" s="9" t="inlineStr">
        <is>
          <t>Qatar (Hayya A3)</t>
        </is>
      </c>
      <c r="C46" s="9" t="inlineStr">
        <is>
          <t>Middle East</t>
        </is>
      </c>
      <c r="D46" s="9" t="inlineStr">
        <is>
          <t>Pre-arrival ETA QAR 100</t>
        </is>
      </c>
      <c r="E46" s="9" t="inlineStr">
        <is>
          <t>30 d</t>
        </is>
      </c>
      <c r="F46" s="9" t="inlineStr">
        <is>
          <t>MARGINAL: Indians already get 30-day free visa waiver on arrival (Discover Qatar hotel + return ticket)</t>
        </is>
      </c>
      <c r="G46" s="9" t="inlineStr">
        <is>
          <t>Researched</t>
        </is>
      </c>
      <c r="H46" s="9" t="inlineStr">
        <is>
          <t>Yes</t>
        </is>
      </c>
      <c r="I46" s="9" t="inlineStr">
        <is>
          <t>Yes</t>
        </is>
      </c>
      <c r="J46" s="9" t="inlineStr">
        <is>
          <t>Yes</t>
        </is>
      </c>
      <c r="K46" s="9" t="inlineStr">
        <is>
          <t>Yes</t>
        </is>
      </c>
      <c r="L46" s="9" t="inlineStr"/>
      <c r="M46" s="9" t="inlineStr">
        <is>
          <t>Yes</t>
        </is>
      </c>
      <c r="N46" s="9" t="inlineStr"/>
      <c r="O46" s="9">
        <f>IF(SUMPRODUCT(--($H$3:$N$3="Yes"),--(H46:N46&lt;&gt;""))&gt;0,"YES","-")</f>
        <v/>
      </c>
    </row>
    <row r="47">
      <c r="A47" s="9" t="n">
        <v>43</v>
      </c>
      <c r="B47" s="9" t="inlineStr">
        <is>
          <t>Philippines</t>
        </is>
      </c>
      <c r="C47" s="9" t="inlineStr">
        <is>
          <t>Asia-Pacific</t>
        </is>
      </c>
      <c r="D47" s="9" t="inlineStr">
        <is>
          <t>Visa-free</t>
        </is>
      </c>
      <c r="E47" s="9" t="inlineStr">
        <is>
          <t>30 d (vs 14 d normally)</t>
        </is>
      </c>
      <c r="F47" s="9" t="inlineStr">
        <is>
          <t>Australia works; 6 mo passport, return ticket</t>
        </is>
      </c>
      <c r="G47" s="9" t="inlineStr">
        <is>
          <t>Researched</t>
        </is>
      </c>
      <c r="H47" s="9" t="inlineStr">
        <is>
          <t>Yes</t>
        </is>
      </c>
      <c r="I47" s="9" t="inlineStr">
        <is>
          <t>Yes</t>
        </is>
      </c>
      <c r="J47" s="9" t="inlineStr">
        <is>
          <t>Yes</t>
        </is>
      </c>
      <c r="K47" s="9" t="inlineStr">
        <is>
          <t>Yes</t>
        </is>
      </c>
      <c r="L47" s="9" t="inlineStr">
        <is>
          <t>Yes</t>
        </is>
      </c>
      <c r="M47" s="9" t="inlineStr">
        <is>
          <t>Yes</t>
        </is>
      </c>
      <c r="N47" s="9" t="inlineStr">
        <is>
          <t>Yes</t>
        </is>
      </c>
      <c r="O47" s="9">
        <f>IF(SUMPRODUCT(--($H$3:$N$3="Yes"),--(H47:N47&lt;&gt;""))&gt;0,"YES","-")</f>
        <v/>
      </c>
    </row>
    <row r="48">
      <c r="A48" s="9" t="n">
        <v>44</v>
      </c>
      <c r="B48" s="9" t="inlineStr">
        <is>
          <t>Taiwan</t>
        </is>
      </c>
      <c r="C48" s="9" t="inlineStr">
        <is>
          <t>Asia-Pacific</t>
        </is>
      </c>
      <c r="D48" s="9" t="inlineStr">
        <is>
          <t>Travel Authorization Certificate</t>
        </is>
      </c>
      <c r="E48" s="9" t="inlineStr">
        <is>
          <t>14 d (old 30 d outdated)</t>
        </is>
      </c>
      <c r="F48" s="9" t="inlineStr">
        <is>
          <t>Expired visas also count</t>
        </is>
      </c>
      <c r="G48" s="9" t="inlineStr">
        <is>
          <t>Researched</t>
        </is>
      </c>
      <c r="H48" s="9" t="inlineStr">
        <is>
          <t>Yes - even if expired &lt;10 yrs</t>
        </is>
      </c>
      <c r="I48" s="9" t="inlineStr">
        <is>
          <t>Yes</t>
        </is>
      </c>
      <c r="J48" s="9" t="inlineStr">
        <is>
          <t>Yes</t>
        </is>
      </c>
      <c r="K48" s="9" t="inlineStr">
        <is>
          <t>Yes</t>
        </is>
      </c>
      <c r="L48" s="9" t="inlineStr">
        <is>
          <t>Yes</t>
        </is>
      </c>
      <c r="M48" s="9" t="inlineStr">
        <is>
          <t>Yes</t>
        </is>
      </c>
      <c r="N48" s="9" t="inlineStr"/>
      <c r="O48" s="9">
        <f>IF(SUMPRODUCT(--($H$3:$N$3="Yes"),--(H48:N48&lt;&gt;""))&gt;0,"YES","-")</f>
        <v/>
      </c>
    </row>
    <row r="49">
      <c r="A49" s="9" t="n">
        <v>45</v>
      </c>
      <c r="B49" s="9" t="inlineStr">
        <is>
          <t>South Korea (transit)</t>
        </is>
      </c>
      <c r="C49" s="9" t="inlineStr">
        <is>
          <t>Asia-Pacific</t>
        </is>
      </c>
      <c r="D49" s="9" t="inlineStr">
        <is>
          <t>Visa-free B-2 transit</t>
        </is>
      </c>
      <c r="E49" s="9" t="inlineStr">
        <is>
          <t>up to 30 d, onward ticket</t>
        </is>
      </c>
      <c r="F49" s="9" t="inlineStr">
        <is>
          <t>Must continue to 3rd country</t>
        </is>
      </c>
      <c r="G49" s="9" t="inlineStr">
        <is>
          <t>Researched</t>
        </is>
      </c>
      <c r="H49" s="9" t="inlineStr">
        <is>
          <t>Yes</t>
        </is>
      </c>
      <c r="I49" s="9" t="inlineStr">
        <is>
          <t>Yes - European visa</t>
        </is>
      </c>
      <c r="J49" s="9" t="inlineStr"/>
      <c r="K49" s="9" t="inlineStr">
        <is>
          <t>Yes</t>
        </is>
      </c>
      <c r="L49" s="9" t="inlineStr"/>
      <c r="M49" s="9" t="inlineStr">
        <is>
          <t>Yes - checked via VEVO</t>
        </is>
      </c>
      <c r="N49" s="9" t="inlineStr"/>
      <c r="O49" s="9">
        <f>IF(SUMPRODUCT(--($H$3:$N$3="Yes"),--(H49:N49&lt;&gt;""))&gt;0,"YES","-")</f>
        <v/>
      </c>
    </row>
    <row r="50">
      <c r="A50" s="9" t="n">
        <v>46</v>
      </c>
      <c r="B50" s="9" t="inlineStr">
        <is>
          <t>Singapore (transit)</t>
        </is>
      </c>
      <c r="C50" s="9" t="inlineStr">
        <is>
          <t>Asia-Pacific</t>
        </is>
      </c>
      <c r="D50" s="9" t="inlineStr">
        <is>
          <t>96-hr visa-free transit (VFTF)</t>
        </is>
      </c>
      <c r="E50" s="9" t="inlineStr">
        <is>
          <t>96 h</t>
        </is>
      </c>
      <c r="F50" s="9" t="inlineStr">
        <is>
          <t>Onward ticket within 96 h; ICA official rule</t>
        </is>
      </c>
      <c r="G50" s="9" t="inlineStr">
        <is>
          <t>Researched</t>
        </is>
      </c>
      <c r="H50" s="9" t="inlineStr">
        <is>
          <t>Yes - &gt;=1 mo validity</t>
        </is>
      </c>
      <c r="I50" s="9" t="inlineStr">
        <is>
          <t>Yes - ONLY German- or Swiss-issued Schengen visas count</t>
        </is>
      </c>
      <c r="J50" s="9" t="inlineStr">
        <is>
          <t>Yes</t>
        </is>
      </c>
      <c r="K50" s="9" t="inlineStr">
        <is>
          <t>Yes</t>
        </is>
      </c>
      <c r="L50" s="9" t="inlineStr">
        <is>
          <t>Yes</t>
        </is>
      </c>
      <c r="M50" s="9" t="inlineStr">
        <is>
          <t>Yes</t>
        </is>
      </c>
      <c r="N50" s="9" t="inlineStr"/>
      <c r="O50" s="9">
        <f>IF(SUMPRODUCT(--($H$3:$N$3="Yes"),--(H50:N50&lt;&gt;""))&gt;0,"YES","-")</f>
        <v/>
      </c>
    </row>
    <row r="52" ht="48" customHeight="1">
      <c r="A5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O50"/>
  <mergeCells count="1">
    <mergeCell ref="A52:O52"/>
  </mergeCells>
  <conditionalFormatting sqref="O5:O90">
    <cfRule type="cellIs" priority="1" operator="equal" dxfId="2">
      <formula>"YES"</formula>
    </cfRule>
  </conditionalFormatting>
  <dataValidations count="1">
    <dataValidation sqref="H3:N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J43"/>
  <sheetViews>
    <sheetView zoomScale="100" workbookViewId="0">
      <pane ySplit="4" topLeftCell="A5" activePane="bottomLeft" state="frozen"/>
      <selection pane="bottomLeft" activeCell="A1" sqref="A1"/>
    </sheetView>
  </sheetViews>
  <sheetFormatPr baseColWidth="8" defaultRowHeight="15"/>
  <cols>
    <col width="6" customWidth="1" min="1" max="1"/>
    <col width="38" customWidth="1" min="2" max="2"/>
    <col width="24" customWidth="1" min="3" max="3"/>
    <col width="16" customWidth="1" min="4" max="4"/>
    <col width="12" customWidth="1" min="5" max="5"/>
    <col width="52" customWidth="1" min="6" max="6"/>
    <col width="34" customWidth="1" min="7" max="7"/>
    <col width="52" customWidth="1" min="8" max="8"/>
    <col width="52" customWidth="1" min="9" max="9"/>
    <col width="14" customWidth="1" min="10" max="10"/>
  </cols>
  <sheetData>
    <row r="1">
      <c r="A1" s="1" t="inlineStr">
        <is>
          <t>Power Visas - ranked strategy for an Indian passport (deep research 21 Oct 2026)</t>
        </is>
      </c>
    </row>
    <row r="2">
      <c r="A2" s="2" t="inlineStr">
        <is>
          <t>Which visa to obtain next. 'Unique vs US' = destinations the visa unlocks that your US B1/B2 does NOT. Counts from the Access Map (auto) + research.</t>
        </is>
      </c>
    </row>
    <row r="4">
      <c r="A4" s="3" t="inlineStr">
        <is>
          <t>Rank</t>
        </is>
      </c>
      <c r="B4" s="3" t="inlineStr">
        <is>
          <t>Document</t>
        </is>
      </c>
      <c r="C4" s="3" t="inlineStr">
        <is>
          <t>Status</t>
        </is>
      </c>
      <c r="D4" s="3" t="inlineStr">
        <is>
          <t>3rd-country unlocks (research)</t>
        </is>
      </c>
      <c r="E4" s="3" t="inlineStr">
        <is>
          <t>Overlap with US visa</t>
        </is>
      </c>
      <c r="F4" s="3" t="inlineStr">
        <is>
          <t>UNIQUE vs US visa (the real gain)</t>
        </is>
      </c>
      <c r="G4" s="3" t="inlineStr">
        <is>
          <t>Own territory covered</t>
        </is>
      </c>
      <c r="H4" s="3" t="inlineStr">
        <is>
          <t>Cost / validity / conditions</t>
        </is>
      </c>
      <c r="I4" s="3" t="inlineStr">
        <is>
          <t>Verdict</t>
        </is>
      </c>
      <c r="J4" s="3" t="inlineStr">
        <is>
          <t>Access-Map count (auto)</t>
        </is>
      </c>
    </row>
    <row r="5">
      <c r="A5" s="17" t="n">
        <v>1</v>
      </c>
      <c r="B5" s="17" t="inlineStr">
        <is>
          <t>Schengen C multiple-entry (2-yr -&gt; 5-yr via EU cascade)</t>
        </is>
      </c>
      <c r="C5" s="18" t="inlineStr">
        <is>
          <t>EXPIRED Apr 2026</t>
        </is>
      </c>
      <c r="D5" s="17" t="inlineStr">
        <is>
          <t>~36</t>
        </is>
      </c>
      <c r="E5" s="17" t="inlineStr">
        <is>
          <t>28</t>
        </is>
      </c>
      <c r="F5" s="17" t="inlineStr">
        <is>
          <t>8 (Albania via Schengen route, Bosnia, Cyprus, Gibraltar, Belize visa-free, Belarus, Kyrgyzstan, Singapore VFTF via DE/CH)</t>
        </is>
      </c>
      <c r="G5" s="17" t="inlineStr">
        <is>
          <t>29 Schengen states + Monaco, San Marino, Vatican, Andorra</t>
        </is>
      </c>
      <c r="H5" s="17" t="inlineStr">
        <is>
          <t>EUR 90 fee; 2-yr MEV now (you have 2 used visas in 3 yrs), then 5-yr if passport has &gt;=5.5 yrs validity -&gt; renew passport FIRST, then apply for 5-yr</t>
        </is>
      </c>
      <c r="I5" s="17" t="inlineStr">
        <is>
          <t>APPLY FIRST. Biggest single reach gain: ~65 destinations</t>
        </is>
      </c>
      <c r="J5" s="17">
        <f>COUNTIF('Access Map'!I5:I50,"?*")</f>
        <v/>
      </c>
    </row>
    <row r="6">
      <c r="A6" s="9" t="n">
        <v>2</v>
      </c>
      <c r="B6" s="9" t="inlineStr">
        <is>
          <t>USA B1/B2 (10-yr)</t>
        </is>
      </c>
      <c r="C6" s="17" t="inlineStr">
        <is>
          <t>HELD to Dec 2034 - used once</t>
        </is>
      </c>
      <c r="D6" s="9" t="inlineStr">
        <is>
          <t>~33 (22-42 by source)</t>
        </is>
      </c>
      <c r="E6" s="9" t="inlineStr">
        <is>
          <t>-</t>
        </is>
      </c>
      <c r="F6" s="9" t="inlineStr">
        <is>
          <t>-</t>
        </is>
      </c>
      <c r="G6" s="9" t="inlineStr">
        <is>
          <t>USA</t>
        </is>
      </c>
      <c r="H6" s="9" t="inlineStr">
        <is>
          <t>-</t>
        </is>
      </c>
      <c r="I6" s="9" t="inlineStr">
        <is>
          <t>Keep; carry the passport that holds it after renewal</t>
        </is>
      </c>
      <c r="J6" s="9">
        <f>COUNTIF('Access Map'!H5:H50,"?*")</f>
        <v/>
      </c>
    </row>
    <row r="7">
      <c r="A7" s="9" t="n">
        <v>3</v>
      </c>
      <c r="B7" s="9" t="inlineStr">
        <is>
          <t>UK Standard Visitor (2-yr / 5-yr / 10-yr)</t>
        </is>
      </c>
      <c r="C7" s="18" t="inlineStr">
        <is>
          <t>EXPIRED Dec 2024</t>
        </is>
      </c>
      <c r="D7" s="9" t="inlineStr">
        <is>
          <t>~31 (+5 Caribbean BOTs)</t>
        </is>
      </c>
      <c r="E7" s="9" t="inlineStr">
        <is>
          <t>26</t>
        </is>
      </c>
      <c r="F7" s="9" t="inlineStr">
        <is>
          <t>Ireland (BIVS - must enter UK first); Albania via UK route</t>
        </is>
      </c>
      <c r="G7" s="9" t="inlineStr">
        <is>
          <t>UK + Ireland</t>
        </is>
      </c>
      <c r="H7" s="9" t="inlineStr">
        <is>
          <t>GBP 135 (6-mo) / 506 (2-yr) / 903 (5-yr) / 1,128 (10-yr) from 8 Apr 2026. No ETA for Indians</t>
        </is>
      </c>
      <c r="I7" s="9" t="inlineStr">
        <is>
          <t>APPLY SECOND - needed for every UK yatra anyway; take 2-yr or 5-yr. Gibraltar via UK visa ENDED 15 Jul 2026</t>
        </is>
      </c>
      <c r="J7" s="9">
        <f>COUNTIF('Access Map'!J5:J50,"?*")</f>
        <v/>
      </c>
    </row>
    <row r="8">
      <c r="A8" s="9" t="n">
        <v>4</v>
      </c>
      <c r="B8" s="9" t="inlineStr">
        <is>
          <t>Australia Visitor 600</t>
        </is>
      </c>
      <c r="C8" s="17" t="inlineStr">
        <is>
          <t>HELD to Nov 2030 (Business Visitor stream)</t>
        </is>
      </c>
      <c r="D8" s="9" t="inlineStr">
        <is>
          <t>~11</t>
        </is>
      </c>
      <c r="E8" s="9" t="inlineStr">
        <is>
          <t>11</t>
        </is>
      </c>
      <c r="F8" s="9" t="inlineStr">
        <is>
          <t>0</t>
        </is>
      </c>
      <c r="G8" s="9" t="inlineStr">
        <is>
          <t>Australia</t>
        </is>
      </c>
      <c r="H8" s="9" t="inlineStr">
        <is>
          <t>Check Tourist-stream for pilgrimage</t>
        </is>
      </c>
      <c r="I8" s="9" t="inlineStr">
        <is>
          <t>Keep; no third-country value beyond US visa</t>
        </is>
      </c>
      <c r="J8" s="9">
        <f>COUNTIF('Access Map'!M5:M50,"?*")</f>
        <v/>
      </c>
    </row>
    <row r="9">
      <c r="A9" s="9" t="n">
        <v>5</v>
      </c>
      <c r="B9" s="9" t="inlineStr">
        <is>
          <t>Canada TRV (up to 10-yr)</t>
        </is>
      </c>
      <c r="C9" s="9" t="inlineStr">
        <is>
          <t>Not held</t>
        </is>
      </c>
      <c r="D9" s="9" t="inlineStr">
        <is>
          <t>~27</t>
        </is>
      </c>
      <c r="E9" s="9" t="inlineStr">
        <is>
          <t>27</t>
        </is>
      </c>
      <c r="F9" s="9" t="inlineStr">
        <is>
          <t>0</t>
        </is>
      </c>
      <c r="G9" s="9" t="inlineStr">
        <is>
          <t>Canada (+ Niagara Canadian side)</t>
        </is>
      </c>
      <c r="H9" s="9" t="inlineStr">
        <is>
          <t>CAD 100 + CAD 85 biometrics; validity to passport expiry; India NOT eTA-eligible</t>
        </is>
      </c>
      <c r="I9" s="9" t="inlineStr">
        <is>
          <t>Only if a Canada yatra is planned (ISKCON Toronto/Vancouver/Montreal)</t>
        </is>
      </c>
      <c r="J9" s="9">
        <f>COUNTIF('Access Map'!K5:K50,"?*")</f>
        <v/>
      </c>
    </row>
    <row r="10">
      <c r="A10" s="9" t="n">
        <v>6</v>
      </c>
      <c r="B10" s="9" t="inlineStr">
        <is>
          <t>Japan 5-yr multiple-entry</t>
        </is>
      </c>
      <c r="C10" s="9" t="inlineStr">
        <is>
          <t>Not held</t>
        </is>
      </c>
      <c r="D10" s="9" t="inlineStr">
        <is>
          <t>~10</t>
        </is>
      </c>
      <c r="E10" s="9" t="inlineStr">
        <is>
          <t>10</t>
        </is>
      </c>
      <c r="F10" s="9" t="inlineStr">
        <is>
          <t>0</t>
        </is>
      </c>
      <c r="G10" s="9" t="inlineStr">
        <is>
          <t>Japan (90 d/visit)</t>
        </is>
      </c>
      <c r="H10" s="9" t="inlineStr">
        <is>
          <t>Rs 500 via VFS; needs 2 Japan visits in 3 yrs or financial proof</t>
        </is>
      </c>
      <c r="I10" s="9" t="inlineStr">
        <is>
          <t>Only if a Japan yatra is planned</t>
        </is>
      </c>
      <c r="J10" s="9">
        <f>COUNTIF('Access Map'!L5:L50,"?*")</f>
        <v/>
      </c>
    </row>
    <row r="11">
      <c r="A11" s="9" t="n">
        <v>7</v>
      </c>
      <c r="B11" s="9" t="inlineStr">
        <is>
          <t>China visa + Tibet permits</t>
        </is>
      </c>
      <c r="C11" s="9" t="inlineStr">
        <is>
          <t>Per trip</t>
        </is>
      </c>
      <c r="D11" s="9" t="inlineStr">
        <is>
          <t>0</t>
        </is>
      </c>
      <c r="E11" s="9" t="inlineStr">
        <is>
          <t>-</t>
        </is>
      </c>
      <c r="F11" s="9" t="inlineStr">
        <is>
          <t>-</t>
        </is>
      </c>
      <c r="G11" s="9" t="inlineStr">
        <is>
          <t>China / Tibet</t>
        </is>
      </c>
      <c r="H11" s="9" t="inlineStr">
        <is>
          <t>Group visa via operator ~6 working days + TTP + ATP</t>
        </is>
      </c>
      <c r="I11" s="9" t="inlineStr">
        <is>
          <t>Per Kailash trip only (done Jun 2026)</t>
        </is>
      </c>
      <c r="J11" s="9" t="inlineStr"/>
    </row>
    <row r="12">
      <c r="A12" s="9" t="n">
        <v>8</v>
      </c>
      <c r="B12" s="9" t="inlineStr">
        <is>
          <t>Saudi eVisa/VoA (via used US visa)</t>
        </is>
      </c>
      <c r="C12" s="9" t="inlineStr">
        <is>
          <t>Eligible now</t>
        </is>
      </c>
      <c r="D12" s="9" t="inlineStr">
        <is>
          <t>0</t>
        </is>
      </c>
      <c r="E12" s="9" t="inlineStr">
        <is>
          <t>-</t>
        </is>
      </c>
      <c r="F12" s="9" t="inlineStr">
        <is>
          <t>-</t>
        </is>
      </c>
      <c r="G12" s="9" t="inlineStr">
        <is>
          <t>Saudi Arabia (Umrah possible with Nusuk)</t>
        </is>
      </c>
      <c r="H12" s="9" t="inlineStr">
        <is>
          <t>SAR 440, 1-yr multiple, &lt;=90 d</t>
        </is>
      </c>
      <c r="I12" s="9" t="inlineStr">
        <is>
          <t>Use when needed; no separate application</t>
        </is>
      </c>
      <c r="J12" s="9" t="inlineStr"/>
    </row>
    <row r="14" ht="48" customHeight="1">
      <c r="B14" s="19" t="inlineStr">
        <is>
          <t>Recommended stack: USA (have) + Schengen 5-yr + UK 5-yr = ~95 destinations reachable without a per-trip visa, plus the 55 your passport already gets. Order: (1) renew passport if applying for 5-yr Schengen, (2) Schengen MEV, (3) UK long-validity. Canada/Japan only when a yatra there is planned.</t>
        </is>
      </c>
    </row>
    <row r="16">
      <c r="B16" s="20" t="inlineStr">
        <is>
          <t>Other multi-country / special-purpose visas (status Oct 2026)</t>
        </is>
      </c>
    </row>
    <row r="17">
      <c r="A17" s="21" t="inlineStr">
        <is>
          <t>#</t>
        </is>
      </c>
      <c r="B17" s="21" t="inlineStr">
        <is>
          <t>Visa / scheme</t>
        </is>
      </c>
      <c r="C17" s="21" t="inlineStr">
        <is>
          <t>What it covers / status</t>
        </is>
      </c>
      <c r="D17" s="21" t="inlineStr">
        <is>
          <t>Yatra relevance</t>
        </is>
      </c>
      <c r="E17" s="21" t="inlineStr">
        <is>
          <t>Priority</t>
        </is>
      </c>
      <c r="F17" s="21" t="inlineStr">
        <is>
          <t>Confidence</t>
        </is>
      </c>
    </row>
    <row r="18">
      <c r="A18" s="9" t="n">
        <v>1</v>
      </c>
      <c r="B18" s="9" t="inlineStr">
        <is>
          <t>Schengen 2-yr -&gt; 5-yr MEV (EU cascade, C(2024)2434)</t>
        </is>
      </c>
      <c r="C18" s="9" t="inlineStr">
        <is>
          <t>29 Schengen states + Monaco/San Marino/Vatican/Andorra + ~36 third-country unlocks (8 that the US visa does NOT give: Albania*, Bosnia, Cyprus, Gibraltar, Belize visa-free, Belarus, Kyrgyzstan, Singapore VFTF via DE/CH)</t>
        </is>
      </c>
      <c r="D18" s="9" t="inlineStr">
        <is>
          <t>All Europe yatras; Balkans extension</t>
        </is>
      </c>
      <c r="E18" s="9" t="inlineStr">
        <is>
          <t>#1 PRIORITY - apply now (2 used visas in 3 yrs = eligible for 2-yr)</t>
        </is>
      </c>
      <c r="F18" s="9" t="inlineStr">
        <is>
          <t>Researched</t>
        </is>
      </c>
    </row>
    <row r="19">
      <c r="A19" s="9" t="n">
        <v>2</v>
      </c>
      <c r="B19" s="9" t="inlineStr">
        <is>
          <t>UK Standard Visitor 2-yr/5-yr/10-yr</t>
        </is>
      </c>
      <c r="C19" s="9" t="inlineStr">
        <is>
          <t>UK + Ireland (BIVS - enter UK first) + ~31 unlocks (26 overlap US). Fees from 8 Apr 2026: 6-mo GBP135, 2-yr GBP506, 5-yr GBP903, 10-yr GBP1,128</t>
        </is>
      </c>
      <c r="D19" s="9" t="inlineStr">
        <is>
          <t>Bhaktivedanta Manor, Ireland (Inis Rath), London yatras</t>
        </is>
      </c>
      <c r="E19" s="9" t="inlineStr">
        <is>
          <t>#2 - get 2-yr or 5-yr before next UK yatra</t>
        </is>
      </c>
      <c r="F19" s="9" t="inlineStr">
        <is>
          <t>Researched</t>
        </is>
      </c>
    </row>
    <row r="20">
      <c r="A20" s="9" t="n">
        <v>3</v>
      </c>
      <c r="B20" s="9" t="inlineStr">
        <is>
          <t>Chinese visa + Tibet Travel Permit</t>
        </is>
      </c>
      <c r="C20" s="9" t="inlineStr">
        <is>
          <t>Mainland China; Kailash via Nepal needs group visa + TTP + ATP. India NOT in China's 2025-26 visa-free / 240-h transit / Hainan lists</t>
        </is>
      </c>
      <c r="D20" s="9" t="inlineStr">
        <is>
          <t>Kailash (done Jun 2026), Buddhist circuit</t>
        </is>
      </c>
      <c r="E20" s="9" t="inlineStr">
        <is>
          <t>Per-trip only</t>
        </is>
      </c>
      <c r="F20" s="9" t="inlineStr">
        <is>
          <t>Researched</t>
        </is>
      </c>
    </row>
    <row r="21">
      <c r="A21" s="9" t="n">
        <v>4</v>
      </c>
      <c r="B21" s="9" t="inlineStr">
        <is>
          <t>GCC unified 'Grand Tours' visa (6 Gulf states)</t>
        </is>
      </c>
      <c r="C21" s="9" t="inlineStr">
        <is>
          <t>NOT launched (GCC says 'soon'; UAE-Bahrain pilot by end-2026). Fee ~US$100-150, 30-90 d; Indian eligibility unpublished</t>
        </is>
      </c>
      <c r="D21" s="9" t="inlineStr">
        <is>
          <t>Gulf transit/yatra</t>
        </is>
      </c>
      <c r="E21" s="9" t="inlineStr">
        <is>
          <t>Watch</t>
        </is>
      </c>
      <c r="F21" s="9" t="inlineStr">
        <is>
          <t>Unverified</t>
        </is>
      </c>
    </row>
    <row r="22">
      <c r="A22" s="9" t="n">
        <v>5</v>
      </c>
      <c r="B22" s="9" t="inlineStr">
        <is>
          <t>East Africa Tourist Visa (Kenya-Uganda-Rwanda)</t>
        </is>
      </c>
      <c r="C22" s="9" t="inlineStr">
        <is>
          <t>US$100, 90 d multi-entry via Uganda/Rwanda portal. Rwanda already visa-free for Indians, Kenya eTA US$32.50 -&gt; saves only Uganda's US$50</t>
        </is>
      </c>
      <c r="D22" s="9" t="inlineStr">
        <is>
          <t>Nairobi/Kampala ISKCON</t>
        </is>
      </c>
      <c r="E22" s="9" t="inlineStr">
        <is>
          <t>Low</t>
        </is>
      </c>
      <c r="F22" s="9" t="inlineStr">
        <is>
          <t>Researched</t>
        </is>
      </c>
    </row>
    <row r="23">
      <c r="A23" s="9" t="n">
        <v>6</v>
      </c>
      <c r="B23" s="9" t="inlineStr">
        <is>
          <t>KAZA UniVisa (Zambia-Zimbabwe)</t>
        </is>
      </c>
      <c r="C23" s="9" t="inlineStr">
        <is>
          <t>US$50, 30 d - but Indian eligibility NOT on published lists; use Zambia eVisa + Zimbabwe VoA</t>
        </is>
      </c>
      <c r="D23" s="9" t="inlineStr">
        <is>
          <t>Victoria Falls</t>
        </is>
      </c>
      <c r="E23" s="9" t="inlineStr">
        <is>
          <t>Low</t>
        </is>
      </c>
      <c r="F23" s="9" t="inlineStr">
        <is>
          <t>Unverified</t>
        </is>
      </c>
    </row>
    <row r="24">
      <c r="A24" s="9" t="n">
        <v>7</v>
      </c>
      <c r="B24" s="9" t="inlineStr">
        <is>
          <t>Japan 5-yr multiple-entry visa</t>
        </is>
      </c>
      <c r="C24" s="9" t="inlineStr">
        <is>
          <t>Japan itself (90 d/visit). Third-country unlocks (~10) all overlap US visa. Fee Rs 500 via VFS; needs 2 prior Japan visits in 3 yrs or financial proof</t>
        </is>
      </c>
      <c r="D24" s="9" t="inlineStr">
        <is>
          <t>Japan yatra only</t>
        </is>
      </c>
      <c r="E24" s="9" t="inlineStr">
        <is>
          <t>Only if Japan is planned</t>
        </is>
      </c>
      <c r="F24" s="9" t="inlineStr">
        <is>
          <t>Researched</t>
        </is>
      </c>
    </row>
    <row r="25">
      <c r="A25" s="9" t="n">
        <v>8</v>
      </c>
      <c r="B25" s="9" t="inlineStr">
        <is>
          <t>Canada TRV (up to 10 yrs, CAD 100 + 85 biometrics)</t>
        </is>
      </c>
      <c r="C25" s="9" t="inlineStr">
        <is>
          <t>Canada itself. All ~27 third-country unlocks overlap US visa. NO eTA for Indians even with US visa</t>
        </is>
      </c>
      <c r="D25" s="9" t="inlineStr">
        <is>
          <t>ISKCON Toronto/Vancouver/Montreal, Niagara (Canadian side)</t>
        </is>
      </c>
      <c r="E25" s="9" t="inlineStr">
        <is>
          <t>Only if Canada is planned</t>
        </is>
      </c>
      <c r="F25" s="9" t="inlineStr">
        <is>
          <t>Researched</t>
        </is>
      </c>
    </row>
    <row r="26">
      <c r="A26" s="9" t="n">
        <v>9</v>
      </c>
      <c r="B26" s="9" t="inlineStr">
        <is>
          <t>US Green Card (for comparison)</t>
        </is>
      </c>
      <c r="C26" s="9" t="inlineStr">
        <is>
          <t>Everything US visa gives + Canada (no visa), Argentina, Armenia, Chile</t>
        </is>
      </c>
      <c r="D26" s="9" t="inlineStr">
        <is>
          <t>n/a</t>
        </is>
      </c>
      <c r="E26" s="9" t="inlineStr">
        <is>
          <t>n/a</t>
        </is>
      </c>
      <c r="F26" s="9" t="inlineStr">
        <is>
          <t>Researched</t>
        </is>
      </c>
    </row>
    <row r="27">
      <c r="A27" s="9" t="n">
        <v>10</v>
      </c>
      <c r="B27" s="9" t="inlineStr">
        <is>
          <t>South Korea C-3-2 group visa (fee waiver ~US$15)</t>
        </is>
      </c>
      <c r="C27" s="9" t="inlineStr">
        <is>
          <t>Via designated agencies, extended to 31 Dec 2026; Jeju visa-free</t>
        </is>
      </c>
      <c r="D27" s="9" t="inlineStr">
        <is>
          <t>Korea yatra</t>
        </is>
      </c>
      <c r="E27" s="9" t="inlineStr">
        <is>
          <t>If planned</t>
        </is>
      </c>
      <c r="F27" s="9" t="inlineStr">
        <is>
          <t>Researched</t>
        </is>
      </c>
    </row>
    <row r="28">
      <c r="A28" s="9" t="n">
        <v>11</v>
      </c>
      <c r="B28" s="9" t="inlineStr">
        <is>
          <t>Russia unified e-Visa (16 d)</t>
        </is>
      </c>
      <c r="C28" s="9" t="inlineStr">
        <is>
          <t>India-Russia group visa-free (5-50 pax) still NOT in force</t>
        </is>
      </c>
      <c r="D28" s="9" t="inlineStr">
        <is>
          <t>ISKCON Moscow</t>
        </is>
      </c>
      <c r="E28" s="9" t="inlineStr">
        <is>
          <t>Per-trip</t>
        </is>
      </c>
      <c r="F28" s="9" t="inlineStr">
        <is>
          <t>Researched</t>
        </is>
      </c>
    </row>
    <row r="29">
      <c r="A29" s="9" t="n">
        <v>12</v>
      </c>
      <c r="B29" s="9" t="inlineStr">
        <is>
          <t>Saudi eVisa/VoA via used US/UK/Schengen visa</t>
        </is>
      </c>
      <c r="C29" s="9" t="inlineStr">
        <is>
          <t>SAR 440, 1-yr multiple, &lt;=90 d; tourist eVisa holders may do Umrah with Nusuk permit; first-time VoA may need Saudi carrier</t>
        </is>
      </c>
      <c r="D29" s="9" t="inlineStr">
        <is>
          <t>Transit/Jeddah</t>
        </is>
      </c>
      <c r="E29" s="9" t="inlineStr">
        <is>
          <t>You already qualify (US visa used)</t>
        </is>
      </c>
      <c r="F29" s="9" t="inlineStr">
        <is>
          <t>Researched</t>
        </is>
      </c>
    </row>
    <row r="31">
      <c r="B31" s="20" t="inlineStr">
        <is>
          <t>Commonly repeated claims that are WRONG (per research)</t>
        </is>
      </c>
    </row>
    <row r="32">
      <c r="A32" s="9" t="n">
        <v>1</v>
      </c>
      <c r="B32" s="9" t="inlineStr">
        <is>
          <t>UK visa gets Indians into Gibraltar - ended 15 Jul 2026</t>
        </is>
      </c>
    </row>
    <row r="33">
      <c r="A33" s="9" t="n">
        <v>2</v>
      </c>
      <c r="B33" s="9" t="inlineStr">
        <is>
          <t>US visa gives eTA for Canada - not for Indian passports</t>
        </is>
      </c>
    </row>
    <row r="34">
      <c r="A34" s="9" t="n">
        <v>3</v>
      </c>
      <c r="B34" s="9" t="inlineStr">
        <is>
          <t>Indians are visa-free in Serbia - ended Jan 2023; needs Schengen/US/UK visa</t>
        </is>
      </c>
    </row>
    <row r="35">
      <c r="A35" s="9" t="n">
        <v>4</v>
      </c>
      <c r="B35" s="9" t="inlineStr">
        <is>
          <t>Japan multiple-entry = 3 yrs/15 days - now 5 yrs/90 days</t>
        </is>
      </c>
    </row>
    <row r="36">
      <c r="A36" s="9" t="n">
        <v>5</v>
      </c>
      <c r="B36" s="9" t="inlineStr">
        <is>
          <t>Nicaragua VoA with US visa - since 16 Feb 2026 prior approval needed</t>
        </is>
      </c>
    </row>
    <row r="37">
      <c r="A37" s="9" t="n">
        <v>6</v>
      </c>
      <c r="B37" s="9" t="inlineStr">
        <is>
          <t>Any Schengen visa works for Singapore 96-h transit - only German/Swiss-issued</t>
        </is>
      </c>
    </row>
    <row r="38">
      <c r="A38" s="9" t="n">
        <v>7</v>
      </c>
      <c r="B38" s="9" t="inlineStr">
        <is>
          <t>Egypt VoA with a valid US/Schengen visa - it must have been USED</t>
        </is>
      </c>
    </row>
    <row r="39">
      <c r="A39" s="9" t="n">
        <v>8</v>
      </c>
      <c r="B39" s="9" t="inlineStr">
        <is>
          <t>Korea transit with a Japan visa - Japan not on the list for Indians</t>
        </is>
      </c>
    </row>
    <row r="40">
      <c r="A40" s="9" t="n">
        <v>9</v>
      </c>
      <c r="B40" s="9" t="inlineStr">
        <is>
          <t>Indians need Hayya for Qatar - 30-day free waiver on arrival exists</t>
        </is>
      </c>
    </row>
    <row r="41">
      <c r="A41" s="9" t="n">
        <v>10</v>
      </c>
      <c r="B41" s="9" t="inlineStr">
        <is>
          <t>Australian VISITOR visa gives UAE VoA - only Australian residence permits do</t>
        </is>
      </c>
    </row>
    <row r="42">
      <c r="A42" s="9" t="n">
        <v>11</v>
      </c>
      <c r="B42" s="9" t="inlineStr">
        <is>
          <t>Bosnia accepts a US visa - only Schengen/EU multi-entry visa or residence permits</t>
        </is>
      </c>
    </row>
    <row r="43">
      <c r="A43" s="9" t="n">
        <v>12</v>
      </c>
      <c r="B43" s="9" t="inlineStr">
        <is>
          <t>Brazil e-visa for Indians - no, visa required (VIVIS)</t>
        </is>
      </c>
    </row>
  </sheetData>
  <mergeCells count="1">
    <mergeCell ref="B14:I14"/>
  </mergeCells>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C23"/>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150" customWidth="1" min="3" max="3"/>
  </cols>
  <sheetData>
    <row r="1">
      <c r="A1" s="1" t="inlineStr">
        <is>
          <t>Indian passport baseline - 55 destinations without a prior visa; rank 84th (Henley Passport Index, 9 Oct 2026)</t>
        </is>
      </c>
    </row>
    <row r="2">
      <c r="A2" s="2" t="inlineStr">
        <is>
          <t>What you can enter with the passport alone (visa-free / VoA / ETA). Power visas ADD to this list.</t>
        </is>
      </c>
    </row>
    <row r="4">
      <c r="A4" s="3" t="inlineStr">
        <is>
          <t>#</t>
        </is>
      </c>
      <c r="B4" s="3" t="inlineStr">
        <is>
          <t>Region</t>
        </is>
      </c>
      <c r="C4" s="3" t="inlineStr">
        <is>
          <t>Destinations (VF = visa-free, VoA = visa on arrival, ETA = online authorisation)</t>
        </is>
      </c>
    </row>
    <row r="5" ht="45" customHeight="1">
      <c r="A5" s="9" t="n">
        <v>1</v>
      </c>
      <c r="B5" s="9" t="inlineStr">
        <is>
          <t>South Asia</t>
        </is>
      </c>
      <c r="C5" s="9" t="inlineStr">
        <is>
          <t>Bhutan (VF), Nepal (VF), Maldives (VoA), Sri Lanka (free ETA)</t>
        </is>
      </c>
    </row>
    <row r="6" ht="45" customHeight="1">
      <c r="A6" s="9" t="n">
        <v>2</v>
      </c>
      <c r="B6" s="9" t="inlineStr">
        <is>
          <t>SE / E Asia</t>
        </is>
      </c>
      <c r="C6" s="9" t="inlineStr">
        <is>
          <t>Malaysia (VF to 31 Dec 2026), Thailand (VF 30 d from 15 Sep 2026), Philippines (VF 14 d; 30 d with US/AU visa), Macao (VF 30 d), Cambodia, Indonesia, Laos, Myanmar, Timor-Leste (VoA/eVoA), Mongolia (VoA)</t>
        </is>
      </c>
    </row>
    <row r="7" ht="45" customHeight="1">
      <c r="A7" s="9" t="n">
        <v>3</v>
      </c>
      <c r="B7" s="9" t="inlineStr">
        <is>
          <t>Central Asia</t>
        </is>
      </c>
      <c r="C7" s="9" t="inlineStr">
        <is>
          <t>Kazakhstan (VF 14 d); Uzbekistan 30 d announced Aug 2026 - not yet in force</t>
        </is>
      </c>
    </row>
    <row r="8" ht="45" customHeight="1">
      <c r="A8" s="9" t="n">
        <v>4</v>
      </c>
      <c r="B8" s="9" t="inlineStr">
        <is>
          <t>Middle East</t>
        </is>
      </c>
      <c r="C8" s="9" t="inlineStr">
        <is>
          <t>Qatar (VF 30 d on arrival), Jordan (VoA)</t>
        </is>
      </c>
    </row>
    <row r="9" ht="45" customHeight="1">
      <c r="A9" s="9" t="n">
        <v>5</v>
      </c>
      <c r="B9" s="9" t="inlineStr">
        <is>
          <t>Africa</t>
        </is>
      </c>
      <c r="C9" s="9" t="inlineStr">
        <is>
          <t>Angola, Mauritius, Rwanda, Senegal, The Gambia (VF); Burundi, Comoros, Djibouti, Ethiopia, Guinea-Bissau, Madagascar, Mozambique, Sierra Leone, Tanzania, Zimbabwe (VoA); Kenya, Seychelles (ETA)</t>
        </is>
      </c>
    </row>
    <row r="10" ht="45" customHeight="1">
      <c r="A10" s="9" t="n">
        <v>6</v>
      </c>
      <c r="B10" s="9" t="inlineStr">
        <is>
          <t>Caribbean</t>
        </is>
      </c>
      <c r="C10" s="9" t="inlineStr">
        <is>
          <t>Barbados, Dominica, Grenada, Haiti, Jamaica, St Vincent, Trinidad &amp; Tobago, Montserrat, British Virgin Is. (VF); St Lucia (VoA); St Kitts &amp; Nevis (ETA); Turks &amp; Caicos (VF per Wikipedia)</t>
        </is>
      </c>
    </row>
    <row r="11" ht="45" customHeight="1">
      <c r="A11" s="9" t="n">
        <v>7</v>
      </c>
      <c r="B11" s="9" t="inlineStr">
        <is>
          <t>Oceania</t>
        </is>
      </c>
      <c r="C11" s="9" t="inlineStr">
        <is>
          <t>Cook Is., Fiji, Kiribati, Micronesia, Vanuatu (VF); Marshall Is., Niue, Palau, Samoa, Tuvalu (VoA)</t>
        </is>
      </c>
    </row>
    <row r="13">
      <c r="B13" s="20" t="inlineStr">
        <is>
          <t>Notable 2025-26 changes</t>
        </is>
      </c>
    </row>
    <row r="14">
      <c r="A14" s="9" t="n">
        <v>1</v>
      </c>
      <c r="B14" s="9" t="inlineStr"/>
      <c r="C14" s="9" t="inlineStr">
        <is>
          <t>Iran visa-waiver SUSPENDED 22 Nov 2025</t>
        </is>
      </c>
    </row>
    <row r="15">
      <c r="A15" s="9" t="n">
        <v>2</v>
      </c>
      <c r="B15" s="9" t="inlineStr"/>
      <c r="C15" s="9" t="inlineStr">
        <is>
          <t>Thailand 60 d -&gt; 30 d from 15 Sep 2026 (TDAC required)</t>
        </is>
      </c>
    </row>
    <row r="16">
      <c r="A16" s="9" t="n">
        <v>3</v>
      </c>
      <c r="B16" s="9" t="inlineStr"/>
      <c r="C16" s="9" t="inlineStr">
        <is>
          <t>Malaysia VF ends 31 Dec 2026 unless extended</t>
        </is>
      </c>
    </row>
    <row r="17">
      <c r="A17" s="9" t="n">
        <v>4</v>
      </c>
      <c r="B17" s="9" t="inlineStr"/>
      <c r="C17" s="9" t="inlineStr">
        <is>
          <t>Sri Lanka ETA now free (apply online)</t>
        </is>
      </c>
    </row>
    <row r="18">
      <c r="A18" s="9" t="n">
        <v>5</v>
      </c>
      <c r="B18" s="9" t="inlineStr"/>
      <c r="C18" s="9" t="inlineStr">
        <is>
          <t>Nicaragua &amp; Bolivia VoA removed 2026; Cape Verde VoA removed Jan 2026</t>
        </is>
      </c>
    </row>
    <row r="19">
      <c r="A19" s="9" t="n">
        <v>6</v>
      </c>
      <c r="B19" s="9" t="inlineStr"/>
      <c r="C19" s="9" t="inlineStr">
        <is>
          <t>The Gambia visa-free added Feb 2026</t>
        </is>
      </c>
    </row>
    <row r="20">
      <c r="A20" s="9" t="n">
        <v>7</v>
      </c>
      <c r="B20" s="9" t="inlineStr"/>
      <c r="C20" s="9" t="inlineStr">
        <is>
          <t>Brazil: visa required (VIVIS up to 10-yr); 'Brazil e-visa for Indians' claims are wrong</t>
        </is>
      </c>
    </row>
    <row r="21">
      <c r="A21" s="9" t="n">
        <v>8</v>
      </c>
      <c r="B21" s="9" t="inlineStr"/>
      <c r="C21" s="9" t="inlineStr">
        <is>
          <t>China: India NOT in 2025-26 visa-free, 240-h transit or Hainan lists</t>
        </is>
      </c>
    </row>
    <row r="23">
      <c r="B23" s="8" t="inlineStr">
        <is>
          <t>Sources: Henley Passport Index Oct 2026 (via Business Today 14 Oct 2026), Gulf News 26 Jul 2026 list of 55, Wikipedia 'Visa requirements for Indian citizens' (MEA: 27 VF / 47 VoA / 66 eVisa). Verify on official portals before booking.</t>
        </is>
      </c>
    </row>
  </sheetData>
  <mergeCells count="1">
    <mergeCell ref="B23:C23"/>
  </mergeCell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L36"/>
  <sheetViews>
    <sheetView zoomScale="100" workbookViewId="0">
      <pane ySplit="4" topLeftCell="A5" activePane="bottomLeft" state="frozen"/>
      <selection pane="bottomLeft" activeCell="A1" sqref="A1"/>
    </sheetView>
  </sheetViews>
  <sheetFormatPr baseColWidth="8" defaultRowHeight="15"/>
  <cols>
    <col width="5" customWidth="1" min="1" max="1"/>
    <col width="24" customWidth="1" min="2" max="2"/>
    <col width="26" customWidth="1" min="3" max="3"/>
    <col width="70" customWidth="1" min="4" max="4"/>
    <col width="18" customWidth="1" min="5" max="5"/>
    <col width="22" customWidth="1" min="6" max="6"/>
    <col width="22" customWidth="1" min="7" max="7"/>
    <col width="16" customWidth="1" min="8" max="8"/>
    <col width="11" customWidth="1" min="9" max="9"/>
    <col width="30" customWidth="1" min="10" max="10"/>
    <col width="16" customWidth="1" min="11" max="11"/>
    <col width="30" customWidth="1" min="12" max="12"/>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t>
        </is>
      </c>
      <c r="B4" s="3" t="inlineStr">
        <is>
          <t>Destination</t>
        </is>
      </c>
      <c r="C4" s="3" t="inlineStr">
        <is>
          <t>Yatra use</t>
        </is>
      </c>
      <c r="D4" s="3" t="inlineStr">
        <is>
          <t>Entry requirement (Indian passport)</t>
        </is>
      </c>
      <c r="E4" s="3" t="inlineStr">
        <is>
          <t>Max stay</t>
        </is>
      </c>
      <c r="F4" s="3" t="inlineStr">
        <is>
          <t>Cost / lead time</t>
        </is>
      </c>
      <c r="G4" s="3" t="inlineStr">
        <is>
          <t>Helped by a visa I hold?</t>
        </is>
      </c>
      <c r="H4" s="3" t="inlineStr">
        <is>
          <t>Priority</t>
        </is>
      </c>
      <c r="I4" s="3" t="inlineStr">
        <is>
          <t>Confidence</t>
        </is>
      </c>
      <c r="J4" s="3" t="inlineStr">
        <is>
          <t>Source</t>
        </is>
      </c>
      <c r="K4" s="3" t="inlineStr">
        <is>
          <t>My status</t>
        </is>
      </c>
      <c r="L4" s="3" t="inlineStr">
        <is>
          <t>Next action / date</t>
        </is>
      </c>
    </row>
    <row r="5">
      <c r="A5" s="9" t="n">
        <v>1</v>
      </c>
      <c r="B5" s="9" t="inlineStr">
        <is>
          <t>Nepal</t>
        </is>
      </c>
      <c r="C5" s="9" t="inlineStr">
        <is>
          <t>Muktinath, Pashupatinath, Janakpur</t>
        </is>
      </c>
      <c r="D5" s="9" t="inlineStr">
        <is>
          <t>No visa. Valid passport or original Voter ID (Aadhaar conflicting - don't rely). Muktinath needs TIMS/ACAP permits via operator (U)</t>
        </is>
      </c>
      <c r="E5" s="9" t="inlineStr">
        <is>
          <t>No limit set for Indians</t>
        </is>
      </c>
      <c r="F5" s="9" t="inlineStr">
        <is>
          <t>Free / none</t>
        </is>
      </c>
      <c r="G5" s="9" t="inlineStr">
        <is>
          <t>n/a</t>
        </is>
      </c>
      <c r="H5" s="9" t="inlineStr">
        <is>
          <t>Done before x3</t>
        </is>
      </c>
      <c r="I5" s="9" t="inlineStr">
        <is>
          <t>Researched</t>
        </is>
      </c>
      <c r="J5" s="9" t="inlineStr">
        <is>
          <t>happyfares.in 2026</t>
        </is>
      </c>
      <c r="K5" s="22" t="inlineStr">
        <is>
          <t>To check</t>
        </is>
      </c>
      <c r="L5" s="22" t="inlineStr"/>
    </row>
    <row r="6">
      <c r="A6" s="9" t="n">
        <v>2</v>
      </c>
      <c r="B6" s="9" t="inlineStr">
        <is>
          <t>Bhutan</t>
        </is>
      </c>
      <c r="C6" s="9" t="inlineStr">
        <is>
          <t>Monastery circuit</t>
        </is>
      </c>
      <c r="D6" s="9" t="inlineStr">
        <is>
          <t>No visa but Entry PERMIT via registered operator. SDF Nu 1,200/person/night (under 6 free, 6-12 half)</t>
        </is>
      </c>
      <c r="E6" s="9" t="inlineStr">
        <is>
          <t>Per permit</t>
        </is>
      </c>
      <c r="F6" s="9" t="inlineStr">
        <is>
          <t>SDF + operator</t>
        </is>
      </c>
      <c r="G6" s="9" t="inlineStr">
        <is>
          <t>n/a</t>
        </is>
      </c>
      <c r="H6" s="9" t="inlineStr">
        <is>
          <t>Medium</t>
        </is>
      </c>
      <c r="I6" s="9" t="inlineStr">
        <is>
          <t>Researched</t>
        </is>
      </c>
      <c r="J6" s="9" t="inlineStr">
        <is>
          <t>windhorsetours.com 2026</t>
        </is>
      </c>
      <c r="K6" s="22" t="inlineStr">
        <is>
          <t>To check</t>
        </is>
      </c>
      <c r="L6" s="22" t="inlineStr"/>
    </row>
    <row r="7">
      <c r="A7" s="9" t="n">
        <v>3</v>
      </c>
      <c r="B7" s="9" t="inlineStr">
        <is>
          <t>Sri Lanka</t>
        </is>
      </c>
      <c r="C7" s="9" t="inlineStr">
        <is>
          <t>Ramayana trail</t>
        </is>
      </c>
      <c r="D7" s="9" t="inlineStr">
        <is>
          <t>Free 30-day double-entry tourist ETA scheme reported from 25 May 2026 (still apply online at eta.gov.lk). End date unclear</t>
        </is>
      </c>
      <c r="E7" s="9" t="inlineStr">
        <is>
          <t>30 days</t>
        </is>
      </c>
      <c r="F7" s="9" t="inlineStr">
        <is>
          <t>Free (reported) / 1-2 days</t>
        </is>
      </c>
      <c r="G7" s="9" t="inlineStr">
        <is>
          <t>n/a</t>
        </is>
      </c>
      <c r="H7" s="9" t="inlineStr">
        <is>
          <t>Done before x3</t>
        </is>
      </c>
      <c r="I7" s="9" t="inlineStr">
        <is>
          <t>Researched</t>
        </is>
      </c>
      <c r="J7" s="9" t="inlineStr">
        <is>
          <t>traveltradejournal, newsonair 2026</t>
        </is>
      </c>
      <c r="K7" s="22" t="inlineStr">
        <is>
          <t>To check</t>
        </is>
      </c>
      <c r="L7" s="22" t="inlineStr"/>
    </row>
    <row r="8">
      <c r="A8" s="9" t="n">
        <v>4</v>
      </c>
      <c r="B8" s="9" t="inlineStr">
        <is>
          <t>Thailand</t>
        </is>
      </c>
      <c r="C8" s="9" t="inlineStr">
        <is>
          <t>Bangkok/Pattaya temples, Cambodia gateway</t>
        </is>
      </c>
      <c r="D8" s="9" t="inlineStr">
        <is>
          <t>Visa-exempt tourism. REPORTED cut from 60 to 30 days from 15 Sep 2026; TDAC arrival card within 3 days before arrival</t>
        </is>
      </c>
      <c r="E8" s="9" t="inlineStr">
        <is>
          <t>30 days (+30 ext. discretionary)</t>
        </is>
      </c>
      <c r="F8" s="9" t="inlineStr">
        <is>
          <t>Free / TDAC online</t>
        </is>
      </c>
      <c r="G8" s="9" t="inlineStr">
        <is>
          <t>n/a</t>
        </is>
      </c>
      <c r="H8" s="9" t="inlineStr">
        <is>
          <t>Done before x3</t>
        </is>
      </c>
      <c r="I8" s="9" t="inlineStr">
        <is>
          <t>Researched</t>
        </is>
      </c>
      <c r="J8" s="9" t="inlineStr">
        <is>
          <t>Khaleej Times, VisaVerge Sep 2026</t>
        </is>
      </c>
      <c r="K8" s="22" t="inlineStr">
        <is>
          <t>To check</t>
        </is>
      </c>
      <c r="L8" s="22" t="inlineStr"/>
    </row>
    <row r="9">
      <c r="A9" s="9" t="n">
        <v>5</v>
      </c>
      <c r="B9" s="9" t="inlineStr">
        <is>
          <t>Cambodia</t>
        </is>
      </c>
      <c r="C9" s="9" t="inlineStr">
        <is>
          <t>Angkor Wat</t>
        </is>
      </c>
      <c r="D9" s="9" t="inlineStr">
        <is>
          <t>e-Visa (about US$30, ~30 days) - from background knowledge</t>
        </is>
      </c>
      <c r="E9" s="9" t="inlineStr">
        <is>
          <t>~30 days</t>
        </is>
      </c>
      <c r="F9" s="9" t="inlineStr">
        <is>
          <t>~US$30 / 3-4 days</t>
        </is>
      </c>
      <c r="G9" s="9" t="inlineStr">
        <is>
          <t>n/a</t>
        </is>
      </c>
      <c r="H9" s="9" t="inlineStr">
        <is>
          <t>Done before x2</t>
        </is>
      </c>
      <c r="I9" s="12" t="inlineStr">
        <is>
          <t>Confirm</t>
        </is>
      </c>
      <c r="J9" s="9" t="inlineStr">
        <is>
          <t>previous stamps p.10/p.20</t>
        </is>
      </c>
      <c r="K9" s="22" t="inlineStr">
        <is>
          <t>To check</t>
        </is>
      </c>
      <c r="L9" s="22" t="inlineStr"/>
    </row>
    <row r="10">
      <c r="A10" s="9" t="n">
        <v>6</v>
      </c>
      <c r="B10" s="9" t="inlineStr">
        <is>
          <t>Malaysia</t>
        </is>
      </c>
      <c r="C10" s="9" t="inlineStr">
        <is>
          <t>Batu Caves, KL temples</t>
        </is>
      </c>
      <c r="D10" s="9" t="inlineStr">
        <is>
          <t>Visa-free 30 days until 31 Dec 2026 (no extension seen) -&gt; plan visa fallback for 2027</t>
        </is>
      </c>
      <c r="E10" s="9" t="inlineStr">
        <is>
          <t>30 days</t>
        </is>
      </c>
      <c r="F10" s="9" t="inlineStr">
        <is>
          <t>Free</t>
        </is>
      </c>
      <c r="G10" s="9" t="inlineStr">
        <is>
          <t>n/a</t>
        </is>
      </c>
      <c r="H10" s="9" t="inlineStr">
        <is>
          <t>Medium</t>
        </is>
      </c>
      <c r="I10" s="9" t="inlineStr">
        <is>
          <t>Researched</t>
        </is>
      </c>
      <c r="J10" s="9" t="inlineStr">
        <is>
          <t>theweek.in Dec 2024</t>
        </is>
      </c>
      <c r="K10" s="22" t="inlineStr">
        <is>
          <t>To check</t>
        </is>
      </c>
      <c r="L10" s="22" t="inlineStr"/>
    </row>
    <row r="11">
      <c r="A11" s="9" t="n">
        <v>7</v>
      </c>
      <c r="B11" s="9" t="inlineStr">
        <is>
          <t>Vietnam</t>
        </is>
      </c>
      <c r="C11" s="9" t="inlineStr">
        <is>
          <t>Cham temples, Angkor-route extension</t>
        </is>
      </c>
      <c r="D11" s="9" t="inlineStr">
        <is>
          <t>e-Visa valid 90 days; US$25 single / US$50 multiple; apply only at evisa.gov.vn</t>
        </is>
      </c>
      <c r="E11" s="9" t="inlineStr">
        <is>
          <t>Up to 90 days</t>
        </is>
      </c>
      <c r="F11" s="9" t="inlineStr">
        <is>
          <t>US$25-50 / ~3-5 days</t>
        </is>
      </c>
      <c r="G11" s="9" t="inlineStr">
        <is>
          <t>n/a</t>
        </is>
      </c>
      <c r="H11" s="9" t="inlineStr">
        <is>
          <t>Medium</t>
        </is>
      </c>
      <c r="I11" s="9" t="inlineStr">
        <is>
          <t>Researched</t>
        </is>
      </c>
      <c r="J11" s="9" t="inlineStr">
        <is>
          <t>wego 2026</t>
        </is>
      </c>
      <c r="K11" s="22" t="inlineStr">
        <is>
          <t>To check</t>
        </is>
      </c>
      <c r="L11" s="22" t="inlineStr"/>
    </row>
    <row r="12">
      <c r="A12" s="9" t="n">
        <v>8</v>
      </c>
      <c r="B12" s="9" t="inlineStr">
        <is>
          <t>Indonesia (Bali, Java)</t>
        </is>
      </c>
      <c r="C12" s="9" t="inlineStr">
        <is>
          <t>Hindu temples, Prambanan</t>
        </is>
      </c>
      <c r="D12" s="9" t="inlineStr">
        <is>
          <t>e-VOA IDR 500,000, 30 days (+1 ext.). Bali levy IDR 150,000 + digital arrival card. Confirm India on eligible list</t>
        </is>
      </c>
      <c r="E12" s="9" t="inlineStr">
        <is>
          <t>30 days (+30)</t>
        </is>
      </c>
      <c r="F12" s="9" t="inlineStr">
        <is>
          <t>~IDR 650k</t>
        </is>
      </c>
      <c r="G12" s="9" t="inlineStr">
        <is>
          <t>n/a</t>
        </is>
      </c>
      <c r="H12" s="9" t="inlineStr">
        <is>
          <t>Planned Feb 2026</t>
        </is>
      </c>
      <c r="I12" s="12" t="inlineStr">
        <is>
          <t>Confirm</t>
        </is>
      </c>
      <c r="J12" s="9" t="inlineStr">
        <is>
          <t>wego 2026</t>
        </is>
      </c>
      <c r="K12" s="22" t="inlineStr">
        <is>
          <t>To check</t>
        </is>
      </c>
      <c r="L12" s="22" t="inlineStr"/>
    </row>
    <row r="13">
      <c r="A13" s="9" t="n">
        <v>9</v>
      </c>
      <c r="B13" s="9" t="inlineStr">
        <is>
          <t>Philippines</t>
        </is>
      </c>
      <c r="C13" s="9" t="inlineStr">
        <is>
          <t>Limited</t>
        </is>
      </c>
      <c r="D13" s="9" t="inlineStr">
        <is>
          <t>Visa-free 14 days (hotel, funds, onward ticket). Holders of valid US/Japan/AU/CA/Schengen/SG/UK visa get 30 days</t>
        </is>
      </c>
      <c r="E13" s="9" t="inlineStr">
        <is>
          <t>14 days / 30 days with US or AU visa</t>
        </is>
      </c>
      <c r="F13" s="9" t="inlineStr">
        <is>
          <t>Free</t>
        </is>
      </c>
      <c r="G13" s="9" t="inlineStr">
        <is>
          <t>YES - your US visa or Australia visa</t>
        </is>
      </c>
      <c r="H13" s="9" t="inlineStr">
        <is>
          <t>Low</t>
        </is>
      </c>
      <c r="I13" s="9" t="inlineStr">
        <is>
          <t>Researched</t>
        </is>
      </c>
      <c r="J13" s="9" t="inlineStr">
        <is>
          <t>Philippine Consulate advisory 07-2025</t>
        </is>
      </c>
      <c r="K13" s="22" t="inlineStr">
        <is>
          <t>To check</t>
        </is>
      </c>
      <c r="L13" s="22" t="inlineStr"/>
    </row>
    <row r="14">
      <c r="A14" s="9" t="n">
        <v>10</v>
      </c>
      <c r="B14" s="9" t="inlineStr">
        <is>
          <t>Japan</t>
        </is>
      </c>
      <c r="C14" s="9" t="inlineStr">
        <is>
          <t>Buddhist/ISKCON centres</t>
        </is>
      </c>
      <c r="D14" s="9" t="inlineStr">
        <is>
          <t>Visa required: e-Visa/VFS route, fee Rs 500 + service charges (reported)</t>
        </is>
      </c>
      <c r="E14" s="9" t="inlineStr">
        <is>
          <t>Typically 15-90 days</t>
        </is>
      </c>
      <c r="F14" s="9" t="inlineStr">
        <is>
          <t>Rs 500 + VFS / 5-10 days</t>
        </is>
      </c>
      <c r="G14" s="9" t="inlineStr">
        <is>
          <t>n/a</t>
        </is>
      </c>
      <c r="H14" s="9" t="inlineStr">
        <is>
          <t>Medium</t>
        </is>
      </c>
      <c r="I14" s="9" t="inlineStr">
        <is>
          <t>Researched</t>
        </is>
      </c>
      <c r="J14" s="9" t="inlineStr">
        <is>
          <t>businesstoday Jul 2026</t>
        </is>
      </c>
      <c r="K14" s="22" t="inlineStr">
        <is>
          <t>To check</t>
        </is>
      </c>
      <c r="L14" s="22" t="inlineStr"/>
    </row>
    <row r="15">
      <c r="A15" s="9" t="n">
        <v>11</v>
      </c>
      <c r="B15" s="9" t="inlineStr">
        <is>
          <t>China (incl. Tibet / Kailash)</t>
        </is>
      </c>
      <c r="C15" s="9" t="inlineStr">
        <is>
          <t>Kailash Mansarovar</t>
        </is>
      </c>
      <c r="D15" s="9" t="inlineStr">
        <is>
          <t>Chinese visa (tourist: 4 working days; group visa via operator ~6 working days) + Tibet Travel Permit + ATP via Nepal; or MEA KMY lottery (kmy.gov.in, June-Aug, 1,000 pilgrims)</t>
        </is>
      </c>
      <c r="E15" s="9" t="inlineStr">
        <is>
          <t>Per permit</t>
        </is>
      </c>
      <c r="F15" s="9" t="inlineStr">
        <is>
          <t>MEA route ~Rs 2.1-3.3 lakh</t>
        </is>
      </c>
      <c r="G15" s="9" t="inlineStr">
        <is>
          <t>n/a</t>
        </is>
      </c>
      <c r="H15" s="9" t="inlineStr">
        <is>
          <t>DONE Jun 2026 (per your itinerary)</t>
        </is>
      </c>
      <c r="I15" s="9" t="inlineStr">
        <is>
          <t>Researched</t>
        </is>
      </c>
      <c r="J15" s="9" t="inlineStr">
        <is>
          <t>Tribune, businesstoday 2026</t>
        </is>
      </c>
      <c r="K15" s="22" t="inlineStr">
        <is>
          <t>To check</t>
        </is>
      </c>
      <c r="L15" s="22" t="inlineStr"/>
    </row>
    <row r="16">
      <c r="A16" s="9" t="n">
        <v>12</v>
      </c>
      <c r="B16" s="9" t="inlineStr">
        <is>
          <t>Hong Kong</t>
        </is>
      </c>
      <c r="C16" s="9" t="inlineStr">
        <is>
          <t>Transit hub</t>
        </is>
      </c>
      <c r="D16" s="9" t="inlineStr">
        <is>
          <t>Pre-Arrival Registration (PAR) online, up to 14 days; valid 6 months</t>
        </is>
      </c>
      <c r="E16" s="9" t="inlineStr">
        <is>
          <t>14 days</t>
        </is>
      </c>
      <c r="F16" s="9" t="inlineStr">
        <is>
          <t>Free / minutes</t>
        </is>
      </c>
      <c r="G16" s="9" t="inlineStr">
        <is>
          <t>n/a</t>
        </is>
      </c>
      <c r="H16" s="9" t="inlineStr">
        <is>
          <t>Low</t>
        </is>
      </c>
      <c r="I16" s="9" t="inlineStr">
        <is>
          <t>Researched</t>
        </is>
      </c>
      <c r="J16" s="9" t="inlineStr">
        <is>
          <t>HK Immigration ID1023</t>
        </is>
      </c>
      <c r="K16" s="22" t="inlineStr">
        <is>
          <t>To check</t>
        </is>
      </c>
      <c r="L16" s="22" t="inlineStr"/>
    </row>
    <row r="17">
      <c r="A17" s="9" t="n">
        <v>13</v>
      </c>
      <c r="B17" s="9" t="inlineStr">
        <is>
          <t>Russia</t>
        </is>
      </c>
      <c r="C17" s="9" t="inlineStr">
        <is>
          <t>ISKCON Moscow</t>
        </is>
      </c>
      <c r="D17" s="9" t="inlineStr">
        <is>
          <t>e-Visa (up to 16 days). Visa-free group scheme still only under negotiation</t>
        </is>
      </c>
      <c r="E17" s="9" t="inlineStr">
        <is>
          <t>16 days</t>
        </is>
      </c>
      <c r="F17" s="9" t="inlineStr">
        <is>
          <t>e-Visa fee / ~4 days</t>
        </is>
      </c>
      <c r="G17" s="9" t="inlineStr">
        <is>
          <t>n/a</t>
        </is>
      </c>
      <c r="H17" s="9" t="inlineStr">
        <is>
          <t>Medium</t>
        </is>
      </c>
      <c r="I17" s="9" t="inlineStr">
        <is>
          <t>Researched</t>
        </is>
      </c>
      <c r="J17" s="9" t="inlineStr">
        <is>
          <t>happyfares Jul 2026</t>
        </is>
      </c>
      <c r="K17" s="22" t="inlineStr">
        <is>
          <t>To check</t>
        </is>
      </c>
      <c r="L17" s="22" t="inlineStr"/>
    </row>
    <row r="18">
      <c r="A18" s="9" t="n">
        <v>14</v>
      </c>
      <c r="B18" s="9" t="inlineStr">
        <is>
          <t>Kazakhstan</t>
        </is>
      </c>
      <c r="C18" s="9" t="inlineStr">
        <is>
          <t>Almaty</t>
        </is>
      </c>
      <c r="D18" s="9" t="inlineStr">
        <is>
          <t>Visa-free 14 days reported (conflicting 30-90 elsewhere)</t>
        </is>
      </c>
      <c r="E18" s="9" t="inlineStr">
        <is>
          <t>14 days</t>
        </is>
      </c>
      <c r="F18" s="9" t="inlineStr">
        <is>
          <t>Free</t>
        </is>
      </c>
      <c r="G18" s="9" t="inlineStr">
        <is>
          <t>n/a</t>
        </is>
      </c>
      <c r="H18" s="9" t="inlineStr">
        <is>
          <t>Low</t>
        </is>
      </c>
      <c r="I18" s="9" t="inlineStr">
        <is>
          <t>Researched</t>
        </is>
      </c>
      <c r="J18" s="9" t="inlineStr">
        <is>
          <t>Gulf News 2026</t>
        </is>
      </c>
      <c r="K18" s="22" t="inlineStr">
        <is>
          <t>To check</t>
        </is>
      </c>
      <c r="L18" s="22" t="inlineStr"/>
    </row>
    <row r="19">
      <c r="A19" s="9" t="n">
        <v>15</v>
      </c>
      <c r="B19" s="9" t="inlineStr">
        <is>
          <t>Uzbekistan</t>
        </is>
      </c>
      <c r="C19" s="9" t="inlineStr">
        <is>
          <t>Silk Road</t>
        </is>
      </c>
      <c r="D19" s="9" t="inlineStr">
        <is>
          <t>30-day visa-free announced Aug 2026, effective date not announced -&gt; e-Visa until then</t>
        </is>
      </c>
      <c r="E19" s="9" t="inlineStr">
        <is>
          <t>30 days</t>
        </is>
      </c>
      <c r="F19" s="9" t="inlineStr">
        <is>
          <t>e-Visa until start</t>
        </is>
      </c>
      <c r="G19" s="9" t="inlineStr">
        <is>
          <t>n/a</t>
        </is>
      </c>
      <c r="H19" s="9" t="inlineStr">
        <is>
          <t>Low</t>
        </is>
      </c>
      <c r="I19" s="9" t="inlineStr">
        <is>
          <t>Researched</t>
        </is>
      </c>
      <c r="J19" s="9" t="inlineStr">
        <is>
          <t>careinsurance 2026</t>
        </is>
      </c>
      <c r="K19" s="22" t="inlineStr">
        <is>
          <t>To check</t>
        </is>
      </c>
      <c r="L19" s="22" t="inlineStr"/>
    </row>
    <row r="20">
      <c r="A20" s="9" t="n">
        <v>16</v>
      </c>
      <c r="B20" s="9" t="inlineStr">
        <is>
          <t>Iran</t>
        </is>
      </c>
      <c r="C20" s="9" t="inlineStr">
        <is>
          <t>Qom/Mashhad (not typical)</t>
        </is>
      </c>
      <c r="D20" s="9" t="inlineStr">
        <is>
          <t>Visa-waiver for Indians SUSPENDED from 22 Nov 2025 - visa needed even for transit</t>
        </is>
      </c>
      <c r="E20" s="9" t="inlineStr">
        <is>
          <t>-</t>
        </is>
      </c>
      <c r="F20" s="9" t="inlineStr">
        <is>
          <t>Visa</t>
        </is>
      </c>
      <c r="G20" s="9" t="inlineStr">
        <is>
          <t>n/a</t>
        </is>
      </c>
      <c r="H20" s="9" t="inlineStr">
        <is>
          <t>Avoid</t>
        </is>
      </c>
      <c r="I20" s="9" t="inlineStr">
        <is>
          <t>Researched</t>
        </is>
      </c>
      <c r="J20" s="9" t="inlineStr">
        <is>
          <t>Tribune, businesstoday Nov 2025</t>
        </is>
      </c>
      <c r="K20" s="22" t="inlineStr">
        <is>
          <t>To check</t>
        </is>
      </c>
      <c r="L20" s="22" t="inlineStr"/>
    </row>
    <row r="21">
      <c r="A21" s="9" t="n">
        <v>17</v>
      </c>
      <c r="B21" s="9" t="inlineStr">
        <is>
          <t>Kenya</t>
        </is>
      </c>
      <c r="C21" s="9" t="inlineStr">
        <is>
          <t>ISKCON Nairobi</t>
        </is>
      </c>
      <c r="D21" s="9" t="inlineStr">
        <is>
          <t>eTA mandatory, no VoA; use etakenya.go.ke only (fee quotes conflict US$30-100)</t>
        </is>
      </c>
      <c r="E21" s="9" t="inlineStr">
        <is>
          <t>Per eTA</t>
        </is>
      </c>
      <c r="F21" s="9" t="inlineStr">
        <is>
          <t>US$30-100 / 3 days</t>
        </is>
      </c>
      <c r="G21" s="9" t="inlineStr">
        <is>
          <t>n/a</t>
        </is>
      </c>
      <c r="H21" s="9" t="inlineStr">
        <is>
          <t>Low</t>
        </is>
      </c>
      <c r="I21" s="9" t="inlineStr">
        <is>
          <t>Researched</t>
        </is>
      </c>
      <c r="J21" s="9" t="inlineStr">
        <is>
          <t>safarifind 2026</t>
        </is>
      </c>
      <c r="K21" s="22" t="inlineStr">
        <is>
          <t>To check</t>
        </is>
      </c>
      <c r="L21" s="22" t="inlineStr"/>
    </row>
    <row r="22">
      <c r="A22" s="9" t="n">
        <v>18</v>
      </c>
      <c r="B22" s="9" t="inlineStr">
        <is>
          <t>Mauritius</t>
        </is>
      </c>
      <c r="C22" s="9" t="inlineStr">
        <is>
          <t>ISKCON Mauritius, Ganga Talao</t>
        </is>
      </c>
      <c r="D22" s="9" t="inlineStr">
        <is>
          <t>Visa-free 90 days (list source)</t>
        </is>
      </c>
      <c r="E22" s="9" t="inlineStr">
        <is>
          <t>90 days</t>
        </is>
      </c>
      <c r="F22" s="9" t="inlineStr">
        <is>
          <t>Free</t>
        </is>
      </c>
      <c r="G22" s="9" t="inlineStr">
        <is>
          <t>n/a</t>
        </is>
      </c>
      <c r="H22" s="9" t="inlineStr">
        <is>
          <t>Medium</t>
        </is>
      </c>
      <c r="I22" s="12" t="inlineStr">
        <is>
          <t>Confirm</t>
        </is>
      </c>
      <c r="J22" s="9" t="inlineStr">
        <is>
          <t>matrix.in 2026</t>
        </is>
      </c>
      <c r="K22" s="22" t="inlineStr">
        <is>
          <t>To check</t>
        </is>
      </c>
      <c r="L22" s="22" t="inlineStr"/>
    </row>
    <row r="23">
      <c r="A23" s="9" t="n">
        <v>19</v>
      </c>
      <c r="B23" s="9" t="inlineStr">
        <is>
          <t>Fiji</t>
        </is>
      </c>
      <c r="C23" s="9" t="inlineStr">
        <is>
          <t>ISKCON Fiji</t>
        </is>
      </c>
      <c r="D23" s="9" t="inlineStr">
        <is>
          <t>Visa-free 120 days (list source)</t>
        </is>
      </c>
      <c r="E23" s="9" t="inlineStr">
        <is>
          <t>120 days</t>
        </is>
      </c>
      <c r="F23" s="9" t="inlineStr">
        <is>
          <t>Free</t>
        </is>
      </c>
      <c r="G23" s="9" t="inlineStr">
        <is>
          <t>n/a</t>
        </is>
      </c>
      <c r="H23" s="9" t="inlineStr">
        <is>
          <t>Low</t>
        </is>
      </c>
      <c r="I23" s="12" t="inlineStr">
        <is>
          <t>Confirm</t>
        </is>
      </c>
      <c r="J23" s="9" t="inlineStr">
        <is>
          <t>matrix.in 2026</t>
        </is>
      </c>
      <c r="K23" s="22" t="inlineStr">
        <is>
          <t>To check</t>
        </is>
      </c>
      <c r="L23" s="22" t="inlineStr"/>
    </row>
    <row r="24">
      <c r="A24" s="9" t="n">
        <v>20</v>
      </c>
      <c r="B24" s="9" t="inlineStr">
        <is>
          <t>Trinidad &amp; Tobago</t>
        </is>
      </c>
      <c r="C24" s="9" t="inlineStr">
        <is>
          <t>Hindu diaspora</t>
        </is>
      </c>
      <c r="D24" s="9" t="inlineStr">
        <is>
          <t>Visa-free 90 days, 6 months passport validity, onward ticket</t>
        </is>
      </c>
      <c r="E24" s="9" t="inlineStr">
        <is>
          <t>90 days</t>
        </is>
      </c>
      <c r="F24" s="9" t="inlineStr">
        <is>
          <t>Free</t>
        </is>
      </c>
      <c r="G24" s="9" t="inlineStr">
        <is>
          <t>n/a</t>
        </is>
      </c>
      <c r="H24" s="9" t="inlineStr">
        <is>
          <t>Low</t>
        </is>
      </c>
      <c r="I24" s="9" t="inlineStr">
        <is>
          <t>Researched</t>
        </is>
      </c>
      <c r="J24" s="9" t="inlineStr">
        <is>
          <t>evisas.io 2026</t>
        </is>
      </c>
      <c r="K24" s="22" t="inlineStr">
        <is>
          <t>To check</t>
        </is>
      </c>
      <c r="L24" s="22" t="inlineStr"/>
    </row>
    <row r="25">
      <c r="A25" s="9" t="n">
        <v>21</v>
      </c>
      <c r="B25" s="9" t="inlineStr">
        <is>
          <t>Suriname / Guyana</t>
        </is>
      </c>
      <c r="C25" s="9" t="inlineStr">
        <is>
          <t>Diaspora</t>
        </is>
      </c>
      <c r="D25" s="9" t="inlineStr">
        <is>
          <t>Suriname 30 days visa-free reported (single site); Guyana not found</t>
        </is>
      </c>
      <c r="E25" s="9" t="inlineStr">
        <is>
          <t>30 days</t>
        </is>
      </c>
      <c r="F25" s="9" t="inlineStr">
        <is>
          <t>Free</t>
        </is>
      </c>
      <c r="G25" s="9" t="inlineStr">
        <is>
          <t>n/a</t>
        </is>
      </c>
      <c r="H25" s="9" t="inlineStr">
        <is>
          <t>Low</t>
        </is>
      </c>
      <c r="I25" s="12" t="inlineStr">
        <is>
          <t>Confirm</t>
        </is>
      </c>
      <c r="J25" s="9" t="inlineStr">
        <is>
          <t>visago.dev</t>
        </is>
      </c>
      <c r="K25" s="22" t="inlineStr">
        <is>
          <t>To check</t>
        </is>
      </c>
      <c r="L25" s="22" t="inlineStr"/>
    </row>
    <row r="26">
      <c r="A26" s="9" t="n">
        <v>22</v>
      </c>
      <c r="B26" s="9" t="inlineStr">
        <is>
          <t>Pakistan (Katas Raj)</t>
        </is>
      </c>
      <c r="C26" s="9" t="inlineStr">
        <is>
          <t>Shiva temple pilgrimage</t>
        </is>
      </c>
      <c r="D26" s="9" t="inlineStr">
        <is>
          <t>Only via 1974 Protocol group visas from Pak High Commission, New Delhi; Lahore/Chakwal only; no 2026 notice found</t>
        </is>
      </c>
      <c r="E26" s="9" t="inlineStr">
        <is>
          <t>Per visa</t>
        </is>
      </c>
      <c r="F26" s="9" t="inlineStr">
        <is>
          <t>Group visa</t>
        </is>
      </c>
      <c r="G26" s="9" t="inlineStr">
        <is>
          <t>n/a</t>
        </is>
      </c>
      <c r="H26" s="9" t="inlineStr">
        <is>
          <t>Occasional</t>
        </is>
      </c>
      <c r="I26" s="9" t="inlineStr">
        <is>
          <t>Researched</t>
        </is>
      </c>
      <c r="J26" s="9" t="inlineStr">
        <is>
          <t>businesstoday Feb 2025</t>
        </is>
      </c>
      <c r="K26" s="22" t="inlineStr">
        <is>
          <t>To check</t>
        </is>
      </c>
      <c r="L26" s="22" t="inlineStr"/>
    </row>
    <row r="27">
      <c r="A27" s="9" t="n">
        <v>23</v>
      </c>
      <c r="B27" s="9" t="inlineStr">
        <is>
          <t>Bangladesh</t>
        </is>
      </c>
      <c r="C27" s="9" t="inlineStr">
        <is>
          <t>Dhaka, Dhakeshwari</t>
        </is>
      </c>
      <c r="D27" s="9" t="inlineStr">
        <is>
          <t>Visa required (unverified)</t>
        </is>
      </c>
      <c r="E27" s="9" t="inlineStr">
        <is>
          <t>-</t>
        </is>
      </c>
      <c r="F27" s="9" t="inlineStr">
        <is>
          <t>-</t>
        </is>
      </c>
      <c r="G27" s="9" t="inlineStr">
        <is>
          <t>n/a</t>
        </is>
      </c>
      <c r="H27" s="9" t="inlineStr">
        <is>
          <t>Medium</t>
        </is>
      </c>
      <c r="I27" s="12" t="inlineStr">
        <is>
          <t>Confirm</t>
        </is>
      </c>
      <c r="J27" s="9" t="inlineStr">
        <is>
          <t>not researched</t>
        </is>
      </c>
      <c r="K27" s="22" t="inlineStr">
        <is>
          <t>To check</t>
        </is>
      </c>
      <c r="L27" s="22" t="inlineStr"/>
    </row>
    <row r="28">
      <c r="A28" s="9" t="n">
        <v>24</v>
      </c>
      <c r="B28" s="9" t="inlineStr">
        <is>
          <t>Maldives</t>
        </is>
      </c>
      <c r="C28" s="9" t="inlineStr">
        <is>
          <t>-</t>
        </is>
      </c>
      <c r="D28" s="9" t="inlineStr">
        <is>
          <t>Free visa on arrival, usually 30 days (unverified)</t>
        </is>
      </c>
      <c r="E28" s="9" t="inlineStr">
        <is>
          <t>30 days</t>
        </is>
      </c>
      <c r="F28" s="9" t="inlineStr">
        <is>
          <t>Free</t>
        </is>
      </c>
      <c r="G28" s="9" t="inlineStr">
        <is>
          <t>n/a</t>
        </is>
      </c>
      <c r="H28" s="9" t="inlineStr">
        <is>
          <t>Low</t>
        </is>
      </c>
      <c r="I28" s="12" t="inlineStr">
        <is>
          <t>Confirm</t>
        </is>
      </c>
      <c r="J28" s="9" t="inlineStr">
        <is>
          <t>not researched</t>
        </is>
      </c>
      <c r="K28" s="22" t="inlineStr">
        <is>
          <t>To check</t>
        </is>
      </c>
      <c r="L28" s="22" t="inlineStr"/>
    </row>
    <row r="29">
      <c r="A29" s="9" t="n">
        <v>25</v>
      </c>
      <c r="B29" s="9" t="inlineStr">
        <is>
          <t>Singapore / South Korea / Macau</t>
        </is>
      </c>
      <c r="C29" s="9" t="inlineStr">
        <is>
          <t>-</t>
        </is>
      </c>
      <c r="D29" s="9" t="inlineStr">
        <is>
          <t>Visa required for Indian PP (background knowledge). Singapore: 96-hr transit visa-free if onward ticket + valid US/AU visa (see Access Map)</t>
        </is>
      </c>
      <c r="E29" s="9" t="inlineStr">
        <is>
          <t>-</t>
        </is>
      </c>
      <c r="F29" s="9" t="inlineStr">
        <is>
          <t>-</t>
        </is>
      </c>
      <c r="G29" s="9" t="inlineStr">
        <is>
          <t>YES (transit)</t>
        </is>
      </c>
      <c r="H29" s="9" t="inlineStr">
        <is>
          <t>Low</t>
        </is>
      </c>
      <c r="I29" s="12" t="inlineStr">
        <is>
          <t>Confirm</t>
        </is>
      </c>
      <c r="J29" s="9" t="inlineStr">
        <is>
          <t>not researched</t>
        </is>
      </c>
      <c r="K29" s="22" t="inlineStr">
        <is>
          <t>To check</t>
        </is>
      </c>
      <c r="L29" s="22" t="inlineStr"/>
    </row>
    <row r="30">
      <c r="A30" s="9" t="n">
        <v>26</v>
      </c>
      <c r="B30" s="9" t="inlineStr">
        <is>
          <t>UAE</t>
        </is>
      </c>
      <c r="C30" s="9" t="inlineStr">
        <is>
          <t>Dubai (ISKCON), transit hub</t>
        </is>
      </c>
      <c r="D30" s="9" t="inlineStr">
        <is>
          <t>Indians WITH valid US visa / Schengen / UK visa etc. may get visa on arrival 14 days; otherwise e-visa. Last used Aug 2024</t>
        </is>
      </c>
      <c r="E30" s="9" t="inlineStr">
        <is>
          <t>14 days VoA</t>
        </is>
      </c>
      <c r="F30" s="9" t="inlineStr">
        <is>
          <t>~Rs 7-9k e-visa</t>
        </is>
      </c>
      <c r="G30" s="9" t="inlineStr">
        <is>
          <t>YES - US visa (VoA)</t>
        </is>
      </c>
      <c r="H30" s="9" t="inlineStr">
        <is>
          <t>Medium</t>
        </is>
      </c>
      <c r="I30" s="12" t="inlineStr">
        <is>
          <t>Confirm</t>
        </is>
      </c>
      <c r="J30" s="9" t="inlineStr">
        <is>
          <t>Passport stamp 01 Aug 2024</t>
        </is>
      </c>
      <c r="K30" s="22" t="inlineStr">
        <is>
          <t>To check</t>
        </is>
      </c>
      <c r="L30" s="22" t="inlineStr"/>
    </row>
    <row r="31">
      <c r="A31" s="9" t="n">
        <v>27</v>
      </c>
      <c r="B31" s="9" t="inlineStr">
        <is>
          <t>UK</t>
        </is>
      </c>
      <c r="C31" s="9" t="inlineStr">
        <is>
          <t>ISKCON Bhaktivedanta Manor</t>
        </is>
      </c>
      <c r="D31" s="9" t="inlineStr">
        <is>
          <t>Standard Visitor visa required (ETA not applicable to Indians). EXPIRED 29 Dec 2024 - renew before next UK yatra</t>
        </is>
      </c>
      <c r="E31" s="9" t="inlineStr">
        <is>
          <t>6 months</t>
        </is>
      </c>
      <c r="F31" s="9" t="inlineStr">
        <is>
          <t>GBP 127 (6-mo) / 3 wks</t>
        </is>
      </c>
      <c r="G31" s="9" t="inlineStr">
        <is>
          <t>n/a</t>
        </is>
      </c>
      <c r="H31" s="9" t="inlineStr">
        <is>
          <t>HIGH - expired</t>
        </is>
      </c>
      <c r="I31" s="12" t="inlineStr">
        <is>
          <t>Confirm</t>
        </is>
      </c>
      <c r="J31" s="9" t="inlineStr">
        <is>
          <t>Passport p.23</t>
        </is>
      </c>
      <c r="K31" s="22" t="inlineStr">
        <is>
          <t>Expired</t>
        </is>
      </c>
      <c r="L31" s="22" t="inlineStr"/>
    </row>
    <row r="32">
      <c r="A32" s="9" t="n">
        <v>28</v>
      </c>
      <c r="B32" s="9" t="inlineStr">
        <is>
          <t>Schengen (Europe)</t>
        </is>
      </c>
      <c r="C32" s="9" t="inlineStr">
        <is>
          <t>ISKCON Europe, Radhadesh, Paris</t>
        </is>
      </c>
      <c r="D32" s="9" t="inlineStr">
        <is>
          <t>C-visa via France/VFS. Both visas EXPIRED (last 19 Apr 2026). EU cascade rule: after 2 lawful Schengen visas in 3 yrs -&gt; 2-yr multiple-entry visa, later 5-yr</t>
        </is>
      </c>
      <c r="E32" s="9" t="inlineStr">
        <is>
          <t>90/180 days</t>
        </is>
      </c>
      <c r="F32" s="9" t="inlineStr">
        <is>
          <t>EUR 90 / 15 days+</t>
        </is>
      </c>
      <c r="G32" s="9" t="inlineStr">
        <is>
          <t>n/a</t>
        </is>
      </c>
      <c r="H32" s="9" t="inlineStr">
        <is>
          <t>HIGH - expired</t>
        </is>
      </c>
      <c r="I32" s="9" t="inlineStr">
        <is>
          <t>Researched</t>
        </is>
      </c>
      <c r="J32" s="9" t="inlineStr">
        <is>
          <t>EEAS 18 Apr 2024; C(2024)2434</t>
        </is>
      </c>
      <c r="K32" s="22" t="inlineStr">
        <is>
          <t>Expired</t>
        </is>
      </c>
      <c r="L32" s="22" t="inlineStr"/>
    </row>
    <row r="33">
      <c r="A33" s="9" t="n">
        <v>29</v>
      </c>
      <c r="B33" s="9" t="inlineStr">
        <is>
          <t>USA</t>
        </is>
      </c>
      <c r="C33" s="9" t="inlineStr">
        <is>
          <t>ISKCON US temples</t>
        </is>
      </c>
      <c r="D33" s="9" t="inlineStr">
        <is>
          <t>B1/B2 held until 26 Dec 2034 (use passport in which it is stamped)</t>
        </is>
      </c>
      <c r="E33" s="9" t="inlineStr">
        <is>
          <t>Per CBP (up to 6 mo)</t>
        </is>
      </c>
      <c r="F33" s="9" t="inlineStr">
        <is>
          <t>-</t>
        </is>
      </c>
      <c r="G33" s="9" t="inlineStr">
        <is>
          <t>HELD</t>
        </is>
      </c>
      <c r="H33" s="9" t="inlineStr">
        <is>
          <t>Valid</t>
        </is>
      </c>
      <c r="I33" s="9" t="inlineStr">
        <is>
          <t>Researched</t>
        </is>
      </c>
      <c r="J33" s="9" t="inlineStr">
        <is>
          <t>Passport p.26</t>
        </is>
      </c>
      <c r="K33" s="22" t="inlineStr">
        <is>
          <t>Have</t>
        </is>
      </c>
      <c r="L33" s="22" t="inlineStr"/>
    </row>
    <row r="34">
      <c r="A34" s="9" t="n">
        <v>30</v>
      </c>
      <c r="B34" s="9" t="inlineStr">
        <is>
          <t>Australia</t>
        </is>
      </c>
      <c r="C34" s="9" t="inlineStr">
        <is>
          <t>Melbourne/Sydney temples</t>
        </is>
      </c>
      <c r="D34" s="9" t="inlineStr">
        <is>
          <t>Subclass 600 held to 13 Nov 2030. BUT 'Business Visitor' stream allows business enquiries/conferences only - pilgrimage/tourism normally needs the TOURIST stream. Confirm with Home Affairs before the Feb yatra</t>
        </is>
      </c>
      <c r="E34" s="9" t="inlineStr">
        <is>
          <t>3 months per arrival</t>
        </is>
      </c>
      <c r="F34" s="9" t="inlineStr">
        <is>
          <t>-</t>
        </is>
      </c>
      <c r="G34" s="9" t="inlineStr">
        <is>
          <t>HELD</t>
        </is>
      </c>
      <c r="H34" s="9" t="inlineStr">
        <is>
          <t>Valid (check stream)</t>
        </is>
      </c>
      <c r="I34" s="9" t="inlineStr">
        <is>
          <t>Researched</t>
        </is>
      </c>
      <c r="J34" s="9" t="inlineStr">
        <is>
          <t>VEVO 13 Nov 2025; BDO</t>
        </is>
      </c>
      <c r="K34" s="22" t="inlineStr">
        <is>
          <t>Have</t>
        </is>
      </c>
      <c r="L34" s="22" t="inlineStr"/>
    </row>
    <row r="35">
      <c r="A35" s="9" t="n">
        <v>31</v>
      </c>
      <c r="B35" s="9" t="inlineStr">
        <is>
          <t>Canada</t>
        </is>
      </c>
      <c r="C35" s="9" t="inlineStr">
        <is>
          <t>ISKCON Toronto</t>
        </is>
      </c>
      <c r="D35" s="9" t="inlineStr">
        <is>
          <t>TRV required for Indian PP (unverified)</t>
        </is>
      </c>
      <c r="E35" s="9" t="inlineStr">
        <is>
          <t>6 months</t>
        </is>
      </c>
      <c r="F35" s="9" t="inlineStr">
        <is>
          <t>CAD 100 / weeks</t>
        </is>
      </c>
      <c r="G35" s="9" t="inlineStr">
        <is>
          <t>n/a</t>
        </is>
      </c>
      <c r="H35" s="9" t="inlineStr">
        <is>
          <t>Medium</t>
        </is>
      </c>
      <c r="I35" s="12" t="inlineStr">
        <is>
          <t>Confirm</t>
        </is>
      </c>
      <c r="J35" s="9" t="inlineStr">
        <is>
          <t>not researched</t>
        </is>
      </c>
      <c r="K35" s="22" t="inlineStr">
        <is>
          <t>To check</t>
        </is>
      </c>
      <c r="L35" s="22" t="inlineStr"/>
    </row>
    <row r="36">
      <c r="A36" s="9" t="n">
        <v>32</v>
      </c>
      <c r="B36" s="9" t="inlineStr">
        <is>
          <t>New Zealand</t>
        </is>
      </c>
      <c r="C36" s="9" t="inlineStr">
        <is>
          <t>ISKCON Auckland</t>
        </is>
      </c>
      <c r="D36" s="9" t="inlineStr">
        <is>
          <t>Visitor visa required (NZeTA not valid for Indians) (unverified)</t>
        </is>
      </c>
      <c r="E36" s="9" t="inlineStr">
        <is>
          <t>-</t>
        </is>
      </c>
      <c r="F36" s="9" t="inlineStr">
        <is>
          <t>-</t>
        </is>
      </c>
      <c r="G36" s="9" t="inlineStr">
        <is>
          <t>n/a</t>
        </is>
      </c>
      <c r="H36" s="9" t="inlineStr">
        <is>
          <t>Low</t>
        </is>
      </c>
      <c r="I36" s="12" t="inlineStr">
        <is>
          <t>Confirm</t>
        </is>
      </c>
      <c r="J36" s="9" t="inlineStr">
        <is>
          <t>not researched</t>
        </is>
      </c>
      <c r="K36" s="22" t="inlineStr">
        <is>
          <t>To check</t>
        </is>
      </c>
      <c r="L36" s="22" t="inlineStr"/>
    </row>
  </sheetData>
  <autoFilter ref="A4:L36"/>
  <conditionalFormatting sqref="K5:K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K5:K66" showDropDown="0" showInputMessage="0" showErrorMessage="0" allowBlank="0" type="list">
      <formula1>"Have,Expired,Need,In progress,Not needed,To check"</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H118"/>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52" customWidth="1" min="4" max="4"/>
    <col width="16" customWidth="1" min="5" max="5"/>
    <col width="26" customWidth="1" min="6" max="6"/>
    <col width="40" customWidth="1" min="7" max="7"/>
    <col width="60" customWidth="1" min="8" max="8"/>
  </cols>
  <sheetData>
    <row r="1">
      <c r="A1" s="1" t="inlineStr">
        <is>
          <t>Places Visited - MASTER list of cities &amp; sites already covered</t>
        </is>
      </c>
    </row>
    <row r="2">
      <c r="A2" s="2" t="inlineStr">
        <is>
          <t>Keep adding rows (one per site). Country Summary counts countries; this sheet counts cities and places. Rows saying 'if visited' / 'confirm' are guesses - delete or confirm.</t>
        </is>
      </c>
    </row>
    <row r="4">
      <c r="A4" s="3" t="inlineStr">
        <is>
          <t>#</t>
        </is>
      </c>
      <c r="B4" s="3" t="inlineStr">
        <is>
          <t>Country</t>
        </is>
      </c>
      <c r="C4" s="3" t="inlineStr">
        <is>
          <t>City / area</t>
        </is>
      </c>
      <c r="D4" s="3" t="inlineStr">
        <is>
          <t>Place / site</t>
        </is>
      </c>
      <c r="E4" s="3" t="inlineStr">
        <is>
          <t>Type</t>
        </is>
      </c>
      <c r="F4" s="3" t="inlineStr">
        <is>
          <t>Date / trip</t>
        </is>
      </c>
      <c r="G4" s="3" t="inlineStr">
        <is>
          <t>Source</t>
        </is>
      </c>
      <c r="H4" s="3" t="inlineStr">
        <is>
          <t>Notes</t>
        </is>
      </c>
    </row>
    <row r="5">
      <c r="A5" s="9" t="n">
        <v>1</v>
      </c>
      <c r="B5" s="9" t="inlineStr">
        <is>
          <t>United Kingdom</t>
        </is>
      </c>
      <c r="C5" s="9" t="inlineStr">
        <is>
          <t>London</t>
        </is>
      </c>
      <c r="D5" s="9" t="inlineStr">
        <is>
          <t>Arrival London (Gatwick)</t>
        </is>
      </c>
      <c r="E5" s="9" t="inlineStr">
        <is>
          <t>Transit hub</t>
        </is>
      </c>
      <c r="F5" s="9" t="inlineStr">
        <is>
          <t>27 Jul 2024</t>
        </is>
      </c>
      <c r="G5" s="9" t="inlineStr">
        <is>
          <t>Europe+London yatra, Jul 2024 (itinerary + passport stamps)</t>
        </is>
      </c>
      <c r="H5" s="9" t="inlineStr">
        <is>
          <t>Gatwick stamp 27 Jul 2024</t>
        </is>
      </c>
    </row>
    <row r="6">
      <c r="A6" s="9" t="n">
        <v>2</v>
      </c>
      <c r="B6" s="9" t="inlineStr">
        <is>
          <t>United Kingdom</t>
        </is>
      </c>
      <c r="C6" s="9" t="inlineStr">
        <is>
          <t>Watford (Aldenham)</t>
        </is>
      </c>
      <c r="D6" s="9" t="inlineStr">
        <is>
          <t>Bhaktivedanta Manor - Hare Krishna Temple</t>
        </is>
      </c>
      <c r="E6" s="9" t="inlineStr">
        <is>
          <t>ISKCON/Temple</t>
        </is>
      </c>
      <c r="F6" s="9" t="inlineStr">
        <is>
          <t>27 Jul-1 Aug 2024</t>
        </is>
      </c>
      <c r="G6" s="9" t="inlineStr">
        <is>
          <t>Europe+London yatra, Jul 2024 (itinerary + passport stamps)</t>
        </is>
      </c>
      <c r="H6" s="9" t="inlineStr">
        <is>
          <t>Prabhupada's UK centre, donated by George Harrison</t>
        </is>
      </c>
    </row>
    <row r="7">
      <c r="A7" s="9" t="n">
        <v>3</v>
      </c>
      <c r="B7" s="9" t="inlineStr">
        <is>
          <t>United Kingdom</t>
        </is>
      </c>
      <c r="C7" s="9" t="inlineStr">
        <is>
          <t>London</t>
        </is>
      </c>
      <c r="D7" s="9" t="inlineStr">
        <is>
          <t>Tower of London</t>
        </is>
      </c>
      <c r="E7" s="9" t="inlineStr">
        <is>
          <t>Landmark</t>
        </is>
      </c>
      <c r="F7" s="9" t="inlineStr">
        <is>
          <t>27 Jul-1 Aug 2024</t>
        </is>
      </c>
      <c r="G7" s="9" t="inlineStr">
        <is>
          <t>Europe+London yatra, Jul 2024 (itinerary + passport stamps)</t>
        </is>
      </c>
      <c r="H7" s="9" t="inlineStr"/>
    </row>
    <row r="8">
      <c r="A8" s="9" t="n">
        <v>4</v>
      </c>
      <c r="B8" s="9" t="inlineStr">
        <is>
          <t>United Kingdom</t>
        </is>
      </c>
      <c r="C8" s="9" t="inlineStr">
        <is>
          <t>London</t>
        </is>
      </c>
      <c r="D8" s="9" t="inlineStr">
        <is>
          <t>St Paul's Cathedral</t>
        </is>
      </c>
      <c r="E8" s="9" t="inlineStr">
        <is>
          <t>Landmark</t>
        </is>
      </c>
      <c r="F8" s="9" t="inlineStr">
        <is>
          <t>27 Jul-1 Aug 2024</t>
        </is>
      </c>
      <c r="G8" s="9" t="inlineStr">
        <is>
          <t>Europe+London yatra, Jul 2024 (itinerary + passport stamps)</t>
        </is>
      </c>
      <c r="H8" s="9" t="inlineStr"/>
    </row>
    <row r="9">
      <c r="A9" s="9" t="n">
        <v>5</v>
      </c>
      <c r="B9" s="9" t="inlineStr">
        <is>
          <t>United Kingdom</t>
        </is>
      </c>
      <c r="C9" s="9" t="inlineStr">
        <is>
          <t>London</t>
        </is>
      </c>
      <c r="D9" s="9" t="inlineStr">
        <is>
          <t>Buckingham Palace - Changing of the Guard</t>
        </is>
      </c>
      <c r="E9" s="9" t="inlineStr">
        <is>
          <t>Landmark</t>
        </is>
      </c>
      <c r="F9" s="9" t="inlineStr">
        <is>
          <t>27 Jul-1 Aug 2024</t>
        </is>
      </c>
      <c r="G9" s="9" t="inlineStr">
        <is>
          <t>Europe+London yatra, Jul 2024 (itinerary + passport stamps)</t>
        </is>
      </c>
      <c r="H9" s="9" t="inlineStr"/>
    </row>
    <row r="10">
      <c r="A10" s="9" t="n">
        <v>6</v>
      </c>
      <c r="B10" s="9" t="inlineStr">
        <is>
          <t>United Kingdom</t>
        </is>
      </c>
      <c r="C10" s="9" t="inlineStr">
        <is>
          <t>London</t>
        </is>
      </c>
      <c r="D10" s="9" t="inlineStr">
        <is>
          <t>London Eye</t>
        </is>
      </c>
      <c r="E10" s="9" t="inlineStr">
        <is>
          <t>Landmark</t>
        </is>
      </c>
      <c r="F10" s="9" t="inlineStr">
        <is>
          <t>27 Jul-1 Aug 2024</t>
        </is>
      </c>
      <c r="G10" s="9" t="inlineStr">
        <is>
          <t>Europe+London yatra, Jul 2024 (itinerary + passport stamps)</t>
        </is>
      </c>
      <c r="H10" s="9" t="inlineStr"/>
    </row>
    <row r="11">
      <c r="A11" s="9" t="n">
        <v>7</v>
      </c>
      <c r="B11" s="9" t="inlineStr">
        <is>
          <t>United Kingdom</t>
        </is>
      </c>
      <c r="C11" s="9" t="inlineStr">
        <is>
          <t>London</t>
        </is>
      </c>
      <c r="D11" s="9" t="inlineStr">
        <is>
          <t>River Thames cruise</t>
        </is>
      </c>
      <c r="E11" s="9" t="inlineStr">
        <is>
          <t>Cruise/Ride</t>
        </is>
      </c>
      <c r="F11" s="9" t="inlineStr">
        <is>
          <t>27 Jul-1 Aug 2024</t>
        </is>
      </c>
      <c r="G11" s="9" t="inlineStr">
        <is>
          <t>Europe+London yatra, Jul 2024 (itinerary + passport stamps)</t>
        </is>
      </c>
      <c r="H11" s="9" t="inlineStr"/>
    </row>
    <row r="12">
      <c r="A12" s="9" t="n">
        <v>8</v>
      </c>
      <c r="B12" s="9" t="inlineStr">
        <is>
          <t>United Kingdom</t>
        </is>
      </c>
      <c r="C12" s="9" t="inlineStr">
        <is>
          <t>London</t>
        </is>
      </c>
      <c r="D12" s="9" t="inlineStr">
        <is>
          <t>Madame Tussauds</t>
        </is>
      </c>
      <c r="E12" s="9" t="inlineStr">
        <is>
          <t>Museum</t>
        </is>
      </c>
      <c r="F12" s="9" t="inlineStr">
        <is>
          <t>27 Jul-1 Aug 2024</t>
        </is>
      </c>
      <c r="G12" s="9" t="inlineStr">
        <is>
          <t>Europe+London yatra, Jul 2024 (itinerary + passport stamps)</t>
        </is>
      </c>
      <c r="H12" s="9" t="inlineStr"/>
    </row>
    <row r="13">
      <c r="A13" s="9" t="n">
        <v>9</v>
      </c>
      <c r="B13" s="9" t="inlineStr">
        <is>
          <t>United Kingdom</t>
        </is>
      </c>
      <c r="C13" s="9" t="inlineStr">
        <is>
          <t>London</t>
        </is>
      </c>
      <c r="D13" s="9" t="inlineStr">
        <is>
          <t>London Bridge / Tower Bridge area</t>
        </is>
      </c>
      <c r="E13" s="9" t="inlineStr">
        <is>
          <t>Landmark</t>
        </is>
      </c>
      <c r="F13" s="9" t="inlineStr">
        <is>
          <t>27 Jul-1 Aug 2024</t>
        </is>
      </c>
      <c r="G13" s="9" t="inlineStr">
        <is>
          <t>Europe+London yatra, Jul 2024 (itinerary + passport stamps)</t>
        </is>
      </c>
      <c r="H13" s="9" t="inlineStr"/>
    </row>
    <row r="14">
      <c r="A14" s="9" t="n">
        <v>10</v>
      </c>
      <c r="B14" s="9" t="inlineStr">
        <is>
          <t>United Kingdom</t>
        </is>
      </c>
      <c r="C14" s="9" t="inlineStr">
        <is>
          <t>London</t>
        </is>
      </c>
      <c r="D14" s="9" t="inlineStr">
        <is>
          <t>Big Ben &amp; Houses of Parliament (viewed)</t>
        </is>
      </c>
      <c r="E14" s="9" t="inlineStr">
        <is>
          <t>Landmark</t>
        </is>
      </c>
      <c r="F14" s="9" t="inlineStr">
        <is>
          <t>27 Jul-1 Aug 2024</t>
        </is>
      </c>
      <c r="G14" s="9" t="inlineStr">
        <is>
          <t>Europe+London yatra, Jul 2024 (itinerary + passport stamps)</t>
        </is>
      </c>
      <c r="H14" s="9" t="inlineStr">
        <is>
          <t>Seen from London Eye / cruise</t>
        </is>
      </c>
    </row>
    <row r="15">
      <c r="A15" s="9" t="n">
        <v>11</v>
      </c>
      <c r="B15" s="9" t="inlineStr">
        <is>
          <t>France</t>
        </is>
      </c>
      <c r="C15" s="9" t="inlineStr">
        <is>
          <t>Paris</t>
        </is>
      </c>
      <c r="D15" s="9" t="inlineStr">
        <is>
          <t>Arrival Paris CDG</t>
        </is>
      </c>
      <c r="E15" s="9" t="inlineStr">
        <is>
          <t>Transit hub</t>
        </is>
      </c>
      <c r="F15" s="9" t="inlineStr">
        <is>
          <t>15 Jul 2024</t>
        </is>
      </c>
      <c r="G15" s="9" t="inlineStr">
        <is>
          <t>Europe+London yatra, Jul 2024 (itinerary + passport stamps)</t>
        </is>
      </c>
      <c r="H15" s="9" t="inlineStr">
        <is>
          <t>CDG stamp 15 Jul 2024</t>
        </is>
      </c>
    </row>
    <row r="16">
      <c r="A16" s="9" t="n">
        <v>12</v>
      </c>
      <c r="B16" s="9" t="inlineStr">
        <is>
          <t>France</t>
        </is>
      </c>
      <c r="C16" s="9" t="inlineStr">
        <is>
          <t>Paris</t>
        </is>
      </c>
      <c r="D16" s="9" t="inlineStr">
        <is>
          <t>Seine River cruise</t>
        </is>
      </c>
      <c r="E16" s="9" t="inlineStr">
        <is>
          <t>Cruise/Ride</t>
        </is>
      </c>
      <c r="F16" s="9" t="inlineStr">
        <is>
          <t>15 Jul 2024</t>
        </is>
      </c>
      <c r="G16" s="9" t="inlineStr">
        <is>
          <t>Europe+London yatra, Jul 2024 (itinerary + passport stamps)</t>
        </is>
      </c>
      <c r="H16" s="9" t="inlineStr"/>
    </row>
    <row r="17">
      <c r="A17" s="9" t="n">
        <v>13</v>
      </c>
      <c r="B17" s="9" t="inlineStr">
        <is>
          <t>France</t>
        </is>
      </c>
      <c r="C17" s="9" t="inlineStr">
        <is>
          <t>Paris</t>
        </is>
      </c>
      <c r="D17" s="9" t="inlineStr">
        <is>
          <t>Eiffel Tower (2nd floor)</t>
        </is>
      </c>
      <c r="E17" s="9" t="inlineStr">
        <is>
          <t>Landmark</t>
        </is>
      </c>
      <c r="F17" s="9" t="inlineStr">
        <is>
          <t>16 Jul 2024</t>
        </is>
      </c>
      <c r="G17" s="9" t="inlineStr">
        <is>
          <t>Europe+London yatra, Jul 2024 (itinerary + passport stamps)</t>
        </is>
      </c>
      <c r="H17" s="9" t="inlineStr"/>
    </row>
    <row r="18">
      <c r="A18" s="9" t="n">
        <v>14</v>
      </c>
      <c r="B18" s="9" t="inlineStr">
        <is>
          <t>France</t>
        </is>
      </c>
      <c r="C18" s="9" t="inlineStr">
        <is>
          <t>Paris</t>
        </is>
      </c>
      <c r="D18" s="9" t="inlineStr">
        <is>
          <t>Louvre Museum (Mona Lisa, Venus de Milo)</t>
        </is>
      </c>
      <c r="E18" s="9" t="inlineStr">
        <is>
          <t>Museum</t>
        </is>
      </c>
      <c r="F18" s="9" t="inlineStr">
        <is>
          <t>16 Jul 2024</t>
        </is>
      </c>
      <c r="G18" s="9" t="inlineStr">
        <is>
          <t>Europe+London yatra, Jul 2024 (itinerary + passport stamps)</t>
        </is>
      </c>
      <c r="H18" s="9" t="inlineStr"/>
    </row>
    <row r="19">
      <c r="A19" s="9" t="n">
        <v>15</v>
      </c>
      <c r="B19" s="9" t="inlineStr">
        <is>
          <t>France</t>
        </is>
      </c>
      <c r="C19" s="9" t="inlineStr">
        <is>
          <t>Paris</t>
        </is>
      </c>
      <c r="D19" s="9" t="inlineStr">
        <is>
          <t>Arc de Triomphe, Champs-Elysees, Place de la Concorde</t>
        </is>
      </c>
      <c r="E19" s="9" t="inlineStr">
        <is>
          <t>City tour</t>
        </is>
      </c>
      <c r="F19" s="9" t="inlineStr">
        <is>
          <t>16 Jul 2024</t>
        </is>
      </c>
      <c r="G19" s="9" t="inlineStr">
        <is>
          <t>Europe+London yatra, Jul 2024 (itinerary + passport stamps)</t>
        </is>
      </c>
      <c r="H19" s="9" t="inlineStr"/>
    </row>
    <row r="20">
      <c r="A20" s="9" t="n">
        <v>16</v>
      </c>
      <c r="B20" s="9" t="inlineStr">
        <is>
          <t>France</t>
        </is>
      </c>
      <c r="C20" s="9" t="inlineStr">
        <is>
          <t>Paris</t>
        </is>
      </c>
      <c r="D20" s="9" t="inlineStr">
        <is>
          <t>Montmartre, Latin Quarter, Le Marais</t>
        </is>
      </c>
      <c r="E20" s="9" t="inlineStr">
        <is>
          <t>City tour</t>
        </is>
      </c>
      <c r="F20" s="9" t="inlineStr">
        <is>
          <t>16 Jul 2024</t>
        </is>
      </c>
      <c r="G20" s="9" t="inlineStr">
        <is>
          <t>Europe+London yatra, Jul 2024 (itinerary + passport stamps)</t>
        </is>
      </c>
      <c r="H20" s="9" t="inlineStr"/>
    </row>
    <row r="21">
      <c r="A21" s="9" t="n">
        <v>17</v>
      </c>
      <c r="B21" s="9" t="inlineStr">
        <is>
          <t>France</t>
        </is>
      </c>
      <c r="C21" s="9" t="inlineStr">
        <is>
          <t>Paris</t>
        </is>
      </c>
      <c r="D21" s="9" t="inlineStr">
        <is>
          <t>Notre-Dame (viewed from Seine)</t>
        </is>
      </c>
      <c r="E21" s="9" t="inlineStr">
        <is>
          <t>Landmark</t>
        </is>
      </c>
      <c r="F21" s="9" t="inlineStr">
        <is>
          <t>15 Jul 2024</t>
        </is>
      </c>
      <c r="G21" s="9" t="inlineStr">
        <is>
          <t>Europe+London yatra, Jul 2024 (itinerary + passport stamps)</t>
        </is>
      </c>
      <c r="H21" s="9" t="inlineStr"/>
    </row>
    <row r="22">
      <c r="A22" s="9" t="n">
        <v>18</v>
      </c>
      <c r="B22" s="9" t="inlineStr">
        <is>
          <t>France</t>
        </is>
      </c>
      <c r="C22" s="9" t="inlineStr">
        <is>
          <t>Lucay-le-Male (Indre)</t>
        </is>
      </c>
      <c r="D22" s="9" t="inlineStr">
        <is>
          <t>ISKCON New Mayapur (Nouvelle Mayapura)</t>
        </is>
      </c>
      <c r="E22" s="9" t="inlineStr">
        <is>
          <t>ISKCON/Temple</t>
        </is>
      </c>
      <c r="F22" s="9" t="inlineStr">
        <is>
          <t>17 Jul 2024</t>
        </is>
      </c>
      <c r="G22" s="9" t="inlineStr">
        <is>
          <t>Europe+London yatra, Jul 2024 (itinerary + passport stamps)</t>
        </is>
      </c>
      <c r="H22" s="9" t="inlineStr">
        <is>
          <t>Itinerary calls it 'outskirts of Paris'; it is ~250 km south</t>
        </is>
      </c>
    </row>
    <row r="23">
      <c r="A23" s="9" t="n">
        <v>19</v>
      </c>
      <c r="B23" s="9" t="inlineStr">
        <is>
          <t>France</t>
        </is>
      </c>
      <c r="C23" s="9" t="inlineStr">
        <is>
          <t>Paris</t>
        </is>
      </c>
      <c r="D23" s="12" t="inlineStr">
        <is>
          <t>ISKCON Paris (Sarcelles) - if visited</t>
        </is>
      </c>
      <c r="E23" s="9" t="inlineStr">
        <is>
          <t>ISKCON/Temple</t>
        </is>
      </c>
      <c r="F23" s="9" t="inlineStr">
        <is>
          <t>15-17 Jul 2024</t>
        </is>
      </c>
      <c r="G23" s="9" t="inlineStr">
        <is>
          <t>Europe+London yatra, Jul 2024 (itinerary + passport stamps)</t>
        </is>
      </c>
      <c r="H23" s="9" t="inlineStr">
        <is>
          <t>Not in itinerary - delete if not visited</t>
        </is>
      </c>
    </row>
    <row r="24">
      <c r="A24" s="9" t="n">
        <v>20</v>
      </c>
      <c r="B24" s="9" t="inlineStr">
        <is>
          <t>Belgium</t>
        </is>
      </c>
      <c r="C24" s="9" t="inlineStr">
        <is>
          <t>Brussels</t>
        </is>
      </c>
      <c r="D24" s="9" t="inlineStr">
        <is>
          <t>Grand Place &amp; Town Hall</t>
        </is>
      </c>
      <c r="E24" s="9" t="inlineStr">
        <is>
          <t>Landmark</t>
        </is>
      </c>
      <c r="F24" s="9" t="inlineStr">
        <is>
          <t>18 Jul 2024</t>
        </is>
      </c>
      <c r="G24" s="9" t="inlineStr">
        <is>
          <t>Europe+London yatra, Jul 2024 (itinerary + passport stamps)</t>
        </is>
      </c>
      <c r="H24" s="9" t="inlineStr"/>
    </row>
    <row r="25">
      <c r="A25" s="9" t="n">
        <v>21</v>
      </c>
      <c r="B25" s="9" t="inlineStr">
        <is>
          <t>Belgium</t>
        </is>
      </c>
      <c r="C25" s="9" t="inlineStr">
        <is>
          <t>Brussels</t>
        </is>
      </c>
      <c r="D25" s="9" t="inlineStr">
        <is>
          <t>Manneken Pis</t>
        </is>
      </c>
      <c r="E25" s="9" t="inlineStr">
        <is>
          <t>Landmark</t>
        </is>
      </c>
      <c r="F25" s="9" t="inlineStr">
        <is>
          <t>18 Jul 2024</t>
        </is>
      </c>
      <c r="G25" s="9" t="inlineStr">
        <is>
          <t>Europe+London yatra, Jul 2024 (itinerary + passport stamps)</t>
        </is>
      </c>
      <c r="H25" s="9" t="inlineStr"/>
    </row>
    <row r="26">
      <c r="A26" s="9" t="n">
        <v>22</v>
      </c>
      <c r="B26" s="9" t="inlineStr">
        <is>
          <t>Belgium</t>
        </is>
      </c>
      <c r="C26" s="9" t="inlineStr">
        <is>
          <t>Durbuy (Septon)</t>
        </is>
      </c>
      <c r="D26" s="9" t="inlineStr">
        <is>
          <t>ISKCON Radhadesh (Chateau de Petite Somme)</t>
        </is>
      </c>
      <c r="E26" s="9" t="inlineStr">
        <is>
          <t>ISKCON/Temple</t>
        </is>
      </c>
      <c r="F26" s="9" t="inlineStr">
        <is>
          <t>18 Jul 2024</t>
        </is>
      </c>
      <c r="G26" s="9" t="inlineStr">
        <is>
          <t>Europe+London yatra, Jul 2024 (itinerary + passport stamps)</t>
        </is>
      </c>
      <c r="H26" s="9" t="inlineStr">
        <is>
          <t>Bhaktivedanta College campus, Ardennes</t>
        </is>
      </c>
    </row>
    <row r="27">
      <c r="A27" s="9" t="n">
        <v>23</v>
      </c>
      <c r="B27" s="9" t="inlineStr">
        <is>
          <t>Netherlands</t>
        </is>
      </c>
      <c r="C27" s="9" t="inlineStr">
        <is>
          <t>Amsterdam</t>
        </is>
      </c>
      <c r="D27" s="9" t="inlineStr">
        <is>
          <t>Canal cruise</t>
        </is>
      </c>
      <c r="E27" s="9" t="inlineStr">
        <is>
          <t>Cruise/Ride</t>
        </is>
      </c>
      <c r="F27" s="9" t="inlineStr">
        <is>
          <t>19 Jul 2024</t>
        </is>
      </c>
      <c r="G27" s="9" t="inlineStr">
        <is>
          <t>Europe+London yatra, Jul 2024 (itinerary + passport stamps)</t>
        </is>
      </c>
      <c r="H27" s="9" t="inlineStr"/>
    </row>
    <row r="28">
      <c r="A28" s="9" t="n">
        <v>24</v>
      </c>
      <c r="B28" s="9" t="inlineStr">
        <is>
          <t>Netherlands</t>
        </is>
      </c>
      <c r="C28" s="9" t="inlineStr">
        <is>
          <t>Amsterdam</t>
        </is>
      </c>
      <c r="D28" s="9" t="inlineStr">
        <is>
          <t>Dam Square &amp; Royal Palace</t>
        </is>
      </c>
      <c r="E28" s="9" t="inlineStr">
        <is>
          <t>Landmark</t>
        </is>
      </c>
      <c r="F28" s="9" t="inlineStr">
        <is>
          <t>19 Jul 2024</t>
        </is>
      </c>
      <c r="G28" s="9" t="inlineStr">
        <is>
          <t>Europe+London yatra, Jul 2024 (itinerary + passport stamps)</t>
        </is>
      </c>
      <c r="H28" s="9" t="inlineStr"/>
    </row>
    <row r="29">
      <c r="A29" s="9" t="n">
        <v>25</v>
      </c>
      <c r="B29" s="9" t="inlineStr">
        <is>
          <t>Netherlands</t>
        </is>
      </c>
      <c r="C29" s="9" t="inlineStr">
        <is>
          <t>Amsterdam</t>
        </is>
      </c>
      <c r="D29" s="9" t="inlineStr">
        <is>
          <t>Anne Frank House (exterior)</t>
        </is>
      </c>
      <c r="E29" s="9" t="inlineStr">
        <is>
          <t>Landmark</t>
        </is>
      </c>
      <c r="F29" s="9" t="inlineStr">
        <is>
          <t>19 Jul 2024</t>
        </is>
      </c>
      <c r="G29" s="9" t="inlineStr">
        <is>
          <t>Europe+London yatra, Jul 2024 (itinerary + passport stamps)</t>
        </is>
      </c>
      <c r="H29" s="9" t="inlineStr"/>
    </row>
    <row r="30">
      <c r="A30" s="9" t="n">
        <v>26</v>
      </c>
      <c r="B30" s="9" t="inlineStr">
        <is>
          <t>Netherlands</t>
        </is>
      </c>
      <c r="C30" s="9" t="inlineStr">
        <is>
          <t>Amsterdam</t>
        </is>
      </c>
      <c r="D30" s="9" t="inlineStr">
        <is>
          <t>Jordaan district</t>
        </is>
      </c>
      <c r="E30" s="9" t="inlineStr">
        <is>
          <t>City tour</t>
        </is>
      </c>
      <c r="F30" s="9" t="inlineStr">
        <is>
          <t>19 Jul 2024</t>
        </is>
      </c>
      <c r="G30" s="9" t="inlineStr">
        <is>
          <t>Europe+London yatra, Jul 2024 (itinerary + passport stamps)</t>
        </is>
      </c>
      <c r="H30" s="9" t="inlineStr"/>
    </row>
    <row r="31">
      <c r="A31" s="9" t="n">
        <v>27</v>
      </c>
      <c r="B31" s="9" t="inlineStr">
        <is>
          <t>Netherlands / Germany</t>
        </is>
      </c>
      <c r="C31" s="9" t="inlineStr">
        <is>
          <t>(countryside)</t>
        </is>
      </c>
      <c r="D31" s="12" t="inlineStr">
        <is>
          <t>'Hare Krishna Valley' temple (per itinerary)</t>
        </is>
      </c>
      <c r="E31" s="9" t="inlineStr">
        <is>
          <t>ISKCON/Temple</t>
        </is>
      </c>
      <c r="F31" s="9" t="inlineStr">
        <is>
          <t>20 Jul 2024</t>
        </is>
      </c>
      <c r="G31" s="9" t="inlineStr">
        <is>
          <t>Europe+London yatra, Jul 2024 (itinerary + passport stamps)</t>
        </is>
      </c>
      <c r="H31" s="9" t="inlineStr">
        <is>
          <t>Itinerary name is vague - confirm which temple (e.g. ISKCON Amsterdam, Simhachalam/Germany, Goloka Dhama/Abentheuer). Edit country when known.</t>
        </is>
      </c>
    </row>
    <row r="32">
      <c r="A32" s="9" t="n">
        <v>28</v>
      </c>
      <c r="B32" s="9" t="inlineStr">
        <is>
          <t>Germany</t>
        </is>
      </c>
      <c r="C32" s="9" t="inlineStr">
        <is>
          <t>Cologne</t>
        </is>
      </c>
      <c r="D32" s="9" t="inlineStr">
        <is>
          <t>Cologne Cathedral &amp; Old Town</t>
        </is>
      </c>
      <c r="E32" s="9" t="inlineStr">
        <is>
          <t>Landmark</t>
        </is>
      </c>
      <c r="F32" s="9" t="inlineStr">
        <is>
          <t>20 Jul 2024</t>
        </is>
      </c>
      <c r="G32" s="9" t="inlineStr">
        <is>
          <t>Europe+London yatra, Jul 2024 (itinerary + passport stamps)</t>
        </is>
      </c>
      <c r="H32" s="9" t="inlineStr"/>
    </row>
    <row r="33">
      <c r="A33" s="9" t="n">
        <v>29</v>
      </c>
      <c r="B33" s="9" t="inlineStr">
        <is>
          <t>Germany</t>
        </is>
      </c>
      <c r="C33" s="9" t="inlineStr">
        <is>
          <t>Black Forest</t>
        </is>
      </c>
      <c r="D33" s="9" t="inlineStr">
        <is>
          <t>Black Forest drive</t>
        </is>
      </c>
      <c r="E33" s="9" t="inlineStr">
        <is>
          <t>Nature</t>
        </is>
      </c>
      <c r="F33" s="9" t="inlineStr">
        <is>
          <t>21 Jul 2024</t>
        </is>
      </c>
      <c r="G33" s="9" t="inlineStr">
        <is>
          <t>Europe+London yatra, Jul 2024 (itinerary + passport stamps)</t>
        </is>
      </c>
      <c r="H33" s="9" t="inlineStr"/>
    </row>
    <row r="34">
      <c r="A34" s="9" t="n">
        <v>30</v>
      </c>
      <c r="B34" s="9" t="inlineStr">
        <is>
          <t>Germany</t>
        </is>
      </c>
      <c r="C34" s="9" t="inlineStr">
        <is>
          <t>Triberg</t>
        </is>
      </c>
      <c r="D34" s="9" t="inlineStr">
        <is>
          <t>Triberg - cuckoo clock shop (and falls area)</t>
        </is>
      </c>
      <c r="E34" s="9" t="inlineStr">
        <is>
          <t>Landmark</t>
        </is>
      </c>
      <c r="F34" s="9" t="inlineStr">
        <is>
          <t>21 Jul 2024</t>
        </is>
      </c>
      <c r="G34" s="9" t="inlineStr">
        <is>
          <t>Europe+London yatra, Jul 2024 (itinerary + passport stamps)</t>
        </is>
      </c>
      <c r="H34" s="9" t="inlineStr"/>
    </row>
    <row r="35">
      <c r="A35" s="9" t="n">
        <v>31</v>
      </c>
      <c r="B35" s="9" t="inlineStr">
        <is>
          <t>Switzerland</t>
        </is>
      </c>
      <c r="C35" s="9" t="inlineStr">
        <is>
          <t>Neuhausen am Rheinfall</t>
        </is>
      </c>
      <c r="D35" s="9" t="inlineStr">
        <is>
          <t>Rhine Falls (Europe's largest waterfall)</t>
        </is>
      </c>
      <c r="E35" s="9" t="inlineStr">
        <is>
          <t>Nature</t>
        </is>
      </c>
      <c r="F35" s="9" t="inlineStr">
        <is>
          <t>21 Jul 2024</t>
        </is>
      </c>
      <c r="G35" s="9" t="inlineStr">
        <is>
          <t>Europe+London yatra, Jul 2024 (itinerary + passport stamps)</t>
        </is>
      </c>
      <c r="H35" s="9" t="inlineStr">
        <is>
          <t>Swiss side of the German border</t>
        </is>
      </c>
    </row>
    <row r="36">
      <c r="A36" s="9" t="n">
        <v>32</v>
      </c>
      <c r="B36" s="9" t="inlineStr">
        <is>
          <t>Switzerland</t>
        </is>
      </c>
      <c r="C36" s="9" t="inlineStr">
        <is>
          <t>Zurich</t>
        </is>
      </c>
      <c r="D36" s="9" t="inlineStr">
        <is>
          <t>Zurich Old Town</t>
        </is>
      </c>
      <c r="E36" s="9" t="inlineStr">
        <is>
          <t>City tour</t>
        </is>
      </c>
      <c r="F36" s="9" t="inlineStr">
        <is>
          <t>21 Jul 2024</t>
        </is>
      </c>
      <c r="G36" s="9" t="inlineStr">
        <is>
          <t>Europe+London yatra, Jul 2024 (itinerary + passport stamps)</t>
        </is>
      </c>
      <c r="H36" s="9" t="inlineStr"/>
    </row>
    <row r="37">
      <c r="A37" s="9" t="n">
        <v>33</v>
      </c>
      <c r="B37" s="9" t="inlineStr">
        <is>
          <t>Switzerland</t>
        </is>
      </c>
      <c r="C37" s="9" t="inlineStr">
        <is>
          <t>Lucerne</t>
        </is>
      </c>
      <c r="D37" s="9" t="inlineStr">
        <is>
          <t>Chapel Bridge, Water Tower, Lake Lucerne, Old Town</t>
        </is>
      </c>
      <c r="E37" s="9" t="inlineStr">
        <is>
          <t>Landmark</t>
        </is>
      </c>
      <c r="F37" s="9" t="inlineStr">
        <is>
          <t>22 Jul 2024</t>
        </is>
      </c>
      <c r="G37" s="9" t="inlineStr">
        <is>
          <t>Europe+London yatra, Jul 2024 (itinerary + passport stamps)</t>
        </is>
      </c>
      <c r="H37" s="9" t="inlineStr"/>
    </row>
    <row r="38">
      <c r="A38" s="9" t="n">
        <v>34</v>
      </c>
      <c r="B38" s="9" t="inlineStr">
        <is>
          <t>Switzerland</t>
        </is>
      </c>
      <c r="C38" s="9" t="inlineStr">
        <is>
          <t>Engelberg</t>
        </is>
      </c>
      <c r="D38" s="9" t="inlineStr">
        <is>
          <t>Mt Titlis - Rotair cable car, Cliff Walk, Ice Flyer</t>
        </is>
      </c>
      <c r="E38" s="9" t="inlineStr">
        <is>
          <t>Nature</t>
        </is>
      </c>
      <c r="F38" s="9" t="inlineStr">
        <is>
          <t>22 Jul 2024</t>
        </is>
      </c>
      <c r="G38" s="9" t="inlineStr">
        <is>
          <t>Europe+London yatra, Jul 2024 (itinerary + passport stamps)</t>
        </is>
      </c>
      <c r="H38" s="9" t="inlineStr"/>
    </row>
    <row r="39">
      <c r="A39" s="9" t="n">
        <v>35</v>
      </c>
      <c r="B39" s="9" t="inlineStr">
        <is>
          <t>Switzerland</t>
        </is>
      </c>
      <c r="C39" s="9" t="inlineStr">
        <is>
          <t>Zurich</t>
        </is>
      </c>
      <c r="D39" s="12" t="inlineStr">
        <is>
          <t>ISKCON Zurich (Krishna Tempel) - if visited</t>
        </is>
      </c>
      <c r="E39" s="9" t="inlineStr">
        <is>
          <t>ISKCON/Temple</t>
        </is>
      </c>
      <c r="F39" s="9" t="inlineStr">
        <is>
          <t>21-22 Jul 2024</t>
        </is>
      </c>
      <c r="G39" s="9" t="inlineStr">
        <is>
          <t>Europe+London yatra, Jul 2024 (itinerary + passport stamps)</t>
        </is>
      </c>
      <c r="H39" s="9" t="inlineStr">
        <is>
          <t>Not in itinerary - delete if not visited</t>
        </is>
      </c>
    </row>
    <row r="40">
      <c r="A40" s="9" t="n">
        <v>36</v>
      </c>
      <c r="B40" s="9" t="inlineStr">
        <is>
          <t>Italy</t>
        </is>
      </c>
      <c r="C40" s="9" t="inlineStr">
        <is>
          <t>Milan</t>
        </is>
      </c>
      <c r="D40" s="9" t="inlineStr">
        <is>
          <t>Villaggio Hare Krishna (Chignolo d'Isola)</t>
        </is>
      </c>
      <c r="E40" s="9" t="inlineStr">
        <is>
          <t>ISKCON/Temple</t>
        </is>
      </c>
      <c r="F40" s="9" t="inlineStr">
        <is>
          <t>23 Jul 2024</t>
        </is>
      </c>
      <c r="G40" s="9" t="inlineStr">
        <is>
          <t>Europe+London yatra, Jul 2024 (itinerary + passport stamps)</t>
        </is>
      </c>
      <c r="H40" s="9" t="inlineStr">
        <is>
          <t>ISKCON Milan farm community</t>
        </is>
      </c>
    </row>
    <row r="41">
      <c r="A41" s="9" t="n">
        <v>37</v>
      </c>
      <c r="B41" s="9" t="inlineStr">
        <is>
          <t>Italy</t>
        </is>
      </c>
      <c r="C41" s="9" t="inlineStr">
        <is>
          <t>Milan</t>
        </is>
      </c>
      <c r="D41" s="9" t="inlineStr">
        <is>
          <t>Duomo di Milano, Galleria Vittorio Emanuele II, Sforza Castle, Brera</t>
        </is>
      </c>
      <c r="E41" s="9" t="inlineStr">
        <is>
          <t>City tour</t>
        </is>
      </c>
      <c r="F41" s="9" t="inlineStr">
        <is>
          <t>23 Jul 2024</t>
        </is>
      </c>
      <c r="G41" s="9" t="inlineStr">
        <is>
          <t>Europe+London yatra, Jul 2024 (itinerary + passport stamps)</t>
        </is>
      </c>
      <c r="H41" s="9" t="inlineStr"/>
    </row>
    <row r="42">
      <c r="A42" s="9" t="n">
        <v>38</v>
      </c>
      <c r="B42" s="9" t="inlineStr">
        <is>
          <t>Italy</t>
        </is>
      </c>
      <c r="C42" s="9" t="inlineStr">
        <is>
          <t>Vicenza / Este (Veneto)</t>
        </is>
      </c>
      <c r="D42" s="9" t="inlineStr">
        <is>
          <t>Veneto overnight base - GPS 24 Jul 2024 (itinerary said Padova)</t>
        </is>
      </c>
      <c r="E42" s="9" t="inlineStr">
        <is>
          <t>City tour</t>
        </is>
      </c>
      <c r="F42" s="9" t="inlineStr">
        <is>
          <t>24 Jul 2024</t>
        </is>
      </c>
      <c r="G42" s="9" t="inlineStr">
        <is>
          <t>Europe+London yatra, Jul 2024 (itinerary + passport stamps)</t>
        </is>
      </c>
      <c r="H42" s="9" t="inlineStr">
        <is>
          <t>GPS: Vicenza &amp; Este</t>
        </is>
      </c>
    </row>
    <row r="43">
      <c r="A43" s="9" t="n">
        <v>39</v>
      </c>
      <c r="B43" s="9" t="inlineStr">
        <is>
          <t>Italy</t>
        </is>
      </c>
      <c r="C43" s="9" t="inlineStr">
        <is>
          <t>Venice</t>
        </is>
      </c>
      <c r="D43" s="9" t="inlineStr">
        <is>
          <t>Gondola ride</t>
        </is>
      </c>
      <c r="E43" s="9" t="inlineStr">
        <is>
          <t>Cruise/Ride</t>
        </is>
      </c>
      <c r="F43" s="9" t="inlineStr">
        <is>
          <t>23 Jul 2024</t>
        </is>
      </c>
      <c r="G43" s="9" t="inlineStr">
        <is>
          <t>Europe+London yatra, Jul 2024 (itinerary + passport stamps)</t>
        </is>
      </c>
      <c r="H43" s="9" t="inlineStr">
        <is>
          <t>GPS: Venice 23 Jul</t>
        </is>
      </c>
    </row>
    <row r="44">
      <c r="A44" s="9" t="n">
        <v>40</v>
      </c>
      <c r="B44" s="9" t="inlineStr">
        <is>
          <t>Italy</t>
        </is>
      </c>
      <c r="C44" s="9" t="inlineStr">
        <is>
          <t>Venice</t>
        </is>
      </c>
      <c r="D44" s="9" t="inlineStr">
        <is>
          <t>St Mark's Square, Doge's Palace, Rialto Bridge</t>
        </is>
      </c>
      <c r="E44" s="9" t="inlineStr">
        <is>
          <t>Landmark</t>
        </is>
      </c>
      <c r="F44" s="9" t="inlineStr">
        <is>
          <t>23 Jul 2024</t>
        </is>
      </c>
      <c r="G44" s="9" t="inlineStr">
        <is>
          <t>Europe+London yatra, Jul 2024 (itinerary + passport stamps)</t>
        </is>
      </c>
      <c r="H44" s="9" t="inlineStr"/>
    </row>
    <row r="45">
      <c r="A45" s="9" t="n">
        <v>41</v>
      </c>
      <c r="B45" s="9" t="inlineStr">
        <is>
          <t>Italy</t>
        </is>
      </c>
      <c r="C45" s="9" t="inlineStr">
        <is>
          <t>Perugia (Umbria)</t>
        </is>
      </c>
      <c r="D45" s="9" t="inlineStr">
        <is>
          <t>Perugia overnight base - GPS 25-26 Jul 2024 (itinerary said Arezzo)</t>
        </is>
      </c>
      <c r="E45" s="9" t="inlineStr">
        <is>
          <t>City tour</t>
        </is>
      </c>
      <c r="F45" s="9" t="inlineStr">
        <is>
          <t>25-26 Jul 2024</t>
        </is>
      </c>
      <c r="G45" s="9" t="inlineStr">
        <is>
          <t>Europe+London yatra, Jul 2024 (itinerary + passport stamps)</t>
        </is>
      </c>
      <c r="H45" s="9" t="inlineStr">
        <is>
          <t>GPS</t>
        </is>
      </c>
    </row>
    <row r="46">
      <c r="A46" s="9" t="n">
        <v>42</v>
      </c>
      <c r="B46" s="9" t="inlineStr">
        <is>
          <t>Italy</t>
        </is>
      </c>
      <c r="C46" s="9" t="inlineStr">
        <is>
          <t>Florence</t>
        </is>
      </c>
      <c r="D46" s="9" t="inlineStr">
        <is>
          <t>Florence Cathedral (Duomo), Ponte Vecchio, Piazza della Signoria</t>
        </is>
      </c>
      <c r="E46" s="9" t="inlineStr">
        <is>
          <t>Landmark</t>
        </is>
      </c>
      <c r="F46" s="9" t="inlineStr">
        <is>
          <t>24-25 Jul 2024</t>
        </is>
      </c>
      <c r="G46" s="9" t="inlineStr">
        <is>
          <t>Europe+London yatra, Jul 2024 (itinerary + passport stamps)</t>
        </is>
      </c>
      <c r="H46" s="9" t="inlineStr">
        <is>
          <t>GPS</t>
        </is>
      </c>
    </row>
    <row r="47">
      <c r="A47" s="9" t="n">
        <v>43</v>
      </c>
      <c r="B47" s="9" t="inlineStr">
        <is>
          <t>Italy</t>
        </is>
      </c>
      <c r="C47" s="9" t="inlineStr">
        <is>
          <t>Pisa</t>
        </is>
      </c>
      <c r="D47" s="9" t="inlineStr">
        <is>
          <t>Leaning Tower of Pisa</t>
        </is>
      </c>
      <c r="E47" s="9" t="inlineStr">
        <is>
          <t>Landmark</t>
        </is>
      </c>
      <c r="F47" s="9" t="inlineStr">
        <is>
          <t>24 Jul 2024</t>
        </is>
      </c>
      <c r="G47" s="9" t="inlineStr">
        <is>
          <t>Europe+London yatra, Jul 2024 (itinerary + passport stamps)</t>
        </is>
      </c>
      <c r="H47" s="9" t="inlineStr">
        <is>
          <t>GPS</t>
        </is>
      </c>
    </row>
    <row r="48">
      <c r="A48" s="9" t="n">
        <v>44</v>
      </c>
      <c r="B48" s="9" t="inlineStr">
        <is>
          <t>Italy</t>
        </is>
      </c>
      <c r="C48" s="9" t="inlineStr">
        <is>
          <t>Florence (Scandicci)</t>
        </is>
      </c>
      <c r="D48" s="9" t="inlineStr">
        <is>
          <t>ISKCON Florence (Villa Vrindavana, San Casciano)</t>
        </is>
      </c>
      <c r="E48" s="9" t="inlineStr">
        <is>
          <t>ISKCON/Temple</t>
        </is>
      </c>
      <c r="F48" s="9" t="inlineStr">
        <is>
          <t>26 Jul 2024</t>
        </is>
      </c>
      <c r="G48" s="9" t="inlineStr">
        <is>
          <t>Europe+London yatra, Jul 2024 (itinerary + passport stamps)</t>
        </is>
      </c>
      <c r="H48" s="9" t="inlineStr">
        <is>
          <t>GPS: Scandicci 26 Jul</t>
        </is>
      </c>
    </row>
    <row r="49">
      <c r="A49" s="9" t="n">
        <v>45</v>
      </c>
      <c r="B49" s="9" t="inlineStr">
        <is>
          <t>Italy</t>
        </is>
      </c>
      <c r="C49" s="9" t="inlineStr">
        <is>
          <t>Rome</t>
        </is>
      </c>
      <c r="D49" s="9" t="inlineStr">
        <is>
          <t>Colosseum (outside), Roman Forum, Pantheon</t>
        </is>
      </c>
      <c r="E49" s="9" t="inlineStr">
        <is>
          <t>Landmark</t>
        </is>
      </c>
      <c r="F49" s="9" t="inlineStr">
        <is>
          <t>25 Jul 2024</t>
        </is>
      </c>
      <c r="G49" s="9" t="inlineStr">
        <is>
          <t>Europe+London yatra, Jul 2024 (itinerary + passport stamps)</t>
        </is>
      </c>
      <c r="H49" s="9" t="inlineStr">
        <is>
          <t>GPS: Rome 25 Jul</t>
        </is>
      </c>
    </row>
    <row r="50">
      <c r="A50" s="9" t="n">
        <v>46</v>
      </c>
      <c r="B50" s="9" t="inlineStr">
        <is>
          <t>Italy</t>
        </is>
      </c>
      <c r="C50" s="9" t="inlineStr">
        <is>
          <t>Milan</t>
        </is>
      </c>
      <c r="D50" s="9" t="inlineStr">
        <is>
          <t>Departure Milan Malpensa</t>
        </is>
      </c>
      <c r="E50" s="9" t="inlineStr">
        <is>
          <t>Transit hub</t>
        </is>
      </c>
      <c r="F50" s="9" t="inlineStr">
        <is>
          <t>27 Jul 2024</t>
        </is>
      </c>
      <c r="G50" s="9" t="inlineStr">
        <is>
          <t>Europe+London yatra, Jul 2024 (itinerary + passport stamps)</t>
        </is>
      </c>
      <c r="H50" s="9" t="inlineStr">
        <is>
          <t>Malpensa stamp 27 Jul 2024</t>
        </is>
      </c>
    </row>
    <row r="51">
      <c r="A51" s="9" t="n">
        <v>47</v>
      </c>
      <c r="B51" s="9" t="inlineStr">
        <is>
          <t>Vatican City</t>
        </is>
      </c>
      <c r="C51" s="9" t="inlineStr">
        <is>
          <t>Vatican City</t>
        </is>
      </c>
      <c r="D51" s="9" t="inlineStr">
        <is>
          <t>St Peter's Square &amp; St Peter's Basilica</t>
        </is>
      </c>
      <c r="E51" s="9" t="inlineStr">
        <is>
          <t>Landmark</t>
        </is>
      </c>
      <c r="F51" s="9" t="inlineStr">
        <is>
          <t>25 Jul 2024</t>
        </is>
      </c>
      <c r="G51" s="9" t="inlineStr">
        <is>
          <t>Europe+London yatra, Jul 2024 (itinerary + passport stamps)</t>
        </is>
      </c>
      <c r="H51" s="9" t="inlineStr"/>
    </row>
    <row r="52">
      <c r="A52" s="9" t="n">
        <v>48</v>
      </c>
      <c r="B52" s="9" t="inlineStr">
        <is>
          <t>Italy</t>
        </is>
      </c>
      <c r="C52" s="9" t="inlineStr">
        <is>
          <t>Modena / Prato / Gallarate</t>
        </is>
      </c>
      <c r="D52" s="9" t="inlineStr">
        <is>
          <t>Modena &amp; Prato 26 Jul; Gallarate (Malpensa) 26-28 Jul - GPS</t>
        </is>
      </c>
      <c r="E52" s="9" t="inlineStr">
        <is>
          <t>Transit hub</t>
        </is>
      </c>
      <c r="F52" s="9" t="inlineStr">
        <is>
          <t>26-28 Jul 2024</t>
        </is>
      </c>
      <c r="G52" s="9" t="inlineStr">
        <is>
          <t>Europe+London yatra, Jul 2024 (itinerary + passport stamps)</t>
        </is>
      </c>
      <c r="H52" s="9" t="inlineStr">
        <is>
          <t>GPS</t>
        </is>
      </c>
    </row>
    <row r="53">
      <c r="A53" s="9" t="n">
        <v>49</v>
      </c>
      <c r="B53" s="9" t="inlineStr">
        <is>
          <t>India</t>
        </is>
      </c>
      <c r="C53" s="9" t="inlineStr">
        <is>
          <t>Srirangam (Trichy)</t>
        </is>
      </c>
      <c r="D53" s="9" t="inlineStr">
        <is>
          <t>Sri Ranganathaswamy Divya Desams, Vishwaroopa darshan</t>
        </is>
      </c>
      <c r="E53" s="9" t="inlineStr">
        <is>
          <t>ISKCON/Temple</t>
        </is>
      </c>
      <c r="F53" s="9" t="inlineStr">
        <is>
          <t>16-17 Jan 2026</t>
        </is>
      </c>
      <c r="G53" s="9" t="inlineStr">
        <is>
          <t>Sri Lanka Ramayan Yatra, 16-25 Jan 2026 (your itinerary)</t>
        </is>
      </c>
      <c r="H53" s="9" t="inlineStr">
        <is>
          <t>Domestic leg before Jaffna flight</t>
        </is>
      </c>
    </row>
    <row r="54">
      <c r="A54" s="9" t="n">
        <v>50</v>
      </c>
      <c r="B54" s="9" t="inlineStr">
        <is>
          <t>Sri Lanka</t>
        </is>
      </c>
      <c r="C54" s="9" t="inlineStr">
        <is>
          <t>Jaffna</t>
        </is>
      </c>
      <c r="D54" s="9" t="inlineStr">
        <is>
          <t>Nilavarai bottomless well, Keerimalai springs, Naguleswaram (Pancha Ishwaram)</t>
        </is>
      </c>
      <c r="E54" s="9" t="inlineStr">
        <is>
          <t>ISKCON/Temple</t>
        </is>
      </c>
      <c r="F54" s="9" t="inlineStr">
        <is>
          <t>17 Jan 2026</t>
        </is>
      </c>
      <c r="G54" s="9" t="inlineStr">
        <is>
          <t>Sri Lanka Ramayan Yatra, 16-25 Jan 2026 (your itinerary)</t>
        </is>
      </c>
      <c r="H54" s="9" t="inlineStr"/>
    </row>
    <row r="55">
      <c r="A55" s="9" t="n">
        <v>51</v>
      </c>
      <c r="B55" s="9" t="inlineStr">
        <is>
          <t>Sri Lanka</t>
        </is>
      </c>
      <c r="C55" s="9" t="inlineStr">
        <is>
          <t>Nainativu</t>
        </is>
      </c>
      <c r="D55" s="9" t="inlineStr">
        <is>
          <t>Nagadeepa island (by boat)</t>
        </is>
      </c>
      <c r="E55" s="9" t="inlineStr">
        <is>
          <t>ISKCON/Temple</t>
        </is>
      </c>
      <c r="F55" s="9" t="inlineStr">
        <is>
          <t>18 Jan 2026</t>
        </is>
      </c>
      <c r="G55" s="9" t="inlineStr">
        <is>
          <t>Sri Lanka Ramayan Yatra, 16-25 Jan 2026 (your itinerary)</t>
        </is>
      </c>
      <c r="H55" s="9" t="inlineStr"/>
    </row>
    <row r="56">
      <c r="A56" s="9" t="n">
        <v>52</v>
      </c>
      <c r="B56" s="9" t="inlineStr">
        <is>
          <t>Sri Lanka</t>
        </is>
      </c>
      <c r="C56" s="9" t="inlineStr">
        <is>
          <t>Mannar</t>
        </is>
      </c>
      <c r="D56" s="9" t="inlineStr">
        <is>
          <t>Rama Setu view point, Thiruketheeswaram (Pancha Ishwaram)</t>
        </is>
      </c>
      <c r="E56" s="9" t="inlineStr">
        <is>
          <t>ISKCON/Temple</t>
        </is>
      </c>
      <c r="F56" s="9" t="inlineStr">
        <is>
          <t>18 Jan 2026</t>
        </is>
      </c>
      <c r="G56" s="9" t="inlineStr">
        <is>
          <t>Sri Lanka Ramayan Yatra, 16-25 Jan 2026 (your itinerary)</t>
        </is>
      </c>
      <c r="H56" s="9" t="inlineStr"/>
    </row>
    <row r="57">
      <c r="A57" s="9" t="n">
        <v>53</v>
      </c>
      <c r="B57" s="9" t="inlineStr">
        <is>
          <t>Sri Lanka</t>
        </is>
      </c>
      <c r="C57" s="9" t="inlineStr">
        <is>
          <t>Trincomalee</t>
        </is>
      </c>
      <c r="D57" s="9" t="inlineStr">
        <is>
          <t>Kanniya hot springs; Koneswaram (Pancha Ishwaram); Shankari Devi Shakti peetha</t>
        </is>
      </c>
      <c r="E57" s="9" t="inlineStr">
        <is>
          <t>ISKCON/Temple</t>
        </is>
      </c>
      <c r="F57" s="9" t="inlineStr">
        <is>
          <t>18-19 Jan 2026</t>
        </is>
      </c>
      <c r="G57" s="9" t="inlineStr">
        <is>
          <t>Sri Lanka Ramayan Yatra, 16-25 Jan 2026 (your itinerary)</t>
        </is>
      </c>
      <c r="H57" s="9" t="inlineStr"/>
    </row>
    <row r="58">
      <c r="A58" s="9" t="n">
        <v>54</v>
      </c>
      <c r="B58" s="9" t="inlineStr">
        <is>
          <t>Sri Lanka</t>
        </is>
      </c>
      <c r="C58" s="9" t="inlineStr">
        <is>
          <t>Sigiriya</t>
        </is>
      </c>
      <c r="D58" s="9" t="inlineStr">
        <is>
          <t>Sigiriya Lion Rock (Ravana link)</t>
        </is>
      </c>
      <c r="E58" s="9" t="inlineStr">
        <is>
          <t>Landmark</t>
        </is>
      </c>
      <c r="F58" s="9" t="inlineStr">
        <is>
          <t>19 Jan 2026</t>
        </is>
      </c>
      <c r="G58" s="9" t="inlineStr">
        <is>
          <t>Sri Lanka Ramayan Yatra, 16-25 Jan 2026 (your itinerary)</t>
        </is>
      </c>
      <c r="H58" s="9" t="inlineStr"/>
    </row>
    <row r="59">
      <c r="A59" s="9" t="n">
        <v>55</v>
      </c>
      <c r="B59" s="9" t="inlineStr">
        <is>
          <t>Sri Lanka</t>
        </is>
      </c>
      <c r="C59" s="9" t="inlineStr">
        <is>
          <t>Kandy</t>
        </is>
      </c>
      <c r="D59" s="9" t="inlineStr">
        <is>
          <t>Temple of the Tooth Relic</t>
        </is>
      </c>
      <c r="E59" s="9" t="inlineStr">
        <is>
          <t>Landmark</t>
        </is>
      </c>
      <c r="F59" s="9" t="inlineStr">
        <is>
          <t>20 Jan 2026</t>
        </is>
      </c>
      <c r="G59" s="9" t="inlineStr">
        <is>
          <t>Sri Lanka Ramayan Yatra, 16-25 Jan 2026 (your itinerary)</t>
        </is>
      </c>
      <c r="H59" s="9" t="inlineStr"/>
    </row>
    <row r="60">
      <c r="A60" s="9" t="n">
        <v>56</v>
      </c>
      <c r="B60" s="9" t="inlineStr">
        <is>
          <t>Sri Lanka</t>
        </is>
      </c>
      <c r="C60" s="9" t="inlineStr">
        <is>
          <t>Ramboda</t>
        </is>
      </c>
      <c r="D60" s="9" t="inlineStr">
        <is>
          <t>Ramboda Hanuman temple (Chinmaya) &amp; Ramboda Falls</t>
        </is>
      </c>
      <c r="E60" s="9" t="inlineStr">
        <is>
          <t>ISKCON/Temple</t>
        </is>
      </c>
      <c r="F60" s="9" t="inlineStr">
        <is>
          <t>20 Jan 2026</t>
        </is>
      </c>
      <c r="G60" s="9" t="inlineStr">
        <is>
          <t>Sri Lanka Ramayan Yatra, 16-25 Jan 2026 (your itinerary)</t>
        </is>
      </c>
      <c r="H60" s="9" t="inlineStr"/>
    </row>
    <row r="61">
      <c r="A61" s="9" t="n">
        <v>57</v>
      </c>
      <c r="B61" s="9" t="inlineStr">
        <is>
          <t>Sri Lanka</t>
        </is>
      </c>
      <c r="C61" s="9" t="inlineStr">
        <is>
          <t>Nuwara Eliya</t>
        </is>
      </c>
      <c r="D61" s="9" t="inlineStr">
        <is>
          <t>Seetha Amman Kovil (Ashok Vatika), Hakgala garden, Divurumpola (Sita agni pariksha)</t>
        </is>
      </c>
      <c r="E61" s="9" t="inlineStr">
        <is>
          <t>ISKCON/Temple</t>
        </is>
      </c>
      <c r="F61" s="9" t="inlineStr">
        <is>
          <t>21 Jan 2026</t>
        </is>
      </c>
      <c r="G61" s="9" t="inlineStr">
        <is>
          <t>Sri Lanka Ramayan Yatra, 16-25 Jan 2026 (your itinerary)</t>
        </is>
      </c>
      <c r="H61" s="9" t="inlineStr"/>
    </row>
    <row r="62">
      <c r="A62" s="9" t="n">
        <v>58</v>
      </c>
      <c r="B62" s="9" t="inlineStr">
        <is>
          <t>Sri Lanka</t>
        </is>
      </c>
      <c r="C62" s="9" t="inlineStr">
        <is>
          <t>Ella</t>
        </is>
      </c>
      <c r="D62" s="9" t="inlineStr">
        <is>
          <t>Ravana Cave &amp; Ravana Falls</t>
        </is>
      </c>
      <c r="E62" s="9" t="inlineStr">
        <is>
          <t>Nature</t>
        </is>
      </c>
      <c r="F62" s="9" t="inlineStr">
        <is>
          <t>21 Jan 2026</t>
        </is>
      </c>
      <c r="G62" s="9" t="inlineStr">
        <is>
          <t>Sri Lanka Ramayan Yatra, 16-25 Jan 2026 (your itinerary)</t>
        </is>
      </c>
      <c r="H62" s="9" t="inlineStr"/>
    </row>
    <row r="63">
      <c r="A63" s="9" t="n">
        <v>59</v>
      </c>
      <c r="B63" s="9" t="inlineStr">
        <is>
          <t>Sri Lanka</t>
        </is>
      </c>
      <c r="C63" s="9" t="inlineStr">
        <is>
          <t>Kataragama</t>
        </is>
      </c>
      <c r="D63" s="9" t="inlineStr">
        <is>
          <t>Kataragama &amp; Sella Kataragama</t>
        </is>
      </c>
      <c r="E63" s="9" t="inlineStr">
        <is>
          <t>ISKCON/Temple</t>
        </is>
      </c>
      <c r="F63" s="9" t="inlineStr">
        <is>
          <t>21-22 Jan 2026</t>
        </is>
      </c>
      <c r="G63" s="9" t="inlineStr">
        <is>
          <t>Sri Lanka Ramayan Yatra, 16-25 Jan 2026 (your itinerary)</t>
        </is>
      </c>
      <c r="H63" s="9" t="inlineStr"/>
    </row>
    <row r="64">
      <c r="A64" s="9" t="n">
        <v>60</v>
      </c>
      <c r="B64" s="9" t="inlineStr">
        <is>
          <t>Sri Lanka</t>
        </is>
      </c>
      <c r="C64" s="9" t="inlineStr">
        <is>
          <t>Ussangoda / Mirissa</t>
        </is>
      </c>
      <c r="D64" s="9" t="inlineStr">
        <is>
          <t>Ussangoda (Ravana's burnt land); whale watching</t>
        </is>
      </c>
      <c r="E64" s="9" t="inlineStr">
        <is>
          <t>Nature</t>
        </is>
      </c>
      <c r="F64" s="9" t="inlineStr">
        <is>
          <t>22 Jan 2026</t>
        </is>
      </c>
      <c r="G64" s="9" t="inlineStr">
        <is>
          <t>Sri Lanka Ramayan Yatra, 16-25 Jan 2026 (your itinerary)</t>
        </is>
      </c>
      <c r="H64" s="9" t="inlineStr"/>
    </row>
    <row r="65">
      <c r="A65" s="9" t="n">
        <v>61</v>
      </c>
      <c r="B65" s="9" t="inlineStr">
        <is>
          <t>Sri Lanka</t>
        </is>
      </c>
      <c r="C65" s="9" t="inlineStr">
        <is>
          <t>Dondra / Galle</t>
        </is>
      </c>
      <c r="D65" s="9" t="inlineStr">
        <is>
          <t>Tenavaram-Thondeshwaram (Pancha Ishwaram); Galle Fort</t>
        </is>
      </c>
      <c r="E65" s="9" t="inlineStr">
        <is>
          <t>ISKCON/Temple</t>
        </is>
      </c>
      <c r="F65" s="9" t="inlineStr">
        <is>
          <t>23 Jan 2026</t>
        </is>
      </c>
      <c r="G65" s="9" t="inlineStr">
        <is>
          <t>Sri Lanka Ramayan Yatra, 16-25 Jan 2026 (your itinerary)</t>
        </is>
      </c>
      <c r="H65" s="9" t="inlineStr"/>
    </row>
    <row r="66">
      <c r="A66" s="9" t="n">
        <v>62</v>
      </c>
      <c r="B66" s="9" t="inlineStr">
        <is>
          <t>Sri Lanka</t>
        </is>
      </c>
      <c r="C66" s="9" t="inlineStr">
        <is>
          <t>Unawatuna / Bentota</t>
        </is>
      </c>
      <c r="D66" s="9" t="inlineStr">
        <is>
          <t>Rumassala Sanjeevani hill; Bentota boat ride</t>
        </is>
      </c>
      <c r="E66" s="9" t="inlineStr">
        <is>
          <t>Nature</t>
        </is>
      </c>
      <c r="F66" s="9" t="inlineStr">
        <is>
          <t>23 Jan 2026</t>
        </is>
      </c>
      <c r="G66" s="9" t="inlineStr">
        <is>
          <t>Sri Lanka Ramayan Yatra, 16-25 Jan 2026 (your itinerary)</t>
        </is>
      </c>
      <c r="H66" s="9" t="inlineStr"/>
    </row>
    <row r="67">
      <c r="A67" s="9" t="n">
        <v>63</v>
      </c>
      <c r="B67" s="9" t="inlineStr">
        <is>
          <t>Sri Lanka</t>
        </is>
      </c>
      <c r="C67" s="9" t="inlineStr">
        <is>
          <t>Colombo</t>
        </is>
      </c>
      <c r="D67" s="9" t="inlineStr">
        <is>
          <t>ISKCON Colombo, Gangaramaya, Colombo Lotus Tower, Kelaniya (Vibhishana) temple</t>
        </is>
      </c>
      <c r="E67" s="9" t="inlineStr">
        <is>
          <t>ISKCON/Temple</t>
        </is>
      </c>
      <c r="F67" s="9" t="inlineStr">
        <is>
          <t>24 Jan 2026</t>
        </is>
      </c>
      <c r="G67" s="9" t="inlineStr">
        <is>
          <t>Sri Lanka Ramayan Yatra, 16-25 Jan 2026 (your itinerary)</t>
        </is>
      </c>
      <c r="H67" s="9" t="inlineStr"/>
    </row>
    <row r="68">
      <c r="A68" s="9" t="n">
        <v>64</v>
      </c>
      <c r="B68" s="9" t="inlineStr">
        <is>
          <t>Sri Lanka</t>
        </is>
      </c>
      <c r="C68" s="9" t="inlineStr">
        <is>
          <t>Chilaw</t>
        </is>
      </c>
      <c r="D68" s="9" t="inlineStr">
        <is>
          <t>Munneswaram (Pancha Ishwaram)</t>
        </is>
      </c>
      <c r="E68" s="9" t="inlineStr">
        <is>
          <t>ISKCON/Temple</t>
        </is>
      </c>
      <c r="F68" s="9" t="inlineStr">
        <is>
          <t>24 Jan 2026</t>
        </is>
      </c>
      <c r="G68" s="9" t="inlineStr">
        <is>
          <t>Sri Lanka Ramayan Yatra, 16-25 Jan 2026 (your itinerary)</t>
        </is>
      </c>
      <c r="H68" s="9" t="inlineStr">
        <is>
          <t>All five Pancha Ishwaram covered</t>
        </is>
      </c>
    </row>
    <row r="69">
      <c r="A69" s="9" t="n">
        <v>65</v>
      </c>
      <c r="B69" s="9" t="inlineStr">
        <is>
          <t>Nepal</t>
        </is>
      </c>
      <c r="C69" s="9" t="inlineStr">
        <is>
          <t>Kathmandu</t>
        </is>
      </c>
      <c r="D69" s="9" t="inlineStr">
        <is>
          <t>Budhanilkantha - Jala Narayana (sleeping Vishnu)</t>
        </is>
      </c>
      <c r="E69" s="9" t="inlineStr">
        <is>
          <t>ISKCON/Temple</t>
        </is>
      </c>
      <c r="F69" s="9" t="inlineStr">
        <is>
          <t>24 May 2026</t>
        </is>
      </c>
      <c r="G69" s="9" t="inlineStr">
        <is>
          <t>Nepal Muktinath Yatra, 24-29 May 2026 (your itinerary)</t>
        </is>
      </c>
      <c r="H69" s="9" t="inlineStr"/>
    </row>
    <row r="70">
      <c r="A70" s="9" t="n">
        <v>66</v>
      </c>
      <c r="B70" s="9" t="inlineStr">
        <is>
          <t>Nepal</t>
        </is>
      </c>
      <c r="C70" s="9" t="inlineStr">
        <is>
          <t>Kathmandu</t>
        </is>
      </c>
      <c r="D70" s="9" t="inlineStr">
        <is>
          <t>ISKCON Kathmandu</t>
        </is>
      </c>
      <c r="E70" s="9" t="inlineStr">
        <is>
          <t>ISKCON/Temple</t>
        </is>
      </c>
      <c r="F70" s="9" t="inlineStr">
        <is>
          <t>24 May 2026</t>
        </is>
      </c>
      <c r="G70" s="9" t="inlineStr">
        <is>
          <t>Nepal Muktinath Yatra, 24-29 May 2026 (your itinerary)</t>
        </is>
      </c>
      <c r="H70" s="9" t="inlineStr"/>
    </row>
    <row r="71">
      <c r="A71" s="9" t="n">
        <v>67</v>
      </c>
      <c r="B71" s="9" t="inlineStr">
        <is>
          <t>Nepal</t>
        </is>
      </c>
      <c r="C71" s="9" t="inlineStr">
        <is>
          <t>Patan</t>
        </is>
      </c>
      <c r="D71" s="9" t="inlineStr">
        <is>
          <t>Durbar Square - Krishna Mandir</t>
        </is>
      </c>
      <c r="E71" s="9" t="inlineStr">
        <is>
          <t>ISKCON/Temple</t>
        </is>
      </c>
      <c r="F71" s="9" t="inlineStr">
        <is>
          <t>24 May 2026</t>
        </is>
      </c>
      <c r="G71" s="9" t="inlineStr">
        <is>
          <t>Nepal Muktinath Yatra, 24-29 May 2026 (your itinerary)</t>
        </is>
      </c>
      <c r="H71" s="9" t="inlineStr"/>
    </row>
    <row r="72">
      <c r="A72" s="9" t="n">
        <v>68</v>
      </c>
      <c r="B72" s="9" t="inlineStr">
        <is>
          <t>Nepal</t>
        </is>
      </c>
      <c r="C72" s="9" t="inlineStr">
        <is>
          <t>Kathmandu</t>
        </is>
      </c>
      <c r="D72" s="9" t="inlineStr">
        <is>
          <t>Pashupatinath - Rudrabhishekam at main linga; Bagmati river</t>
        </is>
      </c>
      <c r="E72" s="9" t="inlineStr">
        <is>
          <t>ISKCON/Temple</t>
        </is>
      </c>
      <c r="F72" s="9" t="inlineStr">
        <is>
          <t>25 May 2026</t>
        </is>
      </c>
      <c r="G72" s="9" t="inlineStr">
        <is>
          <t>Nepal Muktinath Yatra, 24-29 May 2026 (your itinerary)</t>
        </is>
      </c>
      <c r="H72" s="9" t="inlineStr">
        <is>
          <t>Also visited 2019/2022</t>
        </is>
      </c>
    </row>
    <row r="73">
      <c r="A73" s="9" t="n">
        <v>69</v>
      </c>
      <c r="B73" s="9" t="inlineStr">
        <is>
          <t>Nepal</t>
        </is>
      </c>
      <c r="C73" s="9" t="inlineStr">
        <is>
          <t>Kathmandu</t>
        </is>
      </c>
      <c r="D73" s="9" t="inlineStr">
        <is>
          <t>Guhyeshwari Shakti peetha</t>
        </is>
      </c>
      <c r="E73" s="9" t="inlineStr">
        <is>
          <t>ISKCON/Temple</t>
        </is>
      </c>
      <c r="F73" s="9" t="inlineStr">
        <is>
          <t>25 May 2026</t>
        </is>
      </c>
      <c r="G73" s="9" t="inlineStr">
        <is>
          <t>Nepal Muktinath Yatra, 24-29 May 2026 (your itinerary)</t>
        </is>
      </c>
      <c r="H73" s="9" t="inlineStr"/>
    </row>
    <row r="74">
      <c r="A74" s="9" t="n">
        <v>70</v>
      </c>
      <c r="B74" s="9" t="inlineStr">
        <is>
          <t>Nepal</t>
        </is>
      </c>
      <c r="C74" s="9" t="inlineStr">
        <is>
          <t>Bhaktapur</t>
        </is>
      </c>
      <c r="D74" s="9" t="inlineStr">
        <is>
          <t>Changu Narayan (oldest Vishnu temple)</t>
        </is>
      </c>
      <c r="E74" s="9" t="inlineStr">
        <is>
          <t>ISKCON/Temple</t>
        </is>
      </c>
      <c r="F74" s="9" t="inlineStr">
        <is>
          <t>25 May 2026</t>
        </is>
      </c>
      <c r="G74" s="9" t="inlineStr">
        <is>
          <t>Nepal Muktinath Yatra, 24-29 May 2026 (your itinerary)</t>
        </is>
      </c>
      <c r="H74" s="9" t="inlineStr"/>
    </row>
    <row r="75">
      <c r="A75" s="9" t="n">
        <v>71</v>
      </c>
      <c r="B75" s="9" t="inlineStr">
        <is>
          <t>Nepal</t>
        </is>
      </c>
      <c r="C75" s="9" t="inlineStr">
        <is>
          <t>Kathmandu</t>
        </is>
      </c>
      <c r="D75" s="9" t="inlineStr">
        <is>
          <t>Swayambhunath stupa</t>
        </is>
      </c>
      <c r="E75" s="9" t="inlineStr">
        <is>
          <t>Landmark</t>
        </is>
      </c>
      <c r="F75" s="9" t="inlineStr">
        <is>
          <t>25 May 2026</t>
        </is>
      </c>
      <c r="G75" s="9" t="inlineStr">
        <is>
          <t>Nepal Muktinath Yatra, 24-29 May 2026 (your itinerary)</t>
        </is>
      </c>
      <c r="H75" s="9" t="inlineStr"/>
    </row>
    <row r="76">
      <c r="A76" s="9" t="n">
        <v>72</v>
      </c>
      <c r="B76" s="9" t="inlineStr">
        <is>
          <t>Nepal</t>
        </is>
      </c>
      <c r="C76" s="9" t="inlineStr">
        <is>
          <t>Pokhara</t>
        </is>
      </c>
      <c r="D76" s="9" t="inlineStr">
        <is>
          <t>Bindhyabasini temple, Tal Barahi temple, Phewa lake boat ride, Devi's Fall</t>
        </is>
      </c>
      <c r="E76" s="9" t="inlineStr">
        <is>
          <t>ISKCON/Temple</t>
        </is>
      </c>
      <c r="F76" s="9" t="inlineStr">
        <is>
          <t>26 &amp; 28 May 2026</t>
        </is>
      </c>
      <c r="G76" s="9" t="inlineStr">
        <is>
          <t>Nepal Muktinath Yatra, 24-29 May 2026 (your itinerary)</t>
        </is>
      </c>
      <c r="H76" s="9" t="inlineStr"/>
    </row>
    <row r="77">
      <c r="A77" s="9" t="n">
        <v>73</v>
      </c>
      <c r="B77" s="9" t="inlineStr">
        <is>
          <t>Nepal</t>
        </is>
      </c>
      <c r="C77" s="9" t="inlineStr">
        <is>
          <t>Jomsom / Muktinath</t>
        </is>
      </c>
      <c r="D77" s="9" t="inlineStr">
        <is>
          <t>Muktinath (106th Divya Desam); Kali Gandaki - Shaligram</t>
        </is>
      </c>
      <c r="E77" s="9" t="inlineStr">
        <is>
          <t>ISKCON/Temple</t>
        </is>
      </c>
      <c r="F77" s="9" t="inlineStr">
        <is>
          <t>27-28 May 2026</t>
        </is>
      </c>
      <c r="G77" s="9" t="inlineStr">
        <is>
          <t>Nepal Muktinath Yatra, 24-29 May 2026 (your itinerary)</t>
        </is>
      </c>
      <c r="H77" s="9" t="inlineStr">
        <is>
          <t>Flight Pokhara-Jomsom</t>
        </is>
      </c>
    </row>
    <row r="78">
      <c r="A78" s="9" t="n">
        <v>74</v>
      </c>
      <c r="B78" s="9" t="inlineStr">
        <is>
          <t>Nepal</t>
        </is>
      </c>
      <c r="C78" s="9" t="inlineStr">
        <is>
          <t>Kathmandu</t>
        </is>
      </c>
      <c r="D78" s="9" t="inlineStr">
        <is>
          <t>Pashupatinath &amp; Budhanilkantha (pre-Kailash)</t>
        </is>
      </c>
      <c r="E78" s="9" t="inlineStr">
        <is>
          <t>ISKCON/Temple</t>
        </is>
      </c>
      <c r="F78" s="9" t="inlineStr">
        <is>
          <t>31 May-1 Jun 2026</t>
        </is>
      </c>
      <c r="G78" s="9" t="inlineStr">
        <is>
          <t>Kailash Manasarovar Yatra, 31 May-13 Jun 2026 (your itinerary)</t>
        </is>
      </c>
      <c r="H78" s="9" t="inlineStr"/>
    </row>
    <row r="79">
      <c r="A79" s="9" t="n">
        <v>75</v>
      </c>
      <c r="B79" s="9" t="inlineStr">
        <is>
          <t>China (Tibet)</t>
        </is>
      </c>
      <c r="C79" s="9" t="inlineStr">
        <is>
          <t>Kyirong</t>
        </is>
      </c>
      <c r="D79" s="9" t="inlineStr">
        <is>
          <t>Kyirong border town (acclimatisation)</t>
        </is>
      </c>
      <c r="E79" s="9" t="inlineStr">
        <is>
          <t>Transit hub</t>
        </is>
      </c>
      <c r="F79" s="9" t="inlineStr">
        <is>
          <t>2-3 Jun 2026</t>
        </is>
      </c>
      <c r="G79" s="9" t="inlineStr">
        <is>
          <t>Kailash Manasarovar Yatra, 31 May-13 Jun 2026 (your itinerary)</t>
        </is>
      </c>
      <c r="H79" s="9" t="inlineStr">
        <is>
          <t>Entered China at Rasuwagadhi/Kyirong</t>
        </is>
      </c>
    </row>
    <row r="80">
      <c r="A80" s="9" t="n">
        <v>76</v>
      </c>
      <c r="B80" s="9" t="inlineStr">
        <is>
          <t>China (Tibet)</t>
        </is>
      </c>
      <c r="C80" s="9" t="inlineStr">
        <is>
          <t>Saga / Dongba</t>
        </is>
      </c>
      <c r="D80" s="9" t="inlineStr">
        <is>
          <t>Tibetan plateau drive</t>
        </is>
      </c>
      <c r="E80" s="9" t="inlineStr">
        <is>
          <t>Nature</t>
        </is>
      </c>
      <c r="F80" s="9" t="inlineStr">
        <is>
          <t>4 Jun 2026</t>
        </is>
      </c>
      <c r="G80" s="9" t="inlineStr">
        <is>
          <t>Kailash Manasarovar Yatra, 31 May-13 Jun 2026 (your itinerary)</t>
        </is>
      </c>
      <c r="H80" s="9" t="inlineStr"/>
    </row>
    <row r="81">
      <c r="A81" s="9" t="n">
        <v>77</v>
      </c>
      <c r="B81" s="9" t="inlineStr">
        <is>
          <t>China (Tibet)</t>
        </is>
      </c>
      <c r="C81" s="9" t="inlineStr">
        <is>
          <t>Manasarovar</t>
        </is>
      </c>
      <c r="D81" s="9" t="inlineStr">
        <is>
          <t>Lake Manasarovar - parikrama, puja, snan; Rakshas Tal</t>
        </is>
      </c>
      <c r="E81" s="9" t="inlineStr">
        <is>
          <t>Nature</t>
        </is>
      </c>
      <c r="F81" s="9" t="inlineStr">
        <is>
          <t>5-6 Jun 2026</t>
        </is>
      </c>
      <c r="G81" s="9" t="inlineStr">
        <is>
          <t>Kailash Manasarovar Yatra, 31 May-13 Jun 2026 (your itinerary)</t>
        </is>
      </c>
      <c r="H81" s="9" t="inlineStr"/>
    </row>
    <row r="82">
      <c r="A82" s="9" t="n">
        <v>78</v>
      </c>
      <c r="B82" s="9" t="inlineStr">
        <is>
          <t>China (Tibet)</t>
        </is>
      </c>
      <c r="C82" s="9" t="inlineStr">
        <is>
          <t>Darchen / Kailash</t>
        </is>
      </c>
      <c r="D82" s="9" t="inlineStr">
        <is>
          <t>Mt Kailash outer kora: Yama Dwar, Dirapuk, Dolma La (5,630 m), Zuthulpuk</t>
        </is>
      </c>
      <c r="E82" s="9" t="inlineStr">
        <is>
          <t>Nature</t>
        </is>
      </c>
      <c r="F82" s="9" t="inlineStr">
        <is>
          <t>7-9 Jun 2026</t>
        </is>
      </c>
      <c r="G82" s="9" t="inlineStr">
        <is>
          <t>Kailash Manasarovar Yatra, 31 May-13 Jun 2026 (your itinerary)</t>
        </is>
      </c>
      <c r="H82" s="9" t="inlineStr">
        <is>
          <t>3-day parikrama</t>
        </is>
      </c>
    </row>
    <row r="83">
      <c r="A83" s="9" t="n">
        <v>79</v>
      </c>
      <c r="B83" s="9" t="inlineStr">
        <is>
          <t>Nepal</t>
        </is>
      </c>
      <c r="C83" s="9" t="inlineStr">
        <is>
          <t>Kathmandu</t>
        </is>
      </c>
      <c r="D83" s="9" t="inlineStr">
        <is>
          <t>Return via Kyirong; departure</t>
        </is>
      </c>
      <c r="E83" s="9" t="inlineStr">
        <is>
          <t>Transit hub</t>
        </is>
      </c>
      <c r="F83" s="9" t="inlineStr">
        <is>
          <t>11-13 Jun 2026</t>
        </is>
      </c>
      <c r="G83" s="9" t="inlineStr">
        <is>
          <t>Kailash Manasarovar Yatra, 31 May-13 Jun 2026 (your itinerary)</t>
        </is>
      </c>
      <c r="H83" s="9" t="inlineStr"/>
    </row>
    <row r="84">
      <c r="A84" s="9" t="n">
        <v>80</v>
      </c>
      <c r="B84" s="9" t="inlineStr">
        <is>
          <t>India</t>
        </is>
      </c>
      <c r="C84" s="9" t="inlineStr">
        <is>
          <t>Rishikesh</t>
        </is>
      </c>
      <c r="D84" s="9" t="inlineStr">
        <is>
          <t>Triveni Ghat Ganga aarti, Ram/Sita Jhula, Parmarth Niketan, Gita Mandir, ISKCON Rishikesh</t>
        </is>
      </c>
      <c r="E84" s="9" t="inlineStr">
        <is>
          <t>ISKCON/Temple</t>
        </is>
      </c>
      <c r="F84" s="9" t="inlineStr">
        <is>
          <t>Multiple batches 2023-2026</t>
        </is>
      </c>
      <c r="G84" s="9" t="inlineStr">
        <is>
          <t>Char Dham yatras (your dashboards + 2026 itinerary)</t>
        </is>
      </c>
      <c r="H84" s="9" t="inlineStr"/>
    </row>
    <row r="85">
      <c r="A85" s="9" t="n">
        <v>81</v>
      </c>
      <c r="B85" s="9" t="inlineStr">
        <is>
          <t>India</t>
        </is>
      </c>
      <c r="C85" s="9" t="inlineStr">
        <is>
          <t>Haridwar</t>
        </is>
      </c>
      <c r="D85" s="9" t="inlineStr">
        <is>
          <t>Har ki Pauri, Mansa Devi (ropeway)</t>
        </is>
      </c>
      <c r="E85" s="9" t="inlineStr">
        <is>
          <t>ISKCON/Temple</t>
        </is>
      </c>
      <c r="F85" s="9" t="inlineStr">
        <is>
          <t>Multiple batches 2023-2026</t>
        </is>
      </c>
      <c r="G85" s="9" t="inlineStr">
        <is>
          <t>Char Dham yatras (your dashboards + 2026 itinerary)</t>
        </is>
      </c>
      <c r="H85" s="9" t="inlineStr"/>
    </row>
    <row r="86">
      <c r="A86" s="9" t="n">
        <v>82</v>
      </c>
      <c r="B86" s="9" t="inlineStr">
        <is>
          <t>India</t>
        </is>
      </c>
      <c r="C86" s="9" t="inlineStr">
        <is>
          <t>Yamunotri</t>
        </is>
      </c>
      <c r="D86" s="9" t="inlineStr">
        <is>
          <t>Yamunotri temple, Surya Kund, Kharsali Shani temple</t>
        </is>
      </c>
      <c r="E86" s="9" t="inlineStr">
        <is>
          <t>ISKCON/Temple</t>
        </is>
      </c>
      <c r="F86" s="9" t="inlineStr">
        <is>
          <t>Multiple batches 2023-2026</t>
        </is>
      </c>
      <c r="G86" s="9" t="inlineStr">
        <is>
          <t>Char Dham yatras (your dashboards + 2026 itinerary)</t>
        </is>
      </c>
      <c r="H86" s="9" t="inlineStr"/>
    </row>
    <row r="87">
      <c r="A87" s="9" t="n">
        <v>83</v>
      </c>
      <c r="B87" s="9" t="inlineStr">
        <is>
          <t>India</t>
        </is>
      </c>
      <c r="C87" s="9" t="inlineStr">
        <is>
          <t>Gangotri / Harsil</t>
        </is>
      </c>
      <c r="D87" s="9" t="inlineStr">
        <is>
          <t>Gangotri temple, Bhagirath Shila, Harsil valley, Bagori village</t>
        </is>
      </c>
      <c r="E87" s="9" t="inlineStr">
        <is>
          <t>ISKCON/Temple</t>
        </is>
      </c>
      <c r="F87" s="9" t="inlineStr">
        <is>
          <t>Multiple batches 2023-2026</t>
        </is>
      </c>
      <c r="G87" s="9" t="inlineStr">
        <is>
          <t>Char Dham yatras (your dashboards + 2026 itinerary)</t>
        </is>
      </c>
      <c r="H87" s="9" t="inlineStr"/>
    </row>
    <row r="88">
      <c r="A88" s="9" t="n">
        <v>84</v>
      </c>
      <c r="B88" s="9" t="inlineStr">
        <is>
          <t>India</t>
        </is>
      </c>
      <c r="C88" s="9" t="inlineStr">
        <is>
          <t>Kedarnath</t>
        </is>
      </c>
      <c r="D88" s="9" t="inlineStr">
        <is>
          <t>Kedarnath temple, Bhim Shila, Adi Shankaracharya samadhi (hilltop stay)</t>
        </is>
      </c>
      <c r="E88" s="9" t="inlineStr">
        <is>
          <t>ISKCON/Temple</t>
        </is>
      </c>
      <c r="F88" s="9" t="inlineStr">
        <is>
          <t>Multiple batches 2023-2026</t>
        </is>
      </c>
      <c r="G88" s="9" t="inlineStr">
        <is>
          <t>Char Dham yatras (your dashboards + 2026 itinerary)</t>
        </is>
      </c>
      <c r="H88" s="9" t="inlineStr"/>
    </row>
    <row r="89">
      <c r="A89" s="9" t="n">
        <v>85</v>
      </c>
      <c r="B89" s="9" t="inlineStr">
        <is>
          <t>India</t>
        </is>
      </c>
      <c r="C89" s="9" t="inlineStr">
        <is>
          <t>Badrinath / Mana</t>
        </is>
      </c>
      <c r="D89" s="9" t="inlineStr">
        <is>
          <t>Badri Narayan (Maha Abhishek), Brahma Kapal, Mana village, Vyas &amp; Ganesh gufa, Saraswati udgam</t>
        </is>
      </c>
      <c r="E89" s="9" t="inlineStr">
        <is>
          <t>ISKCON/Temple</t>
        </is>
      </c>
      <c r="F89" s="9" t="inlineStr">
        <is>
          <t>Multiple batches 2023-2026</t>
        </is>
      </c>
      <c r="G89" s="9" t="inlineStr">
        <is>
          <t>Char Dham yatras (your dashboards + 2026 itinerary)</t>
        </is>
      </c>
      <c r="H89" s="9" t="inlineStr"/>
    </row>
    <row r="90">
      <c r="A90" s="9" t="n">
        <v>86</v>
      </c>
      <c r="B90" s="9" t="inlineStr">
        <is>
          <t>USA</t>
        </is>
      </c>
      <c r="C90" s="9" t="inlineStr">
        <is>
          <t>New Jersey (Edison, Somerset, Robbinsville)</t>
        </is>
      </c>
      <c r="D90" s="12" t="inlineStr">
        <is>
          <t>Indian Heritage Foundation NJ; Sri Venkateswara Temple Bridgewater; BAPS Akshardham Robbinsville (Mercerville GPS 10-11 Sep)</t>
        </is>
      </c>
      <c r="E90" s="9" t="inlineStr">
        <is>
          <t>ISKCON/Temple</t>
        </is>
      </c>
      <c r="F90" s="9" t="inlineStr">
        <is>
          <t>10-12 &amp; 26-27 Sep 2025</t>
        </is>
      </c>
      <c r="G90" s="9" t="inlineStr">
        <is>
          <t>USA yatra 4-29 Sep 2025 (brochure places + GPS timeline)</t>
        </is>
      </c>
      <c r="H90" s="9" t="inlineStr">
        <is>
          <t>GPS-confirmed</t>
        </is>
      </c>
    </row>
    <row r="91">
      <c r="A91" s="9" t="n">
        <v>87</v>
      </c>
      <c r="B91" s="9" t="inlineStr">
        <is>
          <t>USA</t>
        </is>
      </c>
      <c r="C91" s="9" t="inlineStr">
        <is>
          <t>New York City</t>
        </is>
      </c>
      <c r="D91" s="12" t="inlineStr">
        <is>
          <t>Wall Street &amp; Charging Bull, 9/11 Memorial, Empire State Building, Madame Tussauds, Times Square, Central Park</t>
        </is>
      </c>
      <c r="E91" s="9" t="inlineStr">
        <is>
          <t>Landmark</t>
        </is>
      </c>
      <c r="F91" s="9" t="inlineStr">
        <is>
          <t>4-5, 10-12 &amp; 27-29 Sep 2025</t>
        </is>
      </c>
      <c r="G91" s="9" t="inlineStr">
        <is>
          <t>USA yatra 4-29 Sep 2025 (brochure places + GPS timeline)</t>
        </is>
      </c>
      <c r="H91" s="9" t="inlineStr">
        <is>
          <t>GPS-confirmed</t>
        </is>
      </c>
    </row>
    <row r="92">
      <c r="A92" s="9" t="n">
        <v>88</v>
      </c>
      <c r="B92" s="9" t="inlineStr">
        <is>
          <t>USA</t>
        </is>
      </c>
      <c r="C92" s="9" t="inlineStr">
        <is>
          <t>New York City</t>
        </is>
      </c>
      <c r="D92" s="12" t="inlineStr">
        <is>
          <t>Tompkins Square Park (Hare Krishna tree), Bhakti Center, ISKCON Brooklyn (Radha Govinda)</t>
        </is>
      </c>
      <c r="E92" s="9" t="inlineStr">
        <is>
          <t>ISKCON/Temple</t>
        </is>
      </c>
      <c r="F92" s="9" t="inlineStr">
        <is>
          <t>10-12 Sep 2025</t>
        </is>
      </c>
      <c r="G92" s="9" t="inlineStr">
        <is>
          <t>USA yatra 4-29 Sep 2025 (brochure places + GPS timeline)</t>
        </is>
      </c>
      <c r="H92" s="9" t="inlineStr">
        <is>
          <t>GPS-confirmed</t>
        </is>
      </c>
    </row>
    <row r="93">
      <c r="A93" s="9" t="n">
        <v>89</v>
      </c>
      <c r="B93" s="9" t="inlineStr">
        <is>
          <t>USA</t>
        </is>
      </c>
      <c r="C93" s="9" t="inlineStr">
        <is>
          <t>New York City</t>
        </is>
      </c>
      <c r="D93" s="12" t="inlineStr">
        <is>
          <t>Statue of Liberty; American Museum of Natural History</t>
        </is>
      </c>
      <c r="E93" s="9" t="inlineStr">
        <is>
          <t>Landmark</t>
        </is>
      </c>
      <c r="F93" s="9" t="inlineStr">
        <is>
          <t>10-12 Sep 2025</t>
        </is>
      </c>
      <c r="G93" s="9" t="inlineStr">
        <is>
          <t>USA yatra 4-29 Sep 2025 (brochure places + GPS timeline)</t>
        </is>
      </c>
      <c r="H93" s="9" t="inlineStr">
        <is>
          <t>GPS-confirmed</t>
        </is>
      </c>
    </row>
    <row r="94">
      <c r="A94" s="9" t="n">
        <v>90</v>
      </c>
      <c r="B94" s="9" t="inlineStr">
        <is>
          <t>USA</t>
        </is>
      </c>
      <c r="C94" s="9" t="inlineStr">
        <is>
          <t>Baltimore / Gaithersburg</t>
        </is>
      </c>
      <c r="D94" s="12" t="inlineStr">
        <is>
          <t>ISKCON Baltimore; ISKCON Washington DC (Potomac) likely</t>
        </is>
      </c>
      <c r="E94" s="9" t="inlineStr">
        <is>
          <t>ISKCON/Temple</t>
        </is>
      </c>
      <c r="F94" s="9" t="inlineStr">
        <is>
          <t>8-9 Sep 2025</t>
        </is>
      </c>
      <c r="G94" s="9" t="inlineStr">
        <is>
          <t>USA yatra 4-29 Sep 2025 (brochure places + GPS timeline)</t>
        </is>
      </c>
      <c r="H94" s="9" t="inlineStr">
        <is>
          <t>GPS-confirmed</t>
        </is>
      </c>
    </row>
    <row r="95">
      <c r="A95" s="9" t="n">
        <v>91</v>
      </c>
      <c r="B95" s="9" t="inlineStr">
        <is>
          <t>USA</t>
        </is>
      </c>
      <c r="C95" s="9" t="inlineStr">
        <is>
          <t>Washington DC</t>
        </is>
      </c>
      <c r="D95" s="12" t="inlineStr">
        <is>
          <t>US Capitol Visitor Center, National Mall, White House, Lincoln Memorial, Washington Monument, WWII Memorial, Smithsonian Air &amp; Space</t>
        </is>
      </c>
      <c r="E95" s="9" t="inlineStr">
        <is>
          <t>Landmark</t>
        </is>
      </c>
      <c r="F95" s="9" t="inlineStr">
        <is>
          <t>8-9, 20-22 &amp; 29 Sep 2025</t>
        </is>
      </c>
      <c r="G95" s="9" t="inlineStr">
        <is>
          <t>USA yatra 4-29 Sep 2025 (brochure places + GPS timeline)</t>
        </is>
      </c>
      <c r="H95" s="9" t="inlineStr">
        <is>
          <t>GPS-confirmed (9 days in DC area)</t>
        </is>
      </c>
    </row>
    <row r="96">
      <c r="A96" s="9" t="n">
        <v>92</v>
      </c>
      <c r="B96" s="9" t="inlineStr">
        <is>
          <t>USA</t>
        </is>
      </c>
      <c r="C96" s="9" t="inlineStr">
        <is>
          <t>Fairfax / Chantilly VA</t>
        </is>
      </c>
      <c r="D96" s="12" t="inlineStr">
        <is>
          <t>Sri Venkateswara Lotus Temple</t>
        </is>
      </c>
      <c r="E96" s="9" t="inlineStr">
        <is>
          <t>ISKCON/Temple</t>
        </is>
      </c>
      <c r="F96" s="9" t="inlineStr">
        <is>
          <t>8 &amp; 20-22 Sep 2025</t>
        </is>
      </c>
      <c r="G96" s="9" t="inlineStr">
        <is>
          <t>USA yatra 4-29 Sep 2025 (brochure places + GPS timeline)</t>
        </is>
      </c>
      <c r="H96" s="9" t="inlineStr">
        <is>
          <t>GPS-confirmed (Centreville/Chantilly)</t>
        </is>
      </c>
    </row>
    <row r="97">
      <c r="A97" s="9" t="n">
        <v>93</v>
      </c>
      <c r="B97" s="9" t="inlineStr">
        <is>
          <t>USA</t>
        </is>
      </c>
      <c r="C97" s="9" t="inlineStr">
        <is>
          <t>New Vrindaban WV</t>
        </is>
      </c>
      <c r="D97" s="12" t="inlineStr">
        <is>
          <t>Prabhupada's Palace of Gold; Matchless Gifts</t>
        </is>
      </c>
      <c r="E97" s="9" t="inlineStr">
        <is>
          <t>ISKCON/Temple</t>
        </is>
      </c>
      <c r="F97" s="9" t="inlineStr">
        <is>
          <t>7 Sep 2025</t>
        </is>
      </c>
      <c r="G97" s="9" t="inlineStr">
        <is>
          <t>USA yatra 4-29 Sep 2025 (brochure places + GPS timeline)</t>
        </is>
      </c>
      <c r="H97" s="9" t="inlineStr">
        <is>
          <t>GPS-confirmed (Wheeling)</t>
        </is>
      </c>
    </row>
    <row r="98">
      <c r="A98" s="9" t="n">
        <v>94</v>
      </c>
      <c r="B98" s="9" t="inlineStr">
        <is>
          <t>USA</t>
        </is>
      </c>
      <c r="C98" s="9" t="inlineStr">
        <is>
          <t>Pittsburgh (Monroeville)</t>
        </is>
      </c>
      <c r="D98" s="12" t="inlineStr">
        <is>
          <t>Sri Venkateswara Temple, Penn Hills</t>
        </is>
      </c>
      <c r="E98" s="9" t="inlineStr">
        <is>
          <t>ISKCON/Temple</t>
        </is>
      </c>
      <c r="F98" s="9" t="inlineStr">
        <is>
          <t>6-7 Sep 2025</t>
        </is>
      </c>
      <c r="G98" s="9" t="inlineStr">
        <is>
          <t>USA yatra 4-29 Sep 2025 (brochure places + GPS timeline)</t>
        </is>
      </c>
      <c r="H98" s="9" t="inlineStr">
        <is>
          <t>GPS-confirmed</t>
        </is>
      </c>
    </row>
    <row r="99">
      <c r="A99" s="9" t="n">
        <v>95</v>
      </c>
      <c r="B99" s="9" t="inlineStr">
        <is>
          <t>USA</t>
        </is>
      </c>
      <c r="C99" s="9" t="inlineStr">
        <is>
          <t>Niagara Falls NY</t>
        </is>
      </c>
      <c r="D99" s="12" t="inlineStr">
        <is>
          <t>Maid of the Mist, Cave of the Winds, illumination show</t>
        </is>
      </c>
      <c r="E99" s="9" t="inlineStr">
        <is>
          <t>Nature</t>
        </is>
      </c>
      <c r="F99" s="9" t="inlineStr">
        <is>
          <t>5-6 Sep 2025</t>
        </is>
      </c>
      <c r="G99" s="9" t="inlineStr">
        <is>
          <t>USA yatra 4-29 Sep 2025 (brochure places + GPS timeline)</t>
        </is>
      </c>
      <c r="H99" s="9" t="inlineStr">
        <is>
          <t>GPS-confirmed</t>
        </is>
      </c>
    </row>
    <row r="100">
      <c r="A100" s="9" t="n">
        <v>96</v>
      </c>
      <c r="B100" s="9" t="inlineStr">
        <is>
          <t>USA</t>
        </is>
      </c>
      <c r="C100" s="9" t="inlineStr">
        <is>
          <t>Orlando (Kissimmee)</t>
        </is>
      </c>
      <c r="D100" s="12" t="inlineStr">
        <is>
          <t>ISKCON Orlando; Walt Disney World; Universal Studios &amp; Islands of Adventure; Aquatica</t>
        </is>
      </c>
      <c r="E100" s="9" t="inlineStr">
        <is>
          <t>Landmark</t>
        </is>
      </c>
      <c r="F100" s="9" t="inlineStr">
        <is>
          <t>12-15 Sep 2025</t>
        </is>
      </c>
      <c r="G100" s="9" t="inlineStr">
        <is>
          <t>USA yatra 4-29 Sep 2025 (brochure places + GPS timeline)</t>
        </is>
      </c>
      <c r="H100" s="9" t="inlineStr">
        <is>
          <t>GPS-confirmed</t>
        </is>
      </c>
    </row>
    <row r="101">
      <c r="A101" s="9" t="n">
        <v>97</v>
      </c>
      <c r="B101" s="9" t="inlineStr">
        <is>
          <t>USA</t>
        </is>
      </c>
      <c r="C101" s="9" t="inlineStr">
        <is>
          <t>Los Angeles</t>
        </is>
      </c>
      <c r="D101" s="12" t="inlineStr">
        <is>
          <t>ISKCON LA New Dvaraka (Watseka Ave); ISKCON Laguna Beach; Hollywood Walk of Fame &amp; TCL Chinese Theatre</t>
        </is>
      </c>
      <c r="E101" s="9" t="inlineStr">
        <is>
          <t>ISKCON/Temple</t>
        </is>
      </c>
      <c r="F101" s="9" t="inlineStr">
        <is>
          <t>17-20 Sep 2025</t>
        </is>
      </c>
      <c r="G101" s="9" t="inlineStr">
        <is>
          <t>USA yatra 4-29 Sep 2025 (brochure places + GPS timeline)</t>
        </is>
      </c>
      <c r="H101" s="9" t="inlineStr">
        <is>
          <t>GPS-confirmed</t>
        </is>
      </c>
    </row>
    <row r="102">
      <c r="A102" s="9" t="n">
        <v>98</v>
      </c>
      <c r="B102" s="9" t="inlineStr">
        <is>
          <t>USA</t>
        </is>
      </c>
      <c r="C102" s="9" t="inlineStr">
        <is>
          <t>Gainesville / Alachua FL</t>
        </is>
      </c>
      <c r="D102" s="12" t="inlineStr">
        <is>
          <t>ISKCON Alachua (New Raman Reti) - GPS 16 Sep 2025</t>
        </is>
      </c>
      <c r="E102" s="9" t="inlineStr">
        <is>
          <t>ISKCON/Temple</t>
        </is>
      </c>
      <c r="F102" s="9" t="inlineStr">
        <is>
          <t>16 Sep 2025</t>
        </is>
      </c>
      <c r="G102" s="9" t="inlineStr">
        <is>
          <t>USA yatra 4-29 Sep 2025 (brochure places + GPS timeline)</t>
        </is>
      </c>
      <c r="H102" s="9" t="inlineStr">
        <is>
          <t>GPS-confirmed; not in brochure</t>
        </is>
      </c>
    </row>
    <row r="103">
      <c r="A103" s="9" t="n">
        <v>99</v>
      </c>
      <c r="B103" s="9" t="inlineStr">
        <is>
          <t>USA</t>
        </is>
      </c>
      <c r="C103" s="9" t="inlineStr">
        <is>
          <t>Jacksonville / Miami FL</t>
        </is>
      </c>
      <c r="D103" s="12" t="inlineStr">
        <is>
          <t>Jacksonville 16 Sep; Miami (Flagami/Brownsville) 17 Sep - GPS</t>
        </is>
      </c>
      <c r="E103" s="9" t="inlineStr">
        <is>
          <t>Transit hub</t>
        </is>
      </c>
      <c r="F103" s="9" t="inlineStr">
        <is>
          <t>16-17 Sep 2025</t>
        </is>
      </c>
      <c r="G103" s="9" t="inlineStr">
        <is>
          <t>USA yatra 4-29 Sep 2025 (brochure places + GPS timeline)</t>
        </is>
      </c>
      <c r="H103" s="9" t="inlineStr">
        <is>
          <t>GPS-confirmed</t>
        </is>
      </c>
    </row>
    <row r="104">
      <c r="A104" s="9" t="n">
        <v>100</v>
      </c>
      <c r="B104" s="9" t="inlineStr">
        <is>
          <t>USA</t>
        </is>
      </c>
      <c r="C104" s="9" t="inlineStr">
        <is>
          <t>Boston / Shrewsbury MA</t>
        </is>
      </c>
      <c r="D104" s="12" t="inlineStr">
        <is>
          <t>Boston (ISKCON Boston - Prabhupada landed here 1965); Shrewsbury - GPS 23-25 Sep 2025</t>
        </is>
      </c>
      <c r="E104" s="9" t="inlineStr">
        <is>
          <t>ISKCON/Temple</t>
        </is>
      </c>
      <c r="F104" s="9" t="inlineStr">
        <is>
          <t>23-25 Sep 2025</t>
        </is>
      </c>
      <c r="G104" s="9" t="inlineStr">
        <is>
          <t>USA yatra 4-29 Sep 2025 (brochure places + GPS timeline)</t>
        </is>
      </c>
      <c r="H104" s="9" t="inlineStr">
        <is>
          <t>GPS-confirmed; not in brochure. Confirm sites</t>
        </is>
      </c>
    </row>
    <row r="105">
      <c r="A105" s="9" t="n">
        <v>101</v>
      </c>
      <c r="B105" s="9" t="inlineStr">
        <is>
          <t>USA</t>
        </is>
      </c>
      <c r="C105" s="9" t="inlineStr">
        <is>
          <t>Philadelphia PA</t>
        </is>
      </c>
      <c r="D105" s="12" t="inlineStr">
        <is>
          <t>Philadelphia - GPS 10 &amp; 29 Sep 2025 (Independence Hall? ISKCON Philadelphia?)</t>
        </is>
      </c>
      <c r="E105" s="9" t="inlineStr">
        <is>
          <t>Landmark</t>
        </is>
      </c>
      <c r="F105" s="9" t="inlineStr">
        <is>
          <t>10 &amp; 29 Sep 2025</t>
        </is>
      </c>
      <c r="G105" s="9" t="inlineStr">
        <is>
          <t>USA yatra 4-29 Sep 2025 (brochure places + GPS timeline)</t>
        </is>
      </c>
      <c r="H105" s="9" t="inlineStr">
        <is>
          <t>GPS-confirmed; confirm sites</t>
        </is>
      </c>
    </row>
    <row r="106">
      <c r="A106" s="9" t="n">
        <v>102</v>
      </c>
      <c r="B106" s="9" t="inlineStr">
        <is>
          <t>USA</t>
        </is>
      </c>
      <c r="C106" s="9" t="inlineStr">
        <is>
          <t>Wheeling / Erie / Altoona</t>
        </is>
      </c>
      <c r="D106" s="12" t="inlineStr">
        <is>
          <t>Road route Pittsburgh -&gt; New Vrindaban (Wheeling WV) -&gt; DC - GPS 6-7 Sep 2025</t>
        </is>
      </c>
      <c r="E106" s="9" t="inlineStr">
        <is>
          <t>Transit hub</t>
        </is>
      </c>
      <c r="F106" s="9" t="inlineStr">
        <is>
          <t>6-7 Sep 2025</t>
        </is>
      </c>
      <c r="G106" s="9" t="inlineStr">
        <is>
          <t>USA yatra 4-29 Sep 2025 (brochure places + GPS timeline)</t>
        </is>
      </c>
      <c r="H106" s="9" t="inlineStr">
        <is>
          <t>GPS-confirmed</t>
        </is>
      </c>
    </row>
    <row r="107">
      <c r="A107" s="9" t="n">
        <v>103</v>
      </c>
      <c r="B107" s="9" t="inlineStr">
        <is>
          <t>Turkey</t>
        </is>
      </c>
      <c r="C107" s="9" t="inlineStr">
        <is>
          <t>Istanbul (Umraniye)</t>
        </is>
      </c>
      <c r="D107" s="12" t="inlineStr">
        <is>
          <t>Istanbul overnight stop 31 Jul-1 Aug 2024 (London -&gt; Dubai); airport transit 29 Sep 2025</t>
        </is>
      </c>
      <c r="E107" s="9" t="inlineStr">
        <is>
          <t>Transit hub</t>
        </is>
      </c>
      <c r="F107" s="9" t="inlineStr">
        <is>
          <t>31 Jul 2024; 29 Sep 2025</t>
        </is>
      </c>
      <c r="G107" s="9" t="inlineStr">
        <is>
          <t>GPS timeline</t>
        </is>
      </c>
      <c r="H107" s="9" t="inlineStr">
        <is>
          <t>Turkish eVisa presumably used in 2024 - confirm</t>
        </is>
      </c>
    </row>
    <row r="108">
      <c r="A108" s="9" t="n">
        <v>104</v>
      </c>
      <c r="B108" s="9" t="inlineStr">
        <is>
          <t>UAE</t>
        </is>
      </c>
      <c r="C108" s="9" t="inlineStr">
        <is>
          <t>Abu Dhabi</t>
        </is>
      </c>
      <c r="D108" s="12" t="inlineStr">
        <is>
          <t>Abu Dhabi + Masdar City day trip - GPS 3 Aug 2024 (Sheikh Zayed Mosque / BAPS Mandir?)</t>
        </is>
      </c>
      <c r="E108" s="9" t="inlineStr">
        <is>
          <t>Landmark</t>
        </is>
      </c>
      <c r="F108" s="9" t="inlineStr">
        <is>
          <t>3 Aug 2024</t>
        </is>
      </c>
      <c r="G108" s="9" t="inlineStr">
        <is>
          <t>GPS timeline</t>
        </is>
      </c>
      <c r="H108" s="9" t="inlineStr">
        <is>
          <t>Confirm sites</t>
        </is>
      </c>
    </row>
    <row r="109">
      <c r="A109" s="9" t="n">
        <v>105</v>
      </c>
      <c r="B109" s="9" t="inlineStr">
        <is>
          <t>UAE</t>
        </is>
      </c>
      <c r="C109" s="9" t="inlineStr">
        <is>
          <t>Sharjah</t>
        </is>
      </c>
      <c r="D109" s="9" t="inlineStr">
        <is>
          <t>Sharjah airport transits 15 Jul &amp; 5 Aug 2024</t>
        </is>
      </c>
      <c r="E109" s="9" t="inlineStr">
        <is>
          <t>Transit hub</t>
        </is>
      </c>
      <c r="F109" s="9" t="inlineStr">
        <is>
          <t>15 Jul &amp; 5 Aug 2024</t>
        </is>
      </c>
      <c r="G109" s="9" t="inlineStr">
        <is>
          <t>GPS timeline</t>
        </is>
      </c>
      <c r="H109" s="9" t="inlineStr"/>
    </row>
    <row r="110">
      <c r="A110" s="9" t="n">
        <v>106</v>
      </c>
      <c r="B110" s="9" t="inlineStr">
        <is>
          <t>Thailand</t>
        </is>
      </c>
      <c r="C110" s="9" t="inlineStr">
        <is>
          <t>Bangkok (BKK)</t>
        </is>
      </c>
      <c r="D110" s="12" t="inlineStr">
        <is>
          <t>Bangkok</t>
        </is>
      </c>
      <c r="E110" s="9" t="inlineStr">
        <is>
          <t>City tour</t>
        </is>
      </c>
      <c r="F110" s="9" t="inlineStr">
        <is>
          <t>Feb 2023 (x2); Jun 2023</t>
        </is>
      </c>
      <c r="G110" s="9" t="inlineStr">
        <is>
          <t>Passport stamps</t>
        </is>
      </c>
      <c r="H110" s="9" t="inlineStr">
        <is>
          <t>Add sites (ISKCON Bangkok, Wat Arun, Grand Palace...)</t>
        </is>
      </c>
    </row>
    <row r="111">
      <c r="A111" s="9" t="n">
        <v>107</v>
      </c>
      <c r="B111" s="9" t="inlineStr">
        <is>
          <t>Cambodia</t>
        </is>
      </c>
      <c r="C111" s="9" t="inlineStr">
        <is>
          <t>Siem Reap</t>
        </is>
      </c>
      <c r="D111" s="12" t="inlineStr">
        <is>
          <t>Angkor Wat / Angkor Thom</t>
        </is>
      </c>
      <c r="E111" s="9" t="inlineStr">
        <is>
          <t>Landmark</t>
        </is>
      </c>
      <c r="F111" s="9" t="inlineStr">
        <is>
          <t>Feb 2023; Jun 2023</t>
        </is>
      </c>
      <c r="G111" s="9" t="inlineStr">
        <is>
          <t>Passport stamps (Siem Reap)</t>
        </is>
      </c>
      <c r="H111" s="9" t="inlineStr">
        <is>
          <t>Confirm sites</t>
        </is>
      </c>
    </row>
    <row r="112">
      <c r="A112" s="9" t="n">
        <v>108</v>
      </c>
      <c r="B112" s="9" t="inlineStr">
        <is>
          <t>UAE</t>
        </is>
      </c>
      <c r="C112" s="9" t="inlineStr">
        <is>
          <t>Dubai</t>
        </is>
      </c>
      <c r="D112" s="12" t="inlineStr">
        <is>
          <t>Dubai</t>
        </is>
      </c>
      <c r="E112" s="9" t="inlineStr">
        <is>
          <t>City tour</t>
        </is>
      </c>
      <c r="F112" s="9" t="inlineStr">
        <is>
          <t>1-~5 Aug 2024</t>
        </is>
      </c>
      <c r="G112" s="9" t="inlineStr">
        <is>
          <t>Passport stamp</t>
        </is>
      </c>
      <c r="H112" s="9" t="inlineStr">
        <is>
          <t>Add sites (ISKCON Dubai Bur Dubai, Burj Khalifa...)</t>
        </is>
      </c>
    </row>
    <row r="115">
      <c r="A115" s="20" t="inlineStr">
        <is>
          <t>Counts (auto)</t>
        </is>
      </c>
    </row>
    <row r="116">
      <c r="A116" t="inlineStr">
        <is>
          <t>Places logged</t>
        </is>
      </c>
      <c r="B116">
        <f>COUNTA(D5:D412)</f>
        <v/>
      </c>
    </row>
    <row r="117">
      <c r="A117" t="inlineStr">
        <is>
          <t>ISKCON / temples</t>
        </is>
      </c>
      <c r="B117">
        <f>COUNTIF(E5:E412,"ISKCON/Temple")</f>
        <v/>
      </c>
    </row>
    <row r="118">
      <c r="A118" t="inlineStr">
        <is>
          <t>Distinct cities</t>
        </is>
      </c>
      <c r="B118">
        <f>SUMPRODUCT((C5:C112&lt;&gt;"")/COUNTIF(C5:C112,C5:C112&amp;""))</f>
        <v/>
      </c>
    </row>
  </sheetData>
  <autoFilter ref="A4:H412"/>
  <dataValidations count="1">
    <dataValidation sqref="E5:E412" showDropDown="0" showInputMessage="0" showErrorMessage="0" allowBlank="1" type="list">
      <formula1>"ISKCON/Temple,Landmark,Museum,Nature,Cruise/Ride,City tour,Transit hub"</formula1>
    </dataValidation>
  </dataValidations>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J571"/>
  <sheetViews>
    <sheetView zoomScale="100" workbookViewId="0">
      <pane ySplit="4" topLeftCell="A5" activePane="bottomLeft" state="frozen"/>
      <selection pane="bottomLeft" activeCell="A1" sqref="A1"/>
    </sheetView>
  </sheetViews>
  <sheetFormatPr baseColWidth="8" defaultRowHeight="15"/>
  <cols>
    <col width="5" customWidth="1" min="1" max="1"/>
    <col width="10" customWidth="1" min="2" max="2"/>
    <col width="18" customWidth="1" min="3" max="3"/>
    <col width="22" customWidth="1" min="4" max="4"/>
    <col width="24" customWidth="1" min="5" max="5"/>
    <col width="70" customWidth="1" min="6" max="6"/>
    <col width="12" customWidth="1" min="7" max="7"/>
    <col width="12" customWidth="1" min="8" max="8"/>
    <col width="12" customWidth="1" min="9" max="9"/>
    <col width="30" customWidth="1" min="10" max="10"/>
  </cols>
  <sheetData>
    <row r="1">
      <c r="A1" s="1" t="inlineStr">
        <is>
          <t>World Checklist - temples, monuments &amp; popular sightseeing by Country &gt; State &gt; City (tick what you have visited)</t>
        </is>
      </c>
    </row>
    <row r="2">
      <c r="A2" s="2" t="inlineStr">
        <is>
          <t>Column B is the checkbox: pick ☑ (visited) or ☐ (not yet) from the dropdown. Column H = status note (Likely = from your yatra dashboards; Planned = on your future list). Add rows anywhere.</t>
        </is>
      </c>
    </row>
    <row r="4">
      <c r="A4" s="3" t="inlineStr">
        <is>
          <t>#</t>
        </is>
      </c>
      <c r="B4" s="3" t="inlineStr">
        <is>
          <t>✔ Visited</t>
        </is>
      </c>
      <c r="C4" s="3" t="inlineStr">
        <is>
          <t>Country</t>
        </is>
      </c>
      <c r="D4" s="3" t="inlineStr">
        <is>
          <t>State / region</t>
        </is>
      </c>
      <c r="E4" s="3" t="inlineStr">
        <is>
          <t>City</t>
        </is>
      </c>
      <c r="F4" s="3" t="inlineStr">
        <is>
          <t>Place(s)</t>
        </is>
      </c>
      <c r="G4" s="3" t="inlineStr">
        <is>
          <t>Category</t>
        </is>
      </c>
      <c r="H4" s="3" t="inlineStr">
        <is>
          <t>Status note</t>
        </is>
      </c>
      <c r="I4" s="3" t="inlineStr">
        <is>
          <t>Country entered?</t>
        </is>
      </c>
      <c r="J4" s="3" t="inlineStr">
        <is>
          <t>Notes</t>
        </is>
      </c>
    </row>
    <row r="5">
      <c r="A5" s="9" t="n">
        <v>1</v>
      </c>
      <c r="B5" s="23" t="inlineStr">
        <is>
          <t>☑</t>
        </is>
      </c>
      <c r="C5" s="9" t="inlineStr">
        <is>
          <t>India</t>
        </is>
      </c>
      <c r="D5" s="9" t="inlineStr">
        <is>
          <t>Andhra Pradesh</t>
        </is>
      </c>
      <c r="E5" s="9" t="inlineStr">
        <is>
          <t>Tirupati</t>
        </is>
      </c>
      <c r="F5" s="9" t="inlineStr">
        <is>
          <t>Tirumala Sri Venkateswara Temple (Balaji)</t>
        </is>
      </c>
      <c r="G5" s="9" t="inlineStr">
        <is>
          <t>Temple</t>
        </is>
      </c>
      <c r="H5" s="9" t="inlineStr"/>
      <c r="I5" s="9">
        <f>IF(COUNTIF('Country Summary'!$B$5:$B$200,C5)&gt;0,"Yes","")</f>
        <v/>
      </c>
      <c r="J5" s="9" t="inlineStr"/>
    </row>
    <row r="6">
      <c r="A6" s="9" t="n">
        <v>2</v>
      </c>
      <c r="B6" s="23" t="inlineStr">
        <is>
          <t>☑</t>
        </is>
      </c>
      <c r="C6" s="9" t="inlineStr">
        <is>
          <t>India</t>
        </is>
      </c>
      <c r="D6" s="9" t="inlineStr">
        <is>
          <t>Andhra Pradesh</t>
        </is>
      </c>
      <c r="E6" s="9" t="inlineStr">
        <is>
          <t>Tirupati</t>
        </is>
      </c>
      <c r="F6" s="9" t="inlineStr">
        <is>
          <t>Sri Padmavathi Temple, Tiruchanur</t>
        </is>
      </c>
      <c r="G6" s="9" t="inlineStr">
        <is>
          <t>Temple</t>
        </is>
      </c>
      <c r="H6" s="9" t="inlineStr"/>
      <c r="I6" s="9">
        <f>IF(COUNTIF('Country Summary'!$B$5:$B$200,C6)&gt;0,"Yes","")</f>
        <v/>
      </c>
      <c r="J6" s="9" t="inlineStr"/>
    </row>
    <row r="7">
      <c r="A7" s="9" t="n">
        <v>3</v>
      </c>
      <c r="B7" s="23" t="inlineStr">
        <is>
          <t>☐</t>
        </is>
      </c>
      <c r="C7" s="9" t="inlineStr">
        <is>
          <t>India</t>
        </is>
      </c>
      <c r="D7" s="9" t="inlineStr">
        <is>
          <t>Andhra Pradesh</t>
        </is>
      </c>
      <c r="E7" s="9" t="inlineStr">
        <is>
          <t>Srikalahasti</t>
        </is>
      </c>
      <c r="F7" s="9" t="inlineStr">
        <is>
          <t>Srikalahasteeswara (Vayu linga)</t>
        </is>
      </c>
      <c r="G7" s="9" t="inlineStr">
        <is>
          <t>Temple</t>
        </is>
      </c>
      <c r="H7" s="9" t="inlineStr"/>
      <c r="I7" s="9">
        <f>IF(COUNTIF('Country Summary'!$B$5:$B$200,C7)&gt;0,"Yes","")</f>
        <v/>
      </c>
      <c r="J7" s="9" t="inlineStr"/>
    </row>
    <row r="8">
      <c r="A8" s="9" t="n">
        <v>4</v>
      </c>
      <c r="B8" s="23" t="inlineStr">
        <is>
          <t>☐</t>
        </is>
      </c>
      <c r="C8" s="9" t="inlineStr">
        <is>
          <t>India</t>
        </is>
      </c>
      <c r="D8" s="9" t="inlineStr">
        <is>
          <t>Andhra Pradesh</t>
        </is>
      </c>
      <c r="E8" s="9" t="inlineStr">
        <is>
          <t>Ahobilam</t>
        </is>
      </c>
      <c r="F8" s="9" t="inlineStr">
        <is>
          <t>Nava Narasimha kshetras</t>
        </is>
      </c>
      <c r="G8" s="9" t="inlineStr">
        <is>
          <t>Temple</t>
        </is>
      </c>
      <c r="H8" s="9" t="inlineStr"/>
      <c r="I8" s="9">
        <f>IF(COUNTIF('Country Summary'!$B$5:$B$200,C8)&gt;0,"Yes","")</f>
        <v/>
      </c>
      <c r="J8" s="9" t="inlineStr"/>
    </row>
    <row r="9">
      <c r="A9" s="9" t="n">
        <v>5</v>
      </c>
      <c r="B9" s="23" t="inlineStr">
        <is>
          <t>☐</t>
        </is>
      </c>
      <c r="C9" s="9" t="inlineStr">
        <is>
          <t>India</t>
        </is>
      </c>
      <c r="D9" s="9" t="inlineStr">
        <is>
          <t>Andhra Pradesh</t>
        </is>
      </c>
      <c r="E9" s="9" t="inlineStr">
        <is>
          <t>Srisailam</t>
        </is>
      </c>
      <c r="F9" s="9" t="inlineStr">
        <is>
          <t>Mallikarjuna Jyotirlinga &amp; Bhramaramba</t>
        </is>
      </c>
      <c r="G9" s="9" t="inlineStr">
        <is>
          <t>Temple</t>
        </is>
      </c>
      <c r="H9" s="9" t="inlineStr"/>
      <c r="I9" s="9">
        <f>IF(COUNTIF('Country Summary'!$B$5:$B$200,C9)&gt;0,"Yes","")</f>
        <v/>
      </c>
      <c r="J9" s="9" t="inlineStr"/>
    </row>
    <row r="10">
      <c r="A10" s="9" t="n">
        <v>6</v>
      </c>
      <c r="B10" s="23" t="inlineStr">
        <is>
          <t>☐</t>
        </is>
      </c>
      <c r="C10" s="9" t="inlineStr">
        <is>
          <t>India</t>
        </is>
      </c>
      <c r="D10" s="9" t="inlineStr">
        <is>
          <t>Andhra Pradesh</t>
        </is>
      </c>
      <c r="E10" s="9" t="inlineStr">
        <is>
          <t>Simhachalam</t>
        </is>
      </c>
      <c r="F10" s="9" t="inlineStr">
        <is>
          <t>Varaha Lakshmi Narasimha Temple</t>
        </is>
      </c>
      <c r="G10" s="9" t="inlineStr">
        <is>
          <t>Temple</t>
        </is>
      </c>
      <c r="H10" s="9" t="inlineStr"/>
      <c r="I10" s="9">
        <f>IF(COUNTIF('Country Summary'!$B$5:$B$200,C10)&gt;0,"Yes","")</f>
        <v/>
      </c>
      <c r="J10" s="9" t="inlineStr"/>
    </row>
    <row r="11">
      <c r="A11" s="9" t="n">
        <v>7</v>
      </c>
      <c r="B11" s="23" t="inlineStr">
        <is>
          <t>☐</t>
        </is>
      </c>
      <c r="C11" s="9" t="inlineStr">
        <is>
          <t>India</t>
        </is>
      </c>
      <c r="D11" s="9" t="inlineStr">
        <is>
          <t>Andhra Pradesh</t>
        </is>
      </c>
      <c r="E11" s="9" t="inlineStr">
        <is>
          <t>Lepakshi</t>
        </is>
      </c>
      <c r="F11" s="9" t="inlineStr">
        <is>
          <t>Veerabhadra Temple (hanging pillar)</t>
        </is>
      </c>
      <c r="G11" s="9" t="inlineStr">
        <is>
          <t>Monument</t>
        </is>
      </c>
      <c r="H11" s="9" t="inlineStr"/>
      <c r="I11" s="9">
        <f>IF(COUNTIF('Country Summary'!$B$5:$B$200,C11)&gt;0,"Yes","")</f>
        <v/>
      </c>
      <c r="J11" s="9" t="inlineStr"/>
    </row>
    <row r="12">
      <c r="A12" s="9" t="n">
        <v>8</v>
      </c>
      <c r="B12" s="23" t="inlineStr">
        <is>
          <t>☐</t>
        </is>
      </c>
      <c r="C12" s="9" t="inlineStr">
        <is>
          <t>India</t>
        </is>
      </c>
      <c r="D12" s="9" t="inlineStr">
        <is>
          <t>Andhra Pradesh</t>
        </is>
      </c>
      <c r="E12" s="9" t="inlineStr">
        <is>
          <t>Amaravati</t>
        </is>
      </c>
      <c r="F12" s="9" t="inlineStr">
        <is>
          <t>Amaravati Stupa &amp; Dhyana Buddha</t>
        </is>
      </c>
      <c r="G12" s="9" t="inlineStr">
        <is>
          <t>Monument</t>
        </is>
      </c>
      <c r="H12" s="9" t="inlineStr"/>
      <c r="I12" s="9">
        <f>IF(COUNTIF('Country Summary'!$B$5:$B$200,C12)&gt;0,"Yes","")</f>
        <v/>
      </c>
      <c r="J12" s="9" t="inlineStr"/>
    </row>
    <row r="13">
      <c r="A13" s="9" t="n">
        <v>9</v>
      </c>
      <c r="B13" s="23" t="inlineStr">
        <is>
          <t>☐</t>
        </is>
      </c>
      <c r="C13" s="9" t="inlineStr">
        <is>
          <t>India</t>
        </is>
      </c>
      <c r="D13" s="9" t="inlineStr">
        <is>
          <t>Andhra Pradesh</t>
        </is>
      </c>
      <c r="E13" s="9" t="inlineStr">
        <is>
          <t>Mantralayam</t>
        </is>
      </c>
      <c r="F13" s="9" t="inlineStr">
        <is>
          <t>Raghavendra Swamy Mutt</t>
        </is>
      </c>
      <c r="G13" s="9" t="inlineStr">
        <is>
          <t>Temple</t>
        </is>
      </c>
      <c r="H13" s="9" t="inlineStr"/>
      <c r="I13" s="9">
        <f>IF(COUNTIF('Country Summary'!$B$5:$B$200,C13)&gt;0,"Yes","")</f>
        <v/>
      </c>
      <c r="J13" s="9" t="inlineStr"/>
    </row>
    <row r="14">
      <c r="A14" s="9" t="n">
        <v>10</v>
      </c>
      <c r="B14" s="23" t="inlineStr">
        <is>
          <t>☑</t>
        </is>
      </c>
      <c r="C14" s="9" t="inlineStr">
        <is>
          <t>India</t>
        </is>
      </c>
      <c r="D14" s="9" t="inlineStr">
        <is>
          <t>Telangana</t>
        </is>
      </c>
      <c r="E14" s="9" t="inlineStr">
        <is>
          <t>Hyderabad</t>
        </is>
      </c>
      <c r="F14" s="9" t="inlineStr">
        <is>
          <t>Hare Krishna Golden Temple, Banjara Hills (home)</t>
        </is>
      </c>
      <c r="G14" s="9" t="inlineStr">
        <is>
          <t>ISKCON</t>
        </is>
      </c>
      <c r="H14" s="9" t="inlineStr"/>
      <c r="I14" s="9">
        <f>IF(COUNTIF('Country Summary'!$B$5:$B$200,C14)&gt;0,"Yes","")</f>
        <v/>
      </c>
      <c r="J14" s="9" t="inlineStr"/>
    </row>
    <row r="15">
      <c r="A15" s="9" t="n">
        <v>11</v>
      </c>
      <c r="B15" s="23" t="inlineStr">
        <is>
          <t>☐</t>
        </is>
      </c>
      <c r="C15" s="9" t="inlineStr">
        <is>
          <t>India</t>
        </is>
      </c>
      <c r="D15" s="9" t="inlineStr">
        <is>
          <t>Telangana</t>
        </is>
      </c>
      <c r="E15" s="9" t="inlineStr">
        <is>
          <t>Hyderabad</t>
        </is>
      </c>
      <c r="F15" s="9" t="inlineStr">
        <is>
          <t>Charminar &amp; Mecca Masjid</t>
        </is>
      </c>
      <c r="G15" s="9" t="inlineStr">
        <is>
          <t>Monument</t>
        </is>
      </c>
      <c r="H15" s="9" t="inlineStr"/>
      <c r="I15" s="9">
        <f>IF(COUNTIF('Country Summary'!$B$5:$B$200,C15)&gt;0,"Yes","")</f>
        <v/>
      </c>
      <c r="J15" s="9" t="inlineStr"/>
    </row>
    <row r="16">
      <c r="A16" s="9" t="n">
        <v>12</v>
      </c>
      <c r="B16" s="23" t="inlineStr">
        <is>
          <t>☐</t>
        </is>
      </c>
      <c r="C16" s="9" t="inlineStr">
        <is>
          <t>India</t>
        </is>
      </c>
      <c r="D16" s="9" t="inlineStr">
        <is>
          <t>Telangana</t>
        </is>
      </c>
      <c r="E16" s="9" t="inlineStr">
        <is>
          <t>Hyderabad</t>
        </is>
      </c>
      <c r="F16" s="9" t="inlineStr">
        <is>
          <t>Golconda Fort &amp; Qutb Shahi Tombs</t>
        </is>
      </c>
      <c r="G16" s="9" t="inlineStr">
        <is>
          <t>Monument</t>
        </is>
      </c>
      <c r="H16" s="9" t="inlineStr"/>
      <c r="I16" s="9">
        <f>IF(COUNTIF('Country Summary'!$B$5:$B$200,C16)&gt;0,"Yes","")</f>
        <v/>
      </c>
      <c r="J16" s="9" t="inlineStr"/>
    </row>
    <row r="17">
      <c r="A17" s="9" t="n">
        <v>13</v>
      </c>
      <c r="B17" s="23" t="inlineStr">
        <is>
          <t>☐</t>
        </is>
      </c>
      <c r="C17" s="9" t="inlineStr">
        <is>
          <t>India</t>
        </is>
      </c>
      <c r="D17" s="9" t="inlineStr">
        <is>
          <t>Telangana</t>
        </is>
      </c>
      <c r="E17" s="9" t="inlineStr">
        <is>
          <t>Hyderabad</t>
        </is>
      </c>
      <c r="F17" s="9" t="inlineStr">
        <is>
          <t>Salar Jung Museum</t>
        </is>
      </c>
      <c r="G17" s="9" t="inlineStr">
        <is>
          <t>Museum</t>
        </is>
      </c>
      <c r="H17" s="9" t="inlineStr"/>
      <c r="I17" s="9">
        <f>IF(COUNTIF('Country Summary'!$B$5:$B$200,C17)&gt;0,"Yes","")</f>
        <v/>
      </c>
      <c r="J17" s="9" t="inlineStr"/>
    </row>
    <row r="18">
      <c r="A18" s="9" t="n">
        <v>14</v>
      </c>
      <c r="B18" s="23" t="inlineStr">
        <is>
          <t>☐</t>
        </is>
      </c>
      <c r="C18" s="9" t="inlineStr">
        <is>
          <t>India</t>
        </is>
      </c>
      <c r="D18" s="9" t="inlineStr">
        <is>
          <t>Telangana</t>
        </is>
      </c>
      <c r="E18" s="9" t="inlineStr">
        <is>
          <t>Hyderabad</t>
        </is>
      </c>
      <c r="F18" s="9" t="inlineStr">
        <is>
          <t>Birla Mandir &amp; Chilkur Balaji</t>
        </is>
      </c>
      <c r="G18" s="9" t="inlineStr">
        <is>
          <t>Temple</t>
        </is>
      </c>
      <c r="H18" s="9" t="inlineStr"/>
      <c r="I18" s="9">
        <f>IF(COUNTIF('Country Summary'!$B$5:$B$200,C18)&gt;0,"Yes","")</f>
        <v/>
      </c>
      <c r="J18" s="9" t="inlineStr"/>
    </row>
    <row r="19">
      <c r="A19" s="9" t="n">
        <v>15</v>
      </c>
      <c r="B19" s="23" t="inlineStr">
        <is>
          <t>☑</t>
        </is>
      </c>
      <c r="C19" s="9" t="inlineStr">
        <is>
          <t>India</t>
        </is>
      </c>
      <c r="D19" s="9" t="inlineStr">
        <is>
          <t>Telangana</t>
        </is>
      </c>
      <c r="E19" s="9" t="inlineStr">
        <is>
          <t>Yadadri</t>
        </is>
      </c>
      <c r="F19" s="9" t="inlineStr">
        <is>
          <t>Yadagirigutta Lakshmi Narasimha Temple</t>
        </is>
      </c>
      <c r="G19" s="9" t="inlineStr">
        <is>
          <t>Temple</t>
        </is>
      </c>
      <c r="H19" s="9" t="inlineStr"/>
      <c r="I19" s="9">
        <f>IF(COUNTIF('Country Summary'!$B$5:$B$200,C19)&gt;0,"Yes","")</f>
        <v/>
      </c>
      <c r="J19" s="9" t="inlineStr"/>
    </row>
    <row r="20">
      <c r="A20" s="9" t="n">
        <v>16</v>
      </c>
      <c r="B20" s="23" t="inlineStr">
        <is>
          <t>☑</t>
        </is>
      </c>
      <c r="C20" s="9" t="inlineStr">
        <is>
          <t>India</t>
        </is>
      </c>
      <c r="D20" s="9" t="inlineStr">
        <is>
          <t>Telangana</t>
        </is>
      </c>
      <c r="E20" s="9" t="inlineStr">
        <is>
          <t>Bhadrachalam</t>
        </is>
      </c>
      <c r="F20" s="9" t="inlineStr">
        <is>
          <t>Sita Ramachandraswamy Temple</t>
        </is>
      </c>
      <c r="G20" s="9" t="inlineStr">
        <is>
          <t>Temple</t>
        </is>
      </c>
      <c r="H20" s="9" t="inlineStr"/>
      <c r="I20" s="9">
        <f>IF(COUNTIF('Country Summary'!$B$5:$B$200,C20)&gt;0,"Yes","")</f>
        <v/>
      </c>
      <c r="J20" s="9" t="inlineStr"/>
    </row>
    <row r="21">
      <c r="A21" s="9" t="n">
        <v>17</v>
      </c>
      <c r="B21" s="23" t="inlineStr">
        <is>
          <t>☑</t>
        </is>
      </c>
      <c r="C21" s="9" t="inlineStr">
        <is>
          <t>India</t>
        </is>
      </c>
      <c r="D21" s="9" t="inlineStr">
        <is>
          <t>Telangana</t>
        </is>
      </c>
      <c r="E21" s="9" t="inlineStr">
        <is>
          <t>Warangal</t>
        </is>
      </c>
      <c r="F21" s="9" t="inlineStr">
        <is>
          <t>Thousand Pillar Temple &amp; Warangal Fort</t>
        </is>
      </c>
      <c r="G21" s="9" t="inlineStr">
        <is>
          <t>Monument</t>
        </is>
      </c>
      <c r="H21" s="9" t="inlineStr"/>
      <c r="I21" s="9">
        <f>IF(COUNTIF('Country Summary'!$B$5:$B$200,C21)&gt;0,"Yes","")</f>
        <v/>
      </c>
      <c r="J21" s="9" t="inlineStr"/>
    </row>
    <row r="22">
      <c r="A22" s="9" t="n">
        <v>18</v>
      </c>
      <c r="B22" s="23" t="inlineStr">
        <is>
          <t>☐</t>
        </is>
      </c>
      <c r="C22" s="9" t="inlineStr">
        <is>
          <t>India</t>
        </is>
      </c>
      <c r="D22" s="9" t="inlineStr">
        <is>
          <t>Telangana</t>
        </is>
      </c>
      <c r="E22" s="9" t="inlineStr">
        <is>
          <t>Mulugu</t>
        </is>
      </c>
      <c r="F22" s="9" t="inlineStr">
        <is>
          <t>Ramappa (Rudreshwara) Temple - UNESCO</t>
        </is>
      </c>
      <c r="G22" s="9" t="inlineStr">
        <is>
          <t>UNESCO</t>
        </is>
      </c>
      <c r="H22" s="9" t="inlineStr"/>
      <c r="I22" s="9">
        <f>IF(COUNTIF('Country Summary'!$B$5:$B$200,C22)&gt;0,"Yes","")</f>
        <v/>
      </c>
      <c r="J22" s="9" t="inlineStr"/>
    </row>
    <row r="23">
      <c r="A23" s="9" t="n">
        <v>19</v>
      </c>
      <c r="B23" s="23" t="inlineStr">
        <is>
          <t>☐</t>
        </is>
      </c>
      <c r="C23" s="9" t="inlineStr">
        <is>
          <t>India</t>
        </is>
      </c>
      <c r="D23" s="9" t="inlineStr">
        <is>
          <t>Telangana</t>
        </is>
      </c>
      <c r="E23" s="9" t="inlineStr">
        <is>
          <t>Basar</t>
        </is>
      </c>
      <c r="F23" s="9" t="inlineStr">
        <is>
          <t>Gnana Saraswati Temple</t>
        </is>
      </c>
      <c r="G23" s="9" t="inlineStr">
        <is>
          <t>Temple</t>
        </is>
      </c>
      <c r="H23" s="9" t="inlineStr"/>
      <c r="I23" s="9">
        <f>IF(COUNTIF('Country Summary'!$B$5:$B$200,C23)&gt;0,"Yes","")</f>
        <v/>
      </c>
      <c r="J23" s="9" t="inlineStr"/>
    </row>
    <row r="24">
      <c r="A24" s="9" t="n">
        <v>20</v>
      </c>
      <c r="B24" s="23" t="inlineStr">
        <is>
          <t>☑</t>
        </is>
      </c>
      <c r="C24" s="9" t="inlineStr">
        <is>
          <t>India</t>
        </is>
      </c>
      <c r="D24" s="9" t="inlineStr">
        <is>
          <t>Karnataka</t>
        </is>
      </c>
      <c r="E24" s="9" t="inlineStr">
        <is>
          <t>Bengaluru</t>
        </is>
      </c>
      <c r="F24" s="9" t="inlineStr">
        <is>
          <t>ISKCON Sri Radha Krishna Temple, Rajajinagar</t>
        </is>
      </c>
      <c r="G24" s="9" t="inlineStr">
        <is>
          <t>ISKCON</t>
        </is>
      </c>
      <c r="H24" s="9" t="inlineStr"/>
      <c r="I24" s="9">
        <f>IF(COUNTIF('Country Summary'!$B$5:$B$200,C24)&gt;0,"Yes","")</f>
        <v/>
      </c>
      <c r="J24" s="9" t="inlineStr"/>
    </row>
    <row r="25">
      <c r="A25" s="9" t="n">
        <v>21</v>
      </c>
      <c r="B25" s="23" t="inlineStr">
        <is>
          <t>☐</t>
        </is>
      </c>
      <c r="C25" s="9" t="inlineStr">
        <is>
          <t>India</t>
        </is>
      </c>
      <c r="D25" s="9" t="inlineStr">
        <is>
          <t>Karnataka</t>
        </is>
      </c>
      <c r="E25" s="9" t="inlineStr">
        <is>
          <t>Bengaluru</t>
        </is>
      </c>
      <c r="F25" s="9" t="inlineStr">
        <is>
          <t>Vaikuntha Hill (ISKCON Vasanthapura)</t>
        </is>
      </c>
      <c r="G25" s="9" t="inlineStr">
        <is>
          <t>ISKCON</t>
        </is>
      </c>
      <c r="H25" s="9" t="inlineStr"/>
      <c r="I25" s="9">
        <f>IF(COUNTIF('Country Summary'!$B$5:$B$200,C25)&gt;0,"Yes","")</f>
        <v/>
      </c>
      <c r="J25" s="9" t="inlineStr"/>
    </row>
    <row r="26">
      <c r="A26" s="9" t="n">
        <v>22</v>
      </c>
      <c r="B26" s="23" t="inlineStr">
        <is>
          <t>☐</t>
        </is>
      </c>
      <c r="C26" s="9" t="inlineStr">
        <is>
          <t>India</t>
        </is>
      </c>
      <c r="D26" s="9" t="inlineStr">
        <is>
          <t>Karnataka</t>
        </is>
      </c>
      <c r="E26" s="9" t="inlineStr">
        <is>
          <t>Bengaluru</t>
        </is>
      </c>
      <c r="F26" s="9" t="inlineStr">
        <is>
          <t>Bull Temple, Lalbagh, Vidhana Soudha</t>
        </is>
      </c>
      <c r="G26" s="9" t="inlineStr">
        <is>
          <t>Monument</t>
        </is>
      </c>
      <c r="H26" s="9" t="inlineStr"/>
      <c r="I26" s="9">
        <f>IF(COUNTIF('Country Summary'!$B$5:$B$200,C26)&gt;0,"Yes","")</f>
        <v/>
      </c>
      <c r="J26" s="9" t="inlineStr"/>
    </row>
    <row r="27">
      <c r="A27" s="9" t="n">
        <v>23</v>
      </c>
      <c r="B27" s="23" t="inlineStr">
        <is>
          <t>☐</t>
        </is>
      </c>
      <c r="C27" s="9" t="inlineStr">
        <is>
          <t>India</t>
        </is>
      </c>
      <c r="D27" s="9" t="inlineStr">
        <is>
          <t>Karnataka</t>
        </is>
      </c>
      <c r="E27" s="9" t="inlineStr">
        <is>
          <t>Mysuru</t>
        </is>
      </c>
      <c r="F27" s="9" t="inlineStr">
        <is>
          <t>Mysore Palace &amp; Dasara (Jamboo Savari)</t>
        </is>
      </c>
      <c r="G27" s="9" t="inlineStr">
        <is>
          <t>Festival</t>
        </is>
      </c>
      <c r="H27" s="9" t="inlineStr"/>
      <c r="I27" s="9">
        <f>IF(COUNTIF('Country Summary'!$B$5:$B$200,C27)&gt;0,"Yes","")</f>
        <v/>
      </c>
      <c r="J27" s="9" t="inlineStr"/>
    </row>
    <row r="28">
      <c r="A28" s="9" t="n">
        <v>24</v>
      </c>
      <c r="B28" s="23" t="inlineStr">
        <is>
          <t>☑</t>
        </is>
      </c>
      <c r="C28" s="9" t="inlineStr">
        <is>
          <t>India</t>
        </is>
      </c>
      <c r="D28" s="9" t="inlineStr">
        <is>
          <t>Karnataka</t>
        </is>
      </c>
      <c r="E28" s="9" t="inlineStr">
        <is>
          <t>Mysuru</t>
        </is>
      </c>
      <c r="F28" s="9" t="inlineStr">
        <is>
          <t>Chamundeshwari Temple, Chamundi Hill</t>
        </is>
      </c>
      <c r="G28" s="9" t="inlineStr">
        <is>
          <t>Temple</t>
        </is>
      </c>
      <c r="H28" s="9" t="inlineStr"/>
      <c r="I28" s="9">
        <f>IF(COUNTIF('Country Summary'!$B$5:$B$200,C28)&gt;0,"Yes","")</f>
        <v/>
      </c>
      <c r="J28" s="9" t="inlineStr"/>
    </row>
    <row r="29">
      <c r="A29" s="9" t="n">
        <v>25</v>
      </c>
      <c r="B29" s="23" t="inlineStr">
        <is>
          <t>☑</t>
        </is>
      </c>
      <c r="C29" s="9" t="inlineStr">
        <is>
          <t>India</t>
        </is>
      </c>
      <c r="D29" s="9" t="inlineStr">
        <is>
          <t>Karnataka</t>
        </is>
      </c>
      <c r="E29" s="9" t="inlineStr">
        <is>
          <t>Mysuru</t>
        </is>
      </c>
      <c r="F29" s="9" t="inlineStr">
        <is>
          <t>ISKCON Mysore</t>
        </is>
      </c>
      <c r="G29" s="9" t="inlineStr">
        <is>
          <t>ISKCON</t>
        </is>
      </c>
      <c r="H29" s="9" t="inlineStr"/>
      <c r="I29" s="9">
        <f>IF(COUNTIF('Country Summary'!$B$5:$B$200,C29)&gt;0,"Yes","")</f>
        <v/>
      </c>
      <c r="J29" s="9" t="inlineStr"/>
    </row>
    <row r="30">
      <c r="A30" s="9" t="n">
        <v>26</v>
      </c>
      <c r="B30" s="23" t="inlineStr">
        <is>
          <t>☐</t>
        </is>
      </c>
      <c r="C30" s="9" t="inlineStr">
        <is>
          <t>India</t>
        </is>
      </c>
      <c r="D30" s="9" t="inlineStr">
        <is>
          <t>Karnataka</t>
        </is>
      </c>
      <c r="E30" s="9" t="inlineStr">
        <is>
          <t>Srirangapatna</t>
        </is>
      </c>
      <c r="F30" s="9" t="inlineStr">
        <is>
          <t>Ranganathaswamy Temple</t>
        </is>
      </c>
      <c r="G30" s="9" t="inlineStr">
        <is>
          <t>Temple</t>
        </is>
      </c>
      <c r="H30" s="9" t="inlineStr">
        <is>
          <t>Likely</t>
        </is>
      </c>
      <c r="I30" s="9">
        <f>IF(COUNTIF('Country Summary'!$B$5:$B$200,C30)&gt;0,"Yes","")</f>
        <v/>
      </c>
      <c r="J30" s="9" t="inlineStr"/>
    </row>
    <row r="31">
      <c r="A31" s="9" t="n">
        <v>27</v>
      </c>
      <c r="B31" s="23" t="inlineStr">
        <is>
          <t>☐</t>
        </is>
      </c>
      <c r="C31" s="9" t="inlineStr">
        <is>
          <t>India</t>
        </is>
      </c>
      <c r="D31" s="9" t="inlineStr">
        <is>
          <t>Karnataka</t>
        </is>
      </c>
      <c r="E31" s="9" t="inlineStr">
        <is>
          <t>Melukote</t>
        </is>
      </c>
      <c r="F31" s="9" t="inlineStr">
        <is>
          <t>Cheluvanarayana &amp; Yoga Narasimha</t>
        </is>
      </c>
      <c r="G31" s="9" t="inlineStr">
        <is>
          <t>Temple</t>
        </is>
      </c>
      <c r="H31" s="9" t="inlineStr"/>
      <c r="I31" s="9">
        <f>IF(COUNTIF('Country Summary'!$B$5:$B$200,C31)&gt;0,"Yes","")</f>
        <v/>
      </c>
      <c r="J31" s="9" t="inlineStr"/>
    </row>
    <row r="32">
      <c r="A32" s="9" t="n">
        <v>28</v>
      </c>
      <c r="B32" s="23" t="inlineStr">
        <is>
          <t>☑</t>
        </is>
      </c>
      <c r="C32" s="9" t="inlineStr">
        <is>
          <t>India</t>
        </is>
      </c>
      <c r="D32" s="9" t="inlineStr">
        <is>
          <t>Karnataka</t>
        </is>
      </c>
      <c r="E32" s="9" t="inlineStr">
        <is>
          <t>Hampi</t>
        </is>
      </c>
      <c r="F32" s="9" t="inlineStr">
        <is>
          <t>Hampi (Vijayanagara) - Virupaksha, Vittala stone chariot - UNESCO</t>
        </is>
      </c>
      <c r="G32" s="9" t="inlineStr">
        <is>
          <t>UNESCO</t>
        </is>
      </c>
      <c r="H32" s="9" t="inlineStr"/>
      <c r="I32" s="9">
        <f>IF(COUNTIF('Country Summary'!$B$5:$B$200,C32)&gt;0,"Yes","")</f>
        <v/>
      </c>
      <c r="J32" s="9" t="inlineStr"/>
    </row>
    <row r="33">
      <c r="A33" s="9" t="n">
        <v>29</v>
      </c>
      <c r="B33" s="23" t="inlineStr">
        <is>
          <t>☐</t>
        </is>
      </c>
      <c r="C33" s="9" t="inlineStr">
        <is>
          <t>India</t>
        </is>
      </c>
      <c r="D33" s="9" t="inlineStr">
        <is>
          <t>Karnataka</t>
        </is>
      </c>
      <c r="E33" s="9" t="inlineStr">
        <is>
          <t>Pattadakal / Badami / Aihole</t>
        </is>
      </c>
      <c r="F33" s="9" t="inlineStr">
        <is>
          <t>Chalukya temples &amp; cave temples - UNESCO</t>
        </is>
      </c>
      <c r="G33" s="9" t="inlineStr">
        <is>
          <t>UNESCO</t>
        </is>
      </c>
      <c r="H33" s="9" t="inlineStr"/>
      <c r="I33" s="9">
        <f>IF(COUNTIF('Country Summary'!$B$5:$B$200,C33)&gt;0,"Yes","")</f>
        <v/>
      </c>
      <c r="J33" s="9" t="inlineStr"/>
    </row>
    <row r="34">
      <c r="A34" s="9" t="n">
        <v>30</v>
      </c>
      <c r="B34" s="23" t="inlineStr">
        <is>
          <t>☑</t>
        </is>
      </c>
      <c r="C34" s="9" t="inlineStr">
        <is>
          <t>India</t>
        </is>
      </c>
      <c r="D34" s="9" t="inlineStr">
        <is>
          <t>Karnataka</t>
        </is>
      </c>
      <c r="E34" s="9" t="inlineStr">
        <is>
          <t>Belur &amp; Halebidu</t>
        </is>
      </c>
      <c r="F34" s="9" t="inlineStr">
        <is>
          <t>Hoysala temples (Chennakeshava, Hoysaleswara) - UNESCO</t>
        </is>
      </c>
      <c r="G34" s="9" t="inlineStr">
        <is>
          <t>UNESCO</t>
        </is>
      </c>
      <c r="H34" s="9" t="inlineStr"/>
      <c r="I34" s="9">
        <f>IF(COUNTIF('Country Summary'!$B$5:$B$200,C34)&gt;0,"Yes","")</f>
        <v/>
      </c>
      <c r="J34" s="9" t="inlineStr"/>
    </row>
    <row r="35">
      <c r="A35" s="9" t="n">
        <v>31</v>
      </c>
      <c r="B35" s="23" t="inlineStr">
        <is>
          <t>☐</t>
        </is>
      </c>
      <c r="C35" s="9" t="inlineStr">
        <is>
          <t>India</t>
        </is>
      </c>
      <c r="D35" s="9" t="inlineStr">
        <is>
          <t>Karnataka</t>
        </is>
      </c>
      <c r="E35" s="9" t="inlineStr">
        <is>
          <t>Somanathapura</t>
        </is>
      </c>
      <c r="F35" s="9" t="inlineStr">
        <is>
          <t>Keshava Temple - UNESCO (Hoysala)</t>
        </is>
      </c>
      <c r="G35" s="9" t="inlineStr">
        <is>
          <t>UNESCO</t>
        </is>
      </c>
      <c r="H35" s="9" t="inlineStr"/>
      <c r="I35" s="9">
        <f>IF(COUNTIF('Country Summary'!$B$5:$B$200,C35)&gt;0,"Yes","")</f>
        <v/>
      </c>
      <c r="J35" s="9" t="inlineStr"/>
    </row>
    <row r="36">
      <c r="A36" s="9" t="n">
        <v>32</v>
      </c>
      <c r="B36" s="23" t="inlineStr">
        <is>
          <t>☐</t>
        </is>
      </c>
      <c r="C36" s="9" t="inlineStr">
        <is>
          <t>India</t>
        </is>
      </c>
      <c r="D36" s="9" t="inlineStr">
        <is>
          <t>Karnataka</t>
        </is>
      </c>
      <c r="E36" s="9" t="inlineStr">
        <is>
          <t>Shravanabelagola</t>
        </is>
      </c>
      <c r="F36" s="9" t="inlineStr">
        <is>
          <t>Gomateshwara (Bahubali) statue</t>
        </is>
      </c>
      <c r="G36" s="9" t="inlineStr">
        <is>
          <t>Monument</t>
        </is>
      </c>
      <c r="H36" s="9" t="inlineStr"/>
      <c r="I36" s="9">
        <f>IF(COUNTIF('Country Summary'!$B$5:$B$200,C36)&gt;0,"Yes","")</f>
        <v/>
      </c>
      <c r="J36" s="9" t="inlineStr"/>
    </row>
    <row r="37">
      <c r="A37" s="9" t="n">
        <v>33</v>
      </c>
      <c r="B37" s="23" t="inlineStr">
        <is>
          <t>☑</t>
        </is>
      </c>
      <c r="C37" s="9" t="inlineStr">
        <is>
          <t>India</t>
        </is>
      </c>
      <c r="D37" s="9" t="inlineStr">
        <is>
          <t>Karnataka</t>
        </is>
      </c>
      <c r="E37" s="9" t="inlineStr">
        <is>
          <t>Udupi</t>
        </is>
      </c>
      <c r="F37" s="9" t="inlineStr">
        <is>
          <t>Sri Krishna Matha (Kanakana Kindi)</t>
        </is>
      </c>
      <c r="G37" s="9" t="inlineStr">
        <is>
          <t>Temple</t>
        </is>
      </c>
      <c r="H37" s="9" t="inlineStr"/>
      <c r="I37" s="9">
        <f>IF(COUNTIF('Country Summary'!$B$5:$B$200,C37)&gt;0,"Yes","")</f>
        <v/>
      </c>
      <c r="J37" s="9" t="inlineStr"/>
    </row>
    <row r="38">
      <c r="A38" s="9" t="n">
        <v>34</v>
      </c>
      <c r="B38" s="23" t="inlineStr">
        <is>
          <t>☐</t>
        </is>
      </c>
      <c r="C38" s="9" t="inlineStr">
        <is>
          <t>India</t>
        </is>
      </c>
      <c r="D38" s="9" t="inlineStr">
        <is>
          <t>Karnataka</t>
        </is>
      </c>
      <c r="E38" s="9" t="inlineStr">
        <is>
          <t>Kollur / Dharmasthala / Kukke</t>
        </is>
      </c>
      <c r="F38" s="9" t="inlineStr">
        <is>
          <t>Mookambika, Manjunatha, Subrahmanya</t>
        </is>
      </c>
      <c r="G38" s="9" t="inlineStr">
        <is>
          <t>Temple</t>
        </is>
      </c>
      <c r="H38" s="9" t="inlineStr">
        <is>
          <t>Likely</t>
        </is>
      </c>
      <c r="I38" s="9">
        <f>IF(COUNTIF('Country Summary'!$B$5:$B$200,C38)&gt;0,"Yes","")</f>
        <v/>
      </c>
      <c r="J38" s="9" t="inlineStr"/>
    </row>
    <row r="39">
      <c r="A39" s="9" t="n">
        <v>35</v>
      </c>
      <c r="B39" s="23" t="inlineStr">
        <is>
          <t>☑</t>
        </is>
      </c>
      <c r="C39" s="9" t="inlineStr">
        <is>
          <t>India</t>
        </is>
      </c>
      <c r="D39" s="9" t="inlineStr">
        <is>
          <t>Karnataka</t>
        </is>
      </c>
      <c r="E39" s="9" t="inlineStr">
        <is>
          <t>Gokarna</t>
        </is>
      </c>
      <c r="F39" s="9" t="inlineStr">
        <is>
          <t>Mahabaleshwar Temple (Atmalinga)</t>
        </is>
      </c>
      <c r="G39" s="9" t="inlineStr">
        <is>
          <t>Temple</t>
        </is>
      </c>
      <c r="H39" s="9" t="inlineStr"/>
      <c r="I39" s="9">
        <f>IF(COUNTIF('Country Summary'!$B$5:$B$200,C39)&gt;0,"Yes","")</f>
        <v/>
      </c>
      <c r="J39" s="9" t="inlineStr"/>
    </row>
    <row r="40">
      <c r="A40" s="9" t="n">
        <v>36</v>
      </c>
      <c r="B40" s="23" t="inlineStr">
        <is>
          <t>☑</t>
        </is>
      </c>
      <c r="C40" s="9" t="inlineStr">
        <is>
          <t>India</t>
        </is>
      </c>
      <c r="D40" s="9" t="inlineStr">
        <is>
          <t>Karnataka</t>
        </is>
      </c>
      <c r="E40" s="9" t="inlineStr">
        <is>
          <t>Murudeshwar</t>
        </is>
      </c>
      <c r="F40" s="9" t="inlineStr">
        <is>
          <t>Giant Shiva statue &amp; temple</t>
        </is>
      </c>
      <c r="G40" s="9" t="inlineStr">
        <is>
          <t>Temple</t>
        </is>
      </c>
      <c r="H40" s="9" t="inlineStr"/>
      <c r="I40" s="9">
        <f>IF(COUNTIF('Country Summary'!$B$5:$B$200,C40)&gt;0,"Yes","")</f>
        <v/>
      </c>
      <c r="J40" s="9" t="inlineStr"/>
    </row>
    <row r="41">
      <c r="A41" s="9" t="n">
        <v>37</v>
      </c>
      <c r="B41" s="23" t="inlineStr">
        <is>
          <t>☐</t>
        </is>
      </c>
      <c r="C41" s="9" t="inlineStr">
        <is>
          <t>India</t>
        </is>
      </c>
      <c r="D41" s="9" t="inlineStr">
        <is>
          <t>Karnataka</t>
        </is>
      </c>
      <c r="E41" s="9" t="inlineStr">
        <is>
          <t>Coorg</t>
        </is>
      </c>
      <c r="F41" s="9" t="inlineStr">
        <is>
          <t>Talakaveri, Bylakuppe Golden Temple</t>
        </is>
      </c>
      <c r="G41" s="9" t="inlineStr">
        <is>
          <t>Nature</t>
        </is>
      </c>
      <c r="H41" s="9" t="inlineStr">
        <is>
          <t>Likely</t>
        </is>
      </c>
      <c r="I41" s="9">
        <f>IF(COUNTIF('Country Summary'!$B$5:$B$200,C41)&gt;0,"Yes","")</f>
        <v/>
      </c>
      <c r="J41" s="9" t="inlineStr"/>
    </row>
    <row r="42">
      <c r="A42" s="9" t="n">
        <v>38</v>
      </c>
      <c r="B42" s="23" t="inlineStr">
        <is>
          <t>☐</t>
        </is>
      </c>
      <c r="C42" s="9" t="inlineStr">
        <is>
          <t>India</t>
        </is>
      </c>
      <c r="D42" s="9" t="inlineStr">
        <is>
          <t>Karnataka</t>
        </is>
      </c>
      <c r="E42" s="9" t="inlineStr">
        <is>
          <t>Chikkamagaluru</t>
        </is>
      </c>
      <c r="F42" s="9" t="inlineStr">
        <is>
          <t>Sringeri Sharada Peetham, Horanadu</t>
        </is>
      </c>
      <c r="G42" s="9" t="inlineStr">
        <is>
          <t>Temple</t>
        </is>
      </c>
      <c r="H42" s="9" t="inlineStr">
        <is>
          <t>Likely</t>
        </is>
      </c>
      <c r="I42" s="9">
        <f>IF(COUNTIF('Country Summary'!$B$5:$B$200,C42)&gt;0,"Yes","")</f>
        <v/>
      </c>
      <c r="J42" s="9" t="inlineStr"/>
    </row>
    <row r="43">
      <c r="A43" s="9" t="n">
        <v>39</v>
      </c>
      <c r="B43" s="23" t="inlineStr">
        <is>
          <t>☐</t>
        </is>
      </c>
      <c r="C43" s="9" t="inlineStr">
        <is>
          <t>India</t>
        </is>
      </c>
      <c r="D43" s="9" t="inlineStr">
        <is>
          <t>Karnataka</t>
        </is>
      </c>
      <c r="E43" s="9" t="inlineStr">
        <is>
          <t>Yana</t>
        </is>
      </c>
      <c r="F43" s="9" t="inlineStr">
        <is>
          <t>Yana caves</t>
        </is>
      </c>
      <c r="G43" s="9" t="inlineStr">
        <is>
          <t>Nature</t>
        </is>
      </c>
      <c r="H43" s="9" t="inlineStr">
        <is>
          <t>Likely</t>
        </is>
      </c>
      <c r="I43" s="9">
        <f>IF(COUNTIF('Country Summary'!$B$5:$B$200,C43)&gt;0,"Yes","")</f>
        <v/>
      </c>
      <c r="J43" s="9" t="inlineStr"/>
    </row>
    <row r="44">
      <c r="A44" s="9" t="n">
        <v>40</v>
      </c>
      <c r="B44" s="23" t="inlineStr">
        <is>
          <t>☐</t>
        </is>
      </c>
      <c r="C44" s="9" t="inlineStr">
        <is>
          <t>India</t>
        </is>
      </c>
      <c r="D44" s="9" t="inlineStr">
        <is>
          <t>Karnataka</t>
        </is>
      </c>
      <c r="E44" s="9" t="inlineStr">
        <is>
          <t>Bijapur (Vijayapura)</t>
        </is>
      </c>
      <c r="F44" s="9" t="inlineStr">
        <is>
          <t>Gol Gumbaz</t>
        </is>
      </c>
      <c r="G44" s="9" t="inlineStr">
        <is>
          <t>Monument</t>
        </is>
      </c>
      <c r="H44" s="9" t="inlineStr"/>
      <c r="I44" s="9">
        <f>IF(COUNTIF('Country Summary'!$B$5:$B$200,C44)&gt;0,"Yes","")</f>
        <v/>
      </c>
      <c r="J44" s="9" t="inlineStr"/>
    </row>
    <row r="45">
      <c r="A45" s="9" t="n">
        <v>41</v>
      </c>
      <c r="B45" s="23" t="inlineStr">
        <is>
          <t>☑</t>
        </is>
      </c>
      <c r="C45" s="9" t="inlineStr">
        <is>
          <t>India</t>
        </is>
      </c>
      <c r="D45" s="9" t="inlineStr">
        <is>
          <t>Tamil Nadu</t>
        </is>
      </c>
      <c r="E45" s="9" t="inlineStr">
        <is>
          <t>Chennai</t>
        </is>
      </c>
      <c r="F45" s="9" t="inlineStr">
        <is>
          <t>ISKCON Chennai (Sholinganallur); Kapaleeshwarar; Parthasarathy</t>
        </is>
      </c>
      <c r="G45" s="9" t="inlineStr">
        <is>
          <t>Temple</t>
        </is>
      </c>
      <c r="H45" s="9" t="inlineStr"/>
      <c r="I45" s="9">
        <f>IF(COUNTIF('Country Summary'!$B$5:$B$200,C45)&gt;0,"Yes","")</f>
        <v/>
      </c>
      <c r="J45" s="9" t="inlineStr"/>
    </row>
    <row r="46">
      <c r="A46" s="9" t="n">
        <v>42</v>
      </c>
      <c r="B46" s="23" t="inlineStr">
        <is>
          <t>☐</t>
        </is>
      </c>
      <c r="C46" s="9" t="inlineStr">
        <is>
          <t>India</t>
        </is>
      </c>
      <c r="D46" s="9" t="inlineStr">
        <is>
          <t>Tamil Nadu</t>
        </is>
      </c>
      <c r="E46" s="9" t="inlineStr">
        <is>
          <t>Mahabalipuram</t>
        </is>
      </c>
      <c r="F46" s="9" t="inlineStr">
        <is>
          <t>Shore Temple, Pancha Rathas - UNESCO</t>
        </is>
      </c>
      <c r="G46" s="9" t="inlineStr">
        <is>
          <t>UNESCO</t>
        </is>
      </c>
      <c r="H46" s="9" t="inlineStr"/>
      <c r="I46" s="9">
        <f>IF(COUNTIF('Country Summary'!$B$5:$B$200,C46)&gt;0,"Yes","")</f>
        <v/>
      </c>
      <c r="J46" s="9" t="inlineStr"/>
    </row>
    <row r="47">
      <c r="A47" s="9" t="n">
        <v>43</v>
      </c>
      <c r="B47" s="23" t="inlineStr">
        <is>
          <t>☑</t>
        </is>
      </c>
      <c r="C47" s="9" t="inlineStr">
        <is>
          <t>India</t>
        </is>
      </c>
      <c r="D47" s="9" t="inlineStr">
        <is>
          <t>Tamil Nadu</t>
        </is>
      </c>
      <c r="E47" s="9" t="inlineStr">
        <is>
          <t>Kanchipuram</t>
        </is>
      </c>
      <c r="F47" s="9" t="inlineStr">
        <is>
          <t>Varadaraja Perumal, Ekambareswarar, Kamakshi</t>
        </is>
      </c>
      <c r="G47" s="9" t="inlineStr">
        <is>
          <t>Temple</t>
        </is>
      </c>
      <c r="H47" s="9" t="inlineStr"/>
      <c r="I47" s="9">
        <f>IF(COUNTIF('Country Summary'!$B$5:$B$200,C47)&gt;0,"Yes","")</f>
        <v/>
      </c>
      <c r="J47" s="9" t="inlineStr"/>
    </row>
    <row r="48">
      <c r="A48" s="9" t="n">
        <v>44</v>
      </c>
      <c r="B48" s="23" t="inlineStr">
        <is>
          <t>☑</t>
        </is>
      </c>
      <c r="C48" s="9" t="inlineStr">
        <is>
          <t>India</t>
        </is>
      </c>
      <c r="D48" s="9" t="inlineStr">
        <is>
          <t>Tamil Nadu</t>
        </is>
      </c>
      <c r="E48" s="9" t="inlineStr">
        <is>
          <t>Srirangam</t>
        </is>
      </c>
      <c r="F48" s="9" t="inlineStr">
        <is>
          <t>Sri Ranganathaswamy Temple (largest functioning temple)</t>
        </is>
      </c>
      <c r="G48" s="9" t="inlineStr">
        <is>
          <t>Temple</t>
        </is>
      </c>
      <c r="H48" s="9" t="inlineStr"/>
      <c r="I48" s="9">
        <f>IF(COUNTIF('Country Summary'!$B$5:$B$200,C48)&gt;0,"Yes","")</f>
        <v/>
      </c>
      <c r="J48" s="9" t="inlineStr"/>
    </row>
    <row r="49">
      <c r="A49" s="9" t="n">
        <v>45</v>
      </c>
      <c r="B49" s="23" t="inlineStr">
        <is>
          <t>☐</t>
        </is>
      </c>
      <c r="C49" s="9" t="inlineStr">
        <is>
          <t>India</t>
        </is>
      </c>
      <c r="D49" s="9" t="inlineStr">
        <is>
          <t>Tamil Nadu</t>
        </is>
      </c>
      <c r="E49" s="9" t="inlineStr">
        <is>
          <t>Thanjavur</t>
        </is>
      </c>
      <c r="F49" s="9" t="inlineStr">
        <is>
          <t>Brihadeeswara Temple - UNESCO (Great Living Chola Temples)</t>
        </is>
      </c>
      <c r="G49" s="9" t="inlineStr">
        <is>
          <t>UNESCO</t>
        </is>
      </c>
      <c r="H49" s="9" t="inlineStr"/>
      <c r="I49" s="9">
        <f>IF(COUNTIF('Country Summary'!$B$5:$B$200,C49)&gt;0,"Yes","")</f>
        <v/>
      </c>
      <c r="J49" s="9" t="inlineStr"/>
    </row>
    <row r="50">
      <c r="A50" s="9" t="n">
        <v>46</v>
      </c>
      <c r="B50" s="23" t="inlineStr">
        <is>
          <t>☐</t>
        </is>
      </c>
      <c r="C50" s="9" t="inlineStr">
        <is>
          <t>India</t>
        </is>
      </c>
      <c r="D50" s="9" t="inlineStr">
        <is>
          <t>Tamil Nadu</t>
        </is>
      </c>
      <c r="E50" s="9" t="inlineStr">
        <is>
          <t>Gangaikonda Cholapuram / Darasuram</t>
        </is>
      </c>
      <c r="F50" s="9" t="inlineStr">
        <is>
          <t>Chola temples - UNESCO</t>
        </is>
      </c>
      <c r="G50" s="9" t="inlineStr">
        <is>
          <t>UNESCO</t>
        </is>
      </c>
      <c r="H50" s="9" t="inlineStr"/>
      <c r="I50" s="9">
        <f>IF(COUNTIF('Country Summary'!$B$5:$B$200,C50)&gt;0,"Yes","")</f>
        <v/>
      </c>
      <c r="J50" s="9" t="inlineStr"/>
    </row>
    <row r="51">
      <c r="A51" s="9" t="n">
        <v>47</v>
      </c>
      <c r="B51" s="23" t="inlineStr">
        <is>
          <t>☐</t>
        </is>
      </c>
      <c r="C51" s="9" t="inlineStr">
        <is>
          <t>India</t>
        </is>
      </c>
      <c r="D51" s="9" t="inlineStr">
        <is>
          <t>Tamil Nadu</t>
        </is>
      </c>
      <c r="E51" s="9" t="inlineStr">
        <is>
          <t>Chidambaram</t>
        </is>
      </c>
      <c r="F51" s="9" t="inlineStr">
        <is>
          <t>Nataraja Temple</t>
        </is>
      </c>
      <c r="G51" s="9" t="inlineStr">
        <is>
          <t>Temple</t>
        </is>
      </c>
      <c r="H51" s="9" t="inlineStr"/>
      <c r="I51" s="9">
        <f>IF(COUNTIF('Country Summary'!$B$5:$B$200,C51)&gt;0,"Yes","")</f>
        <v/>
      </c>
      <c r="J51" s="9" t="inlineStr"/>
    </row>
    <row r="52">
      <c r="A52" s="9" t="n">
        <v>48</v>
      </c>
      <c r="B52" s="23" t="inlineStr">
        <is>
          <t>☑</t>
        </is>
      </c>
      <c r="C52" s="9" t="inlineStr">
        <is>
          <t>India</t>
        </is>
      </c>
      <c r="D52" s="9" t="inlineStr">
        <is>
          <t>Tamil Nadu</t>
        </is>
      </c>
      <c r="E52" s="9" t="inlineStr">
        <is>
          <t>Madurai</t>
        </is>
      </c>
      <c r="F52" s="9" t="inlineStr">
        <is>
          <t>Meenakshi Amman Temple</t>
        </is>
      </c>
      <c r="G52" s="9" t="inlineStr">
        <is>
          <t>Temple</t>
        </is>
      </c>
      <c r="H52" s="9" t="inlineStr"/>
      <c r="I52" s="9">
        <f>IF(COUNTIF('Country Summary'!$B$5:$B$200,C52)&gt;0,"Yes","")</f>
        <v/>
      </c>
      <c r="J52" s="9" t="inlineStr"/>
    </row>
    <row r="53">
      <c r="A53" s="9" t="n">
        <v>49</v>
      </c>
      <c r="B53" s="23" t="inlineStr">
        <is>
          <t>☑</t>
        </is>
      </c>
      <c r="C53" s="9" t="inlineStr">
        <is>
          <t>India</t>
        </is>
      </c>
      <c r="D53" s="9" t="inlineStr">
        <is>
          <t>Tamil Nadu</t>
        </is>
      </c>
      <c r="E53" s="9" t="inlineStr">
        <is>
          <t>Rameswaram</t>
        </is>
      </c>
      <c r="F53" s="9" t="inlineStr">
        <is>
          <t>Ramanathaswamy Temple &amp; Dhanushkodi</t>
        </is>
      </c>
      <c r="G53" s="9" t="inlineStr">
        <is>
          <t>Temple</t>
        </is>
      </c>
      <c r="H53" s="9" t="inlineStr"/>
      <c r="I53" s="9">
        <f>IF(COUNTIF('Country Summary'!$B$5:$B$200,C53)&gt;0,"Yes","")</f>
        <v/>
      </c>
      <c r="J53" s="9" t="inlineStr"/>
    </row>
    <row r="54">
      <c r="A54" s="9" t="n">
        <v>50</v>
      </c>
      <c r="B54" s="23" t="inlineStr">
        <is>
          <t>☐</t>
        </is>
      </c>
      <c r="C54" s="9" t="inlineStr">
        <is>
          <t>India</t>
        </is>
      </c>
      <c r="D54" s="9" t="inlineStr">
        <is>
          <t>Tamil Nadu</t>
        </is>
      </c>
      <c r="E54" s="9" t="inlineStr">
        <is>
          <t>Kanyakumari</t>
        </is>
      </c>
      <c r="F54" s="9" t="inlineStr">
        <is>
          <t>Vivekananda Rock, Thiruvalluvar statue, Devi temple</t>
        </is>
      </c>
      <c r="G54" s="9" t="inlineStr">
        <is>
          <t>Monument</t>
        </is>
      </c>
      <c r="H54" s="9" t="inlineStr"/>
      <c r="I54" s="9">
        <f>IF(COUNTIF('Country Summary'!$B$5:$B$200,C54)&gt;0,"Yes","")</f>
        <v/>
      </c>
      <c r="J54" s="9" t="inlineStr"/>
    </row>
    <row r="55">
      <c r="A55" s="9" t="n">
        <v>51</v>
      </c>
      <c r="B55" s="23" t="inlineStr">
        <is>
          <t>☐</t>
        </is>
      </c>
      <c r="C55" s="9" t="inlineStr">
        <is>
          <t>India</t>
        </is>
      </c>
      <c r="D55" s="9" t="inlineStr">
        <is>
          <t>Tamil Nadu</t>
        </is>
      </c>
      <c r="E55" s="9" t="inlineStr">
        <is>
          <t>Tiruvannamalai</t>
        </is>
      </c>
      <c r="F55" s="9" t="inlineStr">
        <is>
          <t>Arunachaleswarar &amp; Girivalam</t>
        </is>
      </c>
      <c r="G55" s="9" t="inlineStr">
        <is>
          <t>Temple</t>
        </is>
      </c>
      <c r="H55" s="9" t="inlineStr"/>
      <c r="I55" s="9">
        <f>IF(COUNTIF('Country Summary'!$B$5:$B$200,C55)&gt;0,"Yes","")</f>
        <v/>
      </c>
      <c r="J55" s="9" t="inlineStr"/>
    </row>
    <row r="56">
      <c r="A56" s="9" t="n">
        <v>52</v>
      </c>
      <c r="B56" s="23" t="inlineStr">
        <is>
          <t>☐</t>
        </is>
      </c>
      <c r="C56" s="9" t="inlineStr">
        <is>
          <t>India</t>
        </is>
      </c>
      <c r="D56" s="9" t="inlineStr">
        <is>
          <t>Tamil Nadu</t>
        </is>
      </c>
      <c r="E56" s="9" t="inlineStr">
        <is>
          <t>Tirunelveli / Thiruchendur</t>
        </is>
      </c>
      <c r="F56" s="9" t="inlineStr">
        <is>
          <t>Nellaiappar, Murugan (Arupadai veedu)</t>
        </is>
      </c>
      <c r="G56" s="9" t="inlineStr">
        <is>
          <t>Temple</t>
        </is>
      </c>
      <c r="H56" s="9" t="inlineStr"/>
      <c r="I56" s="9">
        <f>IF(COUNTIF('Country Summary'!$B$5:$B$200,C56)&gt;0,"Yes","")</f>
        <v/>
      </c>
      <c r="J56" s="9" t="inlineStr"/>
    </row>
    <row r="57">
      <c r="A57" s="9" t="n">
        <v>53</v>
      </c>
      <c r="B57" s="23" t="inlineStr">
        <is>
          <t>☐</t>
        </is>
      </c>
      <c r="C57" s="9" t="inlineStr">
        <is>
          <t>India</t>
        </is>
      </c>
      <c r="D57" s="9" t="inlineStr">
        <is>
          <t>Tamil Nadu</t>
        </is>
      </c>
      <c r="E57" s="9" t="inlineStr">
        <is>
          <t>Ooty / Kodaikanal</t>
        </is>
      </c>
      <c r="F57" s="9" t="inlineStr">
        <is>
          <t>Nilgiri Mountain Railway - UNESCO</t>
        </is>
      </c>
      <c r="G57" s="9" t="inlineStr">
        <is>
          <t>UNESCO</t>
        </is>
      </c>
      <c r="H57" s="9" t="inlineStr"/>
      <c r="I57" s="9">
        <f>IF(COUNTIF('Country Summary'!$B$5:$B$200,C57)&gt;0,"Yes","")</f>
        <v/>
      </c>
      <c r="J57" s="9" t="inlineStr"/>
    </row>
    <row r="58">
      <c r="A58" s="9" t="n">
        <v>54</v>
      </c>
      <c r="B58" s="23" t="inlineStr">
        <is>
          <t>☑</t>
        </is>
      </c>
      <c r="C58" s="9" t="inlineStr">
        <is>
          <t>India</t>
        </is>
      </c>
      <c r="D58" s="9" t="inlineStr">
        <is>
          <t>Kerala</t>
        </is>
      </c>
      <c r="E58" s="9" t="inlineStr">
        <is>
          <t>Guruvayur</t>
        </is>
      </c>
      <c r="F58" s="9" t="inlineStr">
        <is>
          <t>Guruvayur Sri Krishna Temple</t>
        </is>
      </c>
      <c r="G58" s="9" t="inlineStr">
        <is>
          <t>Temple</t>
        </is>
      </c>
      <c r="H58" s="9" t="inlineStr"/>
      <c r="I58" s="9">
        <f>IF(COUNTIF('Country Summary'!$B$5:$B$200,C58)&gt;0,"Yes","")</f>
        <v/>
      </c>
      <c r="J58" s="9" t="inlineStr"/>
    </row>
    <row r="59">
      <c r="A59" s="9" t="n">
        <v>55</v>
      </c>
      <c r="B59" s="23" t="inlineStr">
        <is>
          <t>☑</t>
        </is>
      </c>
      <c r="C59" s="9" t="inlineStr">
        <is>
          <t>India</t>
        </is>
      </c>
      <c r="D59" s="9" t="inlineStr">
        <is>
          <t>Kerala</t>
        </is>
      </c>
      <c r="E59" s="9" t="inlineStr">
        <is>
          <t>Thiruvananthapuram</t>
        </is>
      </c>
      <c r="F59" s="9" t="inlineStr">
        <is>
          <t>Sree Padmanabhaswamy Temple</t>
        </is>
      </c>
      <c r="G59" s="9" t="inlineStr">
        <is>
          <t>Temple</t>
        </is>
      </c>
      <c r="H59" s="9" t="inlineStr"/>
      <c r="I59" s="9">
        <f>IF(COUNTIF('Country Summary'!$B$5:$B$200,C59)&gt;0,"Yes","")</f>
        <v/>
      </c>
      <c r="J59" s="9" t="inlineStr"/>
    </row>
    <row r="60">
      <c r="A60" s="9" t="n">
        <v>56</v>
      </c>
      <c r="B60" s="23" t="inlineStr">
        <is>
          <t>☐</t>
        </is>
      </c>
      <c r="C60" s="9" t="inlineStr">
        <is>
          <t>India</t>
        </is>
      </c>
      <c r="D60" s="9" t="inlineStr">
        <is>
          <t>Kerala</t>
        </is>
      </c>
      <c r="E60" s="9" t="inlineStr">
        <is>
          <t>Sabarimala</t>
        </is>
      </c>
      <c r="F60" s="9" t="inlineStr">
        <is>
          <t>Ayyappa Temple</t>
        </is>
      </c>
      <c r="G60" s="9" t="inlineStr">
        <is>
          <t>Temple</t>
        </is>
      </c>
      <c r="H60" s="9" t="inlineStr"/>
      <c r="I60" s="9">
        <f>IF(COUNTIF('Country Summary'!$B$5:$B$200,C60)&gt;0,"Yes","")</f>
        <v/>
      </c>
      <c r="J60" s="9" t="inlineStr"/>
    </row>
    <row r="61">
      <c r="A61" s="9" t="n">
        <v>57</v>
      </c>
      <c r="B61" s="23" t="inlineStr">
        <is>
          <t>☐</t>
        </is>
      </c>
      <c r="C61" s="9" t="inlineStr">
        <is>
          <t>India</t>
        </is>
      </c>
      <c r="D61" s="9" t="inlineStr">
        <is>
          <t>Kerala</t>
        </is>
      </c>
      <c r="E61" s="9" t="inlineStr">
        <is>
          <t>Kochi</t>
        </is>
      </c>
      <c r="F61" s="9" t="inlineStr">
        <is>
          <t>Fort Kochi, Mattancherry, Chottanikkara</t>
        </is>
      </c>
      <c r="G61" s="9" t="inlineStr">
        <is>
          <t>Monument</t>
        </is>
      </c>
      <c r="H61" s="9" t="inlineStr"/>
      <c r="I61" s="9">
        <f>IF(COUNTIF('Country Summary'!$B$5:$B$200,C61)&gt;0,"Yes","")</f>
        <v/>
      </c>
      <c r="J61" s="9" t="inlineStr"/>
    </row>
    <row r="62">
      <c r="A62" s="9" t="n">
        <v>58</v>
      </c>
      <c r="B62" s="23" t="inlineStr">
        <is>
          <t>☐</t>
        </is>
      </c>
      <c r="C62" s="9" t="inlineStr">
        <is>
          <t>India</t>
        </is>
      </c>
      <c r="D62" s="9" t="inlineStr">
        <is>
          <t>Kerala</t>
        </is>
      </c>
      <c r="E62" s="9" t="inlineStr">
        <is>
          <t>Alappuzha / Kumarakom</t>
        </is>
      </c>
      <c r="F62" s="9" t="inlineStr">
        <is>
          <t>Backwaters houseboat</t>
        </is>
      </c>
      <c r="G62" s="9" t="inlineStr">
        <is>
          <t>Nature</t>
        </is>
      </c>
      <c r="H62" s="9" t="inlineStr"/>
      <c r="I62" s="9">
        <f>IF(COUNTIF('Country Summary'!$B$5:$B$200,C62)&gt;0,"Yes","")</f>
        <v/>
      </c>
      <c r="J62" s="9" t="inlineStr"/>
    </row>
    <row r="63">
      <c r="A63" s="9" t="n">
        <v>59</v>
      </c>
      <c r="B63" s="23" t="inlineStr">
        <is>
          <t>☐</t>
        </is>
      </c>
      <c r="C63" s="9" t="inlineStr">
        <is>
          <t>India</t>
        </is>
      </c>
      <c r="D63" s="9" t="inlineStr">
        <is>
          <t>Kerala</t>
        </is>
      </c>
      <c r="E63" s="9" t="inlineStr">
        <is>
          <t>Thrissur</t>
        </is>
      </c>
      <c r="F63" s="9" t="inlineStr">
        <is>
          <t>Vadakkunnathan &amp; Thrissur Pooram</t>
        </is>
      </c>
      <c r="G63" s="9" t="inlineStr">
        <is>
          <t>Festival</t>
        </is>
      </c>
      <c r="H63" s="9" t="inlineStr">
        <is>
          <t>Likely</t>
        </is>
      </c>
      <c r="I63" s="9">
        <f>IF(COUNTIF('Country Summary'!$B$5:$B$200,C63)&gt;0,"Yes","")</f>
        <v/>
      </c>
      <c r="J63" s="9" t="inlineStr"/>
    </row>
    <row r="64">
      <c r="A64" s="9" t="n">
        <v>60</v>
      </c>
      <c r="B64" s="23" t="inlineStr">
        <is>
          <t>☐</t>
        </is>
      </c>
      <c r="C64" s="9" t="inlineStr">
        <is>
          <t>India</t>
        </is>
      </c>
      <c r="D64" s="9" t="inlineStr">
        <is>
          <t>Kerala</t>
        </is>
      </c>
      <c r="E64" s="9" t="inlineStr">
        <is>
          <t>Ambalappuzha / Aranmula</t>
        </is>
      </c>
      <c r="F64" s="9" t="inlineStr">
        <is>
          <t>Sri Krishna temples</t>
        </is>
      </c>
      <c r="G64" s="9" t="inlineStr">
        <is>
          <t>Temple</t>
        </is>
      </c>
      <c r="H64" s="9" t="inlineStr"/>
      <c r="I64" s="9">
        <f>IF(COUNTIF('Country Summary'!$B$5:$B$200,C64)&gt;0,"Yes","")</f>
        <v/>
      </c>
      <c r="J64" s="9" t="inlineStr"/>
    </row>
    <row r="65">
      <c r="A65" s="9" t="n">
        <v>61</v>
      </c>
      <c r="B65" s="23" t="inlineStr">
        <is>
          <t>☐</t>
        </is>
      </c>
      <c r="C65" s="9" t="inlineStr">
        <is>
          <t>India</t>
        </is>
      </c>
      <c r="D65" s="9" t="inlineStr">
        <is>
          <t>Kerala</t>
        </is>
      </c>
      <c r="E65" s="9" t="inlineStr">
        <is>
          <t>Munnar</t>
        </is>
      </c>
      <c r="F65" s="9" t="inlineStr">
        <is>
          <t>Tea gardens, Eravikulam</t>
        </is>
      </c>
      <c r="G65" s="9" t="inlineStr">
        <is>
          <t>Nature</t>
        </is>
      </c>
      <c r="H65" s="9" t="inlineStr"/>
      <c r="I65" s="9">
        <f>IF(COUNTIF('Country Summary'!$B$5:$B$200,C65)&gt;0,"Yes","")</f>
        <v/>
      </c>
      <c r="J65" s="9" t="inlineStr"/>
    </row>
    <row r="66">
      <c r="A66" s="9" t="n">
        <v>62</v>
      </c>
      <c r="B66" s="23" t="inlineStr">
        <is>
          <t>☐</t>
        </is>
      </c>
      <c r="C66" s="9" t="inlineStr">
        <is>
          <t>India</t>
        </is>
      </c>
      <c r="D66" s="9" t="inlineStr">
        <is>
          <t>Kerala</t>
        </is>
      </c>
      <c r="E66" s="9" t="inlineStr">
        <is>
          <t>Kollam / Kanyakumari border</t>
        </is>
      </c>
      <c r="F66" s="9" t="inlineStr">
        <is>
          <t>Suchindram</t>
        </is>
      </c>
      <c r="G66" s="9" t="inlineStr">
        <is>
          <t>Temple</t>
        </is>
      </c>
      <c r="H66" s="9" t="inlineStr"/>
      <c r="I66" s="9">
        <f>IF(COUNTIF('Country Summary'!$B$5:$B$200,C66)&gt;0,"Yes","")</f>
        <v/>
      </c>
      <c r="J66" s="9" t="inlineStr"/>
    </row>
    <row r="67">
      <c r="A67" s="9" t="n">
        <v>63</v>
      </c>
      <c r="B67" s="23" t="inlineStr">
        <is>
          <t>☑</t>
        </is>
      </c>
      <c r="C67" s="9" t="inlineStr">
        <is>
          <t>India</t>
        </is>
      </c>
      <c r="D67" s="9" t="inlineStr">
        <is>
          <t>Maharashtra</t>
        </is>
      </c>
      <c r="E67" s="9" t="inlineStr">
        <is>
          <t>Mumbai</t>
        </is>
      </c>
      <c r="F67" s="9" t="inlineStr">
        <is>
          <t>ISKCON Juhu (Prabhupada samadhi) &amp; Chowpatty</t>
        </is>
      </c>
      <c r="G67" s="9" t="inlineStr">
        <is>
          <t>ISKCON</t>
        </is>
      </c>
      <c r="H67" s="9" t="inlineStr"/>
      <c r="I67" s="9">
        <f>IF(COUNTIF('Country Summary'!$B$5:$B$200,C67)&gt;0,"Yes","")</f>
        <v/>
      </c>
      <c r="J67" s="9" t="inlineStr"/>
    </row>
    <row r="68">
      <c r="A68" s="9" t="n">
        <v>64</v>
      </c>
      <c r="B68" s="23" t="inlineStr">
        <is>
          <t>☐</t>
        </is>
      </c>
      <c r="C68" s="9" t="inlineStr">
        <is>
          <t>India</t>
        </is>
      </c>
      <c r="D68" s="9" t="inlineStr">
        <is>
          <t>Maharashtra</t>
        </is>
      </c>
      <c r="E68" s="9" t="inlineStr">
        <is>
          <t>Mumbai</t>
        </is>
      </c>
      <c r="F68" s="9" t="inlineStr">
        <is>
          <t>Gateway of India, Elephanta Caves - UNESCO, CST - UNESCO</t>
        </is>
      </c>
      <c r="G68" s="9" t="inlineStr">
        <is>
          <t>UNESCO</t>
        </is>
      </c>
      <c r="H68" s="9" t="inlineStr"/>
      <c r="I68" s="9">
        <f>IF(COUNTIF('Country Summary'!$B$5:$B$200,C68)&gt;0,"Yes","")</f>
        <v/>
      </c>
      <c r="J68" s="9" t="inlineStr"/>
    </row>
    <row r="69">
      <c r="A69" s="9" t="n">
        <v>65</v>
      </c>
      <c r="B69" s="23" t="inlineStr">
        <is>
          <t>☐</t>
        </is>
      </c>
      <c r="C69" s="9" t="inlineStr">
        <is>
          <t>India</t>
        </is>
      </c>
      <c r="D69" s="9" t="inlineStr">
        <is>
          <t>Maharashtra</t>
        </is>
      </c>
      <c r="E69" s="9" t="inlineStr">
        <is>
          <t>Mumbai</t>
        </is>
      </c>
      <c r="F69" s="9" t="inlineStr">
        <is>
          <t>Siddhivinayak, Mahalakshmi, Babulnath, Mumba Devi</t>
        </is>
      </c>
      <c r="G69" s="9" t="inlineStr">
        <is>
          <t>Temple</t>
        </is>
      </c>
      <c r="H69" s="9" t="inlineStr"/>
      <c r="I69" s="9">
        <f>IF(COUNTIF('Country Summary'!$B$5:$B$200,C69)&gt;0,"Yes","")</f>
        <v/>
      </c>
      <c r="J69" s="9" t="inlineStr"/>
    </row>
    <row r="70">
      <c r="A70" s="9" t="n">
        <v>66</v>
      </c>
      <c r="B70" s="23" t="inlineStr">
        <is>
          <t>☐</t>
        </is>
      </c>
      <c r="C70" s="9" t="inlineStr">
        <is>
          <t>India</t>
        </is>
      </c>
      <c r="D70" s="9" t="inlineStr">
        <is>
          <t>Maharashtra</t>
        </is>
      </c>
      <c r="E70" s="9" t="inlineStr">
        <is>
          <t>Mumbai</t>
        </is>
      </c>
      <c r="F70" s="9" t="inlineStr">
        <is>
          <t>NMACC &amp; Jio World Centre (BKC)</t>
        </is>
      </c>
      <c r="G70" s="9" t="inlineStr">
        <is>
          <t>Modern</t>
        </is>
      </c>
      <c r="H70" s="9" t="inlineStr"/>
      <c r="I70" s="9">
        <f>IF(COUNTIF('Country Summary'!$B$5:$B$200,C70)&gt;0,"Yes","")</f>
        <v/>
      </c>
      <c r="J70" s="9" t="inlineStr"/>
    </row>
    <row r="71">
      <c r="A71" s="9" t="n">
        <v>67</v>
      </c>
      <c r="B71" s="23" t="inlineStr">
        <is>
          <t>☐</t>
        </is>
      </c>
      <c r="C71" s="9" t="inlineStr">
        <is>
          <t>India</t>
        </is>
      </c>
      <c r="D71" s="9" t="inlineStr">
        <is>
          <t>Maharashtra</t>
        </is>
      </c>
      <c r="E71" s="9" t="inlineStr">
        <is>
          <t>Pune</t>
        </is>
      </c>
      <c r="F71" s="9" t="inlineStr">
        <is>
          <t>ISKCON NVCC Katraj; Dagdusheth Ganapati</t>
        </is>
      </c>
      <c r="G71" s="9" t="inlineStr">
        <is>
          <t>ISKCON</t>
        </is>
      </c>
      <c r="H71" s="9" t="inlineStr"/>
      <c r="I71" s="9">
        <f>IF(COUNTIF('Country Summary'!$B$5:$B$200,C71)&gt;0,"Yes","")</f>
        <v/>
      </c>
      <c r="J71" s="9" t="inlineStr"/>
    </row>
    <row r="72">
      <c r="A72" s="9" t="n">
        <v>68</v>
      </c>
      <c r="B72" s="23" t="inlineStr">
        <is>
          <t>☑</t>
        </is>
      </c>
      <c r="C72" s="9" t="inlineStr">
        <is>
          <t>India</t>
        </is>
      </c>
      <c r="D72" s="9" t="inlineStr">
        <is>
          <t>Maharashtra</t>
        </is>
      </c>
      <c r="E72" s="9" t="inlineStr">
        <is>
          <t>Alandi / Dehu / Pandharpur</t>
        </is>
      </c>
      <c r="F72" s="9" t="inlineStr">
        <is>
          <t>Dnyaneshwar, Tukaram, Vitthal-Rukmini (Ashadhi Ekadashi)</t>
        </is>
      </c>
      <c r="G72" s="9" t="inlineStr">
        <is>
          <t>Temple</t>
        </is>
      </c>
      <c r="H72" s="9" t="inlineStr"/>
      <c r="I72" s="9">
        <f>IF(COUNTIF('Country Summary'!$B$5:$B$200,C72)&gt;0,"Yes","")</f>
        <v/>
      </c>
      <c r="J72" s="9" t="inlineStr"/>
    </row>
    <row r="73">
      <c r="A73" s="9" t="n">
        <v>69</v>
      </c>
      <c r="B73" s="23" t="inlineStr">
        <is>
          <t>☐</t>
        </is>
      </c>
      <c r="C73" s="9" t="inlineStr">
        <is>
          <t>India</t>
        </is>
      </c>
      <c r="D73" s="9" t="inlineStr">
        <is>
          <t>Maharashtra</t>
        </is>
      </c>
      <c r="E73" s="9" t="inlineStr">
        <is>
          <t>Aurangabad</t>
        </is>
      </c>
      <c r="F73" s="9" t="inlineStr">
        <is>
          <t>Ajanta &amp; Ellora caves (Kailasa temple) - UNESCO</t>
        </is>
      </c>
      <c r="G73" s="9" t="inlineStr">
        <is>
          <t>UNESCO</t>
        </is>
      </c>
      <c r="H73" s="9" t="inlineStr"/>
      <c r="I73" s="9">
        <f>IF(COUNTIF('Country Summary'!$B$5:$B$200,C73)&gt;0,"Yes","")</f>
        <v/>
      </c>
      <c r="J73" s="9" t="inlineStr"/>
    </row>
    <row r="74">
      <c r="A74" s="9" t="n">
        <v>70</v>
      </c>
      <c r="B74" s="23" t="inlineStr">
        <is>
          <t>☐</t>
        </is>
      </c>
      <c r="C74" s="9" t="inlineStr">
        <is>
          <t>India</t>
        </is>
      </c>
      <c r="D74" s="9" t="inlineStr">
        <is>
          <t>Maharashtra</t>
        </is>
      </c>
      <c r="E74" s="9" t="inlineStr">
        <is>
          <t>Nashik / Trimbakeshwar</t>
        </is>
      </c>
      <c r="F74" s="9" t="inlineStr">
        <is>
          <t>Panchavati, Trimbakeshwar Jyotirlinga, Kumbh</t>
        </is>
      </c>
      <c r="G74" s="9" t="inlineStr">
        <is>
          <t>Temple</t>
        </is>
      </c>
      <c r="H74" s="9" t="inlineStr"/>
      <c r="I74" s="9">
        <f>IF(COUNTIF('Country Summary'!$B$5:$B$200,C74)&gt;0,"Yes","")</f>
        <v/>
      </c>
      <c r="J74" s="9" t="inlineStr"/>
    </row>
    <row r="75">
      <c r="A75" s="9" t="n">
        <v>71</v>
      </c>
      <c r="B75" s="23" t="inlineStr">
        <is>
          <t>☐</t>
        </is>
      </c>
      <c r="C75" s="9" t="inlineStr">
        <is>
          <t>India</t>
        </is>
      </c>
      <c r="D75" s="9" t="inlineStr">
        <is>
          <t>Maharashtra</t>
        </is>
      </c>
      <c r="E75" s="9" t="inlineStr">
        <is>
          <t>Shirdi / Shani Shingnapur</t>
        </is>
      </c>
      <c r="F75" s="9" t="inlineStr">
        <is>
          <t>Sai Baba samadhi</t>
        </is>
      </c>
      <c r="G75" s="9" t="inlineStr">
        <is>
          <t>Temple</t>
        </is>
      </c>
      <c r="H75" s="9" t="inlineStr"/>
      <c r="I75" s="9">
        <f>IF(COUNTIF('Country Summary'!$B$5:$B$200,C75)&gt;0,"Yes","")</f>
        <v/>
      </c>
      <c r="J75" s="9" t="inlineStr"/>
    </row>
    <row r="76">
      <c r="A76" s="9" t="n">
        <v>72</v>
      </c>
      <c r="B76" s="23" t="inlineStr">
        <is>
          <t>☐</t>
        </is>
      </c>
      <c r="C76" s="9" t="inlineStr">
        <is>
          <t>India</t>
        </is>
      </c>
      <c r="D76" s="9" t="inlineStr">
        <is>
          <t>Maharashtra</t>
        </is>
      </c>
      <c r="E76" s="9" t="inlineStr">
        <is>
          <t>Jyotirlingas</t>
        </is>
      </c>
      <c r="F76" s="9" t="inlineStr">
        <is>
          <t>Bhimashankar, Grishneshwar, Aundha Nagnath, Parli Vaijnath</t>
        </is>
      </c>
      <c r="G76" s="9" t="inlineStr">
        <is>
          <t>Temple</t>
        </is>
      </c>
      <c r="H76" s="9" t="inlineStr"/>
      <c r="I76" s="9">
        <f>IF(COUNTIF('Country Summary'!$B$5:$B$200,C76)&gt;0,"Yes","")</f>
        <v/>
      </c>
      <c r="J76" s="9" t="inlineStr"/>
    </row>
    <row r="77">
      <c r="A77" s="9" t="n">
        <v>73</v>
      </c>
      <c r="B77" s="23" t="inlineStr">
        <is>
          <t>☐</t>
        </is>
      </c>
      <c r="C77" s="9" t="inlineStr">
        <is>
          <t>India</t>
        </is>
      </c>
      <c r="D77" s="9" t="inlineStr">
        <is>
          <t>Maharashtra</t>
        </is>
      </c>
      <c r="E77" s="9" t="inlineStr">
        <is>
          <t>Kolhapur / Tuljapur</t>
        </is>
      </c>
      <c r="F77" s="9" t="inlineStr">
        <is>
          <t>Mahalakshmi, Tulja Bhavani</t>
        </is>
      </c>
      <c r="G77" s="9" t="inlineStr">
        <is>
          <t>Temple</t>
        </is>
      </c>
      <c r="H77" s="9" t="inlineStr"/>
      <c r="I77" s="9">
        <f>IF(COUNTIF('Country Summary'!$B$5:$B$200,C77)&gt;0,"Yes","")</f>
        <v/>
      </c>
      <c r="J77" s="9" t="inlineStr"/>
    </row>
    <row r="78">
      <c r="A78" s="9" t="n">
        <v>74</v>
      </c>
      <c r="B78" s="23" t="inlineStr">
        <is>
          <t>☐</t>
        </is>
      </c>
      <c r="C78" s="9" t="inlineStr">
        <is>
          <t>India</t>
        </is>
      </c>
      <c r="D78" s="9" t="inlineStr">
        <is>
          <t>Goa</t>
        </is>
      </c>
      <c r="E78" s="9" t="inlineStr">
        <is>
          <t>Goa</t>
        </is>
      </c>
      <c r="F78" s="9" t="inlineStr">
        <is>
          <t>Basilica of Bom Jesus &amp; Old Goa churches - UNESCO; Mangeshi</t>
        </is>
      </c>
      <c r="G78" s="9" t="inlineStr">
        <is>
          <t>UNESCO</t>
        </is>
      </c>
      <c r="H78" s="9" t="inlineStr"/>
      <c r="I78" s="9">
        <f>IF(COUNTIF('Country Summary'!$B$5:$B$200,C78)&gt;0,"Yes","")</f>
        <v/>
      </c>
      <c r="J78" s="9" t="inlineStr"/>
    </row>
    <row r="79">
      <c r="A79" s="9" t="n">
        <v>75</v>
      </c>
      <c r="B79" s="23" t="inlineStr">
        <is>
          <t>☑</t>
        </is>
      </c>
      <c r="C79" s="9" t="inlineStr">
        <is>
          <t>India</t>
        </is>
      </c>
      <c r="D79" s="9" t="inlineStr">
        <is>
          <t>Gujarat</t>
        </is>
      </c>
      <c r="E79" s="9" t="inlineStr">
        <is>
          <t>Diu</t>
        </is>
      </c>
      <c r="F79" s="9" t="inlineStr">
        <is>
          <t>Diu fort &amp; beaches, Gangeshwar Mahadev</t>
        </is>
      </c>
      <c r="G79" s="9" t="inlineStr">
        <is>
          <t>Sightseeing</t>
        </is>
      </c>
      <c r="H79" s="9" t="inlineStr"/>
      <c r="I79" s="9">
        <f>IF(COUNTIF('Country Summary'!$B$5:$B$200,C79)&gt;0,"Yes","")</f>
        <v/>
      </c>
      <c r="J79" s="9" t="inlineStr"/>
    </row>
    <row r="80">
      <c r="A80" s="9" t="n">
        <v>76</v>
      </c>
      <c r="B80" s="23" t="inlineStr">
        <is>
          <t>☑</t>
        </is>
      </c>
      <c r="C80" s="9" t="inlineStr">
        <is>
          <t>India</t>
        </is>
      </c>
      <c r="D80" s="9" t="inlineStr">
        <is>
          <t>Gujarat</t>
        </is>
      </c>
      <c r="E80" s="9" t="inlineStr">
        <is>
          <t>Dwarka</t>
        </is>
      </c>
      <c r="F80" s="9" t="inlineStr">
        <is>
          <t>Dwarkadhish Temple, Bet Dwarka, Nageshwar Jyotirlinga</t>
        </is>
      </c>
      <c r="G80" s="9" t="inlineStr">
        <is>
          <t>Temple</t>
        </is>
      </c>
      <c r="H80" s="9" t="inlineStr"/>
      <c r="I80" s="9">
        <f>IF(COUNTIF('Country Summary'!$B$5:$B$200,C80)&gt;0,"Yes","")</f>
        <v/>
      </c>
      <c r="J80" s="9" t="inlineStr"/>
    </row>
    <row r="81">
      <c r="A81" s="9" t="n">
        <v>77</v>
      </c>
      <c r="B81" s="23" t="inlineStr">
        <is>
          <t>☑</t>
        </is>
      </c>
      <c r="C81" s="9" t="inlineStr">
        <is>
          <t>India</t>
        </is>
      </c>
      <c r="D81" s="9" t="inlineStr">
        <is>
          <t>Gujarat</t>
        </is>
      </c>
      <c r="E81" s="9" t="inlineStr">
        <is>
          <t>Somnath</t>
        </is>
      </c>
      <c r="F81" s="9" t="inlineStr">
        <is>
          <t>Somnath Jyotirlinga, Bhalka Tirth, Prabhas Patan</t>
        </is>
      </c>
      <c r="G81" s="9" t="inlineStr">
        <is>
          <t>Temple</t>
        </is>
      </c>
      <c r="H81" s="9" t="inlineStr"/>
      <c r="I81" s="9">
        <f>IF(COUNTIF('Country Summary'!$B$5:$B$200,C81)&gt;0,"Yes","")</f>
        <v/>
      </c>
      <c r="J81" s="9" t="inlineStr"/>
    </row>
    <row r="82">
      <c r="A82" s="9" t="n">
        <v>78</v>
      </c>
      <c r="B82" s="23" t="inlineStr">
        <is>
          <t>☑</t>
        </is>
      </c>
      <c r="C82" s="9" t="inlineStr">
        <is>
          <t>India</t>
        </is>
      </c>
      <c r="D82" s="9" t="inlineStr">
        <is>
          <t>Gujarat</t>
        </is>
      </c>
      <c r="E82" s="9" t="inlineStr">
        <is>
          <t>Ahmedabad</t>
        </is>
      </c>
      <c r="F82" s="9" t="inlineStr">
        <is>
          <t>ISKCON Ahmedabad; Sabarmati Ashram; Adalaj stepwell; UNESCO city</t>
        </is>
      </c>
      <c r="G82" s="9" t="inlineStr">
        <is>
          <t>UNESCO</t>
        </is>
      </c>
      <c r="H82" s="9" t="inlineStr"/>
      <c r="I82" s="9">
        <f>IF(COUNTIF('Country Summary'!$B$5:$B$200,C82)&gt;0,"Yes","")</f>
        <v/>
      </c>
      <c r="J82" s="9" t="inlineStr"/>
    </row>
    <row r="83">
      <c r="A83" s="9" t="n">
        <v>79</v>
      </c>
      <c r="B83" s="23" t="inlineStr">
        <is>
          <t>☐</t>
        </is>
      </c>
      <c r="C83" s="9" t="inlineStr">
        <is>
          <t>India</t>
        </is>
      </c>
      <c r="D83" s="9" t="inlineStr">
        <is>
          <t>Gujarat</t>
        </is>
      </c>
      <c r="E83" s="9" t="inlineStr">
        <is>
          <t>Patan</t>
        </is>
      </c>
      <c r="F83" s="9" t="inlineStr">
        <is>
          <t>Rani ki Vav - UNESCO</t>
        </is>
      </c>
      <c r="G83" s="9" t="inlineStr">
        <is>
          <t>UNESCO</t>
        </is>
      </c>
      <c r="H83" s="9" t="inlineStr"/>
      <c r="I83" s="9">
        <f>IF(COUNTIF('Country Summary'!$B$5:$B$200,C83)&gt;0,"Yes","")</f>
        <v/>
      </c>
      <c r="J83" s="9" t="inlineStr"/>
    </row>
    <row r="84">
      <c r="A84" s="9" t="n">
        <v>80</v>
      </c>
      <c r="B84" s="23" t="inlineStr">
        <is>
          <t>☐</t>
        </is>
      </c>
      <c r="C84" s="9" t="inlineStr">
        <is>
          <t>India</t>
        </is>
      </c>
      <c r="D84" s="9" t="inlineStr">
        <is>
          <t>Gujarat</t>
        </is>
      </c>
      <c r="E84" s="9" t="inlineStr">
        <is>
          <t>Kevadia</t>
        </is>
      </c>
      <c r="F84" s="9" t="inlineStr">
        <is>
          <t>Statue of Unity</t>
        </is>
      </c>
      <c r="G84" s="9" t="inlineStr">
        <is>
          <t>Modern</t>
        </is>
      </c>
      <c r="H84" s="9" t="inlineStr"/>
      <c r="I84" s="9">
        <f>IF(COUNTIF('Country Summary'!$B$5:$B$200,C84)&gt;0,"Yes","")</f>
        <v/>
      </c>
      <c r="J84" s="9" t="inlineStr"/>
    </row>
    <row r="85">
      <c r="A85" s="9" t="n">
        <v>81</v>
      </c>
      <c r="B85" s="23" t="inlineStr">
        <is>
          <t>☐</t>
        </is>
      </c>
      <c r="C85" s="9" t="inlineStr">
        <is>
          <t>India</t>
        </is>
      </c>
      <c r="D85" s="9" t="inlineStr">
        <is>
          <t>Gujarat</t>
        </is>
      </c>
      <c r="E85" s="9" t="inlineStr">
        <is>
          <t>Dholavira</t>
        </is>
      </c>
      <c r="F85" s="9" t="inlineStr">
        <is>
          <t>Harappan city - UNESCO</t>
        </is>
      </c>
      <c r="G85" s="9" t="inlineStr">
        <is>
          <t>UNESCO</t>
        </is>
      </c>
      <c r="H85" s="9" t="inlineStr"/>
      <c r="I85" s="9">
        <f>IF(COUNTIF('Country Summary'!$B$5:$B$200,C85)&gt;0,"Yes","")</f>
        <v/>
      </c>
      <c r="J85" s="9" t="inlineStr"/>
    </row>
    <row r="86">
      <c r="A86" s="9" t="n">
        <v>82</v>
      </c>
      <c r="B86" s="23" t="inlineStr">
        <is>
          <t>☐</t>
        </is>
      </c>
      <c r="C86" s="9" t="inlineStr">
        <is>
          <t>India</t>
        </is>
      </c>
      <c r="D86" s="9" t="inlineStr">
        <is>
          <t>Gujarat</t>
        </is>
      </c>
      <c r="E86" s="9" t="inlineStr">
        <is>
          <t>Champaner-Pavagadh</t>
        </is>
      </c>
      <c r="F86" s="9" t="inlineStr">
        <is>
          <t>Archaeological park - UNESCO; Kalika Mata</t>
        </is>
      </c>
      <c r="G86" s="9" t="inlineStr">
        <is>
          <t>UNESCO</t>
        </is>
      </c>
      <c r="H86" s="9" t="inlineStr"/>
      <c r="I86" s="9">
        <f>IF(COUNTIF('Country Summary'!$B$5:$B$200,C86)&gt;0,"Yes","")</f>
        <v/>
      </c>
      <c r="J86" s="9" t="inlineStr"/>
    </row>
    <row r="87">
      <c r="A87" s="9" t="n">
        <v>83</v>
      </c>
      <c r="B87" s="23" t="inlineStr">
        <is>
          <t>☑</t>
        </is>
      </c>
      <c r="C87" s="9" t="inlineStr">
        <is>
          <t>India</t>
        </is>
      </c>
      <c r="D87" s="9" t="inlineStr">
        <is>
          <t>Gujarat</t>
        </is>
      </c>
      <c r="E87" s="9" t="inlineStr">
        <is>
          <t>Ambaji / Modhera / Dakor</t>
        </is>
      </c>
      <c r="F87" s="9" t="inlineStr">
        <is>
          <t>Shakti peetha; Sun Temple; Ranchhodrai</t>
        </is>
      </c>
      <c r="G87" s="9" t="inlineStr">
        <is>
          <t>Temple</t>
        </is>
      </c>
      <c r="H87" s="9" t="inlineStr"/>
      <c r="I87" s="9">
        <f>IF(COUNTIF('Country Summary'!$B$5:$B$200,C87)&gt;0,"Yes","")</f>
        <v/>
      </c>
      <c r="J87" s="9" t="inlineStr"/>
    </row>
    <row r="88">
      <c r="A88" s="9" t="n">
        <v>84</v>
      </c>
      <c r="B88" s="23" t="inlineStr">
        <is>
          <t>☑</t>
        </is>
      </c>
      <c r="C88" s="9" t="inlineStr">
        <is>
          <t>India</t>
        </is>
      </c>
      <c r="D88" s="9" t="inlineStr">
        <is>
          <t>Rajasthan</t>
        </is>
      </c>
      <c r="E88" s="9" t="inlineStr">
        <is>
          <t>Jaipur</t>
        </is>
      </c>
      <c r="F88" s="9" t="inlineStr">
        <is>
          <t>Amber Fort, Hawa Mahal, Jantar Mantar - UNESCO, Govind Dev Ji</t>
        </is>
      </c>
      <c r="G88" s="9" t="inlineStr">
        <is>
          <t>Monument</t>
        </is>
      </c>
      <c r="H88" s="9" t="inlineStr"/>
      <c r="I88" s="9">
        <f>IF(COUNTIF('Country Summary'!$B$5:$B$200,C88)&gt;0,"Yes","")</f>
        <v/>
      </c>
      <c r="J88" s="9" t="inlineStr"/>
    </row>
    <row r="89">
      <c r="A89" s="9" t="n">
        <v>85</v>
      </c>
      <c r="B89" s="23" t="inlineStr">
        <is>
          <t>☑</t>
        </is>
      </c>
      <c r="C89" s="9" t="inlineStr">
        <is>
          <t>India</t>
        </is>
      </c>
      <c r="D89" s="9" t="inlineStr">
        <is>
          <t>Rajasthan</t>
        </is>
      </c>
      <c r="E89" s="9" t="inlineStr">
        <is>
          <t>Nathdwara</t>
        </is>
      </c>
      <c r="F89" s="9" t="inlineStr">
        <is>
          <t>Shrinathji Haveli</t>
        </is>
      </c>
      <c r="G89" s="9" t="inlineStr">
        <is>
          <t>Temple</t>
        </is>
      </c>
      <c r="H89" s="9" t="inlineStr"/>
      <c r="I89" s="9">
        <f>IF(COUNTIF('Country Summary'!$B$5:$B$200,C89)&gt;0,"Yes","")</f>
        <v/>
      </c>
      <c r="J89" s="9" t="inlineStr"/>
    </row>
    <row r="90">
      <c r="A90" s="9" t="n">
        <v>86</v>
      </c>
      <c r="B90" s="23" t="inlineStr">
        <is>
          <t>☑</t>
        </is>
      </c>
      <c r="C90" s="9" t="inlineStr">
        <is>
          <t>India</t>
        </is>
      </c>
      <c r="D90" s="9" t="inlineStr">
        <is>
          <t>Rajasthan</t>
        </is>
      </c>
      <c r="E90" s="9" t="inlineStr">
        <is>
          <t>Udaipur</t>
        </is>
      </c>
      <c r="F90" s="9" t="inlineStr">
        <is>
          <t>City Palace, Lake Pichola, Eklingji</t>
        </is>
      </c>
      <c r="G90" s="9" t="inlineStr">
        <is>
          <t>Monument</t>
        </is>
      </c>
      <c r="H90" s="9" t="inlineStr"/>
      <c r="I90" s="9">
        <f>IF(COUNTIF('Country Summary'!$B$5:$B$200,C90)&gt;0,"Yes","")</f>
        <v/>
      </c>
      <c r="J90" s="9" t="inlineStr"/>
    </row>
    <row r="91">
      <c r="A91" s="9" t="n">
        <v>87</v>
      </c>
      <c r="B91" s="23" t="inlineStr">
        <is>
          <t>☐</t>
        </is>
      </c>
      <c r="C91" s="9" t="inlineStr">
        <is>
          <t>India</t>
        </is>
      </c>
      <c r="D91" s="9" t="inlineStr">
        <is>
          <t>Rajasthan</t>
        </is>
      </c>
      <c r="E91" s="9" t="inlineStr">
        <is>
          <t>Pushkar / Ajmer</t>
        </is>
      </c>
      <c r="F91" s="9" t="inlineStr">
        <is>
          <t>Brahma Temple, Pushkar lake, Dargah</t>
        </is>
      </c>
      <c r="G91" s="9" t="inlineStr">
        <is>
          <t>Temple</t>
        </is>
      </c>
      <c r="H91" s="9" t="inlineStr"/>
      <c r="I91" s="9">
        <f>IF(COUNTIF('Country Summary'!$B$5:$B$200,C91)&gt;0,"Yes","")</f>
        <v/>
      </c>
      <c r="J91" s="9" t="inlineStr"/>
    </row>
    <row r="92">
      <c r="A92" s="9" t="n">
        <v>88</v>
      </c>
      <c r="B92" s="23" t="inlineStr">
        <is>
          <t>☐</t>
        </is>
      </c>
      <c r="C92" s="9" t="inlineStr">
        <is>
          <t>India</t>
        </is>
      </c>
      <c r="D92" s="9" t="inlineStr">
        <is>
          <t>Rajasthan</t>
        </is>
      </c>
      <c r="E92" s="9" t="inlineStr">
        <is>
          <t>Jodhpur / Jaisalmer</t>
        </is>
      </c>
      <c r="F92" s="9" t="inlineStr">
        <is>
          <t>Mehrangarh Fort; Jaisalmer Fort - UNESCO</t>
        </is>
      </c>
      <c r="G92" s="9" t="inlineStr">
        <is>
          <t>UNESCO</t>
        </is>
      </c>
      <c r="H92" s="9" t="inlineStr"/>
      <c r="I92" s="9">
        <f>IF(COUNTIF('Country Summary'!$B$5:$B$200,C92)&gt;0,"Yes","")</f>
        <v/>
      </c>
      <c r="J92" s="9" t="inlineStr"/>
    </row>
    <row r="93">
      <c r="A93" s="9" t="n">
        <v>89</v>
      </c>
      <c r="B93" s="23" t="inlineStr">
        <is>
          <t>☐</t>
        </is>
      </c>
      <c r="C93" s="9" t="inlineStr">
        <is>
          <t>India</t>
        </is>
      </c>
      <c r="D93" s="9" t="inlineStr">
        <is>
          <t>Rajasthan</t>
        </is>
      </c>
      <c r="E93" s="9" t="inlineStr">
        <is>
          <t>Chittorgarh / Kumbhalgarh / Ranthambore</t>
        </is>
      </c>
      <c r="F93" s="9" t="inlineStr">
        <is>
          <t>Hill Forts of Rajasthan - UNESCO; tiger reserve</t>
        </is>
      </c>
      <c r="G93" s="9" t="inlineStr">
        <is>
          <t>UNESCO</t>
        </is>
      </c>
      <c r="H93" s="9" t="inlineStr"/>
      <c r="I93" s="9">
        <f>IF(COUNTIF('Country Summary'!$B$5:$B$200,C93)&gt;0,"Yes","")</f>
        <v/>
      </c>
      <c r="J93" s="9" t="inlineStr"/>
    </row>
    <row r="94">
      <c r="A94" s="9" t="n">
        <v>90</v>
      </c>
      <c r="B94" s="23" t="inlineStr">
        <is>
          <t>☐</t>
        </is>
      </c>
      <c r="C94" s="9" t="inlineStr">
        <is>
          <t>India</t>
        </is>
      </c>
      <c r="D94" s="9" t="inlineStr">
        <is>
          <t>Rajasthan</t>
        </is>
      </c>
      <c r="E94" s="9" t="inlineStr">
        <is>
          <t>Mount Abu</t>
        </is>
      </c>
      <c r="F94" s="9" t="inlineStr">
        <is>
          <t>Dilwara Jain temples</t>
        </is>
      </c>
      <c r="G94" s="9" t="inlineStr">
        <is>
          <t>Temple</t>
        </is>
      </c>
      <c r="H94" s="9" t="inlineStr"/>
      <c r="I94" s="9">
        <f>IF(COUNTIF('Country Summary'!$B$5:$B$200,C94)&gt;0,"Yes","")</f>
        <v/>
      </c>
      <c r="J94" s="9" t="inlineStr"/>
    </row>
    <row r="95">
      <c r="A95" s="9" t="n">
        <v>91</v>
      </c>
      <c r="B95" s="23" t="inlineStr">
        <is>
          <t>☐</t>
        </is>
      </c>
      <c r="C95" s="9" t="inlineStr">
        <is>
          <t>India</t>
        </is>
      </c>
      <c r="D95" s="9" t="inlineStr">
        <is>
          <t>Rajasthan</t>
        </is>
      </c>
      <c r="E95" s="9" t="inlineStr">
        <is>
          <t>Khatu / Salasar</t>
        </is>
      </c>
      <c r="F95" s="9" t="inlineStr">
        <is>
          <t>Khatu Shyamji, Salasar Balaji</t>
        </is>
      </c>
      <c r="G95" s="9" t="inlineStr">
        <is>
          <t>Temple</t>
        </is>
      </c>
      <c r="H95" s="9" t="inlineStr"/>
      <c r="I95" s="9">
        <f>IF(COUNTIF('Country Summary'!$B$5:$B$200,C95)&gt;0,"Yes","")</f>
        <v/>
      </c>
      <c r="J95" s="9" t="inlineStr"/>
    </row>
    <row r="96">
      <c r="A96" s="9" t="n">
        <v>92</v>
      </c>
      <c r="B96" s="23" t="inlineStr">
        <is>
          <t>☑</t>
        </is>
      </c>
      <c r="C96" s="9" t="inlineStr">
        <is>
          <t>India</t>
        </is>
      </c>
      <c r="D96" s="9" t="inlineStr">
        <is>
          <t>Delhi</t>
        </is>
      </c>
      <c r="E96" s="9" t="inlineStr">
        <is>
          <t>New Delhi</t>
        </is>
      </c>
      <c r="F96" s="9" t="inlineStr">
        <is>
          <t>ISKCON East of Kailash (Glory of India) &amp; Punjabi Bagh</t>
        </is>
      </c>
      <c r="G96" s="9" t="inlineStr">
        <is>
          <t>ISKCON</t>
        </is>
      </c>
      <c r="H96" s="9" t="inlineStr"/>
      <c r="I96" s="9">
        <f>IF(COUNTIF('Country Summary'!$B$5:$B$200,C96)&gt;0,"Yes","")</f>
        <v/>
      </c>
      <c r="J96" s="9" t="inlineStr"/>
    </row>
    <row r="97">
      <c r="A97" s="9" t="n">
        <v>93</v>
      </c>
      <c r="B97" s="23" t="inlineStr">
        <is>
          <t>☐</t>
        </is>
      </c>
      <c r="C97" s="9" t="inlineStr">
        <is>
          <t>India</t>
        </is>
      </c>
      <c r="D97" s="9" t="inlineStr">
        <is>
          <t>Delhi</t>
        </is>
      </c>
      <c r="E97" s="9" t="inlineStr">
        <is>
          <t>Delhi</t>
        </is>
      </c>
      <c r="F97" s="9" t="inlineStr">
        <is>
          <t>Red Fort, Qutub Minar, Humayun's Tomb - UNESCO</t>
        </is>
      </c>
      <c r="G97" s="9" t="inlineStr">
        <is>
          <t>UNESCO</t>
        </is>
      </c>
      <c r="H97" s="9" t="inlineStr"/>
      <c r="I97" s="9">
        <f>IF(COUNTIF('Country Summary'!$B$5:$B$200,C97)&gt;0,"Yes","")</f>
        <v/>
      </c>
      <c r="J97" s="9" t="inlineStr"/>
    </row>
    <row r="98">
      <c r="A98" s="9" t="n">
        <v>94</v>
      </c>
      <c r="B98" s="23" t="inlineStr">
        <is>
          <t>☐</t>
        </is>
      </c>
      <c r="C98" s="9" t="inlineStr">
        <is>
          <t>India</t>
        </is>
      </c>
      <c r="D98" s="9" t="inlineStr">
        <is>
          <t>Delhi</t>
        </is>
      </c>
      <c r="E98" s="9" t="inlineStr">
        <is>
          <t>Delhi</t>
        </is>
      </c>
      <c r="F98" s="9" t="inlineStr">
        <is>
          <t>Akshardham, Lotus Temple, India Gate, Birla Mandir</t>
        </is>
      </c>
      <c r="G98" s="9" t="inlineStr">
        <is>
          <t>Monument</t>
        </is>
      </c>
      <c r="H98" s="9" t="inlineStr"/>
      <c r="I98" s="9">
        <f>IF(COUNTIF('Country Summary'!$B$5:$B$200,C98)&gt;0,"Yes","")</f>
        <v/>
      </c>
      <c r="J98" s="9" t="inlineStr"/>
    </row>
    <row r="99">
      <c r="A99" s="9" t="n">
        <v>95</v>
      </c>
      <c r="B99" s="23" t="inlineStr">
        <is>
          <t>☑</t>
        </is>
      </c>
      <c r="C99" s="9" t="inlineStr">
        <is>
          <t>India</t>
        </is>
      </c>
      <c r="D99" s="9" t="inlineStr">
        <is>
          <t>Uttar Pradesh</t>
        </is>
      </c>
      <c r="E99" s="9" t="inlineStr">
        <is>
          <t>Vrindavan</t>
        </is>
      </c>
      <c r="F99" s="9" t="inlineStr">
        <is>
          <t>ISKCON Krishna Balaram Mandir &amp; Prabhupada Samadhi</t>
        </is>
      </c>
      <c r="G99" s="9" t="inlineStr">
        <is>
          <t>ISKCON</t>
        </is>
      </c>
      <c r="H99" s="9" t="inlineStr"/>
      <c r="I99" s="9">
        <f>IF(COUNTIF('Country Summary'!$B$5:$B$200,C99)&gt;0,"Yes","")</f>
        <v/>
      </c>
      <c r="J99" s="9" t="inlineStr"/>
    </row>
    <row r="100">
      <c r="A100" s="9" t="n">
        <v>96</v>
      </c>
      <c r="B100" s="23" t="inlineStr">
        <is>
          <t>☑</t>
        </is>
      </c>
      <c r="C100" s="9" t="inlineStr">
        <is>
          <t>India</t>
        </is>
      </c>
      <c r="D100" s="9" t="inlineStr">
        <is>
          <t>Uttar Pradesh</t>
        </is>
      </c>
      <c r="E100" s="9" t="inlineStr">
        <is>
          <t>Vrindavan</t>
        </is>
      </c>
      <c r="F100" s="9" t="inlineStr">
        <is>
          <t>Banke Bihari, Radha Raman, Radha Damodar, Prem Mandir, Seva Kunj, Nidhivan</t>
        </is>
      </c>
      <c r="G100" s="9" t="inlineStr">
        <is>
          <t>Temple</t>
        </is>
      </c>
      <c r="H100" s="9" t="inlineStr"/>
      <c r="I100" s="9">
        <f>IF(COUNTIF('Country Summary'!$B$5:$B$200,C100)&gt;0,"Yes","")</f>
        <v/>
      </c>
      <c r="J100" s="9" t="inlineStr"/>
    </row>
    <row r="101">
      <c r="A101" s="9" t="n">
        <v>97</v>
      </c>
      <c r="B101" s="23" t="inlineStr">
        <is>
          <t>☑</t>
        </is>
      </c>
      <c r="C101" s="9" t="inlineStr">
        <is>
          <t>India</t>
        </is>
      </c>
      <c r="D101" s="9" t="inlineStr">
        <is>
          <t>Uttar Pradesh</t>
        </is>
      </c>
      <c r="E101" s="9" t="inlineStr">
        <is>
          <t>Mathura</t>
        </is>
      </c>
      <c r="F101" s="9" t="inlineStr">
        <is>
          <t>Krishna Janmabhoomi, Vishram Ghat, Dwarkadhish</t>
        </is>
      </c>
      <c r="G101" s="9" t="inlineStr">
        <is>
          <t>Temple</t>
        </is>
      </c>
      <c r="H101" s="9" t="inlineStr"/>
      <c r="I101" s="9">
        <f>IF(COUNTIF('Country Summary'!$B$5:$B$200,C101)&gt;0,"Yes","")</f>
        <v/>
      </c>
      <c r="J101" s="9" t="inlineStr"/>
    </row>
    <row r="102">
      <c r="A102" s="9" t="n">
        <v>98</v>
      </c>
      <c r="B102" s="23" t="inlineStr">
        <is>
          <t>☐</t>
        </is>
      </c>
      <c r="C102" s="9" t="inlineStr">
        <is>
          <t>India</t>
        </is>
      </c>
      <c r="D102" s="9" t="inlineStr">
        <is>
          <t>Uttar Pradesh</t>
        </is>
      </c>
      <c r="E102" s="9" t="inlineStr">
        <is>
          <t>Govardhan</t>
        </is>
      </c>
      <c r="F102" s="9" t="inlineStr">
        <is>
          <t>Govardhan parikrama, Radha Kund, Kusum Sarovar</t>
        </is>
      </c>
      <c r="G102" s="9" t="inlineStr">
        <is>
          <t>Temple</t>
        </is>
      </c>
      <c r="H102" s="9" t="inlineStr">
        <is>
          <t>Likely</t>
        </is>
      </c>
      <c r="I102" s="9">
        <f>IF(COUNTIF('Country Summary'!$B$5:$B$200,C102)&gt;0,"Yes","")</f>
        <v/>
      </c>
      <c r="J102" s="9" t="inlineStr"/>
    </row>
    <row r="103">
      <c r="A103" s="9" t="n">
        <v>99</v>
      </c>
      <c r="B103" s="23" t="inlineStr">
        <is>
          <t>☐</t>
        </is>
      </c>
      <c r="C103" s="9" t="inlineStr">
        <is>
          <t>India</t>
        </is>
      </c>
      <c r="D103" s="9" t="inlineStr">
        <is>
          <t>Uttar Pradesh</t>
        </is>
      </c>
      <c r="E103" s="9" t="inlineStr">
        <is>
          <t>Barsana / Nandgaon</t>
        </is>
      </c>
      <c r="F103" s="9" t="inlineStr">
        <is>
          <t>Radha Rani Temple, Nand Bhavan</t>
        </is>
      </c>
      <c r="G103" s="9" t="inlineStr">
        <is>
          <t>Temple</t>
        </is>
      </c>
      <c r="H103" s="9" t="inlineStr">
        <is>
          <t>Likely</t>
        </is>
      </c>
      <c r="I103" s="9">
        <f>IF(COUNTIF('Country Summary'!$B$5:$B$200,C103)&gt;0,"Yes","")</f>
        <v/>
      </c>
      <c r="J103" s="9" t="inlineStr"/>
    </row>
    <row r="104">
      <c r="A104" s="9" t="n">
        <v>100</v>
      </c>
      <c r="B104" s="23" t="inlineStr">
        <is>
          <t>☑</t>
        </is>
      </c>
      <c r="C104" s="9" t="inlineStr">
        <is>
          <t>India</t>
        </is>
      </c>
      <c r="D104" s="9" t="inlineStr">
        <is>
          <t>Uttar Pradesh</t>
        </is>
      </c>
      <c r="E104" s="9" t="inlineStr">
        <is>
          <t>Ayodhya</t>
        </is>
      </c>
      <c r="F104" s="9" t="inlineStr">
        <is>
          <t>Ram Mandir (Ram Lalla), Hanuman Garhi, Kanak Bhavan, Saryu</t>
        </is>
      </c>
      <c r="G104" s="9" t="inlineStr">
        <is>
          <t>Temple</t>
        </is>
      </c>
      <c r="H104" s="9" t="inlineStr"/>
      <c r="I104" s="9">
        <f>IF(COUNTIF('Country Summary'!$B$5:$B$200,C104)&gt;0,"Yes","")</f>
        <v/>
      </c>
      <c r="J104" s="9" t="inlineStr"/>
    </row>
    <row r="105">
      <c r="A105" s="9" t="n">
        <v>101</v>
      </c>
      <c r="B105" s="23" t="inlineStr">
        <is>
          <t>☑</t>
        </is>
      </c>
      <c r="C105" s="9" t="inlineStr">
        <is>
          <t>India</t>
        </is>
      </c>
      <c r="D105" s="9" t="inlineStr">
        <is>
          <t>Uttar Pradesh</t>
        </is>
      </c>
      <c r="E105" s="9" t="inlineStr">
        <is>
          <t>Varanasi (Kashi)</t>
        </is>
      </c>
      <c r="F105" s="9" t="inlineStr">
        <is>
          <t>Kashi Vishwanath &amp; corridor, Ganga aarti, Sarnath</t>
        </is>
      </c>
      <c r="G105" s="9" t="inlineStr">
        <is>
          <t>Temple</t>
        </is>
      </c>
      <c r="H105" s="9" t="inlineStr"/>
      <c r="I105" s="9">
        <f>IF(COUNTIF('Country Summary'!$B$5:$B$200,C105)&gt;0,"Yes","")</f>
        <v/>
      </c>
      <c r="J105" s="9" t="inlineStr"/>
    </row>
    <row r="106">
      <c r="A106" s="9" t="n">
        <v>102</v>
      </c>
      <c r="B106" s="23" t="inlineStr">
        <is>
          <t>☑</t>
        </is>
      </c>
      <c r="C106" s="9" t="inlineStr">
        <is>
          <t>India</t>
        </is>
      </c>
      <c r="D106" s="9" t="inlineStr">
        <is>
          <t>Uttar Pradesh</t>
        </is>
      </c>
      <c r="E106" s="9" t="inlineStr">
        <is>
          <t>Prayagraj</t>
        </is>
      </c>
      <c r="F106" s="9" t="inlineStr">
        <is>
          <t>Triveni Sangam, Maha Kumbh (2025), Hanuman Mandir</t>
        </is>
      </c>
      <c r="G106" s="9" t="inlineStr">
        <is>
          <t>Festival</t>
        </is>
      </c>
      <c r="H106" s="9" t="inlineStr"/>
      <c r="I106" s="9">
        <f>IF(COUNTIF('Country Summary'!$B$5:$B$200,C106)&gt;0,"Yes","")</f>
        <v/>
      </c>
      <c r="J106" s="9" t="inlineStr"/>
    </row>
    <row r="107">
      <c r="A107" s="9" t="n">
        <v>103</v>
      </c>
      <c r="B107" s="23" t="inlineStr">
        <is>
          <t>☐</t>
        </is>
      </c>
      <c r="C107" s="9" t="inlineStr">
        <is>
          <t>India</t>
        </is>
      </c>
      <c r="D107" s="9" t="inlineStr">
        <is>
          <t>Uttar Pradesh</t>
        </is>
      </c>
      <c r="E107" s="9" t="inlineStr">
        <is>
          <t>Naimisharanya</t>
        </is>
      </c>
      <c r="F107" s="9" t="inlineStr">
        <is>
          <t>Chakra Tirth, Vyasa Gaddi</t>
        </is>
      </c>
      <c r="G107" s="9" t="inlineStr">
        <is>
          <t>Temple</t>
        </is>
      </c>
      <c r="H107" s="9" t="inlineStr">
        <is>
          <t>Likely</t>
        </is>
      </c>
      <c r="I107" s="9">
        <f>IF(COUNTIF('Country Summary'!$B$5:$B$200,C107)&gt;0,"Yes","")</f>
        <v/>
      </c>
      <c r="J107" s="9" t="inlineStr"/>
    </row>
    <row r="108">
      <c r="A108" s="9" t="n">
        <v>104</v>
      </c>
      <c r="B108" s="23" t="inlineStr">
        <is>
          <t>☑</t>
        </is>
      </c>
      <c r="C108" s="9" t="inlineStr">
        <is>
          <t>India</t>
        </is>
      </c>
      <c r="D108" s="9" t="inlineStr">
        <is>
          <t>Uttar Pradesh</t>
        </is>
      </c>
      <c r="E108" s="9" t="inlineStr">
        <is>
          <t>Agra</t>
        </is>
      </c>
      <c r="F108" s="9" t="inlineStr">
        <is>
          <t>Taj Mahal, Agra Fort, Fatehpur Sikri - UNESCO</t>
        </is>
      </c>
      <c r="G108" s="9" t="inlineStr">
        <is>
          <t>UNESCO</t>
        </is>
      </c>
      <c r="H108" s="9" t="inlineStr"/>
      <c r="I108" s="9">
        <f>IF(COUNTIF('Country Summary'!$B$5:$B$200,C108)&gt;0,"Yes","")</f>
        <v/>
      </c>
      <c r="J108" s="9" t="inlineStr"/>
    </row>
    <row r="109">
      <c r="A109" s="9" t="n">
        <v>105</v>
      </c>
      <c r="B109" s="23" t="inlineStr">
        <is>
          <t>☑</t>
        </is>
      </c>
      <c r="C109" s="9" t="inlineStr">
        <is>
          <t>India</t>
        </is>
      </c>
      <c r="D109" s="9" t="inlineStr">
        <is>
          <t>Uttar Pradesh</t>
        </is>
      </c>
      <c r="E109" s="9" t="inlineStr">
        <is>
          <t>Lucknow</t>
        </is>
      </c>
      <c r="F109" s="9" t="inlineStr">
        <is>
          <t>Bara Imambara, Rumi Darwaza</t>
        </is>
      </c>
      <c r="G109" s="9" t="inlineStr">
        <is>
          <t>Monument</t>
        </is>
      </c>
      <c r="H109" s="9" t="inlineStr"/>
      <c r="I109" s="9">
        <f>IF(COUNTIF('Country Summary'!$B$5:$B$200,C109)&gt;0,"Yes","")</f>
        <v/>
      </c>
      <c r="J109" s="9" t="inlineStr"/>
    </row>
    <row r="110">
      <c r="A110" s="9" t="n">
        <v>106</v>
      </c>
      <c r="B110" s="23" t="inlineStr">
        <is>
          <t>☐</t>
        </is>
      </c>
      <c r="C110" s="9" t="inlineStr">
        <is>
          <t>India</t>
        </is>
      </c>
      <c r="D110" s="9" t="inlineStr">
        <is>
          <t>Uttar Pradesh</t>
        </is>
      </c>
      <c r="E110" s="9" t="inlineStr">
        <is>
          <t>Chitrakoot</t>
        </is>
      </c>
      <c r="F110" s="9" t="inlineStr">
        <is>
          <t>Kamadgiri, Ram Ghat</t>
        </is>
      </c>
      <c r="G110" s="9" t="inlineStr">
        <is>
          <t>Temple</t>
        </is>
      </c>
      <c r="H110" s="9" t="inlineStr"/>
      <c r="I110" s="9">
        <f>IF(COUNTIF('Country Summary'!$B$5:$B$200,C110)&gt;0,"Yes","")</f>
        <v/>
      </c>
      <c r="J110" s="9" t="inlineStr"/>
    </row>
    <row r="111">
      <c r="A111" s="9" t="n">
        <v>107</v>
      </c>
      <c r="B111" s="23" t="inlineStr">
        <is>
          <t>☑</t>
        </is>
      </c>
      <c r="C111" s="9" t="inlineStr">
        <is>
          <t>India</t>
        </is>
      </c>
      <c r="D111" s="9" t="inlineStr">
        <is>
          <t>Uttarakhand</t>
        </is>
      </c>
      <c r="E111" s="9" t="inlineStr">
        <is>
          <t>Char Dham</t>
        </is>
      </c>
      <c r="F111" s="9" t="inlineStr">
        <is>
          <t>Yamunotri, Gangotri, Kedarnath, Badrinath</t>
        </is>
      </c>
      <c r="G111" s="9" t="inlineStr">
        <is>
          <t>Temple</t>
        </is>
      </c>
      <c r="H111" s="9" t="inlineStr"/>
      <c r="I111" s="9">
        <f>IF(COUNTIF('Country Summary'!$B$5:$B$200,C111)&gt;0,"Yes","")</f>
        <v/>
      </c>
      <c r="J111" s="9" t="inlineStr"/>
    </row>
    <row r="112">
      <c r="A112" s="9" t="n">
        <v>108</v>
      </c>
      <c r="B112" s="23" t="inlineStr">
        <is>
          <t>☑</t>
        </is>
      </c>
      <c r="C112" s="9" t="inlineStr">
        <is>
          <t>India</t>
        </is>
      </c>
      <c r="D112" s="9" t="inlineStr">
        <is>
          <t>Uttarakhand</t>
        </is>
      </c>
      <c r="E112" s="9" t="inlineStr">
        <is>
          <t>Rishikesh / Haridwar</t>
        </is>
      </c>
      <c r="F112" s="9" t="inlineStr">
        <is>
          <t>Ganga aarti, Har ki Pauri, Laxman Jhula, ISKCON Rishikesh</t>
        </is>
      </c>
      <c r="G112" s="9" t="inlineStr">
        <is>
          <t>Temple</t>
        </is>
      </c>
      <c r="H112" s="9" t="inlineStr"/>
      <c r="I112" s="9">
        <f>IF(COUNTIF('Country Summary'!$B$5:$B$200,C112)&gt;0,"Yes","")</f>
        <v/>
      </c>
      <c r="J112" s="9" t="inlineStr"/>
    </row>
    <row r="113">
      <c r="A113" s="9" t="n">
        <v>109</v>
      </c>
      <c r="B113" s="23" t="inlineStr">
        <is>
          <t>☑</t>
        </is>
      </c>
      <c r="C113" s="9" t="inlineStr">
        <is>
          <t>India</t>
        </is>
      </c>
      <c r="D113" s="9" t="inlineStr">
        <is>
          <t>Uttarakhand</t>
        </is>
      </c>
      <c r="E113" s="9" t="inlineStr">
        <is>
          <t>Dehradun / Mussoorie</t>
        </is>
      </c>
      <c r="F113" s="9" t="inlineStr">
        <is>
          <t>Base for Char Dham</t>
        </is>
      </c>
      <c r="G113" s="9" t="inlineStr">
        <is>
          <t>Nature</t>
        </is>
      </c>
      <c r="H113" s="9" t="inlineStr"/>
      <c r="I113" s="9">
        <f>IF(COUNTIF('Country Summary'!$B$5:$B$200,C113)&gt;0,"Yes","")</f>
        <v/>
      </c>
      <c r="J113" s="9" t="inlineStr"/>
    </row>
    <row r="114">
      <c r="A114" s="9" t="n">
        <v>110</v>
      </c>
      <c r="B114" s="23" t="inlineStr">
        <is>
          <t>☐</t>
        </is>
      </c>
      <c r="C114" s="9" t="inlineStr">
        <is>
          <t>India</t>
        </is>
      </c>
      <c r="D114" s="9" t="inlineStr">
        <is>
          <t>Uttarakhand</t>
        </is>
      </c>
      <c r="E114" s="9" t="inlineStr">
        <is>
          <t>Hemkund / Valley of Flowers</t>
        </is>
      </c>
      <c r="F114" s="9" t="inlineStr">
        <is>
          <t>Valley of Flowers - UNESCO</t>
        </is>
      </c>
      <c r="G114" s="9" t="inlineStr">
        <is>
          <t>UNESCO</t>
        </is>
      </c>
      <c r="H114" s="9" t="inlineStr"/>
      <c r="I114" s="9">
        <f>IF(COUNTIF('Country Summary'!$B$5:$B$200,C114)&gt;0,"Yes","")</f>
        <v/>
      </c>
      <c r="J114" s="9" t="inlineStr"/>
    </row>
    <row r="115">
      <c r="A115" s="9" t="n">
        <v>111</v>
      </c>
      <c r="B115" s="23" t="inlineStr">
        <is>
          <t>☐</t>
        </is>
      </c>
      <c r="C115" s="9" t="inlineStr">
        <is>
          <t>India</t>
        </is>
      </c>
      <c r="D115" s="9" t="inlineStr">
        <is>
          <t>Uttarakhand</t>
        </is>
      </c>
      <c r="E115" s="9" t="inlineStr">
        <is>
          <t>Panch Kedar / Panch Badri</t>
        </is>
      </c>
      <c r="F115" s="9" t="inlineStr">
        <is>
          <t>Tungnath, Madhyamaheshwar, Rudranath, Kalpeshwar; Adi Badri etc.</t>
        </is>
      </c>
      <c r="G115" s="9" t="inlineStr">
        <is>
          <t>Temple</t>
        </is>
      </c>
      <c r="H115" s="9" t="inlineStr"/>
      <c r="I115" s="9">
        <f>IF(COUNTIF('Country Summary'!$B$5:$B$200,C115)&gt;0,"Yes","")</f>
        <v/>
      </c>
      <c r="J115" s="9" t="inlineStr"/>
    </row>
    <row r="116">
      <c r="A116" s="9" t="n">
        <v>112</v>
      </c>
      <c r="B116" s="23" t="inlineStr">
        <is>
          <t>☐</t>
        </is>
      </c>
      <c r="C116" s="9" t="inlineStr">
        <is>
          <t>India</t>
        </is>
      </c>
      <c r="D116" s="9" t="inlineStr">
        <is>
          <t>Uttarakhand</t>
        </is>
      </c>
      <c r="E116" s="9" t="inlineStr">
        <is>
          <t>Jim Corbett</t>
        </is>
      </c>
      <c r="F116" s="9" t="inlineStr">
        <is>
          <t>Corbett National Park</t>
        </is>
      </c>
      <c r="G116" s="9" t="inlineStr">
        <is>
          <t>Nature</t>
        </is>
      </c>
      <c r="H116" s="9" t="inlineStr"/>
      <c r="I116" s="9">
        <f>IF(COUNTIF('Country Summary'!$B$5:$B$200,C116)&gt;0,"Yes","")</f>
        <v/>
      </c>
      <c r="J116" s="9" t="inlineStr"/>
    </row>
    <row r="117">
      <c r="A117" s="9" t="n">
        <v>113</v>
      </c>
      <c r="B117" s="23" t="inlineStr">
        <is>
          <t>☐</t>
        </is>
      </c>
      <c r="C117" s="9" t="inlineStr">
        <is>
          <t>India</t>
        </is>
      </c>
      <c r="D117" s="9" t="inlineStr">
        <is>
          <t>Himachal Pradesh</t>
        </is>
      </c>
      <c r="E117" s="9" t="inlineStr">
        <is>
          <t>Manali / Kullu</t>
        </is>
      </c>
      <c r="F117" s="9" t="inlineStr">
        <is>
          <t>Hadimba, Vashisht, Rohtang / Atal tunnel</t>
        </is>
      </c>
      <c r="G117" s="9" t="inlineStr">
        <is>
          <t>Nature</t>
        </is>
      </c>
      <c r="H117" s="9" t="inlineStr"/>
      <c r="I117" s="9">
        <f>IF(COUNTIF('Country Summary'!$B$5:$B$200,C117)&gt;0,"Yes","")</f>
        <v/>
      </c>
      <c r="J117" s="9" t="inlineStr"/>
    </row>
    <row r="118">
      <c r="A118" s="9" t="n">
        <v>114</v>
      </c>
      <c r="B118" s="23" t="inlineStr">
        <is>
          <t>☐</t>
        </is>
      </c>
      <c r="C118" s="9" t="inlineStr">
        <is>
          <t>India</t>
        </is>
      </c>
      <c r="D118" s="9" t="inlineStr">
        <is>
          <t>Himachal Pradesh</t>
        </is>
      </c>
      <c r="E118" s="9" t="inlineStr">
        <is>
          <t>Dharamshala</t>
        </is>
      </c>
      <c r="F118" s="9" t="inlineStr">
        <is>
          <t>McLeod Ganj, Dalai Lama temple</t>
        </is>
      </c>
      <c r="G118" s="9" t="inlineStr">
        <is>
          <t>Monument</t>
        </is>
      </c>
      <c r="H118" s="9" t="inlineStr"/>
      <c r="I118" s="9">
        <f>IF(COUNTIF('Country Summary'!$B$5:$B$200,C118)&gt;0,"Yes","")</f>
        <v/>
      </c>
      <c r="J118" s="9" t="inlineStr"/>
    </row>
    <row r="119">
      <c r="A119" s="9" t="n">
        <v>115</v>
      </c>
      <c r="B119" s="23" t="inlineStr">
        <is>
          <t>☐</t>
        </is>
      </c>
      <c r="C119" s="9" t="inlineStr">
        <is>
          <t>India</t>
        </is>
      </c>
      <c r="D119" s="9" t="inlineStr">
        <is>
          <t>Himachal Pradesh</t>
        </is>
      </c>
      <c r="E119" s="9" t="inlineStr">
        <is>
          <t>Shimla</t>
        </is>
      </c>
      <c r="F119" s="9" t="inlineStr">
        <is>
          <t>Kalka-Shimla railway - UNESCO, Jakhoo</t>
        </is>
      </c>
      <c r="G119" s="9" t="inlineStr">
        <is>
          <t>UNESCO</t>
        </is>
      </c>
      <c r="H119" s="9" t="inlineStr"/>
      <c r="I119" s="9">
        <f>IF(COUNTIF('Country Summary'!$B$5:$B$200,C119)&gt;0,"Yes","")</f>
        <v/>
      </c>
      <c r="J119" s="9" t="inlineStr"/>
    </row>
    <row r="120">
      <c r="A120" s="9" t="n">
        <v>116</v>
      </c>
      <c r="B120" s="23" t="inlineStr">
        <is>
          <t>☐</t>
        </is>
      </c>
      <c r="C120" s="9" t="inlineStr">
        <is>
          <t>India</t>
        </is>
      </c>
      <c r="D120" s="9" t="inlineStr">
        <is>
          <t>Himachal Pradesh</t>
        </is>
      </c>
      <c r="E120" s="9" t="inlineStr">
        <is>
          <t>Kangra / Chamunda / Jwalamukhi / Naina Devi</t>
        </is>
      </c>
      <c r="F120" s="9" t="inlineStr">
        <is>
          <t>Shakti peethas</t>
        </is>
      </c>
      <c r="G120" s="9" t="inlineStr">
        <is>
          <t>Temple</t>
        </is>
      </c>
      <c r="H120" s="9" t="inlineStr"/>
      <c r="I120" s="9">
        <f>IF(COUNTIF('Country Summary'!$B$5:$B$200,C120)&gt;0,"Yes","")</f>
        <v/>
      </c>
      <c r="J120" s="9" t="inlineStr"/>
    </row>
    <row r="121">
      <c r="A121" s="9" t="n">
        <v>117</v>
      </c>
      <c r="B121" s="23" t="inlineStr">
        <is>
          <t>☐</t>
        </is>
      </c>
      <c r="C121" s="9" t="inlineStr">
        <is>
          <t>India</t>
        </is>
      </c>
      <c r="D121" s="9" t="inlineStr">
        <is>
          <t>Himachal Pradesh</t>
        </is>
      </c>
      <c r="E121" s="9" t="inlineStr">
        <is>
          <t>Spiti</t>
        </is>
      </c>
      <c r="F121" s="9" t="inlineStr">
        <is>
          <t>Key Monastery, Tabo</t>
        </is>
      </c>
      <c r="G121" s="9" t="inlineStr">
        <is>
          <t>Monument</t>
        </is>
      </c>
      <c r="H121" s="9" t="inlineStr"/>
      <c r="I121" s="9">
        <f>IF(COUNTIF('Country Summary'!$B$5:$B$200,C121)&gt;0,"Yes","")</f>
        <v/>
      </c>
      <c r="J121" s="9" t="inlineStr"/>
    </row>
    <row r="122">
      <c r="A122" s="9" t="n">
        <v>118</v>
      </c>
      <c r="B122" s="23" t="inlineStr">
        <is>
          <t>☐</t>
        </is>
      </c>
      <c r="C122" s="9" t="inlineStr">
        <is>
          <t>India</t>
        </is>
      </c>
      <c r="D122" s="9" t="inlineStr">
        <is>
          <t>Jammu &amp; Kashmir</t>
        </is>
      </c>
      <c r="E122" s="9" t="inlineStr">
        <is>
          <t>Katra</t>
        </is>
      </c>
      <c r="F122" s="9" t="inlineStr">
        <is>
          <t>Vaishno Devi</t>
        </is>
      </c>
      <c r="G122" s="9" t="inlineStr">
        <is>
          <t>Temple</t>
        </is>
      </c>
      <c r="H122" s="9" t="inlineStr"/>
      <c r="I122" s="9">
        <f>IF(COUNTIF('Country Summary'!$B$5:$B$200,C122)&gt;0,"Yes","")</f>
        <v/>
      </c>
      <c r="J122" s="9" t="inlineStr"/>
    </row>
    <row r="123">
      <c r="A123" s="9" t="n">
        <v>119</v>
      </c>
      <c r="B123" s="23" t="inlineStr">
        <is>
          <t>☐</t>
        </is>
      </c>
      <c r="C123" s="9" t="inlineStr">
        <is>
          <t>India</t>
        </is>
      </c>
      <c r="D123" s="9" t="inlineStr">
        <is>
          <t>Jammu &amp; Kashmir</t>
        </is>
      </c>
      <c r="E123" s="9" t="inlineStr">
        <is>
          <t>Pahalgam / Baltal</t>
        </is>
      </c>
      <c r="F123" s="9" t="inlineStr">
        <is>
          <t>Amarnath cave</t>
        </is>
      </c>
      <c r="G123" s="9" t="inlineStr">
        <is>
          <t>Temple</t>
        </is>
      </c>
      <c r="H123" s="9" t="inlineStr"/>
      <c r="I123" s="9">
        <f>IF(COUNTIF('Country Summary'!$B$5:$B$200,C123)&gt;0,"Yes","")</f>
        <v/>
      </c>
      <c r="J123" s="9" t="inlineStr"/>
    </row>
    <row r="124">
      <c r="A124" s="9" t="n">
        <v>120</v>
      </c>
      <c r="B124" s="23" t="inlineStr">
        <is>
          <t>☐</t>
        </is>
      </c>
      <c r="C124" s="9" t="inlineStr">
        <is>
          <t>India</t>
        </is>
      </c>
      <c r="D124" s="9" t="inlineStr">
        <is>
          <t>Jammu &amp; Kashmir</t>
        </is>
      </c>
      <c r="E124" s="9" t="inlineStr">
        <is>
          <t>Srinagar</t>
        </is>
      </c>
      <c r="F124" s="9" t="inlineStr">
        <is>
          <t>Dal Lake, Shankaracharya temple, Mughal gardens, Kheer Bhawani</t>
        </is>
      </c>
      <c r="G124" s="9" t="inlineStr">
        <is>
          <t>Nature</t>
        </is>
      </c>
      <c r="H124" s="9" t="inlineStr"/>
      <c r="I124" s="9">
        <f>IF(COUNTIF('Country Summary'!$B$5:$B$200,C124)&gt;0,"Yes","")</f>
        <v/>
      </c>
      <c r="J124" s="9" t="inlineStr"/>
    </row>
    <row r="125">
      <c r="A125" s="9" t="n">
        <v>121</v>
      </c>
      <c r="B125" s="23" t="inlineStr">
        <is>
          <t>☐</t>
        </is>
      </c>
      <c r="C125" s="9" t="inlineStr">
        <is>
          <t>India</t>
        </is>
      </c>
      <c r="D125" s="9" t="inlineStr">
        <is>
          <t>Ladakh</t>
        </is>
      </c>
      <c r="E125" s="9" t="inlineStr">
        <is>
          <t>Leh</t>
        </is>
      </c>
      <c r="F125" s="9" t="inlineStr">
        <is>
          <t>Pangong, Nubra, Hemis, Thiksey, Khardung La</t>
        </is>
      </c>
      <c r="G125" s="9" t="inlineStr">
        <is>
          <t>Nature</t>
        </is>
      </c>
      <c r="H125" s="9" t="inlineStr"/>
      <c r="I125" s="9">
        <f>IF(COUNTIF('Country Summary'!$B$5:$B$200,C125)&gt;0,"Yes","")</f>
        <v/>
      </c>
      <c r="J125" s="9" t="inlineStr"/>
    </row>
    <row r="126">
      <c r="A126" s="9" t="n">
        <v>122</v>
      </c>
      <c r="B126" s="23" t="inlineStr">
        <is>
          <t>☐</t>
        </is>
      </c>
      <c r="C126" s="9" t="inlineStr">
        <is>
          <t>India</t>
        </is>
      </c>
      <c r="D126" s="9" t="inlineStr">
        <is>
          <t>Punjab</t>
        </is>
      </c>
      <c r="E126" s="9" t="inlineStr">
        <is>
          <t>Amritsar</t>
        </is>
      </c>
      <c r="F126" s="9" t="inlineStr">
        <is>
          <t>Golden Temple, Jallianwala Bagh, Wagah border</t>
        </is>
      </c>
      <c r="G126" s="9" t="inlineStr">
        <is>
          <t>Temple</t>
        </is>
      </c>
      <c r="H126" s="9" t="inlineStr"/>
      <c r="I126" s="9">
        <f>IF(COUNTIF('Country Summary'!$B$5:$B$200,C126)&gt;0,"Yes","")</f>
        <v/>
      </c>
      <c r="J126" s="9" t="inlineStr"/>
    </row>
    <row r="127">
      <c r="A127" s="9" t="n">
        <v>123</v>
      </c>
      <c r="B127" s="23" t="inlineStr">
        <is>
          <t>☐</t>
        </is>
      </c>
      <c r="C127" s="9" t="inlineStr">
        <is>
          <t>India</t>
        </is>
      </c>
      <c r="D127" s="9" t="inlineStr">
        <is>
          <t>Punjab</t>
        </is>
      </c>
      <c r="E127" s="9" t="inlineStr">
        <is>
          <t>Anandpur Sahib</t>
        </is>
      </c>
      <c r="F127" s="9" t="inlineStr">
        <is>
          <t>Takht Kesgarh Sahib</t>
        </is>
      </c>
      <c r="G127" s="9" t="inlineStr">
        <is>
          <t>Temple</t>
        </is>
      </c>
      <c r="H127" s="9" t="inlineStr"/>
      <c r="I127" s="9">
        <f>IF(COUNTIF('Country Summary'!$B$5:$B$200,C127)&gt;0,"Yes","")</f>
        <v/>
      </c>
      <c r="J127" s="9" t="inlineStr"/>
    </row>
    <row r="128">
      <c r="A128" s="9" t="n">
        <v>124</v>
      </c>
      <c r="B128" s="23" t="inlineStr">
        <is>
          <t>☑</t>
        </is>
      </c>
      <c r="C128" s="9" t="inlineStr">
        <is>
          <t>India</t>
        </is>
      </c>
      <c r="D128" s="9" t="inlineStr">
        <is>
          <t>Haryana</t>
        </is>
      </c>
      <c r="E128" s="9" t="inlineStr">
        <is>
          <t>Kurukshetra</t>
        </is>
      </c>
      <c r="F128" s="9" t="inlineStr">
        <is>
          <t>Brahma Sarovar, Jyotisar (Gita sthal), ISKCON Kurukshetra</t>
        </is>
      </c>
      <c r="G128" s="9" t="inlineStr">
        <is>
          <t>Temple</t>
        </is>
      </c>
      <c r="H128" s="9" t="inlineStr"/>
      <c r="I128" s="9">
        <f>IF(COUNTIF('Country Summary'!$B$5:$B$200,C128)&gt;0,"Yes","")</f>
        <v/>
      </c>
      <c r="J128" s="9" t="inlineStr"/>
    </row>
    <row r="129">
      <c r="A129" s="9" t="n">
        <v>125</v>
      </c>
      <c r="B129" s="23" t="inlineStr">
        <is>
          <t>☐</t>
        </is>
      </c>
      <c r="C129" s="9" t="inlineStr">
        <is>
          <t>India</t>
        </is>
      </c>
      <c r="D129" s="9" t="inlineStr">
        <is>
          <t>Madhya Pradesh</t>
        </is>
      </c>
      <c r="E129" s="9" t="inlineStr">
        <is>
          <t>Ujjain</t>
        </is>
      </c>
      <c r="F129" s="9" t="inlineStr">
        <is>
          <t>Mahakaleshwar Jyotirlinga &amp; Mahakal Lok; Kal Bhairav; Sandipani Ashram; Simhastha 2028</t>
        </is>
      </c>
      <c r="G129" s="9" t="inlineStr">
        <is>
          <t>Temple</t>
        </is>
      </c>
      <c r="H129" s="9" t="inlineStr"/>
      <c r="I129" s="9">
        <f>IF(COUNTIF('Country Summary'!$B$5:$B$200,C129)&gt;0,"Yes","")</f>
        <v/>
      </c>
      <c r="J129" s="9" t="inlineStr"/>
    </row>
    <row r="130">
      <c r="A130" s="9" t="n">
        <v>126</v>
      </c>
      <c r="B130" s="23" t="inlineStr">
        <is>
          <t>☐</t>
        </is>
      </c>
      <c r="C130" s="9" t="inlineStr">
        <is>
          <t>India</t>
        </is>
      </c>
      <c r="D130" s="9" t="inlineStr">
        <is>
          <t>Madhya Pradesh</t>
        </is>
      </c>
      <c r="E130" s="9" t="inlineStr">
        <is>
          <t>Omkareshwar</t>
        </is>
      </c>
      <c r="F130" s="9" t="inlineStr">
        <is>
          <t>Omkareshwar Jyotirlinga &amp; parikrama</t>
        </is>
      </c>
      <c r="G130" s="9" t="inlineStr">
        <is>
          <t>Temple</t>
        </is>
      </c>
      <c r="H130" s="9" t="inlineStr"/>
      <c r="I130" s="9">
        <f>IF(COUNTIF('Country Summary'!$B$5:$B$200,C130)&gt;0,"Yes","")</f>
        <v/>
      </c>
      <c r="J130" s="9" t="inlineStr"/>
    </row>
    <row r="131">
      <c r="A131" s="9" t="n">
        <v>127</v>
      </c>
      <c r="B131" s="23" t="inlineStr">
        <is>
          <t>☐</t>
        </is>
      </c>
      <c r="C131" s="9" t="inlineStr">
        <is>
          <t>India</t>
        </is>
      </c>
      <c r="D131" s="9" t="inlineStr">
        <is>
          <t>Madhya Pradesh</t>
        </is>
      </c>
      <c r="E131" s="9" t="inlineStr">
        <is>
          <t>Indore</t>
        </is>
      </c>
      <c r="F131" s="9" t="inlineStr">
        <is>
          <t>Khajrana Ganesh, ISKCON Indore, Rajwada</t>
        </is>
      </c>
      <c r="G131" s="9" t="inlineStr">
        <is>
          <t>Temple</t>
        </is>
      </c>
      <c r="H131" s="9" t="inlineStr"/>
      <c r="I131" s="9">
        <f>IF(COUNTIF('Country Summary'!$B$5:$B$200,C131)&gt;0,"Yes","")</f>
        <v/>
      </c>
      <c r="J131" s="9" t="inlineStr"/>
    </row>
    <row r="132">
      <c r="A132" s="9" t="n">
        <v>128</v>
      </c>
      <c r="B132" s="23" t="inlineStr">
        <is>
          <t>☐</t>
        </is>
      </c>
      <c r="C132" s="9" t="inlineStr">
        <is>
          <t>India</t>
        </is>
      </c>
      <c r="D132" s="9" t="inlineStr">
        <is>
          <t>Madhya Pradesh</t>
        </is>
      </c>
      <c r="E132" s="9" t="inlineStr">
        <is>
          <t>Maheshwar / Mandu</t>
        </is>
      </c>
      <c r="F132" s="9" t="inlineStr">
        <is>
          <t>Ahilya ghats; Mandu monuments</t>
        </is>
      </c>
      <c r="G132" s="9" t="inlineStr">
        <is>
          <t>Monument</t>
        </is>
      </c>
      <c r="H132" s="9" t="inlineStr"/>
      <c r="I132" s="9">
        <f>IF(COUNTIF('Country Summary'!$B$5:$B$200,C132)&gt;0,"Yes","")</f>
        <v/>
      </c>
      <c r="J132" s="9" t="inlineStr"/>
    </row>
    <row r="133">
      <c r="A133" s="9" t="n">
        <v>129</v>
      </c>
      <c r="B133" s="23" t="inlineStr">
        <is>
          <t>☐</t>
        </is>
      </c>
      <c r="C133" s="9" t="inlineStr">
        <is>
          <t>India</t>
        </is>
      </c>
      <c r="D133" s="9" t="inlineStr">
        <is>
          <t>Madhya Pradesh</t>
        </is>
      </c>
      <c r="E133" s="9" t="inlineStr">
        <is>
          <t>Khajuraho</t>
        </is>
      </c>
      <c r="F133" s="9" t="inlineStr">
        <is>
          <t>Khajuraho temples - UNESCO</t>
        </is>
      </c>
      <c r="G133" s="9" t="inlineStr">
        <is>
          <t>UNESCO</t>
        </is>
      </c>
      <c r="H133" s="9" t="inlineStr"/>
      <c r="I133" s="9">
        <f>IF(COUNTIF('Country Summary'!$B$5:$B$200,C133)&gt;0,"Yes","")</f>
        <v/>
      </c>
      <c r="J133" s="9" t="inlineStr"/>
    </row>
    <row r="134">
      <c r="A134" s="9" t="n">
        <v>130</v>
      </c>
      <c r="B134" s="23" t="inlineStr">
        <is>
          <t>☐</t>
        </is>
      </c>
      <c r="C134" s="9" t="inlineStr">
        <is>
          <t>India</t>
        </is>
      </c>
      <c r="D134" s="9" t="inlineStr">
        <is>
          <t>Madhya Pradesh</t>
        </is>
      </c>
      <c r="E134" s="9" t="inlineStr">
        <is>
          <t>Sanchi</t>
        </is>
      </c>
      <c r="F134" s="9" t="inlineStr">
        <is>
          <t>Sanchi Stupa - UNESCO</t>
        </is>
      </c>
      <c r="G134" s="9" t="inlineStr">
        <is>
          <t>UNESCO</t>
        </is>
      </c>
      <c r="H134" s="9" t="inlineStr"/>
      <c r="I134" s="9">
        <f>IF(COUNTIF('Country Summary'!$B$5:$B$200,C134)&gt;0,"Yes","")</f>
        <v/>
      </c>
      <c r="J134" s="9" t="inlineStr"/>
    </row>
    <row r="135">
      <c r="A135" s="9" t="n">
        <v>131</v>
      </c>
      <c r="B135" s="23" t="inlineStr">
        <is>
          <t>☐</t>
        </is>
      </c>
      <c r="C135" s="9" t="inlineStr">
        <is>
          <t>India</t>
        </is>
      </c>
      <c r="D135" s="9" t="inlineStr">
        <is>
          <t>Madhya Pradesh</t>
        </is>
      </c>
      <c r="E135" s="9" t="inlineStr">
        <is>
          <t>Bhimbetka</t>
        </is>
      </c>
      <c r="F135" s="9" t="inlineStr">
        <is>
          <t>Rock shelters - UNESCO</t>
        </is>
      </c>
      <c r="G135" s="9" t="inlineStr">
        <is>
          <t>UNESCO</t>
        </is>
      </c>
      <c r="H135" s="9" t="inlineStr"/>
      <c r="I135" s="9">
        <f>IF(COUNTIF('Country Summary'!$B$5:$B$200,C135)&gt;0,"Yes","")</f>
        <v/>
      </c>
      <c r="J135" s="9" t="inlineStr"/>
    </row>
    <row r="136">
      <c r="A136" s="9" t="n">
        <v>132</v>
      </c>
      <c r="B136" s="23" t="inlineStr">
        <is>
          <t>☑</t>
        </is>
      </c>
      <c r="C136" s="9" t="inlineStr">
        <is>
          <t>India</t>
        </is>
      </c>
      <c r="D136" s="9" t="inlineStr">
        <is>
          <t>Madhya Pradesh</t>
        </is>
      </c>
      <c r="E136" s="9" t="inlineStr">
        <is>
          <t>Gwalior / Orchha</t>
        </is>
      </c>
      <c r="F136" s="9" t="inlineStr">
        <is>
          <t>Gwalior Fort; Orchha Ram Raja</t>
        </is>
      </c>
      <c r="G136" s="9" t="inlineStr">
        <is>
          <t>Monument</t>
        </is>
      </c>
      <c r="H136" s="9" t="inlineStr"/>
      <c r="I136" s="9">
        <f>IF(COUNTIF('Country Summary'!$B$5:$B$200,C136)&gt;0,"Yes","")</f>
        <v/>
      </c>
      <c r="J136" s="9" t="inlineStr"/>
    </row>
    <row r="137">
      <c r="A137" s="9" t="n">
        <v>133</v>
      </c>
      <c r="B137" s="23" t="inlineStr">
        <is>
          <t>☐</t>
        </is>
      </c>
      <c r="C137" s="9" t="inlineStr">
        <is>
          <t>India</t>
        </is>
      </c>
      <c r="D137" s="9" t="inlineStr">
        <is>
          <t>Madhya Pradesh</t>
        </is>
      </c>
      <c r="E137" s="9" t="inlineStr">
        <is>
          <t>Amarkantak</t>
        </is>
      </c>
      <c r="F137" s="9" t="inlineStr">
        <is>
          <t>Narmada udgam</t>
        </is>
      </c>
      <c r="G137" s="9" t="inlineStr">
        <is>
          <t>Temple</t>
        </is>
      </c>
      <c r="H137" s="9" t="inlineStr"/>
      <c r="I137" s="9">
        <f>IF(COUNTIF('Country Summary'!$B$5:$B$200,C137)&gt;0,"Yes","")</f>
        <v/>
      </c>
      <c r="J137" s="9" t="inlineStr"/>
    </row>
    <row r="138">
      <c r="A138" s="9" t="n">
        <v>134</v>
      </c>
      <c r="B138" s="23" t="inlineStr">
        <is>
          <t>☐</t>
        </is>
      </c>
      <c r="C138" s="9" t="inlineStr">
        <is>
          <t>India</t>
        </is>
      </c>
      <c r="D138" s="9" t="inlineStr">
        <is>
          <t>Madhya Pradesh</t>
        </is>
      </c>
      <c r="E138" s="9" t="inlineStr">
        <is>
          <t>Kanha / Bandhavgarh</t>
        </is>
      </c>
      <c r="F138" s="9" t="inlineStr">
        <is>
          <t>Tiger reserves</t>
        </is>
      </c>
      <c r="G138" s="9" t="inlineStr">
        <is>
          <t>Nature</t>
        </is>
      </c>
      <c r="H138" s="9" t="inlineStr"/>
      <c r="I138" s="9">
        <f>IF(COUNTIF('Country Summary'!$B$5:$B$200,C138)&gt;0,"Yes","")</f>
        <v/>
      </c>
      <c r="J138" s="9" t="inlineStr"/>
    </row>
    <row r="139">
      <c r="A139" s="9" t="n">
        <v>135</v>
      </c>
      <c r="B139" s="23" t="inlineStr">
        <is>
          <t>☐</t>
        </is>
      </c>
      <c r="C139" s="9" t="inlineStr">
        <is>
          <t>India</t>
        </is>
      </c>
      <c r="D139" s="9" t="inlineStr">
        <is>
          <t>Chhattisgarh</t>
        </is>
      </c>
      <c r="E139" s="9" t="inlineStr">
        <is>
          <t>Rajim / Sirpur / Chitrakote</t>
        </is>
      </c>
      <c r="F139" s="9" t="inlineStr">
        <is>
          <t>Rajim Kumbh, Laxman temple, Chitrakote falls</t>
        </is>
      </c>
      <c r="G139" s="9" t="inlineStr">
        <is>
          <t>Temple</t>
        </is>
      </c>
      <c r="H139" s="9" t="inlineStr"/>
      <c r="I139" s="9">
        <f>IF(COUNTIF('Country Summary'!$B$5:$B$200,C139)&gt;0,"Yes","")</f>
        <v/>
      </c>
      <c r="J139" s="9" t="inlineStr"/>
    </row>
    <row r="140">
      <c r="A140" s="9" t="n">
        <v>136</v>
      </c>
      <c r="B140" s="23" t="inlineStr">
        <is>
          <t>☑</t>
        </is>
      </c>
      <c r="C140" s="9" t="inlineStr">
        <is>
          <t>India</t>
        </is>
      </c>
      <c r="D140" s="9" t="inlineStr">
        <is>
          <t>Bihar</t>
        </is>
      </c>
      <c r="E140" s="9" t="inlineStr">
        <is>
          <t>Bodh Gaya</t>
        </is>
      </c>
      <c r="F140" s="9" t="inlineStr">
        <is>
          <t>Mahabodhi Temple - UNESCO</t>
        </is>
      </c>
      <c r="G140" s="9" t="inlineStr">
        <is>
          <t>UNESCO</t>
        </is>
      </c>
      <c r="H140" s="9" t="inlineStr"/>
      <c r="I140" s="9">
        <f>IF(COUNTIF('Country Summary'!$B$5:$B$200,C140)&gt;0,"Yes","")</f>
        <v/>
      </c>
      <c r="J140" s="9" t="inlineStr"/>
    </row>
    <row r="141">
      <c r="A141" s="9" t="n">
        <v>137</v>
      </c>
      <c r="B141" s="23" t="inlineStr">
        <is>
          <t>☑</t>
        </is>
      </c>
      <c r="C141" s="9" t="inlineStr">
        <is>
          <t>India</t>
        </is>
      </c>
      <c r="D141" s="9" t="inlineStr">
        <is>
          <t>Bihar</t>
        </is>
      </c>
      <c r="E141" s="9" t="inlineStr">
        <is>
          <t>Gaya</t>
        </is>
      </c>
      <c r="F141" s="9" t="inlineStr">
        <is>
          <t>Vishnupad Temple (pind daan)</t>
        </is>
      </c>
      <c r="G141" s="9" t="inlineStr">
        <is>
          <t>Temple</t>
        </is>
      </c>
      <c r="H141" s="9" t="inlineStr"/>
      <c r="I141" s="9">
        <f>IF(COUNTIF('Country Summary'!$B$5:$B$200,C141)&gt;0,"Yes","")</f>
        <v/>
      </c>
      <c r="J141" s="9" t="inlineStr"/>
    </row>
    <row r="142">
      <c r="A142" s="9" t="n">
        <v>138</v>
      </c>
      <c r="B142" s="23" t="inlineStr">
        <is>
          <t>☐</t>
        </is>
      </c>
      <c r="C142" s="9" t="inlineStr">
        <is>
          <t>India</t>
        </is>
      </c>
      <c r="D142" s="9" t="inlineStr">
        <is>
          <t>Bihar</t>
        </is>
      </c>
      <c r="E142" s="9" t="inlineStr">
        <is>
          <t>Nalanda / Rajgir</t>
        </is>
      </c>
      <c r="F142" s="9" t="inlineStr">
        <is>
          <t>Nalanda ruins - UNESCO; Vishwa Shanti Stupa</t>
        </is>
      </c>
      <c r="G142" s="9" t="inlineStr">
        <is>
          <t>UNESCO</t>
        </is>
      </c>
      <c r="H142" s="9" t="inlineStr"/>
      <c r="I142" s="9">
        <f>IF(COUNTIF('Country Summary'!$B$5:$B$200,C142)&gt;0,"Yes","")</f>
        <v/>
      </c>
      <c r="J142" s="9" t="inlineStr"/>
    </row>
    <row r="143">
      <c r="A143" s="9" t="n">
        <v>139</v>
      </c>
      <c r="B143" s="23" t="inlineStr">
        <is>
          <t>☑</t>
        </is>
      </c>
      <c r="C143" s="9" t="inlineStr">
        <is>
          <t>India</t>
        </is>
      </c>
      <c r="D143" s="9" t="inlineStr">
        <is>
          <t>Bihar</t>
        </is>
      </c>
      <c r="E143" s="9" t="inlineStr">
        <is>
          <t>Patna</t>
        </is>
      </c>
      <c r="F143" s="9" t="inlineStr">
        <is>
          <t>Takht Patna Sahib, ISKCON Patna</t>
        </is>
      </c>
      <c r="G143" s="9" t="inlineStr">
        <is>
          <t>Temple</t>
        </is>
      </c>
      <c r="H143" s="9" t="inlineStr"/>
      <c r="I143" s="9">
        <f>IF(COUNTIF('Country Summary'!$B$5:$B$200,C143)&gt;0,"Yes","")</f>
        <v/>
      </c>
      <c r="J143" s="9" t="inlineStr"/>
    </row>
    <row r="144">
      <c r="A144" s="9" t="n">
        <v>140</v>
      </c>
      <c r="B144" s="23" t="inlineStr">
        <is>
          <t>☐</t>
        </is>
      </c>
      <c r="C144" s="9" t="inlineStr">
        <is>
          <t>India</t>
        </is>
      </c>
      <c r="D144" s="9" t="inlineStr">
        <is>
          <t>Jharkhand</t>
        </is>
      </c>
      <c r="E144" s="9" t="inlineStr">
        <is>
          <t>Deoghar</t>
        </is>
      </c>
      <c r="F144" s="9" t="inlineStr">
        <is>
          <t>Baidyanath Jyotirlinga</t>
        </is>
      </c>
      <c r="G144" s="9" t="inlineStr">
        <is>
          <t>Temple</t>
        </is>
      </c>
      <c r="H144" s="9" t="inlineStr"/>
      <c r="I144" s="9">
        <f>IF(COUNTIF('Country Summary'!$B$5:$B$200,C144)&gt;0,"Yes","")</f>
        <v/>
      </c>
      <c r="J144" s="9" t="inlineStr"/>
    </row>
    <row r="145">
      <c r="A145" s="9" t="n">
        <v>141</v>
      </c>
      <c r="B145" s="23" t="inlineStr">
        <is>
          <t>☑</t>
        </is>
      </c>
      <c r="C145" s="9" t="inlineStr">
        <is>
          <t>India</t>
        </is>
      </c>
      <c r="D145" s="9" t="inlineStr">
        <is>
          <t>West Bengal</t>
        </is>
      </c>
      <c r="E145" s="9" t="inlineStr">
        <is>
          <t>Mayapur</t>
        </is>
      </c>
      <c r="F145" s="9" t="inlineStr">
        <is>
          <t>ISKCON Mayapur - TOVP, Prabhupada Pushpa Samadhi, Yogapith</t>
        </is>
      </c>
      <c r="G145" s="9" t="inlineStr">
        <is>
          <t>ISKCON</t>
        </is>
      </c>
      <c r="H145" s="9" t="inlineStr"/>
      <c r="I145" s="9">
        <f>IF(COUNTIF('Country Summary'!$B$5:$B$200,C145)&gt;0,"Yes","")</f>
        <v/>
      </c>
      <c r="J145" s="9" t="inlineStr"/>
    </row>
    <row r="146">
      <c r="A146" s="9" t="n">
        <v>142</v>
      </c>
      <c r="B146" s="23" t="inlineStr">
        <is>
          <t>☐</t>
        </is>
      </c>
      <c r="C146" s="9" t="inlineStr">
        <is>
          <t>India</t>
        </is>
      </c>
      <c r="D146" s="9" t="inlineStr">
        <is>
          <t>West Bengal</t>
        </is>
      </c>
      <c r="E146" s="9" t="inlineStr">
        <is>
          <t>Navadvipa</t>
        </is>
      </c>
      <c r="F146" s="9" t="inlineStr">
        <is>
          <t>Navadvipa mandala parikrama</t>
        </is>
      </c>
      <c r="G146" s="9" t="inlineStr">
        <is>
          <t>Temple</t>
        </is>
      </c>
      <c r="H146" s="9" t="inlineStr"/>
      <c r="I146" s="9">
        <f>IF(COUNTIF('Country Summary'!$B$5:$B$200,C146)&gt;0,"Yes","")</f>
        <v/>
      </c>
      <c r="J146" s="9" t="inlineStr"/>
    </row>
    <row r="147">
      <c r="A147" s="9" t="n">
        <v>143</v>
      </c>
      <c r="B147" s="23" t="inlineStr">
        <is>
          <t>☑</t>
        </is>
      </c>
      <c r="C147" s="9" t="inlineStr">
        <is>
          <t>India</t>
        </is>
      </c>
      <c r="D147" s="9" t="inlineStr">
        <is>
          <t>West Bengal</t>
        </is>
      </c>
      <c r="E147" s="9" t="inlineStr">
        <is>
          <t>Kolkata</t>
        </is>
      </c>
      <c r="F147" s="9" t="inlineStr">
        <is>
          <t>ISKCON Kolkata; Dakshineswar; Kalighat; Belur Math; Victoria Memorial; Prabhupada birthplace (Tollygunge)</t>
        </is>
      </c>
      <c r="G147" s="9" t="inlineStr">
        <is>
          <t>Temple</t>
        </is>
      </c>
      <c r="H147" s="9" t="inlineStr"/>
      <c r="I147" s="9">
        <f>IF(COUNTIF('Country Summary'!$B$5:$B$200,C147)&gt;0,"Yes","")</f>
        <v/>
      </c>
      <c r="J147" s="9" t="inlineStr"/>
    </row>
    <row r="148">
      <c r="A148" s="9" t="n">
        <v>144</v>
      </c>
      <c r="B148" s="23" t="inlineStr">
        <is>
          <t>☐</t>
        </is>
      </c>
      <c r="C148" s="9" t="inlineStr">
        <is>
          <t>India</t>
        </is>
      </c>
      <c r="D148" s="9" t="inlineStr">
        <is>
          <t>West Bengal</t>
        </is>
      </c>
      <c r="E148" s="9" t="inlineStr">
        <is>
          <t>Darjeeling</t>
        </is>
      </c>
      <c r="F148" s="9" t="inlineStr">
        <is>
          <t>Darjeeling Himalayan Railway - UNESCO</t>
        </is>
      </c>
      <c r="G148" s="9" t="inlineStr">
        <is>
          <t>UNESCO</t>
        </is>
      </c>
      <c r="H148" s="9" t="inlineStr"/>
      <c r="I148" s="9">
        <f>IF(COUNTIF('Country Summary'!$B$5:$B$200,C148)&gt;0,"Yes","")</f>
        <v/>
      </c>
      <c r="J148" s="9" t="inlineStr"/>
    </row>
    <row r="149">
      <c r="A149" s="9" t="n">
        <v>145</v>
      </c>
      <c r="B149" s="23" t="inlineStr">
        <is>
          <t>☐</t>
        </is>
      </c>
      <c r="C149" s="9" t="inlineStr">
        <is>
          <t>India</t>
        </is>
      </c>
      <c r="D149" s="9" t="inlineStr">
        <is>
          <t>West Bengal</t>
        </is>
      </c>
      <c r="E149" s="9" t="inlineStr">
        <is>
          <t>Sundarbans</t>
        </is>
      </c>
      <c r="F149" s="9" t="inlineStr">
        <is>
          <t>Sundarbans - UNESCO</t>
        </is>
      </c>
      <c r="G149" s="9" t="inlineStr">
        <is>
          <t>UNESCO</t>
        </is>
      </c>
      <c r="H149" s="9" t="inlineStr"/>
      <c r="I149" s="9">
        <f>IF(COUNTIF('Country Summary'!$B$5:$B$200,C149)&gt;0,"Yes","")</f>
        <v/>
      </c>
      <c r="J149" s="9" t="inlineStr"/>
    </row>
    <row r="150">
      <c r="A150" s="9" t="n">
        <v>146</v>
      </c>
      <c r="B150" s="23" t="inlineStr">
        <is>
          <t>☑</t>
        </is>
      </c>
      <c r="C150" s="9" t="inlineStr">
        <is>
          <t>India</t>
        </is>
      </c>
      <c r="D150" s="9" t="inlineStr">
        <is>
          <t>Odisha</t>
        </is>
      </c>
      <c r="E150" s="9" t="inlineStr">
        <is>
          <t>Puri</t>
        </is>
      </c>
      <c r="F150" s="9" t="inlineStr">
        <is>
          <t>Jagannath Temple, Ratha Yatra, Gundicha, Tota Gopinath, Haridas samadhi</t>
        </is>
      </c>
      <c r="G150" s="9" t="inlineStr">
        <is>
          <t>Temple</t>
        </is>
      </c>
      <c r="H150" s="9" t="inlineStr"/>
      <c r="I150" s="9">
        <f>IF(COUNTIF('Country Summary'!$B$5:$B$200,C150)&gt;0,"Yes","")</f>
        <v/>
      </c>
      <c r="J150" s="9" t="inlineStr"/>
    </row>
    <row r="151">
      <c r="A151" s="9" t="n">
        <v>147</v>
      </c>
      <c r="B151" s="23" t="inlineStr">
        <is>
          <t>☑</t>
        </is>
      </c>
      <c r="C151" s="9" t="inlineStr">
        <is>
          <t>India</t>
        </is>
      </c>
      <c r="D151" s="9" t="inlineStr">
        <is>
          <t>Odisha</t>
        </is>
      </c>
      <c r="E151" s="9" t="inlineStr">
        <is>
          <t>Konark</t>
        </is>
      </c>
      <c r="F151" s="9" t="inlineStr">
        <is>
          <t>Sun Temple - UNESCO</t>
        </is>
      </c>
      <c r="G151" s="9" t="inlineStr">
        <is>
          <t>UNESCO</t>
        </is>
      </c>
      <c r="H151" s="9" t="inlineStr"/>
      <c r="I151" s="9">
        <f>IF(COUNTIF('Country Summary'!$B$5:$B$200,C151)&gt;0,"Yes","")</f>
        <v/>
      </c>
      <c r="J151" s="9" t="inlineStr"/>
    </row>
    <row r="152">
      <c r="A152" s="9" t="n">
        <v>148</v>
      </c>
      <c r="B152" s="23" t="inlineStr">
        <is>
          <t>☑</t>
        </is>
      </c>
      <c r="C152" s="9" t="inlineStr">
        <is>
          <t>India</t>
        </is>
      </c>
      <c r="D152" s="9" t="inlineStr">
        <is>
          <t>Odisha</t>
        </is>
      </c>
      <c r="E152" s="9" t="inlineStr">
        <is>
          <t>Bhubaneswar</t>
        </is>
      </c>
      <c r="F152" s="9" t="inlineStr">
        <is>
          <t>Lingaraj, Mukteshwar, Udayagiri caves, ISKCON</t>
        </is>
      </c>
      <c r="G152" s="9" t="inlineStr">
        <is>
          <t>Temple</t>
        </is>
      </c>
      <c r="H152" s="9" t="inlineStr"/>
      <c r="I152" s="9">
        <f>IF(COUNTIF('Country Summary'!$B$5:$B$200,C152)&gt;0,"Yes","")</f>
        <v/>
      </c>
      <c r="J152" s="9" t="inlineStr"/>
    </row>
    <row r="153">
      <c r="A153" s="9" t="n">
        <v>149</v>
      </c>
      <c r="B153" s="23" t="inlineStr">
        <is>
          <t>☐</t>
        </is>
      </c>
      <c r="C153" s="9" t="inlineStr">
        <is>
          <t>India</t>
        </is>
      </c>
      <c r="D153" s="9" t="inlineStr">
        <is>
          <t>Odisha</t>
        </is>
      </c>
      <c r="E153" s="9" t="inlineStr">
        <is>
          <t>Chilika</t>
        </is>
      </c>
      <c r="F153" s="9" t="inlineStr">
        <is>
          <t>Chilika lake &amp; Kalijai</t>
        </is>
      </c>
      <c r="G153" s="9" t="inlineStr">
        <is>
          <t>Nature</t>
        </is>
      </c>
      <c r="H153" s="9" t="inlineStr"/>
      <c r="I153" s="9">
        <f>IF(COUNTIF('Country Summary'!$B$5:$B$200,C153)&gt;0,"Yes","")</f>
        <v/>
      </c>
      <c r="J153" s="9" t="inlineStr"/>
    </row>
    <row r="154">
      <c r="A154" s="9" t="n">
        <v>150</v>
      </c>
      <c r="B154" s="23" t="inlineStr">
        <is>
          <t>☐</t>
        </is>
      </c>
      <c r="C154" s="9" t="inlineStr">
        <is>
          <t>India</t>
        </is>
      </c>
      <c r="D154" s="9" t="inlineStr">
        <is>
          <t>Assam</t>
        </is>
      </c>
      <c r="E154" s="9" t="inlineStr">
        <is>
          <t>Guwahati</t>
        </is>
      </c>
      <c r="F154" s="9" t="inlineStr">
        <is>
          <t>Kamakhya Temple, Umananda</t>
        </is>
      </c>
      <c r="G154" s="9" t="inlineStr">
        <is>
          <t>Temple</t>
        </is>
      </c>
      <c r="H154" s="9" t="inlineStr"/>
      <c r="I154" s="9">
        <f>IF(COUNTIF('Country Summary'!$B$5:$B$200,C154)&gt;0,"Yes","")</f>
        <v/>
      </c>
      <c r="J154" s="9" t="inlineStr"/>
    </row>
    <row r="155">
      <c r="A155" s="9" t="n">
        <v>151</v>
      </c>
      <c r="B155" s="23" t="inlineStr">
        <is>
          <t>☐</t>
        </is>
      </c>
      <c r="C155" s="9" t="inlineStr">
        <is>
          <t>India</t>
        </is>
      </c>
      <c r="D155" s="9" t="inlineStr">
        <is>
          <t>Assam</t>
        </is>
      </c>
      <c r="E155" s="9" t="inlineStr">
        <is>
          <t>Majuli</t>
        </is>
      </c>
      <c r="F155" s="9" t="inlineStr">
        <is>
          <t>Vaishnava satras (river island)</t>
        </is>
      </c>
      <c r="G155" s="9" t="inlineStr">
        <is>
          <t>Temple</t>
        </is>
      </c>
      <c r="H155" s="9" t="inlineStr"/>
      <c r="I155" s="9">
        <f>IF(COUNTIF('Country Summary'!$B$5:$B$200,C155)&gt;0,"Yes","")</f>
        <v/>
      </c>
      <c r="J155" s="9" t="inlineStr"/>
    </row>
    <row r="156">
      <c r="A156" s="9" t="n">
        <v>152</v>
      </c>
      <c r="B156" s="23" t="inlineStr">
        <is>
          <t>☐</t>
        </is>
      </c>
      <c r="C156" s="9" t="inlineStr">
        <is>
          <t>India</t>
        </is>
      </c>
      <c r="D156" s="9" t="inlineStr">
        <is>
          <t>Assam</t>
        </is>
      </c>
      <c r="E156" s="9" t="inlineStr">
        <is>
          <t>Kaziranga</t>
        </is>
      </c>
      <c r="F156" s="9" t="inlineStr">
        <is>
          <t>Kaziranga - UNESCO (rhinos)</t>
        </is>
      </c>
      <c r="G156" s="9" t="inlineStr">
        <is>
          <t>UNESCO</t>
        </is>
      </c>
      <c r="H156" s="9" t="inlineStr"/>
      <c r="I156" s="9">
        <f>IF(COUNTIF('Country Summary'!$B$5:$B$200,C156)&gt;0,"Yes","")</f>
        <v/>
      </c>
      <c r="J156" s="9" t="inlineStr"/>
    </row>
    <row r="157">
      <c r="A157" s="9" t="n">
        <v>153</v>
      </c>
      <c r="B157" s="23" t="inlineStr">
        <is>
          <t>☐</t>
        </is>
      </c>
      <c r="C157" s="9" t="inlineStr">
        <is>
          <t>India</t>
        </is>
      </c>
      <c r="D157" s="9" t="inlineStr">
        <is>
          <t>Meghalaya</t>
        </is>
      </c>
      <c r="E157" s="9" t="inlineStr">
        <is>
          <t>Shillong / Cherrapunji</t>
        </is>
      </c>
      <c r="F157" s="9" t="inlineStr">
        <is>
          <t>Living root bridges, Mawlynnong, Dawki</t>
        </is>
      </c>
      <c r="G157" s="9" t="inlineStr">
        <is>
          <t>Nature</t>
        </is>
      </c>
      <c r="H157" s="9" t="inlineStr"/>
      <c r="I157" s="9">
        <f>IF(COUNTIF('Country Summary'!$B$5:$B$200,C157)&gt;0,"Yes","")</f>
        <v/>
      </c>
      <c r="J157" s="9" t="inlineStr"/>
    </row>
    <row r="158">
      <c r="A158" s="9" t="n">
        <v>154</v>
      </c>
      <c r="B158" s="23" t="inlineStr">
        <is>
          <t>☐</t>
        </is>
      </c>
      <c r="C158" s="9" t="inlineStr">
        <is>
          <t>India</t>
        </is>
      </c>
      <c r="D158" s="9" t="inlineStr">
        <is>
          <t>Arunachal Pradesh</t>
        </is>
      </c>
      <c r="E158" s="9" t="inlineStr">
        <is>
          <t>Tawang</t>
        </is>
      </c>
      <c r="F158" s="9" t="inlineStr">
        <is>
          <t>Tawang Monastery (ILP)</t>
        </is>
      </c>
      <c r="G158" s="9" t="inlineStr">
        <is>
          <t>Monument</t>
        </is>
      </c>
      <c r="H158" s="9" t="inlineStr"/>
      <c r="I158" s="9">
        <f>IF(COUNTIF('Country Summary'!$B$5:$B$200,C158)&gt;0,"Yes","")</f>
        <v/>
      </c>
      <c r="J158" s="9" t="inlineStr"/>
    </row>
    <row r="159">
      <c r="A159" s="9" t="n">
        <v>155</v>
      </c>
      <c r="B159" s="23" t="inlineStr">
        <is>
          <t>☐</t>
        </is>
      </c>
      <c r="C159" s="9" t="inlineStr">
        <is>
          <t>India</t>
        </is>
      </c>
      <c r="D159" s="9" t="inlineStr">
        <is>
          <t>Manipur</t>
        </is>
      </c>
      <c r="E159" s="9" t="inlineStr">
        <is>
          <t>Imphal</t>
        </is>
      </c>
      <c r="F159" s="9" t="inlineStr">
        <is>
          <t>Shree Govindajee Temple, Loktak lake, Kangla Fort</t>
        </is>
      </c>
      <c r="G159" s="9" t="inlineStr">
        <is>
          <t>Temple</t>
        </is>
      </c>
      <c r="H159" s="9" t="inlineStr"/>
      <c r="I159" s="9">
        <f>IF(COUNTIF('Country Summary'!$B$5:$B$200,C159)&gt;0,"Yes","")</f>
        <v/>
      </c>
      <c r="J159" s="9" t="inlineStr"/>
    </row>
    <row r="160">
      <c r="A160" s="9" t="n">
        <v>156</v>
      </c>
      <c r="B160" s="23" t="inlineStr">
        <is>
          <t>☐</t>
        </is>
      </c>
      <c r="C160" s="9" t="inlineStr">
        <is>
          <t>India</t>
        </is>
      </c>
      <c r="D160" s="9" t="inlineStr">
        <is>
          <t>Nagaland</t>
        </is>
      </c>
      <c r="E160" s="9" t="inlineStr">
        <is>
          <t>Kohima</t>
        </is>
      </c>
      <c r="F160" s="9" t="inlineStr">
        <is>
          <t>Hornbill Festival (Dec), WWII cemetery</t>
        </is>
      </c>
      <c r="G160" s="9" t="inlineStr">
        <is>
          <t>Festival</t>
        </is>
      </c>
      <c r="H160" s="9" t="inlineStr"/>
      <c r="I160" s="9">
        <f>IF(COUNTIF('Country Summary'!$B$5:$B$200,C160)&gt;0,"Yes","")</f>
        <v/>
      </c>
      <c r="J160" s="9" t="inlineStr"/>
    </row>
    <row r="161">
      <c r="A161" s="9" t="n">
        <v>157</v>
      </c>
      <c r="B161" s="23" t="inlineStr">
        <is>
          <t>☐</t>
        </is>
      </c>
      <c r="C161" s="9" t="inlineStr">
        <is>
          <t>India</t>
        </is>
      </c>
      <c r="D161" s="9" t="inlineStr">
        <is>
          <t>Mizoram</t>
        </is>
      </c>
      <c r="E161" s="9" t="inlineStr">
        <is>
          <t>Aizawl</t>
        </is>
      </c>
      <c r="F161" s="9" t="inlineStr">
        <is>
          <t>Solomon's Temple, Reiek</t>
        </is>
      </c>
      <c r="G161" s="9" t="inlineStr">
        <is>
          <t>Monument</t>
        </is>
      </c>
      <c r="H161" s="9" t="inlineStr"/>
      <c r="I161" s="9">
        <f>IF(COUNTIF('Country Summary'!$B$5:$B$200,C161)&gt;0,"Yes","")</f>
        <v/>
      </c>
      <c r="J161" s="9" t="inlineStr"/>
    </row>
    <row r="162">
      <c r="A162" s="9" t="n">
        <v>158</v>
      </c>
      <c r="B162" s="23" t="inlineStr">
        <is>
          <t>☑</t>
        </is>
      </c>
      <c r="C162" s="9" t="inlineStr">
        <is>
          <t>India</t>
        </is>
      </c>
      <c r="D162" s="9" t="inlineStr">
        <is>
          <t>Tripura</t>
        </is>
      </c>
      <c r="E162" s="9" t="inlineStr">
        <is>
          <t>Udaipur (Tripura)</t>
        </is>
      </c>
      <c r="F162" s="9" t="inlineStr">
        <is>
          <t>Tripura Sundari (Shakti peetha), Ujjayanta Palace, Unakoti</t>
        </is>
      </c>
      <c r="G162" s="9" t="inlineStr">
        <is>
          <t>Temple</t>
        </is>
      </c>
      <c r="H162" s="9" t="inlineStr"/>
      <c r="I162" s="9">
        <f>IF(COUNTIF('Country Summary'!$B$5:$B$200,C162)&gt;0,"Yes","")</f>
        <v/>
      </c>
      <c r="J162" s="9" t="inlineStr"/>
    </row>
    <row r="163">
      <c r="A163" s="9" t="n">
        <v>159</v>
      </c>
      <c r="B163" s="23" t="inlineStr">
        <is>
          <t>☐</t>
        </is>
      </c>
      <c r="C163" s="9" t="inlineStr">
        <is>
          <t>India</t>
        </is>
      </c>
      <c r="D163" s="9" t="inlineStr">
        <is>
          <t>Sikkim</t>
        </is>
      </c>
      <c r="E163" s="9" t="inlineStr">
        <is>
          <t>Gangtok</t>
        </is>
      </c>
      <c r="F163" s="9" t="inlineStr">
        <is>
          <t>Rumtek, Tsomgo lake, Nathu La; Khangchendzonga NP - UNESCO</t>
        </is>
      </c>
      <c r="G163" s="9" t="inlineStr">
        <is>
          <t>UNESCO</t>
        </is>
      </c>
      <c r="H163" s="9" t="inlineStr"/>
      <c r="I163" s="9">
        <f>IF(COUNTIF('Country Summary'!$B$5:$B$200,C163)&gt;0,"Yes","")</f>
        <v/>
      </c>
      <c r="J163" s="9" t="inlineStr"/>
    </row>
    <row r="164">
      <c r="A164" s="9" t="n">
        <v>160</v>
      </c>
      <c r="B164" s="23" t="inlineStr">
        <is>
          <t>☐</t>
        </is>
      </c>
      <c r="C164" s="9" t="inlineStr">
        <is>
          <t>India</t>
        </is>
      </c>
      <c r="D164" s="9" t="inlineStr">
        <is>
          <t>Andaman &amp; Nicobar</t>
        </is>
      </c>
      <c r="E164" s="9" t="inlineStr">
        <is>
          <t>Port Blair</t>
        </is>
      </c>
      <c r="F164" s="9" t="inlineStr">
        <is>
          <t>Cellular Jail, Havelock (Radhanagar)</t>
        </is>
      </c>
      <c r="G164" s="9" t="inlineStr">
        <is>
          <t>Monument</t>
        </is>
      </c>
      <c r="H164" s="9" t="inlineStr"/>
      <c r="I164" s="9">
        <f>IF(COUNTIF('Country Summary'!$B$5:$B$200,C164)&gt;0,"Yes","")</f>
        <v/>
      </c>
      <c r="J164" s="9" t="inlineStr"/>
    </row>
    <row r="165">
      <c r="A165" s="9" t="n">
        <v>161</v>
      </c>
      <c r="B165" s="23" t="inlineStr">
        <is>
          <t>☐</t>
        </is>
      </c>
      <c r="C165" s="9" t="inlineStr">
        <is>
          <t>India</t>
        </is>
      </c>
      <c r="D165" s="9" t="inlineStr">
        <is>
          <t>Lakshadweep</t>
        </is>
      </c>
      <c r="E165" s="9" t="inlineStr">
        <is>
          <t>Agatti / Bangaram</t>
        </is>
      </c>
      <c r="F165" s="9" t="inlineStr">
        <is>
          <t>Lagoons</t>
        </is>
      </c>
      <c r="G165" s="9" t="inlineStr">
        <is>
          <t>Nature</t>
        </is>
      </c>
      <c r="H165" s="9" t="inlineStr"/>
      <c r="I165" s="9">
        <f>IF(COUNTIF('Country Summary'!$B$5:$B$200,C165)&gt;0,"Yes","")</f>
        <v/>
      </c>
      <c r="J165" s="9" t="inlineStr"/>
    </row>
    <row r="166">
      <c r="A166" s="9" t="n">
        <v>162</v>
      </c>
      <c r="B166" s="23" t="inlineStr">
        <is>
          <t>☐</t>
        </is>
      </c>
      <c r="C166" s="9" t="inlineStr">
        <is>
          <t>India</t>
        </is>
      </c>
      <c r="D166" s="9" t="inlineStr">
        <is>
          <t>Puducherry</t>
        </is>
      </c>
      <c r="E166" s="9" t="inlineStr">
        <is>
          <t>Puducherry</t>
        </is>
      </c>
      <c r="F166" s="9" t="inlineStr">
        <is>
          <t>Aurobindo Ashram, Auroville, French quarter</t>
        </is>
      </c>
      <c r="G166" s="9" t="inlineStr">
        <is>
          <t>Monument</t>
        </is>
      </c>
      <c r="H166" s="9" t="inlineStr"/>
      <c r="I166" s="9">
        <f>IF(COUNTIF('Country Summary'!$B$5:$B$200,C166)&gt;0,"Yes","")</f>
        <v/>
      </c>
      <c r="J166" s="9" t="inlineStr"/>
    </row>
    <row r="167">
      <c r="A167" s="9" t="n">
        <v>163</v>
      </c>
      <c r="B167" s="23" t="inlineStr">
        <is>
          <t>☐</t>
        </is>
      </c>
      <c r="C167" s="9" t="inlineStr">
        <is>
          <t>India</t>
        </is>
      </c>
      <c r="D167" s="9" t="inlineStr">
        <is>
          <t>Maharashtra</t>
        </is>
      </c>
      <c r="E167" s="9" t="inlineStr">
        <is>
          <t>Mumbai</t>
        </is>
      </c>
      <c r="F167" s="9" t="inlineStr">
        <is>
          <t>Marine Drive, Gateway of India, Juhu beach, Bandra-Worli Sea Link, Film City</t>
        </is>
      </c>
      <c r="G167" s="9" t="inlineStr">
        <is>
          <t>Sightseeing</t>
        </is>
      </c>
      <c r="H167" s="9" t="inlineStr"/>
      <c r="I167" s="9">
        <f>IF(COUNTIF('Country Summary'!$B$5:$B$200,C167)&gt;0,"Yes","")</f>
        <v/>
      </c>
      <c r="J167" s="9" t="inlineStr"/>
    </row>
    <row r="168">
      <c r="A168" s="9" t="n">
        <v>164</v>
      </c>
      <c r="B168" s="23" t="inlineStr">
        <is>
          <t>☐</t>
        </is>
      </c>
      <c r="C168" s="9" t="inlineStr">
        <is>
          <t>India</t>
        </is>
      </c>
      <c r="D168" s="9" t="inlineStr">
        <is>
          <t>Maharashtra</t>
        </is>
      </c>
      <c r="E168" s="9" t="inlineStr">
        <is>
          <t>Lonavala / Mahabaleshwar</t>
        </is>
      </c>
      <c r="F168" s="9" t="inlineStr">
        <is>
          <t>Hill stations, Imagica theme park</t>
        </is>
      </c>
      <c r="G168" s="9" t="inlineStr">
        <is>
          <t>Sightseeing</t>
        </is>
      </c>
      <c r="H168" s="9" t="inlineStr"/>
      <c r="I168" s="9">
        <f>IF(COUNTIF('Country Summary'!$B$5:$B$200,C168)&gt;0,"Yes","")</f>
        <v/>
      </c>
      <c r="J168" s="9" t="inlineStr"/>
    </row>
    <row r="169">
      <c r="A169" s="9" t="n">
        <v>165</v>
      </c>
      <c r="B169" s="23" t="inlineStr">
        <is>
          <t>☐</t>
        </is>
      </c>
      <c r="C169" s="9" t="inlineStr">
        <is>
          <t>India</t>
        </is>
      </c>
      <c r="D169" s="9" t="inlineStr">
        <is>
          <t>Goa</t>
        </is>
      </c>
      <c r="E169" s="9" t="inlineStr">
        <is>
          <t>North / South Goa</t>
        </is>
      </c>
      <c r="F169" s="9" t="inlineStr">
        <is>
          <t>Calangute, Baga, Palolem beaches; Dudhsagar falls</t>
        </is>
      </c>
      <c r="G169" s="9" t="inlineStr">
        <is>
          <t>Beach</t>
        </is>
      </c>
      <c r="H169" s="9" t="inlineStr"/>
      <c r="I169" s="9">
        <f>IF(COUNTIF('Country Summary'!$B$5:$B$200,C169)&gt;0,"Yes","")</f>
        <v/>
      </c>
      <c r="J169" s="9" t="inlineStr"/>
    </row>
    <row r="170">
      <c r="A170" s="9" t="n">
        <v>166</v>
      </c>
      <c r="B170" s="23" t="inlineStr">
        <is>
          <t>☐</t>
        </is>
      </c>
      <c r="C170" s="9" t="inlineStr">
        <is>
          <t>India</t>
        </is>
      </c>
      <c r="D170" s="9" t="inlineStr">
        <is>
          <t>Rajasthan</t>
        </is>
      </c>
      <c r="E170" s="9" t="inlineStr">
        <is>
          <t>Jaipur</t>
        </is>
      </c>
      <c r="F170" s="9" t="inlineStr">
        <is>
          <t>Chokhi Dhani, Nahargarh sunset, Jal Mahal</t>
        </is>
      </c>
      <c r="G170" s="9" t="inlineStr">
        <is>
          <t>Sightseeing</t>
        </is>
      </c>
      <c r="H170" s="9" t="inlineStr"/>
      <c r="I170" s="9">
        <f>IF(COUNTIF('Country Summary'!$B$5:$B$200,C170)&gt;0,"Yes","")</f>
        <v/>
      </c>
      <c r="J170" s="9" t="inlineStr"/>
    </row>
    <row r="171">
      <c r="A171" s="9" t="n">
        <v>167</v>
      </c>
      <c r="B171" s="23" t="inlineStr">
        <is>
          <t>☐</t>
        </is>
      </c>
      <c r="C171" s="9" t="inlineStr">
        <is>
          <t>India</t>
        </is>
      </c>
      <c r="D171" s="9" t="inlineStr">
        <is>
          <t>Rajasthan</t>
        </is>
      </c>
      <c r="E171" s="9" t="inlineStr">
        <is>
          <t>Jaisalmer</t>
        </is>
      </c>
      <c r="F171" s="9" t="inlineStr">
        <is>
          <t>Sam sand dunes camel safari &amp; desert camp</t>
        </is>
      </c>
      <c r="G171" s="9" t="inlineStr">
        <is>
          <t>Sightseeing</t>
        </is>
      </c>
      <c r="H171" s="9" t="inlineStr"/>
      <c r="I171" s="9">
        <f>IF(COUNTIF('Country Summary'!$B$5:$B$200,C171)&gt;0,"Yes","")</f>
        <v/>
      </c>
      <c r="J171" s="9" t="inlineStr"/>
    </row>
    <row r="172">
      <c r="A172" s="9" t="n">
        <v>168</v>
      </c>
      <c r="B172" s="23" t="inlineStr">
        <is>
          <t>☑</t>
        </is>
      </c>
      <c r="C172" s="9" t="inlineStr">
        <is>
          <t>India</t>
        </is>
      </c>
      <c r="D172" s="9" t="inlineStr">
        <is>
          <t>Uttar Pradesh</t>
        </is>
      </c>
      <c r="E172" s="9" t="inlineStr">
        <is>
          <t>Agra</t>
        </is>
      </c>
      <c r="F172" s="9" t="inlineStr">
        <is>
          <t>Mehtab Bagh (Taj sunset view), Taj Mahotsav (Feb)</t>
        </is>
      </c>
      <c r="G172" s="9" t="inlineStr">
        <is>
          <t>Sightseeing</t>
        </is>
      </c>
      <c r="H172" s="9" t="inlineStr"/>
      <c r="I172" s="9">
        <f>IF(COUNTIF('Country Summary'!$B$5:$B$200,C172)&gt;0,"Yes","")</f>
        <v/>
      </c>
      <c r="J172" s="9" t="inlineStr"/>
    </row>
    <row r="173">
      <c r="A173" s="9" t="n">
        <v>169</v>
      </c>
      <c r="B173" s="23" t="inlineStr">
        <is>
          <t>☐</t>
        </is>
      </c>
      <c r="C173" s="9" t="inlineStr">
        <is>
          <t>India</t>
        </is>
      </c>
      <c r="D173" s="9" t="inlineStr">
        <is>
          <t>Delhi</t>
        </is>
      </c>
      <c r="E173" s="9" t="inlineStr">
        <is>
          <t>Delhi</t>
        </is>
      </c>
      <c r="F173" s="9" t="inlineStr">
        <is>
          <t>Chandni Chowk, Connaught Place, Dilli Haat, Rashtrapati Bhavan</t>
        </is>
      </c>
      <c r="G173" s="9" t="inlineStr">
        <is>
          <t>Sightseeing</t>
        </is>
      </c>
      <c r="H173" s="9" t="inlineStr"/>
      <c r="I173" s="9">
        <f>IF(COUNTIF('Country Summary'!$B$5:$B$200,C173)&gt;0,"Yes","")</f>
        <v/>
      </c>
      <c r="J173" s="9" t="inlineStr"/>
    </row>
    <row r="174">
      <c r="A174" s="9" t="n">
        <v>170</v>
      </c>
      <c r="B174" s="23" t="inlineStr">
        <is>
          <t>☐</t>
        </is>
      </c>
      <c r="C174" s="9" t="inlineStr">
        <is>
          <t>India</t>
        </is>
      </c>
      <c r="D174" s="9" t="inlineStr">
        <is>
          <t>Himachal Pradesh</t>
        </is>
      </c>
      <c r="E174" s="9" t="inlineStr">
        <is>
          <t>Manali / Solang</t>
        </is>
      </c>
      <c r="F174" s="9" t="inlineStr">
        <is>
          <t>Solang Valley adventure, Atal Tunnel, Sissu</t>
        </is>
      </c>
      <c r="G174" s="9" t="inlineStr">
        <is>
          <t>Nature</t>
        </is>
      </c>
      <c r="H174" s="9" t="inlineStr"/>
      <c r="I174" s="9">
        <f>IF(COUNTIF('Country Summary'!$B$5:$B$200,C174)&gt;0,"Yes","")</f>
        <v/>
      </c>
      <c r="J174" s="9" t="inlineStr"/>
    </row>
    <row r="175">
      <c r="A175" s="9" t="n">
        <v>171</v>
      </c>
      <c r="B175" s="23" t="inlineStr">
        <is>
          <t>☐</t>
        </is>
      </c>
      <c r="C175" s="9" t="inlineStr">
        <is>
          <t>India</t>
        </is>
      </c>
      <c r="D175" s="9" t="inlineStr">
        <is>
          <t>Jammu &amp; Kashmir</t>
        </is>
      </c>
      <c r="E175" s="9" t="inlineStr">
        <is>
          <t>Gulmarg / Pahalgam / Sonamarg</t>
        </is>
      </c>
      <c r="F175" s="9" t="inlineStr">
        <is>
          <t>Gulmarg gondola, Betaab valley, Thajiwas glacier</t>
        </is>
      </c>
      <c r="G175" s="9" t="inlineStr">
        <is>
          <t>Nature</t>
        </is>
      </c>
      <c r="H175" s="9" t="inlineStr"/>
      <c r="I175" s="9">
        <f>IF(COUNTIF('Country Summary'!$B$5:$B$200,C175)&gt;0,"Yes","")</f>
        <v/>
      </c>
      <c r="J175" s="9" t="inlineStr"/>
    </row>
    <row r="176">
      <c r="A176" s="9" t="n">
        <v>172</v>
      </c>
      <c r="B176" s="23" t="inlineStr">
        <is>
          <t>☐</t>
        </is>
      </c>
      <c r="C176" s="9" t="inlineStr">
        <is>
          <t>India</t>
        </is>
      </c>
      <c r="D176" s="9" t="inlineStr">
        <is>
          <t>Ladakh</t>
        </is>
      </c>
      <c r="E176" s="9" t="inlineStr">
        <is>
          <t>Leh</t>
        </is>
      </c>
      <c r="F176" s="9" t="inlineStr">
        <is>
          <t>Magnetic Hill, Pangong Tso, Nubra sand dunes (Bactrian camels)</t>
        </is>
      </c>
      <c r="G176" s="9" t="inlineStr">
        <is>
          <t>Nature</t>
        </is>
      </c>
      <c r="H176" s="9" t="inlineStr"/>
      <c r="I176" s="9">
        <f>IF(COUNTIF('Country Summary'!$B$5:$B$200,C176)&gt;0,"Yes","")</f>
        <v/>
      </c>
      <c r="J176" s="9" t="inlineStr"/>
    </row>
    <row r="177">
      <c r="A177" s="9" t="n">
        <v>173</v>
      </c>
      <c r="B177" s="23" t="inlineStr">
        <is>
          <t>☐</t>
        </is>
      </c>
      <c r="C177" s="9" t="inlineStr">
        <is>
          <t>India</t>
        </is>
      </c>
      <c r="D177" s="9" t="inlineStr">
        <is>
          <t>Karnataka</t>
        </is>
      </c>
      <c r="E177" s="9" t="inlineStr">
        <is>
          <t>Bengaluru</t>
        </is>
      </c>
      <c r="F177" s="9" t="inlineStr">
        <is>
          <t>Wonderla, Bannerghatta, Nandi Hills sunrise, Cubbon Park</t>
        </is>
      </c>
      <c r="G177" s="9" t="inlineStr">
        <is>
          <t>Sightseeing</t>
        </is>
      </c>
      <c r="H177" s="9" t="inlineStr"/>
      <c r="I177" s="9">
        <f>IF(COUNTIF('Country Summary'!$B$5:$B$200,C177)&gt;0,"Yes","")</f>
        <v/>
      </c>
      <c r="J177" s="9" t="inlineStr"/>
    </row>
    <row r="178">
      <c r="A178" s="9" t="n">
        <v>174</v>
      </c>
      <c r="B178" s="23" t="inlineStr">
        <is>
          <t>☐</t>
        </is>
      </c>
      <c r="C178" s="9" t="inlineStr">
        <is>
          <t>India</t>
        </is>
      </c>
      <c r="D178" s="9" t="inlineStr">
        <is>
          <t>Karnataka</t>
        </is>
      </c>
      <c r="E178" s="9" t="inlineStr">
        <is>
          <t>Hampi</t>
        </is>
      </c>
      <c r="F178" s="9" t="inlineStr">
        <is>
          <t>Hampi coracle ride, Matanga hill sunrise</t>
        </is>
      </c>
      <c r="G178" s="9" t="inlineStr">
        <is>
          <t>Sightseeing</t>
        </is>
      </c>
      <c r="H178" s="9" t="inlineStr"/>
      <c r="I178" s="9">
        <f>IF(COUNTIF('Country Summary'!$B$5:$B$200,C178)&gt;0,"Yes","")</f>
        <v/>
      </c>
      <c r="J178" s="9" t="inlineStr"/>
    </row>
    <row r="179">
      <c r="A179" s="9" t="n">
        <v>175</v>
      </c>
      <c r="B179" s="23" t="inlineStr">
        <is>
          <t>☐</t>
        </is>
      </c>
      <c r="C179" s="9" t="inlineStr">
        <is>
          <t>India</t>
        </is>
      </c>
      <c r="D179" s="9" t="inlineStr">
        <is>
          <t>Tamil Nadu</t>
        </is>
      </c>
      <c r="E179" s="9" t="inlineStr">
        <is>
          <t>Ooty / Kodaikanal</t>
        </is>
      </c>
      <c r="F179" s="9" t="inlineStr">
        <is>
          <t>Botanical gardens, Doddabetta, Kodai lake</t>
        </is>
      </c>
      <c r="G179" s="9" t="inlineStr">
        <is>
          <t>Nature</t>
        </is>
      </c>
      <c r="H179" s="9" t="inlineStr"/>
      <c r="I179" s="9">
        <f>IF(COUNTIF('Country Summary'!$B$5:$B$200,C179)&gt;0,"Yes","")</f>
        <v/>
      </c>
      <c r="J179" s="9" t="inlineStr"/>
    </row>
    <row r="180">
      <c r="A180" s="9" t="n">
        <v>176</v>
      </c>
      <c r="B180" s="23" t="inlineStr">
        <is>
          <t>☐</t>
        </is>
      </c>
      <c r="C180" s="9" t="inlineStr">
        <is>
          <t>India</t>
        </is>
      </c>
      <c r="D180" s="9" t="inlineStr">
        <is>
          <t>Kerala</t>
        </is>
      </c>
      <c r="E180" s="9" t="inlineStr">
        <is>
          <t>Munnar / Thekkady / Varkala</t>
        </is>
      </c>
      <c r="F180" s="9" t="inlineStr">
        <is>
          <t>Tea museum, Periyar wildlife boat, Varkala cliff beach</t>
        </is>
      </c>
      <c r="G180" s="9" t="inlineStr">
        <is>
          <t>Nature</t>
        </is>
      </c>
      <c r="H180" s="9" t="inlineStr"/>
      <c r="I180" s="9">
        <f>IF(COUNTIF('Country Summary'!$B$5:$B$200,C180)&gt;0,"Yes","")</f>
        <v/>
      </c>
      <c r="J180" s="9" t="inlineStr"/>
    </row>
    <row r="181">
      <c r="A181" s="9" t="n">
        <v>177</v>
      </c>
      <c r="B181" s="23" t="inlineStr">
        <is>
          <t>☐</t>
        </is>
      </c>
      <c r="C181" s="9" t="inlineStr">
        <is>
          <t>India</t>
        </is>
      </c>
      <c r="D181" s="9" t="inlineStr">
        <is>
          <t>Andhra Pradesh</t>
        </is>
      </c>
      <c r="E181" s="9" t="inlineStr">
        <is>
          <t>Araku / Vizag</t>
        </is>
      </c>
      <c r="F181" s="9" t="inlineStr">
        <is>
          <t>Araku valley train, Borra caves, RK Beach, Kailasagiri</t>
        </is>
      </c>
      <c r="G181" s="9" t="inlineStr">
        <is>
          <t>Nature</t>
        </is>
      </c>
      <c r="H181" s="9" t="inlineStr"/>
      <c r="I181" s="9">
        <f>IF(COUNTIF('Country Summary'!$B$5:$B$200,C181)&gt;0,"Yes","")</f>
        <v/>
      </c>
      <c r="J181" s="9" t="inlineStr"/>
    </row>
    <row r="182">
      <c r="A182" s="9" t="n">
        <v>178</v>
      </c>
      <c r="B182" s="23" t="inlineStr">
        <is>
          <t>☐</t>
        </is>
      </c>
      <c r="C182" s="9" t="inlineStr">
        <is>
          <t>India</t>
        </is>
      </c>
      <c r="D182" s="9" t="inlineStr">
        <is>
          <t>Telangana</t>
        </is>
      </c>
      <c r="E182" s="9" t="inlineStr">
        <is>
          <t>Hyderabad</t>
        </is>
      </c>
      <c r="F182" s="9" t="inlineStr">
        <is>
          <t>Ramoji Film City (world's largest), Hussain Sagar &amp; Buddha statue, Hitec City</t>
        </is>
      </c>
      <c r="G182" s="9" t="inlineStr">
        <is>
          <t>Sightseeing</t>
        </is>
      </c>
      <c r="H182" s="9" t="inlineStr"/>
      <c r="I182" s="9">
        <f>IF(COUNTIF('Country Summary'!$B$5:$B$200,C182)&gt;0,"Yes","")</f>
        <v/>
      </c>
      <c r="J182" s="9" t="inlineStr"/>
    </row>
    <row r="183">
      <c r="A183" s="9" t="n">
        <v>179</v>
      </c>
      <c r="B183" s="23" t="inlineStr">
        <is>
          <t>☐</t>
        </is>
      </c>
      <c r="C183" s="9" t="inlineStr">
        <is>
          <t>India</t>
        </is>
      </c>
      <c r="D183" s="9" t="inlineStr">
        <is>
          <t>Gujarat</t>
        </is>
      </c>
      <c r="E183" s="9" t="inlineStr">
        <is>
          <t>Kutch</t>
        </is>
      </c>
      <c r="F183" s="9" t="inlineStr">
        <is>
          <t>Rann Utsav - White Rann (Nov-Feb), Mandvi beach</t>
        </is>
      </c>
      <c r="G183" s="9" t="inlineStr">
        <is>
          <t>Festival</t>
        </is>
      </c>
      <c r="H183" s="9" t="inlineStr"/>
      <c r="I183" s="9">
        <f>IF(COUNTIF('Country Summary'!$B$5:$B$200,C183)&gt;0,"Yes","")</f>
        <v/>
      </c>
      <c r="J183" s="9" t="inlineStr"/>
    </row>
    <row r="184">
      <c r="A184" s="9" t="n">
        <v>180</v>
      </c>
      <c r="B184" s="23" t="inlineStr">
        <is>
          <t>☐</t>
        </is>
      </c>
      <c r="C184" s="9" t="inlineStr">
        <is>
          <t>India</t>
        </is>
      </c>
      <c r="D184" s="9" t="inlineStr">
        <is>
          <t>Gujarat</t>
        </is>
      </c>
      <c r="E184" s="9" t="inlineStr">
        <is>
          <t>Gir</t>
        </is>
      </c>
      <c r="F184" s="9" t="inlineStr">
        <is>
          <t>Gir National Park - Asiatic lions</t>
        </is>
      </c>
      <c r="G184" s="9" t="inlineStr">
        <is>
          <t>Wildlife</t>
        </is>
      </c>
      <c r="H184" s="9" t="inlineStr"/>
      <c r="I184" s="9">
        <f>IF(COUNTIF('Country Summary'!$B$5:$B$200,C184)&gt;0,"Yes","")</f>
        <v/>
      </c>
      <c r="J184" s="9" t="inlineStr"/>
    </row>
    <row r="185">
      <c r="A185" s="9" t="n">
        <v>181</v>
      </c>
      <c r="B185" s="23" t="inlineStr">
        <is>
          <t>☐</t>
        </is>
      </c>
      <c r="C185" s="9" t="inlineStr">
        <is>
          <t>India</t>
        </is>
      </c>
      <c r="D185" s="9" t="inlineStr">
        <is>
          <t>Madhya Pradesh</t>
        </is>
      </c>
      <c r="E185" s="9" t="inlineStr">
        <is>
          <t>Pachmarhi / Jabalpur</t>
        </is>
      </c>
      <c r="F185" s="9" t="inlineStr">
        <is>
          <t>Pachmarhi hill station; Bhedaghat marble rocks &amp; Dhuandhar falls</t>
        </is>
      </c>
      <c r="G185" s="9" t="inlineStr">
        <is>
          <t>Nature</t>
        </is>
      </c>
      <c r="H185" s="9" t="inlineStr"/>
      <c r="I185" s="9">
        <f>IF(COUNTIF('Country Summary'!$B$5:$B$200,C185)&gt;0,"Yes","")</f>
        <v/>
      </c>
      <c r="J185" s="9" t="inlineStr"/>
    </row>
    <row r="186">
      <c r="A186" s="9" t="n">
        <v>182</v>
      </c>
      <c r="B186" s="23" t="inlineStr">
        <is>
          <t>☐</t>
        </is>
      </c>
      <c r="C186" s="9" t="inlineStr">
        <is>
          <t>India</t>
        </is>
      </c>
      <c r="D186" s="9" t="inlineStr">
        <is>
          <t>Uttarakhand</t>
        </is>
      </c>
      <c r="E186" s="9" t="inlineStr">
        <is>
          <t>Nainital / Auli / Mussoorie</t>
        </is>
      </c>
      <c r="F186" s="9" t="inlineStr">
        <is>
          <t>Naini lake, Auli skiing, Kempty falls</t>
        </is>
      </c>
      <c r="G186" s="9" t="inlineStr">
        <is>
          <t>Nature</t>
        </is>
      </c>
      <c r="H186" s="9" t="inlineStr"/>
      <c r="I186" s="9">
        <f>IF(COUNTIF('Country Summary'!$B$5:$B$200,C186)&gt;0,"Yes","")</f>
        <v/>
      </c>
      <c r="J186" s="9" t="inlineStr"/>
    </row>
    <row r="187">
      <c r="A187" s="9" t="n">
        <v>183</v>
      </c>
      <c r="B187" s="23" t="inlineStr">
        <is>
          <t>☐</t>
        </is>
      </c>
      <c r="C187" s="9" t="inlineStr">
        <is>
          <t>India</t>
        </is>
      </c>
      <c r="D187" s="9" t="inlineStr">
        <is>
          <t>West Bengal</t>
        </is>
      </c>
      <c r="E187" s="9" t="inlineStr">
        <is>
          <t>Kolkata</t>
        </is>
      </c>
      <c r="F187" s="9" t="inlineStr">
        <is>
          <t>Howrah Bridge, Park Street, Eco Park, Science City</t>
        </is>
      </c>
      <c r="G187" s="9" t="inlineStr">
        <is>
          <t>Sightseeing</t>
        </is>
      </c>
      <c r="H187" s="9" t="inlineStr"/>
      <c r="I187" s="9">
        <f>IF(COUNTIF('Country Summary'!$B$5:$B$200,C187)&gt;0,"Yes","")</f>
        <v/>
      </c>
      <c r="J187" s="9" t="inlineStr"/>
    </row>
    <row r="188">
      <c r="A188" s="9" t="n">
        <v>184</v>
      </c>
      <c r="B188" s="23" t="inlineStr">
        <is>
          <t>☐</t>
        </is>
      </c>
      <c r="C188" s="9" t="inlineStr">
        <is>
          <t>India</t>
        </is>
      </c>
      <c r="D188" s="9" t="inlineStr">
        <is>
          <t>Odisha</t>
        </is>
      </c>
      <c r="E188" s="9" t="inlineStr">
        <is>
          <t>Puri</t>
        </is>
      </c>
      <c r="F188" s="9" t="inlineStr">
        <is>
          <t>Puri beach, Sand art (Sudarsan Pattnaik), Raghurajpur craft village</t>
        </is>
      </c>
      <c r="G188" s="9" t="inlineStr">
        <is>
          <t>Sightseeing</t>
        </is>
      </c>
      <c r="H188" s="9" t="inlineStr"/>
      <c r="I188" s="9">
        <f>IF(COUNTIF('Country Summary'!$B$5:$B$200,C188)&gt;0,"Yes","")</f>
        <v/>
      </c>
      <c r="J188" s="9" t="inlineStr"/>
    </row>
    <row r="189">
      <c r="A189" s="9" t="n">
        <v>185</v>
      </c>
      <c r="B189" s="23" t="inlineStr">
        <is>
          <t>☐</t>
        </is>
      </c>
      <c r="C189" s="9" t="inlineStr">
        <is>
          <t>India</t>
        </is>
      </c>
      <c r="D189" s="9" t="inlineStr">
        <is>
          <t>Assam</t>
        </is>
      </c>
      <c r="E189" s="9" t="inlineStr">
        <is>
          <t>Kaziranga / Majuli</t>
        </is>
      </c>
      <c r="F189" s="9" t="inlineStr">
        <is>
          <t>Elephant &amp; jeep safari; Brahmaputra river cruise</t>
        </is>
      </c>
      <c r="G189" s="9" t="inlineStr">
        <is>
          <t>Wildlife</t>
        </is>
      </c>
      <c r="H189" s="9" t="inlineStr"/>
      <c r="I189" s="9">
        <f>IF(COUNTIF('Country Summary'!$B$5:$B$200,C189)&gt;0,"Yes","")</f>
        <v/>
      </c>
      <c r="J189" s="9" t="inlineStr"/>
    </row>
    <row r="190">
      <c r="A190" s="9" t="n">
        <v>186</v>
      </c>
      <c r="B190" s="23" t="inlineStr">
        <is>
          <t>☐</t>
        </is>
      </c>
      <c r="C190" s="9" t="inlineStr">
        <is>
          <t>India</t>
        </is>
      </c>
      <c r="D190" s="9" t="inlineStr">
        <is>
          <t>Meghalaya</t>
        </is>
      </c>
      <c r="E190" s="9" t="inlineStr">
        <is>
          <t>Shillong</t>
        </is>
      </c>
      <c r="F190" s="9" t="inlineStr">
        <is>
          <t>Umiam lake, Elephant falls, Laitlum canyon</t>
        </is>
      </c>
      <c r="G190" s="9" t="inlineStr">
        <is>
          <t>Nature</t>
        </is>
      </c>
      <c r="H190" s="9" t="inlineStr"/>
      <c r="I190" s="9">
        <f>IF(COUNTIF('Country Summary'!$B$5:$B$200,C190)&gt;0,"Yes","")</f>
        <v/>
      </c>
      <c r="J190" s="9" t="inlineStr"/>
    </row>
    <row r="191">
      <c r="A191" s="9" t="n">
        <v>187</v>
      </c>
      <c r="B191" s="23" t="inlineStr">
        <is>
          <t>☐</t>
        </is>
      </c>
      <c r="C191" s="9" t="inlineStr">
        <is>
          <t>India</t>
        </is>
      </c>
      <c r="D191" s="9" t="inlineStr">
        <is>
          <t>Sikkim</t>
        </is>
      </c>
      <c r="E191" s="9" t="inlineStr">
        <is>
          <t>Gangtok / Pelling</t>
        </is>
      </c>
      <c r="F191" s="9" t="inlineStr">
        <is>
          <t>Gurudongmar lake, Yumthang valley, Kanchenjunga views</t>
        </is>
      </c>
      <c r="G191" s="9" t="inlineStr">
        <is>
          <t>Nature</t>
        </is>
      </c>
      <c r="H191" s="9" t="inlineStr"/>
      <c r="I191" s="9">
        <f>IF(COUNTIF('Country Summary'!$B$5:$B$200,C191)&gt;0,"Yes","")</f>
        <v/>
      </c>
      <c r="J191" s="9" t="inlineStr"/>
    </row>
    <row r="192">
      <c r="A192" s="9" t="n">
        <v>188</v>
      </c>
      <c r="B192" s="23" t="inlineStr">
        <is>
          <t>☐</t>
        </is>
      </c>
      <c r="C192" s="9" t="inlineStr">
        <is>
          <t>India</t>
        </is>
      </c>
      <c r="D192" s="9" t="inlineStr">
        <is>
          <t>Andaman &amp; Nicobar</t>
        </is>
      </c>
      <c r="E192" s="9" t="inlineStr">
        <is>
          <t>Havelock / Neil</t>
        </is>
      </c>
      <c r="F192" s="9" t="inlineStr">
        <is>
          <t>Scuba &amp; sea walk, Radhanagar beach, Ross island, bioluminescence</t>
        </is>
      </c>
      <c r="G192" s="9" t="inlineStr">
        <is>
          <t>Beach</t>
        </is>
      </c>
      <c r="H192" s="9" t="inlineStr"/>
      <c r="I192" s="9">
        <f>IF(COUNTIF('Country Summary'!$B$5:$B$200,C192)&gt;0,"Yes","")</f>
        <v/>
      </c>
      <c r="J192" s="9" t="inlineStr"/>
    </row>
    <row r="193">
      <c r="A193" s="9" t="n">
        <v>189</v>
      </c>
      <c r="B193" s="23" t="inlineStr">
        <is>
          <t>☐</t>
        </is>
      </c>
      <c r="C193" s="9" t="inlineStr">
        <is>
          <t>India</t>
        </is>
      </c>
      <c r="D193" s="9" t="inlineStr">
        <is>
          <t>Rajasthan</t>
        </is>
      </c>
      <c r="E193" s="9" t="inlineStr">
        <is>
          <t>Ranthambore / Sariska</t>
        </is>
      </c>
      <c r="F193" s="9" t="inlineStr">
        <is>
          <t>Tiger safari</t>
        </is>
      </c>
      <c r="G193" s="9" t="inlineStr">
        <is>
          <t>Wildlife</t>
        </is>
      </c>
      <c r="H193" s="9" t="inlineStr"/>
      <c r="I193" s="9">
        <f>IF(COUNTIF('Country Summary'!$B$5:$B$200,C193)&gt;0,"Yes","")</f>
        <v/>
      </c>
      <c r="J193" s="9" t="inlineStr"/>
    </row>
    <row r="194">
      <c r="A194" s="9" t="n">
        <v>190</v>
      </c>
      <c r="B194" s="23" t="inlineStr">
        <is>
          <t>☐</t>
        </is>
      </c>
      <c r="C194" s="9" t="inlineStr">
        <is>
          <t>India</t>
        </is>
      </c>
      <c r="D194" s="9" t="inlineStr">
        <is>
          <t>Madhya Pradesh</t>
        </is>
      </c>
      <c r="E194" s="9" t="inlineStr">
        <is>
          <t>Kanha / Bandhavgarh / Pench</t>
        </is>
      </c>
      <c r="F194" s="9" t="inlineStr">
        <is>
          <t>Tiger safaris (Jungle Book country)</t>
        </is>
      </c>
      <c r="G194" s="9" t="inlineStr">
        <is>
          <t>Wildlife</t>
        </is>
      </c>
      <c r="H194" s="9" t="inlineStr"/>
      <c r="I194" s="9">
        <f>IF(COUNTIF('Country Summary'!$B$5:$B$200,C194)&gt;0,"Yes","")</f>
        <v/>
      </c>
      <c r="J194" s="9" t="inlineStr"/>
    </row>
    <row r="195">
      <c r="A195" s="9" t="n">
        <v>191</v>
      </c>
      <c r="B195" s="23" t="inlineStr">
        <is>
          <t>☐</t>
        </is>
      </c>
      <c r="C195" s="9" t="inlineStr">
        <is>
          <t>India</t>
        </is>
      </c>
      <c r="D195" s="9" t="inlineStr">
        <is>
          <t>Karnataka</t>
        </is>
      </c>
      <c r="E195" s="9" t="inlineStr">
        <is>
          <t>Kabini / Bandipur / Nagarhole</t>
        </is>
      </c>
      <c r="F195" s="9" t="inlineStr">
        <is>
          <t>Safari, black panther (Kabini)</t>
        </is>
      </c>
      <c r="G195" s="9" t="inlineStr">
        <is>
          <t>Wildlife</t>
        </is>
      </c>
      <c r="H195" s="9" t="inlineStr"/>
      <c r="I195" s="9">
        <f>IF(COUNTIF('Country Summary'!$B$5:$B$200,C195)&gt;0,"Yes","")</f>
        <v/>
      </c>
      <c r="J195" s="9" t="inlineStr"/>
    </row>
    <row r="196">
      <c r="A196" s="9" t="n">
        <v>192</v>
      </c>
      <c r="B196" s="23" t="inlineStr">
        <is>
          <t>☐</t>
        </is>
      </c>
      <c r="C196" s="9" t="inlineStr">
        <is>
          <t>India</t>
        </is>
      </c>
      <c r="D196" s="9" t="inlineStr">
        <is>
          <t>Uttarakhand</t>
        </is>
      </c>
      <c r="E196" s="9" t="inlineStr">
        <is>
          <t>Jim Corbett</t>
        </is>
      </c>
      <c r="F196" s="9" t="inlineStr">
        <is>
          <t>Dhikala zone safari</t>
        </is>
      </c>
      <c r="G196" s="9" t="inlineStr">
        <is>
          <t>Wildlife</t>
        </is>
      </c>
      <c r="H196" s="9" t="inlineStr"/>
      <c r="I196" s="9">
        <f>IF(COUNTIF('Country Summary'!$B$5:$B$200,C196)&gt;0,"Yes","")</f>
        <v/>
      </c>
      <c r="J196" s="9" t="inlineStr"/>
    </row>
    <row r="197">
      <c r="A197" s="9" t="n">
        <v>193</v>
      </c>
      <c r="B197" s="23" t="inlineStr">
        <is>
          <t>☑</t>
        </is>
      </c>
      <c r="C197" s="9" t="inlineStr">
        <is>
          <t>USA</t>
        </is>
      </c>
      <c r="D197" s="9" t="inlineStr">
        <is>
          <t>New York</t>
        </is>
      </c>
      <c r="E197" s="9" t="inlineStr">
        <is>
          <t>New York City</t>
        </is>
      </c>
      <c r="F197" s="9" t="inlineStr">
        <is>
          <t>ISKCON NYC (26 Second Ave - Prabhupada's first temple; Brooklyn Radha Govinda)</t>
        </is>
      </c>
      <c r="G197" s="9" t="inlineStr">
        <is>
          <t>ISKCON</t>
        </is>
      </c>
      <c r="H197" s="9" t="inlineStr"/>
      <c r="I197" s="9">
        <f>IF(COUNTIF('Country Summary'!$B$5:$B$200,C197)&gt;0,"Yes","")</f>
        <v/>
      </c>
      <c r="J197" s="9" t="inlineStr"/>
    </row>
    <row r="198">
      <c r="A198" s="9" t="n">
        <v>194</v>
      </c>
      <c r="B198" s="23" t="inlineStr">
        <is>
          <t>☑</t>
        </is>
      </c>
      <c r="C198" s="9" t="inlineStr">
        <is>
          <t>USA</t>
        </is>
      </c>
      <c r="D198" s="9" t="inlineStr">
        <is>
          <t>New York</t>
        </is>
      </c>
      <c r="E198" s="9" t="inlineStr">
        <is>
          <t>New York City</t>
        </is>
      </c>
      <c r="F198" s="9" t="inlineStr">
        <is>
          <t>Statue of Liberty, Ellis Island, Times Square, Central Park, Empire State, 9/11 Memorial</t>
        </is>
      </c>
      <c r="G198" s="9" t="inlineStr">
        <is>
          <t>Monument</t>
        </is>
      </c>
      <c r="H198" s="9" t="inlineStr"/>
      <c r="I198" s="9">
        <f>IF(COUNTIF('Country Summary'!$B$5:$B$200,C198)&gt;0,"Yes","")</f>
        <v/>
      </c>
      <c r="J198" s="9" t="inlineStr"/>
    </row>
    <row r="199">
      <c r="A199" s="9" t="n">
        <v>195</v>
      </c>
      <c r="B199" s="23" t="inlineStr">
        <is>
          <t>☑</t>
        </is>
      </c>
      <c r="C199" s="9" t="inlineStr">
        <is>
          <t>USA</t>
        </is>
      </c>
      <c r="D199" s="9" t="inlineStr">
        <is>
          <t>New York</t>
        </is>
      </c>
      <c r="E199" s="9" t="inlineStr">
        <is>
          <t>New York City</t>
        </is>
      </c>
      <c r="F199" s="9" t="inlineStr">
        <is>
          <t>Metropolitan Museum, MoMA, Brooklyn Bridge</t>
        </is>
      </c>
      <c r="G199" s="9" t="inlineStr">
        <is>
          <t>Museum</t>
        </is>
      </c>
      <c r="H199" s="9" t="inlineStr"/>
      <c r="I199" s="9">
        <f>IF(COUNTIF('Country Summary'!$B$5:$B$200,C199)&gt;0,"Yes","")</f>
        <v/>
      </c>
      <c r="J199" s="9" t="inlineStr"/>
    </row>
    <row r="200">
      <c r="A200" s="9" t="n">
        <v>196</v>
      </c>
      <c r="B200" s="23" t="inlineStr">
        <is>
          <t>☑</t>
        </is>
      </c>
      <c r="C200" s="9" t="inlineStr">
        <is>
          <t>USA</t>
        </is>
      </c>
      <c r="D200" s="9" t="inlineStr">
        <is>
          <t>New York</t>
        </is>
      </c>
      <c r="E200" s="9" t="inlineStr">
        <is>
          <t>Tompkins Square Park</t>
        </is>
      </c>
      <c r="F200" s="9" t="inlineStr">
        <is>
          <t>Hare Krishna Tree (first public kirtan 1966)</t>
        </is>
      </c>
      <c r="G200" s="9" t="inlineStr">
        <is>
          <t>ISKCON</t>
        </is>
      </c>
      <c r="H200" s="9" t="inlineStr"/>
      <c r="I200" s="9">
        <f>IF(COUNTIF('Country Summary'!$B$5:$B$200,C200)&gt;0,"Yes","")</f>
        <v/>
      </c>
      <c r="J200" s="9" t="inlineStr"/>
    </row>
    <row r="201">
      <c r="A201" s="9" t="n">
        <v>197</v>
      </c>
      <c r="B201" s="23" t="inlineStr">
        <is>
          <t>☑</t>
        </is>
      </c>
      <c r="C201" s="9" t="inlineStr">
        <is>
          <t>USA</t>
        </is>
      </c>
      <c r="D201" s="9" t="inlineStr">
        <is>
          <t>Washington DC</t>
        </is>
      </c>
      <c r="E201" s="9" t="inlineStr">
        <is>
          <t>Washington DC</t>
        </is>
      </c>
      <c r="F201" s="9" t="inlineStr">
        <is>
          <t>White House, Capitol, Lincoln Memorial, Smithsonian museums</t>
        </is>
      </c>
      <c r="G201" s="9" t="inlineStr">
        <is>
          <t>Monument</t>
        </is>
      </c>
      <c r="H201" s="9" t="inlineStr"/>
      <c r="I201" s="9">
        <f>IF(COUNTIF('Country Summary'!$B$5:$B$200,C201)&gt;0,"Yes","")</f>
        <v/>
      </c>
      <c r="J201" s="9" t="inlineStr"/>
    </row>
    <row r="202">
      <c r="A202" s="9" t="n">
        <v>198</v>
      </c>
      <c r="B202" s="23" t="inlineStr">
        <is>
          <t>☐</t>
        </is>
      </c>
      <c r="C202" s="9" t="inlineStr">
        <is>
          <t>USA</t>
        </is>
      </c>
      <c r="D202" s="9" t="inlineStr">
        <is>
          <t>Maryland</t>
        </is>
      </c>
      <c r="E202" s="9" t="inlineStr">
        <is>
          <t>Potomac</t>
        </is>
      </c>
      <c r="F202" s="9" t="inlineStr">
        <is>
          <t>ISKCON Washington DC</t>
        </is>
      </c>
      <c r="G202" s="9" t="inlineStr">
        <is>
          <t>ISKCON</t>
        </is>
      </c>
      <c r="H202" s="9" t="inlineStr"/>
      <c r="I202" s="9">
        <f>IF(COUNTIF('Country Summary'!$B$5:$B$200,C202)&gt;0,"Yes","")</f>
        <v/>
      </c>
      <c r="J202" s="9" t="inlineStr"/>
    </row>
    <row r="203">
      <c r="A203" s="9" t="n">
        <v>199</v>
      </c>
      <c r="B203" s="23" t="inlineStr">
        <is>
          <t>☑</t>
        </is>
      </c>
      <c r="C203" s="9" t="inlineStr">
        <is>
          <t>USA</t>
        </is>
      </c>
      <c r="D203" s="9" t="inlineStr">
        <is>
          <t>Maryland</t>
        </is>
      </c>
      <c r="E203" s="9" t="inlineStr">
        <is>
          <t>Baltimore</t>
        </is>
      </c>
      <c r="F203" s="9" t="inlineStr">
        <is>
          <t>ISKCON Baltimore</t>
        </is>
      </c>
      <c r="G203" s="9" t="inlineStr">
        <is>
          <t>ISKCON</t>
        </is>
      </c>
      <c r="H203" s="9" t="inlineStr"/>
      <c r="I203" s="9">
        <f>IF(COUNTIF('Country Summary'!$B$5:$B$200,C203)&gt;0,"Yes","")</f>
        <v/>
      </c>
      <c r="J203" s="9" t="inlineStr"/>
    </row>
    <row r="204">
      <c r="A204" s="9" t="n">
        <v>200</v>
      </c>
      <c r="B204" s="23" t="inlineStr">
        <is>
          <t>☑</t>
        </is>
      </c>
      <c r="C204" s="9" t="inlineStr">
        <is>
          <t>USA</t>
        </is>
      </c>
      <c r="D204" s="9" t="inlineStr">
        <is>
          <t>Virginia</t>
        </is>
      </c>
      <c r="E204" s="9" t="inlineStr">
        <is>
          <t>Fairfax</t>
        </is>
      </c>
      <c r="F204" s="9" t="inlineStr">
        <is>
          <t>Sri Venkateswara Lotus Temple</t>
        </is>
      </c>
      <c r="G204" s="9" t="inlineStr">
        <is>
          <t>Temple</t>
        </is>
      </c>
      <c r="H204" s="9" t="inlineStr"/>
      <c r="I204" s="9">
        <f>IF(COUNTIF('Country Summary'!$B$5:$B$200,C204)&gt;0,"Yes","")</f>
        <v/>
      </c>
      <c r="J204" s="9" t="inlineStr"/>
    </row>
    <row r="205">
      <c r="A205" s="9" t="n">
        <v>201</v>
      </c>
      <c r="B205" s="23" t="inlineStr">
        <is>
          <t>☑</t>
        </is>
      </c>
      <c r="C205" s="9" t="inlineStr">
        <is>
          <t>USA</t>
        </is>
      </c>
      <c r="D205" s="9" t="inlineStr">
        <is>
          <t>Pennsylvania</t>
        </is>
      </c>
      <c r="E205" s="9" t="inlineStr">
        <is>
          <t>Pittsburgh</t>
        </is>
      </c>
      <c r="F205" s="9" t="inlineStr">
        <is>
          <t>Sri Venkateswara Temple, Penn Hills</t>
        </is>
      </c>
      <c r="G205" s="9" t="inlineStr">
        <is>
          <t>Temple</t>
        </is>
      </c>
      <c r="H205" s="9" t="inlineStr"/>
      <c r="I205" s="9">
        <f>IF(COUNTIF('Country Summary'!$B$5:$B$200,C205)&gt;0,"Yes","")</f>
        <v/>
      </c>
      <c r="J205" s="9" t="inlineStr"/>
    </row>
    <row r="206">
      <c r="A206" s="9" t="n">
        <v>202</v>
      </c>
      <c r="B206" s="23" t="inlineStr">
        <is>
          <t>☑</t>
        </is>
      </c>
      <c r="C206" s="9" t="inlineStr">
        <is>
          <t>USA</t>
        </is>
      </c>
      <c r="D206" s="9" t="inlineStr">
        <is>
          <t>New York</t>
        </is>
      </c>
      <c r="E206" s="9" t="inlineStr">
        <is>
          <t>Niagara Falls</t>
        </is>
      </c>
      <c r="F206" s="9" t="inlineStr">
        <is>
          <t>Niagara Falls - Maid of the Mist, Cave of the Winds</t>
        </is>
      </c>
      <c r="G206" s="9" t="inlineStr">
        <is>
          <t>Nature</t>
        </is>
      </c>
      <c r="H206" s="9" t="inlineStr"/>
      <c r="I206" s="9">
        <f>IF(COUNTIF('Country Summary'!$B$5:$B$200,C206)&gt;0,"Yes","")</f>
        <v/>
      </c>
      <c r="J206" s="9" t="inlineStr"/>
    </row>
    <row r="207">
      <c r="A207" s="9" t="n">
        <v>203</v>
      </c>
      <c r="B207" s="23" t="inlineStr">
        <is>
          <t>☑</t>
        </is>
      </c>
      <c r="C207" s="9" t="inlineStr">
        <is>
          <t>USA</t>
        </is>
      </c>
      <c r="D207" s="9" t="inlineStr">
        <is>
          <t>New Jersey</t>
        </is>
      </c>
      <c r="E207" s="9" t="inlineStr">
        <is>
          <t>Bridgewater</t>
        </is>
      </c>
      <c r="F207" s="9" t="inlineStr">
        <is>
          <t>Sri Venkateswara (Balaji) Temple; IHF New Jersey</t>
        </is>
      </c>
      <c r="G207" s="9" t="inlineStr">
        <is>
          <t>Temple</t>
        </is>
      </c>
      <c r="H207" s="9" t="inlineStr"/>
      <c r="I207" s="9">
        <f>IF(COUNTIF('Country Summary'!$B$5:$B$200,C207)&gt;0,"Yes","")</f>
        <v/>
      </c>
      <c r="J207" s="9" t="inlineStr"/>
    </row>
    <row r="208">
      <c r="A208" s="9" t="n">
        <v>204</v>
      </c>
      <c r="B208" s="23" t="inlineStr">
        <is>
          <t>☐</t>
        </is>
      </c>
      <c r="C208" s="9" t="inlineStr">
        <is>
          <t>USA</t>
        </is>
      </c>
      <c r="D208" s="9" t="inlineStr">
        <is>
          <t>California</t>
        </is>
      </c>
      <c r="E208" s="9" t="inlineStr">
        <is>
          <t>Laguna Beach / San Jose / Mountain View</t>
        </is>
      </c>
      <c r="F208" s="9" t="inlineStr">
        <is>
          <t>ISKCON Laguna Beach; Krishna Balaram Balaji Mandir (IHF San Jose); ISKCON Silicon Valley</t>
        </is>
      </c>
      <c r="G208" s="9" t="inlineStr">
        <is>
          <t>ISKCON</t>
        </is>
      </c>
      <c r="H208" s="9" t="inlineStr"/>
      <c r="I208" s="9">
        <f>IF(COUNTIF('Country Summary'!$B$5:$B$200,C208)&gt;0,"Yes","")</f>
        <v/>
      </c>
      <c r="J208" s="9" t="inlineStr"/>
    </row>
    <row r="209">
      <c r="A209" s="9" t="n">
        <v>205</v>
      </c>
      <c r="B209" s="23" t="inlineStr">
        <is>
          <t>☑</t>
        </is>
      </c>
      <c r="C209" s="9" t="inlineStr">
        <is>
          <t>USA</t>
        </is>
      </c>
      <c r="D209" s="9" t="inlineStr">
        <is>
          <t>New York</t>
        </is>
      </c>
      <c r="E209" s="9" t="inlineStr">
        <is>
          <t>New York City</t>
        </is>
      </c>
      <c r="F209" s="9" t="inlineStr">
        <is>
          <t>Bhakti Center (East Village)</t>
        </is>
      </c>
      <c r="G209" s="9" t="inlineStr">
        <is>
          <t>ISKCON</t>
        </is>
      </c>
      <c r="H209" s="9" t="inlineStr"/>
      <c r="I209" s="9">
        <f>IF(COUNTIF('Country Summary'!$B$5:$B$200,C209)&gt;0,"Yes","")</f>
        <v/>
      </c>
      <c r="J209" s="9" t="inlineStr"/>
    </row>
    <row r="210">
      <c r="A210" s="9" t="n">
        <v>206</v>
      </c>
      <c r="B210" s="23" t="inlineStr">
        <is>
          <t>☑</t>
        </is>
      </c>
      <c r="C210" s="9" t="inlineStr">
        <is>
          <t>USA</t>
        </is>
      </c>
      <c r="D210" s="9" t="inlineStr">
        <is>
          <t>West Virginia</t>
        </is>
      </c>
      <c r="E210" s="9" t="inlineStr">
        <is>
          <t>Moundsville</t>
        </is>
      </c>
      <c r="F210" s="9" t="inlineStr">
        <is>
          <t>New Vrindaban - Prabhupada's Palace of Gold</t>
        </is>
      </c>
      <c r="G210" s="9" t="inlineStr">
        <is>
          <t>ISKCON</t>
        </is>
      </c>
      <c r="H210" s="9" t="inlineStr"/>
      <c r="I210" s="9">
        <f>IF(COUNTIF('Country Summary'!$B$5:$B$200,C210)&gt;0,"Yes","")</f>
        <v/>
      </c>
      <c r="J210" s="9" t="inlineStr"/>
    </row>
    <row r="211">
      <c r="A211" s="9" t="n">
        <v>207</v>
      </c>
      <c r="B211" s="23" t="inlineStr">
        <is>
          <t>☑</t>
        </is>
      </c>
      <c r="C211" s="9" t="inlineStr">
        <is>
          <t>USA</t>
        </is>
      </c>
      <c r="D211" s="9" t="inlineStr">
        <is>
          <t>California</t>
        </is>
      </c>
      <c r="E211" s="9" t="inlineStr">
        <is>
          <t>Los Angeles</t>
        </is>
      </c>
      <c r="F211" s="9" t="inlineStr">
        <is>
          <t>ISKCON LA (New Dwarka, Watseka Ave - Prabhupada's HQ), Hollywood, Getty</t>
        </is>
      </c>
      <c r="G211" s="9" t="inlineStr">
        <is>
          <t>ISKCON</t>
        </is>
      </c>
      <c r="H211" s="9" t="inlineStr"/>
      <c r="I211" s="9">
        <f>IF(COUNTIF('Country Summary'!$B$5:$B$200,C211)&gt;0,"Yes","")</f>
        <v/>
      </c>
      <c r="J211" s="9" t="inlineStr"/>
    </row>
    <row r="212">
      <c r="A212" s="9" t="n">
        <v>208</v>
      </c>
      <c r="B212" s="23" t="inlineStr">
        <is>
          <t>☐</t>
        </is>
      </c>
      <c r="C212" s="9" t="inlineStr">
        <is>
          <t>USA</t>
        </is>
      </c>
      <c r="D212" s="9" t="inlineStr">
        <is>
          <t>California</t>
        </is>
      </c>
      <c r="E212" s="9" t="inlineStr">
        <is>
          <t>San Francisco</t>
        </is>
      </c>
      <c r="F212" s="9" t="inlineStr">
        <is>
          <t>Golden Gate Bridge, Alcatraz; ISKCON Berkeley (Ratha Yatra origin 1967)</t>
        </is>
      </c>
      <c r="G212" s="9" t="inlineStr">
        <is>
          <t>Monument</t>
        </is>
      </c>
      <c r="H212" s="9" t="inlineStr"/>
      <c r="I212" s="9">
        <f>IF(COUNTIF('Country Summary'!$B$5:$B$200,C212)&gt;0,"Yes","")</f>
        <v/>
      </c>
      <c r="J212" s="9" t="inlineStr"/>
    </row>
    <row r="213">
      <c r="A213" s="9" t="n">
        <v>209</v>
      </c>
      <c r="B213" s="23" t="inlineStr">
        <is>
          <t>☐</t>
        </is>
      </c>
      <c r="C213" s="9" t="inlineStr">
        <is>
          <t>USA</t>
        </is>
      </c>
      <c r="D213" s="9" t="inlineStr">
        <is>
          <t>California</t>
        </is>
      </c>
      <c r="E213" s="9" t="inlineStr">
        <is>
          <t>Yosemite / Sequoia</t>
        </is>
      </c>
      <c r="F213" s="9" t="inlineStr">
        <is>
          <t>Yosemite - UNESCO</t>
        </is>
      </c>
      <c r="G213" s="9" t="inlineStr">
        <is>
          <t>UNESCO</t>
        </is>
      </c>
      <c r="H213" s="9" t="inlineStr"/>
      <c r="I213" s="9">
        <f>IF(COUNTIF('Country Summary'!$B$5:$B$200,C213)&gt;0,"Yes","")</f>
        <v/>
      </c>
      <c r="J213" s="9" t="inlineStr"/>
    </row>
    <row r="214">
      <c r="A214" s="9" t="n">
        <v>210</v>
      </c>
      <c r="B214" s="23" t="inlineStr">
        <is>
          <t>☐</t>
        </is>
      </c>
      <c r="C214" s="9" t="inlineStr">
        <is>
          <t>USA</t>
        </is>
      </c>
      <c r="D214" s="9" t="inlineStr">
        <is>
          <t>California</t>
        </is>
      </c>
      <c r="E214" s="9" t="inlineStr">
        <is>
          <t>San Diego</t>
        </is>
      </c>
      <c r="F214" s="9" t="inlineStr">
        <is>
          <t>ISKCON San Diego, Balboa Park</t>
        </is>
      </c>
      <c r="G214" s="9" t="inlineStr">
        <is>
          <t>ISKCON</t>
        </is>
      </c>
      <c r="H214" s="9" t="inlineStr"/>
      <c r="I214" s="9">
        <f>IF(COUNTIF('Country Summary'!$B$5:$B$200,C214)&gt;0,"Yes","")</f>
        <v/>
      </c>
      <c r="J214" s="9" t="inlineStr"/>
    </row>
    <row r="215">
      <c r="A215" s="9" t="n">
        <v>211</v>
      </c>
      <c r="B215" s="23" t="inlineStr">
        <is>
          <t>☐</t>
        </is>
      </c>
      <c r="C215" s="9" t="inlineStr">
        <is>
          <t>USA</t>
        </is>
      </c>
      <c r="D215" s="9" t="inlineStr">
        <is>
          <t>Nevada / Arizona</t>
        </is>
      </c>
      <c r="E215" s="9" t="inlineStr">
        <is>
          <t>Las Vegas / Grand Canyon</t>
        </is>
      </c>
      <c r="F215" s="9" t="inlineStr">
        <is>
          <t>Grand Canyon - UNESCO; Hoover Dam</t>
        </is>
      </c>
      <c r="G215" s="9" t="inlineStr">
        <is>
          <t>UNESCO</t>
        </is>
      </c>
      <c r="H215" s="9" t="inlineStr"/>
      <c r="I215" s="9">
        <f>IF(COUNTIF('Country Summary'!$B$5:$B$200,C215)&gt;0,"Yes","")</f>
        <v/>
      </c>
      <c r="J215" s="9" t="inlineStr"/>
    </row>
    <row r="216">
      <c r="A216" s="9" t="n">
        <v>212</v>
      </c>
      <c r="B216" s="23" t="inlineStr">
        <is>
          <t>☐</t>
        </is>
      </c>
      <c r="C216" s="9" t="inlineStr">
        <is>
          <t>USA</t>
        </is>
      </c>
      <c r="D216" s="9" t="inlineStr">
        <is>
          <t>Utah</t>
        </is>
      </c>
      <c r="E216" s="9" t="inlineStr">
        <is>
          <t>Spanish Fork</t>
        </is>
      </c>
      <c r="F216" s="9" t="inlineStr">
        <is>
          <t>Sri Sri Radha Krishna Temple (Holi festival)</t>
        </is>
      </c>
      <c r="G216" s="9" t="inlineStr">
        <is>
          <t>ISKCON</t>
        </is>
      </c>
      <c r="H216" s="9" t="inlineStr"/>
      <c r="I216" s="9">
        <f>IF(COUNTIF('Country Summary'!$B$5:$B$200,C216)&gt;0,"Yes","")</f>
        <v/>
      </c>
      <c r="J216" s="9" t="inlineStr"/>
    </row>
    <row r="217">
      <c r="A217" s="9" t="n">
        <v>213</v>
      </c>
      <c r="B217" s="23" t="inlineStr">
        <is>
          <t>☐</t>
        </is>
      </c>
      <c r="C217" s="9" t="inlineStr">
        <is>
          <t>USA</t>
        </is>
      </c>
      <c r="D217" s="9" t="inlineStr">
        <is>
          <t>Utah / Arizona</t>
        </is>
      </c>
      <c r="E217" s="9" t="inlineStr">
        <is>
          <t>Zion, Bryce, Antelope Canyon, Monument Valley</t>
        </is>
      </c>
      <c r="F217" s="9" t="inlineStr">
        <is>
          <t>National parks</t>
        </is>
      </c>
      <c r="G217" s="9" t="inlineStr">
        <is>
          <t>Nature</t>
        </is>
      </c>
      <c r="H217" s="9" t="inlineStr"/>
      <c r="I217" s="9">
        <f>IF(COUNTIF('Country Summary'!$B$5:$B$200,C217)&gt;0,"Yes","")</f>
        <v/>
      </c>
      <c r="J217" s="9" t="inlineStr"/>
    </row>
    <row r="218">
      <c r="A218" s="9" t="n">
        <v>214</v>
      </c>
      <c r="B218" s="23" t="inlineStr">
        <is>
          <t>☑</t>
        </is>
      </c>
      <c r="C218" s="9" t="inlineStr">
        <is>
          <t>USA</t>
        </is>
      </c>
      <c r="D218" s="9" t="inlineStr">
        <is>
          <t>Florida</t>
        </is>
      </c>
      <c r="E218" s="9" t="inlineStr">
        <is>
          <t>Alachua</t>
        </is>
      </c>
      <c r="F218" s="9" t="inlineStr">
        <is>
          <t>ISKCON Alachua (New Raman Reti) - largest US community</t>
        </is>
      </c>
      <c r="G218" s="9" t="inlineStr">
        <is>
          <t>ISKCON</t>
        </is>
      </c>
      <c r="H218" s="9" t="inlineStr"/>
      <c r="I218" s="9">
        <f>IF(COUNTIF('Country Summary'!$B$5:$B$200,C218)&gt;0,"Yes","")</f>
        <v/>
      </c>
      <c r="J218" s="9" t="inlineStr"/>
    </row>
    <row r="219">
      <c r="A219" s="9" t="n">
        <v>215</v>
      </c>
      <c r="B219" s="23" t="inlineStr">
        <is>
          <t>☑</t>
        </is>
      </c>
      <c r="C219" s="9" t="inlineStr">
        <is>
          <t>USA</t>
        </is>
      </c>
      <c r="D219" s="9" t="inlineStr">
        <is>
          <t>Florida</t>
        </is>
      </c>
      <c r="E219" s="9" t="inlineStr">
        <is>
          <t>Orlando / Miami</t>
        </is>
      </c>
      <c r="F219" s="9" t="inlineStr">
        <is>
          <t>Disney World, Kennedy Space Center, Everglades - UNESCO</t>
        </is>
      </c>
      <c r="G219" s="9" t="inlineStr">
        <is>
          <t>Modern</t>
        </is>
      </c>
      <c r="H219" s="9" t="inlineStr"/>
      <c r="I219" s="9">
        <f>IF(COUNTIF('Country Summary'!$B$5:$B$200,C219)&gt;0,"Yes","")</f>
        <v/>
      </c>
      <c r="J219" s="9" t="inlineStr"/>
    </row>
    <row r="220">
      <c r="A220" s="9" t="n">
        <v>216</v>
      </c>
      <c r="B220" s="23" t="inlineStr">
        <is>
          <t>☐</t>
        </is>
      </c>
      <c r="C220" s="9" t="inlineStr">
        <is>
          <t>USA</t>
        </is>
      </c>
      <c r="D220" s="9" t="inlineStr">
        <is>
          <t>Texas</t>
        </is>
      </c>
      <c r="E220" s="9" t="inlineStr">
        <is>
          <t>Houston / Dallas</t>
        </is>
      </c>
      <c r="F220" s="9" t="inlineStr">
        <is>
          <t>ISKCON Houston (Radha Nila Madhava), Dallas (Kalachandji's), NASA JSC</t>
        </is>
      </c>
      <c r="G220" s="9" t="inlineStr">
        <is>
          <t>ISKCON</t>
        </is>
      </c>
      <c r="H220" s="9" t="inlineStr"/>
      <c r="I220" s="9">
        <f>IF(COUNTIF('Country Summary'!$B$5:$B$200,C220)&gt;0,"Yes","")</f>
        <v/>
      </c>
      <c r="J220" s="9" t="inlineStr"/>
    </row>
    <row r="221">
      <c r="A221" s="9" t="n">
        <v>217</v>
      </c>
      <c r="B221" s="23" t="inlineStr">
        <is>
          <t>☐</t>
        </is>
      </c>
      <c r="C221" s="9" t="inlineStr">
        <is>
          <t>USA</t>
        </is>
      </c>
      <c r="D221" s="9" t="inlineStr">
        <is>
          <t>Illinois</t>
        </is>
      </c>
      <c r="E221" s="9" t="inlineStr">
        <is>
          <t>Chicago</t>
        </is>
      </c>
      <c r="F221" s="9" t="inlineStr">
        <is>
          <t>ISKCON Chicago; Millennium Park, Willis Tower, Art Institute</t>
        </is>
      </c>
      <c r="G221" s="9" t="inlineStr">
        <is>
          <t>ISKCON</t>
        </is>
      </c>
      <c r="H221" s="9" t="inlineStr"/>
      <c r="I221" s="9">
        <f>IF(COUNTIF('Country Summary'!$B$5:$B$200,C221)&gt;0,"Yes","")</f>
        <v/>
      </c>
      <c r="J221" s="9" t="inlineStr"/>
    </row>
    <row r="222">
      <c r="A222" s="9" t="n">
        <v>218</v>
      </c>
      <c r="B222" s="23" t="inlineStr">
        <is>
          <t>☑</t>
        </is>
      </c>
      <c r="C222" s="9" t="inlineStr">
        <is>
          <t>USA</t>
        </is>
      </c>
      <c r="D222" s="9" t="inlineStr">
        <is>
          <t>Massachusetts</t>
        </is>
      </c>
      <c r="E222" s="9" t="inlineStr">
        <is>
          <t>Boston</t>
        </is>
      </c>
      <c r="F222" s="9" t="inlineStr">
        <is>
          <t>ISKCON Boston (Prabhupada landed 1965, Commonwealth Pier); Harvard, MIT, Freedom Trail</t>
        </is>
      </c>
      <c r="G222" s="9" t="inlineStr">
        <is>
          <t>ISKCON</t>
        </is>
      </c>
      <c r="H222" s="9" t="inlineStr"/>
      <c r="I222" s="9">
        <f>IF(COUNTIF('Country Summary'!$B$5:$B$200,C222)&gt;0,"Yes","")</f>
        <v/>
      </c>
      <c r="J222" s="9" t="inlineStr"/>
    </row>
    <row r="223">
      <c r="A223" s="9" t="n">
        <v>219</v>
      </c>
      <c r="B223" s="23" t="inlineStr">
        <is>
          <t>☑</t>
        </is>
      </c>
      <c r="C223" s="9" t="inlineStr">
        <is>
          <t>USA</t>
        </is>
      </c>
      <c r="D223" s="9" t="inlineStr">
        <is>
          <t>Pennsylvania</t>
        </is>
      </c>
      <c r="E223" s="9" t="inlineStr">
        <is>
          <t>Philadelphia / Gita Nagari</t>
        </is>
      </c>
      <c r="F223" s="9" t="inlineStr">
        <is>
          <t>Independence Hall - UNESCO; Gita Nagari farm (Port Royal)</t>
        </is>
      </c>
      <c r="G223" s="9" t="inlineStr">
        <is>
          <t>UNESCO</t>
        </is>
      </c>
      <c r="H223" s="9" t="inlineStr"/>
      <c r="I223" s="9">
        <f>IF(COUNTIF('Country Summary'!$B$5:$B$200,C223)&gt;0,"Yes","")</f>
        <v/>
      </c>
      <c r="J223" s="9" t="inlineStr"/>
    </row>
    <row r="224">
      <c r="A224" s="9" t="n">
        <v>220</v>
      </c>
      <c r="B224" s="23" t="inlineStr">
        <is>
          <t>☑</t>
        </is>
      </c>
      <c r="C224" s="9" t="inlineStr">
        <is>
          <t>USA</t>
        </is>
      </c>
      <c r="D224" s="9" t="inlineStr">
        <is>
          <t>New Jersey</t>
        </is>
      </c>
      <c r="E224" s="9" t="inlineStr">
        <is>
          <t>Towaco / Robbinsville</t>
        </is>
      </c>
      <c r="F224" s="9" t="inlineStr">
        <is>
          <t>ISKCON NJ; BAPS Akshardham Robbinsville (largest Hindu temple outside India)</t>
        </is>
      </c>
      <c r="G224" s="9" t="inlineStr">
        <is>
          <t>Temple</t>
        </is>
      </c>
      <c r="H224" s="9" t="inlineStr"/>
      <c r="I224" s="9">
        <f>IF(COUNTIF('Country Summary'!$B$5:$B$200,C224)&gt;0,"Yes","")</f>
        <v/>
      </c>
      <c r="J224" s="9" t="inlineStr"/>
    </row>
    <row r="225">
      <c r="A225" s="9" t="n">
        <v>221</v>
      </c>
      <c r="B225" s="23" t="inlineStr">
        <is>
          <t>☐</t>
        </is>
      </c>
      <c r="C225" s="9" t="inlineStr">
        <is>
          <t>USA</t>
        </is>
      </c>
      <c r="D225" s="9" t="inlineStr">
        <is>
          <t>Georgia</t>
        </is>
      </c>
      <c r="E225" s="9" t="inlineStr">
        <is>
          <t>Atlanta</t>
        </is>
      </c>
      <c r="F225" s="9" t="inlineStr">
        <is>
          <t>ISKCON Atlanta (New Panihati Dham)</t>
        </is>
      </c>
      <c r="G225" s="9" t="inlineStr">
        <is>
          <t>ISKCON</t>
        </is>
      </c>
      <c r="H225" s="9" t="inlineStr"/>
      <c r="I225" s="9">
        <f>IF(COUNTIF('Country Summary'!$B$5:$B$200,C225)&gt;0,"Yes","")</f>
        <v/>
      </c>
      <c r="J225" s="9" t="inlineStr"/>
    </row>
    <row r="226">
      <c r="A226" s="9" t="n">
        <v>222</v>
      </c>
      <c r="B226" s="23" t="inlineStr">
        <is>
          <t>☐</t>
        </is>
      </c>
      <c r="C226" s="9" t="inlineStr">
        <is>
          <t>USA</t>
        </is>
      </c>
      <c r="D226" s="9" t="inlineStr">
        <is>
          <t>Hawaii</t>
        </is>
      </c>
      <c r="E226" s="9" t="inlineStr">
        <is>
          <t>Honolulu / Big Island</t>
        </is>
      </c>
      <c r="F226" s="9" t="inlineStr">
        <is>
          <t>ISKCON Honolulu (New Navadvipa); Pearl Harbor; Volcanoes NP - UNESCO</t>
        </is>
      </c>
      <c r="G226" s="9" t="inlineStr">
        <is>
          <t>UNESCO</t>
        </is>
      </c>
      <c r="H226" s="9" t="inlineStr"/>
      <c r="I226" s="9">
        <f>IF(COUNTIF('Country Summary'!$B$5:$B$200,C226)&gt;0,"Yes","")</f>
        <v/>
      </c>
      <c r="J226" s="9" t="inlineStr"/>
    </row>
    <row r="227">
      <c r="A227" s="9" t="n">
        <v>223</v>
      </c>
      <c r="B227" s="23" t="inlineStr">
        <is>
          <t>☐</t>
        </is>
      </c>
      <c r="C227" s="9" t="inlineStr">
        <is>
          <t>USA</t>
        </is>
      </c>
      <c r="D227" s="9" t="inlineStr">
        <is>
          <t>Wyoming / Montana</t>
        </is>
      </c>
      <c r="E227" s="9" t="inlineStr">
        <is>
          <t>Yellowstone</t>
        </is>
      </c>
      <c r="F227" s="9" t="inlineStr">
        <is>
          <t>Yellowstone - UNESCO</t>
        </is>
      </c>
      <c r="G227" s="9" t="inlineStr">
        <is>
          <t>UNESCO</t>
        </is>
      </c>
      <c r="H227" s="9" t="inlineStr"/>
      <c r="I227" s="9">
        <f>IF(COUNTIF('Country Summary'!$B$5:$B$200,C227)&gt;0,"Yes","")</f>
        <v/>
      </c>
      <c r="J227" s="9" t="inlineStr"/>
    </row>
    <row r="228">
      <c r="A228" s="9" t="n">
        <v>224</v>
      </c>
      <c r="B228" s="23" t="inlineStr">
        <is>
          <t>☐</t>
        </is>
      </c>
      <c r="C228" s="9" t="inlineStr">
        <is>
          <t>USA</t>
        </is>
      </c>
      <c r="D228" s="9" t="inlineStr">
        <is>
          <t>Washington</t>
        </is>
      </c>
      <c r="E228" s="9" t="inlineStr">
        <is>
          <t>Seattle</t>
        </is>
      </c>
      <c r="F228" s="9" t="inlineStr">
        <is>
          <t>Space Needle, Vedic Cultural Center Sammamish</t>
        </is>
      </c>
      <c r="G228" s="9" t="inlineStr">
        <is>
          <t>Modern</t>
        </is>
      </c>
      <c r="H228" s="9" t="inlineStr"/>
      <c r="I228" s="9">
        <f>IF(COUNTIF('Country Summary'!$B$5:$B$200,C228)&gt;0,"Yes","")</f>
        <v/>
      </c>
      <c r="J228" s="9" t="inlineStr"/>
    </row>
    <row r="229">
      <c r="A229" s="9" t="n">
        <v>225</v>
      </c>
      <c r="B229" s="23" t="inlineStr">
        <is>
          <t>☐</t>
        </is>
      </c>
      <c r="C229" s="9" t="inlineStr">
        <is>
          <t>USA</t>
        </is>
      </c>
      <c r="D229" s="9" t="inlineStr">
        <is>
          <t>Alaska</t>
        </is>
      </c>
      <c r="E229" s="9" t="inlineStr">
        <is>
          <t>Denali / Glacier Bay</t>
        </is>
      </c>
      <c r="F229" s="9" t="inlineStr">
        <is>
          <t>Northern lights, glaciers</t>
        </is>
      </c>
      <c r="G229" s="9" t="inlineStr">
        <is>
          <t>Nature</t>
        </is>
      </c>
      <c r="H229" s="9" t="inlineStr"/>
      <c r="I229" s="9">
        <f>IF(COUNTIF('Country Summary'!$B$5:$B$200,C229)&gt;0,"Yes","")</f>
        <v/>
      </c>
      <c r="J229" s="9" t="inlineStr"/>
    </row>
    <row r="230">
      <c r="A230" s="9" t="n">
        <v>226</v>
      </c>
      <c r="B230" s="23" t="inlineStr">
        <is>
          <t>☐</t>
        </is>
      </c>
      <c r="C230" s="9" t="inlineStr">
        <is>
          <t>USA</t>
        </is>
      </c>
      <c r="D230" s="9" t="inlineStr">
        <is>
          <t>Louisiana</t>
        </is>
      </c>
      <c r="E230" s="9" t="inlineStr">
        <is>
          <t>New Orleans</t>
        </is>
      </c>
      <c r="F230" s="9" t="inlineStr">
        <is>
          <t>French Quarter, ISKCON New Orleans</t>
        </is>
      </c>
      <c r="G230" s="9" t="inlineStr">
        <is>
          <t>Monument</t>
        </is>
      </c>
      <c r="H230" s="9" t="inlineStr"/>
      <c r="I230" s="9">
        <f>IF(COUNTIF('Country Summary'!$B$5:$B$200,C230)&gt;0,"Yes","")</f>
        <v/>
      </c>
      <c r="J230" s="9" t="inlineStr"/>
    </row>
    <row r="231">
      <c r="A231" s="9" t="n">
        <v>227</v>
      </c>
      <c r="B231" s="23" t="inlineStr">
        <is>
          <t>☐</t>
        </is>
      </c>
      <c r="C231" s="9" t="inlineStr">
        <is>
          <t>USA</t>
        </is>
      </c>
      <c r="D231" s="9" t="inlineStr">
        <is>
          <t>Michigan</t>
        </is>
      </c>
      <c r="E231" s="9" t="inlineStr">
        <is>
          <t>Detroit</t>
        </is>
      </c>
      <c r="F231" s="9" t="inlineStr">
        <is>
          <t>ISKCON Detroit - Fisher Mansion (Bhaktivedanta Cultural Center)</t>
        </is>
      </c>
      <c r="G231" s="9" t="inlineStr">
        <is>
          <t>ISKCON</t>
        </is>
      </c>
      <c r="H231" s="9" t="inlineStr"/>
      <c r="I231" s="9">
        <f>IF(COUNTIF('Country Summary'!$B$5:$B$200,C231)&gt;0,"Yes","")</f>
        <v/>
      </c>
      <c r="J231" s="9" t="inlineStr"/>
    </row>
    <row r="232">
      <c r="A232" s="9" t="n">
        <v>228</v>
      </c>
      <c r="B232" s="23" t="inlineStr">
        <is>
          <t>☐</t>
        </is>
      </c>
      <c r="C232" s="9" t="inlineStr">
        <is>
          <t>USA</t>
        </is>
      </c>
      <c r="D232" s="9" t="inlineStr">
        <is>
          <t>North Carolina</t>
        </is>
      </c>
      <c r="E232" s="9" t="inlineStr">
        <is>
          <t>Hillsborough</t>
        </is>
      </c>
      <c r="F232" s="9" t="inlineStr">
        <is>
          <t>ISKCON New Goloka</t>
        </is>
      </c>
      <c r="G232" s="9" t="inlineStr">
        <is>
          <t>ISKCON</t>
        </is>
      </c>
      <c r="H232" s="9" t="inlineStr"/>
      <c r="I232" s="9">
        <f>IF(COUNTIF('Country Summary'!$B$5:$B$200,C232)&gt;0,"Yes","")</f>
        <v/>
      </c>
      <c r="J232" s="9" t="inlineStr"/>
    </row>
    <row r="233">
      <c r="A233" s="9" t="n">
        <v>229</v>
      </c>
      <c r="B233" s="23" t="inlineStr">
        <is>
          <t>☐</t>
        </is>
      </c>
      <c r="C233" s="9" t="inlineStr">
        <is>
          <t>USA</t>
        </is>
      </c>
      <c r="D233" s="9" t="inlineStr">
        <is>
          <t>New York</t>
        </is>
      </c>
      <c r="E233" s="9" t="inlineStr">
        <is>
          <t>New York City</t>
        </is>
      </c>
      <c r="F233" s="9" t="inlineStr">
        <is>
          <t>Broadway show, Rockefeller / Top of the Rock, High Line, Grand Central, Fifth Avenue, One World Observatory</t>
        </is>
      </c>
      <c r="G233" s="9" t="inlineStr">
        <is>
          <t>Sightseeing</t>
        </is>
      </c>
      <c r="H233" s="9" t="inlineStr"/>
      <c r="I233" s="9">
        <f>IF(COUNTIF('Country Summary'!$B$5:$B$200,C233)&gt;0,"Yes","")</f>
        <v/>
      </c>
      <c r="J233" s="9" t="inlineStr"/>
    </row>
    <row r="234">
      <c r="A234" s="9" t="n">
        <v>230</v>
      </c>
      <c r="B234" s="23" t="inlineStr">
        <is>
          <t>☐</t>
        </is>
      </c>
      <c r="C234" s="9" t="inlineStr">
        <is>
          <t>USA</t>
        </is>
      </c>
      <c r="D234" s="9" t="inlineStr">
        <is>
          <t>New York</t>
        </is>
      </c>
      <c r="E234" s="9" t="inlineStr">
        <is>
          <t>New York City</t>
        </is>
      </c>
      <c r="F234" s="9" t="inlineStr">
        <is>
          <t>Brooklyn Bridge walk, DUMBO, Coney Island, Staten Island ferry</t>
        </is>
      </c>
      <c r="G234" s="9" t="inlineStr">
        <is>
          <t>Sightseeing</t>
        </is>
      </c>
      <c r="H234" s="9" t="inlineStr"/>
      <c r="I234" s="9">
        <f>IF(COUNTIF('Country Summary'!$B$5:$B$200,C234)&gt;0,"Yes","")</f>
        <v/>
      </c>
      <c r="J234" s="9" t="inlineStr"/>
    </row>
    <row r="235">
      <c r="A235" s="9" t="n">
        <v>231</v>
      </c>
      <c r="B235" s="23" t="inlineStr">
        <is>
          <t>☐</t>
        </is>
      </c>
      <c r="C235" s="9" t="inlineStr">
        <is>
          <t>USA</t>
        </is>
      </c>
      <c r="D235" s="9" t="inlineStr">
        <is>
          <t>Nevada</t>
        </is>
      </c>
      <c r="E235" s="9" t="inlineStr">
        <is>
          <t>Las Vegas</t>
        </is>
      </c>
      <c r="F235" s="9" t="inlineStr">
        <is>
          <t>The Strip, Bellagio fountains, Fremont Street, Sphere, Cirque du Soleil</t>
        </is>
      </c>
      <c r="G235" s="9" t="inlineStr">
        <is>
          <t>Sightseeing</t>
        </is>
      </c>
      <c r="H235" s="9" t="inlineStr"/>
      <c r="I235" s="9">
        <f>IF(COUNTIF('Country Summary'!$B$5:$B$200,C235)&gt;0,"Yes","")</f>
        <v/>
      </c>
      <c r="J235" s="9" t="inlineStr"/>
    </row>
    <row r="236">
      <c r="A236" s="9" t="n">
        <v>232</v>
      </c>
      <c r="B236" s="23" t="inlineStr">
        <is>
          <t>☐</t>
        </is>
      </c>
      <c r="C236" s="9" t="inlineStr">
        <is>
          <t>USA</t>
        </is>
      </c>
      <c r="D236" s="9" t="inlineStr">
        <is>
          <t>California</t>
        </is>
      </c>
      <c r="E236" s="9" t="inlineStr">
        <is>
          <t>Los Angeles</t>
        </is>
      </c>
      <c r="F236" s="9" t="inlineStr">
        <is>
          <t>Universal Studios Hollywood, Disneyland Anaheim, Santa Monica Pier, Griffith Observatory, Beverly Hills</t>
        </is>
      </c>
      <c r="G236" s="9" t="inlineStr">
        <is>
          <t>Theme park</t>
        </is>
      </c>
      <c r="H236" s="9" t="inlineStr"/>
      <c r="I236" s="9">
        <f>IF(COUNTIF('Country Summary'!$B$5:$B$200,C236)&gt;0,"Yes","")</f>
        <v/>
      </c>
      <c r="J236" s="9" t="inlineStr"/>
    </row>
    <row r="237">
      <c r="A237" s="9" t="n">
        <v>233</v>
      </c>
      <c r="B237" s="23" t="inlineStr">
        <is>
          <t>☐</t>
        </is>
      </c>
      <c r="C237" s="9" t="inlineStr">
        <is>
          <t>USA</t>
        </is>
      </c>
      <c r="D237" s="9" t="inlineStr">
        <is>
          <t>California</t>
        </is>
      </c>
      <c r="E237" s="9" t="inlineStr">
        <is>
          <t>San Francisco</t>
        </is>
      </c>
      <c r="F237" s="9" t="inlineStr">
        <is>
          <t>Alcatraz, Lombard Street, cable cars, Muir Woods, Napa Valley, Lake Tahoe</t>
        </is>
      </c>
      <c r="G237" s="9" t="inlineStr">
        <is>
          <t>Sightseeing</t>
        </is>
      </c>
      <c r="H237" s="9" t="inlineStr"/>
      <c r="I237" s="9">
        <f>IF(COUNTIF('Country Summary'!$B$5:$B$200,C237)&gt;0,"Yes","")</f>
        <v/>
      </c>
      <c r="J237" s="9" t="inlineStr"/>
    </row>
    <row r="238">
      <c r="A238" s="9" t="n">
        <v>234</v>
      </c>
      <c r="B238" s="23" t="inlineStr">
        <is>
          <t>☐</t>
        </is>
      </c>
      <c r="C238" s="9" t="inlineStr">
        <is>
          <t>USA</t>
        </is>
      </c>
      <c r="D238" s="9" t="inlineStr">
        <is>
          <t>Florida</t>
        </is>
      </c>
      <c r="E238" s="9" t="inlineStr">
        <is>
          <t>Orlando</t>
        </is>
      </c>
      <c r="F238" s="9" t="inlineStr">
        <is>
          <t>Magic Kingdom, EPCOT, Hollywood Studios, Animal Kingdom, Universal, SeaWorld, Legoland</t>
        </is>
      </c>
      <c r="G238" s="9" t="inlineStr">
        <is>
          <t>Theme park</t>
        </is>
      </c>
      <c r="H238" s="9" t="inlineStr"/>
      <c r="I238" s="9">
        <f>IF(COUNTIF('Country Summary'!$B$5:$B$200,C238)&gt;0,"Yes","")</f>
        <v/>
      </c>
      <c r="J238" s="9" t="inlineStr"/>
    </row>
    <row r="239">
      <c r="A239" s="9" t="n">
        <v>235</v>
      </c>
      <c r="B239" s="23" t="inlineStr">
        <is>
          <t>☐</t>
        </is>
      </c>
      <c r="C239" s="9" t="inlineStr">
        <is>
          <t>USA</t>
        </is>
      </c>
      <c r="D239" s="9" t="inlineStr">
        <is>
          <t>Florida</t>
        </is>
      </c>
      <c r="E239" s="9" t="inlineStr">
        <is>
          <t>Miami / Keys</t>
        </is>
      </c>
      <c r="F239" s="9" t="inlineStr">
        <is>
          <t>South Beach, Art Deco, Everglades airboat, Key West</t>
        </is>
      </c>
      <c r="G239" s="9" t="inlineStr">
        <is>
          <t>Beach</t>
        </is>
      </c>
      <c r="H239" s="9" t="inlineStr"/>
      <c r="I239" s="9">
        <f>IF(COUNTIF('Country Summary'!$B$5:$B$200,C239)&gt;0,"Yes","")</f>
        <v/>
      </c>
      <c r="J239" s="9" t="inlineStr"/>
    </row>
    <row r="240">
      <c r="A240" s="9" t="n">
        <v>236</v>
      </c>
      <c r="B240" s="23" t="inlineStr">
        <is>
          <t>☐</t>
        </is>
      </c>
      <c r="C240" s="9" t="inlineStr">
        <is>
          <t>USA</t>
        </is>
      </c>
      <c r="D240" s="9" t="inlineStr">
        <is>
          <t>South Dakota</t>
        </is>
      </c>
      <c r="E240" s="9" t="inlineStr">
        <is>
          <t>Keystone</t>
        </is>
      </c>
      <c r="F240" s="9" t="inlineStr">
        <is>
          <t>Mount Rushmore, Badlands, Crazy Horse</t>
        </is>
      </c>
      <c r="G240" s="9" t="inlineStr">
        <is>
          <t>Monument</t>
        </is>
      </c>
      <c r="H240" s="9" t="inlineStr"/>
      <c r="I240" s="9">
        <f>IF(COUNTIF('Country Summary'!$B$5:$B$200,C240)&gt;0,"Yes","")</f>
        <v/>
      </c>
      <c r="J240" s="9" t="inlineStr"/>
    </row>
    <row r="241">
      <c r="A241" s="9" t="n">
        <v>237</v>
      </c>
      <c r="B241" s="23" t="inlineStr">
        <is>
          <t>☐</t>
        </is>
      </c>
      <c r="C241" s="9" t="inlineStr">
        <is>
          <t>USA</t>
        </is>
      </c>
      <c r="D241" s="9" t="inlineStr">
        <is>
          <t>Arizona</t>
        </is>
      </c>
      <c r="E241" s="9" t="inlineStr">
        <is>
          <t>Page / Sedona</t>
        </is>
      </c>
      <c r="F241" s="9" t="inlineStr">
        <is>
          <t>Antelope Canyon, Horseshoe Bend, Sedona red rocks</t>
        </is>
      </c>
      <c r="G241" s="9" t="inlineStr">
        <is>
          <t>Nature</t>
        </is>
      </c>
      <c r="H241" s="9" t="inlineStr"/>
      <c r="I241" s="9">
        <f>IF(COUNTIF('Country Summary'!$B$5:$B$200,C241)&gt;0,"Yes","")</f>
        <v/>
      </c>
      <c r="J241" s="9" t="inlineStr"/>
    </row>
    <row r="242">
      <c r="A242" s="9" t="n">
        <v>238</v>
      </c>
      <c r="B242" s="23" t="inlineStr">
        <is>
          <t>☐</t>
        </is>
      </c>
      <c r="C242" s="9" t="inlineStr">
        <is>
          <t>USA</t>
        </is>
      </c>
      <c r="D242" s="9" t="inlineStr">
        <is>
          <t>Illinois</t>
        </is>
      </c>
      <c r="E242" s="9" t="inlineStr">
        <is>
          <t>Chicago</t>
        </is>
      </c>
      <c r="F242" s="9" t="inlineStr">
        <is>
          <t>Navy Pier, Cloud Gate (Bean), Skydeck, river architecture cruise</t>
        </is>
      </c>
      <c r="G242" s="9" t="inlineStr">
        <is>
          <t>Sightseeing</t>
        </is>
      </c>
      <c r="H242" s="9" t="inlineStr"/>
      <c r="I242" s="9">
        <f>IF(COUNTIF('Country Summary'!$B$5:$B$200,C242)&gt;0,"Yes","")</f>
        <v/>
      </c>
      <c r="J242" s="9" t="inlineStr"/>
    </row>
    <row r="243">
      <c r="A243" s="9" t="n">
        <v>239</v>
      </c>
      <c r="B243" s="23" t="inlineStr">
        <is>
          <t>☐</t>
        </is>
      </c>
      <c r="C243" s="9" t="inlineStr">
        <is>
          <t>USA</t>
        </is>
      </c>
      <c r="D243" s="9" t="inlineStr">
        <is>
          <t>Washington DC</t>
        </is>
      </c>
      <c r="E243" s="9" t="inlineStr">
        <is>
          <t>Washington DC</t>
        </is>
      </c>
      <c r="F243" s="9" t="inlineStr">
        <is>
          <t>Cherry blossoms (Mar-Apr), Smithsonian museums, Arlington, Georgetown</t>
        </is>
      </c>
      <c r="G243" s="9" t="inlineStr">
        <is>
          <t>Sightseeing</t>
        </is>
      </c>
      <c r="H243" s="9" t="inlineStr"/>
      <c r="I243" s="9">
        <f>IF(COUNTIF('Country Summary'!$B$5:$B$200,C243)&gt;0,"Yes","")</f>
        <v/>
      </c>
      <c r="J243" s="9" t="inlineStr"/>
    </row>
    <row r="244">
      <c r="A244" s="9" t="n">
        <v>240</v>
      </c>
      <c r="B244" s="23" t="inlineStr">
        <is>
          <t>☐</t>
        </is>
      </c>
      <c r="C244" s="9" t="inlineStr">
        <is>
          <t>USA</t>
        </is>
      </c>
      <c r="D244" s="9" t="inlineStr">
        <is>
          <t>Tennessee</t>
        </is>
      </c>
      <c r="E244" s="9" t="inlineStr">
        <is>
          <t>Nashville / Memphis / Smoky Mtns</t>
        </is>
      </c>
      <c r="F244" s="9" t="inlineStr">
        <is>
          <t>Graceland, Great Smoky Mountains NP (most-visited US park), Dollywood</t>
        </is>
      </c>
      <c r="G244" s="9" t="inlineStr">
        <is>
          <t>Nature</t>
        </is>
      </c>
      <c r="H244" s="9" t="inlineStr"/>
      <c r="I244" s="9">
        <f>IF(COUNTIF('Country Summary'!$B$5:$B$200,C244)&gt;0,"Yes","")</f>
        <v/>
      </c>
      <c r="J244" s="9" t="inlineStr"/>
    </row>
    <row r="245">
      <c r="A245" s="9" t="n">
        <v>241</v>
      </c>
      <c r="B245" s="23" t="inlineStr">
        <is>
          <t>☐</t>
        </is>
      </c>
      <c r="C245" s="9" t="inlineStr">
        <is>
          <t>USA</t>
        </is>
      </c>
      <c r="D245" s="9" t="inlineStr">
        <is>
          <t>Texas</t>
        </is>
      </c>
      <c r="E245" s="9" t="inlineStr">
        <is>
          <t>San Antonio / Austin</t>
        </is>
      </c>
      <c r="F245" s="9" t="inlineStr">
        <is>
          <t>The Alamo, River Walk</t>
        </is>
      </c>
      <c r="G245" s="9" t="inlineStr">
        <is>
          <t>Sightseeing</t>
        </is>
      </c>
      <c r="H245" s="9" t="inlineStr"/>
      <c r="I245" s="9">
        <f>IF(COUNTIF('Country Summary'!$B$5:$B$200,C245)&gt;0,"Yes","")</f>
        <v/>
      </c>
      <c r="J245" s="9" t="inlineStr"/>
    </row>
    <row r="246">
      <c r="A246" s="9" t="n">
        <v>242</v>
      </c>
      <c r="B246" s="23" t="inlineStr">
        <is>
          <t>☑</t>
        </is>
      </c>
      <c r="C246" s="9" t="inlineStr">
        <is>
          <t>USA</t>
        </is>
      </c>
      <c r="D246" s="9" t="inlineStr">
        <is>
          <t>Massachusetts</t>
        </is>
      </c>
      <c r="E246" s="9" t="inlineStr">
        <is>
          <t>Boston</t>
        </is>
      </c>
      <c r="F246" s="9" t="inlineStr">
        <is>
          <t>Freedom Trail, Fenway, Harvard Yard, Cape Cod</t>
        </is>
      </c>
      <c r="G246" s="9" t="inlineStr">
        <is>
          <t>Sightseeing</t>
        </is>
      </c>
      <c r="H246" s="9" t="inlineStr"/>
      <c r="I246" s="9">
        <f>IF(COUNTIF('Country Summary'!$B$5:$B$200,C246)&gt;0,"Yes","")</f>
        <v/>
      </c>
      <c r="J246" s="9" t="inlineStr"/>
    </row>
    <row r="247">
      <c r="A247" s="9" t="n">
        <v>243</v>
      </c>
      <c r="B247" s="23" t="inlineStr">
        <is>
          <t>☐</t>
        </is>
      </c>
      <c r="C247" s="9" t="inlineStr">
        <is>
          <t>USA</t>
        </is>
      </c>
      <c r="D247" s="9" t="inlineStr">
        <is>
          <t>Colorado</t>
        </is>
      </c>
      <c r="E247" s="9" t="inlineStr">
        <is>
          <t>Denver / Rocky Mountain NP</t>
        </is>
      </c>
      <c r="F247" s="9" t="inlineStr">
        <is>
          <t>Rocky Mountain NP, Garden of the Gods, Aspen</t>
        </is>
      </c>
      <c r="G247" s="9" t="inlineStr">
        <is>
          <t>Nature</t>
        </is>
      </c>
      <c r="H247" s="9" t="inlineStr"/>
      <c r="I247" s="9">
        <f>IF(COUNTIF('Country Summary'!$B$5:$B$200,C247)&gt;0,"Yes","")</f>
        <v/>
      </c>
      <c r="J247" s="9" t="inlineStr"/>
    </row>
    <row r="248">
      <c r="A248" s="9" t="n">
        <v>244</v>
      </c>
      <c r="B248" s="23" t="inlineStr">
        <is>
          <t>☐</t>
        </is>
      </c>
      <c r="C248" s="9" t="inlineStr">
        <is>
          <t>USA</t>
        </is>
      </c>
      <c r="D248" s="9" t="inlineStr">
        <is>
          <t>Oregon / Washington</t>
        </is>
      </c>
      <c r="E248" s="9" t="inlineStr">
        <is>
          <t>Portland / Seattle</t>
        </is>
      </c>
      <c r="F248" s="9" t="inlineStr">
        <is>
          <t>Multnomah Falls, Mt Rainier, Pike Place Market</t>
        </is>
      </c>
      <c r="G248" s="9" t="inlineStr">
        <is>
          <t>Nature</t>
        </is>
      </c>
      <c r="H248" s="9" t="inlineStr"/>
      <c r="I248" s="9">
        <f>IF(COUNTIF('Country Summary'!$B$5:$B$200,C248)&gt;0,"Yes","")</f>
        <v/>
      </c>
      <c r="J248" s="9" t="inlineStr"/>
    </row>
    <row r="249">
      <c r="A249" s="9" t="n">
        <v>245</v>
      </c>
      <c r="B249" s="23" t="inlineStr">
        <is>
          <t>☑</t>
        </is>
      </c>
      <c r="C249" s="9" t="inlineStr">
        <is>
          <t>United Kingdom</t>
        </is>
      </c>
      <c r="D249" s="9" t="inlineStr">
        <is>
          <t>England</t>
        </is>
      </c>
      <c r="E249" s="9" t="inlineStr">
        <is>
          <t>London</t>
        </is>
      </c>
      <c r="F249" s="9" t="inlineStr">
        <is>
          <t>Bhaktivedanta Manor, Watford</t>
        </is>
      </c>
      <c r="G249" s="9" t="inlineStr">
        <is>
          <t>ISKCON</t>
        </is>
      </c>
      <c r="H249" s="9" t="inlineStr"/>
      <c r="I249" s="9">
        <f>IF(COUNTIF('Country Summary'!$B$5:$B$200,C249)&gt;0,"Yes","")</f>
        <v/>
      </c>
      <c r="J249" s="9" t="inlineStr"/>
    </row>
    <row r="250">
      <c r="A250" s="9" t="n">
        <v>246</v>
      </c>
      <c r="B250" s="23" t="inlineStr">
        <is>
          <t>☐</t>
        </is>
      </c>
      <c r="C250" s="9" t="inlineStr">
        <is>
          <t>United Kingdom</t>
        </is>
      </c>
      <c r="D250" s="9" t="inlineStr">
        <is>
          <t>England</t>
        </is>
      </c>
      <c r="E250" s="9" t="inlineStr">
        <is>
          <t>London</t>
        </is>
      </c>
      <c r="F250" s="9" t="inlineStr">
        <is>
          <t>ISKCON Soho Street (Radha Londonishvara) &amp; Govinda's</t>
        </is>
      </c>
      <c r="G250" s="9" t="inlineStr">
        <is>
          <t>ISKCON</t>
        </is>
      </c>
      <c r="H250" s="9" t="inlineStr"/>
      <c r="I250" s="9">
        <f>IF(COUNTIF('Country Summary'!$B$5:$B$200,C250)&gt;0,"Yes","")</f>
        <v/>
      </c>
      <c r="J250" s="9" t="inlineStr"/>
    </row>
    <row r="251">
      <c r="A251" s="9" t="n">
        <v>247</v>
      </c>
      <c r="B251" s="23" t="inlineStr">
        <is>
          <t>☑</t>
        </is>
      </c>
      <c r="C251" s="9" t="inlineStr">
        <is>
          <t>United Kingdom</t>
        </is>
      </c>
      <c r="D251" s="9" t="inlineStr">
        <is>
          <t>England</t>
        </is>
      </c>
      <c r="E251" s="9" t="inlineStr">
        <is>
          <t>London</t>
        </is>
      </c>
      <c r="F251" s="9" t="inlineStr">
        <is>
          <t>Tower of London - UNESCO</t>
        </is>
      </c>
      <c r="G251" s="9" t="inlineStr">
        <is>
          <t>UNESCO</t>
        </is>
      </c>
      <c r="H251" s="9" t="inlineStr"/>
      <c r="I251" s="9">
        <f>IF(COUNTIF('Country Summary'!$B$5:$B$200,C251)&gt;0,"Yes","")</f>
        <v/>
      </c>
      <c r="J251" s="9" t="inlineStr"/>
    </row>
    <row r="252">
      <c r="A252" s="9" t="n">
        <v>248</v>
      </c>
      <c r="B252" s="23" t="inlineStr">
        <is>
          <t>☑</t>
        </is>
      </c>
      <c r="C252" s="9" t="inlineStr">
        <is>
          <t>United Kingdom</t>
        </is>
      </c>
      <c r="D252" s="9" t="inlineStr">
        <is>
          <t>England</t>
        </is>
      </c>
      <c r="E252" s="9" t="inlineStr">
        <is>
          <t>London</t>
        </is>
      </c>
      <c r="F252" s="9" t="inlineStr">
        <is>
          <t>Westminster Abbey &amp; Palace of Westminster (Big Ben) - UNESCO</t>
        </is>
      </c>
      <c r="G252" s="9" t="inlineStr">
        <is>
          <t>UNESCO</t>
        </is>
      </c>
      <c r="H252" s="9" t="inlineStr"/>
      <c r="I252" s="9">
        <f>IF(COUNTIF('Country Summary'!$B$5:$B$200,C252)&gt;0,"Yes","")</f>
        <v/>
      </c>
      <c r="J252" s="9" t="inlineStr"/>
    </row>
    <row r="253">
      <c r="A253" s="9" t="n">
        <v>249</v>
      </c>
      <c r="B253" s="23" t="inlineStr">
        <is>
          <t>☑</t>
        </is>
      </c>
      <c r="C253" s="9" t="inlineStr">
        <is>
          <t>United Kingdom</t>
        </is>
      </c>
      <c r="D253" s="9" t="inlineStr">
        <is>
          <t>England</t>
        </is>
      </c>
      <c r="E253" s="9" t="inlineStr">
        <is>
          <t>London</t>
        </is>
      </c>
      <c r="F253" s="9" t="inlineStr">
        <is>
          <t>Buckingham Palace - Changing of the Guard</t>
        </is>
      </c>
      <c r="G253" s="9" t="inlineStr">
        <is>
          <t>Monument</t>
        </is>
      </c>
      <c r="H253" s="9" t="inlineStr"/>
      <c r="I253" s="9">
        <f>IF(COUNTIF('Country Summary'!$B$5:$B$200,C253)&gt;0,"Yes","")</f>
        <v/>
      </c>
      <c r="J253" s="9" t="inlineStr"/>
    </row>
    <row r="254">
      <c r="A254" s="9" t="n">
        <v>250</v>
      </c>
      <c r="B254" s="23" t="inlineStr">
        <is>
          <t>☑</t>
        </is>
      </c>
      <c r="C254" s="9" t="inlineStr">
        <is>
          <t>United Kingdom</t>
        </is>
      </c>
      <c r="D254" s="9" t="inlineStr">
        <is>
          <t>England</t>
        </is>
      </c>
      <c r="E254" s="9" t="inlineStr">
        <is>
          <t>London</t>
        </is>
      </c>
      <c r="F254" s="9" t="inlineStr">
        <is>
          <t>St Paul's Cathedral</t>
        </is>
      </c>
      <c r="G254" s="9" t="inlineStr">
        <is>
          <t>Monument</t>
        </is>
      </c>
      <c r="H254" s="9" t="inlineStr"/>
      <c r="I254" s="9">
        <f>IF(COUNTIF('Country Summary'!$B$5:$B$200,C254)&gt;0,"Yes","")</f>
        <v/>
      </c>
      <c r="J254" s="9" t="inlineStr"/>
    </row>
    <row r="255">
      <c r="A255" s="9" t="n">
        <v>251</v>
      </c>
      <c r="B255" s="23" t="inlineStr">
        <is>
          <t>☑</t>
        </is>
      </c>
      <c r="C255" s="9" t="inlineStr">
        <is>
          <t>United Kingdom</t>
        </is>
      </c>
      <c r="D255" s="9" t="inlineStr">
        <is>
          <t>England</t>
        </is>
      </c>
      <c r="E255" s="9" t="inlineStr">
        <is>
          <t>London</t>
        </is>
      </c>
      <c r="F255" s="9" t="inlineStr">
        <is>
          <t>London Eye, Thames cruise, Tower Bridge</t>
        </is>
      </c>
      <c r="G255" s="9" t="inlineStr">
        <is>
          <t>Monument</t>
        </is>
      </c>
      <c r="H255" s="9" t="inlineStr"/>
      <c r="I255" s="9">
        <f>IF(COUNTIF('Country Summary'!$B$5:$B$200,C255)&gt;0,"Yes","")</f>
        <v/>
      </c>
      <c r="J255" s="9" t="inlineStr"/>
    </row>
    <row r="256">
      <c r="A256" s="9" t="n">
        <v>252</v>
      </c>
      <c r="B256" s="23" t="inlineStr">
        <is>
          <t>☑</t>
        </is>
      </c>
      <c r="C256" s="9" t="inlineStr">
        <is>
          <t>United Kingdom</t>
        </is>
      </c>
      <c r="D256" s="9" t="inlineStr">
        <is>
          <t>England</t>
        </is>
      </c>
      <c r="E256" s="9" t="inlineStr">
        <is>
          <t>London</t>
        </is>
      </c>
      <c r="F256" s="9" t="inlineStr">
        <is>
          <t>Madame Tussauds</t>
        </is>
      </c>
      <c r="G256" s="9" t="inlineStr">
        <is>
          <t>Museum</t>
        </is>
      </c>
      <c r="H256" s="9" t="inlineStr"/>
      <c r="I256" s="9">
        <f>IF(COUNTIF('Country Summary'!$B$5:$B$200,C256)&gt;0,"Yes","")</f>
        <v/>
      </c>
      <c r="J256" s="9" t="inlineStr"/>
    </row>
    <row r="257">
      <c r="A257" s="9" t="n">
        <v>253</v>
      </c>
      <c r="B257" s="23" t="inlineStr">
        <is>
          <t>☐</t>
        </is>
      </c>
      <c r="C257" s="9" t="inlineStr">
        <is>
          <t>United Kingdom</t>
        </is>
      </c>
      <c r="D257" s="9" t="inlineStr">
        <is>
          <t>England</t>
        </is>
      </c>
      <c r="E257" s="9" t="inlineStr">
        <is>
          <t>London</t>
        </is>
      </c>
      <c r="F257" s="9" t="inlineStr">
        <is>
          <t>British Museum (Indian galleries), Natural History, V&amp;A</t>
        </is>
      </c>
      <c r="G257" s="9" t="inlineStr">
        <is>
          <t>Museum</t>
        </is>
      </c>
      <c r="H257" s="9" t="inlineStr"/>
      <c r="I257" s="9">
        <f>IF(COUNTIF('Country Summary'!$B$5:$B$200,C257)&gt;0,"Yes","")</f>
        <v/>
      </c>
      <c r="J257" s="9" t="inlineStr"/>
    </row>
    <row r="258">
      <c r="A258" s="9" t="n">
        <v>254</v>
      </c>
      <c r="B258" s="23" t="inlineStr">
        <is>
          <t>☐</t>
        </is>
      </c>
      <c r="C258" s="9" t="inlineStr">
        <is>
          <t>United Kingdom</t>
        </is>
      </c>
      <c r="D258" s="9" t="inlineStr">
        <is>
          <t>England</t>
        </is>
      </c>
      <c r="E258" s="9" t="inlineStr">
        <is>
          <t>London</t>
        </is>
      </c>
      <c r="F258" s="9" t="inlineStr">
        <is>
          <t>Neasden BAPS Shri Swaminarayan Mandir</t>
        </is>
      </c>
      <c r="G258" s="9" t="inlineStr">
        <is>
          <t>Temple</t>
        </is>
      </c>
      <c r="H258" s="9" t="inlineStr"/>
      <c r="I258" s="9">
        <f>IF(COUNTIF('Country Summary'!$B$5:$B$200,C258)&gt;0,"Yes","")</f>
        <v/>
      </c>
      <c r="J258" s="9" t="inlineStr"/>
    </row>
    <row r="259">
      <c r="A259" s="9" t="n">
        <v>255</v>
      </c>
      <c r="B259" s="23" t="inlineStr">
        <is>
          <t>☐</t>
        </is>
      </c>
      <c r="C259" s="9" t="inlineStr">
        <is>
          <t>United Kingdom</t>
        </is>
      </c>
      <c r="D259" s="9" t="inlineStr">
        <is>
          <t>England</t>
        </is>
      </c>
      <c r="E259" s="9" t="inlineStr">
        <is>
          <t>London</t>
        </is>
      </c>
      <c r="F259" s="9" t="inlineStr">
        <is>
          <t>Kew Gardens - UNESCO; Greenwich - UNESCO</t>
        </is>
      </c>
      <c r="G259" s="9" t="inlineStr">
        <is>
          <t>UNESCO</t>
        </is>
      </c>
      <c r="H259" s="9" t="inlineStr"/>
      <c r="I259" s="9">
        <f>IF(COUNTIF('Country Summary'!$B$5:$B$200,C259)&gt;0,"Yes","")</f>
        <v/>
      </c>
      <c r="J259" s="9" t="inlineStr"/>
    </row>
    <row r="260">
      <c r="A260" s="9" t="n">
        <v>256</v>
      </c>
      <c r="B260" s="23" t="inlineStr">
        <is>
          <t>☐</t>
        </is>
      </c>
      <c r="C260" s="9" t="inlineStr">
        <is>
          <t>United Kingdom</t>
        </is>
      </c>
      <c r="D260" s="9" t="inlineStr">
        <is>
          <t>England</t>
        </is>
      </c>
      <c r="E260" s="9" t="inlineStr">
        <is>
          <t>Wiltshire</t>
        </is>
      </c>
      <c r="F260" s="9" t="inlineStr">
        <is>
          <t>Stonehenge - UNESCO</t>
        </is>
      </c>
      <c r="G260" s="9" t="inlineStr">
        <is>
          <t>UNESCO</t>
        </is>
      </c>
      <c r="H260" s="9" t="inlineStr"/>
      <c r="I260" s="9">
        <f>IF(COUNTIF('Country Summary'!$B$5:$B$200,C260)&gt;0,"Yes","")</f>
        <v/>
      </c>
      <c r="J260" s="9" t="inlineStr"/>
    </row>
    <row r="261">
      <c r="A261" s="9" t="n">
        <v>257</v>
      </c>
      <c r="B261" s="23" t="inlineStr">
        <is>
          <t>☐</t>
        </is>
      </c>
      <c r="C261" s="9" t="inlineStr">
        <is>
          <t>United Kingdom</t>
        </is>
      </c>
      <c r="D261" s="9" t="inlineStr">
        <is>
          <t>England</t>
        </is>
      </c>
      <c r="E261" s="9" t="inlineStr">
        <is>
          <t>Bath</t>
        </is>
      </c>
      <c r="F261" s="9" t="inlineStr">
        <is>
          <t>Roman Baths - UNESCO</t>
        </is>
      </c>
      <c r="G261" s="9" t="inlineStr">
        <is>
          <t>UNESCO</t>
        </is>
      </c>
      <c r="H261" s="9" t="inlineStr"/>
      <c r="I261" s="9">
        <f>IF(COUNTIF('Country Summary'!$B$5:$B$200,C261)&gt;0,"Yes","")</f>
        <v/>
      </c>
      <c r="J261" s="9" t="inlineStr"/>
    </row>
    <row r="262">
      <c r="A262" s="9" t="n">
        <v>258</v>
      </c>
      <c r="B262" s="23" t="inlineStr">
        <is>
          <t>☐</t>
        </is>
      </c>
      <c r="C262" s="9" t="inlineStr">
        <is>
          <t>United Kingdom</t>
        </is>
      </c>
      <c r="D262" s="9" t="inlineStr">
        <is>
          <t>England</t>
        </is>
      </c>
      <c r="E262" s="9" t="inlineStr">
        <is>
          <t>Oxford / Cambridge</t>
        </is>
      </c>
      <c r="F262" s="9" t="inlineStr">
        <is>
          <t>University colleges, Oxford Centre for Hindu Studies</t>
        </is>
      </c>
      <c r="G262" s="9" t="inlineStr">
        <is>
          <t>Monument</t>
        </is>
      </c>
      <c r="H262" s="9" t="inlineStr"/>
      <c r="I262" s="9">
        <f>IF(COUNTIF('Country Summary'!$B$5:$B$200,C262)&gt;0,"Yes","")</f>
        <v/>
      </c>
      <c r="J262" s="9" t="inlineStr"/>
    </row>
    <row r="263">
      <c r="A263" s="9" t="n">
        <v>259</v>
      </c>
      <c r="B263" s="23" t="inlineStr">
        <is>
          <t>☐</t>
        </is>
      </c>
      <c r="C263" s="9" t="inlineStr">
        <is>
          <t>United Kingdom</t>
        </is>
      </c>
      <c r="D263" s="9" t="inlineStr">
        <is>
          <t>England</t>
        </is>
      </c>
      <c r="E263" s="9" t="inlineStr">
        <is>
          <t>Windsor</t>
        </is>
      </c>
      <c r="F263" s="9" t="inlineStr">
        <is>
          <t>Windsor Castle</t>
        </is>
      </c>
      <c r="G263" s="9" t="inlineStr">
        <is>
          <t>Monument</t>
        </is>
      </c>
      <c r="H263" s="9" t="inlineStr"/>
      <c r="I263" s="9">
        <f>IF(COUNTIF('Country Summary'!$B$5:$B$200,C263)&gt;0,"Yes","")</f>
        <v/>
      </c>
      <c r="J263" s="9" t="inlineStr"/>
    </row>
    <row r="264">
      <c r="A264" s="9" t="n">
        <v>260</v>
      </c>
      <c r="B264" s="23" t="inlineStr">
        <is>
          <t>☐</t>
        </is>
      </c>
      <c r="C264" s="9" t="inlineStr">
        <is>
          <t>United Kingdom</t>
        </is>
      </c>
      <c r="D264" s="9" t="inlineStr">
        <is>
          <t>England</t>
        </is>
      </c>
      <c r="E264" s="9" t="inlineStr">
        <is>
          <t>Liverpool</t>
        </is>
      </c>
      <c r="F264" s="9" t="inlineStr">
        <is>
          <t>Beatles story (George Harrison link)</t>
        </is>
      </c>
      <c r="G264" s="9" t="inlineStr">
        <is>
          <t>Museum</t>
        </is>
      </c>
      <c r="H264" s="9" t="inlineStr"/>
      <c r="I264" s="9">
        <f>IF(COUNTIF('Country Summary'!$B$5:$B$200,C264)&gt;0,"Yes","")</f>
        <v/>
      </c>
      <c r="J264" s="9" t="inlineStr"/>
    </row>
    <row r="265">
      <c r="A265" s="9" t="n">
        <v>261</v>
      </c>
      <c r="B265" s="23" t="inlineStr">
        <is>
          <t>☐</t>
        </is>
      </c>
      <c r="C265" s="9" t="inlineStr">
        <is>
          <t>United Kingdom</t>
        </is>
      </c>
      <c r="D265" s="9" t="inlineStr">
        <is>
          <t>England</t>
        </is>
      </c>
      <c r="E265" s="9" t="inlineStr">
        <is>
          <t>Henley / Friar Park</t>
        </is>
      </c>
      <c r="F265" s="9" t="inlineStr">
        <is>
          <t>George Harrison's Friar Park (exterior)</t>
        </is>
      </c>
      <c r="G265" s="9" t="inlineStr">
        <is>
          <t>Monument</t>
        </is>
      </c>
      <c r="H265" s="9" t="inlineStr"/>
      <c r="I265" s="9">
        <f>IF(COUNTIF('Country Summary'!$B$5:$B$200,C265)&gt;0,"Yes","")</f>
        <v/>
      </c>
      <c r="J265" s="9" t="inlineStr"/>
    </row>
    <row r="266">
      <c r="A266" s="9" t="n">
        <v>262</v>
      </c>
      <c r="B266" s="23" t="inlineStr">
        <is>
          <t>☐</t>
        </is>
      </c>
      <c r="C266" s="9" t="inlineStr">
        <is>
          <t>United Kingdom</t>
        </is>
      </c>
      <c r="D266" s="9" t="inlineStr">
        <is>
          <t>England</t>
        </is>
      </c>
      <c r="E266" s="9" t="inlineStr">
        <is>
          <t>Leicester / Birmingham</t>
        </is>
      </c>
      <c r="F266" s="9" t="inlineStr">
        <is>
          <t>ISKCON Leicester (Sri Sri Radha Madhava), Birmingham temple</t>
        </is>
      </c>
      <c r="G266" s="9" t="inlineStr">
        <is>
          <t>ISKCON</t>
        </is>
      </c>
      <c r="H266" s="9" t="inlineStr"/>
      <c r="I266" s="9">
        <f>IF(COUNTIF('Country Summary'!$B$5:$B$200,C266)&gt;0,"Yes","")</f>
        <v/>
      </c>
      <c r="J266" s="9" t="inlineStr"/>
    </row>
    <row r="267">
      <c r="A267" s="9" t="n">
        <v>263</v>
      </c>
      <c r="B267" s="23" t="inlineStr">
        <is>
          <t>☐</t>
        </is>
      </c>
      <c r="C267" s="9" t="inlineStr">
        <is>
          <t>United Kingdom</t>
        </is>
      </c>
      <c r="D267" s="9" t="inlineStr">
        <is>
          <t>England</t>
        </is>
      </c>
      <c r="E267" s="9" t="inlineStr">
        <is>
          <t>Lake District</t>
        </is>
      </c>
      <c r="F267" s="9" t="inlineStr">
        <is>
          <t>Lake District - UNESCO</t>
        </is>
      </c>
      <c r="G267" s="9" t="inlineStr">
        <is>
          <t>UNESCO</t>
        </is>
      </c>
      <c r="H267" s="9" t="inlineStr"/>
      <c r="I267" s="9">
        <f>IF(COUNTIF('Country Summary'!$B$5:$B$200,C267)&gt;0,"Yes","")</f>
        <v/>
      </c>
      <c r="J267" s="9" t="inlineStr"/>
    </row>
    <row r="268">
      <c r="A268" s="9" t="n">
        <v>264</v>
      </c>
      <c r="B268" s="23" t="inlineStr">
        <is>
          <t>☐</t>
        </is>
      </c>
      <c r="C268" s="9" t="inlineStr">
        <is>
          <t>United Kingdom</t>
        </is>
      </c>
      <c r="D268" s="9" t="inlineStr">
        <is>
          <t>Scotland</t>
        </is>
      </c>
      <c r="E268" s="9" t="inlineStr">
        <is>
          <t>Edinburgh</t>
        </is>
      </c>
      <c r="F268" s="9" t="inlineStr">
        <is>
          <t>Edinburgh Castle, Royal Mile - UNESCO; Karuna Bhavan (Lesmahagow)</t>
        </is>
      </c>
      <c r="G268" s="9" t="inlineStr">
        <is>
          <t>UNESCO</t>
        </is>
      </c>
      <c r="H268" s="9" t="inlineStr"/>
      <c r="I268" s="9">
        <f>IF(COUNTIF('Country Summary'!$B$5:$B$200,C268)&gt;0,"Yes","")</f>
        <v/>
      </c>
      <c r="J268" s="9" t="inlineStr"/>
    </row>
    <row r="269">
      <c r="A269" s="9" t="n">
        <v>265</v>
      </c>
      <c r="B269" s="23" t="inlineStr">
        <is>
          <t>☐</t>
        </is>
      </c>
      <c r="C269" s="9" t="inlineStr">
        <is>
          <t>United Kingdom</t>
        </is>
      </c>
      <c r="D269" s="9" t="inlineStr">
        <is>
          <t>Scotland</t>
        </is>
      </c>
      <c r="E269" s="9" t="inlineStr">
        <is>
          <t>Highlands</t>
        </is>
      </c>
      <c r="F269" s="9" t="inlineStr">
        <is>
          <t>Loch Ness, Glencoe, Isle of Skye</t>
        </is>
      </c>
      <c r="G269" s="9" t="inlineStr">
        <is>
          <t>Nature</t>
        </is>
      </c>
      <c r="H269" s="9" t="inlineStr"/>
      <c r="I269" s="9">
        <f>IF(COUNTIF('Country Summary'!$B$5:$B$200,C269)&gt;0,"Yes","")</f>
        <v/>
      </c>
      <c r="J269" s="9" t="inlineStr"/>
    </row>
    <row r="270">
      <c r="A270" s="9" t="n">
        <v>266</v>
      </c>
      <c r="B270" s="23" t="inlineStr">
        <is>
          <t>☐</t>
        </is>
      </c>
      <c r="C270" s="9" t="inlineStr">
        <is>
          <t>United Kingdom</t>
        </is>
      </c>
      <c r="D270" s="9" t="inlineStr">
        <is>
          <t>Wales</t>
        </is>
      </c>
      <c r="E270" s="9" t="inlineStr">
        <is>
          <t>Cardiff / Snowdonia</t>
        </is>
      </c>
      <c r="F270" s="9" t="inlineStr">
        <is>
          <t>Cardiff Castle; Snowdon; castles of Edward I - UNESCO</t>
        </is>
      </c>
      <c r="G270" s="9" t="inlineStr">
        <is>
          <t>UNESCO</t>
        </is>
      </c>
      <c r="H270" s="9" t="inlineStr"/>
      <c r="I270" s="9">
        <f>IF(COUNTIF('Country Summary'!$B$5:$B$200,C270)&gt;0,"Yes","")</f>
        <v/>
      </c>
      <c r="J270" s="9" t="inlineStr"/>
    </row>
    <row r="271">
      <c r="A271" s="9" t="n">
        <v>267</v>
      </c>
      <c r="B271" s="23" t="inlineStr">
        <is>
          <t>☐</t>
        </is>
      </c>
      <c r="C271" s="9" t="inlineStr">
        <is>
          <t>United Kingdom</t>
        </is>
      </c>
      <c r="D271" s="9" t="inlineStr">
        <is>
          <t>Northern Ireland</t>
        </is>
      </c>
      <c r="E271" s="9" t="inlineStr">
        <is>
          <t>Antrim</t>
        </is>
      </c>
      <c r="F271" s="9" t="inlineStr">
        <is>
          <t>Giant's Causeway - UNESCO; Inis Rath (Govindadwipa, Fermanagh)</t>
        </is>
      </c>
      <c r="G271" s="9" t="inlineStr">
        <is>
          <t>UNESCO</t>
        </is>
      </c>
      <c r="H271" s="9" t="inlineStr"/>
      <c r="I271" s="9">
        <f>IF(COUNTIF('Country Summary'!$B$5:$B$200,C271)&gt;0,"Yes","")</f>
        <v/>
      </c>
      <c r="J271" s="9" t="inlineStr"/>
    </row>
    <row r="272">
      <c r="A272" s="9" t="n">
        <v>268</v>
      </c>
      <c r="B272" s="23" t="inlineStr">
        <is>
          <t>☐</t>
        </is>
      </c>
      <c r="C272" s="9" t="inlineStr">
        <is>
          <t>United Kingdom</t>
        </is>
      </c>
      <c r="D272" s="9" t="inlineStr">
        <is>
          <t>England</t>
        </is>
      </c>
      <c r="E272" s="9" t="inlineStr">
        <is>
          <t>London</t>
        </is>
      </c>
      <c r="F272" s="9" t="inlineStr">
        <is>
          <t>Harry Potter Warner Bros Studio, The Shard, Sky Garden, Hyde Park, Camden, Notting Hill, Covent Garden, Borough Market</t>
        </is>
      </c>
      <c r="G272" s="9" t="inlineStr">
        <is>
          <t>Sightseeing</t>
        </is>
      </c>
      <c r="H272" s="9" t="inlineStr"/>
      <c r="I272" s="9">
        <f>IF(COUNTIF('Country Summary'!$B$5:$B$200,C272)&gt;0,"Yes","")</f>
        <v/>
      </c>
      <c r="J272" s="9" t="inlineStr"/>
    </row>
    <row r="273">
      <c r="A273" s="9" t="n">
        <v>269</v>
      </c>
      <c r="B273" s="23" t="inlineStr">
        <is>
          <t>☐</t>
        </is>
      </c>
      <c r="C273" s="9" t="inlineStr">
        <is>
          <t>United Kingdom</t>
        </is>
      </c>
      <c r="D273" s="9" t="inlineStr">
        <is>
          <t>England</t>
        </is>
      </c>
      <c r="E273" s="9" t="inlineStr">
        <is>
          <t>London</t>
        </is>
      </c>
      <c r="F273" s="9" t="inlineStr">
        <is>
          <t>Wembley / Lord's / Wimbledon tour, West End musical, Natural History Museum</t>
        </is>
      </c>
      <c r="G273" s="9" t="inlineStr">
        <is>
          <t>Sightseeing</t>
        </is>
      </c>
      <c r="H273" s="9" t="inlineStr"/>
      <c r="I273" s="9">
        <f>IF(COUNTIF('Country Summary'!$B$5:$B$200,C273)&gt;0,"Yes","")</f>
        <v/>
      </c>
      <c r="J273" s="9" t="inlineStr"/>
    </row>
    <row r="274">
      <c r="A274" s="9" t="n">
        <v>270</v>
      </c>
      <c r="B274" s="23" t="inlineStr">
        <is>
          <t>☐</t>
        </is>
      </c>
      <c r="C274" s="9" t="inlineStr">
        <is>
          <t>United Kingdom</t>
        </is>
      </c>
      <c r="D274" s="9" t="inlineStr">
        <is>
          <t>England</t>
        </is>
      </c>
      <c r="E274" s="9" t="inlineStr">
        <is>
          <t>Cotswolds / Stratford</t>
        </is>
      </c>
      <c r="F274" s="9" t="inlineStr">
        <is>
          <t>Cotswold villages, Shakespeare's birthplace, Warwick Castle</t>
        </is>
      </c>
      <c r="G274" s="9" t="inlineStr">
        <is>
          <t>Sightseeing</t>
        </is>
      </c>
      <c r="H274" s="9" t="inlineStr"/>
      <c r="I274" s="9">
        <f>IF(COUNTIF('Country Summary'!$B$5:$B$200,C274)&gt;0,"Yes","")</f>
        <v/>
      </c>
      <c r="J274" s="9" t="inlineStr"/>
    </row>
    <row r="275">
      <c r="A275" s="9" t="n">
        <v>271</v>
      </c>
      <c r="B275" s="23" t="inlineStr">
        <is>
          <t>☐</t>
        </is>
      </c>
      <c r="C275" s="9" t="inlineStr">
        <is>
          <t>United Kingdom</t>
        </is>
      </c>
      <c r="D275" s="9" t="inlineStr">
        <is>
          <t>England</t>
        </is>
      </c>
      <c r="E275" s="9" t="inlineStr">
        <is>
          <t>Cornwall / Devon</t>
        </is>
      </c>
      <c r="F275" s="9" t="inlineStr">
        <is>
          <t>St Ives, Eden Project, Jurassic Coast</t>
        </is>
      </c>
      <c r="G275" s="9" t="inlineStr">
        <is>
          <t>Nature</t>
        </is>
      </c>
      <c r="H275" s="9" t="inlineStr"/>
      <c r="I275" s="9">
        <f>IF(COUNTIF('Country Summary'!$B$5:$B$200,C275)&gt;0,"Yes","")</f>
        <v/>
      </c>
      <c r="J275" s="9" t="inlineStr"/>
    </row>
    <row r="276">
      <c r="A276" s="9" t="n">
        <v>272</v>
      </c>
      <c r="B276" s="23" t="inlineStr">
        <is>
          <t>☐</t>
        </is>
      </c>
      <c r="C276" s="9" t="inlineStr">
        <is>
          <t>United Kingdom</t>
        </is>
      </c>
      <c r="D276" s="9" t="inlineStr">
        <is>
          <t>England</t>
        </is>
      </c>
      <c r="E276" s="9" t="inlineStr">
        <is>
          <t>York / Manchester / Liverpool</t>
        </is>
      </c>
      <c r="F276" s="9" t="inlineStr">
        <is>
          <t>York Minster, Old Trafford tour, Albert Dock</t>
        </is>
      </c>
      <c r="G276" s="9" t="inlineStr">
        <is>
          <t>Sightseeing</t>
        </is>
      </c>
      <c r="H276" s="9" t="inlineStr"/>
      <c r="I276" s="9">
        <f>IF(COUNTIF('Country Summary'!$B$5:$B$200,C276)&gt;0,"Yes","")</f>
        <v/>
      </c>
      <c r="J276" s="9" t="inlineStr"/>
    </row>
    <row r="277">
      <c r="A277" s="9" t="n">
        <v>273</v>
      </c>
      <c r="B277" s="23" t="inlineStr">
        <is>
          <t>☐</t>
        </is>
      </c>
      <c r="C277" s="9" t="inlineStr">
        <is>
          <t>United Kingdom</t>
        </is>
      </c>
      <c r="D277" s="9" t="inlineStr">
        <is>
          <t>Scotland</t>
        </is>
      </c>
      <c r="E277" s="9" t="inlineStr">
        <is>
          <t>Edinburgh</t>
        </is>
      </c>
      <c r="F277" s="9" t="inlineStr">
        <is>
          <t>Arthur's Seat, Royal Yacht Britannia, Edinburgh Fringe (Aug)</t>
        </is>
      </c>
      <c r="G277" s="9" t="inlineStr">
        <is>
          <t>Sightseeing</t>
        </is>
      </c>
      <c r="H277" s="9" t="inlineStr"/>
      <c r="I277" s="9">
        <f>IF(COUNTIF('Country Summary'!$B$5:$B$200,C277)&gt;0,"Yes","")</f>
        <v/>
      </c>
      <c r="J277" s="9" t="inlineStr"/>
    </row>
    <row r="278">
      <c r="A278" s="9" t="n">
        <v>274</v>
      </c>
      <c r="B278" s="23" t="inlineStr">
        <is>
          <t>☐</t>
        </is>
      </c>
      <c r="C278" s="9" t="inlineStr">
        <is>
          <t>United Kingdom</t>
        </is>
      </c>
      <c r="D278" s="9" t="inlineStr">
        <is>
          <t>Scotland</t>
        </is>
      </c>
      <c r="E278" s="9" t="inlineStr">
        <is>
          <t>Highlands</t>
        </is>
      </c>
      <c r="F278" s="9" t="inlineStr">
        <is>
          <t>Glenfinnan Viaduct (Hogwarts Express), Ben Nevis, Isle of Skye Fairy Pools</t>
        </is>
      </c>
      <c r="G278" s="9" t="inlineStr">
        <is>
          <t>Nature</t>
        </is>
      </c>
      <c r="H278" s="9" t="inlineStr"/>
      <c r="I278" s="9">
        <f>IF(COUNTIF('Country Summary'!$B$5:$B$200,C278)&gt;0,"Yes","")</f>
        <v/>
      </c>
      <c r="J278" s="9" t="inlineStr"/>
    </row>
    <row r="279">
      <c r="A279" s="9" t="n">
        <v>275</v>
      </c>
      <c r="B279" s="23" t="inlineStr">
        <is>
          <t>☑</t>
        </is>
      </c>
      <c r="C279" s="9" t="inlineStr">
        <is>
          <t>France</t>
        </is>
      </c>
      <c r="D279" s="9" t="inlineStr">
        <is>
          <t>Ile-de-France</t>
        </is>
      </c>
      <c r="E279" s="9" t="inlineStr">
        <is>
          <t>Paris</t>
        </is>
      </c>
      <c r="F279" s="9" t="inlineStr">
        <is>
          <t>Eiffel Tower</t>
        </is>
      </c>
      <c r="G279" s="9" t="inlineStr">
        <is>
          <t>Monument</t>
        </is>
      </c>
      <c r="H279" s="9" t="inlineStr"/>
      <c r="I279" s="9">
        <f>IF(COUNTIF('Country Summary'!$B$5:$B$200,C279)&gt;0,"Yes","")</f>
        <v/>
      </c>
      <c r="J279" s="9" t="inlineStr"/>
    </row>
    <row r="280">
      <c r="A280" s="9" t="n">
        <v>276</v>
      </c>
      <c r="B280" s="23" t="inlineStr">
        <is>
          <t>☑</t>
        </is>
      </c>
      <c r="C280" s="9" t="inlineStr">
        <is>
          <t>France</t>
        </is>
      </c>
      <c r="D280" s="9" t="inlineStr">
        <is>
          <t>Ile-de-France</t>
        </is>
      </c>
      <c r="E280" s="9" t="inlineStr">
        <is>
          <t>Paris</t>
        </is>
      </c>
      <c r="F280" s="9" t="inlineStr">
        <is>
          <t>Louvre Museum</t>
        </is>
      </c>
      <c r="G280" s="9" t="inlineStr">
        <is>
          <t>Museum</t>
        </is>
      </c>
      <c r="H280" s="9" t="inlineStr"/>
      <c r="I280" s="9">
        <f>IF(COUNTIF('Country Summary'!$B$5:$B$200,C280)&gt;0,"Yes","")</f>
        <v/>
      </c>
      <c r="J280" s="9" t="inlineStr"/>
    </row>
    <row r="281">
      <c r="A281" s="9" t="n">
        <v>277</v>
      </c>
      <c r="B281" s="23" t="inlineStr">
        <is>
          <t>☑</t>
        </is>
      </c>
      <c r="C281" s="9" t="inlineStr">
        <is>
          <t>France</t>
        </is>
      </c>
      <c r="D281" s="9" t="inlineStr">
        <is>
          <t>Ile-de-France</t>
        </is>
      </c>
      <c r="E281" s="9" t="inlineStr">
        <is>
          <t>Paris</t>
        </is>
      </c>
      <c r="F281" s="9" t="inlineStr">
        <is>
          <t>Seine cruise, Notre-Dame, Arc de Triomphe, Champs-Elysees</t>
        </is>
      </c>
      <c r="G281" s="9" t="inlineStr">
        <is>
          <t>Monument</t>
        </is>
      </c>
      <c r="H281" s="9" t="inlineStr"/>
      <c r="I281" s="9">
        <f>IF(COUNTIF('Country Summary'!$B$5:$B$200,C281)&gt;0,"Yes","")</f>
        <v/>
      </c>
      <c r="J281" s="9" t="inlineStr"/>
    </row>
    <row r="282">
      <c r="A282" s="9" t="n">
        <v>278</v>
      </c>
      <c r="B282" s="23" t="inlineStr">
        <is>
          <t>☑</t>
        </is>
      </c>
      <c r="C282" s="9" t="inlineStr">
        <is>
          <t>France</t>
        </is>
      </c>
      <c r="D282" s="9" t="inlineStr">
        <is>
          <t>Ile-de-France</t>
        </is>
      </c>
      <c r="E282" s="9" t="inlineStr">
        <is>
          <t>Paris</t>
        </is>
      </c>
      <c r="F282" s="9" t="inlineStr">
        <is>
          <t>Montmartre &amp; Sacre-Coeur</t>
        </is>
      </c>
      <c r="G282" s="9" t="inlineStr">
        <is>
          <t>Monument</t>
        </is>
      </c>
      <c r="H282" s="9" t="inlineStr"/>
      <c r="I282" s="9">
        <f>IF(COUNTIF('Country Summary'!$B$5:$B$200,C282)&gt;0,"Yes","")</f>
        <v/>
      </c>
      <c r="J282" s="9" t="inlineStr"/>
    </row>
    <row r="283">
      <c r="A283" s="9" t="n">
        <v>279</v>
      </c>
      <c r="B283" s="23" t="inlineStr">
        <is>
          <t>☐</t>
        </is>
      </c>
      <c r="C283" s="9" t="inlineStr">
        <is>
          <t>France</t>
        </is>
      </c>
      <c r="D283" s="9" t="inlineStr">
        <is>
          <t>Ile-de-France</t>
        </is>
      </c>
      <c r="E283" s="9" t="inlineStr">
        <is>
          <t>Paris</t>
        </is>
      </c>
      <c r="F283" s="9" t="inlineStr">
        <is>
          <t>Palace of Versailles - UNESCO</t>
        </is>
      </c>
      <c r="G283" s="9" t="inlineStr">
        <is>
          <t>UNESCO</t>
        </is>
      </c>
      <c r="H283" s="9" t="inlineStr"/>
      <c r="I283" s="9">
        <f>IF(COUNTIF('Country Summary'!$B$5:$B$200,C283)&gt;0,"Yes","")</f>
        <v/>
      </c>
      <c r="J283" s="9" t="inlineStr"/>
    </row>
    <row r="284">
      <c r="A284" s="9" t="n">
        <v>280</v>
      </c>
      <c r="B284" s="23" t="inlineStr">
        <is>
          <t>☐</t>
        </is>
      </c>
      <c r="C284" s="9" t="inlineStr">
        <is>
          <t>France</t>
        </is>
      </c>
      <c r="D284" s="9" t="inlineStr">
        <is>
          <t>Ile-de-France</t>
        </is>
      </c>
      <c r="E284" s="9" t="inlineStr">
        <is>
          <t>Paris</t>
        </is>
      </c>
      <c r="F284" s="9" t="inlineStr">
        <is>
          <t>Musee d'Orsay, Sainte-Chapelle, Pantheon</t>
        </is>
      </c>
      <c r="G284" s="9" t="inlineStr">
        <is>
          <t>Museum</t>
        </is>
      </c>
      <c r="H284" s="9" t="inlineStr"/>
      <c r="I284" s="9">
        <f>IF(COUNTIF('Country Summary'!$B$5:$B$200,C284)&gt;0,"Yes","")</f>
        <v/>
      </c>
      <c r="J284" s="9" t="inlineStr"/>
    </row>
    <row r="285">
      <c r="A285" s="9" t="n">
        <v>281</v>
      </c>
      <c r="B285" s="23" t="inlineStr">
        <is>
          <t>☐</t>
        </is>
      </c>
      <c r="C285" s="9" t="inlineStr">
        <is>
          <t>France</t>
        </is>
      </c>
      <c r="D285" s="9" t="inlineStr">
        <is>
          <t>Ile-de-France</t>
        </is>
      </c>
      <c r="E285" s="9" t="inlineStr">
        <is>
          <t>Sarcelles</t>
        </is>
      </c>
      <c r="F285" s="9" t="inlineStr">
        <is>
          <t>ISKCON Paris</t>
        </is>
      </c>
      <c r="G285" s="9" t="inlineStr">
        <is>
          <t>ISKCON</t>
        </is>
      </c>
      <c r="H285" s="9" t="inlineStr"/>
      <c r="I285" s="9">
        <f>IF(COUNTIF('Country Summary'!$B$5:$B$200,C285)&gt;0,"Yes","")</f>
        <v/>
      </c>
      <c r="J285" s="9" t="inlineStr"/>
    </row>
    <row r="286">
      <c r="A286" s="9" t="n">
        <v>282</v>
      </c>
      <c r="B286" s="23" t="inlineStr">
        <is>
          <t>☑</t>
        </is>
      </c>
      <c r="C286" s="9" t="inlineStr">
        <is>
          <t>France</t>
        </is>
      </c>
      <c r="D286" s="9" t="inlineStr">
        <is>
          <t>Centre-Val de Loire</t>
        </is>
      </c>
      <c r="E286" s="9" t="inlineStr">
        <is>
          <t>Lucay-le-Male</t>
        </is>
      </c>
      <c r="F286" s="9" t="inlineStr">
        <is>
          <t>ISKCON New Mayapur</t>
        </is>
      </c>
      <c r="G286" s="9" t="inlineStr">
        <is>
          <t>ISKCON</t>
        </is>
      </c>
      <c r="H286" s="9" t="inlineStr"/>
      <c r="I286" s="9">
        <f>IF(COUNTIF('Country Summary'!$B$5:$B$200,C286)&gt;0,"Yes","")</f>
        <v/>
      </c>
      <c r="J286" s="9" t="inlineStr"/>
    </row>
    <row r="287">
      <c r="A287" s="9" t="n">
        <v>283</v>
      </c>
      <c r="B287" s="23" t="inlineStr">
        <is>
          <t>☐</t>
        </is>
      </c>
      <c r="C287" s="9" t="inlineStr">
        <is>
          <t>France</t>
        </is>
      </c>
      <c r="D287" s="9" t="inlineStr">
        <is>
          <t>Centre-Val de Loire</t>
        </is>
      </c>
      <c r="E287" s="9" t="inlineStr">
        <is>
          <t>Loire Valley</t>
        </is>
      </c>
      <c r="F287" s="9" t="inlineStr">
        <is>
          <t>Chateaux (Chambord, Chenonceau) - UNESCO</t>
        </is>
      </c>
      <c r="G287" s="9" t="inlineStr">
        <is>
          <t>UNESCO</t>
        </is>
      </c>
      <c r="H287" s="9" t="inlineStr"/>
      <c r="I287" s="9">
        <f>IF(COUNTIF('Country Summary'!$B$5:$B$200,C287)&gt;0,"Yes","")</f>
        <v/>
      </c>
      <c r="J287" s="9" t="inlineStr"/>
    </row>
    <row r="288">
      <c r="A288" s="9" t="n">
        <v>284</v>
      </c>
      <c r="B288" s="23" t="inlineStr">
        <is>
          <t>☐</t>
        </is>
      </c>
      <c r="C288" s="9" t="inlineStr">
        <is>
          <t>France</t>
        </is>
      </c>
      <c r="D288" s="9" t="inlineStr">
        <is>
          <t>Normandy</t>
        </is>
      </c>
      <c r="E288" s="9" t="inlineStr">
        <is>
          <t>Mont-Saint-Michel</t>
        </is>
      </c>
      <c r="F288" s="9" t="inlineStr">
        <is>
          <t>Mont-Saint-Michel - UNESCO</t>
        </is>
      </c>
      <c r="G288" s="9" t="inlineStr">
        <is>
          <t>UNESCO</t>
        </is>
      </c>
      <c r="H288" s="9" t="inlineStr"/>
      <c r="I288" s="9">
        <f>IF(COUNTIF('Country Summary'!$B$5:$B$200,C288)&gt;0,"Yes","")</f>
        <v/>
      </c>
      <c r="J288" s="9" t="inlineStr"/>
    </row>
    <row r="289">
      <c r="A289" s="9" t="n">
        <v>285</v>
      </c>
      <c r="B289" s="23" t="inlineStr">
        <is>
          <t>☐</t>
        </is>
      </c>
      <c r="C289" s="9" t="inlineStr">
        <is>
          <t>France</t>
        </is>
      </c>
      <c r="D289" s="9" t="inlineStr">
        <is>
          <t>Provence</t>
        </is>
      </c>
      <c r="E289" s="9" t="inlineStr">
        <is>
          <t>Avignon / Nice / Monaco</t>
        </is>
      </c>
      <c r="F289" s="9" t="inlineStr">
        <is>
          <t>Papal Palace, French Riviera</t>
        </is>
      </c>
      <c r="G289" s="9" t="inlineStr">
        <is>
          <t>Monument</t>
        </is>
      </c>
      <c r="H289" s="9" t="inlineStr"/>
      <c r="I289" s="9">
        <f>IF(COUNTIF('Country Summary'!$B$5:$B$200,C289)&gt;0,"Yes","")</f>
        <v/>
      </c>
      <c r="J289" s="9" t="inlineStr"/>
    </row>
    <row r="290">
      <c r="A290" s="9" t="n">
        <v>286</v>
      </c>
      <c r="B290" s="23" t="inlineStr">
        <is>
          <t>☐</t>
        </is>
      </c>
      <c r="C290" s="9" t="inlineStr">
        <is>
          <t>France</t>
        </is>
      </c>
      <c r="D290" s="9" t="inlineStr">
        <is>
          <t>Alsace</t>
        </is>
      </c>
      <c r="E290" s="9" t="inlineStr">
        <is>
          <t>Strasbourg / Colmar</t>
        </is>
      </c>
      <c r="F290" s="9" t="inlineStr">
        <is>
          <t>Old towns - UNESCO</t>
        </is>
      </c>
      <c r="G290" s="9" t="inlineStr">
        <is>
          <t>UNESCO</t>
        </is>
      </c>
      <c r="H290" s="9" t="inlineStr"/>
      <c r="I290" s="9">
        <f>IF(COUNTIF('Country Summary'!$B$5:$B$200,C290)&gt;0,"Yes","")</f>
        <v/>
      </c>
      <c r="J290" s="9" t="inlineStr"/>
    </row>
    <row r="291">
      <c r="A291" s="9" t="n">
        <v>287</v>
      </c>
      <c r="B291" s="23" t="inlineStr">
        <is>
          <t>☐</t>
        </is>
      </c>
      <c r="C291" s="9" t="inlineStr">
        <is>
          <t>France</t>
        </is>
      </c>
      <c r="D291" s="9" t="inlineStr">
        <is>
          <t>Ile-de-France</t>
        </is>
      </c>
      <c r="E291" s="9" t="inlineStr">
        <is>
          <t>Paris</t>
        </is>
      </c>
      <c r="F291" s="9" t="inlineStr">
        <is>
          <t>Disneyland Paris</t>
        </is>
      </c>
      <c r="G291" s="9" t="inlineStr">
        <is>
          <t>Theme park</t>
        </is>
      </c>
      <c r="H291" s="9" t="inlineStr"/>
      <c r="I291" s="9">
        <f>IF(COUNTIF('Country Summary'!$B$5:$B$200,C291)&gt;0,"Yes","")</f>
        <v/>
      </c>
      <c r="J291" s="9" t="inlineStr"/>
    </row>
    <row r="292">
      <c r="A292" s="9" t="n">
        <v>288</v>
      </c>
      <c r="B292" s="23" t="inlineStr">
        <is>
          <t>☐</t>
        </is>
      </c>
      <c r="C292" s="9" t="inlineStr">
        <is>
          <t>France</t>
        </is>
      </c>
      <c r="D292" s="9" t="inlineStr">
        <is>
          <t>Ile-de-France</t>
        </is>
      </c>
      <c r="E292" s="9" t="inlineStr">
        <is>
          <t>Paris</t>
        </is>
      </c>
      <c r="F292" s="9" t="inlineStr">
        <is>
          <t>Montparnasse view, Galeries Lafayette rooftop, Luxembourg Gardens, Moulin Rouge exterior, Pere Lachaise</t>
        </is>
      </c>
      <c r="G292" s="9" t="inlineStr">
        <is>
          <t>Sightseeing</t>
        </is>
      </c>
      <c r="H292" s="9" t="inlineStr"/>
      <c r="I292" s="9">
        <f>IF(COUNTIF('Country Summary'!$B$5:$B$200,C292)&gt;0,"Yes","")</f>
        <v/>
      </c>
      <c r="J292" s="9" t="inlineStr"/>
    </row>
    <row r="293">
      <c r="A293" s="9" t="n">
        <v>289</v>
      </c>
      <c r="B293" s="23" t="inlineStr">
        <is>
          <t>☐</t>
        </is>
      </c>
      <c r="C293" s="9" t="inlineStr">
        <is>
          <t>France</t>
        </is>
      </c>
      <c r="D293" s="9" t="inlineStr">
        <is>
          <t>Provence</t>
        </is>
      </c>
      <c r="E293" s="9" t="inlineStr">
        <is>
          <t>Provence</t>
        </is>
      </c>
      <c r="F293" s="9" t="inlineStr">
        <is>
          <t>Lavender fields (Jun-Jul), Gorges du Verdon</t>
        </is>
      </c>
      <c r="G293" s="9" t="inlineStr">
        <is>
          <t>Nature</t>
        </is>
      </c>
      <c r="H293" s="9" t="inlineStr"/>
      <c r="I293" s="9">
        <f>IF(COUNTIF('Country Summary'!$B$5:$B$200,C293)&gt;0,"Yes","")</f>
        <v/>
      </c>
      <c r="J293" s="9" t="inlineStr"/>
    </row>
    <row r="294">
      <c r="A294" s="9" t="n">
        <v>290</v>
      </c>
      <c r="B294" s="23" t="inlineStr">
        <is>
          <t>☐</t>
        </is>
      </c>
      <c r="C294" s="9" t="inlineStr">
        <is>
          <t>France</t>
        </is>
      </c>
      <c r="D294" s="9" t="inlineStr">
        <is>
          <t>Auvergne-Rhone-Alpes</t>
        </is>
      </c>
      <c r="E294" s="9" t="inlineStr">
        <is>
          <t>Chamonix</t>
        </is>
      </c>
      <c r="F294" s="9" t="inlineStr">
        <is>
          <t>Mont Blanc, Aiguille du Midi</t>
        </is>
      </c>
      <c r="G294" s="9" t="inlineStr">
        <is>
          <t>Nature</t>
        </is>
      </c>
      <c r="H294" s="9" t="inlineStr"/>
      <c r="I294" s="9">
        <f>IF(COUNTIF('Country Summary'!$B$5:$B$200,C294)&gt;0,"Yes","")</f>
        <v/>
      </c>
      <c r="J294" s="9" t="inlineStr"/>
    </row>
    <row r="295">
      <c r="A295" s="9" t="n">
        <v>291</v>
      </c>
      <c r="B295" s="23" t="inlineStr">
        <is>
          <t>☑</t>
        </is>
      </c>
      <c r="C295" s="9" t="inlineStr">
        <is>
          <t>Belgium</t>
        </is>
      </c>
      <c r="D295" s="9" t="inlineStr">
        <is>
          <t>Brussels</t>
        </is>
      </c>
      <c r="E295" s="9" t="inlineStr">
        <is>
          <t>Brussels</t>
        </is>
      </c>
      <c r="F295" s="9" t="inlineStr">
        <is>
          <t>Grand Place - UNESCO, Manneken Pis, Atomium</t>
        </is>
      </c>
      <c r="G295" s="9" t="inlineStr">
        <is>
          <t>UNESCO</t>
        </is>
      </c>
      <c r="H295" s="9" t="inlineStr"/>
      <c r="I295" s="9">
        <f>IF(COUNTIF('Country Summary'!$B$5:$B$200,C295)&gt;0,"Yes","")</f>
        <v/>
      </c>
      <c r="J295" s="9" t="inlineStr"/>
    </row>
    <row r="296">
      <c r="A296" s="9" t="n">
        <v>292</v>
      </c>
      <c r="B296" s="23" t="inlineStr">
        <is>
          <t>☑</t>
        </is>
      </c>
      <c r="C296" s="9" t="inlineStr">
        <is>
          <t>Belgium</t>
        </is>
      </c>
      <c r="D296" s="9" t="inlineStr">
        <is>
          <t>Wallonia</t>
        </is>
      </c>
      <c r="E296" s="9" t="inlineStr">
        <is>
          <t>Durbuy</t>
        </is>
      </c>
      <c r="F296" s="9" t="inlineStr">
        <is>
          <t>ISKCON Radhadesh</t>
        </is>
      </c>
      <c r="G296" s="9" t="inlineStr">
        <is>
          <t>ISKCON</t>
        </is>
      </c>
      <c r="H296" s="9" t="inlineStr"/>
      <c r="I296" s="9">
        <f>IF(COUNTIF('Country Summary'!$B$5:$B$200,C296)&gt;0,"Yes","")</f>
        <v/>
      </c>
      <c r="J296" s="9" t="inlineStr"/>
    </row>
    <row r="297">
      <c r="A297" s="9" t="n">
        <v>293</v>
      </c>
      <c r="B297" s="23" t="inlineStr">
        <is>
          <t>☐</t>
        </is>
      </c>
      <c r="C297" s="9" t="inlineStr">
        <is>
          <t>Belgium</t>
        </is>
      </c>
      <c r="D297" s="9" t="inlineStr">
        <is>
          <t>Flanders</t>
        </is>
      </c>
      <c r="E297" s="9" t="inlineStr">
        <is>
          <t>Bruges / Ghent / Antwerp</t>
        </is>
      </c>
      <c r="F297" s="9" t="inlineStr">
        <is>
          <t>Bruges historic centre - UNESCO; Antwerp ISKCON</t>
        </is>
      </c>
      <c r="G297" s="9" t="inlineStr">
        <is>
          <t>UNESCO</t>
        </is>
      </c>
      <c r="H297" s="9" t="inlineStr"/>
      <c r="I297" s="9">
        <f>IF(COUNTIF('Country Summary'!$B$5:$B$200,C297)&gt;0,"Yes","")</f>
        <v/>
      </c>
      <c r="J297" s="9" t="inlineStr"/>
    </row>
    <row r="298">
      <c r="A298" s="9" t="n">
        <v>294</v>
      </c>
      <c r="B298" s="23" t="inlineStr">
        <is>
          <t>☐</t>
        </is>
      </c>
      <c r="C298" s="9" t="inlineStr">
        <is>
          <t>Belgium</t>
        </is>
      </c>
      <c r="D298" s="9" t="inlineStr">
        <is>
          <t>Flanders</t>
        </is>
      </c>
      <c r="E298" s="9" t="inlineStr">
        <is>
          <t>Bruges</t>
        </is>
      </c>
      <c r="F298" s="9" t="inlineStr">
        <is>
          <t>Canal boat, Belfry, chocolate &amp; waffles</t>
        </is>
      </c>
      <c r="G298" s="9" t="inlineStr">
        <is>
          <t>Sightseeing</t>
        </is>
      </c>
      <c r="H298" s="9" t="inlineStr"/>
      <c r="I298" s="9">
        <f>IF(COUNTIF('Country Summary'!$B$5:$B$200,C298)&gt;0,"Yes","")</f>
        <v/>
      </c>
      <c r="J298" s="9" t="inlineStr"/>
    </row>
    <row r="299">
      <c r="A299" s="9" t="n">
        <v>295</v>
      </c>
      <c r="B299" s="23" t="inlineStr">
        <is>
          <t>☑</t>
        </is>
      </c>
      <c r="C299" s="9" t="inlineStr">
        <is>
          <t>Netherlands</t>
        </is>
      </c>
      <c r="D299" s="9" t="inlineStr">
        <is>
          <t>North Holland</t>
        </is>
      </c>
      <c r="E299" s="9" t="inlineStr">
        <is>
          <t>Amsterdam</t>
        </is>
      </c>
      <c r="F299" s="9" t="inlineStr">
        <is>
          <t>Canal ring - UNESCO, Dam Square, Anne Frank House</t>
        </is>
      </c>
      <c r="G299" s="9" t="inlineStr">
        <is>
          <t>UNESCO</t>
        </is>
      </c>
      <c r="H299" s="9" t="inlineStr"/>
      <c r="I299" s="9">
        <f>IF(COUNTIF('Country Summary'!$B$5:$B$200,C299)&gt;0,"Yes","")</f>
        <v/>
      </c>
      <c r="J299" s="9" t="inlineStr"/>
    </row>
    <row r="300">
      <c r="A300" s="9" t="n">
        <v>296</v>
      </c>
      <c r="B300" s="23" t="inlineStr">
        <is>
          <t>☐</t>
        </is>
      </c>
      <c r="C300" s="9" t="inlineStr">
        <is>
          <t>Netherlands</t>
        </is>
      </c>
      <c r="D300" s="9" t="inlineStr">
        <is>
          <t>North Holland</t>
        </is>
      </c>
      <c r="E300" s="9" t="inlineStr">
        <is>
          <t>Amsterdam</t>
        </is>
      </c>
      <c r="F300" s="9" t="inlineStr">
        <is>
          <t>Rijksmuseum, Van Gogh Museum; ISKCON Amsterdam</t>
        </is>
      </c>
      <c r="G300" s="9" t="inlineStr">
        <is>
          <t>Museum</t>
        </is>
      </c>
      <c r="H300" s="9" t="inlineStr"/>
      <c r="I300" s="9">
        <f>IF(COUNTIF('Country Summary'!$B$5:$B$200,C300)&gt;0,"Yes","")</f>
        <v/>
      </c>
      <c r="J300" s="9" t="inlineStr"/>
    </row>
    <row r="301">
      <c r="A301" s="9" t="n">
        <v>297</v>
      </c>
      <c r="B301" s="23" t="inlineStr">
        <is>
          <t>☐</t>
        </is>
      </c>
      <c r="C301" s="9" t="inlineStr">
        <is>
          <t>Netherlands</t>
        </is>
      </c>
      <c r="D301" s="9" t="inlineStr">
        <is>
          <t>South Holland</t>
        </is>
      </c>
      <c r="E301" s="9" t="inlineStr">
        <is>
          <t>Keukenhof / Kinderdijk</t>
        </is>
      </c>
      <c r="F301" s="9" t="inlineStr">
        <is>
          <t>Tulips (Mar-May); windmills - UNESCO</t>
        </is>
      </c>
      <c r="G301" s="9" t="inlineStr">
        <is>
          <t>UNESCO</t>
        </is>
      </c>
      <c r="H301" s="9" t="inlineStr"/>
      <c r="I301" s="9">
        <f>IF(COUNTIF('Country Summary'!$B$5:$B$200,C301)&gt;0,"Yes","")</f>
        <v/>
      </c>
      <c r="J301" s="9" t="inlineStr"/>
    </row>
    <row r="302">
      <c r="A302" s="9" t="n">
        <v>298</v>
      </c>
      <c r="B302" s="23" t="inlineStr">
        <is>
          <t>☐</t>
        </is>
      </c>
      <c r="C302" s="9" t="inlineStr">
        <is>
          <t>Netherlands</t>
        </is>
      </c>
      <c r="D302" s="9" t="inlineStr">
        <is>
          <t>North Holland</t>
        </is>
      </c>
      <c r="E302" s="9" t="inlineStr">
        <is>
          <t>Zaanse Schans / Volendam</t>
        </is>
      </c>
      <c r="F302" s="9" t="inlineStr">
        <is>
          <t>Windmills, cheese farms, clog factory</t>
        </is>
      </c>
      <c r="G302" s="9" t="inlineStr">
        <is>
          <t>Sightseeing</t>
        </is>
      </c>
      <c r="H302" s="9" t="inlineStr"/>
      <c r="I302" s="9">
        <f>IF(COUNTIF('Country Summary'!$B$5:$B$200,C302)&gt;0,"Yes","")</f>
        <v/>
      </c>
      <c r="J302" s="9" t="inlineStr"/>
    </row>
    <row r="303">
      <c r="A303" s="9" t="n">
        <v>299</v>
      </c>
      <c r="B303" s="23" t="inlineStr">
        <is>
          <t>☑</t>
        </is>
      </c>
      <c r="C303" s="9" t="inlineStr">
        <is>
          <t>Germany</t>
        </is>
      </c>
      <c r="D303" s="9" t="inlineStr">
        <is>
          <t>North Rhine-Westphalia</t>
        </is>
      </c>
      <c r="E303" s="9" t="inlineStr">
        <is>
          <t>Cologne</t>
        </is>
      </c>
      <c r="F303" s="9" t="inlineStr">
        <is>
          <t>Cologne Cathedral - UNESCO</t>
        </is>
      </c>
      <c r="G303" s="9" t="inlineStr">
        <is>
          <t>UNESCO</t>
        </is>
      </c>
      <c r="H303" s="9" t="inlineStr"/>
      <c r="I303" s="9">
        <f>IF(COUNTIF('Country Summary'!$B$5:$B$200,C303)&gt;0,"Yes","")</f>
        <v/>
      </c>
      <c r="J303" s="9" t="inlineStr"/>
    </row>
    <row r="304">
      <c r="A304" s="9" t="n">
        <v>300</v>
      </c>
      <c r="B304" s="23" t="inlineStr">
        <is>
          <t>☑</t>
        </is>
      </c>
      <c r="C304" s="9" t="inlineStr">
        <is>
          <t>Germany</t>
        </is>
      </c>
      <c r="D304" s="9" t="inlineStr">
        <is>
          <t>Baden-Wurttemberg</t>
        </is>
      </c>
      <c r="E304" s="9" t="inlineStr">
        <is>
          <t>Black Forest / Triberg</t>
        </is>
      </c>
      <c r="F304" s="9" t="inlineStr">
        <is>
          <t>Black Forest, Triberg falls &amp; cuckoo clocks</t>
        </is>
      </c>
      <c r="G304" s="9" t="inlineStr">
        <is>
          <t>Nature</t>
        </is>
      </c>
      <c r="H304" s="9" t="inlineStr"/>
      <c r="I304" s="9">
        <f>IF(COUNTIF('Country Summary'!$B$5:$B$200,C304)&gt;0,"Yes","")</f>
        <v/>
      </c>
      <c r="J304" s="9" t="inlineStr"/>
    </row>
    <row r="305">
      <c r="A305" s="9" t="n">
        <v>301</v>
      </c>
      <c r="B305" s="23" t="inlineStr">
        <is>
          <t>☐</t>
        </is>
      </c>
      <c r="C305" s="9" t="inlineStr">
        <is>
          <t>Germany</t>
        </is>
      </c>
      <c r="D305" s="9" t="inlineStr">
        <is>
          <t>Bavaria</t>
        </is>
      </c>
      <c r="E305" s="9" t="inlineStr">
        <is>
          <t>Munich</t>
        </is>
      </c>
      <c r="F305" s="9" t="inlineStr">
        <is>
          <t>Marienplatz, Nymphenburg, BMW; Oktoberfest</t>
        </is>
      </c>
      <c r="G305" s="9" t="inlineStr">
        <is>
          <t>Monument</t>
        </is>
      </c>
      <c r="H305" s="9" t="inlineStr"/>
      <c r="I305" s="9">
        <f>IF(COUNTIF('Country Summary'!$B$5:$B$200,C305)&gt;0,"Yes","")</f>
        <v/>
      </c>
      <c r="J305" s="9" t="inlineStr"/>
    </row>
    <row r="306">
      <c r="A306" s="9" t="n">
        <v>302</v>
      </c>
      <c r="B306" s="23" t="inlineStr">
        <is>
          <t>☐</t>
        </is>
      </c>
      <c r="C306" s="9" t="inlineStr">
        <is>
          <t>Germany</t>
        </is>
      </c>
      <c r="D306" s="9" t="inlineStr">
        <is>
          <t>Bavaria</t>
        </is>
      </c>
      <c r="E306" s="9" t="inlineStr">
        <is>
          <t>Neuschwanstein</t>
        </is>
      </c>
      <c r="F306" s="9" t="inlineStr">
        <is>
          <t>Neuschwanstein Castle</t>
        </is>
      </c>
      <c r="G306" s="9" t="inlineStr">
        <is>
          <t>Monument</t>
        </is>
      </c>
      <c r="H306" s="9" t="inlineStr"/>
      <c r="I306" s="9">
        <f>IF(COUNTIF('Country Summary'!$B$5:$B$200,C306)&gt;0,"Yes","")</f>
        <v/>
      </c>
      <c r="J306" s="9" t="inlineStr"/>
    </row>
    <row r="307">
      <c r="A307" s="9" t="n">
        <v>303</v>
      </c>
      <c r="B307" s="23" t="inlineStr">
        <is>
          <t>☐</t>
        </is>
      </c>
      <c r="C307" s="9" t="inlineStr">
        <is>
          <t>Germany</t>
        </is>
      </c>
      <c r="D307" s="9" t="inlineStr">
        <is>
          <t>Bavaria</t>
        </is>
      </c>
      <c r="E307" s="9" t="inlineStr">
        <is>
          <t>Jandelsbrunn</t>
        </is>
      </c>
      <c r="F307" s="9" t="inlineStr">
        <is>
          <t>ISKCON Simhachalam (Narasimha deity)</t>
        </is>
      </c>
      <c r="G307" s="9" t="inlineStr">
        <is>
          <t>ISKCON</t>
        </is>
      </c>
      <c r="H307" s="9" t="inlineStr"/>
      <c r="I307" s="9">
        <f>IF(COUNTIF('Country Summary'!$B$5:$B$200,C307)&gt;0,"Yes","")</f>
        <v/>
      </c>
      <c r="J307" s="9" t="inlineStr"/>
    </row>
    <row r="308">
      <c r="A308" s="9" t="n">
        <v>304</v>
      </c>
      <c r="B308" s="23" t="inlineStr">
        <is>
          <t>☐</t>
        </is>
      </c>
      <c r="C308" s="9" t="inlineStr">
        <is>
          <t>Germany</t>
        </is>
      </c>
      <c r="D308" s="9" t="inlineStr">
        <is>
          <t>Rhineland-Palatinate</t>
        </is>
      </c>
      <c r="E308" s="9" t="inlineStr">
        <is>
          <t>Abentheuer</t>
        </is>
      </c>
      <c r="F308" s="9" t="inlineStr">
        <is>
          <t>Goloka Dhama</t>
        </is>
      </c>
      <c r="G308" s="9" t="inlineStr">
        <is>
          <t>ISKCON</t>
        </is>
      </c>
      <c r="H308" s="9" t="inlineStr"/>
      <c r="I308" s="9">
        <f>IF(COUNTIF('Country Summary'!$B$5:$B$200,C308)&gt;0,"Yes","")</f>
        <v/>
      </c>
      <c r="J308" s="9" t="inlineStr"/>
    </row>
    <row r="309">
      <c r="A309" s="9" t="n">
        <v>305</v>
      </c>
      <c r="B309" s="23" t="inlineStr">
        <is>
          <t>☐</t>
        </is>
      </c>
      <c r="C309" s="9" t="inlineStr">
        <is>
          <t>Germany</t>
        </is>
      </c>
      <c r="D309" s="9" t="inlineStr">
        <is>
          <t>Berlin</t>
        </is>
      </c>
      <c r="E309" s="9" t="inlineStr">
        <is>
          <t>Berlin</t>
        </is>
      </c>
      <c r="F309" s="9" t="inlineStr">
        <is>
          <t>Brandenburg Gate, Reichstag, Berlin Wall, Museum Island - UNESCO</t>
        </is>
      </c>
      <c r="G309" s="9" t="inlineStr">
        <is>
          <t>UNESCO</t>
        </is>
      </c>
      <c r="H309" s="9" t="inlineStr"/>
      <c r="I309" s="9">
        <f>IF(COUNTIF('Country Summary'!$B$5:$B$200,C309)&gt;0,"Yes","")</f>
        <v/>
      </c>
      <c r="J309" s="9" t="inlineStr"/>
    </row>
    <row r="310">
      <c r="A310" s="9" t="n">
        <v>306</v>
      </c>
      <c r="B310" s="23" t="inlineStr">
        <is>
          <t>☐</t>
        </is>
      </c>
      <c r="C310" s="9" t="inlineStr">
        <is>
          <t>Germany</t>
        </is>
      </c>
      <c r="D310" s="9" t="inlineStr">
        <is>
          <t>Hesse / Rhine</t>
        </is>
      </c>
      <c r="E310" s="9" t="inlineStr">
        <is>
          <t>Rhine Gorge</t>
        </is>
      </c>
      <c r="F310" s="9" t="inlineStr">
        <is>
          <t>Upper Middle Rhine Valley castles - UNESCO</t>
        </is>
      </c>
      <c r="G310" s="9" t="inlineStr">
        <is>
          <t>UNESCO</t>
        </is>
      </c>
      <c r="H310" s="9" t="inlineStr"/>
      <c r="I310" s="9">
        <f>IF(COUNTIF('Country Summary'!$B$5:$B$200,C310)&gt;0,"Yes","")</f>
        <v/>
      </c>
      <c r="J310" s="9" t="inlineStr"/>
    </row>
    <row r="311">
      <c r="A311" s="9" t="n">
        <v>307</v>
      </c>
      <c r="B311" s="23" t="inlineStr">
        <is>
          <t>☐</t>
        </is>
      </c>
      <c r="C311" s="9" t="inlineStr">
        <is>
          <t>Germany</t>
        </is>
      </c>
      <c r="D311" s="9" t="inlineStr">
        <is>
          <t>Saxony</t>
        </is>
      </c>
      <c r="E311" s="9" t="inlineStr">
        <is>
          <t>Dresden</t>
        </is>
      </c>
      <c r="F311" s="9" t="inlineStr">
        <is>
          <t>Frauenkirche, Zwinger</t>
        </is>
      </c>
      <c r="G311" s="9" t="inlineStr">
        <is>
          <t>Monument</t>
        </is>
      </c>
      <c r="H311" s="9" t="inlineStr"/>
      <c r="I311" s="9">
        <f>IF(COUNTIF('Country Summary'!$B$5:$B$200,C311)&gt;0,"Yes","")</f>
        <v/>
      </c>
      <c r="J311" s="9" t="inlineStr"/>
    </row>
    <row r="312">
      <c r="A312" s="9" t="n">
        <v>308</v>
      </c>
      <c r="B312" s="23" t="inlineStr">
        <is>
          <t>☐</t>
        </is>
      </c>
      <c r="C312" s="9" t="inlineStr">
        <is>
          <t>Germany</t>
        </is>
      </c>
      <c r="D312" s="9" t="inlineStr">
        <is>
          <t>Bavaria</t>
        </is>
      </c>
      <c r="E312" s="9" t="inlineStr">
        <is>
          <t>Munich / Fussen</t>
        </is>
      </c>
      <c r="F312" s="9" t="inlineStr">
        <is>
          <t>Oktoberfest (Sep-Oct), Zugspitze, Linderhof</t>
        </is>
      </c>
      <c r="G312" s="9" t="inlineStr">
        <is>
          <t>Sightseeing</t>
        </is>
      </c>
      <c r="H312" s="9" t="inlineStr"/>
      <c r="I312" s="9">
        <f>IF(COUNTIF('Country Summary'!$B$5:$B$200,C312)&gt;0,"Yes","")</f>
        <v/>
      </c>
      <c r="J312" s="9" t="inlineStr"/>
    </row>
    <row r="313">
      <c r="A313" s="9" t="n">
        <v>309</v>
      </c>
      <c r="B313" s="23" t="inlineStr">
        <is>
          <t>☐</t>
        </is>
      </c>
      <c r="C313" s="9" t="inlineStr">
        <is>
          <t>Germany</t>
        </is>
      </c>
      <c r="D313" s="9" t="inlineStr">
        <is>
          <t>Hesse</t>
        </is>
      </c>
      <c r="E313" s="9" t="inlineStr">
        <is>
          <t>Frankfurt / Heidelberg</t>
        </is>
      </c>
      <c r="F313" s="9" t="inlineStr">
        <is>
          <t>Romerberg, Heidelberg Castle, Rhine cruise Rudesheim</t>
        </is>
      </c>
      <c r="G313" s="9" t="inlineStr">
        <is>
          <t>Sightseeing</t>
        </is>
      </c>
      <c r="H313" s="9" t="inlineStr"/>
      <c r="I313" s="9">
        <f>IF(COUNTIF('Country Summary'!$B$5:$B$200,C313)&gt;0,"Yes","")</f>
        <v/>
      </c>
      <c r="J313" s="9" t="inlineStr"/>
    </row>
    <row r="314">
      <c r="A314" s="9" t="n">
        <v>310</v>
      </c>
      <c r="B314" s="23" t="inlineStr">
        <is>
          <t>☑</t>
        </is>
      </c>
      <c r="C314" s="9" t="inlineStr">
        <is>
          <t>Switzerland</t>
        </is>
      </c>
      <c r="D314" s="9" t="inlineStr">
        <is>
          <t>Schaffhausen</t>
        </is>
      </c>
      <c r="E314" s="9" t="inlineStr">
        <is>
          <t>Rhine Falls</t>
        </is>
      </c>
      <c r="F314" s="9" t="inlineStr">
        <is>
          <t>Rhine Falls</t>
        </is>
      </c>
      <c r="G314" s="9" t="inlineStr">
        <is>
          <t>Nature</t>
        </is>
      </c>
      <c r="H314" s="9" t="inlineStr"/>
      <c r="I314" s="9">
        <f>IF(COUNTIF('Country Summary'!$B$5:$B$200,C314)&gt;0,"Yes","")</f>
        <v/>
      </c>
      <c r="J314" s="9" t="inlineStr"/>
    </row>
    <row r="315">
      <c r="A315" s="9" t="n">
        <v>311</v>
      </c>
      <c r="B315" s="23" t="inlineStr">
        <is>
          <t>☑</t>
        </is>
      </c>
      <c r="C315" s="9" t="inlineStr">
        <is>
          <t>Switzerland</t>
        </is>
      </c>
      <c r="D315" s="9" t="inlineStr">
        <is>
          <t>Zurich</t>
        </is>
      </c>
      <c r="E315" s="9" t="inlineStr">
        <is>
          <t>Zurich</t>
        </is>
      </c>
      <c r="F315" s="9" t="inlineStr">
        <is>
          <t>Old Town, Lake Zurich; ISKCON Zurich</t>
        </is>
      </c>
      <c r="G315" s="9" t="inlineStr">
        <is>
          <t>Monument</t>
        </is>
      </c>
      <c r="H315" s="9" t="inlineStr"/>
      <c r="I315" s="9">
        <f>IF(COUNTIF('Country Summary'!$B$5:$B$200,C315)&gt;0,"Yes","")</f>
        <v/>
      </c>
      <c r="J315" s="9" t="inlineStr"/>
    </row>
    <row r="316">
      <c r="A316" s="9" t="n">
        <v>312</v>
      </c>
      <c r="B316" s="23" t="inlineStr">
        <is>
          <t>☑</t>
        </is>
      </c>
      <c r="C316" s="9" t="inlineStr">
        <is>
          <t>Switzerland</t>
        </is>
      </c>
      <c r="D316" s="9" t="inlineStr">
        <is>
          <t>Lucerne</t>
        </is>
      </c>
      <c r="E316" s="9" t="inlineStr">
        <is>
          <t>Lucerne</t>
        </is>
      </c>
      <c r="F316" s="9" t="inlineStr">
        <is>
          <t>Chapel Bridge, Lion Monument, Lake Lucerne</t>
        </is>
      </c>
      <c r="G316" s="9" t="inlineStr">
        <is>
          <t>Monument</t>
        </is>
      </c>
      <c r="H316" s="9" t="inlineStr"/>
      <c r="I316" s="9">
        <f>IF(COUNTIF('Country Summary'!$B$5:$B$200,C316)&gt;0,"Yes","")</f>
        <v/>
      </c>
      <c r="J316" s="9" t="inlineStr"/>
    </row>
    <row r="317">
      <c r="A317" s="9" t="n">
        <v>313</v>
      </c>
      <c r="B317" s="23" t="inlineStr">
        <is>
          <t>☑</t>
        </is>
      </c>
      <c r="C317" s="9" t="inlineStr">
        <is>
          <t>Switzerland</t>
        </is>
      </c>
      <c r="D317" s="9" t="inlineStr">
        <is>
          <t>Obwalden</t>
        </is>
      </c>
      <c r="E317" s="9" t="inlineStr">
        <is>
          <t>Engelberg</t>
        </is>
      </c>
      <c r="F317" s="9" t="inlineStr">
        <is>
          <t>Mt Titlis (Cliff Walk, Ice Flyer)</t>
        </is>
      </c>
      <c r="G317" s="9" t="inlineStr">
        <is>
          <t>Nature</t>
        </is>
      </c>
      <c r="H317" s="9" t="inlineStr"/>
      <c r="I317" s="9">
        <f>IF(COUNTIF('Country Summary'!$B$5:$B$200,C317)&gt;0,"Yes","")</f>
        <v/>
      </c>
      <c r="J317" s="9" t="inlineStr"/>
    </row>
    <row r="318">
      <c r="A318" s="9" t="n">
        <v>314</v>
      </c>
      <c r="B318" s="23" t="inlineStr">
        <is>
          <t>☐</t>
        </is>
      </c>
      <c r="C318" s="9" t="inlineStr">
        <is>
          <t>Switzerland</t>
        </is>
      </c>
      <c r="D318" s="9" t="inlineStr">
        <is>
          <t>Bern</t>
        </is>
      </c>
      <c r="E318" s="9" t="inlineStr">
        <is>
          <t>Interlaken / Jungfrau</t>
        </is>
      </c>
      <c r="F318" s="9" t="inlineStr">
        <is>
          <t>Jungfraujoch - Top of Europe; Jungfrau-Aletsch - UNESCO</t>
        </is>
      </c>
      <c r="G318" s="9" t="inlineStr">
        <is>
          <t>UNESCO</t>
        </is>
      </c>
      <c r="H318" s="9" t="inlineStr"/>
      <c r="I318" s="9">
        <f>IF(COUNTIF('Country Summary'!$B$5:$B$200,C318)&gt;0,"Yes","")</f>
        <v/>
      </c>
      <c r="J318" s="9" t="inlineStr"/>
    </row>
    <row r="319">
      <c r="A319" s="9" t="n">
        <v>315</v>
      </c>
      <c r="B319" s="23" t="inlineStr">
        <is>
          <t>☐</t>
        </is>
      </c>
      <c r="C319" s="9" t="inlineStr">
        <is>
          <t>Switzerland</t>
        </is>
      </c>
      <c r="D319" s="9" t="inlineStr">
        <is>
          <t>Valais</t>
        </is>
      </c>
      <c r="E319" s="9" t="inlineStr">
        <is>
          <t>Zermatt</t>
        </is>
      </c>
      <c r="F319" s="9" t="inlineStr">
        <is>
          <t>Matterhorn, Gornergrat</t>
        </is>
      </c>
      <c r="G319" s="9" t="inlineStr">
        <is>
          <t>Nature</t>
        </is>
      </c>
      <c r="H319" s="9" t="inlineStr"/>
      <c r="I319" s="9">
        <f>IF(COUNTIF('Country Summary'!$B$5:$B$200,C319)&gt;0,"Yes","")</f>
        <v/>
      </c>
      <c r="J319" s="9" t="inlineStr"/>
    </row>
    <row r="320">
      <c r="A320" s="9" t="n">
        <v>316</v>
      </c>
      <c r="B320" s="23" t="inlineStr">
        <is>
          <t>☐</t>
        </is>
      </c>
      <c r="C320" s="9" t="inlineStr">
        <is>
          <t>Switzerland</t>
        </is>
      </c>
      <c r="D320" s="9" t="inlineStr">
        <is>
          <t>Bern</t>
        </is>
      </c>
      <c r="E320" s="9" t="inlineStr">
        <is>
          <t>Bern</t>
        </is>
      </c>
      <c r="F320" s="9" t="inlineStr">
        <is>
          <t>Old City - UNESCO</t>
        </is>
      </c>
      <c r="G320" s="9" t="inlineStr">
        <is>
          <t>UNESCO</t>
        </is>
      </c>
      <c r="H320" s="9" t="inlineStr"/>
      <c r="I320" s="9">
        <f>IF(COUNTIF('Country Summary'!$B$5:$B$200,C320)&gt;0,"Yes","")</f>
        <v/>
      </c>
      <c r="J320" s="9" t="inlineStr"/>
    </row>
    <row r="321">
      <c r="A321" s="9" t="n">
        <v>317</v>
      </c>
      <c r="B321" s="23" t="inlineStr">
        <is>
          <t>☐</t>
        </is>
      </c>
      <c r="C321" s="9" t="inlineStr">
        <is>
          <t>Switzerland</t>
        </is>
      </c>
      <c r="D321" s="9" t="inlineStr">
        <is>
          <t>Geneva / Vaud</t>
        </is>
      </c>
      <c r="E321" s="9" t="inlineStr">
        <is>
          <t>Geneva / Montreux</t>
        </is>
      </c>
      <c r="F321" s="9" t="inlineStr">
        <is>
          <t>Lake Geneva, Chillon Castle, UN</t>
        </is>
      </c>
      <c r="G321" s="9" t="inlineStr">
        <is>
          <t>Monument</t>
        </is>
      </c>
      <c r="H321" s="9" t="inlineStr"/>
      <c r="I321" s="9">
        <f>IF(COUNTIF('Country Summary'!$B$5:$B$200,C321)&gt;0,"Yes","")</f>
        <v/>
      </c>
      <c r="J321" s="9" t="inlineStr"/>
    </row>
    <row r="322">
      <c r="A322" s="9" t="n">
        <v>318</v>
      </c>
      <c r="B322" s="23" t="inlineStr">
        <is>
          <t>☐</t>
        </is>
      </c>
      <c r="C322" s="9" t="inlineStr">
        <is>
          <t>Switzerland</t>
        </is>
      </c>
      <c r="D322" s="9" t="inlineStr">
        <is>
          <t>Bern</t>
        </is>
      </c>
      <c r="E322" s="9" t="inlineStr">
        <is>
          <t>Interlaken / Grindelwald</t>
        </is>
      </c>
      <c r="F322" s="9" t="inlineStr">
        <is>
          <t>Harder Kulm, First cliff walk, Lauterbrunnen falls, Schilthorn (Bond)</t>
        </is>
      </c>
      <c r="G322" s="9" t="inlineStr">
        <is>
          <t>Nature</t>
        </is>
      </c>
      <c r="H322" s="9" t="inlineStr"/>
      <c r="I322" s="9">
        <f>IF(COUNTIF('Country Summary'!$B$5:$B$200,C322)&gt;0,"Yes","")</f>
        <v/>
      </c>
      <c r="J322" s="9" t="inlineStr"/>
    </row>
    <row r="323">
      <c r="A323" s="9" t="n">
        <v>319</v>
      </c>
      <c r="B323" s="23" t="inlineStr">
        <is>
          <t>☐</t>
        </is>
      </c>
      <c r="C323" s="9" t="inlineStr">
        <is>
          <t>Switzerland</t>
        </is>
      </c>
      <c r="D323" s="9" t="inlineStr">
        <is>
          <t>Lucerne</t>
        </is>
      </c>
      <c r="E323" s="9" t="inlineStr">
        <is>
          <t>Lucerne</t>
        </is>
      </c>
      <c r="F323" s="9" t="inlineStr">
        <is>
          <t>Mt Pilatus (cogwheel + cable car), Lake Lucerne cruise</t>
        </is>
      </c>
      <c r="G323" s="9" t="inlineStr">
        <is>
          <t>Nature</t>
        </is>
      </c>
      <c r="H323" s="9" t="inlineStr"/>
      <c r="I323" s="9">
        <f>IF(COUNTIF('Country Summary'!$B$5:$B$200,C323)&gt;0,"Yes","")</f>
        <v/>
      </c>
      <c r="J323" s="9" t="inlineStr"/>
    </row>
    <row r="324">
      <c r="A324" s="9" t="n">
        <v>320</v>
      </c>
      <c r="B324" s="23" t="inlineStr">
        <is>
          <t>☐</t>
        </is>
      </c>
      <c r="C324" s="9" t="inlineStr">
        <is>
          <t>Switzerland</t>
        </is>
      </c>
      <c r="D324" s="9" t="inlineStr">
        <is>
          <t>Valais / Graubunden</t>
        </is>
      </c>
      <c r="E324" s="9" t="inlineStr">
        <is>
          <t>Zermatt / St Moritz</t>
        </is>
      </c>
      <c r="F324" s="9" t="inlineStr">
        <is>
          <t>Glacier Express train, Bernina Express</t>
        </is>
      </c>
      <c r="G324" s="9" t="inlineStr">
        <is>
          <t>Nature</t>
        </is>
      </c>
      <c r="H324" s="9" t="inlineStr"/>
      <c r="I324" s="9">
        <f>IF(COUNTIF('Country Summary'!$B$5:$B$200,C324)&gt;0,"Yes","")</f>
        <v/>
      </c>
      <c r="J324" s="9" t="inlineStr"/>
    </row>
    <row r="325">
      <c r="A325" s="9" t="n">
        <v>321</v>
      </c>
      <c r="B325" s="23" t="inlineStr">
        <is>
          <t>☐</t>
        </is>
      </c>
      <c r="C325" s="9" t="inlineStr">
        <is>
          <t>Switzerland</t>
        </is>
      </c>
      <c r="D325" s="9" t="inlineStr">
        <is>
          <t>Vaud</t>
        </is>
      </c>
      <c r="E325" s="9" t="inlineStr">
        <is>
          <t>Montreux / Lausanne</t>
        </is>
      </c>
      <c r="F325" s="9" t="inlineStr">
        <is>
          <t>Lavaux vineyards, Chaplin's World, Olympic Museum</t>
        </is>
      </c>
      <c r="G325" s="9" t="inlineStr">
        <is>
          <t>Sightseeing</t>
        </is>
      </c>
      <c r="H325" s="9" t="inlineStr"/>
      <c r="I325" s="9">
        <f>IF(COUNTIF('Country Summary'!$B$5:$B$200,C325)&gt;0,"Yes","")</f>
        <v/>
      </c>
      <c r="J325" s="9" t="inlineStr"/>
    </row>
    <row r="326">
      <c r="A326" s="9" t="n">
        <v>322</v>
      </c>
      <c r="B326" s="23" t="inlineStr">
        <is>
          <t>☑</t>
        </is>
      </c>
      <c r="C326" s="9" t="inlineStr">
        <is>
          <t>Italy</t>
        </is>
      </c>
      <c r="D326" s="9" t="inlineStr">
        <is>
          <t>Lombardy</t>
        </is>
      </c>
      <c r="E326" s="9" t="inlineStr">
        <is>
          <t>Milan</t>
        </is>
      </c>
      <c r="F326" s="9" t="inlineStr">
        <is>
          <t>Duomo, Galleria, Sforza Castle, Last Supper - UNESCO</t>
        </is>
      </c>
      <c r="G326" s="9" t="inlineStr">
        <is>
          <t>UNESCO</t>
        </is>
      </c>
      <c r="H326" s="9" t="inlineStr"/>
      <c r="I326" s="9">
        <f>IF(COUNTIF('Country Summary'!$B$5:$B$200,C326)&gt;0,"Yes","")</f>
        <v/>
      </c>
      <c r="J326" s="9" t="inlineStr"/>
    </row>
    <row r="327">
      <c r="A327" s="9" t="n">
        <v>323</v>
      </c>
      <c r="B327" s="23" t="inlineStr">
        <is>
          <t>☑</t>
        </is>
      </c>
      <c r="C327" s="9" t="inlineStr">
        <is>
          <t>Italy</t>
        </is>
      </c>
      <c r="D327" s="9" t="inlineStr">
        <is>
          <t>Lombardy</t>
        </is>
      </c>
      <c r="E327" s="9" t="inlineStr">
        <is>
          <t>Chignolo d'Isola</t>
        </is>
      </c>
      <c r="F327" s="9" t="inlineStr">
        <is>
          <t>Villaggio Hare Krishna</t>
        </is>
      </c>
      <c r="G327" s="9" t="inlineStr">
        <is>
          <t>ISKCON</t>
        </is>
      </c>
      <c r="H327" s="9" t="inlineStr"/>
      <c r="I327" s="9">
        <f>IF(COUNTIF('Country Summary'!$B$5:$B$200,C327)&gt;0,"Yes","")</f>
        <v/>
      </c>
      <c r="J327" s="9" t="inlineStr"/>
    </row>
    <row r="328">
      <c r="A328" s="9" t="n">
        <v>324</v>
      </c>
      <c r="B328" s="23" t="inlineStr">
        <is>
          <t>☑</t>
        </is>
      </c>
      <c r="C328" s="9" t="inlineStr">
        <is>
          <t>Italy</t>
        </is>
      </c>
      <c r="D328" s="9" t="inlineStr">
        <is>
          <t>Veneto</t>
        </is>
      </c>
      <c r="E328" s="9" t="inlineStr">
        <is>
          <t>Venice</t>
        </is>
      </c>
      <c r="F328" s="9" t="inlineStr">
        <is>
          <t>St Mark's, Doge's Palace, Rialto, gondola - UNESCO</t>
        </is>
      </c>
      <c r="G328" s="9" t="inlineStr">
        <is>
          <t>UNESCO</t>
        </is>
      </c>
      <c r="H328" s="9" t="inlineStr"/>
      <c r="I328" s="9">
        <f>IF(COUNTIF('Country Summary'!$B$5:$B$200,C328)&gt;0,"Yes","")</f>
        <v/>
      </c>
      <c r="J328" s="9" t="inlineStr"/>
    </row>
    <row r="329">
      <c r="A329" s="9" t="n">
        <v>325</v>
      </c>
      <c r="B329" s="23" t="inlineStr">
        <is>
          <t>☑</t>
        </is>
      </c>
      <c r="C329" s="9" t="inlineStr">
        <is>
          <t>Italy</t>
        </is>
      </c>
      <c r="D329" s="9" t="inlineStr">
        <is>
          <t>Veneto</t>
        </is>
      </c>
      <c r="E329" s="9" t="inlineStr">
        <is>
          <t>Padova</t>
        </is>
      </c>
      <c r="F329" s="9" t="inlineStr">
        <is>
          <t>Prato della Valle, St Anthony's Basilica, Scrovegni Chapel - UNESCO</t>
        </is>
      </c>
      <c r="G329" s="9" t="inlineStr">
        <is>
          <t>UNESCO</t>
        </is>
      </c>
      <c r="H329" s="9" t="inlineStr"/>
      <c r="I329" s="9">
        <f>IF(COUNTIF('Country Summary'!$B$5:$B$200,C329)&gt;0,"Yes","")</f>
        <v/>
      </c>
      <c r="J329" s="9" t="inlineStr"/>
    </row>
    <row r="330">
      <c r="A330" s="9" t="n">
        <v>326</v>
      </c>
      <c r="B330" s="23" t="inlineStr">
        <is>
          <t>☐</t>
        </is>
      </c>
      <c r="C330" s="9" t="inlineStr">
        <is>
          <t>Italy</t>
        </is>
      </c>
      <c r="D330" s="9" t="inlineStr">
        <is>
          <t>Veneto</t>
        </is>
      </c>
      <c r="E330" s="9" t="inlineStr">
        <is>
          <t>Verona</t>
        </is>
      </c>
      <c r="F330" s="9" t="inlineStr">
        <is>
          <t>Arena, Juliet's house - UNESCO</t>
        </is>
      </c>
      <c r="G330" s="9" t="inlineStr">
        <is>
          <t>UNESCO</t>
        </is>
      </c>
      <c r="H330" s="9" t="inlineStr"/>
      <c r="I330" s="9">
        <f>IF(COUNTIF('Country Summary'!$B$5:$B$200,C330)&gt;0,"Yes","")</f>
        <v/>
      </c>
      <c r="J330" s="9" t="inlineStr"/>
    </row>
    <row r="331">
      <c r="A331" s="9" t="n">
        <v>327</v>
      </c>
      <c r="B331" s="23" t="inlineStr">
        <is>
          <t>☑</t>
        </is>
      </c>
      <c r="C331" s="9" t="inlineStr">
        <is>
          <t>Italy</t>
        </is>
      </c>
      <c r="D331" s="9" t="inlineStr">
        <is>
          <t>Tuscany</t>
        </is>
      </c>
      <c r="E331" s="9" t="inlineStr">
        <is>
          <t>Florence</t>
        </is>
      </c>
      <c r="F331" s="9" t="inlineStr">
        <is>
          <t>Duomo, Ponte Vecchio, Piazza della Signoria, Uffizi - UNESCO</t>
        </is>
      </c>
      <c r="G331" s="9" t="inlineStr">
        <is>
          <t>UNESCO</t>
        </is>
      </c>
      <c r="H331" s="9" t="inlineStr"/>
      <c r="I331" s="9">
        <f>IF(COUNTIF('Country Summary'!$B$5:$B$200,C331)&gt;0,"Yes","")</f>
        <v/>
      </c>
      <c r="J331" s="9" t="inlineStr"/>
    </row>
    <row r="332">
      <c r="A332" s="9" t="n">
        <v>328</v>
      </c>
      <c r="B332" s="23" t="inlineStr">
        <is>
          <t>☑</t>
        </is>
      </c>
      <c r="C332" s="9" t="inlineStr">
        <is>
          <t>Italy</t>
        </is>
      </c>
      <c r="D332" s="9" t="inlineStr">
        <is>
          <t>Tuscany</t>
        </is>
      </c>
      <c r="E332" s="9" t="inlineStr">
        <is>
          <t>Florence (San Casciano)</t>
        </is>
      </c>
      <c r="F332" s="9" t="inlineStr">
        <is>
          <t>ISKCON Villa Vrindavana</t>
        </is>
      </c>
      <c r="G332" s="9" t="inlineStr">
        <is>
          <t>ISKCON</t>
        </is>
      </c>
      <c r="H332" s="9" t="inlineStr"/>
      <c r="I332" s="9">
        <f>IF(COUNTIF('Country Summary'!$B$5:$B$200,C332)&gt;0,"Yes","")</f>
        <v/>
      </c>
      <c r="J332" s="9" t="inlineStr"/>
    </row>
    <row r="333">
      <c r="A333" s="9" t="n">
        <v>329</v>
      </c>
      <c r="B333" s="23" t="inlineStr">
        <is>
          <t>☑</t>
        </is>
      </c>
      <c r="C333" s="9" t="inlineStr">
        <is>
          <t>Italy</t>
        </is>
      </c>
      <c r="D333" s="9" t="inlineStr">
        <is>
          <t>Tuscany</t>
        </is>
      </c>
      <c r="E333" s="9" t="inlineStr">
        <is>
          <t>Pisa</t>
        </is>
      </c>
      <c r="F333" s="9" t="inlineStr">
        <is>
          <t>Leaning Tower (Piazza dei Miracoli) - UNESCO</t>
        </is>
      </c>
      <c r="G333" s="9" t="inlineStr">
        <is>
          <t>UNESCO</t>
        </is>
      </c>
      <c r="H333" s="9" t="inlineStr"/>
      <c r="I333" s="9">
        <f>IF(COUNTIF('Country Summary'!$B$5:$B$200,C333)&gt;0,"Yes","")</f>
        <v/>
      </c>
      <c r="J333" s="9" t="inlineStr"/>
    </row>
    <row r="334">
      <c r="A334" s="9" t="n">
        <v>330</v>
      </c>
      <c r="B334" s="23" t="inlineStr">
        <is>
          <t>☑</t>
        </is>
      </c>
      <c r="C334" s="9" t="inlineStr">
        <is>
          <t>Italy</t>
        </is>
      </c>
      <c r="D334" s="9" t="inlineStr">
        <is>
          <t>Tuscany</t>
        </is>
      </c>
      <c r="E334" s="9" t="inlineStr">
        <is>
          <t>Arezzo / Siena / San Gimignano</t>
        </is>
      </c>
      <c r="F334" s="9" t="inlineStr">
        <is>
          <t>Tuscan hill towns - UNESCO</t>
        </is>
      </c>
      <c r="G334" s="9" t="inlineStr">
        <is>
          <t>UNESCO</t>
        </is>
      </c>
      <c r="H334" s="9" t="inlineStr"/>
      <c r="I334" s="9">
        <f>IF(COUNTIF('Country Summary'!$B$5:$B$200,C334)&gt;0,"Yes","")</f>
        <v/>
      </c>
      <c r="J334" s="9" t="inlineStr"/>
    </row>
    <row r="335">
      <c r="A335" s="9" t="n">
        <v>331</v>
      </c>
      <c r="B335" s="23" t="inlineStr">
        <is>
          <t>☑</t>
        </is>
      </c>
      <c r="C335" s="9" t="inlineStr">
        <is>
          <t>Italy</t>
        </is>
      </c>
      <c r="D335" s="9" t="inlineStr">
        <is>
          <t>Lazio</t>
        </is>
      </c>
      <c r="E335" s="9" t="inlineStr">
        <is>
          <t>Rome</t>
        </is>
      </c>
      <c r="F335" s="9" t="inlineStr">
        <is>
          <t>Colosseum, Roman Forum, Pantheon - UNESCO</t>
        </is>
      </c>
      <c r="G335" s="9" t="inlineStr">
        <is>
          <t>UNESCO</t>
        </is>
      </c>
      <c r="H335" s="9" t="inlineStr"/>
      <c r="I335" s="9">
        <f>IF(COUNTIF('Country Summary'!$B$5:$B$200,C335)&gt;0,"Yes","")</f>
        <v/>
      </c>
      <c r="J335" s="9" t="inlineStr"/>
    </row>
    <row r="336">
      <c r="A336" s="9" t="n">
        <v>332</v>
      </c>
      <c r="B336" s="23" t="inlineStr">
        <is>
          <t>☐</t>
        </is>
      </c>
      <c r="C336" s="9" t="inlineStr">
        <is>
          <t>Italy</t>
        </is>
      </c>
      <c r="D336" s="9" t="inlineStr">
        <is>
          <t>Lazio</t>
        </is>
      </c>
      <c r="E336" s="9" t="inlineStr">
        <is>
          <t>Rome</t>
        </is>
      </c>
      <c r="F336" s="9" t="inlineStr">
        <is>
          <t>Trevi Fountain, Spanish Steps, Piazza Navona; ISKCON Rome</t>
        </is>
      </c>
      <c r="G336" s="9" t="inlineStr">
        <is>
          <t>Monument</t>
        </is>
      </c>
      <c r="H336" s="9" t="inlineStr"/>
      <c r="I336" s="9">
        <f>IF(COUNTIF('Country Summary'!$B$5:$B$200,C336)&gt;0,"Yes","")</f>
        <v/>
      </c>
      <c r="J336" s="9" t="inlineStr"/>
    </row>
    <row r="337">
      <c r="A337" s="9" t="n">
        <v>333</v>
      </c>
      <c r="B337" s="23" t="inlineStr">
        <is>
          <t>☐</t>
        </is>
      </c>
      <c r="C337" s="9" t="inlineStr">
        <is>
          <t>Italy</t>
        </is>
      </c>
      <c r="D337" s="9" t="inlineStr">
        <is>
          <t>Campania</t>
        </is>
      </c>
      <c r="E337" s="9" t="inlineStr">
        <is>
          <t>Pompeii / Amalfi / Capri</t>
        </is>
      </c>
      <c r="F337" s="9" t="inlineStr">
        <is>
          <t>Pompeii - UNESCO; Amalfi Coast - UNESCO</t>
        </is>
      </c>
      <c r="G337" s="9" t="inlineStr">
        <is>
          <t>UNESCO</t>
        </is>
      </c>
      <c r="H337" s="9" t="inlineStr"/>
      <c r="I337" s="9">
        <f>IF(COUNTIF('Country Summary'!$B$5:$B$200,C337)&gt;0,"Yes","")</f>
        <v/>
      </c>
      <c r="J337" s="9" t="inlineStr"/>
    </row>
    <row r="338">
      <c r="A338" s="9" t="n">
        <v>334</v>
      </c>
      <c r="B338" s="23" t="inlineStr">
        <is>
          <t>☐</t>
        </is>
      </c>
      <c r="C338" s="9" t="inlineStr">
        <is>
          <t>Italy</t>
        </is>
      </c>
      <c r="D338" s="9" t="inlineStr">
        <is>
          <t>Campania</t>
        </is>
      </c>
      <c r="E338" s="9" t="inlineStr">
        <is>
          <t>Naples</t>
        </is>
      </c>
      <c r="F338" s="9" t="inlineStr">
        <is>
          <t>Historic centre - UNESCO, Vesuvius</t>
        </is>
      </c>
      <c r="G338" s="9" t="inlineStr">
        <is>
          <t>UNESCO</t>
        </is>
      </c>
      <c r="H338" s="9" t="inlineStr"/>
      <c r="I338" s="9">
        <f>IF(COUNTIF('Country Summary'!$B$5:$B$200,C338)&gt;0,"Yes","")</f>
        <v/>
      </c>
      <c r="J338" s="9" t="inlineStr"/>
    </row>
    <row r="339">
      <c r="A339" s="9" t="n">
        <v>335</v>
      </c>
      <c r="B339" s="23" t="inlineStr">
        <is>
          <t>☐</t>
        </is>
      </c>
      <c r="C339" s="9" t="inlineStr">
        <is>
          <t>Italy</t>
        </is>
      </c>
      <c r="D339" s="9" t="inlineStr">
        <is>
          <t>Sicily</t>
        </is>
      </c>
      <c r="E339" s="9" t="inlineStr">
        <is>
          <t>Agrigento / Taormina / Etna</t>
        </is>
      </c>
      <c r="F339" s="9" t="inlineStr">
        <is>
          <t>Valley of Temples - UNESCO; Mt Etna - UNESCO</t>
        </is>
      </c>
      <c r="G339" s="9" t="inlineStr">
        <is>
          <t>UNESCO</t>
        </is>
      </c>
      <c r="H339" s="9" t="inlineStr"/>
      <c r="I339" s="9">
        <f>IF(COUNTIF('Country Summary'!$B$5:$B$200,C339)&gt;0,"Yes","")</f>
        <v/>
      </c>
      <c r="J339" s="9" t="inlineStr"/>
    </row>
    <row r="340">
      <c r="A340" s="9" t="n">
        <v>336</v>
      </c>
      <c r="B340" s="23" t="inlineStr">
        <is>
          <t>☐</t>
        </is>
      </c>
      <c r="C340" s="9" t="inlineStr">
        <is>
          <t>Italy</t>
        </is>
      </c>
      <c r="D340" s="9" t="inlineStr">
        <is>
          <t>Liguria</t>
        </is>
      </c>
      <c r="E340" s="9" t="inlineStr">
        <is>
          <t>Cinque Terre</t>
        </is>
      </c>
      <c r="F340" s="9" t="inlineStr">
        <is>
          <t>Cinque Terre - UNESCO</t>
        </is>
      </c>
      <c r="G340" s="9" t="inlineStr">
        <is>
          <t>UNESCO</t>
        </is>
      </c>
      <c r="H340" s="9" t="inlineStr"/>
      <c r="I340" s="9">
        <f>IF(COUNTIF('Country Summary'!$B$5:$B$200,C340)&gt;0,"Yes","")</f>
        <v/>
      </c>
      <c r="J340" s="9" t="inlineStr"/>
    </row>
    <row r="341">
      <c r="A341" s="9" t="n">
        <v>337</v>
      </c>
      <c r="B341" s="23" t="inlineStr">
        <is>
          <t>☐</t>
        </is>
      </c>
      <c r="C341" s="9" t="inlineStr">
        <is>
          <t>Italy</t>
        </is>
      </c>
      <c r="D341" s="9" t="inlineStr">
        <is>
          <t>Lake Como</t>
        </is>
      </c>
      <c r="E341" s="9" t="inlineStr">
        <is>
          <t>Como / Bellagio</t>
        </is>
      </c>
      <c r="F341" s="9" t="inlineStr">
        <is>
          <t>Lake Como</t>
        </is>
      </c>
      <c r="G341" s="9" t="inlineStr">
        <is>
          <t>Nature</t>
        </is>
      </c>
      <c r="H341" s="9" t="inlineStr"/>
      <c r="I341" s="9">
        <f>IF(COUNTIF('Country Summary'!$B$5:$B$200,C341)&gt;0,"Yes","")</f>
        <v/>
      </c>
      <c r="J341" s="9" t="inlineStr"/>
    </row>
    <row r="342">
      <c r="A342" s="9" t="n">
        <v>338</v>
      </c>
      <c r="B342" s="23" t="inlineStr">
        <is>
          <t>☐</t>
        </is>
      </c>
      <c r="C342" s="9" t="inlineStr">
        <is>
          <t>Italy</t>
        </is>
      </c>
      <c r="D342" s="9" t="inlineStr">
        <is>
          <t>Veneto</t>
        </is>
      </c>
      <c r="E342" s="9" t="inlineStr">
        <is>
          <t>Venice</t>
        </is>
      </c>
      <c r="F342" s="9" t="inlineStr">
        <is>
          <t>Murano &amp; Burano islands, Lido</t>
        </is>
      </c>
      <c r="G342" s="9" t="inlineStr">
        <is>
          <t>Sightseeing</t>
        </is>
      </c>
      <c r="H342" s="9" t="inlineStr"/>
      <c r="I342" s="9">
        <f>IF(COUNTIF('Country Summary'!$B$5:$B$200,C342)&gt;0,"Yes","")</f>
        <v/>
      </c>
      <c r="J342" s="9" t="inlineStr"/>
    </row>
    <row r="343">
      <c r="A343" s="9" t="n">
        <v>339</v>
      </c>
      <c r="B343" s="23" t="inlineStr">
        <is>
          <t>☐</t>
        </is>
      </c>
      <c r="C343" s="9" t="inlineStr">
        <is>
          <t>Italy</t>
        </is>
      </c>
      <c r="D343" s="9" t="inlineStr">
        <is>
          <t>Lazio</t>
        </is>
      </c>
      <c r="E343" s="9" t="inlineStr">
        <is>
          <t>Rome</t>
        </is>
      </c>
      <c r="F343" s="9" t="inlineStr">
        <is>
          <t>Vatican Museums &amp; Sistine Chapel, Trevi, Spanish Steps, Piazza Navona, Trastevere</t>
        </is>
      </c>
      <c r="G343" s="9" t="inlineStr">
        <is>
          <t>Sightseeing</t>
        </is>
      </c>
      <c r="H343" s="9" t="inlineStr"/>
      <c r="I343" s="9">
        <f>IF(COUNTIF('Country Summary'!$B$5:$B$200,C343)&gt;0,"Yes","")</f>
        <v/>
      </c>
      <c r="J343" s="9" t="inlineStr"/>
    </row>
    <row r="344">
      <c r="A344" s="9" t="n">
        <v>340</v>
      </c>
      <c r="B344" s="23" t="inlineStr">
        <is>
          <t>☐</t>
        </is>
      </c>
      <c r="C344" s="9" t="inlineStr">
        <is>
          <t>Italy</t>
        </is>
      </c>
      <c r="D344" s="9" t="inlineStr">
        <is>
          <t>Campania</t>
        </is>
      </c>
      <c r="E344" s="9" t="inlineStr">
        <is>
          <t>Sorrento / Positano / Capri</t>
        </is>
      </c>
      <c r="F344" s="9" t="inlineStr">
        <is>
          <t>Amalfi drive, Blue Grotto, Pompeii</t>
        </is>
      </c>
      <c r="G344" s="9" t="inlineStr">
        <is>
          <t>Sightseeing</t>
        </is>
      </c>
      <c r="H344" s="9" t="inlineStr"/>
      <c r="I344" s="9">
        <f>IF(COUNTIF('Country Summary'!$B$5:$B$200,C344)&gt;0,"Yes","")</f>
        <v/>
      </c>
      <c r="J344" s="9" t="inlineStr"/>
    </row>
    <row r="345">
      <c r="A345" s="9" t="n">
        <v>341</v>
      </c>
      <c r="B345" s="23" t="inlineStr">
        <is>
          <t>☐</t>
        </is>
      </c>
      <c r="C345" s="9" t="inlineStr">
        <is>
          <t>Italy</t>
        </is>
      </c>
      <c r="D345" s="9" t="inlineStr">
        <is>
          <t>Tuscany</t>
        </is>
      </c>
      <c r="E345" s="9" t="inlineStr">
        <is>
          <t>Chianti / Val d'Orcia</t>
        </is>
      </c>
      <c r="F345" s="9" t="inlineStr">
        <is>
          <t>Tuscan countryside, San Gimignano</t>
        </is>
      </c>
      <c r="G345" s="9" t="inlineStr">
        <is>
          <t>Nature</t>
        </is>
      </c>
      <c r="H345" s="9" t="inlineStr"/>
      <c r="I345" s="9">
        <f>IF(COUNTIF('Country Summary'!$B$5:$B$200,C345)&gt;0,"Yes","")</f>
        <v/>
      </c>
      <c r="J345" s="9" t="inlineStr"/>
    </row>
    <row r="346">
      <c r="A346" s="9" t="n">
        <v>342</v>
      </c>
      <c r="B346" s="23" t="inlineStr">
        <is>
          <t>☐</t>
        </is>
      </c>
      <c r="C346" s="9" t="inlineStr">
        <is>
          <t>Italy</t>
        </is>
      </c>
      <c r="D346" s="9" t="inlineStr">
        <is>
          <t>Lombardy</t>
        </is>
      </c>
      <c r="E346" s="9" t="inlineStr">
        <is>
          <t>Lake Como / Garda</t>
        </is>
      </c>
      <c r="F346" s="9" t="inlineStr">
        <is>
          <t>Bellagio, Varenna, Gardaland theme park</t>
        </is>
      </c>
      <c r="G346" s="9" t="inlineStr">
        <is>
          <t>Nature</t>
        </is>
      </c>
      <c r="H346" s="9" t="inlineStr"/>
      <c r="I346" s="9">
        <f>IF(COUNTIF('Country Summary'!$B$5:$B$200,C346)&gt;0,"Yes","")</f>
        <v/>
      </c>
      <c r="J346" s="9" t="inlineStr"/>
    </row>
    <row r="347">
      <c r="A347" s="9" t="n">
        <v>343</v>
      </c>
      <c r="B347" s="23" t="inlineStr">
        <is>
          <t>☑</t>
        </is>
      </c>
      <c r="C347" s="9" t="inlineStr">
        <is>
          <t>Vatican City</t>
        </is>
      </c>
      <c r="D347" s="9" t="inlineStr">
        <is>
          <t>Vatican</t>
        </is>
      </c>
      <c r="E347" s="9" t="inlineStr">
        <is>
          <t>Vatican City</t>
        </is>
      </c>
      <c r="F347" s="9" t="inlineStr">
        <is>
          <t>St Peter's Basilica &amp; Square - UNESCO</t>
        </is>
      </c>
      <c r="G347" s="9" t="inlineStr">
        <is>
          <t>UNESCO</t>
        </is>
      </c>
      <c r="H347" s="9" t="inlineStr"/>
      <c r="I347" s="9">
        <f>IF(COUNTIF('Country Summary'!$B$5:$B$200,C347)&gt;0,"Yes","")</f>
        <v/>
      </c>
      <c r="J347" s="9" t="inlineStr"/>
    </row>
    <row r="348">
      <c r="A348" s="9" t="n">
        <v>344</v>
      </c>
      <c r="B348" s="23" t="inlineStr">
        <is>
          <t>☐</t>
        </is>
      </c>
      <c r="C348" s="9" t="inlineStr">
        <is>
          <t>Vatican City</t>
        </is>
      </c>
      <c r="D348" s="9" t="inlineStr">
        <is>
          <t>Vatican</t>
        </is>
      </c>
      <c r="E348" s="9" t="inlineStr">
        <is>
          <t>Vatican City</t>
        </is>
      </c>
      <c r="F348" s="9" t="inlineStr">
        <is>
          <t>Vatican Museums &amp; Sistine Chapel</t>
        </is>
      </c>
      <c r="G348" s="9" t="inlineStr">
        <is>
          <t>Museum</t>
        </is>
      </c>
      <c r="H348" s="9" t="inlineStr"/>
      <c r="I348" s="9">
        <f>IF(COUNTIF('Country Summary'!$B$5:$B$200,C348)&gt;0,"Yes","")</f>
        <v/>
      </c>
      <c r="J348" s="9" t="inlineStr"/>
    </row>
    <row r="349">
      <c r="A349" s="9" t="n">
        <v>345</v>
      </c>
      <c r="B349" s="23" t="inlineStr">
        <is>
          <t>☐</t>
        </is>
      </c>
      <c r="C349" s="9" t="inlineStr">
        <is>
          <t>Spain</t>
        </is>
      </c>
      <c r="D349" s="9" t="inlineStr">
        <is>
          <t>Catalonia</t>
        </is>
      </c>
      <c r="E349" s="9" t="inlineStr">
        <is>
          <t>Barcelona</t>
        </is>
      </c>
      <c r="F349" s="9" t="inlineStr">
        <is>
          <t>Sagrada Familia, Park Guell (Gaudi) - UNESCO; ISKCON Barcelona</t>
        </is>
      </c>
      <c r="G349" s="9" t="inlineStr">
        <is>
          <t>UNESCO</t>
        </is>
      </c>
      <c r="H349" s="9" t="inlineStr"/>
      <c r="I349" s="9">
        <f>IF(COUNTIF('Country Summary'!$B$5:$B$200,C349)&gt;0,"Yes","")</f>
        <v/>
      </c>
      <c r="J349" s="9" t="inlineStr"/>
    </row>
    <row r="350">
      <c r="A350" s="9" t="n">
        <v>346</v>
      </c>
      <c r="B350" s="23" t="inlineStr">
        <is>
          <t>☐</t>
        </is>
      </c>
      <c r="C350" s="9" t="inlineStr">
        <is>
          <t>Spain</t>
        </is>
      </c>
      <c r="D350" s="9" t="inlineStr">
        <is>
          <t>Madrid</t>
        </is>
      </c>
      <c r="E350" s="9" t="inlineStr">
        <is>
          <t>Madrid</t>
        </is>
      </c>
      <c r="F350" s="9" t="inlineStr">
        <is>
          <t>Prado, Royal Palace; ISKCON Madrid</t>
        </is>
      </c>
      <c r="G350" s="9" t="inlineStr">
        <is>
          <t>Museum</t>
        </is>
      </c>
      <c r="H350" s="9" t="inlineStr"/>
      <c r="I350" s="9">
        <f>IF(COUNTIF('Country Summary'!$B$5:$B$200,C350)&gt;0,"Yes","")</f>
        <v/>
      </c>
      <c r="J350" s="9" t="inlineStr"/>
    </row>
    <row r="351">
      <c r="A351" s="9" t="n">
        <v>347</v>
      </c>
      <c r="B351" s="23" t="inlineStr">
        <is>
          <t>☐</t>
        </is>
      </c>
      <c r="C351" s="9" t="inlineStr">
        <is>
          <t>Spain</t>
        </is>
      </c>
      <c r="D351" s="9" t="inlineStr">
        <is>
          <t>Andalusia</t>
        </is>
      </c>
      <c r="E351" s="9" t="inlineStr">
        <is>
          <t>Granada / Seville / Cordoba</t>
        </is>
      </c>
      <c r="F351" s="9" t="inlineStr">
        <is>
          <t>Alhambra - UNESCO; Seville Cathedral; Mezquita - UNESCO</t>
        </is>
      </c>
      <c r="G351" s="9" t="inlineStr">
        <is>
          <t>UNESCO</t>
        </is>
      </c>
      <c r="H351" s="9" t="inlineStr"/>
      <c r="I351" s="9">
        <f>IF(COUNTIF('Country Summary'!$B$5:$B$200,C351)&gt;0,"Yes","")</f>
        <v/>
      </c>
      <c r="J351" s="9" t="inlineStr"/>
    </row>
    <row r="352">
      <c r="A352" s="9" t="n">
        <v>348</v>
      </c>
      <c r="B352" s="23" t="inlineStr">
        <is>
          <t>☐</t>
        </is>
      </c>
      <c r="C352" s="9" t="inlineStr">
        <is>
          <t>Spain</t>
        </is>
      </c>
      <c r="D352" s="9" t="inlineStr">
        <is>
          <t>Andalusia</t>
        </is>
      </c>
      <c r="E352" s="9" t="inlineStr">
        <is>
          <t>Brihuega / Guadalajara</t>
        </is>
      </c>
      <c r="F352" s="9" t="inlineStr">
        <is>
          <t>New Vraja Mandala (ISKCON farm)</t>
        </is>
      </c>
      <c r="G352" s="9" t="inlineStr">
        <is>
          <t>ISKCON</t>
        </is>
      </c>
      <c r="H352" s="9" t="inlineStr"/>
      <c r="I352" s="9">
        <f>IF(COUNTIF('Country Summary'!$B$5:$B$200,C352)&gt;0,"Yes","")</f>
        <v/>
      </c>
      <c r="J352" s="9" t="inlineStr"/>
    </row>
    <row r="353">
      <c r="A353" s="9" t="n">
        <v>349</v>
      </c>
      <c r="B353" s="23" t="inlineStr">
        <is>
          <t>☐</t>
        </is>
      </c>
      <c r="C353" s="9" t="inlineStr">
        <is>
          <t>Spain</t>
        </is>
      </c>
      <c r="D353" s="9" t="inlineStr">
        <is>
          <t>Catalonia</t>
        </is>
      </c>
      <c r="E353" s="9" t="inlineStr">
        <is>
          <t>Barcelona</t>
        </is>
      </c>
      <c r="F353" s="9" t="inlineStr">
        <is>
          <t>La Rambla, Camp Nou tour, Montserrat monastery, Magic Fountain</t>
        </is>
      </c>
      <c r="G353" s="9" t="inlineStr">
        <is>
          <t>Sightseeing</t>
        </is>
      </c>
      <c r="H353" s="9" t="inlineStr"/>
      <c r="I353" s="9">
        <f>IF(COUNTIF('Country Summary'!$B$5:$B$200,C353)&gt;0,"Yes","")</f>
        <v/>
      </c>
      <c r="J353" s="9" t="inlineStr"/>
    </row>
    <row r="354">
      <c r="A354" s="9" t="n">
        <v>350</v>
      </c>
      <c r="B354" s="23" t="inlineStr">
        <is>
          <t>☐</t>
        </is>
      </c>
      <c r="C354" s="9" t="inlineStr">
        <is>
          <t>Spain</t>
        </is>
      </c>
      <c r="D354" s="9" t="inlineStr">
        <is>
          <t>Madrid</t>
        </is>
      </c>
      <c r="E354" s="9" t="inlineStr">
        <is>
          <t>Madrid</t>
        </is>
      </c>
      <c r="F354" s="9" t="inlineStr">
        <is>
          <t>Santiago Bernabeu tour, Retiro Park, Toledo day trip</t>
        </is>
      </c>
      <c r="G354" s="9" t="inlineStr">
        <is>
          <t>Sightseeing</t>
        </is>
      </c>
      <c r="H354" s="9" t="inlineStr"/>
      <c r="I354" s="9">
        <f>IF(COUNTIF('Country Summary'!$B$5:$B$200,C354)&gt;0,"Yes","")</f>
        <v/>
      </c>
      <c r="J354" s="9" t="inlineStr"/>
    </row>
    <row r="355">
      <c r="A355" s="9" t="n">
        <v>351</v>
      </c>
      <c r="B355" s="23" t="inlineStr">
        <is>
          <t>☐</t>
        </is>
      </c>
      <c r="C355" s="9" t="inlineStr">
        <is>
          <t>Spain</t>
        </is>
      </c>
      <c r="D355" s="9" t="inlineStr">
        <is>
          <t>Andalusia</t>
        </is>
      </c>
      <c r="E355" s="9" t="inlineStr">
        <is>
          <t>Seville / Ronda</t>
        </is>
      </c>
      <c r="F355" s="9" t="inlineStr">
        <is>
          <t>Flamenco show, Plaza de Espana, Ronda bridge</t>
        </is>
      </c>
      <c r="G355" s="9" t="inlineStr">
        <is>
          <t>Sightseeing</t>
        </is>
      </c>
      <c r="H355" s="9" t="inlineStr"/>
      <c r="I355" s="9">
        <f>IF(COUNTIF('Country Summary'!$B$5:$B$200,C355)&gt;0,"Yes","")</f>
        <v/>
      </c>
      <c r="J355" s="9" t="inlineStr"/>
    </row>
    <row r="356">
      <c r="A356" s="9" t="n">
        <v>352</v>
      </c>
      <c r="B356" s="23" t="inlineStr">
        <is>
          <t>☐</t>
        </is>
      </c>
      <c r="C356" s="9" t="inlineStr">
        <is>
          <t>Spain</t>
        </is>
      </c>
      <c r="D356" s="9" t="inlineStr">
        <is>
          <t>Balearic / Canary Is.</t>
        </is>
      </c>
      <c r="E356" s="9" t="inlineStr">
        <is>
          <t>Mallorca / Ibiza / Tenerife</t>
        </is>
      </c>
      <c r="F356" s="9" t="inlineStr">
        <is>
          <t>Beaches, Mt Teide</t>
        </is>
      </c>
      <c r="G356" s="9" t="inlineStr">
        <is>
          <t>Beach</t>
        </is>
      </c>
      <c r="H356" s="9" t="inlineStr"/>
      <c r="I356" s="9">
        <f>IF(COUNTIF('Country Summary'!$B$5:$B$200,C356)&gt;0,"Yes","")</f>
        <v/>
      </c>
      <c r="J356" s="9" t="inlineStr"/>
    </row>
    <row r="357">
      <c r="A357" s="9" t="n">
        <v>353</v>
      </c>
      <c r="B357" s="23" t="inlineStr">
        <is>
          <t>☐</t>
        </is>
      </c>
      <c r="C357" s="9" t="inlineStr">
        <is>
          <t>Portugal</t>
        </is>
      </c>
      <c r="D357" s="9" t="inlineStr">
        <is>
          <t>Lisbon</t>
        </is>
      </c>
      <c r="E357" s="9" t="inlineStr">
        <is>
          <t>Lisbon / Sintra</t>
        </is>
      </c>
      <c r="F357" s="9" t="inlineStr">
        <is>
          <t>Belem Tower, Jeronimos - UNESCO; Sintra - UNESCO; ISKCON Lisbon</t>
        </is>
      </c>
      <c r="G357" s="9" t="inlineStr">
        <is>
          <t>UNESCO</t>
        </is>
      </c>
      <c r="H357" s="9" t="inlineStr"/>
      <c r="I357" s="9">
        <f>IF(COUNTIF('Country Summary'!$B$5:$B$200,C357)&gt;0,"Yes","")</f>
        <v/>
      </c>
      <c r="J357" s="9" t="inlineStr"/>
    </row>
    <row r="358">
      <c r="A358" s="9" t="n">
        <v>354</v>
      </c>
      <c r="B358" s="23" t="inlineStr">
        <is>
          <t>☐</t>
        </is>
      </c>
      <c r="C358" s="9" t="inlineStr">
        <is>
          <t>Portugal</t>
        </is>
      </c>
      <c r="D358" s="9" t="inlineStr">
        <is>
          <t>Porto</t>
        </is>
      </c>
      <c r="E358" s="9" t="inlineStr">
        <is>
          <t>Porto</t>
        </is>
      </c>
      <c r="F358" s="9" t="inlineStr">
        <is>
          <t>Ribeira - UNESCO, Douro valley</t>
        </is>
      </c>
      <c r="G358" s="9" t="inlineStr">
        <is>
          <t>UNESCO</t>
        </is>
      </c>
      <c r="H358" s="9" t="inlineStr"/>
      <c r="I358" s="9">
        <f>IF(COUNTIF('Country Summary'!$B$5:$B$200,C358)&gt;0,"Yes","")</f>
        <v/>
      </c>
      <c r="J358" s="9" t="inlineStr"/>
    </row>
    <row r="359">
      <c r="A359" s="9" t="n">
        <v>355</v>
      </c>
      <c r="B359" s="23" t="inlineStr">
        <is>
          <t>☐</t>
        </is>
      </c>
      <c r="C359" s="9" t="inlineStr">
        <is>
          <t>Portugal</t>
        </is>
      </c>
      <c r="D359" s="9" t="inlineStr">
        <is>
          <t>Lisbon</t>
        </is>
      </c>
      <c r="E359" s="9" t="inlineStr">
        <is>
          <t>Lisbon / Sintra / Cascais</t>
        </is>
      </c>
      <c r="F359" s="9" t="inlineStr">
        <is>
          <t>Tram 28, Pena Palace, Cabo da Roca</t>
        </is>
      </c>
      <c r="G359" s="9" t="inlineStr">
        <is>
          <t>Sightseeing</t>
        </is>
      </c>
      <c r="H359" s="9" t="inlineStr"/>
      <c r="I359" s="9">
        <f>IF(COUNTIF('Country Summary'!$B$5:$B$200,C359)&gt;0,"Yes","")</f>
        <v/>
      </c>
      <c r="J359" s="9" t="inlineStr"/>
    </row>
    <row r="360">
      <c r="A360" s="9" t="n">
        <v>356</v>
      </c>
      <c r="B360" s="23" t="inlineStr">
        <is>
          <t>☐</t>
        </is>
      </c>
      <c r="C360" s="9" t="inlineStr">
        <is>
          <t>Portugal</t>
        </is>
      </c>
      <c r="D360" s="9" t="inlineStr">
        <is>
          <t>Algarve</t>
        </is>
      </c>
      <c r="E360" s="9" t="inlineStr">
        <is>
          <t>Lagos / Albufeira</t>
        </is>
      </c>
      <c r="F360" s="9" t="inlineStr">
        <is>
          <t>Benagil cave, cliffs</t>
        </is>
      </c>
      <c r="G360" s="9" t="inlineStr">
        <is>
          <t>Beach</t>
        </is>
      </c>
      <c r="H360" s="9" t="inlineStr"/>
      <c r="I360" s="9">
        <f>IF(COUNTIF('Country Summary'!$B$5:$B$200,C360)&gt;0,"Yes","")</f>
        <v/>
      </c>
      <c r="J360" s="9" t="inlineStr"/>
    </row>
    <row r="361">
      <c r="A361" s="9" t="n">
        <v>357</v>
      </c>
      <c r="B361" s="23" t="inlineStr">
        <is>
          <t>☐</t>
        </is>
      </c>
      <c r="C361" s="9" t="inlineStr">
        <is>
          <t>Austria</t>
        </is>
      </c>
      <c r="D361" s="9" t="inlineStr">
        <is>
          <t>Vienna</t>
        </is>
      </c>
      <c r="E361" s="9" t="inlineStr">
        <is>
          <t>Vienna</t>
        </is>
      </c>
      <c r="F361" s="9" t="inlineStr">
        <is>
          <t>Schonbrunn, Hofburg, St Stephen's - UNESCO; ISKCON Vienna</t>
        </is>
      </c>
      <c r="G361" s="9" t="inlineStr">
        <is>
          <t>UNESCO</t>
        </is>
      </c>
      <c r="H361" s="9" t="inlineStr"/>
      <c r="I361" s="9">
        <f>IF(COUNTIF('Country Summary'!$B$5:$B$200,C361)&gt;0,"Yes","")</f>
        <v/>
      </c>
      <c r="J361" s="9" t="inlineStr"/>
    </row>
    <row r="362">
      <c r="A362" s="9" t="n">
        <v>358</v>
      </c>
      <c r="B362" s="23" t="inlineStr">
        <is>
          <t>☐</t>
        </is>
      </c>
      <c r="C362" s="9" t="inlineStr">
        <is>
          <t>Austria</t>
        </is>
      </c>
      <c r="D362" s="9" t="inlineStr">
        <is>
          <t>Salzburg</t>
        </is>
      </c>
      <c r="E362" s="9" t="inlineStr">
        <is>
          <t>Salzburg / Hallstatt</t>
        </is>
      </c>
      <c r="F362" s="9" t="inlineStr">
        <is>
          <t>Mozart city - UNESCO; Hallstatt - UNESCO</t>
        </is>
      </c>
      <c r="G362" s="9" t="inlineStr">
        <is>
          <t>UNESCO</t>
        </is>
      </c>
      <c r="H362" s="9" t="inlineStr"/>
      <c r="I362" s="9">
        <f>IF(COUNTIF('Country Summary'!$B$5:$B$200,C362)&gt;0,"Yes","")</f>
        <v/>
      </c>
      <c r="J362" s="9" t="inlineStr"/>
    </row>
    <row r="363">
      <c r="A363" s="9" t="n">
        <v>359</v>
      </c>
      <c r="B363" s="23" t="inlineStr">
        <is>
          <t>☐</t>
        </is>
      </c>
      <c r="C363" s="9" t="inlineStr">
        <is>
          <t>Austria</t>
        </is>
      </c>
      <c r="D363" s="9" t="inlineStr">
        <is>
          <t>Tyrol</t>
        </is>
      </c>
      <c r="E363" s="9" t="inlineStr">
        <is>
          <t>Innsbruck / Salzburg</t>
        </is>
      </c>
      <c r="F363" s="9" t="inlineStr">
        <is>
          <t>Swarovski Crystal Worlds, Sound of Music tour, Hallstatt</t>
        </is>
      </c>
      <c r="G363" s="9" t="inlineStr">
        <is>
          <t>Sightseeing</t>
        </is>
      </c>
      <c r="H363" s="9" t="inlineStr"/>
      <c r="I363" s="9">
        <f>IF(COUNTIF('Country Summary'!$B$5:$B$200,C363)&gt;0,"Yes","")</f>
        <v/>
      </c>
      <c r="J363" s="9" t="inlineStr"/>
    </row>
    <row r="364">
      <c r="A364" s="9" t="n">
        <v>360</v>
      </c>
      <c r="B364" s="23" t="inlineStr">
        <is>
          <t>☐</t>
        </is>
      </c>
      <c r="C364" s="9" t="inlineStr">
        <is>
          <t>Czechia</t>
        </is>
      </c>
      <c r="D364" s="9" t="inlineStr">
        <is>
          <t>Prague</t>
        </is>
      </c>
      <c r="E364" s="9" t="inlineStr">
        <is>
          <t>Prague</t>
        </is>
      </c>
      <c r="F364" s="9" t="inlineStr">
        <is>
          <t>Charles Bridge, Prague Castle, Old Town - UNESCO; ISKCON Prague</t>
        </is>
      </c>
      <c r="G364" s="9" t="inlineStr">
        <is>
          <t>UNESCO</t>
        </is>
      </c>
      <c r="H364" s="9" t="inlineStr"/>
      <c r="I364" s="9">
        <f>IF(COUNTIF('Country Summary'!$B$5:$B$200,C364)&gt;0,"Yes","")</f>
        <v/>
      </c>
      <c r="J364" s="9" t="inlineStr"/>
    </row>
    <row r="365">
      <c r="A365" s="9" t="n">
        <v>361</v>
      </c>
      <c r="B365" s="23" t="inlineStr">
        <is>
          <t>☐</t>
        </is>
      </c>
      <c r="C365" s="9" t="inlineStr">
        <is>
          <t>Czechia</t>
        </is>
      </c>
      <c r="D365" s="9" t="inlineStr">
        <is>
          <t>Central Bohemia</t>
        </is>
      </c>
      <c r="E365" s="9" t="inlineStr">
        <is>
          <t>Krishnuv Dvur</t>
        </is>
      </c>
      <c r="F365" s="9" t="inlineStr">
        <is>
          <t>ISKCON farm (Krsnuv Dvur)</t>
        </is>
      </c>
      <c r="G365" s="9" t="inlineStr">
        <is>
          <t>ISKCON</t>
        </is>
      </c>
      <c r="H365" s="9" t="inlineStr"/>
      <c r="I365" s="9">
        <f>IF(COUNTIF('Country Summary'!$B$5:$B$200,C365)&gt;0,"Yes","")</f>
        <v/>
      </c>
      <c r="J365" s="9" t="inlineStr"/>
    </row>
    <row r="366">
      <c r="A366" s="9" t="n">
        <v>362</v>
      </c>
      <c r="B366" s="23" t="inlineStr">
        <is>
          <t>☐</t>
        </is>
      </c>
      <c r="C366" s="9" t="inlineStr">
        <is>
          <t>Czechia</t>
        </is>
      </c>
      <c r="D366" s="9" t="inlineStr">
        <is>
          <t>Prague</t>
        </is>
      </c>
      <c r="E366" s="9" t="inlineStr">
        <is>
          <t>Prague</t>
        </is>
      </c>
      <c r="F366" s="9" t="inlineStr">
        <is>
          <t>Astronomical Clock, Vltava cruise, Petrin Tower, Cesky Krumlov day trip</t>
        </is>
      </c>
      <c r="G366" s="9" t="inlineStr">
        <is>
          <t>Sightseeing</t>
        </is>
      </c>
      <c r="H366" s="9" t="inlineStr"/>
      <c r="I366" s="9">
        <f>IF(COUNTIF('Country Summary'!$B$5:$B$200,C366)&gt;0,"Yes","")</f>
        <v/>
      </c>
      <c r="J366" s="9" t="inlineStr"/>
    </row>
    <row r="367">
      <c r="A367" s="9" t="n">
        <v>363</v>
      </c>
      <c r="B367" s="23" t="inlineStr">
        <is>
          <t>☐</t>
        </is>
      </c>
      <c r="C367" s="9" t="inlineStr">
        <is>
          <t>Hungary</t>
        </is>
      </c>
      <c r="D367" s="9" t="inlineStr">
        <is>
          <t>Budapest</t>
        </is>
      </c>
      <c r="E367" s="9" t="inlineStr">
        <is>
          <t>Budapest</t>
        </is>
      </c>
      <c r="F367" s="9" t="inlineStr">
        <is>
          <t>Parliament, Buda Castle, Danube - UNESCO; ISKCON Budapest</t>
        </is>
      </c>
      <c r="G367" s="9" t="inlineStr">
        <is>
          <t>UNESCO</t>
        </is>
      </c>
      <c r="H367" s="9" t="inlineStr"/>
      <c r="I367" s="9">
        <f>IF(COUNTIF('Country Summary'!$B$5:$B$200,C367)&gt;0,"Yes","")</f>
        <v/>
      </c>
      <c r="J367" s="9" t="inlineStr"/>
    </row>
    <row r="368">
      <c r="A368" s="9" t="n">
        <v>364</v>
      </c>
      <c r="B368" s="23" t="inlineStr">
        <is>
          <t>☐</t>
        </is>
      </c>
      <c r="C368" s="9" t="inlineStr">
        <is>
          <t>Hungary</t>
        </is>
      </c>
      <c r="D368" s="9" t="inlineStr">
        <is>
          <t>Somogy</t>
        </is>
      </c>
      <c r="E368" s="9" t="inlineStr">
        <is>
          <t>Somogyvamos</t>
        </is>
      </c>
      <c r="F368" s="9" t="inlineStr">
        <is>
          <t>Krishna Valley (Krisna-volgy) - eco village</t>
        </is>
      </c>
      <c r="G368" s="9" t="inlineStr">
        <is>
          <t>ISKCON</t>
        </is>
      </c>
      <c r="H368" s="9" t="inlineStr"/>
      <c r="I368" s="9">
        <f>IF(COUNTIF('Country Summary'!$B$5:$B$200,C368)&gt;0,"Yes","")</f>
        <v/>
      </c>
      <c r="J368" s="9" t="inlineStr"/>
    </row>
    <row r="369">
      <c r="A369" s="9" t="n">
        <v>365</v>
      </c>
      <c r="B369" s="23" t="inlineStr">
        <is>
          <t>☐</t>
        </is>
      </c>
      <c r="C369" s="9" t="inlineStr">
        <is>
          <t>Hungary</t>
        </is>
      </c>
      <c r="D369" s="9" t="inlineStr">
        <is>
          <t>Budapest</t>
        </is>
      </c>
      <c r="E369" s="9" t="inlineStr">
        <is>
          <t>Budapest</t>
        </is>
      </c>
      <c r="F369" s="9" t="inlineStr">
        <is>
          <t>Szechenyi thermal baths, Fisherman's Bastion, Danube night cruise</t>
        </is>
      </c>
      <c r="G369" s="9" t="inlineStr">
        <is>
          <t>Sightseeing</t>
        </is>
      </c>
      <c r="H369" s="9" t="inlineStr"/>
      <c r="I369" s="9">
        <f>IF(COUNTIF('Country Summary'!$B$5:$B$200,C369)&gt;0,"Yes","")</f>
        <v/>
      </c>
      <c r="J369" s="9" t="inlineStr"/>
    </row>
    <row r="370">
      <c r="A370" s="9" t="n">
        <v>366</v>
      </c>
      <c r="B370" s="23" t="inlineStr">
        <is>
          <t>☐</t>
        </is>
      </c>
      <c r="C370" s="9" t="inlineStr">
        <is>
          <t>Poland</t>
        </is>
      </c>
      <c r="D370" s="9" t="inlineStr">
        <is>
          <t>Krakow</t>
        </is>
      </c>
      <c r="E370" s="9" t="inlineStr">
        <is>
          <t>Krakow / Auschwitz</t>
        </is>
      </c>
      <c r="F370" s="9" t="inlineStr">
        <is>
          <t>Old Town - UNESCO; Wieliczka salt mine - UNESCO</t>
        </is>
      </c>
      <c r="G370" s="9" t="inlineStr">
        <is>
          <t>UNESCO</t>
        </is>
      </c>
      <c r="H370" s="9" t="inlineStr"/>
      <c r="I370" s="9">
        <f>IF(COUNTIF('Country Summary'!$B$5:$B$200,C370)&gt;0,"Yes","")</f>
        <v/>
      </c>
      <c r="J370" s="9" t="inlineStr"/>
    </row>
    <row r="371">
      <c r="A371" s="9" t="n">
        <v>367</v>
      </c>
      <c r="B371" s="23" t="inlineStr">
        <is>
          <t>☐</t>
        </is>
      </c>
      <c r="C371" s="9" t="inlineStr">
        <is>
          <t>Poland</t>
        </is>
      </c>
      <c r="D371" s="9" t="inlineStr">
        <is>
          <t>Lower Silesia</t>
        </is>
      </c>
      <c r="E371" s="9" t="inlineStr">
        <is>
          <t>Czarnow</t>
        </is>
      </c>
      <c r="F371" s="9" t="inlineStr">
        <is>
          <t>New Santipur (ISKCON)</t>
        </is>
      </c>
      <c r="G371" s="9" t="inlineStr">
        <is>
          <t>ISKCON</t>
        </is>
      </c>
      <c r="H371" s="9" t="inlineStr"/>
      <c r="I371" s="9">
        <f>IF(COUNTIF('Country Summary'!$B$5:$B$200,C371)&gt;0,"Yes","")</f>
        <v/>
      </c>
      <c r="J371" s="9" t="inlineStr"/>
    </row>
    <row r="372">
      <c r="A372" s="9" t="n">
        <v>368</v>
      </c>
      <c r="B372" s="23" t="inlineStr">
        <is>
          <t>☐</t>
        </is>
      </c>
      <c r="C372" s="9" t="inlineStr">
        <is>
          <t>Greece</t>
        </is>
      </c>
      <c r="D372" s="9" t="inlineStr">
        <is>
          <t>Attica</t>
        </is>
      </c>
      <c r="E372" s="9" t="inlineStr">
        <is>
          <t>Athens</t>
        </is>
      </c>
      <c r="F372" s="9" t="inlineStr">
        <is>
          <t>Acropolis &amp; Parthenon - UNESCO</t>
        </is>
      </c>
      <c r="G372" s="9" t="inlineStr">
        <is>
          <t>UNESCO</t>
        </is>
      </c>
      <c r="H372" s="9" t="inlineStr"/>
      <c r="I372" s="9">
        <f>IF(COUNTIF('Country Summary'!$B$5:$B$200,C372)&gt;0,"Yes","")</f>
        <v/>
      </c>
      <c r="J372" s="9" t="inlineStr"/>
    </row>
    <row r="373">
      <c r="A373" s="9" t="n">
        <v>369</v>
      </c>
      <c r="B373" s="23" t="inlineStr">
        <is>
          <t>☐</t>
        </is>
      </c>
      <c r="C373" s="9" t="inlineStr">
        <is>
          <t>Greece</t>
        </is>
      </c>
      <c r="D373" s="9" t="inlineStr">
        <is>
          <t>Islands</t>
        </is>
      </c>
      <c r="E373" s="9" t="inlineStr">
        <is>
          <t>Santorini / Mykonos / Delphi / Meteora</t>
        </is>
      </c>
      <c r="F373" s="9" t="inlineStr">
        <is>
          <t>Meteora - UNESCO; Delphi - UNESCO</t>
        </is>
      </c>
      <c r="G373" s="9" t="inlineStr">
        <is>
          <t>UNESCO</t>
        </is>
      </c>
      <c r="H373" s="9" t="inlineStr"/>
      <c r="I373" s="9">
        <f>IF(COUNTIF('Country Summary'!$B$5:$B$200,C373)&gt;0,"Yes","")</f>
        <v/>
      </c>
      <c r="J373" s="9" t="inlineStr"/>
    </row>
    <row r="374">
      <c r="A374" s="9" t="n">
        <v>370</v>
      </c>
      <c r="B374" s="23" t="inlineStr">
        <is>
          <t>☐</t>
        </is>
      </c>
      <c r="C374" s="9" t="inlineStr">
        <is>
          <t>Greece</t>
        </is>
      </c>
      <c r="D374" s="9" t="inlineStr">
        <is>
          <t>South Aegean</t>
        </is>
      </c>
      <c r="E374" s="9" t="inlineStr">
        <is>
          <t>Santorini / Mykonos</t>
        </is>
      </c>
      <c r="F374" s="9" t="inlineStr">
        <is>
          <t>Oia sunset, caldera cruise, Mykonos windmills</t>
        </is>
      </c>
      <c r="G374" s="9" t="inlineStr">
        <is>
          <t>Beach</t>
        </is>
      </c>
      <c r="H374" s="9" t="inlineStr"/>
      <c r="I374" s="9">
        <f>IF(COUNTIF('Country Summary'!$B$5:$B$200,C374)&gt;0,"Yes","")</f>
        <v/>
      </c>
      <c r="J374" s="9" t="inlineStr"/>
    </row>
    <row r="375">
      <c r="A375" s="9" t="n">
        <v>371</v>
      </c>
      <c r="B375" s="23" t="inlineStr">
        <is>
          <t>☐</t>
        </is>
      </c>
      <c r="C375" s="9" t="inlineStr">
        <is>
          <t>Greece</t>
        </is>
      </c>
      <c r="D375" s="9" t="inlineStr">
        <is>
          <t>Crete / Ionian</t>
        </is>
      </c>
      <c r="E375" s="9" t="inlineStr">
        <is>
          <t>Crete / Corfu / Zakynthos</t>
        </is>
      </c>
      <c r="F375" s="9" t="inlineStr">
        <is>
          <t>Knossos, Navagio beach</t>
        </is>
      </c>
      <c r="G375" s="9" t="inlineStr">
        <is>
          <t>Beach</t>
        </is>
      </c>
      <c r="H375" s="9" t="inlineStr"/>
      <c r="I375" s="9">
        <f>IF(COUNTIF('Country Summary'!$B$5:$B$200,C375)&gt;0,"Yes","")</f>
        <v/>
      </c>
      <c r="J375" s="9" t="inlineStr"/>
    </row>
    <row r="376">
      <c r="A376" s="9" t="n">
        <v>372</v>
      </c>
      <c r="B376" s="23" t="inlineStr">
        <is>
          <t>☐</t>
        </is>
      </c>
      <c r="C376" s="9" t="inlineStr">
        <is>
          <t>Croatia</t>
        </is>
      </c>
      <c r="D376" s="9" t="inlineStr">
        <is>
          <t>Dalmatia</t>
        </is>
      </c>
      <c r="E376" s="9" t="inlineStr">
        <is>
          <t>Dubrovnik / Split / Plitvice</t>
        </is>
      </c>
      <c r="F376" s="9" t="inlineStr">
        <is>
          <t>Old City - UNESCO; Diocletian's Palace; Plitvice - UNESCO</t>
        </is>
      </c>
      <c r="G376" s="9" t="inlineStr">
        <is>
          <t>UNESCO</t>
        </is>
      </c>
      <c r="H376" s="9" t="inlineStr"/>
      <c r="I376" s="9">
        <f>IF(COUNTIF('Country Summary'!$B$5:$B$200,C376)&gt;0,"Yes","")</f>
        <v/>
      </c>
      <c r="J376" s="9" t="inlineStr"/>
    </row>
    <row r="377">
      <c r="A377" s="9" t="n">
        <v>373</v>
      </c>
      <c r="B377" s="23" t="inlineStr">
        <is>
          <t>☐</t>
        </is>
      </c>
      <c r="C377" s="9" t="inlineStr">
        <is>
          <t>Croatia</t>
        </is>
      </c>
      <c r="D377" s="9" t="inlineStr">
        <is>
          <t>Dalmatia</t>
        </is>
      </c>
      <c r="E377" s="9" t="inlineStr">
        <is>
          <t>Dubrovnik / Hvar</t>
        </is>
      </c>
      <c r="F377" s="9" t="inlineStr">
        <is>
          <t>City walls walk (Game of Thrones), Hvar island</t>
        </is>
      </c>
      <c r="G377" s="9" t="inlineStr">
        <is>
          <t>Sightseeing</t>
        </is>
      </c>
      <c r="H377" s="9" t="inlineStr"/>
      <c r="I377" s="9">
        <f>IF(COUNTIF('Country Summary'!$B$5:$B$200,C377)&gt;0,"Yes","")</f>
        <v/>
      </c>
      <c r="J377" s="9" t="inlineStr"/>
    </row>
    <row r="378">
      <c r="A378" s="9" t="n">
        <v>374</v>
      </c>
      <c r="B378" s="23" t="inlineStr">
        <is>
          <t>☐</t>
        </is>
      </c>
      <c r="C378" s="9" t="inlineStr">
        <is>
          <t>Slovenia</t>
        </is>
      </c>
      <c r="D378" s="9" t="inlineStr">
        <is>
          <t>Upper Carniola</t>
        </is>
      </c>
      <c r="E378" s="9" t="inlineStr">
        <is>
          <t>Lake Bled / Ljubljana</t>
        </is>
      </c>
      <c r="F378" s="9" t="inlineStr">
        <is>
          <t>Lake Bled</t>
        </is>
      </c>
      <c r="G378" s="9" t="inlineStr">
        <is>
          <t>Nature</t>
        </is>
      </c>
      <c r="H378" s="9" t="inlineStr"/>
      <c r="I378" s="9">
        <f>IF(COUNTIF('Country Summary'!$B$5:$B$200,C378)&gt;0,"Yes","")</f>
        <v/>
      </c>
      <c r="J378" s="9" t="inlineStr"/>
    </row>
    <row r="379">
      <c r="A379" s="9" t="n">
        <v>375</v>
      </c>
      <c r="B379" s="23" t="inlineStr">
        <is>
          <t>☐</t>
        </is>
      </c>
      <c r="C379" s="9" t="inlineStr">
        <is>
          <t>Denmark</t>
        </is>
      </c>
      <c r="D379" s="9" t="inlineStr">
        <is>
          <t>Copenhagen</t>
        </is>
      </c>
      <c r="E379" s="9" t="inlineStr">
        <is>
          <t>Copenhagen</t>
        </is>
      </c>
      <c r="F379" s="9" t="inlineStr">
        <is>
          <t>Nyhavn, Little Mermaid, Tivoli; ISKCON Copenhagen</t>
        </is>
      </c>
      <c r="G379" s="9" t="inlineStr">
        <is>
          <t>Monument</t>
        </is>
      </c>
      <c r="H379" s="9" t="inlineStr"/>
      <c r="I379" s="9">
        <f>IF(COUNTIF('Country Summary'!$B$5:$B$200,C379)&gt;0,"Yes","")</f>
        <v/>
      </c>
      <c r="J379" s="9" t="inlineStr"/>
    </row>
    <row r="380">
      <c r="A380" s="9" t="n">
        <v>376</v>
      </c>
      <c r="B380" s="23" t="inlineStr">
        <is>
          <t>☐</t>
        </is>
      </c>
      <c r="C380" s="9" t="inlineStr">
        <is>
          <t>Sweden</t>
        </is>
      </c>
      <c r="D380" s="9" t="inlineStr">
        <is>
          <t>Stockholm</t>
        </is>
      </c>
      <c r="E380" s="9" t="inlineStr">
        <is>
          <t>Stockholm / Korsnas</t>
        </is>
      </c>
      <c r="F380" s="9" t="inlineStr">
        <is>
          <t>Gamla Stan, Vasa Museum; Almviks Gard (ISKCON farm)</t>
        </is>
      </c>
      <c r="G380" s="9" t="inlineStr">
        <is>
          <t>ISKCON</t>
        </is>
      </c>
      <c r="H380" s="9" t="inlineStr"/>
      <c r="I380" s="9">
        <f>IF(COUNTIF('Country Summary'!$B$5:$B$200,C380)&gt;0,"Yes","")</f>
        <v/>
      </c>
      <c r="J380" s="9" t="inlineStr"/>
    </row>
    <row r="381">
      <c r="A381" s="9" t="n">
        <v>377</v>
      </c>
      <c r="B381" s="23" t="inlineStr">
        <is>
          <t>☐</t>
        </is>
      </c>
      <c r="C381" s="9" t="inlineStr">
        <is>
          <t>Norway</t>
        </is>
      </c>
      <c r="D381" s="9" t="inlineStr">
        <is>
          <t>Western fjords</t>
        </is>
      </c>
      <c r="E381" s="9" t="inlineStr">
        <is>
          <t>Bergen / Geiranger / Tromso</t>
        </is>
      </c>
      <c r="F381" s="9" t="inlineStr">
        <is>
          <t>Fjords - UNESCO; Northern lights</t>
        </is>
      </c>
      <c r="G381" s="9" t="inlineStr">
        <is>
          <t>UNESCO</t>
        </is>
      </c>
      <c r="H381" s="9" t="inlineStr"/>
      <c r="I381" s="9">
        <f>IF(COUNTIF('Country Summary'!$B$5:$B$200,C381)&gt;0,"Yes","")</f>
        <v/>
      </c>
      <c r="J381" s="9" t="inlineStr"/>
    </row>
    <row r="382">
      <c r="A382" s="9" t="n">
        <v>378</v>
      </c>
      <c r="B382" s="23" t="inlineStr">
        <is>
          <t>☐</t>
        </is>
      </c>
      <c r="C382" s="9" t="inlineStr">
        <is>
          <t>Norway</t>
        </is>
      </c>
      <c r="D382" s="9" t="inlineStr">
        <is>
          <t>Western</t>
        </is>
      </c>
      <c r="E382" s="9" t="inlineStr">
        <is>
          <t>Bergen / Lofoten</t>
        </is>
      </c>
      <c r="F382" s="9" t="inlineStr">
        <is>
          <t>Flam railway, Preikestolen, Lofoten Islands, Tromso aurora</t>
        </is>
      </c>
      <c r="G382" s="9" t="inlineStr">
        <is>
          <t>Nature</t>
        </is>
      </c>
      <c r="H382" s="9" t="inlineStr"/>
      <c r="I382" s="9">
        <f>IF(COUNTIF('Country Summary'!$B$5:$B$200,C382)&gt;0,"Yes","")</f>
        <v/>
      </c>
      <c r="J382" s="9" t="inlineStr"/>
    </row>
    <row r="383">
      <c r="A383" s="9" t="n">
        <v>379</v>
      </c>
      <c r="B383" s="23" t="inlineStr">
        <is>
          <t>☐</t>
        </is>
      </c>
      <c r="C383" s="9" t="inlineStr">
        <is>
          <t>Finland / Iceland</t>
        </is>
      </c>
      <c r="D383" s="9" t="inlineStr">
        <is>
          <t>-</t>
        </is>
      </c>
      <c r="E383" s="9" t="inlineStr">
        <is>
          <t>Lapland / Reykjavik</t>
        </is>
      </c>
      <c r="F383" s="9" t="inlineStr">
        <is>
          <t>Northern lights, Golden Circle, Blue Lagoon</t>
        </is>
      </c>
      <c r="G383" s="9" t="inlineStr">
        <is>
          <t>Nature</t>
        </is>
      </c>
      <c r="H383" s="9" t="inlineStr"/>
      <c r="I383" s="9">
        <f>IF(COUNTIF('Country Summary'!$B$5:$B$200,C383)&gt;0,"Yes","")</f>
        <v/>
      </c>
      <c r="J383" s="9" t="inlineStr"/>
    </row>
    <row r="384">
      <c r="A384" s="9" t="n">
        <v>380</v>
      </c>
      <c r="B384" s="23" t="inlineStr">
        <is>
          <t>☐</t>
        </is>
      </c>
      <c r="C384" s="9" t="inlineStr">
        <is>
          <t>Ireland</t>
        </is>
      </c>
      <c r="D384" s="9" t="inlineStr">
        <is>
          <t>Leinster</t>
        </is>
      </c>
      <c r="E384" s="9" t="inlineStr">
        <is>
          <t>Dublin</t>
        </is>
      </c>
      <c r="F384" s="9" t="inlineStr">
        <is>
          <t>Trinity College (Book of Kells), Guinness; ISKCON Dublin</t>
        </is>
      </c>
      <c r="G384" s="9" t="inlineStr">
        <is>
          <t>Monument</t>
        </is>
      </c>
      <c r="H384" s="9" t="inlineStr"/>
      <c r="I384" s="9">
        <f>IF(COUNTIF('Country Summary'!$B$5:$B$200,C384)&gt;0,"Yes","")</f>
        <v/>
      </c>
      <c r="J384" s="9" t="inlineStr"/>
    </row>
    <row r="385">
      <c r="A385" s="9" t="n">
        <v>381</v>
      </c>
      <c r="B385" s="23" t="inlineStr">
        <is>
          <t>☐</t>
        </is>
      </c>
      <c r="C385" s="9" t="inlineStr">
        <is>
          <t>Ireland</t>
        </is>
      </c>
      <c r="D385" s="9" t="inlineStr">
        <is>
          <t>Ulster</t>
        </is>
      </c>
      <c r="E385" s="9" t="inlineStr">
        <is>
          <t>Fermanagh</t>
        </is>
      </c>
      <c r="F385" s="9" t="inlineStr">
        <is>
          <t>Inis Rath - Govindadwipa (Hare Krishna island)</t>
        </is>
      </c>
      <c r="G385" s="9" t="inlineStr">
        <is>
          <t>ISKCON</t>
        </is>
      </c>
      <c r="H385" s="9" t="inlineStr"/>
      <c r="I385" s="9">
        <f>IF(COUNTIF('Country Summary'!$B$5:$B$200,C385)&gt;0,"Yes","")</f>
        <v/>
      </c>
      <c r="J385" s="9" t="inlineStr"/>
    </row>
    <row r="386">
      <c r="A386" s="9" t="n">
        <v>382</v>
      </c>
      <c r="B386" s="23" t="inlineStr">
        <is>
          <t>☐</t>
        </is>
      </c>
      <c r="C386" s="9" t="inlineStr">
        <is>
          <t>Ireland</t>
        </is>
      </c>
      <c r="D386" s="9" t="inlineStr">
        <is>
          <t>Munster</t>
        </is>
      </c>
      <c r="E386" s="9" t="inlineStr">
        <is>
          <t>Cliffs of Moher / Ring of Kerry</t>
        </is>
      </c>
      <c r="F386" s="9" t="inlineStr">
        <is>
          <t>Cliffs of Moher</t>
        </is>
      </c>
      <c r="G386" s="9" t="inlineStr">
        <is>
          <t>Nature</t>
        </is>
      </c>
      <c r="H386" s="9" t="inlineStr"/>
      <c r="I386" s="9">
        <f>IF(COUNTIF('Country Summary'!$B$5:$B$200,C386)&gt;0,"Yes","")</f>
        <v/>
      </c>
      <c r="J386" s="9" t="inlineStr"/>
    </row>
    <row r="387">
      <c r="A387" s="9" t="n">
        <v>383</v>
      </c>
      <c r="B387" s="23" t="inlineStr">
        <is>
          <t>☐</t>
        </is>
      </c>
      <c r="C387" s="9" t="inlineStr">
        <is>
          <t>Ireland</t>
        </is>
      </c>
      <c r="D387" s="9" t="inlineStr">
        <is>
          <t>Leinster / Munster</t>
        </is>
      </c>
      <c r="E387" s="9" t="inlineStr">
        <is>
          <t>Dublin / Killarney</t>
        </is>
      </c>
      <c r="F387" s="9" t="inlineStr">
        <is>
          <t>Guinness Storehouse, Temple Bar, Cliffs of Moher, Ring of Kerry</t>
        </is>
      </c>
      <c r="G387" s="9" t="inlineStr">
        <is>
          <t>Sightseeing</t>
        </is>
      </c>
      <c r="H387" s="9" t="inlineStr"/>
      <c r="I387" s="9">
        <f>IF(COUNTIF('Country Summary'!$B$5:$B$200,C387)&gt;0,"Yes","")</f>
        <v/>
      </c>
      <c r="J387" s="9" t="inlineStr"/>
    </row>
    <row r="388">
      <c r="A388" s="9" t="n">
        <v>384</v>
      </c>
      <c r="B388" s="23" t="inlineStr">
        <is>
          <t>☐</t>
        </is>
      </c>
      <c r="C388" s="9" t="inlineStr">
        <is>
          <t>Turkey</t>
        </is>
      </c>
      <c r="D388" s="9" t="inlineStr">
        <is>
          <t>Istanbul</t>
        </is>
      </c>
      <c r="E388" s="9" t="inlineStr">
        <is>
          <t>Istanbul</t>
        </is>
      </c>
      <c r="F388" s="9" t="inlineStr">
        <is>
          <t>Hagia Sophia, Blue Mosque, Topkapi - UNESCO</t>
        </is>
      </c>
      <c r="G388" s="9" t="inlineStr">
        <is>
          <t>UNESCO</t>
        </is>
      </c>
      <c r="H388" s="9" t="inlineStr">
        <is>
          <t>Likely</t>
        </is>
      </c>
      <c r="I388" s="9">
        <f>IF(COUNTIF('Country Summary'!$B$5:$B$200,C388)&gt;0,"Yes","")</f>
        <v/>
      </c>
      <c r="J388" s="9" t="inlineStr"/>
    </row>
    <row r="389">
      <c r="A389" s="9" t="n">
        <v>385</v>
      </c>
      <c r="B389" s="23" t="inlineStr">
        <is>
          <t>☐</t>
        </is>
      </c>
      <c r="C389" s="9" t="inlineStr">
        <is>
          <t>Turkey</t>
        </is>
      </c>
      <c r="D389" s="9" t="inlineStr">
        <is>
          <t>Cappadocia</t>
        </is>
      </c>
      <c r="E389" s="9" t="inlineStr">
        <is>
          <t>Goreme</t>
        </is>
      </c>
      <c r="F389" s="9" t="inlineStr">
        <is>
          <t>Balloons, rock churches - UNESCO</t>
        </is>
      </c>
      <c r="G389" s="9" t="inlineStr">
        <is>
          <t>UNESCO</t>
        </is>
      </c>
      <c r="H389" s="9" t="inlineStr"/>
      <c r="I389" s="9">
        <f>IF(COUNTIF('Country Summary'!$B$5:$B$200,C389)&gt;0,"Yes","")</f>
        <v/>
      </c>
      <c r="J389" s="9" t="inlineStr"/>
    </row>
    <row r="390">
      <c r="A390" s="9" t="n">
        <v>386</v>
      </c>
      <c r="B390" s="23" t="inlineStr">
        <is>
          <t>☐</t>
        </is>
      </c>
      <c r="C390" s="9" t="inlineStr">
        <is>
          <t>Turkey</t>
        </is>
      </c>
      <c r="D390" s="9" t="inlineStr">
        <is>
          <t>Denizli / Izmir</t>
        </is>
      </c>
      <c r="E390" s="9" t="inlineStr">
        <is>
          <t>Pamukkale / Ephesus</t>
        </is>
      </c>
      <c r="F390" s="9" t="inlineStr">
        <is>
          <t>Travertines - UNESCO; Ephesus - UNESCO</t>
        </is>
      </c>
      <c r="G390" s="9" t="inlineStr">
        <is>
          <t>UNESCO</t>
        </is>
      </c>
      <c r="H390" s="9" t="inlineStr"/>
      <c r="I390" s="9">
        <f>IF(COUNTIF('Country Summary'!$B$5:$B$200,C390)&gt;0,"Yes","")</f>
        <v/>
      </c>
      <c r="J390" s="9" t="inlineStr"/>
    </row>
    <row r="391">
      <c r="A391" s="9" t="n">
        <v>387</v>
      </c>
      <c r="B391" s="23" t="inlineStr">
        <is>
          <t>☐</t>
        </is>
      </c>
      <c r="C391" s="9" t="inlineStr">
        <is>
          <t>Turkey</t>
        </is>
      </c>
      <c r="D391" s="9" t="inlineStr">
        <is>
          <t>Istanbul</t>
        </is>
      </c>
      <c r="E391" s="9" t="inlineStr">
        <is>
          <t>Istanbul</t>
        </is>
      </c>
      <c r="F391" s="9" t="inlineStr">
        <is>
          <t>Bosphorus cruise, Grand Bazaar, Galata Tower, Basilica Cistern</t>
        </is>
      </c>
      <c r="G391" s="9" t="inlineStr">
        <is>
          <t>Sightseeing</t>
        </is>
      </c>
      <c r="H391" s="9" t="inlineStr"/>
      <c r="I391" s="9">
        <f>IF(COUNTIF('Country Summary'!$B$5:$B$200,C391)&gt;0,"Yes","")</f>
        <v/>
      </c>
      <c r="J391" s="9" t="inlineStr"/>
    </row>
    <row r="392">
      <c r="A392" s="9" t="n">
        <v>388</v>
      </c>
      <c r="B392" s="23" t="inlineStr">
        <is>
          <t>☐</t>
        </is>
      </c>
      <c r="C392" s="9" t="inlineStr">
        <is>
          <t>Turkey</t>
        </is>
      </c>
      <c r="D392" s="9" t="inlineStr">
        <is>
          <t>Antalya</t>
        </is>
      </c>
      <c r="E392" s="9" t="inlineStr">
        <is>
          <t>Antalya</t>
        </is>
      </c>
      <c r="F392" s="9" t="inlineStr">
        <is>
          <t>Mediterranean resorts, Duden falls</t>
        </is>
      </c>
      <c r="G392" s="9" t="inlineStr">
        <is>
          <t>Beach</t>
        </is>
      </c>
      <c r="H392" s="9" t="inlineStr"/>
      <c r="I392" s="9">
        <f>IF(COUNTIF('Country Summary'!$B$5:$B$200,C392)&gt;0,"Yes","")</f>
        <v/>
      </c>
      <c r="J392" s="9" t="inlineStr"/>
    </row>
    <row r="393">
      <c r="A393" s="9" t="n">
        <v>389</v>
      </c>
      <c r="B393" s="23" t="inlineStr">
        <is>
          <t>☐</t>
        </is>
      </c>
      <c r="C393" s="9" t="inlineStr">
        <is>
          <t>Russia</t>
        </is>
      </c>
      <c r="D393" s="9" t="inlineStr">
        <is>
          <t>Moscow</t>
        </is>
      </c>
      <c r="E393" s="9" t="inlineStr">
        <is>
          <t>Moscow</t>
        </is>
      </c>
      <c r="F393" s="9" t="inlineStr">
        <is>
          <t>Red Square, Kremlin, St Basil's - UNESCO; ISKCON Moscow (new temple)</t>
        </is>
      </c>
      <c r="G393" s="9" t="inlineStr">
        <is>
          <t>UNESCO</t>
        </is>
      </c>
      <c r="H393" s="9" t="inlineStr"/>
      <c r="I393" s="9">
        <f>IF(COUNTIF('Country Summary'!$B$5:$B$200,C393)&gt;0,"Yes","")</f>
        <v/>
      </c>
      <c r="J393" s="9" t="inlineStr"/>
    </row>
    <row r="394">
      <c r="A394" s="9" t="n">
        <v>390</v>
      </c>
      <c r="B394" s="23" t="inlineStr">
        <is>
          <t>☐</t>
        </is>
      </c>
      <c r="C394" s="9" t="inlineStr">
        <is>
          <t>Russia</t>
        </is>
      </c>
      <c r="D394" s="9" t="inlineStr">
        <is>
          <t>St Petersburg</t>
        </is>
      </c>
      <c r="E394" s="9" t="inlineStr">
        <is>
          <t>St Petersburg</t>
        </is>
      </c>
      <c r="F394" s="9" t="inlineStr">
        <is>
          <t>Hermitage, Peterhof - UNESCO</t>
        </is>
      </c>
      <c r="G394" s="9" t="inlineStr">
        <is>
          <t>UNESCO</t>
        </is>
      </c>
      <c r="H394" s="9" t="inlineStr"/>
      <c r="I394" s="9">
        <f>IF(COUNTIF('Country Summary'!$B$5:$B$200,C394)&gt;0,"Yes","")</f>
        <v/>
      </c>
      <c r="J394" s="9" t="inlineStr"/>
    </row>
    <row r="395">
      <c r="A395" s="9" t="n">
        <v>391</v>
      </c>
      <c r="B395" s="23" t="inlineStr">
        <is>
          <t>☐</t>
        </is>
      </c>
      <c r="C395" s="9" t="inlineStr">
        <is>
          <t>Russia</t>
        </is>
      </c>
      <c r="D395" s="9" t="inlineStr">
        <is>
          <t>Moscow</t>
        </is>
      </c>
      <c r="E395" s="9" t="inlineStr">
        <is>
          <t>Moscow</t>
        </is>
      </c>
      <c r="F395" s="9" t="inlineStr">
        <is>
          <t>Bolshoi Theatre, Moscow Metro tour, Gorky Park</t>
        </is>
      </c>
      <c r="G395" s="9" t="inlineStr">
        <is>
          <t>Sightseeing</t>
        </is>
      </c>
      <c r="H395" s="9" t="inlineStr"/>
      <c r="I395" s="9">
        <f>IF(COUNTIF('Country Summary'!$B$5:$B$200,C395)&gt;0,"Yes","")</f>
        <v/>
      </c>
      <c r="J395" s="9" t="inlineStr"/>
    </row>
    <row r="396">
      <c r="A396" s="9" t="n">
        <v>392</v>
      </c>
      <c r="B396" s="23" t="inlineStr">
        <is>
          <t>☐</t>
        </is>
      </c>
      <c r="C396" s="9" t="inlineStr">
        <is>
          <t>UAE</t>
        </is>
      </c>
      <c r="D396" s="9" t="inlineStr">
        <is>
          <t>Dubai</t>
        </is>
      </c>
      <c r="E396" s="9" t="inlineStr">
        <is>
          <t>Dubai</t>
        </is>
      </c>
      <c r="F396" s="9" t="inlineStr">
        <is>
          <t>Burj Khalifa &amp; Dubai Mall / Fountain</t>
        </is>
      </c>
      <c r="G396" s="9" t="inlineStr">
        <is>
          <t>Modern</t>
        </is>
      </c>
      <c r="H396" s="9" t="inlineStr">
        <is>
          <t>Likely</t>
        </is>
      </c>
      <c r="I396" s="9">
        <f>IF(COUNTIF('Country Summary'!$B$5:$B$200,C396)&gt;0,"Yes","")</f>
        <v/>
      </c>
      <c r="J396" s="9" t="inlineStr"/>
    </row>
    <row r="397">
      <c r="A397" s="9" t="n">
        <v>393</v>
      </c>
      <c r="B397" s="23" t="inlineStr">
        <is>
          <t>☐</t>
        </is>
      </c>
      <c r="C397" s="9" t="inlineStr">
        <is>
          <t>UAE</t>
        </is>
      </c>
      <c r="D397" s="9" t="inlineStr">
        <is>
          <t>Dubai</t>
        </is>
      </c>
      <c r="E397" s="9" t="inlineStr">
        <is>
          <t>Dubai</t>
        </is>
      </c>
      <c r="F397" s="9" t="inlineStr">
        <is>
          <t>ISKCON Dubai (Bur Dubai Shiva-Krishna temple) &amp; Hindu Temple Jebel Ali</t>
        </is>
      </c>
      <c r="G397" s="9" t="inlineStr">
        <is>
          <t>Temple</t>
        </is>
      </c>
      <c r="H397" s="9" t="inlineStr"/>
      <c r="I397" s="9">
        <f>IF(COUNTIF('Country Summary'!$B$5:$B$200,C397)&gt;0,"Yes","")</f>
        <v/>
      </c>
      <c r="J397" s="9" t="inlineStr"/>
    </row>
    <row r="398">
      <c r="A398" s="9" t="n">
        <v>394</v>
      </c>
      <c r="B398" s="23" t="inlineStr">
        <is>
          <t>☐</t>
        </is>
      </c>
      <c r="C398" s="9" t="inlineStr">
        <is>
          <t>UAE</t>
        </is>
      </c>
      <c r="D398" s="9" t="inlineStr">
        <is>
          <t>Dubai</t>
        </is>
      </c>
      <c r="E398" s="9" t="inlineStr">
        <is>
          <t>Dubai</t>
        </is>
      </c>
      <c r="F398" s="9" t="inlineStr">
        <is>
          <t>Palm Jumeirah, Atlantis, Burj Al Arab, Dubai Marina</t>
        </is>
      </c>
      <c r="G398" s="9" t="inlineStr">
        <is>
          <t>Modern</t>
        </is>
      </c>
      <c r="H398" s="9" t="inlineStr"/>
      <c r="I398" s="9">
        <f>IF(COUNTIF('Country Summary'!$B$5:$B$200,C398)&gt;0,"Yes","")</f>
        <v/>
      </c>
      <c r="J398" s="9" t="inlineStr"/>
    </row>
    <row r="399">
      <c r="A399" s="9" t="n">
        <v>395</v>
      </c>
      <c r="B399" s="23" t="inlineStr">
        <is>
          <t>☐</t>
        </is>
      </c>
      <c r="C399" s="9" t="inlineStr">
        <is>
          <t>UAE</t>
        </is>
      </c>
      <c r="D399" s="9" t="inlineStr">
        <is>
          <t>Dubai</t>
        </is>
      </c>
      <c r="E399" s="9" t="inlineStr">
        <is>
          <t>Dubai</t>
        </is>
      </c>
      <c r="F399" s="9" t="inlineStr">
        <is>
          <t>Old Dubai - Al Fahidi, Gold &amp; Spice souks, Dubai Creek abra</t>
        </is>
      </c>
      <c r="G399" s="9" t="inlineStr">
        <is>
          <t>Monument</t>
        </is>
      </c>
      <c r="H399" s="9" t="inlineStr">
        <is>
          <t>Likely</t>
        </is>
      </c>
      <c r="I399" s="9">
        <f>IF(COUNTIF('Country Summary'!$B$5:$B$200,C399)&gt;0,"Yes","")</f>
        <v/>
      </c>
      <c r="J399" s="9" t="inlineStr"/>
    </row>
    <row r="400">
      <c r="A400" s="9" t="n">
        <v>396</v>
      </c>
      <c r="B400" s="23" t="inlineStr">
        <is>
          <t>☐</t>
        </is>
      </c>
      <c r="C400" s="9" t="inlineStr">
        <is>
          <t>UAE</t>
        </is>
      </c>
      <c r="D400" s="9" t="inlineStr">
        <is>
          <t>Dubai</t>
        </is>
      </c>
      <c r="E400" s="9" t="inlineStr">
        <is>
          <t>Dubai</t>
        </is>
      </c>
      <c r="F400" s="9" t="inlineStr">
        <is>
          <t>Museum of the Future, Dubai Frame, Global Village (Nov-Apr)</t>
        </is>
      </c>
      <c r="G400" s="9" t="inlineStr">
        <is>
          <t>Modern</t>
        </is>
      </c>
      <c r="H400" s="9" t="inlineStr"/>
      <c r="I400" s="9">
        <f>IF(COUNTIF('Country Summary'!$B$5:$B$200,C400)&gt;0,"Yes","")</f>
        <v/>
      </c>
      <c r="J400" s="9" t="inlineStr"/>
    </row>
    <row r="401">
      <c r="A401" s="9" t="n">
        <v>397</v>
      </c>
      <c r="B401" s="23" t="inlineStr">
        <is>
          <t>☐</t>
        </is>
      </c>
      <c r="C401" s="9" t="inlineStr">
        <is>
          <t>UAE</t>
        </is>
      </c>
      <c r="D401" s="9" t="inlineStr">
        <is>
          <t>Dubai</t>
        </is>
      </c>
      <c r="E401" s="9" t="inlineStr">
        <is>
          <t>Dubai</t>
        </is>
      </c>
      <c r="F401" s="9" t="inlineStr">
        <is>
          <t>Desert safari, Miracle Garden (Nov-Apr)</t>
        </is>
      </c>
      <c r="G401" s="9" t="inlineStr">
        <is>
          <t>Nature</t>
        </is>
      </c>
      <c r="H401" s="9" t="inlineStr"/>
      <c r="I401" s="9">
        <f>IF(COUNTIF('Country Summary'!$B$5:$B$200,C401)&gt;0,"Yes","")</f>
        <v/>
      </c>
      <c r="J401" s="9" t="inlineStr"/>
    </row>
    <row r="402">
      <c r="A402" s="9" t="n">
        <v>398</v>
      </c>
      <c r="B402" s="23" t="inlineStr">
        <is>
          <t>☐</t>
        </is>
      </c>
      <c r="C402" s="9" t="inlineStr">
        <is>
          <t>UAE</t>
        </is>
      </c>
      <c r="D402" s="9" t="inlineStr">
        <is>
          <t>Abu Dhabi</t>
        </is>
      </c>
      <c r="E402" s="9" t="inlineStr">
        <is>
          <t>Abu Dhabi</t>
        </is>
      </c>
      <c r="F402" s="9" t="inlineStr">
        <is>
          <t>BAPS Hindu Mandir (Abu Mureikhah) - first traditional Hindu temple in UAE</t>
        </is>
      </c>
      <c r="G402" s="9" t="inlineStr">
        <is>
          <t>Temple</t>
        </is>
      </c>
      <c r="H402" s="9" t="inlineStr">
        <is>
          <t>Likely</t>
        </is>
      </c>
      <c r="I402" s="9">
        <f>IF(COUNTIF('Country Summary'!$B$5:$B$200,C402)&gt;0,"Yes","")</f>
        <v/>
      </c>
      <c r="J402" s="9" t="inlineStr"/>
    </row>
    <row r="403">
      <c r="A403" s="9" t="n">
        <v>399</v>
      </c>
      <c r="B403" s="23" t="inlineStr">
        <is>
          <t>☐</t>
        </is>
      </c>
      <c r="C403" s="9" t="inlineStr">
        <is>
          <t>UAE</t>
        </is>
      </c>
      <c r="D403" s="9" t="inlineStr">
        <is>
          <t>Abu Dhabi</t>
        </is>
      </c>
      <c r="E403" s="9" t="inlineStr">
        <is>
          <t>Abu Dhabi</t>
        </is>
      </c>
      <c r="F403" s="9" t="inlineStr">
        <is>
          <t>Sheikh Zayed Grand Mosque</t>
        </is>
      </c>
      <c r="G403" s="9" t="inlineStr">
        <is>
          <t>Monument</t>
        </is>
      </c>
      <c r="H403" s="9" t="inlineStr">
        <is>
          <t>Likely</t>
        </is>
      </c>
      <c r="I403" s="9">
        <f>IF(COUNTIF('Country Summary'!$B$5:$B$200,C403)&gt;0,"Yes","")</f>
        <v/>
      </c>
      <c r="J403" s="9" t="inlineStr"/>
    </row>
    <row r="404">
      <c r="A404" s="9" t="n">
        <v>400</v>
      </c>
      <c r="B404" s="23" t="inlineStr">
        <is>
          <t>☐</t>
        </is>
      </c>
      <c r="C404" s="9" t="inlineStr">
        <is>
          <t>UAE</t>
        </is>
      </c>
      <c r="D404" s="9" t="inlineStr">
        <is>
          <t>Abu Dhabi</t>
        </is>
      </c>
      <c r="E404" s="9" t="inlineStr">
        <is>
          <t>Abu Dhabi</t>
        </is>
      </c>
      <c r="F404" s="9" t="inlineStr">
        <is>
          <t>Louvre Abu Dhabi, Qasr Al Watan, Emirates Palace</t>
        </is>
      </c>
      <c r="G404" s="9" t="inlineStr">
        <is>
          <t>Museum</t>
        </is>
      </c>
      <c r="H404" s="9" t="inlineStr"/>
      <c r="I404" s="9">
        <f>IF(COUNTIF('Country Summary'!$B$5:$B$200,C404)&gt;0,"Yes","")</f>
        <v/>
      </c>
      <c r="J404" s="9" t="inlineStr"/>
    </row>
    <row r="405">
      <c r="A405" s="9" t="n">
        <v>401</v>
      </c>
      <c r="B405" s="23" t="inlineStr">
        <is>
          <t>☐</t>
        </is>
      </c>
      <c r="C405" s="9" t="inlineStr">
        <is>
          <t>UAE</t>
        </is>
      </c>
      <c r="D405" s="9" t="inlineStr">
        <is>
          <t>Abu Dhabi</t>
        </is>
      </c>
      <c r="E405" s="9" t="inlineStr">
        <is>
          <t>Yas Island</t>
        </is>
      </c>
      <c r="F405" s="9" t="inlineStr">
        <is>
          <t>Ferrari World, Yas Marina F1 circuit</t>
        </is>
      </c>
      <c r="G405" s="9" t="inlineStr">
        <is>
          <t>Modern</t>
        </is>
      </c>
      <c r="H405" s="9" t="inlineStr"/>
      <c r="I405" s="9">
        <f>IF(COUNTIF('Country Summary'!$B$5:$B$200,C405)&gt;0,"Yes","")</f>
        <v/>
      </c>
      <c r="J405" s="9" t="inlineStr"/>
    </row>
    <row r="406">
      <c r="A406" s="9" t="n">
        <v>402</v>
      </c>
      <c r="B406" s="23" t="inlineStr">
        <is>
          <t>☐</t>
        </is>
      </c>
      <c r="C406" s="9" t="inlineStr">
        <is>
          <t>UAE</t>
        </is>
      </c>
      <c r="D406" s="9" t="inlineStr">
        <is>
          <t>Sharjah / Fujairah</t>
        </is>
      </c>
      <c r="E406" s="9" t="inlineStr">
        <is>
          <t>Sharjah</t>
        </is>
      </c>
      <c r="F406" s="9" t="inlineStr">
        <is>
          <t>Sharjah heritage area, Al Noor; Fujairah fort</t>
        </is>
      </c>
      <c r="G406" s="9" t="inlineStr">
        <is>
          <t>Monument</t>
        </is>
      </c>
      <c r="H406" s="9" t="inlineStr"/>
      <c r="I406" s="9">
        <f>IF(COUNTIF('Country Summary'!$B$5:$B$200,C406)&gt;0,"Yes","")</f>
        <v/>
      </c>
      <c r="J406" s="9" t="inlineStr"/>
    </row>
    <row r="407">
      <c r="A407" s="9" t="n">
        <v>403</v>
      </c>
      <c r="B407" s="23" t="inlineStr">
        <is>
          <t>☐</t>
        </is>
      </c>
      <c r="C407" s="9" t="inlineStr">
        <is>
          <t>UAE</t>
        </is>
      </c>
      <c r="D407" s="9" t="inlineStr">
        <is>
          <t>Dubai</t>
        </is>
      </c>
      <c r="E407" s="9" t="inlineStr">
        <is>
          <t>Dubai</t>
        </is>
      </c>
      <c r="F407" s="9" t="inlineStr">
        <is>
          <t>Dubai Aquarium, Ski Dubai, IMG Worlds, Motiongate, Legoland, La Perle show</t>
        </is>
      </c>
      <c r="G407" s="9" t="inlineStr">
        <is>
          <t>Theme park</t>
        </is>
      </c>
      <c r="H407" s="9" t="inlineStr"/>
      <c r="I407" s="9">
        <f>IF(COUNTIF('Country Summary'!$B$5:$B$200,C407)&gt;0,"Yes","")</f>
        <v/>
      </c>
      <c r="J407" s="9" t="inlineStr"/>
    </row>
    <row r="408">
      <c r="A408" s="9" t="n">
        <v>404</v>
      </c>
      <c r="B408" s="23" t="inlineStr">
        <is>
          <t>☐</t>
        </is>
      </c>
      <c r="C408" s="9" t="inlineStr">
        <is>
          <t>UAE</t>
        </is>
      </c>
      <c r="D408" s="9" t="inlineStr">
        <is>
          <t>Dubai</t>
        </is>
      </c>
      <c r="E408" s="9" t="inlineStr">
        <is>
          <t>Dubai</t>
        </is>
      </c>
      <c r="F408" s="9" t="inlineStr">
        <is>
          <t>Dhow cruise Marina, Dubai Opera, Jumeirah Beach, Ain Dubai, Al Seef</t>
        </is>
      </c>
      <c r="G408" s="9" t="inlineStr">
        <is>
          <t>Sightseeing</t>
        </is>
      </c>
      <c r="H408" s="9" t="inlineStr"/>
      <c r="I408" s="9">
        <f>IF(COUNTIF('Country Summary'!$B$5:$B$200,C408)&gt;0,"Yes","")</f>
        <v/>
      </c>
      <c r="J408" s="9" t="inlineStr"/>
    </row>
    <row r="409">
      <c r="A409" s="9" t="n">
        <v>405</v>
      </c>
      <c r="B409" s="23" t="inlineStr">
        <is>
          <t>☐</t>
        </is>
      </c>
      <c r="C409" s="9" t="inlineStr">
        <is>
          <t>UAE</t>
        </is>
      </c>
      <c r="D409" s="9" t="inlineStr">
        <is>
          <t>Abu Dhabi</t>
        </is>
      </c>
      <c r="E409" s="9" t="inlineStr">
        <is>
          <t>Yas Island</t>
        </is>
      </c>
      <c r="F409" s="9" t="inlineStr">
        <is>
          <t>Warner Bros World, Yas Waterworld, SeaWorld Abu Dhabi, Saadiyat beach</t>
        </is>
      </c>
      <c r="G409" s="9" t="inlineStr">
        <is>
          <t>Theme park</t>
        </is>
      </c>
      <c r="H409" s="9" t="inlineStr"/>
      <c r="I409" s="9">
        <f>IF(COUNTIF('Country Summary'!$B$5:$B$200,C409)&gt;0,"Yes","")</f>
        <v/>
      </c>
      <c r="J409" s="9" t="inlineStr"/>
    </row>
    <row r="410">
      <c r="A410" s="9" t="n">
        <v>406</v>
      </c>
      <c r="B410" s="23" t="inlineStr">
        <is>
          <t>☑</t>
        </is>
      </c>
      <c r="C410" s="9" t="inlineStr">
        <is>
          <t>Sri Lanka</t>
        </is>
      </c>
      <c r="D410" s="9" t="inlineStr">
        <is>
          <t>Western</t>
        </is>
      </c>
      <c r="E410" s="9" t="inlineStr">
        <is>
          <t>Colombo</t>
        </is>
      </c>
      <c r="F410" s="9" t="inlineStr">
        <is>
          <t>ISKCON Colombo (New Kurukshetra); Gangaramaya; Kelaniya Raja Maha Vihara</t>
        </is>
      </c>
      <c r="G410" s="9" t="inlineStr">
        <is>
          <t>ISKCON</t>
        </is>
      </c>
      <c r="H410" s="9" t="inlineStr"/>
      <c r="I410" s="9">
        <f>IF(COUNTIF('Country Summary'!$B$5:$B$200,C410)&gt;0,"Yes","")</f>
        <v/>
      </c>
      <c r="J410" s="9" t="inlineStr"/>
    </row>
    <row r="411">
      <c r="A411" s="9" t="n">
        <v>407</v>
      </c>
      <c r="B411" s="23" t="inlineStr">
        <is>
          <t>☑</t>
        </is>
      </c>
      <c r="C411" s="9" t="inlineStr">
        <is>
          <t>Sri Lanka</t>
        </is>
      </c>
      <c r="D411" s="9" t="inlineStr">
        <is>
          <t>Central</t>
        </is>
      </c>
      <c r="E411" s="9" t="inlineStr">
        <is>
          <t>Nuwara Eliya</t>
        </is>
      </c>
      <c r="F411" s="9" t="inlineStr">
        <is>
          <t>Seetha Amman Kovil (Ashok Vatika), Hakgala garden</t>
        </is>
      </c>
      <c r="G411" s="9" t="inlineStr">
        <is>
          <t>Temple</t>
        </is>
      </c>
      <c r="H411" s="9" t="inlineStr"/>
      <c r="I411" s="9">
        <f>IF(COUNTIF('Country Summary'!$B$5:$B$200,C411)&gt;0,"Yes","")</f>
        <v/>
      </c>
      <c r="J411" s="9" t="inlineStr"/>
    </row>
    <row r="412">
      <c r="A412" s="9" t="n">
        <v>408</v>
      </c>
      <c r="B412" s="23" t="inlineStr">
        <is>
          <t>☑</t>
        </is>
      </c>
      <c r="C412" s="9" t="inlineStr">
        <is>
          <t>Sri Lanka</t>
        </is>
      </c>
      <c r="D412" s="9" t="inlineStr">
        <is>
          <t>Central</t>
        </is>
      </c>
      <c r="E412" s="9" t="inlineStr">
        <is>
          <t>Kandy</t>
        </is>
      </c>
      <c r="F412" s="9" t="inlineStr">
        <is>
          <t>Temple of the Tooth - UNESCO; Kataragama devale</t>
        </is>
      </c>
      <c r="G412" s="9" t="inlineStr">
        <is>
          <t>UNESCO</t>
        </is>
      </c>
      <c r="H412" s="9" t="inlineStr"/>
      <c r="I412" s="9">
        <f>IF(COUNTIF('Country Summary'!$B$5:$B$200,C412)&gt;0,"Yes","")</f>
        <v/>
      </c>
      <c r="J412" s="9" t="inlineStr"/>
    </row>
    <row r="413">
      <c r="A413" s="9" t="n">
        <v>409</v>
      </c>
      <c r="B413" s="23" t="inlineStr">
        <is>
          <t>☑</t>
        </is>
      </c>
      <c r="C413" s="9" t="inlineStr">
        <is>
          <t>Sri Lanka</t>
        </is>
      </c>
      <c r="D413" s="9" t="inlineStr">
        <is>
          <t>Central</t>
        </is>
      </c>
      <c r="E413" s="9" t="inlineStr">
        <is>
          <t>Dambulla / Sigiriya</t>
        </is>
      </c>
      <c r="F413" s="9" t="inlineStr">
        <is>
          <t>Golden Cave Temple - UNESCO; Sigiriya rock - UNESCO (Ravana link)</t>
        </is>
      </c>
      <c r="G413" s="9" t="inlineStr">
        <is>
          <t>UNESCO</t>
        </is>
      </c>
      <c r="H413" s="9" t="inlineStr"/>
      <c r="I413" s="9">
        <f>IF(COUNTIF('Country Summary'!$B$5:$B$200,C413)&gt;0,"Yes","")</f>
        <v/>
      </c>
      <c r="J413" s="9" t="inlineStr"/>
    </row>
    <row r="414">
      <c r="A414" s="9" t="n">
        <v>410</v>
      </c>
      <c r="B414" s="23" t="inlineStr">
        <is>
          <t>☑</t>
        </is>
      </c>
      <c r="C414" s="9" t="inlineStr">
        <is>
          <t>Sri Lanka</t>
        </is>
      </c>
      <c r="D414" s="9" t="inlineStr">
        <is>
          <t>Central</t>
        </is>
      </c>
      <c r="E414" s="9" t="inlineStr">
        <is>
          <t>Ella</t>
        </is>
      </c>
      <c r="F414" s="9" t="inlineStr">
        <is>
          <t>Ravana Falls &amp; Ravana cave, Nine Arch Bridge</t>
        </is>
      </c>
      <c r="G414" s="9" t="inlineStr">
        <is>
          <t>Nature</t>
        </is>
      </c>
      <c r="H414" s="9" t="inlineStr"/>
      <c r="I414" s="9">
        <f>IF(COUNTIF('Country Summary'!$B$5:$B$200,C414)&gt;0,"Yes","")</f>
        <v/>
      </c>
      <c r="J414" s="9" t="inlineStr"/>
    </row>
    <row r="415">
      <c r="A415" s="9" t="n">
        <v>411</v>
      </c>
      <c r="B415" s="23" t="inlineStr">
        <is>
          <t>☑</t>
        </is>
      </c>
      <c r="C415" s="9" t="inlineStr">
        <is>
          <t>Sri Lanka</t>
        </is>
      </c>
      <c r="D415" s="9" t="inlineStr">
        <is>
          <t>Uva / Southern</t>
        </is>
      </c>
      <c r="E415" s="9" t="inlineStr">
        <is>
          <t>Kataragama</t>
        </is>
      </c>
      <c r="F415" s="9" t="inlineStr">
        <is>
          <t>Kataragama (Murugan) shrine</t>
        </is>
      </c>
      <c r="G415" s="9" t="inlineStr">
        <is>
          <t>Temple</t>
        </is>
      </c>
      <c r="H415" s="9" t="inlineStr"/>
      <c r="I415" s="9">
        <f>IF(COUNTIF('Country Summary'!$B$5:$B$200,C415)&gt;0,"Yes","")</f>
        <v/>
      </c>
      <c r="J415" s="9" t="inlineStr"/>
    </row>
    <row r="416">
      <c r="A416" s="9" t="n">
        <v>412</v>
      </c>
      <c r="B416" s="23" t="inlineStr">
        <is>
          <t>☑</t>
        </is>
      </c>
      <c r="C416" s="9" t="inlineStr">
        <is>
          <t>Sri Lanka</t>
        </is>
      </c>
      <c r="D416" s="9" t="inlineStr">
        <is>
          <t>Northern</t>
        </is>
      </c>
      <c r="E416" s="9" t="inlineStr">
        <is>
          <t>Jaffna</t>
        </is>
      </c>
      <c r="F416" s="9" t="inlineStr">
        <is>
          <t>Nallur Kandaswamy Kovil, Nagadeepa</t>
        </is>
      </c>
      <c r="G416" s="9" t="inlineStr">
        <is>
          <t>Temple</t>
        </is>
      </c>
      <c r="H416" s="9" t="inlineStr"/>
      <c r="I416" s="9">
        <f>IF(COUNTIF('Country Summary'!$B$5:$B$200,C416)&gt;0,"Yes","")</f>
        <v/>
      </c>
      <c r="J416" s="9" t="inlineStr"/>
    </row>
    <row r="417">
      <c r="A417" s="9" t="n">
        <v>413</v>
      </c>
      <c r="B417" s="23" t="inlineStr">
        <is>
          <t>☑</t>
        </is>
      </c>
      <c r="C417" s="9" t="inlineStr">
        <is>
          <t>Sri Lanka</t>
        </is>
      </c>
      <c r="D417" s="9" t="inlineStr">
        <is>
          <t>Northern</t>
        </is>
      </c>
      <c r="E417" s="9" t="inlineStr">
        <is>
          <t>Jaffna / Mannar</t>
        </is>
      </c>
      <c r="F417" s="9" t="inlineStr">
        <is>
          <t>Nilavarai well, Keerimalai, Naguleswaram, Thiruketheeswaram, Rama Setu view</t>
        </is>
      </c>
      <c r="G417" s="9" t="inlineStr">
        <is>
          <t>Temple</t>
        </is>
      </c>
      <c r="H417" s="9" t="inlineStr"/>
      <c r="I417" s="9">
        <f>IF(COUNTIF('Country Summary'!$B$5:$B$200,C417)&gt;0,"Yes","")</f>
        <v/>
      </c>
      <c r="J417" s="9" t="inlineStr"/>
    </row>
    <row r="418">
      <c r="A418" s="9" t="n">
        <v>414</v>
      </c>
      <c r="B418" s="23" t="inlineStr">
        <is>
          <t>☑</t>
        </is>
      </c>
      <c r="C418" s="9" t="inlineStr">
        <is>
          <t>Sri Lanka</t>
        </is>
      </c>
      <c r="D418" s="9" t="inlineStr">
        <is>
          <t>Central</t>
        </is>
      </c>
      <c r="E418" s="9" t="inlineStr">
        <is>
          <t>Ramboda</t>
        </is>
      </c>
      <c r="F418" s="9" t="inlineStr">
        <is>
          <t>Ramboda Hanuman temple &amp; falls</t>
        </is>
      </c>
      <c r="G418" s="9" t="inlineStr">
        <is>
          <t>Temple</t>
        </is>
      </c>
      <c r="H418" s="9" t="inlineStr"/>
      <c r="I418" s="9">
        <f>IF(COUNTIF('Country Summary'!$B$5:$B$200,C418)&gt;0,"Yes","")</f>
        <v/>
      </c>
      <c r="J418" s="9" t="inlineStr"/>
    </row>
    <row r="419">
      <c r="A419" s="9" t="n">
        <v>415</v>
      </c>
      <c r="B419" s="23" t="inlineStr">
        <is>
          <t>☑</t>
        </is>
      </c>
      <c r="C419" s="9" t="inlineStr">
        <is>
          <t>Sri Lanka</t>
        </is>
      </c>
      <c r="D419" s="9" t="inlineStr">
        <is>
          <t>Eastern</t>
        </is>
      </c>
      <c r="E419" s="9" t="inlineStr">
        <is>
          <t>Trincomalee</t>
        </is>
      </c>
      <c r="F419" s="9" t="inlineStr">
        <is>
          <t>Koneswaram (Thirukoneswaram) &amp; Shankari Devi; Kanniya hot wells</t>
        </is>
      </c>
      <c r="G419" s="9" t="inlineStr">
        <is>
          <t>Temple</t>
        </is>
      </c>
      <c r="H419" s="9" t="inlineStr"/>
      <c r="I419" s="9">
        <f>IF(COUNTIF('Country Summary'!$B$5:$B$200,C419)&gt;0,"Yes","")</f>
        <v/>
      </c>
      <c r="J419" s="9" t="inlineStr"/>
    </row>
    <row r="420">
      <c r="A420" s="9" t="n">
        <v>416</v>
      </c>
      <c r="B420" s="23" t="inlineStr">
        <is>
          <t>☑</t>
        </is>
      </c>
      <c r="C420" s="9" t="inlineStr">
        <is>
          <t>Sri Lanka</t>
        </is>
      </c>
      <c r="D420" s="9" t="inlineStr">
        <is>
          <t>North Western</t>
        </is>
      </c>
      <c r="E420" s="9" t="inlineStr">
        <is>
          <t>Chilaw</t>
        </is>
      </c>
      <c r="F420" s="9" t="inlineStr">
        <is>
          <t>Munneswaram &amp; Manavari (first Shiva linga by Rama)</t>
        </is>
      </c>
      <c r="G420" s="9" t="inlineStr">
        <is>
          <t>Temple</t>
        </is>
      </c>
      <c r="H420" s="9" t="inlineStr"/>
      <c r="I420" s="9">
        <f>IF(COUNTIF('Country Summary'!$B$5:$B$200,C420)&gt;0,"Yes","")</f>
        <v/>
      </c>
      <c r="J420" s="9" t="inlineStr"/>
    </row>
    <row r="421">
      <c r="A421" s="9" t="n">
        <v>417</v>
      </c>
      <c r="B421" s="23" t="inlineStr">
        <is>
          <t>☑</t>
        </is>
      </c>
      <c r="C421" s="9" t="inlineStr">
        <is>
          <t>Sri Lanka</t>
        </is>
      </c>
      <c r="D421" s="9" t="inlineStr">
        <is>
          <t>Western</t>
        </is>
      </c>
      <c r="E421" s="9" t="inlineStr">
        <is>
          <t>Rumassala / Unawatuna</t>
        </is>
      </c>
      <c r="F421" s="9" t="inlineStr">
        <is>
          <t>Rumassala (Sanjeevani hill), Galle Fort - UNESCO</t>
        </is>
      </c>
      <c r="G421" s="9" t="inlineStr">
        <is>
          <t>UNESCO</t>
        </is>
      </c>
      <c r="H421" s="9" t="inlineStr"/>
      <c r="I421" s="9">
        <f>IF(COUNTIF('Country Summary'!$B$5:$B$200,C421)&gt;0,"Yes","")</f>
        <v/>
      </c>
      <c r="J421" s="9" t="inlineStr"/>
    </row>
    <row r="422">
      <c r="A422" s="9" t="n">
        <v>418</v>
      </c>
      <c r="B422" s="23" t="inlineStr">
        <is>
          <t>☑</t>
        </is>
      </c>
      <c r="C422" s="9" t="inlineStr">
        <is>
          <t>Sri Lanka</t>
        </is>
      </c>
      <c r="D422" s="9" t="inlineStr">
        <is>
          <t>Anuradhapura</t>
        </is>
      </c>
      <c r="E422" s="9" t="inlineStr">
        <is>
          <t>Anuradhapura / Polonnaruwa</t>
        </is>
      </c>
      <c r="F422" s="9" t="inlineStr">
        <is>
          <t>Sacred city - UNESCO; Jaya Sri Maha Bodhi</t>
        </is>
      </c>
      <c r="G422" s="9" t="inlineStr">
        <is>
          <t>UNESCO</t>
        </is>
      </c>
      <c r="H422" s="9" t="inlineStr"/>
      <c r="I422" s="9">
        <f>IF(COUNTIF('Country Summary'!$B$5:$B$200,C422)&gt;0,"Yes","")</f>
        <v/>
      </c>
      <c r="J422" s="9" t="inlineStr"/>
    </row>
    <row r="423">
      <c r="A423" s="9" t="n">
        <v>419</v>
      </c>
      <c r="B423" s="23" t="inlineStr">
        <is>
          <t>☑</t>
        </is>
      </c>
      <c r="C423" s="9" t="inlineStr">
        <is>
          <t>Sri Lanka</t>
        </is>
      </c>
      <c r="D423" s="9" t="inlineStr">
        <is>
          <t>Southern</t>
        </is>
      </c>
      <c r="E423" s="9" t="inlineStr">
        <is>
          <t>Ussangoda / Dondra</t>
        </is>
      </c>
      <c r="F423" s="9" t="inlineStr">
        <is>
          <t>Ussangoda (Hanuman burnt land), Dondra Vishnu devale</t>
        </is>
      </c>
      <c r="G423" s="9" t="inlineStr">
        <is>
          <t>Temple</t>
        </is>
      </c>
      <c r="H423" s="9" t="inlineStr"/>
      <c r="I423" s="9">
        <f>IF(COUNTIF('Country Summary'!$B$5:$B$200,C423)&gt;0,"Yes","")</f>
        <v/>
      </c>
      <c r="J423" s="9" t="inlineStr"/>
    </row>
    <row r="424">
      <c r="A424" s="9" t="n">
        <v>420</v>
      </c>
      <c r="B424" s="23" t="inlineStr">
        <is>
          <t>☐</t>
        </is>
      </c>
      <c r="C424" s="9" t="inlineStr">
        <is>
          <t>Sri Lanka</t>
        </is>
      </c>
      <c r="D424" s="9" t="inlineStr">
        <is>
          <t>Central</t>
        </is>
      </c>
      <c r="E424" s="9" t="inlineStr">
        <is>
          <t>Kandy / Nuwara Eliya</t>
        </is>
      </c>
      <c r="F424" s="9" t="inlineStr">
        <is>
          <t>Kandy-Ella scenic train, Peradeniya gardens, Gregory lake, tea factory</t>
        </is>
      </c>
      <c r="G424" s="9" t="inlineStr">
        <is>
          <t>Nature</t>
        </is>
      </c>
      <c r="H424" s="9" t="inlineStr"/>
      <c r="I424" s="9">
        <f>IF(COUNTIF('Country Summary'!$B$5:$B$200,C424)&gt;0,"Yes","")</f>
        <v/>
      </c>
      <c r="J424" s="9" t="inlineStr"/>
    </row>
    <row r="425">
      <c r="A425" s="9" t="n">
        <v>421</v>
      </c>
      <c r="B425" s="23" t="inlineStr">
        <is>
          <t>☐</t>
        </is>
      </c>
      <c r="C425" s="9" t="inlineStr">
        <is>
          <t>Sri Lanka</t>
        </is>
      </c>
      <c r="D425" s="9" t="inlineStr">
        <is>
          <t>Southern</t>
        </is>
      </c>
      <c r="E425" s="9" t="inlineStr">
        <is>
          <t>Mirissa / Bentota / Yala</t>
        </is>
      </c>
      <c r="F425" s="9" t="inlineStr">
        <is>
          <t>Whale watching, turtle hatchery, Yala leopard safari</t>
        </is>
      </c>
      <c r="G425" s="9" t="inlineStr">
        <is>
          <t>Wildlife</t>
        </is>
      </c>
      <c r="H425" s="9" t="inlineStr"/>
      <c r="I425" s="9">
        <f>IF(COUNTIF('Country Summary'!$B$5:$B$200,C425)&gt;0,"Yes","")</f>
        <v/>
      </c>
      <c r="J425" s="9" t="inlineStr"/>
    </row>
    <row r="426">
      <c r="A426" s="9" t="n">
        <v>422</v>
      </c>
      <c r="B426" s="23" t="inlineStr">
        <is>
          <t>☐</t>
        </is>
      </c>
      <c r="C426" s="9" t="inlineStr">
        <is>
          <t>Sri Lanka</t>
        </is>
      </c>
      <c r="D426" s="9" t="inlineStr">
        <is>
          <t>Central</t>
        </is>
      </c>
      <c r="E426" s="9" t="inlineStr">
        <is>
          <t>Pinnawala / Minneriya</t>
        </is>
      </c>
      <c r="F426" s="9" t="inlineStr">
        <is>
          <t>Elephant orphanage; Minneriya elephant gathering (Aug-Sep)</t>
        </is>
      </c>
      <c r="G426" s="9" t="inlineStr">
        <is>
          <t>Wildlife</t>
        </is>
      </c>
      <c r="H426" s="9" t="inlineStr"/>
      <c r="I426" s="9">
        <f>IF(COUNTIF('Country Summary'!$B$5:$B$200,C426)&gt;0,"Yes","")</f>
        <v/>
      </c>
      <c r="J426" s="9" t="inlineStr"/>
    </row>
    <row r="427">
      <c r="A427" s="9" t="n">
        <v>423</v>
      </c>
      <c r="B427" s="23" t="inlineStr">
        <is>
          <t>☑</t>
        </is>
      </c>
      <c r="C427" s="9" t="inlineStr">
        <is>
          <t>Cambodia</t>
        </is>
      </c>
      <c r="D427" s="9" t="inlineStr">
        <is>
          <t>Siem Reap</t>
        </is>
      </c>
      <c r="E427" s="9" t="inlineStr">
        <is>
          <t>Siem Reap</t>
        </is>
      </c>
      <c r="F427" s="9" t="inlineStr">
        <is>
          <t>Angkor Wat (Vishnu temple) - UNESCO</t>
        </is>
      </c>
      <c r="G427" s="9" t="inlineStr">
        <is>
          <t>UNESCO</t>
        </is>
      </c>
      <c r="H427" s="9" t="inlineStr"/>
      <c r="I427" s="9">
        <f>IF(COUNTIF('Country Summary'!$B$5:$B$200,C427)&gt;0,"Yes","")</f>
        <v/>
      </c>
      <c r="J427" s="9" t="inlineStr"/>
    </row>
    <row r="428">
      <c r="A428" s="9" t="n">
        <v>424</v>
      </c>
      <c r="B428" s="23" t="inlineStr">
        <is>
          <t>☑</t>
        </is>
      </c>
      <c r="C428" s="9" t="inlineStr">
        <is>
          <t>Cambodia</t>
        </is>
      </c>
      <c r="D428" s="9" t="inlineStr">
        <is>
          <t>Siem Reap</t>
        </is>
      </c>
      <c r="E428" s="9" t="inlineStr">
        <is>
          <t>Siem Reap</t>
        </is>
      </c>
      <c r="F428" s="9" t="inlineStr">
        <is>
          <t>Angkor Thom - Bayon, Ta Prohm, Banteay Srei</t>
        </is>
      </c>
      <c r="G428" s="9" t="inlineStr">
        <is>
          <t>UNESCO</t>
        </is>
      </c>
      <c r="H428" s="9" t="inlineStr"/>
      <c r="I428" s="9">
        <f>IF(COUNTIF('Country Summary'!$B$5:$B$200,C428)&gt;0,"Yes","")</f>
        <v/>
      </c>
      <c r="J428" s="9" t="inlineStr"/>
    </row>
    <row r="429">
      <c r="A429" s="9" t="n">
        <v>425</v>
      </c>
      <c r="B429" s="23" t="inlineStr">
        <is>
          <t>☐</t>
        </is>
      </c>
      <c r="C429" s="9" t="inlineStr">
        <is>
          <t>Cambodia</t>
        </is>
      </c>
      <c r="D429" s="9" t="inlineStr">
        <is>
          <t>Siem Reap</t>
        </is>
      </c>
      <c r="E429" s="9" t="inlineStr">
        <is>
          <t>Tonle Sap</t>
        </is>
      </c>
      <c r="F429" s="9" t="inlineStr">
        <is>
          <t>Floating villages</t>
        </is>
      </c>
      <c r="G429" s="9" t="inlineStr">
        <is>
          <t>Nature</t>
        </is>
      </c>
      <c r="H429" s="9" t="inlineStr"/>
      <c r="I429" s="9">
        <f>IF(COUNTIF('Country Summary'!$B$5:$B$200,C429)&gt;0,"Yes","")</f>
        <v/>
      </c>
      <c r="J429" s="9" t="inlineStr"/>
    </row>
    <row r="430">
      <c r="A430" s="9" t="n">
        <v>426</v>
      </c>
      <c r="B430" s="23" t="inlineStr">
        <is>
          <t>☐</t>
        </is>
      </c>
      <c r="C430" s="9" t="inlineStr">
        <is>
          <t>Cambodia</t>
        </is>
      </c>
      <c r="D430" s="9" t="inlineStr">
        <is>
          <t>Phnom Penh</t>
        </is>
      </c>
      <c r="E430" s="9" t="inlineStr">
        <is>
          <t>Phnom Penh</t>
        </is>
      </c>
      <c r="F430" s="9" t="inlineStr">
        <is>
          <t>Royal Palace, Silver Pagoda, National Museum</t>
        </is>
      </c>
      <c r="G430" s="9" t="inlineStr">
        <is>
          <t>Monument</t>
        </is>
      </c>
      <c r="H430" s="9" t="inlineStr"/>
      <c r="I430" s="9">
        <f>IF(COUNTIF('Country Summary'!$B$5:$B$200,C430)&gt;0,"Yes","")</f>
        <v/>
      </c>
      <c r="J430" s="9" t="inlineStr"/>
    </row>
    <row r="431">
      <c r="A431" s="9" t="n">
        <v>427</v>
      </c>
      <c r="B431" s="23" t="inlineStr">
        <is>
          <t>☐</t>
        </is>
      </c>
      <c r="C431" s="9" t="inlineStr">
        <is>
          <t>Cambodia</t>
        </is>
      </c>
      <c r="D431" s="9" t="inlineStr">
        <is>
          <t>Preah Vihear</t>
        </is>
      </c>
      <c r="E431" s="9" t="inlineStr">
        <is>
          <t>Preah Vihear</t>
        </is>
      </c>
      <c r="F431" s="9" t="inlineStr">
        <is>
          <t>Preah Vihear (Shiva temple) - UNESCO</t>
        </is>
      </c>
      <c r="G431" s="9" t="inlineStr">
        <is>
          <t>UNESCO</t>
        </is>
      </c>
      <c r="H431" s="9" t="inlineStr"/>
      <c r="I431" s="9">
        <f>IF(COUNTIF('Country Summary'!$B$5:$B$200,C431)&gt;0,"Yes","")</f>
        <v/>
      </c>
      <c r="J431" s="9" t="inlineStr"/>
    </row>
    <row r="432">
      <c r="A432" s="9" t="n">
        <v>428</v>
      </c>
      <c r="B432" s="23" t="inlineStr">
        <is>
          <t>☐</t>
        </is>
      </c>
      <c r="C432" s="9" t="inlineStr">
        <is>
          <t>Cambodia</t>
        </is>
      </c>
      <c r="D432" s="9" t="inlineStr">
        <is>
          <t>Kampong Thom</t>
        </is>
      </c>
      <c r="E432" s="9" t="inlineStr">
        <is>
          <t>Sambor Prei Kuk</t>
        </is>
      </c>
      <c r="F432" s="9" t="inlineStr">
        <is>
          <t>Pre-Angkor temples - UNESCO</t>
        </is>
      </c>
      <c r="G432" s="9" t="inlineStr">
        <is>
          <t>UNESCO</t>
        </is>
      </c>
      <c r="H432" s="9" t="inlineStr"/>
      <c r="I432" s="9">
        <f>IF(COUNTIF('Country Summary'!$B$5:$B$200,C432)&gt;0,"Yes","")</f>
        <v/>
      </c>
      <c r="J432" s="9" t="inlineStr"/>
    </row>
    <row r="433">
      <c r="A433" s="9" t="n">
        <v>429</v>
      </c>
      <c r="B433" s="23" t="inlineStr">
        <is>
          <t>☐</t>
        </is>
      </c>
      <c r="C433" s="9" t="inlineStr">
        <is>
          <t>Cambodia</t>
        </is>
      </c>
      <c r="D433" s="9" t="inlineStr">
        <is>
          <t>Siem Reap</t>
        </is>
      </c>
      <c r="E433" s="9" t="inlineStr">
        <is>
          <t>Siem Reap</t>
        </is>
      </c>
      <c r="F433" s="9" t="inlineStr">
        <is>
          <t>Angkor sunrise, Phare circus, Pub Street, Apsara dance</t>
        </is>
      </c>
      <c r="G433" s="9" t="inlineStr">
        <is>
          <t>Sightseeing</t>
        </is>
      </c>
      <c r="H433" s="9" t="inlineStr"/>
      <c r="I433" s="9">
        <f>IF(COUNTIF('Country Summary'!$B$5:$B$200,C433)&gt;0,"Yes","")</f>
        <v/>
      </c>
      <c r="J433" s="9" t="inlineStr"/>
    </row>
    <row r="434">
      <c r="A434" s="9" t="n">
        <v>430</v>
      </c>
      <c r="B434" s="23" t="inlineStr">
        <is>
          <t>☐</t>
        </is>
      </c>
      <c r="C434" s="9" t="inlineStr">
        <is>
          <t>Thailand</t>
        </is>
      </c>
      <c r="D434" s="9" t="inlineStr">
        <is>
          <t>Bangkok</t>
        </is>
      </c>
      <c r="E434" s="9" t="inlineStr">
        <is>
          <t>Bangkok</t>
        </is>
      </c>
      <c r="F434" s="9" t="inlineStr">
        <is>
          <t>Grand Palace &amp; Wat Phra Kaew (Emerald Buddha; Ramakien murals)</t>
        </is>
      </c>
      <c r="G434" s="9" t="inlineStr">
        <is>
          <t>Monument</t>
        </is>
      </c>
      <c r="H434" s="9" t="inlineStr"/>
      <c r="I434" s="9">
        <f>IF(COUNTIF('Country Summary'!$B$5:$B$200,C434)&gt;0,"Yes","")</f>
        <v/>
      </c>
      <c r="J434" s="9" t="inlineStr"/>
    </row>
    <row r="435">
      <c r="A435" s="9" t="n">
        <v>431</v>
      </c>
      <c r="B435" s="23" t="inlineStr">
        <is>
          <t>☐</t>
        </is>
      </c>
      <c r="C435" s="9" t="inlineStr">
        <is>
          <t>Thailand</t>
        </is>
      </c>
      <c r="D435" s="9" t="inlineStr">
        <is>
          <t>Bangkok</t>
        </is>
      </c>
      <c r="E435" s="9" t="inlineStr">
        <is>
          <t>Bangkok</t>
        </is>
      </c>
      <c r="F435" s="9" t="inlineStr">
        <is>
          <t>Wat Arun, Wat Pho (Reclining Buddha), Chao Phraya cruise</t>
        </is>
      </c>
      <c r="G435" s="9" t="inlineStr">
        <is>
          <t>Monument</t>
        </is>
      </c>
      <c r="H435" s="9" t="inlineStr"/>
      <c r="I435" s="9">
        <f>IF(COUNTIF('Country Summary'!$B$5:$B$200,C435)&gt;0,"Yes","")</f>
        <v/>
      </c>
      <c r="J435" s="9" t="inlineStr"/>
    </row>
    <row r="436">
      <c r="A436" s="9" t="n">
        <v>432</v>
      </c>
      <c r="B436" s="23" t="inlineStr">
        <is>
          <t>☐</t>
        </is>
      </c>
      <c r="C436" s="9" t="inlineStr">
        <is>
          <t>Thailand</t>
        </is>
      </c>
      <c r="D436" s="9" t="inlineStr">
        <is>
          <t>Bangkok</t>
        </is>
      </c>
      <c r="E436" s="9" t="inlineStr">
        <is>
          <t>Bangkok</t>
        </is>
      </c>
      <c r="F436" s="9" t="inlineStr">
        <is>
          <t>ISKCON Bangkok; Erawan (Brahma) shrine; Trimurti shrine; Sri Maha Mariamman</t>
        </is>
      </c>
      <c r="G436" s="9" t="inlineStr">
        <is>
          <t>Temple</t>
        </is>
      </c>
      <c r="H436" s="9" t="inlineStr"/>
      <c r="I436" s="9">
        <f>IF(COUNTIF('Country Summary'!$B$5:$B$200,C436)&gt;0,"Yes","")</f>
        <v/>
      </c>
      <c r="J436" s="9" t="inlineStr"/>
    </row>
    <row r="437">
      <c r="A437" s="9" t="n">
        <v>433</v>
      </c>
      <c r="B437" s="23" t="inlineStr">
        <is>
          <t>☐</t>
        </is>
      </c>
      <c r="C437" s="9" t="inlineStr">
        <is>
          <t>Thailand</t>
        </is>
      </c>
      <c r="D437" s="9" t="inlineStr">
        <is>
          <t>Bangkok</t>
        </is>
      </c>
      <c r="E437" s="9" t="inlineStr">
        <is>
          <t>Bangkok</t>
        </is>
      </c>
      <c r="F437" s="9" t="inlineStr">
        <is>
          <t>Chatuchak market, Asiatique, Icon Siam</t>
        </is>
      </c>
      <c r="G437" s="9" t="inlineStr">
        <is>
          <t>Modern</t>
        </is>
      </c>
      <c r="H437" s="9" t="inlineStr"/>
      <c r="I437" s="9">
        <f>IF(COUNTIF('Country Summary'!$B$5:$B$200,C437)&gt;0,"Yes","")</f>
        <v/>
      </c>
      <c r="J437" s="9" t="inlineStr"/>
    </row>
    <row r="438">
      <c r="A438" s="9" t="n">
        <v>434</v>
      </c>
      <c r="B438" s="23" t="inlineStr">
        <is>
          <t>☐</t>
        </is>
      </c>
      <c r="C438" s="9" t="inlineStr">
        <is>
          <t>Thailand</t>
        </is>
      </c>
      <c r="D438" s="9" t="inlineStr">
        <is>
          <t>Ayutthaya</t>
        </is>
      </c>
      <c r="E438" s="9" t="inlineStr">
        <is>
          <t>Ayutthaya</t>
        </is>
      </c>
      <c r="F438" s="9" t="inlineStr">
        <is>
          <t>Ayutthaya historical park - UNESCO</t>
        </is>
      </c>
      <c r="G438" s="9" t="inlineStr">
        <is>
          <t>UNESCO</t>
        </is>
      </c>
      <c r="H438" s="9" t="inlineStr"/>
      <c r="I438" s="9">
        <f>IF(COUNTIF('Country Summary'!$B$5:$B$200,C438)&gt;0,"Yes","")</f>
        <v/>
      </c>
      <c r="J438" s="9" t="inlineStr"/>
    </row>
    <row r="439">
      <c r="A439" s="9" t="n">
        <v>435</v>
      </c>
      <c r="B439" s="23" t="inlineStr">
        <is>
          <t>☐</t>
        </is>
      </c>
      <c r="C439" s="9" t="inlineStr">
        <is>
          <t>Thailand</t>
        </is>
      </c>
      <c r="D439" s="9" t="inlineStr">
        <is>
          <t>Sukhothai</t>
        </is>
      </c>
      <c r="E439" s="9" t="inlineStr">
        <is>
          <t>Sukhothai</t>
        </is>
      </c>
      <c r="F439" s="9" t="inlineStr">
        <is>
          <t>Sukhothai - UNESCO</t>
        </is>
      </c>
      <c r="G439" s="9" t="inlineStr">
        <is>
          <t>UNESCO</t>
        </is>
      </c>
      <c r="H439" s="9" t="inlineStr"/>
      <c r="I439" s="9">
        <f>IF(COUNTIF('Country Summary'!$B$5:$B$200,C439)&gt;0,"Yes","")</f>
        <v/>
      </c>
      <c r="J439" s="9" t="inlineStr"/>
    </row>
    <row r="440">
      <c r="A440" s="9" t="n">
        <v>436</v>
      </c>
      <c r="B440" s="23" t="inlineStr">
        <is>
          <t>☐</t>
        </is>
      </c>
      <c r="C440" s="9" t="inlineStr">
        <is>
          <t>Thailand</t>
        </is>
      </c>
      <c r="D440" s="9" t="inlineStr">
        <is>
          <t>Chiang Mai</t>
        </is>
      </c>
      <c r="E440" s="9" t="inlineStr">
        <is>
          <t>Chiang Mai</t>
        </is>
      </c>
      <c r="F440" s="9" t="inlineStr">
        <is>
          <t>Doi Suthep, Old City temples; Yi Peng lanterns (Nov)</t>
        </is>
      </c>
      <c r="G440" s="9" t="inlineStr">
        <is>
          <t>Temple</t>
        </is>
      </c>
      <c r="H440" s="9" t="inlineStr"/>
      <c r="I440" s="9">
        <f>IF(COUNTIF('Country Summary'!$B$5:$B$200,C440)&gt;0,"Yes","")</f>
        <v/>
      </c>
      <c r="J440" s="9" t="inlineStr"/>
    </row>
    <row r="441">
      <c r="A441" s="9" t="n">
        <v>437</v>
      </c>
      <c r="B441" s="23" t="inlineStr">
        <is>
          <t>☐</t>
        </is>
      </c>
      <c r="C441" s="9" t="inlineStr">
        <is>
          <t>Thailand</t>
        </is>
      </c>
      <c r="D441" s="9" t="inlineStr">
        <is>
          <t>Chonburi</t>
        </is>
      </c>
      <c r="E441" s="9" t="inlineStr">
        <is>
          <t>Pattaya</t>
        </is>
      </c>
      <c r="F441" s="9" t="inlineStr">
        <is>
          <t>Sanctuary of Truth, Nong Nooch</t>
        </is>
      </c>
      <c r="G441" s="9" t="inlineStr">
        <is>
          <t>Modern</t>
        </is>
      </c>
      <c r="H441" s="9" t="inlineStr"/>
      <c r="I441" s="9">
        <f>IF(COUNTIF('Country Summary'!$B$5:$B$200,C441)&gt;0,"Yes","")</f>
        <v/>
      </c>
      <c r="J441" s="9" t="inlineStr"/>
    </row>
    <row r="442">
      <c r="A442" s="9" t="n">
        <v>438</v>
      </c>
      <c r="B442" s="23" t="inlineStr">
        <is>
          <t>☐</t>
        </is>
      </c>
      <c r="C442" s="9" t="inlineStr">
        <is>
          <t>Thailand</t>
        </is>
      </c>
      <c r="D442" s="9" t="inlineStr">
        <is>
          <t>Phuket / Krabi</t>
        </is>
      </c>
      <c r="E442" s="9" t="inlineStr">
        <is>
          <t>Phuket</t>
        </is>
      </c>
      <c r="F442" s="9" t="inlineStr">
        <is>
          <t>Big Buddha, Phi Phi islands</t>
        </is>
      </c>
      <c r="G442" s="9" t="inlineStr">
        <is>
          <t>Nature</t>
        </is>
      </c>
      <c r="H442" s="9" t="inlineStr"/>
      <c r="I442" s="9">
        <f>IF(COUNTIF('Country Summary'!$B$5:$B$200,C442)&gt;0,"Yes","")</f>
        <v/>
      </c>
      <c r="J442" s="9" t="inlineStr"/>
    </row>
    <row r="443">
      <c r="A443" s="9" t="n">
        <v>439</v>
      </c>
      <c r="B443" s="23" t="inlineStr">
        <is>
          <t>☐</t>
        </is>
      </c>
      <c r="C443" s="9" t="inlineStr">
        <is>
          <t>Thailand</t>
        </is>
      </c>
      <c r="D443" s="9" t="inlineStr">
        <is>
          <t>Nakhon Ratchasima / Buriram</t>
        </is>
      </c>
      <c r="E443" s="9" t="inlineStr">
        <is>
          <t>Phimai / Phanom Rung</t>
        </is>
      </c>
      <c r="F443" s="9" t="inlineStr">
        <is>
          <t>Khmer Hindu temples (Vishnu, Shiva)</t>
        </is>
      </c>
      <c r="G443" s="9" t="inlineStr">
        <is>
          <t>Temple</t>
        </is>
      </c>
      <c r="H443" s="9" t="inlineStr"/>
      <c r="I443" s="9">
        <f>IF(COUNTIF('Country Summary'!$B$5:$B$200,C443)&gt;0,"Yes","")</f>
        <v/>
      </c>
      <c r="J443" s="9" t="inlineStr"/>
    </row>
    <row r="444">
      <c r="A444" s="9" t="n">
        <v>440</v>
      </c>
      <c r="B444" s="23" t="inlineStr">
        <is>
          <t>☐</t>
        </is>
      </c>
      <c r="C444" s="9" t="inlineStr">
        <is>
          <t>Thailand</t>
        </is>
      </c>
      <c r="D444" s="9" t="inlineStr">
        <is>
          <t>Bangkok</t>
        </is>
      </c>
      <c r="E444" s="9" t="inlineStr">
        <is>
          <t>Bangkok</t>
        </is>
      </c>
      <c r="F444" s="9" t="inlineStr">
        <is>
          <t>Damnoen Saduak floating market, Maeklong railway market, Safari World, Siam Paragon, Khao San Road</t>
        </is>
      </c>
      <c r="G444" s="9" t="inlineStr">
        <is>
          <t>Sightseeing</t>
        </is>
      </c>
      <c r="H444" s="9" t="inlineStr"/>
      <c r="I444" s="9">
        <f>IF(COUNTIF('Country Summary'!$B$5:$B$200,C444)&gt;0,"Yes","")</f>
        <v/>
      </c>
      <c r="J444" s="9" t="inlineStr"/>
    </row>
    <row r="445">
      <c r="A445" s="9" t="n">
        <v>441</v>
      </c>
      <c r="B445" s="23" t="inlineStr">
        <is>
          <t>☐</t>
        </is>
      </c>
      <c r="C445" s="9" t="inlineStr">
        <is>
          <t>Thailand</t>
        </is>
      </c>
      <c r="D445" s="9" t="inlineStr">
        <is>
          <t>Chonburi / Phuket</t>
        </is>
      </c>
      <c r="E445" s="9" t="inlineStr">
        <is>
          <t>Pattaya / Phuket</t>
        </is>
      </c>
      <c r="F445" s="9" t="inlineStr">
        <is>
          <t>Coral Island, Alcazar show, Phi Phi, James Bond island, Phang Nga</t>
        </is>
      </c>
      <c r="G445" s="9" t="inlineStr">
        <is>
          <t>Beach</t>
        </is>
      </c>
      <c r="H445" s="9" t="inlineStr"/>
      <c r="I445" s="9">
        <f>IF(COUNTIF('Country Summary'!$B$5:$B$200,C445)&gt;0,"Yes","")</f>
        <v/>
      </c>
      <c r="J445" s="9" t="inlineStr"/>
    </row>
    <row r="446">
      <c r="A446" s="9" t="n">
        <v>442</v>
      </c>
      <c r="B446" s="23" t="inlineStr">
        <is>
          <t>☐</t>
        </is>
      </c>
      <c r="C446" s="9" t="inlineStr">
        <is>
          <t>Thailand</t>
        </is>
      </c>
      <c r="D446" s="9" t="inlineStr">
        <is>
          <t>Krabi</t>
        </is>
      </c>
      <c r="E446" s="9" t="inlineStr">
        <is>
          <t>Krabi</t>
        </is>
      </c>
      <c r="F446" s="9" t="inlineStr">
        <is>
          <t>Railay beach, 4-island tour, Tiger Cave temple</t>
        </is>
      </c>
      <c r="G446" s="9" t="inlineStr">
        <is>
          <t>Beach</t>
        </is>
      </c>
      <c r="H446" s="9" t="inlineStr"/>
      <c r="I446" s="9">
        <f>IF(COUNTIF('Country Summary'!$B$5:$B$200,C446)&gt;0,"Yes","")</f>
        <v/>
      </c>
      <c r="J446" s="9" t="inlineStr"/>
    </row>
    <row r="447">
      <c r="A447" s="9" t="n">
        <v>443</v>
      </c>
      <c r="B447" s="23" t="inlineStr">
        <is>
          <t>☐</t>
        </is>
      </c>
      <c r="C447" s="9" t="inlineStr">
        <is>
          <t>Thailand</t>
        </is>
      </c>
      <c r="D447" s="9" t="inlineStr">
        <is>
          <t>Chiang Mai</t>
        </is>
      </c>
      <c r="E447" s="9" t="inlineStr">
        <is>
          <t>Chiang Mai / Chiang Rai</t>
        </is>
      </c>
      <c r="F447" s="9" t="inlineStr">
        <is>
          <t>Elephant sanctuary, White Temple, Night Bazaar</t>
        </is>
      </c>
      <c r="G447" s="9" t="inlineStr">
        <is>
          <t>Sightseeing</t>
        </is>
      </c>
      <c r="H447" s="9" t="inlineStr"/>
      <c r="I447" s="9">
        <f>IF(COUNTIF('Country Summary'!$B$5:$B$200,C447)&gt;0,"Yes","")</f>
        <v/>
      </c>
      <c r="J447" s="9" t="inlineStr"/>
    </row>
    <row r="448">
      <c r="A448" s="9" t="n">
        <v>444</v>
      </c>
      <c r="B448" s="23" t="inlineStr">
        <is>
          <t>☑</t>
        </is>
      </c>
      <c r="C448" s="9" t="inlineStr">
        <is>
          <t>Nepal</t>
        </is>
      </c>
      <c r="D448" s="9" t="inlineStr">
        <is>
          <t>Bagmati</t>
        </is>
      </c>
      <c r="E448" s="9" t="inlineStr">
        <is>
          <t>Kathmandu</t>
        </is>
      </c>
      <c r="F448" s="9" t="inlineStr">
        <is>
          <t>Pashupatinath - UNESCO</t>
        </is>
      </c>
      <c r="G448" s="9" t="inlineStr">
        <is>
          <t>Temple</t>
        </is>
      </c>
      <c r="H448" s="9" t="inlineStr"/>
      <c r="I448" s="9">
        <f>IF(COUNTIF('Country Summary'!$B$5:$B$200,C448)&gt;0,"Yes","")</f>
        <v/>
      </c>
      <c r="J448" s="9" t="inlineStr"/>
    </row>
    <row r="449">
      <c r="A449" s="9" t="n">
        <v>445</v>
      </c>
      <c r="B449" s="23" t="inlineStr">
        <is>
          <t>☑</t>
        </is>
      </c>
      <c r="C449" s="9" t="inlineStr">
        <is>
          <t>Nepal</t>
        </is>
      </c>
      <c r="D449" s="9" t="inlineStr">
        <is>
          <t>Bagmati</t>
        </is>
      </c>
      <c r="E449" s="9" t="inlineStr">
        <is>
          <t>Kathmandu</t>
        </is>
      </c>
      <c r="F449" s="9" t="inlineStr">
        <is>
          <t>Budhanilkantha (sleeping Vishnu), Swayambhunath, Boudhanath - UNESCO</t>
        </is>
      </c>
      <c r="G449" s="9" t="inlineStr">
        <is>
          <t>Temple</t>
        </is>
      </c>
      <c r="H449" s="9" t="inlineStr"/>
      <c r="I449" s="9">
        <f>IF(COUNTIF('Country Summary'!$B$5:$B$200,C449)&gt;0,"Yes","")</f>
        <v/>
      </c>
      <c r="J449" s="9" t="inlineStr"/>
    </row>
    <row r="450">
      <c r="A450" s="9" t="n">
        <v>446</v>
      </c>
      <c r="B450" s="23" t="inlineStr">
        <is>
          <t>☑</t>
        </is>
      </c>
      <c r="C450" s="9" t="inlineStr">
        <is>
          <t>Nepal</t>
        </is>
      </c>
      <c r="D450" s="9" t="inlineStr">
        <is>
          <t>Bagmati</t>
        </is>
      </c>
      <c r="E450" s="9" t="inlineStr">
        <is>
          <t>Patan / Bhaktapur</t>
        </is>
      </c>
      <c r="F450" s="9" t="inlineStr">
        <is>
          <t>Krishna Mandir, Durbar Squares - UNESCO</t>
        </is>
      </c>
      <c r="G450" s="9" t="inlineStr">
        <is>
          <t>UNESCO</t>
        </is>
      </c>
      <c r="H450" s="9" t="inlineStr"/>
      <c r="I450" s="9">
        <f>IF(COUNTIF('Country Summary'!$B$5:$B$200,C450)&gt;0,"Yes","")</f>
        <v/>
      </c>
      <c r="J450" s="9" t="inlineStr"/>
    </row>
    <row r="451">
      <c r="A451" s="9" t="n">
        <v>447</v>
      </c>
      <c r="B451" s="23" t="inlineStr">
        <is>
          <t>☑</t>
        </is>
      </c>
      <c r="C451" s="9" t="inlineStr">
        <is>
          <t>Nepal</t>
        </is>
      </c>
      <c r="D451" s="9" t="inlineStr">
        <is>
          <t>Bagmati</t>
        </is>
      </c>
      <c r="E451" s="9" t="inlineStr">
        <is>
          <t>Kathmandu</t>
        </is>
      </c>
      <c r="F451" s="9" t="inlineStr">
        <is>
          <t>ISKCON Kathmandu (Budhanilkantha)</t>
        </is>
      </c>
      <c r="G451" s="9" t="inlineStr">
        <is>
          <t>ISKCON</t>
        </is>
      </c>
      <c r="H451" s="9" t="inlineStr"/>
      <c r="I451" s="9">
        <f>IF(COUNTIF('Country Summary'!$B$5:$B$200,C451)&gt;0,"Yes","")</f>
        <v/>
      </c>
      <c r="J451" s="9" t="inlineStr"/>
    </row>
    <row r="452">
      <c r="A452" s="9" t="n">
        <v>448</v>
      </c>
      <c r="B452" s="23" t="inlineStr">
        <is>
          <t>☑</t>
        </is>
      </c>
      <c r="C452" s="9" t="inlineStr">
        <is>
          <t>Nepal</t>
        </is>
      </c>
      <c r="D452" s="9" t="inlineStr">
        <is>
          <t>Bagmati</t>
        </is>
      </c>
      <c r="E452" s="9" t="inlineStr">
        <is>
          <t>Bhaktapur</t>
        </is>
      </c>
      <c r="F452" s="9" t="inlineStr">
        <is>
          <t>Changu Narayan (oldest Vishnu temple) - UNESCO</t>
        </is>
      </c>
      <c r="G452" s="9" t="inlineStr">
        <is>
          <t>Temple</t>
        </is>
      </c>
      <c r="H452" s="9" t="inlineStr"/>
      <c r="I452" s="9">
        <f>IF(COUNTIF('Country Summary'!$B$5:$B$200,C452)&gt;0,"Yes","")</f>
        <v/>
      </c>
      <c r="J452" s="9" t="inlineStr"/>
    </row>
    <row r="453">
      <c r="A453" s="9" t="n">
        <v>449</v>
      </c>
      <c r="B453" s="23" t="inlineStr">
        <is>
          <t>☑</t>
        </is>
      </c>
      <c r="C453" s="9" t="inlineStr">
        <is>
          <t>Nepal</t>
        </is>
      </c>
      <c r="D453" s="9" t="inlineStr">
        <is>
          <t>Bagmati</t>
        </is>
      </c>
      <c r="E453" s="9" t="inlineStr">
        <is>
          <t>Kathmandu</t>
        </is>
      </c>
      <c r="F453" s="9" t="inlineStr">
        <is>
          <t>Guhyeshwari Shakti peetha</t>
        </is>
      </c>
      <c r="G453" s="9" t="inlineStr">
        <is>
          <t>Temple</t>
        </is>
      </c>
      <c r="H453" s="9" t="inlineStr"/>
      <c r="I453" s="9">
        <f>IF(COUNTIF('Country Summary'!$B$5:$B$200,C453)&gt;0,"Yes","")</f>
        <v/>
      </c>
      <c r="J453" s="9" t="inlineStr"/>
    </row>
    <row r="454">
      <c r="A454" s="9" t="n">
        <v>450</v>
      </c>
      <c r="B454" s="23" t="inlineStr">
        <is>
          <t>☑</t>
        </is>
      </c>
      <c r="C454" s="9" t="inlineStr">
        <is>
          <t>Nepal</t>
        </is>
      </c>
      <c r="D454" s="9" t="inlineStr">
        <is>
          <t>Gandaki</t>
        </is>
      </c>
      <c r="E454" s="9" t="inlineStr">
        <is>
          <t>Pokhara</t>
        </is>
      </c>
      <c r="F454" s="9" t="inlineStr">
        <is>
          <t>Bindhyabasini, Tal Barahi, Devi's Fall</t>
        </is>
      </c>
      <c r="G454" s="9" t="inlineStr">
        <is>
          <t>Temple</t>
        </is>
      </c>
      <c r="H454" s="9" t="inlineStr"/>
      <c r="I454" s="9">
        <f>IF(COUNTIF('Country Summary'!$B$5:$B$200,C454)&gt;0,"Yes","")</f>
        <v/>
      </c>
      <c r="J454" s="9" t="inlineStr"/>
    </row>
    <row r="455">
      <c r="A455" s="9" t="n">
        <v>451</v>
      </c>
      <c r="B455" s="23" t="inlineStr">
        <is>
          <t>☑</t>
        </is>
      </c>
      <c r="C455" s="9" t="inlineStr">
        <is>
          <t>Nepal</t>
        </is>
      </c>
      <c r="D455" s="9" t="inlineStr">
        <is>
          <t>Gandaki</t>
        </is>
      </c>
      <c r="E455" s="9" t="inlineStr">
        <is>
          <t>Mustang</t>
        </is>
      </c>
      <c r="F455" s="9" t="inlineStr">
        <is>
          <t>Muktinath (108 water spouts, Shaligram)</t>
        </is>
      </c>
      <c r="G455" s="9" t="inlineStr">
        <is>
          <t>Temple</t>
        </is>
      </c>
      <c r="H455" s="9" t="inlineStr"/>
      <c r="I455" s="9">
        <f>IF(COUNTIF('Country Summary'!$B$5:$B$200,C455)&gt;0,"Yes","")</f>
        <v/>
      </c>
      <c r="J455" s="9" t="inlineStr"/>
    </row>
    <row r="456">
      <c r="A456" s="9" t="n">
        <v>452</v>
      </c>
      <c r="B456" s="23" t="inlineStr">
        <is>
          <t>☑</t>
        </is>
      </c>
      <c r="C456" s="9" t="inlineStr">
        <is>
          <t>Nepal</t>
        </is>
      </c>
      <c r="D456" s="9" t="inlineStr">
        <is>
          <t>Gandaki</t>
        </is>
      </c>
      <c r="E456" s="9" t="inlineStr">
        <is>
          <t>Pokhara</t>
        </is>
      </c>
      <c r="F456" s="9" t="inlineStr">
        <is>
          <t>Phewa lake, Bindhyabasini, Sarangkot sunrise</t>
        </is>
      </c>
      <c r="G456" s="9" t="inlineStr">
        <is>
          <t>Nature</t>
        </is>
      </c>
      <c r="H456" s="9" t="inlineStr"/>
      <c r="I456" s="9">
        <f>IF(COUNTIF('Country Summary'!$B$5:$B$200,C456)&gt;0,"Yes","")</f>
        <v/>
      </c>
      <c r="J456" s="9" t="inlineStr"/>
    </row>
    <row r="457">
      <c r="A457" s="9" t="n">
        <v>453</v>
      </c>
      <c r="B457" s="23" t="inlineStr">
        <is>
          <t>☑</t>
        </is>
      </c>
      <c r="C457" s="9" t="inlineStr">
        <is>
          <t>Nepal</t>
        </is>
      </c>
      <c r="D457" s="9" t="inlineStr">
        <is>
          <t>Gandaki</t>
        </is>
      </c>
      <c r="E457" s="9" t="inlineStr">
        <is>
          <t>Jomsom / Kali Gandaki</t>
        </is>
      </c>
      <c r="F457" s="9" t="inlineStr">
        <is>
          <t>Shaligram river, Kagbeni</t>
        </is>
      </c>
      <c r="G457" s="9" t="inlineStr">
        <is>
          <t>Nature</t>
        </is>
      </c>
      <c r="H457" s="9" t="inlineStr"/>
      <c r="I457" s="9">
        <f>IF(COUNTIF('Country Summary'!$B$5:$B$200,C457)&gt;0,"Yes","")</f>
        <v/>
      </c>
      <c r="J457" s="9" t="inlineStr"/>
    </row>
    <row r="458">
      <c r="A458" s="9" t="n">
        <v>454</v>
      </c>
      <c r="B458" s="23" t="inlineStr">
        <is>
          <t>☑</t>
        </is>
      </c>
      <c r="C458" s="9" t="inlineStr">
        <is>
          <t>Nepal</t>
        </is>
      </c>
      <c r="D458" s="9" t="inlineStr">
        <is>
          <t>Madhesh</t>
        </is>
      </c>
      <c r="E458" s="9" t="inlineStr">
        <is>
          <t>Janakpur</t>
        </is>
      </c>
      <c r="F458" s="9" t="inlineStr">
        <is>
          <t>Janaki Mandir (Sita's birthplace), Vivah Mandap</t>
        </is>
      </c>
      <c r="G458" s="9" t="inlineStr">
        <is>
          <t>Temple</t>
        </is>
      </c>
      <c r="H458" s="9" t="inlineStr"/>
      <c r="I458" s="9">
        <f>IF(COUNTIF('Country Summary'!$B$5:$B$200,C458)&gt;0,"Yes","")</f>
        <v/>
      </c>
      <c r="J458" s="9" t="inlineStr"/>
    </row>
    <row r="459">
      <c r="A459" s="9" t="n">
        <v>455</v>
      </c>
      <c r="B459" s="23" t="inlineStr">
        <is>
          <t>☐</t>
        </is>
      </c>
      <c r="C459" s="9" t="inlineStr">
        <is>
          <t>Nepal</t>
        </is>
      </c>
      <c r="D459" s="9" t="inlineStr">
        <is>
          <t>Lumbini</t>
        </is>
      </c>
      <c r="E459" s="9" t="inlineStr">
        <is>
          <t>Lumbini</t>
        </is>
      </c>
      <c r="F459" s="9" t="inlineStr">
        <is>
          <t>Buddha's birthplace - UNESCO</t>
        </is>
      </c>
      <c r="G459" s="9" t="inlineStr">
        <is>
          <t>UNESCO</t>
        </is>
      </c>
      <c r="H459" s="9" t="inlineStr">
        <is>
          <t>Likely</t>
        </is>
      </c>
      <c r="I459" s="9">
        <f>IF(COUNTIF('Country Summary'!$B$5:$B$200,C459)&gt;0,"Yes","")</f>
        <v/>
      </c>
      <c r="J459" s="9" t="inlineStr"/>
    </row>
    <row r="460">
      <c r="A460" s="9" t="n">
        <v>456</v>
      </c>
      <c r="B460" s="23" t="inlineStr">
        <is>
          <t>☐</t>
        </is>
      </c>
      <c r="C460" s="9" t="inlineStr">
        <is>
          <t>Nepal</t>
        </is>
      </c>
      <c r="D460" s="9" t="inlineStr">
        <is>
          <t>Koshi</t>
        </is>
      </c>
      <c r="E460" s="9" t="inlineStr">
        <is>
          <t>Barahakshetra / Pathibhara</t>
        </is>
      </c>
      <c r="F460" s="9" t="inlineStr">
        <is>
          <t>Varaha kshetra; Pathibhara Devi</t>
        </is>
      </c>
      <c r="G460" s="9" t="inlineStr">
        <is>
          <t>Temple</t>
        </is>
      </c>
      <c r="H460" s="9" t="inlineStr"/>
      <c r="I460" s="9">
        <f>IF(COUNTIF('Country Summary'!$B$5:$B$200,C460)&gt;0,"Yes","")</f>
        <v/>
      </c>
      <c r="J460" s="9" t="inlineStr"/>
    </row>
    <row r="461">
      <c r="A461" s="9" t="n">
        <v>457</v>
      </c>
      <c r="B461" s="23" t="inlineStr">
        <is>
          <t>☐</t>
        </is>
      </c>
      <c r="C461" s="9" t="inlineStr">
        <is>
          <t>Nepal</t>
        </is>
      </c>
      <c r="D461" s="9" t="inlineStr">
        <is>
          <t>Bagmati</t>
        </is>
      </c>
      <c r="E461" s="9" t="inlineStr">
        <is>
          <t>Everest region</t>
        </is>
      </c>
      <c r="F461" s="9" t="inlineStr">
        <is>
          <t>Everest base camp / Kala Patthar or mountain flight</t>
        </is>
      </c>
      <c r="G461" s="9" t="inlineStr">
        <is>
          <t>Nature</t>
        </is>
      </c>
      <c r="H461" s="9" t="inlineStr"/>
      <c r="I461" s="9">
        <f>IF(COUNTIF('Country Summary'!$B$5:$B$200,C461)&gt;0,"Yes","")</f>
        <v/>
      </c>
      <c r="J461" s="9" t="inlineStr"/>
    </row>
    <row r="462">
      <c r="A462" s="9" t="n">
        <v>458</v>
      </c>
      <c r="B462" s="23" t="inlineStr">
        <is>
          <t>☑</t>
        </is>
      </c>
      <c r="C462" s="9" t="inlineStr">
        <is>
          <t>Nepal</t>
        </is>
      </c>
      <c r="D462" s="9" t="inlineStr">
        <is>
          <t>Bagmati</t>
        </is>
      </c>
      <c r="E462" s="9" t="inlineStr">
        <is>
          <t>Chitwan (Bharatpur)</t>
        </is>
      </c>
      <c r="F462" s="9" t="inlineStr">
        <is>
          <t>Chitwan NP - UNESCO</t>
        </is>
      </c>
      <c r="G462" s="9" t="inlineStr">
        <is>
          <t>UNESCO</t>
        </is>
      </c>
      <c r="H462" s="9" t="inlineStr"/>
      <c r="I462" s="9">
        <f>IF(COUNTIF('Country Summary'!$B$5:$B$200,C462)&gt;0,"Yes","")</f>
        <v/>
      </c>
      <c r="J462" s="9" t="inlineStr"/>
    </row>
    <row r="463">
      <c r="A463" s="9" t="n">
        <v>459</v>
      </c>
      <c r="B463" s="23" t="inlineStr">
        <is>
          <t>☐</t>
        </is>
      </c>
      <c r="C463" s="9" t="inlineStr">
        <is>
          <t>Nepal</t>
        </is>
      </c>
      <c r="D463" s="9" t="inlineStr">
        <is>
          <t>Gandaki</t>
        </is>
      </c>
      <c r="E463" s="9" t="inlineStr">
        <is>
          <t>Pokhara</t>
        </is>
      </c>
      <c r="F463" s="9" t="inlineStr">
        <is>
          <t>Paragliding Sarangkot, World Peace Pagoda, Gupteshwar cave</t>
        </is>
      </c>
      <c r="G463" s="9" t="inlineStr">
        <is>
          <t>Nature</t>
        </is>
      </c>
      <c r="H463" s="9" t="inlineStr"/>
      <c r="I463" s="9">
        <f>IF(COUNTIF('Country Summary'!$B$5:$B$200,C463)&gt;0,"Yes","")</f>
        <v/>
      </c>
      <c r="J463" s="9" t="inlineStr"/>
    </row>
    <row r="464">
      <c r="A464" s="9" t="n">
        <v>460</v>
      </c>
      <c r="B464" s="23" t="inlineStr">
        <is>
          <t>☐</t>
        </is>
      </c>
      <c r="C464" s="9" t="inlineStr">
        <is>
          <t>Nepal</t>
        </is>
      </c>
      <c r="D464" s="9" t="inlineStr">
        <is>
          <t>Bagmati</t>
        </is>
      </c>
      <c r="E464" s="9" t="inlineStr">
        <is>
          <t>Kathmandu / Nagarkot</t>
        </is>
      </c>
      <c r="F464" s="9" t="inlineStr">
        <is>
          <t>Everest mountain flight, Nagarkot sunrise, Thamel</t>
        </is>
      </c>
      <c r="G464" s="9" t="inlineStr">
        <is>
          <t>Nature</t>
        </is>
      </c>
      <c r="H464" s="9" t="inlineStr"/>
      <c r="I464" s="9">
        <f>IF(COUNTIF('Country Summary'!$B$5:$B$200,C464)&gt;0,"Yes","")</f>
        <v/>
      </c>
      <c r="J464" s="9" t="inlineStr"/>
    </row>
    <row r="465">
      <c r="A465" s="9" t="n">
        <v>461</v>
      </c>
      <c r="B465" s="23" t="inlineStr">
        <is>
          <t>☐</t>
        </is>
      </c>
      <c r="C465" s="9" t="inlineStr">
        <is>
          <t>Bhutan</t>
        </is>
      </c>
      <c r="D465" s="9" t="inlineStr">
        <is>
          <t>Paro / Thimphu</t>
        </is>
      </c>
      <c r="E465" s="9" t="inlineStr">
        <is>
          <t>Paro</t>
        </is>
      </c>
      <c r="F465" s="9" t="inlineStr">
        <is>
          <t>Tiger's Nest (Taktsang), Punakha Dzong, Thimphu Buddha</t>
        </is>
      </c>
      <c r="G465" s="9" t="inlineStr">
        <is>
          <t>Monument</t>
        </is>
      </c>
      <c r="H465" s="9" t="inlineStr"/>
      <c r="I465" s="9">
        <f>IF(COUNTIF('Country Summary'!$B$5:$B$200,C465)&gt;0,"Yes","")</f>
        <v/>
      </c>
      <c r="J465" s="9" t="inlineStr"/>
    </row>
    <row r="466">
      <c r="A466" s="9" t="n">
        <v>462</v>
      </c>
      <c r="B466" s="23" t="inlineStr">
        <is>
          <t>☐</t>
        </is>
      </c>
      <c r="C466" s="9" t="inlineStr">
        <is>
          <t>Bhutan</t>
        </is>
      </c>
      <c r="D466" s="9" t="inlineStr">
        <is>
          <t>-</t>
        </is>
      </c>
      <c r="E466" s="9" t="inlineStr">
        <is>
          <t>Paro / Thimphu</t>
        </is>
      </c>
      <c r="F466" s="9" t="inlineStr">
        <is>
          <t>Dochula pass, Phobjikha valley (black-necked cranes), Tshechu festival</t>
        </is>
      </c>
      <c r="G466" s="9" t="inlineStr">
        <is>
          <t>Nature</t>
        </is>
      </c>
      <c r="H466" s="9" t="inlineStr"/>
      <c r="I466" s="9">
        <f>IF(COUNTIF('Country Summary'!$B$5:$B$200,C466)&gt;0,"Yes","")</f>
        <v/>
      </c>
      <c r="J466" s="9" t="inlineStr"/>
    </row>
    <row r="467">
      <c r="A467" s="9" t="n">
        <v>463</v>
      </c>
      <c r="B467" s="23" t="inlineStr">
        <is>
          <t>☐</t>
        </is>
      </c>
      <c r="C467" s="9" t="inlineStr">
        <is>
          <t>Bangladesh</t>
        </is>
      </c>
      <c r="D467" s="9" t="inlineStr">
        <is>
          <t>Dhaka / Sylhet</t>
        </is>
      </c>
      <c r="E467" s="9" t="inlineStr">
        <is>
          <t>Dhaka</t>
        </is>
      </c>
      <c r="F467" s="9" t="inlineStr">
        <is>
          <t>Dhakeshwari; ISKCON Dhaka (Swamibag); Sri Chaitanya birthplace link at Sylhet</t>
        </is>
      </c>
      <c r="G467" s="9" t="inlineStr">
        <is>
          <t>Temple</t>
        </is>
      </c>
      <c r="H467" s="9" t="inlineStr"/>
      <c r="I467" s="9">
        <f>IF(COUNTIF('Country Summary'!$B$5:$B$200,C467)&gt;0,"Yes","")</f>
        <v/>
      </c>
      <c r="J467" s="9" t="inlineStr"/>
    </row>
    <row r="468">
      <c r="A468" s="9" t="n">
        <v>464</v>
      </c>
      <c r="B468" s="23" t="inlineStr">
        <is>
          <t>☐</t>
        </is>
      </c>
      <c r="C468" s="9" t="inlineStr">
        <is>
          <t>Maldives</t>
        </is>
      </c>
      <c r="D468" s="9" t="inlineStr">
        <is>
          <t>-</t>
        </is>
      </c>
      <c r="E468" s="9" t="inlineStr">
        <is>
          <t>Male / atolls</t>
        </is>
      </c>
      <c r="F468" s="9" t="inlineStr">
        <is>
          <t>Island resort, snorkelling</t>
        </is>
      </c>
      <c r="G468" s="9" t="inlineStr">
        <is>
          <t>Nature</t>
        </is>
      </c>
      <c r="H468" s="9" t="inlineStr"/>
      <c r="I468" s="9">
        <f>IF(COUNTIF('Country Summary'!$B$5:$B$200,C468)&gt;0,"Yes","")</f>
        <v/>
      </c>
      <c r="J468" s="9" t="inlineStr"/>
    </row>
    <row r="469">
      <c r="A469" s="9" t="n">
        <v>465</v>
      </c>
      <c r="B469" s="23" t="inlineStr">
        <is>
          <t>☐</t>
        </is>
      </c>
      <c r="C469" s="9" t="inlineStr">
        <is>
          <t>Maldives</t>
        </is>
      </c>
      <c r="D469" s="9" t="inlineStr">
        <is>
          <t>-</t>
        </is>
      </c>
      <c r="E469" s="9" t="inlineStr">
        <is>
          <t>Male / atolls</t>
        </is>
      </c>
      <c r="F469" s="9" t="inlineStr">
        <is>
          <t>Overwater villa, bioluminescent beach (Vaadhoo), snorkelling with manta rays</t>
        </is>
      </c>
      <c r="G469" s="9" t="inlineStr">
        <is>
          <t>Beach</t>
        </is>
      </c>
      <c r="H469" s="9" t="inlineStr"/>
      <c r="I469" s="9">
        <f>IF(COUNTIF('Country Summary'!$B$5:$B$200,C469)&gt;0,"Yes","")</f>
        <v/>
      </c>
      <c r="J469" s="9" t="inlineStr"/>
    </row>
    <row r="470">
      <c r="A470" s="9" t="n">
        <v>466</v>
      </c>
      <c r="B470" s="23" t="inlineStr">
        <is>
          <t>☐</t>
        </is>
      </c>
      <c r="C470" s="9" t="inlineStr">
        <is>
          <t>Mauritius</t>
        </is>
      </c>
      <c r="D470" s="9" t="inlineStr">
        <is>
          <t>-</t>
        </is>
      </c>
      <c r="E470" s="9" t="inlineStr">
        <is>
          <t>Grand Bassin</t>
        </is>
      </c>
      <c r="F470" s="9" t="inlineStr">
        <is>
          <t>Ganga Talao (Shiva), ISKCON Mauritius (Phoenix), Le Morne - UNESCO</t>
        </is>
      </c>
      <c r="G470" s="9" t="inlineStr">
        <is>
          <t>Temple</t>
        </is>
      </c>
      <c r="H470" s="9" t="inlineStr"/>
      <c r="I470" s="9">
        <f>IF(COUNTIF('Country Summary'!$B$5:$B$200,C470)&gt;0,"Yes","")</f>
        <v/>
      </c>
      <c r="J470" s="9" t="inlineStr"/>
    </row>
    <row r="471">
      <c r="A471" s="9" t="n">
        <v>467</v>
      </c>
      <c r="B471" s="23" t="inlineStr">
        <is>
          <t>☐</t>
        </is>
      </c>
      <c r="C471" s="9" t="inlineStr">
        <is>
          <t>Mauritius</t>
        </is>
      </c>
      <c r="D471" s="9" t="inlineStr">
        <is>
          <t>-</t>
        </is>
      </c>
      <c r="E471" s="9" t="inlineStr">
        <is>
          <t>Mauritius</t>
        </is>
      </c>
      <c r="F471" s="9" t="inlineStr">
        <is>
          <t>Chamarel seven-coloured earth, Ile aux Cerfs, underwater waterfall (Le Morne), catamaran</t>
        </is>
      </c>
      <c r="G471" s="9" t="inlineStr">
        <is>
          <t>Beach</t>
        </is>
      </c>
      <c r="H471" s="9" t="inlineStr"/>
      <c r="I471" s="9">
        <f>IF(COUNTIF('Country Summary'!$B$5:$B$200,C471)&gt;0,"Yes","")</f>
        <v/>
      </c>
      <c r="J471" s="9" t="inlineStr"/>
    </row>
    <row r="472">
      <c r="A472" s="9" t="n">
        <v>468</v>
      </c>
      <c r="B472" s="23" t="inlineStr">
        <is>
          <t>☐</t>
        </is>
      </c>
      <c r="C472" s="9" t="inlineStr">
        <is>
          <t>Malaysia</t>
        </is>
      </c>
      <c r="D472" s="9" t="inlineStr">
        <is>
          <t>Selangor</t>
        </is>
      </c>
      <c r="E472" s="9" t="inlineStr">
        <is>
          <t>Kuala Lumpur</t>
        </is>
      </c>
      <c r="F472" s="9" t="inlineStr">
        <is>
          <t>Batu Caves (Murugan), Petronas Towers; ISKCON KL</t>
        </is>
      </c>
      <c r="G472" s="9" t="inlineStr">
        <is>
          <t>Temple</t>
        </is>
      </c>
      <c r="H472" s="9" t="inlineStr"/>
      <c r="I472" s="9">
        <f>IF(COUNTIF('Country Summary'!$B$5:$B$200,C472)&gt;0,"Yes","")</f>
        <v/>
      </c>
      <c r="J472" s="9" t="inlineStr"/>
    </row>
    <row r="473">
      <c r="A473" s="9" t="n">
        <v>469</v>
      </c>
      <c r="B473" s="23" t="inlineStr">
        <is>
          <t>☐</t>
        </is>
      </c>
      <c r="C473" s="9" t="inlineStr">
        <is>
          <t>Malaysia</t>
        </is>
      </c>
      <c r="D473" s="9" t="inlineStr">
        <is>
          <t>Penang</t>
        </is>
      </c>
      <c r="E473" s="9" t="inlineStr">
        <is>
          <t>George Town</t>
        </is>
      </c>
      <c r="F473" s="9" t="inlineStr">
        <is>
          <t>George Town - UNESCO; Kek Lok Si</t>
        </is>
      </c>
      <c r="G473" s="9" t="inlineStr">
        <is>
          <t>UNESCO</t>
        </is>
      </c>
      <c r="H473" s="9" t="inlineStr"/>
      <c r="I473" s="9">
        <f>IF(COUNTIF('Country Summary'!$B$5:$B$200,C473)&gt;0,"Yes","")</f>
        <v/>
      </c>
      <c r="J473" s="9" t="inlineStr"/>
    </row>
    <row r="474">
      <c r="A474" s="9" t="n">
        <v>470</v>
      </c>
      <c r="B474" s="23" t="inlineStr">
        <is>
          <t>☐</t>
        </is>
      </c>
      <c r="C474" s="9" t="inlineStr">
        <is>
          <t>Malaysia</t>
        </is>
      </c>
      <c r="D474" s="9" t="inlineStr">
        <is>
          <t>Kuala Lumpur / Pahang</t>
        </is>
      </c>
      <c r="E474" s="9" t="inlineStr">
        <is>
          <t>KL / Genting / Langkawi</t>
        </is>
      </c>
      <c r="F474" s="9" t="inlineStr">
        <is>
          <t>KL Tower, Genting Highlands SkyWorlds, Langkawi SkyBridge &amp; cable car</t>
        </is>
      </c>
      <c r="G474" s="9" t="inlineStr">
        <is>
          <t>Theme park</t>
        </is>
      </c>
      <c r="H474" s="9" t="inlineStr"/>
      <c r="I474" s="9">
        <f>IF(COUNTIF('Country Summary'!$B$5:$B$200,C474)&gt;0,"Yes","")</f>
        <v/>
      </c>
      <c r="J474" s="9" t="inlineStr"/>
    </row>
    <row r="475">
      <c r="A475" s="9" t="n">
        <v>471</v>
      </c>
      <c r="B475" s="23" t="inlineStr">
        <is>
          <t>☐</t>
        </is>
      </c>
      <c r="C475" s="9" t="inlineStr">
        <is>
          <t>Singapore</t>
        </is>
      </c>
      <c r="D475" s="9" t="inlineStr">
        <is>
          <t>-</t>
        </is>
      </c>
      <c r="E475" s="9" t="inlineStr">
        <is>
          <t>Singapore</t>
        </is>
      </c>
      <c r="F475" s="9" t="inlineStr">
        <is>
          <t>Marina Bay Sands, Gardens by the Bay, Sri Mariamman, Sri Krishnan temple, Sentosa</t>
        </is>
      </c>
      <c r="G475" s="9" t="inlineStr">
        <is>
          <t>Modern</t>
        </is>
      </c>
      <c r="H475" s="9" t="inlineStr"/>
      <c r="I475" s="9">
        <f>IF(COUNTIF('Country Summary'!$B$5:$B$200,C475)&gt;0,"Yes","")</f>
        <v/>
      </c>
      <c r="J475" s="9" t="inlineStr"/>
    </row>
    <row r="476">
      <c r="A476" s="9" t="n">
        <v>472</v>
      </c>
      <c r="B476" s="23" t="inlineStr">
        <is>
          <t>☐</t>
        </is>
      </c>
      <c r="C476" s="9" t="inlineStr">
        <is>
          <t>Singapore</t>
        </is>
      </c>
      <c r="D476" s="9" t="inlineStr">
        <is>
          <t>-</t>
        </is>
      </c>
      <c r="E476" s="9" t="inlineStr">
        <is>
          <t>Singapore</t>
        </is>
      </c>
      <c r="F476" s="9" t="inlineStr">
        <is>
          <t>Universal Studios, Marina Bay light show, Night Safari, Jewel Changi waterfall, Little India, Merlion, Sentosa cable car</t>
        </is>
      </c>
      <c r="G476" s="9" t="inlineStr">
        <is>
          <t>Theme park</t>
        </is>
      </c>
      <c r="H476" s="9" t="inlineStr"/>
      <c r="I476" s="9">
        <f>IF(COUNTIF('Country Summary'!$B$5:$B$200,C476)&gt;0,"Yes","")</f>
        <v/>
      </c>
      <c r="J476" s="9" t="inlineStr"/>
    </row>
    <row r="477">
      <c r="A477" s="9" t="n">
        <v>473</v>
      </c>
      <c r="B477" s="23" t="inlineStr">
        <is>
          <t>☐</t>
        </is>
      </c>
      <c r="C477" s="9" t="inlineStr">
        <is>
          <t>Indonesia</t>
        </is>
      </c>
      <c r="D477" s="9" t="inlineStr">
        <is>
          <t>Bali</t>
        </is>
      </c>
      <c r="E477" s="9" t="inlineStr">
        <is>
          <t>Ubud / Uluwatu / Besakih</t>
        </is>
      </c>
      <c r="F477" s="9" t="inlineStr">
        <is>
          <t>Besakih mother temple, Tanah Lot, Uluwatu, Tirta Empul; Kecak dance (Ramayana)</t>
        </is>
      </c>
      <c r="G477" s="9" t="inlineStr">
        <is>
          <t>Temple</t>
        </is>
      </c>
      <c r="H477" s="9" t="inlineStr"/>
      <c r="I477" s="9">
        <f>IF(COUNTIF('Country Summary'!$B$5:$B$200,C477)&gt;0,"Yes","")</f>
        <v/>
      </c>
      <c r="J477" s="9" t="inlineStr"/>
    </row>
    <row r="478">
      <c r="A478" s="9" t="n">
        <v>474</v>
      </c>
      <c r="B478" s="23" t="inlineStr">
        <is>
          <t>☐</t>
        </is>
      </c>
      <c r="C478" s="9" t="inlineStr">
        <is>
          <t>Indonesia</t>
        </is>
      </c>
      <c r="D478" s="9" t="inlineStr">
        <is>
          <t>Central Java</t>
        </is>
      </c>
      <c r="E478" s="9" t="inlineStr">
        <is>
          <t>Yogyakarta</t>
        </is>
      </c>
      <c r="F478" s="9" t="inlineStr">
        <is>
          <t>Prambanan (Shiva-Vishnu-Brahma) - UNESCO; Borobudur - UNESCO</t>
        </is>
      </c>
      <c r="G478" s="9" t="inlineStr">
        <is>
          <t>UNESCO</t>
        </is>
      </c>
      <c r="H478" s="9" t="inlineStr"/>
      <c r="I478" s="9">
        <f>IF(COUNTIF('Country Summary'!$B$5:$B$200,C478)&gt;0,"Yes","")</f>
        <v/>
      </c>
      <c r="J478" s="9" t="inlineStr"/>
    </row>
    <row r="479">
      <c r="A479" s="9" t="n">
        <v>475</v>
      </c>
      <c r="B479" s="23" t="inlineStr">
        <is>
          <t>☐</t>
        </is>
      </c>
      <c r="C479" s="9" t="inlineStr">
        <is>
          <t>Indonesia</t>
        </is>
      </c>
      <c r="D479" s="9" t="inlineStr">
        <is>
          <t>Jakarta</t>
        </is>
      </c>
      <c r="E479" s="9" t="inlineStr">
        <is>
          <t>Jakarta</t>
        </is>
      </c>
      <c r="F479" s="9" t="inlineStr">
        <is>
          <t>ISKCON Jakarta; Monas</t>
        </is>
      </c>
      <c r="G479" s="9" t="inlineStr">
        <is>
          <t>ISKCON</t>
        </is>
      </c>
      <c r="H479" s="9" t="inlineStr"/>
      <c r="I479" s="9">
        <f>IF(COUNTIF('Country Summary'!$B$5:$B$200,C479)&gt;0,"Yes","")</f>
        <v/>
      </c>
      <c r="J479" s="9" t="inlineStr"/>
    </row>
    <row r="480">
      <c r="A480" s="9" t="n">
        <v>476</v>
      </c>
      <c r="B480" s="23" t="inlineStr">
        <is>
          <t>☐</t>
        </is>
      </c>
      <c r="C480" s="9" t="inlineStr">
        <is>
          <t>Indonesia</t>
        </is>
      </c>
      <c r="D480" s="9" t="inlineStr">
        <is>
          <t>Bali</t>
        </is>
      </c>
      <c r="E480" s="9" t="inlineStr">
        <is>
          <t>Bali</t>
        </is>
      </c>
      <c r="F480" s="9" t="inlineStr">
        <is>
          <t>Ubud rice terraces (Tegallalang), Nusa Penida (Kelingking), Kuta/Seminyak, Mt Batur sunrise, Bali Swing</t>
        </is>
      </c>
      <c r="G480" s="9" t="inlineStr">
        <is>
          <t>Beach</t>
        </is>
      </c>
      <c r="H480" s="9" t="inlineStr"/>
      <c r="I480" s="9">
        <f>IF(COUNTIF('Country Summary'!$B$5:$B$200,C480)&gt;0,"Yes","")</f>
        <v/>
      </c>
      <c r="J480" s="9" t="inlineStr"/>
    </row>
    <row r="481">
      <c r="A481" s="9" t="n">
        <v>477</v>
      </c>
      <c r="B481" s="23" t="inlineStr">
        <is>
          <t>☐</t>
        </is>
      </c>
      <c r="C481" s="9" t="inlineStr">
        <is>
          <t>Vietnam</t>
        </is>
      </c>
      <c r="D481" s="9" t="inlineStr">
        <is>
          <t>Quang Nam / Ha Long</t>
        </is>
      </c>
      <c r="E481" s="9" t="inlineStr">
        <is>
          <t>My Son / Ha Long Bay</t>
        </is>
      </c>
      <c r="F481" s="9" t="inlineStr">
        <is>
          <t>My Son Cham Shiva temples - UNESCO; Ha Long Bay - UNESCO</t>
        </is>
      </c>
      <c r="G481" s="9" t="inlineStr">
        <is>
          <t>UNESCO</t>
        </is>
      </c>
      <c r="H481" s="9" t="inlineStr"/>
      <c r="I481" s="9">
        <f>IF(COUNTIF('Country Summary'!$B$5:$B$200,C481)&gt;0,"Yes","")</f>
        <v/>
      </c>
      <c r="J481" s="9" t="inlineStr"/>
    </row>
    <row r="482">
      <c r="A482" s="9" t="n">
        <v>478</v>
      </c>
      <c r="B482" s="23" t="inlineStr">
        <is>
          <t>☐</t>
        </is>
      </c>
      <c r="C482" s="9" t="inlineStr">
        <is>
          <t>Vietnam</t>
        </is>
      </c>
      <c r="D482" s="9" t="inlineStr">
        <is>
          <t>-</t>
        </is>
      </c>
      <c r="E482" s="9" t="inlineStr">
        <is>
          <t>Hanoi / Da Nang / HCMC</t>
        </is>
      </c>
      <c r="F482" s="9" t="inlineStr">
        <is>
          <t>Ha Long Bay cruise, Golden Bridge (Ba Na Hills), Hoi An lanterns, Cu Chi tunnels, Sapa</t>
        </is>
      </c>
      <c r="G482" s="9" t="inlineStr">
        <is>
          <t>Sightseeing</t>
        </is>
      </c>
      <c r="H482" s="9" t="inlineStr"/>
      <c r="I482" s="9">
        <f>IF(COUNTIF('Country Summary'!$B$5:$B$200,C482)&gt;0,"Yes","")</f>
        <v/>
      </c>
      <c r="J482" s="9" t="inlineStr"/>
    </row>
    <row r="483">
      <c r="A483" s="9" t="n">
        <v>479</v>
      </c>
      <c r="B483" s="23" t="inlineStr">
        <is>
          <t>☐</t>
        </is>
      </c>
      <c r="C483" s="9" t="inlineStr">
        <is>
          <t>Laos</t>
        </is>
      </c>
      <c r="D483" s="9" t="inlineStr">
        <is>
          <t>Champasak</t>
        </is>
      </c>
      <c r="E483" s="9" t="inlineStr">
        <is>
          <t>Vat Phou</t>
        </is>
      </c>
      <c r="F483" s="9" t="inlineStr">
        <is>
          <t>Vat Phou Khmer Hindu temple - UNESCO; Luang Prabang - UNESCO</t>
        </is>
      </c>
      <c r="G483" s="9" t="inlineStr">
        <is>
          <t>UNESCO</t>
        </is>
      </c>
      <c r="H483" s="9" t="inlineStr"/>
      <c r="I483" s="9">
        <f>IF(COUNTIF('Country Summary'!$B$5:$B$200,C483)&gt;0,"Yes","")</f>
        <v/>
      </c>
      <c r="J483" s="9" t="inlineStr"/>
    </row>
    <row r="484">
      <c r="A484" s="9" t="n">
        <v>480</v>
      </c>
      <c r="B484" s="23" t="inlineStr">
        <is>
          <t>☐</t>
        </is>
      </c>
      <c r="C484" s="9" t="inlineStr">
        <is>
          <t>Myanmar</t>
        </is>
      </c>
      <c r="D484" s="9" t="inlineStr">
        <is>
          <t>Mandalay / Bagan</t>
        </is>
      </c>
      <c r="E484" s="9" t="inlineStr">
        <is>
          <t>Bagan</t>
        </is>
      </c>
      <c r="F484" s="9" t="inlineStr">
        <is>
          <t>Bagan temples - UNESCO; Shwedagon Pagoda (Yangon)</t>
        </is>
      </c>
      <c r="G484" s="9" t="inlineStr">
        <is>
          <t>UNESCO</t>
        </is>
      </c>
      <c r="H484" s="9" t="inlineStr"/>
      <c r="I484" s="9">
        <f>IF(COUNTIF('Country Summary'!$B$5:$B$200,C484)&gt;0,"Yes","")</f>
        <v/>
      </c>
      <c r="J484" s="9" t="inlineStr"/>
    </row>
    <row r="485">
      <c r="A485" s="9" t="n">
        <v>481</v>
      </c>
      <c r="B485" s="23" t="inlineStr">
        <is>
          <t>☐</t>
        </is>
      </c>
      <c r="C485" s="9" t="inlineStr">
        <is>
          <t>Philippines</t>
        </is>
      </c>
      <c r="D485" s="9" t="inlineStr">
        <is>
          <t>Luzon</t>
        </is>
      </c>
      <c r="E485" s="9" t="inlineStr">
        <is>
          <t>Manila / Banaue</t>
        </is>
      </c>
      <c r="F485" s="9" t="inlineStr">
        <is>
          <t>Intramuros; rice terraces - UNESCO</t>
        </is>
      </c>
      <c r="G485" s="9" t="inlineStr">
        <is>
          <t>UNESCO</t>
        </is>
      </c>
      <c r="H485" s="9" t="inlineStr"/>
      <c r="I485" s="9">
        <f>IF(COUNTIF('Country Summary'!$B$5:$B$200,C485)&gt;0,"Yes","")</f>
        <v/>
      </c>
      <c r="J485" s="9" t="inlineStr"/>
    </row>
    <row r="486">
      <c r="A486" s="9" t="n">
        <v>482</v>
      </c>
      <c r="B486" s="23" t="inlineStr">
        <is>
          <t>☐</t>
        </is>
      </c>
      <c r="C486" s="9" t="inlineStr">
        <is>
          <t>Japan</t>
        </is>
      </c>
      <c r="D486" s="9" t="inlineStr">
        <is>
          <t>Kanto</t>
        </is>
      </c>
      <c r="E486" s="9" t="inlineStr">
        <is>
          <t>Tokyo</t>
        </is>
      </c>
      <c r="F486" s="9" t="inlineStr">
        <is>
          <t>Senso-ji, Meiji shrine, Shibuya, Skytree; ISKCON Tokyo (Funabori)</t>
        </is>
      </c>
      <c r="G486" s="9" t="inlineStr">
        <is>
          <t>Monument</t>
        </is>
      </c>
      <c r="H486" s="9" t="inlineStr"/>
      <c r="I486" s="9">
        <f>IF(COUNTIF('Country Summary'!$B$5:$B$200,C486)&gt;0,"Yes","")</f>
        <v/>
      </c>
      <c r="J486" s="9" t="inlineStr"/>
    </row>
    <row r="487">
      <c r="A487" s="9" t="n">
        <v>483</v>
      </c>
      <c r="B487" s="23" t="inlineStr">
        <is>
          <t>☐</t>
        </is>
      </c>
      <c r="C487" s="9" t="inlineStr">
        <is>
          <t>Japan</t>
        </is>
      </c>
      <c r="D487" s="9" t="inlineStr">
        <is>
          <t>Kansai</t>
        </is>
      </c>
      <c r="E487" s="9" t="inlineStr">
        <is>
          <t>Kyoto / Nara</t>
        </is>
      </c>
      <c r="F487" s="9" t="inlineStr">
        <is>
          <t>Fushimi Inari, Kinkaku-ji, Kiyomizu - UNESCO; Todai-ji (Nara)</t>
        </is>
      </c>
      <c r="G487" s="9" t="inlineStr">
        <is>
          <t>UNESCO</t>
        </is>
      </c>
      <c r="H487" s="9" t="inlineStr"/>
      <c r="I487" s="9">
        <f>IF(COUNTIF('Country Summary'!$B$5:$B$200,C487)&gt;0,"Yes","")</f>
        <v/>
      </c>
      <c r="J487" s="9" t="inlineStr"/>
    </row>
    <row r="488">
      <c r="A488" s="9" t="n">
        <v>484</v>
      </c>
      <c r="B488" s="23" t="inlineStr">
        <is>
          <t>☐</t>
        </is>
      </c>
      <c r="C488" s="9" t="inlineStr">
        <is>
          <t>Japan</t>
        </is>
      </c>
      <c r="D488" s="9" t="inlineStr">
        <is>
          <t>Kansai</t>
        </is>
      </c>
      <c r="E488" s="9" t="inlineStr">
        <is>
          <t>Osaka / Hiroshima</t>
        </is>
      </c>
      <c r="F488" s="9" t="inlineStr">
        <is>
          <t>Osaka Castle; Peace Memorial - UNESCO; Miyajima</t>
        </is>
      </c>
      <c r="G488" s="9" t="inlineStr">
        <is>
          <t>UNESCO</t>
        </is>
      </c>
      <c r="H488" s="9" t="inlineStr"/>
      <c r="I488" s="9">
        <f>IF(COUNTIF('Country Summary'!$B$5:$B$200,C488)&gt;0,"Yes","")</f>
        <v/>
      </c>
      <c r="J488" s="9" t="inlineStr"/>
    </row>
    <row r="489">
      <c r="A489" s="9" t="n">
        <v>485</v>
      </c>
      <c r="B489" s="23" t="inlineStr">
        <is>
          <t>☐</t>
        </is>
      </c>
      <c r="C489" s="9" t="inlineStr">
        <is>
          <t>Japan</t>
        </is>
      </c>
      <c r="D489" s="9" t="inlineStr">
        <is>
          <t>Chubu</t>
        </is>
      </c>
      <c r="E489" s="9" t="inlineStr">
        <is>
          <t>Mt Fuji / Hakone</t>
        </is>
      </c>
      <c r="F489" s="9" t="inlineStr">
        <is>
          <t>Mt Fuji - UNESCO</t>
        </is>
      </c>
      <c r="G489" s="9" t="inlineStr">
        <is>
          <t>UNESCO</t>
        </is>
      </c>
      <c r="H489" s="9" t="inlineStr"/>
      <c r="I489" s="9">
        <f>IF(COUNTIF('Country Summary'!$B$5:$B$200,C489)&gt;0,"Yes","")</f>
        <v/>
      </c>
      <c r="J489" s="9" t="inlineStr"/>
    </row>
    <row r="490">
      <c r="A490" s="9" t="n">
        <v>486</v>
      </c>
      <c r="B490" s="23" t="inlineStr">
        <is>
          <t>☐</t>
        </is>
      </c>
      <c r="C490" s="9" t="inlineStr">
        <is>
          <t>Japan</t>
        </is>
      </c>
      <c r="D490" s="9" t="inlineStr">
        <is>
          <t>Kanto</t>
        </is>
      </c>
      <c r="E490" s="9" t="inlineStr">
        <is>
          <t>Tokyo</t>
        </is>
      </c>
      <c r="F490" s="9" t="inlineStr">
        <is>
          <t>Tokyo Disneyland &amp; DisneySea, teamLab, Shinjuku, Akihabara, Harajuku, Tsukiji market</t>
        </is>
      </c>
      <c r="G490" s="9" t="inlineStr">
        <is>
          <t>Theme park</t>
        </is>
      </c>
      <c r="H490" s="9" t="inlineStr"/>
      <c r="I490" s="9">
        <f>IF(COUNTIF('Country Summary'!$B$5:$B$200,C490)&gt;0,"Yes","")</f>
        <v/>
      </c>
      <c r="J490" s="9" t="inlineStr"/>
    </row>
    <row r="491">
      <c r="A491" s="9" t="n">
        <v>487</v>
      </c>
      <c r="B491" s="23" t="inlineStr">
        <is>
          <t>☐</t>
        </is>
      </c>
      <c r="C491" s="9" t="inlineStr">
        <is>
          <t>Japan</t>
        </is>
      </c>
      <c r="D491" s="9" t="inlineStr">
        <is>
          <t>Kansai</t>
        </is>
      </c>
      <c r="E491" s="9" t="inlineStr">
        <is>
          <t>Osaka / Kyoto</t>
        </is>
      </c>
      <c r="F491" s="9" t="inlineStr">
        <is>
          <t>Universal Studios Japan (Nintendo World), Dotonbori, Arashiyama bamboo grove, Gion, cherry blossom (Mar-Apr)</t>
        </is>
      </c>
      <c r="G491" s="9" t="inlineStr">
        <is>
          <t>Theme park</t>
        </is>
      </c>
      <c r="H491" s="9" t="inlineStr"/>
      <c r="I491" s="9">
        <f>IF(COUNTIF('Country Summary'!$B$5:$B$200,C491)&gt;0,"Yes","")</f>
        <v/>
      </c>
      <c r="J491" s="9" t="inlineStr"/>
    </row>
    <row r="492">
      <c r="A492" s="9" t="n">
        <v>488</v>
      </c>
      <c r="B492" s="23" t="inlineStr">
        <is>
          <t>☐</t>
        </is>
      </c>
      <c r="C492" s="9" t="inlineStr">
        <is>
          <t>Japan</t>
        </is>
      </c>
      <c r="D492" s="9" t="inlineStr">
        <is>
          <t>Hokkaido / Chubu</t>
        </is>
      </c>
      <c r="E492" s="9" t="inlineStr">
        <is>
          <t>Sapporo / Takayama</t>
        </is>
      </c>
      <c r="F492" s="9" t="inlineStr">
        <is>
          <t>Snow festival (Feb), Shirakawa-go, Japanese Alps</t>
        </is>
      </c>
      <c r="G492" s="9" t="inlineStr">
        <is>
          <t>Nature</t>
        </is>
      </c>
      <c r="H492" s="9" t="inlineStr"/>
      <c r="I492" s="9">
        <f>IF(COUNTIF('Country Summary'!$B$5:$B$200,C492)&gt;0,"Yes","")</f>
        <v/>
      </c>
      <c r="J492" s="9" t="inlineStr"/>
    </row>
    <row r="493">
      <c r="A493" s="9" t="n">
        <v>489</v>
      </c>
      <c r="B493" s="23" t="inlineStr">
        <is>
          <t>☐</t>
        </is>
      </c>
      <c r="C493" s="9" t="inlineStr">
        <is>
          <t>South Korea</t>
        </is>
      </c>
      <c r="D493" s="9" t="inlineStr">
        <is>
          <t>Seoul</t>
        </is>
      </c>
      <c r="E493" s="9" t="inlineStr">
        <is>
          <t>Seoul</t>
        </is>
      </c>
      <c r="F493" s="9" t="inlineStr">
        <is>
          <t>Gyeongbokgung, Bukchon, N Seoul Tower; Gimhae (Queen Heo, Ayodhya princess link)</t>
        </is>
      </c>
      <c r="G493" s="9" t="inlineStr">
        <is>
          <t>Monument</t>
        </is>
      </c>
      <c r="H493" s="9" t="inlineStr"/>
      <c r="I493" s="9">
        <f>IF(COUNTIF('Country Summary'!$B$5:$B$200,C493)&gt;0,"Yes","")</f>
        <v/>
      </c>
      <c r="J493" s="9" t="inlineStr"/>
    </row>
    <row r="494">
      <c r="A494" s="9" t="n">
        <v>490</v>
      </c>
      <c r="B494" s="23" t="inlineStr">
        <is>
          <t>☐</t>
        </is>
      </c>
      <c r="C494" s="9" t="inlineStr">
        <is>
          <t>South Korea</t>
        </is>
      </c>
      <c r="D494" s="9" t="inlineStr">
        <is>
          <t>Seoul / Jeju</t>
        </is>
      </c>
      <c r="E494" s="9" t="inlineStr">
        <is>
          <t>Seoul / Jeju</t>
        </is>
      </c>
      <c r="F494" s="9" t="inlineStr">
        <is>
          <t>Lotte World, Everland, Nami Island, Myeongdong, Jeju island (visa-free for Indians), DMZ tour</t>
        </is>
      </c>
      <c r="G494" s="9" t="inlineStr">
        <is>
          <t>Theme park</t>
        </is>
      </c>
      <c r="H494" s="9" t="inlineStr"/>
      <c r="I494" s="9">
        <f>IF(COUNTIF('Country Summary'!$B$5:$B$200,C494)&gt;0,"Yes","")</f>
        <v/>
      </c>
      <c r="J494" s="9" t="inlineStr"/>
    </row>
    <row r="495">
      <c r="A495" s="9" t="n">
        <v>491</v>
      </c>
      <c r="B495" s="23" t="inlineStr">
        <is>
          <t>☐</t>
        </is>
      </c>
      <c r="C495" s="9" t="inlineStr">
        <is>
          <t>China</t>
        </is>
      </c>
      <c r="D495" s="9" t="inlineStr">
        <is>
          <t>Beijing</t>
        </is>
      </c>
      <c r="E495" s="9" t="inlineStr">
        <is>
          <t>Beijing</t>
        </is>
      </c>
      <c r="F495" s="9" t="inlineStr">
        <is>
          <t>Great Wall - UNESCO, Forbidden City - UNESCO, Temple of Heaven</t>
        </is>
      </c>
      <c r="G495" s="9" t="inlineStr">
        <is>
          <t>UNESCO</t>
        </is>
      </c>
      <c r="H495" s="9" t="inlineStr"/>
      <c r="I495" s="9">
        <f>IF(COUNTIF('Country Summary'!$B$5:$B$200,C495)&gt;0,"Yes","")</f>
        <v/>
      </c>
      <c r="J495" s="9" t="inlineStr"/>
    </row>
    <row r="496">
      <c r="A496" s="9" t="n">
        <v>492</v>
      </c>
      <c r="B496" s="23" t="inlineStr">
        <is>
          <t>☐</t>
        </is>
      </c>
      <c r="C496" s="9" t="inlineStr">
        <is>
          <t>China</t>
        </is>
      </c>
      <c r="D496" s="9" t="inlineStr">
        <is>
          <t>Shaanxi</t>
        </is>
      </c>
      <c r="E496" s="9" t="inlineStr">
        <is>
          <t>Xi'an</t>
        </is>
      </c>
      <c r="F496" s="9" t="inlineStr">
        <is>
          <t>Terracotta Army - UNESCO</t>
        </is>
      </c>
      <c r="G496" s="9" t="inlineStr">
        <is>
          <t>UNESCO</t>
        </is>
      </c>
      <c r="H496" s="9" t="inlineStr"/>
      <c r="I496" s="9">
        <f>IF(COUNTIF('Country Summary'!$B$5:$B$200,C496)&gt;0,"Yes","")</f>
        <v/>
      </c>
      <c r="J496" s="9" t="inlineStr"/>
    </row>
    <row r="497">
      <c r="A497" s="9" t="n">
        <v>493</v>
      </c>
      <c r="B497" s="23" t="inlineStr">
        <is>
          <t>☐</t>
        </is>
      </c>
      <c r="C497" s="9" t="inlineStr">
        <is>
          <t>China</t>
        </is>
      </c>
      <c r="D497" s="9" t="inlineStr">
        <is>
          <t>Shanghai</t>
        </is>
      </c>
      <c r="E497" s="9" t="inlineStr">
        <is>
          <t>Shanghai</t>
        </is>
      </c>
      <c r="F497" s="9" t="inlineStr">
        <is>
          <t>The Bund, Pudong</t>
        </is>
      </c>
      <c r="G497" s="9" t="inlineStr">
        <is>
          <t>Modern</t>
        </is>
      </c>
      <c r="H497" s="9" t="inlineStr"/>
      <c r="I497" s="9">
        <f>IF(COUNTIF('Country Summary'!$B$5:$B$200,C497)&gt;0,"Yes","")</f>
        <v/>
      </c>
      <c r="J497" s="9" t="inlineStr"/>
    </row>
    <row r="498">
      <c r="A498" s="9" t="n">
        <v>494</v>
      </c>
      <c r="B498" s="23" t="inlineStr">
        <is>
          <t>☑</t>
        </is>
      </c>
      <c r="C498" s="9" t="inlineStr">
        <is>
          <t>China</t>
        </is>
      </c>
      <c r="D498" s="9" t="inlineStr">
        <is>
          <t>Tibet</t>
        </is>
      </c>
      <c r="E498" s="9" t="inlineStr">
        <is>
          <t>Kailash / Manasarovar</t>
        </is>
      </c>
      <c r="F498" s="9" t="inlineStr">
        <is>
          <t>Mt Kailash outer kora (Dolma La) &amp; Lake Manasarovar parikrama</t>
        </is>
      </c>
      <c r="G498" s="9" t="inlineStr">
        <is>
          <t>Temple</t>
        </is>
      </c>
      <c r="H498" s="9" t="inlineStr"/>
      <c r="I498" s="9">
        <f>IF(COUNTIF('Country Summary'!$B$5:$B$200,C498)&gt;0,"Yes","")</f>
        <v/>
      </c>
      <c r="J498" s="9" t="inlineStr"/>
    </row>
    <row r="499">
      <c r="A499" s="9" t="n">
        <v>495</v>
      </c>
      <c r="B499" s="23" t="inlineStr">
        <is>
          <t>☐</t>
        </is>
      </c>
      <c r="C499" s="9" t="inlineStr">
        <is>
          <t>China</t>
        </is>
      </c>
      <c r="D499" s="9" t="inlineStr">
        <is>
          <t>Tibet</t>
        </is>
      </c>
      <c r="E499" s="9" t="inlineStr">
        <is>
          <t>Lhasa</t>
        </is>
      </c>
      <c r="F499" s="9" t="inlineStr">
        <is>
          <t>Potala Palace - UNESCO, Jokhang</t>
        </is>
      </c>
      <c r="G499" s="9" t="inlineStr">
        <is>
          <t>UNESCO</t>
        </is>
      </c>
      <c r="H499" s="9" t="inlineStr"/>
      <c r="I499" s="9">
        <f>IF(COUNTIF('Country Summary'!$B$5:$B$200,C499)&gt;0,"Yes","")</f>
        <v/>
      </c>
      <c r="J499" s="9" t="inlineStr"/>
    </row>
    <row r="500">
      <c r="A500" s="9" t="n">
        <v>496</v>
      </c>
      <c r="B500" s="23" t="inlineStr">
        <is>
          <t>☐</t>
        </is>
      </c>
      <c r="C500" s="9" t="inlineStr">
        <is>
          <t>China</t>
        </is>
      </c>
      <c r="D500" s="9" t="inlineStr">
        <is>
          <t>Shanghai / Beijing</t>
        </is>
      </c>
      <c r="E500" s="9" t="inlineStr">
        <is>
          <t>Shanghai / Beijing</t>
        </is>
      </c>
      <c r="F500" s="9" t="inlineStr">
        <is>
          <t>Shanghai Disneyland, Bund night cruise, Summer Palace, Mutianyu Great Wall</t>
        </is>
      </c>
      <c r="G500" s="9" t="inlineStr">
        <is>
          <t>Theme park</t>
        </is>
      </c>
      <c r="H500" s="9" t="inlineStr"/>
      <c r="I500" s="9">
        <f>IF(COUNTIF('Country Summary'!$B$5:$B$200,C500)&gt;0,"Yes","")</f>
        <v/>
      </c>
      <c r="J500" s="9" t="inlineStr"/>
    </row>
    <row r="501">
      <c r="A501" s="9" t="n">
        <v>497</v>
      </c>
      <c r="B501" s="23" t="inlineStr">
        <is>
          <t>☐</t>
        </is>
      </c>
      <c r="C501" s="9" t="inlineStr">
        <is>
          <t>China</t>
        </is>
      </c>
      <c r="D501" s="9" t="inlineStr">
        <is>
          <t>Guangxi / Sichuan / Hunan</t>
        </is>
      </c>
      <c r="E501" s="9" t="inlineStr">
        <is>
          <t>Guilin / Chengdu / Zhangjiajie</t>
        </is>
      </c>
      <c r="F501" s="9" t="inlineStr">
        <is>
          <t>Li River, giant pandas, Avatar mountains (Zhangjiajie glass bridge)</t>
        </is>
      </c>
      <c r="G501" s="9" t="inlineStr">
        <is>
          <t>Nature</t>
        </is>
      </c>
      <c r="H501" s="9" t="inlineStr"/>
      <c r="I501" s="9">
        <f>IF(COUNTIF('Country Summary'!$B$5:$B$200,C501)&gt;0,"Yes","")</f>
        <v/>
      </c>
      <c r="J501" s="9" t="inlineStr"/>
    </row>
    <row r="502">
      <c r="A502" s="9" t="n">
        <v>498</v>
      </c>
      <c r="B502" s="23" t="inlineStr">
        <is>
          <t>☐</t>
        </is>
      </c>
      <c r="C502" s="9" t="inlineStr">
        <is>
          <t>Hong Kong</t>
        </is>
      </c>
      <c r="D502" s="9" t="inlineStr">
        <is>
          <t>-</t>
        </is>
      </c>
      <c r="E502" s="9" t="inlineStr">
        <is>
          <t>Hong Kong</t>
        </is>
      </c>
      <c r="F502" s="9" t="inlineStr">
        <is>
          <t>Victoria Peak, Big Buddha (Lantau); ISKCON Hong Kong</t>
        </is>
      </c>
      <c r="G502" s="9" t="inlineStr">
        <is>
          <t>Modern</t>
        </is>
      </c>
      <c r="H502" s="9" t="inlineStr"/>
      <c r="I502" s="9">
        <f>IF(COUNTIF('Country Summary'!$B$5:$B$200,C502)&gt;0,"Yes","")</f>
        <v/>
      </c>
      <c r="J502" s="9" t="inlineStr"/>
    </row>
    <row r="503">
      <c r="A503" s="9" t="n">
        <v>499</v>
      </c>
      <c r="B503" s="23" t="inlineStr">
        <is>
          <t>☐</t>
        </is>
      </c>
      <c r="C503" s="9" t="inlineStr">
        <is>
          <t>Hong Kong</t>
        </is>
      </c>
      <c r="D503" s="9" t="inlineStr">
        <is>
          <t>-</t>
        </is>
      </c>
      <c r="E503" s="9" t="inlineStr">
        <is>
          <t>Hong Kong</t>
        </is>
      </c>
      <c r="F503" s="9" t="inlineStr">
        <is>
          <t>Hong Kong Disneyland, Ocean Park, Star Ferry, Symphony of Lights, Ngong Ping 360</t>
        </is>
      </c>
      <c r="G503" s="9" t="inlineStr">
        <is>
          <t>Theme park</t>
        </is>
      </c>
      <c r="H503" s="9" t="inlineStr"/>
      <c r="I503" s="9">
        <f>IF(COUNTIF('Country Summary'!$B$5:$B$200,C503)&gt;0,"Yes","")</f>
        <v/>
      </c>
      <c r="J503" s="9" t="inlineStr"/>
    </row>
    <row r="504">
      <c r="A504" s="9" t="n">
        <v>500</v>
      </c>
      <c r="B504" s="23" t="inlineStr">
        <is>
          <t>☐</t>
        </is>
      </c>
      <c r="C504" s="9" t="inlineStr">
        <is>
          <t>Taiwan</t>
        </is>
      </c>
      <c r="D504" s="9" t="inlineStr">
        <is>
          <t>-</t>
        </is>
      </c>
      <c r="E504" s="9" t="inlineStr">
        <is>
          <t>Taipei</t>
        </is>
      </c>
      <c r="F504" s="9" t="inlineStr">
        <is>
          <t>Taipei 101, Taroko Gorge</t>
        </is>
      </c>
      <c r="G504" s="9" t="inlineStr">
        <is>
          <t>Modern</t>
        </is>
      </c>
      <c r="H504" s="9" t="inlineStr"/>
      <c r="I504" s="9">
        <f>IF(COUNTIF('Country Summary'!$B$5:$B$200,C504)&gt;0,"Yes","")</f>
        <v/>
      </c>
      <c r="J504" s="9" t="inlineStr"/>
    </row>
    <row r="505">
      <c r="A505" s="9" t="n">
        <v>501</v>
      </c>
      <c r="B505" s="23" t="inlineStr">
        <is>
          <t>☐</t>
        </is>
      </c>
      <c r="C505" s="9" t="inlineStr">
        <is>
          <t>Taiwan</t>
        </is>
      </c>
      <c r="D505" s="9" t="inlineStr">
        <is>
          <t>-</t>
        </is>
      </c>
      <c r="E505" s="9" t="inlineStr">
        <is>
          <t>Taipei / Jiufen</t>
        </is>
      </c>
      <c r="F505" s="9" t="inlineStr">
        <is>
          <t>Jiufen old street, Sun Moon Lake, Shilin night market</t>
        </is>
      </c>
      <c r="G505" s="9" t="inlineStr">
        <is>
          <t>Sightseeing</t>
        </is>
      </c>
      <c r="H505" s="9" t="inlineStr"/>
      <c r="I505" s="9">
        <f>IF(COUNTIF('Country Summary'!$B$5:$B$200,C505)&gt;0,"Yes","")</f>
        <v/>
      </c>
      <c r="J505" s="9" t="inlineStr"/>
    </row>
    <row r="506">
      <c r="A506" s="9" t="n">
        <v>502</v>
      </c>
      <c r="B506" s="23" t="inlineStr">
        <is>
          <t>☐</t>
        </is>
      </c>
      <c r="C506" s="9" t="inlineStr">
        <is>
          <t>Kazakhstan</t>
        </is>
      </c>
      <c r="D506" s="9" t="inlineStr">
        <is>
          <t>Almaty</t>
        </is>
      </c>
      <c r="E506" s="9" t="inlineStr">
        <is>
          <t>Almaty</t>
        </is>
      </c>
      <c r="F506" s="9" t="inlineStr">
        <is>
          <t>Charyn Canyon; Sri Vrindavan Dham (ISKCON farm)</t>
        </is>
      </c>
      <c r="G506" s="9" t="inlineStr">
        <is>
          <t>Nature</t>
        </is>
      </c>
      <c r="H506" s="9" t="inlineStr"/>
      <c r="I506" s="9">
        <f>IF(COUNTIF('Country Summary'!$B$5:$B$200,C506)&gt;0,"Yes","")</f>
        <v/>
      </c>
      <c r="J506" s="9" t="inlineStr"/>
    </row>
    <row r="507">
      <c r="A507" s="9" t="n">
        <v>503</v>
      </c>
      <c r="B507" s="23" t="inlineStr">
        <is>
          <t>☐</t>
        </is>
      </c>
      <c r="C507" s="9" t="inlineStr">
        <is>
          <t>Uzbekistan</t>
        </is>
      </c>
      <c r="D507" s="9" t="inlineStr">
        <is>
          <t>-</t>
        </is>
      </c>
      <c r="E507" s="9" t="inlineStr">
        <is>
          <t>Samarkand / Bukhara</t>
        </is>
      </c>
      <c r="F507" s="9" t="inlineStr">
        <is>
          <t>Registan - UNESCO; Bukhara - UNESCO</t>
        </is>
      </c>
      <c r="G507" s="9" t="inlineStr">
        <is>
          <t>UNESCO</t>
        </is>
      </c>
      <c r="H507" s="9" t="inlineStr"/>
      <c r="I507" s="9">
        <f>IF(COUNTIF('Country Summary'!$B$5:$B$200,C507)&gt;0,"Yes","")</f>
        <v/>
      </c>
      <c r="J507" s="9" t="inlineStr"/>
    </row>
    <row r="508">
      <c r="A508" s="9" t="n">
        <v>504</v>
      </c>
      <c r="B508" s="23" t="inlineStr">
        <is>
          <t>☐</t>
        </is>
      </c>
      <c r="C508" s="9" t="inlineStr">
        <is>
          <t>Georgia</t>
        </is>
      </c>
      <c r="D508" s="9" t="inlineStr">
        <is>
          <t>-</t>
        </is>
      </c>
      <c r="E508" s="9" t="inlineStr">
        <is>
          <t>Tbilisi / Kazbegi</t>
        </is>
      </c>
      <c r="F508" s="9" t="inlineStr">
        <is>
          <t>Old Tbilisi, Gergeti Trinity Church</t>
        </is>
      </c>
      <c r="G508" s="9" t="inlineStr">
        <is>
          <t>Monument</t>
        </is>
      </c>
      <c r="H508" s="9" t="inlineStr"/>
      <c r="I508" s="9">
        <f>IF(COUNTIF('Country Summary'!$B$5:$B$200,C508)&gt;0,"Yes","")</f>
        <v/>
      </c>
      <c r="J508" s="9" t="inlineStr"/>
    </row>
    <row r="509">
      <c r="A509" s="9" t="n">
        <v>505</v>
      </c>
      <c r="B509" s="23" t="inlineStr">
        <is>
          <t>☐</t>
        </is>
      </c>
      <c r="C509" s="9" t="inlineStr">
        <is>
          <t>Armenia</t>
        </is>
      </c>
      <c r="D509" s="9" t="inlineStr">
        <is>
          <t>-</t>
        </is>
      </c>
      <c r="E509" s="9" t="inlineStr">
        <is>
          <t>Yerevan / Geghard</t>
        </is>
      </c>
      <c r="F509" s="9" t="inlineStr">
        <is>
          <t>Geghard - UNESCO, Garni temple</t>
        </is>
      </c>
      <c r="G509" s="9" t="inlineStr">
        <is>
          <t>UNESCO</t>
        </is>
      </c>
      <c r="H509" s="9" t="inlineStr"/>
      <c r="I509" s="9">
        <f>IF(COUNTIF('Country Summary'!$B$5:$B$200,C509)&gt;0,"Yes","")</f>
        <v/>
      </c>
      <c r="J509" s="9" t="inlineStr"/>
    </row>
    <row r="510">
      <c r="A510" s="9" t="n">
        <v>506</v>
      </c>
      <c r="B510" s="23" t="inlineStr">
        <is>
          <t>☐</t>
        </is>
      </c>
      <c r="C510" s="9" t="inlineStr">
        <is>
          <t>Israel / Palestine</t>
        </is>
      </c>
      <c r="D510" s="9" t="inlineStr">
        <is>
          <t>-</t>
        </is>
      </c>
      <c r="E510" s="9" t="inlineStr">
        <is>
          <t>Jerusalem</t>
        </is>
      </c>
      <c r="F510" s="9" t="inlineStr">
        <is>
          <t>Old City - UNESCO (Western Wall, Church of Holy Sepulchre, Dome of the Rock)</t>
        </is>
      </c>
      <c r="G510" s="9" t="inlineStr">
        <is>
          <t>UNESCO</t>
        </is>
      </c>
      <c r="H510" s="9" t="inlineStr"/>
      <c r="I510" s="9">
        <f>IF(COUNTIF('Country Summary'!$B$5:$B$200,C510)&gt;0,"Yes","")</f>
        <v/>
      </c>
      <c r="J510" s="9" t="inlineStr"/>
    </row>
    <row r="511">
      <c r="A511" s="9" t="n">
        <v>507</v>
      </c>
      <c r="B511" s="23" t="inlineStr">
        <is>
          <t>☐</t>
        </is>
      </c>
      <c r="C511" s="9" t="inlineStr">
        <is>
          <t>Jordan</t>
        </is>
      </c>
      <c r="D511" s="9" t="inlineStr">
        <is>
          <t>-</t>
        </is>
      </c>
      <c r="E511" s="9" t="inlineStr">
        <is>
          <t>Petra / Wadi Rum</t>
        </is>
      </c>
      <c r="F511" s="9" t="inlineStr">
        <is>
          <t>Petra - UNESCO; Wadi Rum - UNESCO; Dead Sea</t>
        </is>
      </c>
      <c r="G511" s="9" t="inlineStr">
        <is>
          <t>UNESCO</t>
        </is>
      </c>
      <c r="H511" s="9" t="inlineStr"/>
      <c r="I511" s="9">
        <f>IF(COUNTIF('Country Summary'!$B$5:$B$200,C511)&gt;0,"Yes","")</f>
        <v/>
      </c>
      <c r="J511" s="9" t="inlineStr"/>
    </row>
    <row r="512">
      <c r="A512" s="9" t="n">
        <v>508</v>
      </c>
      <c r="B512" s="23" t="inlineStr">
        <is>
          <t>☐</t>
        </is>
      </c>
      <c r="C512" s="9" t="inlineStr">
        <is>
          <t>Saudi Arabia</t>
        </is>
      </c>
      <c r="D512" s="9" t="inlineStr">
        <is>
          <t>-</t>
        </is>
      </c>
      <c r="E512" s="9" t="inlineStr">
        <is>
          <t>AlUla</t>
        </is>
      </c>
      <c r="F512" s="9" t="inlineStr">
        <is>
          <t>Hegra - UNESCO</t>
        </is>
      </c>
      <c r="G512" s="9" t="inlineStr">
        <is>
          <t>UNESCO</t>
        </is>
      </c>
      <c r="H512" s="9" t="inlineStr"/>
      <c r="I512" s="9">
        <f>IF(COUNTIF('Country Summary'!$B$5:$B$200,C512)&gt;0,"Yes","")</f>
        <v/>
      </c>
      <c r="J512" s="9" t="inlineStr"/>
    </row>
    <row r="513">
      <c r="A513" s="9" t="n">
        <v>509</v>
      </c>
      <c r="B513" s="23" t="inlineStr">
        <is>
          <t>☐</t>
        </is>
      </c>
      <c r="C513" s="9" t="inlineStr">
        <is>
          <t>Oman</t>
        </is>
      </c>
      <c r="D513" s="9" t="inlineStr">
        <is>
          <t>Muscat</t>
        </is>
      </c>
      <c r="E513" s="9" t="inlineStr">
        <is>
          <t>Muscat</t>
        </is>
      </c>
      <c r="F513" s="9" t="inlineStr">
        <is>
          <t>Sultan Qaboos Mosque, Motishwar Mandir (oldest Hindu temple in Gulf), Nizwa</t>
        </is>
      </c>
      <c r="G513" s="9" t="inlineStr">
        <is>
          <t>Temple</t>
        </is>
      </c>
      <c r="H513" s="9" t="inlineStr"/>
      <c r="I513" s="9">
        <f>IF(COUNTIF('Country Summary'!$B$5:$B$200,C513)&gt;0,"Yes","")</f>
        <v/>
      </c>
      <c r="J513" s="9" t="inlineStr"/>
    </row>
    <row r="514">
      <c r="A514" s="9" t="n">
        <v>510</v>
      </c>
      <c r="B514" s="23" t="inlineStr">
        <is>
          <t>☐</t>
        </is>
      </c>
      <c r="C514" s="9" t="inlineStr">
        <is>
          <t>Qatar</t>
        </is>
      </c>
      <c r="D514" s="9" t="inlineStr">
        <is>
          <t>Doha</t>
        </is>
      </c>
      <c r="E514" s="9" t="inlineStr">
        <is>
          <t>Doha</t>
        </is>
      </c>
      <c r="F514" s="9" t="inlineStr">
        <is>
          <t>Museum of Islamic Art, Souq Waqif, Katara</t>
        </is>
      </c>
      <c r="G514" s="9" t="inlineStr">
        <is>
          <t>Museum</t>
        </is>
      </c>
      <c r="H514" s="9" t="inlineStr"/>
      <c r="I514" s="9">
        <f>IF(COUNTIF('Country Summary'!$B$5:$B$200,C514)&gt;0,"Yes","")</f>
        <v/>
      </c>
      <c r="J514" s="9" t="inlineStr"/>
    </row>
    <row r="515">
      <c r="A515" s="9" t="n">
        <v>511</v>
      </c>
      <c r="B515" s="23" t="inlineStr">
        <is>
          <t>☐</t>
        </is>
      </c>
      <c r="C515" s="9" t="inlineStr">
        <is>
          <t>Bahrain</t>
        </is>
      </c>
      <c r="D515" s="9" t="inlineStr">
        <is>
          <t>Manama</t>
        </is>
      </c>
      <c r="E515" s="9" t="inlineStr">
        <is>
          <t>Manama</t>
        </is>
      </c>
      <c r="F515" s="9" t="inlineStr">
        <is>
          <t>Shreenathji Temple (200-yr-old), Bahrain Fort - UNESCO</t>
        </is>
      </c>
      <c r="G515" s="9" t="inlineStr">
        <is>
          <t>Temple</t>
        </is>
      </c>
      <c r="H515" s="9" t="inlineStr"/>
      <c r="I515" s="9">
        <f>IF(COUNTIF('Country Summary'!$B$5:$B$200,C515)&gt;0,"Yes","")</f>
        <v/>
      </c>
      <c r="J515" s="9" t="inlineStr"/>
    </row>
    <row r="516">
      <c r="A516" s="9" t="n">
        <v>512</v>
      </c>
      <c r="B516" s="23" t="inlineStr">
        <is>
          <t>☐</t>
        </is>
      </c>
      <c r="C516" s="9" t="inlineStr">
        <is>
          <t>Egypt</t>
        </is>
      </c>
      <c r="D516" s="9" t="inlineStr">
        <is>
          <t>Giza / Luxor</t>
        </is>
      </c>
      <c r="E516" s="9" t="inlineStr">
        <is>
          <t>Giza / Luxor / Aswan</t>
        </is>
      </c>
      <c r="F516" s="9" t="inlineStr">
        <is>
          <t>Pyramids &amp; Sphinx - UNESCO; Karnak, Valley of Kings - UNESCO; Abu Simbel; Nile cruise</t>
        </is>
      </c>
      <c r="G516" s="9" t="inlineStr">
        <is>
          <t>UNESCO</t>
        </is>
      </c>
      <c r="H516" s="9" t="inlineStr"/>
      <c r="I516" s="9">
        <f>IF(COUNTIF('Country Summary'!$B$5:$B$200,C516)&gt;0,"Yes","")</f>
        <v/>
      </c>
      <c r="J516" s="9" t="inlineStr"/>
    </row>
    <row r="517">
      <c r="A517" s="9" t="n">
        <v>513</v>
      </c>
      <c r="B517" s="23" t="inlineStr">
        <is>
          <t>☐</t>
        </is>
      </c>
      <c r="C517" s="9" t="inlineStr">
        <is>
          <t>Egypt</t>
        </is>
      </c>
      <c r="D517" s="9" t="inlineStr">
        <is>
          <t>Red Sea</t>
        </is>
      </c>
      <c r="E517" s="9" t="inlineStr">
        <is>
          <t>Hurghada / Sharm</t>
        </is>
      </c>
      <c r="F517" s="9" t="inlineStr">
        <is>
          <t>Red Sea diving, Nile felucca, Cairo museum (GEM)</t>
        </is>
      </c>
      <c r="G517" s="9" t="inlineStr">
        <is>
          <t>Beach</t>
        </is>
      </c>
      <c r="H517" s="9" t="inlineStr"/>
      <c r="I517" s="9">
        <f>IF(COUNTIF('Country Summary'!$B$5:$B$200,C517)&gt;0,"Yes","")</f>
        <v/>
      </c>
      <c r="J517" s="9" t="inlineStr"/>
    </row>
    <row r="518">
      <c r="A518" s="9" t="n">
        <v>514</v>
      </c>
      <c r="B518" s="23" t="inlineStr">
        <is>
          <t>☐</t>
        </is>
      </c>
      <c r="C518" s="9" t="inlineStr">
        <is>
          <t>Kenya</t>
        </is>
      </c>
      <c r="D518" s="9" t="inlineStr">
        <is>
          <t>Nairobi / Maasai Mara</t>
        </is>
      </c>
      <c r="E518" s="9" t="inlineStr">
        <is>
          <t>Nairobi</t>
        </is>
      </c>
      <c r="F518" s="9" t="inlineStr">
        <is>
          <t>ISKCON Nairobi; Maasai Mara migration (Jul-Oct)</t>
        </is>
      </c>
      <c r="G518" s="9" t="inlineStr">
        <is>
          <t>ISKCON</t>
        </is>
      </c>
      <c r="H518" s="9" t="inlineStr"/>
      <c r="I518" s="9">
        <f>IF(COUNTIF('Country Summary'!$B$5:$B$200,C518)&gt;0,"Yes","")</f>
        <v/>
      </c>
      <c r="J518" s="9" t="inlineStr"/>
    </row>
    <row r="519">
      <c r="A519" s="9" t="n">
        <v>515</v>
      </c>
      <c r="B519" s="23" t="inlineStr">
        <is>
          <t>☐</t>
        </is>
      </c>
      <c r="C519" s="9" t="inlineStr">
        <is>
          <t>Tanzania</t>
        </is>
      </c>
      <c r="D519" s="9" t="inlineStr">
        <is>
          <t>Arusha / Zanzibar</t>
        </is>
      </c>
      <c r="E519" s="9" t="inlineStr">
        <is>
          <t>Serengeti / Kilimanjaro / Zanzibar</t>
        </is>
      </c>
      <c r="F519" s="9" t="inlineStr">
        <is>
          <t>Serengeti - UNESCO; Kilimanjaro - UNESCO; Stone Town - UNESCO</t>
        </is>
      </c>
      <c r="G519" s="9" t="inlineStr">
        <is>
          <t>UNESCO</t>
        </is>
      </c>
      <c r="H519" s="9" t="inlineStr"/>
      <c r="I519" s="9">
        <f>IF(COUNTIF('Country Summary'!$B$5:$B$200,C519)&gt;0,"Yes","")</f>
        <v/>
      </c>
      <c r="J519" s="9" t="inlineStr"/>
    </row>
    <row r="520">
      <c r="A520" s="9" t="n">
        <v>516</v>
      </c>
      <c r="B520" s="23" t="inlineStr">
        <is>
          <t>☐</t>
        </is>
      </c>
      <c r="C520" s="9" t="inlineStr">
        <is>
          <t>South Africa</t>
        </is>
      </c>
      <c r="D520" s="9" t="inlineStr">
        <is>
          <t>Western Cape / KZN</t>
        </is>
      </c>
      <c r="E520" s="9" t="inlineStr">
        <is>
          <t>Cape Town / Durban</t>
        </is>
      </c>
      <c r="F520" s="9" t="inlineStr">
        <is>
          <t>Table Mountain, Robben Island - UNESCO; ISKCON Durban (Sri Sri Radha Radhanath), Kruger NP</t>
        </is>
      </c>
      <c r="G520" s="9" t="inlineStr">
        <is>
          <t>ISKCON</t>
        </is>
      </c>
      <c r="H520" s="9" t="inlineStr"/>
      <c r="I520" s="9">
        <f>IF(COUNTIF('Country Summary'!$B$5:$B$200,C520)&gt;0,"Yes","")</f>
        <v/>
      </c>
      <c r="J520" s="9" t="inlineStr"/>
    </row>
    <row r="521">
      <c r="A521" s="9" t="n">
        <v>517</v>
      </c>
      <c r="B521" s="23" t="inlineStr">
        <is>
          <t>☐</t>
        </is>
      </c>
      <c r="C521" s="9" t="inlineStr">
        <is>
          <t>South Africa</t>
        </is>
      </c>
      <c r="D521" s="9" t="inlineStr">
        <is>
          <t>-</t>
        </is>
      </c>
      <c r="E521" s="9" t="inlineStr">
        <is>
          <t>Cape Town / Kruger</t>
        </is>
      </c>
      <c r="F521" s="9" t="inlineStr">
        <is>
          <t>Cape of Good Hope, Boulders penguins, Garden Route, Kruger Big Five safari, Soweto</t>
        </is>
      </c>
      <c r="G521" s="9" t="inlineStr">
        <is>
          <t>Wildlife</t>
        </is>
      </c>
      <c r="H521" s="9" t="inlineStr"/>
      <c r="I521" s="9">
        <f>IF(COUNTIF('Country Summary'!$B$5:$B$200,C521)&gt;0,"Yes","")</f>
        <v/>
      </c>
      <c r="J521" s="9" t="inlineStr"/>
    </row>
    <row r="522">
      <c r="A522" s="9" t="n">
        <v>518</v>
      </c>
      <c r="B522" s="23" t="inlineStr">
        <is>
          <t>☐</t>
        </is>
      </c>
      <c r="C522" s="9" t="inlineStr">
        <is>
          <t>Morocco</t>
        </is>
      </c>
      <c r="D522" s="9" t="inlineStr">
        <is>
          <t>-</t>
        </is>
      </c>
      <c r="E522" s="9" t="inlineStr">
        <is>
          <t>Marrakech / Fes / Chefchaouen</t>
        </is>
      </c>
      <c r="F522" s="9" t="inlineStr">
        <is>
          <t>Medinas - UNESCO</t>
        </is>
      </c>
      <c r="G522" s="9" t="inlineStr">
        <is>
          <t>UNESCO</t>
        </is>
      </c>
      <c r="H522" s="9" t="inlineStr"/>
      <c r="I522" s="9">
        <f>IF(COUNTIF('Country Summary'!$B$5:$B$200,C522)&gt;0,"Yes","")</f>
        <v/>
      </c>
      <c r="J522" s="9" t="inlineStr"/>
    </row>
    <row r="523">
      <c r="A523" s="9" t="n">
        <v>519</v>
      </c>
      <c r="B523" s="23" t="inlineStr">
        <is>
          <t>☐</t>
        </is>
      </c>
      <c r="C523" s="9" t="inlineStr">
        <is>
          <t>Morocco</t>
        </is>
      </c>
      <c r="D523" s="9" t="inlineStr">
        <is>
          <t>-</t>
        </is>
      </c>
      <c r="E523" s="9" t="inlineStr">
        <is>
          <t>Marrakech / Sahara</t>
        </is>
      </c>
      <c r="F523" s="9" t="inlineStr">
        <is>
          <t>Jemaa el-Fnaa, Merzouga desert camp, Atlas mountains</t>
        </is>
      </c>
      <c r="G523" s="9" t="inlineStr">
        <is>
          <t>Sightseeing</t>
        </is>
      </c>
      <c r="H523" s="9" t="inlineStr"/>
      <c r="I523" s="9">
        <f>IF(COUNTIF('Country Summary'!$B$5:$B$200,C523)&gt;0,"Yes","")</f>
        <v/>
      </c>
      <c r="J523" s="9" t="inlineStr"/>
    </row>
    <row r="524">
      <c r="A524" s="9" t="n">
        <v>520</v>
      </c>
      <c r="B524" s="23" t="inlineStr">
        <is>
          <t>☐</t>
        </is>
      </c>
      <c r="C524" s="9" t="inlineStr">
        <is>
          <t>Ethiopia</t>
        </is>
      </c>
      <c r="D524" s="9" t="inlineStr">
        <is>
          <t>Amhara</t>
        </is>
      </c>
      <c r="E524" s="9" t="inlineStr">
        <is>
          <t>Lalibela</t>
        </is>
      </c>
      <c r="F524" s="9" t="inlineStr">
        <is>
          <t>Rock-hewn churches - UNESCO</t>
        </is>
      </c>
      <c r="G524" s="9" t="inlineStr">
        <is>
          <t>UNESCO</t>
        </is>
      </c>
      <c r="H524" s="9" t="inlineStr"/>
      <c r="I524" s="9">
        <f>IF(COUNTIF('Country Summary'!$B$5:$B$200,C524)&gt;0,"Yes","")</f>
        <v/>
      </c>
      <c r="J524" s="9" t="inlineStr"/>
    </row>
    <row r="525">
      <c r="A525" s="9" t="n">
        <v>521</v>
      </c>
      <c r="B525" s="23" t="inlineStr">
        <is>
          <t>☐</t>
        </is>
      </c>
      <c r="C525" s="9" t="inlineStr">
        <is>
          <t>Zimbabwe / Zambia</t>
        </is>
      </c>
      <c r="D525" s="9" t="inlineStr">
        <is>
          <t>-</t>
        </is>
      </c>
      <c r="E525" s="9" t="inlineStr">
        <is>
          <t>Victoria Falls</t>
        </is>
      </c>
      <c r="F525" s="9" t="inlineStr">
        <is>
          <t>Victoria Falls - UNESCO</t>
        </is>
      </c>
      <c r="G525" s="9" t="inlineStr">
        <is>
          <t>UNESCO</t>
        </is>
      </c>
      <c r="H525" s="9" t="inlineStr"/>
      <c r="I525" s="9">
        <f>IF(COUNTIF('Country Summary'!$B$5:$B$200,C525)&gt;0,"Yes","")</f>
        <v/>
      </c>
      <c r="J525" s="9" t="inlineStr"/>
    </row>
    <row r="526">
      <c r="A526" s="9" t="n">
        <v>522</v>
      </c>
      <c r="B526" s="23" t="inlineStr">
        <is>
          <t>☐</t>
        </is>
      </c>
      <c r="C526" s="9" t="inlineStr">
        <is>
          <t>Uganda / Rwanda</t>
        </is>
      </c>
      <c r="D526" s="9" t="inlineStr">
        <is>
          <t>-</t>
        </is>
      </c>
      <c r="E526" s="9" t="inlineStr">
        <is>
          <t>Bwindi / Volcanoes</t>
        </is>
      </c>
      <c r="F526" s="9" t="inlineStr">
        <is>
          <t>Mountain gorillas; ISKCON Kampala</t>
        </is>
      </c>
      <c r="G526" s="9" t="inlineStr">
        <is>
          <t>Nature</t>
        </is>
      </c>
      <c r="H526" s="9" t="inlineStr"/>
      <c r="I526" s="9">
        <f>IF(COUNTIF('Country Summary'!$B$5:$B$200,C526)&gt;0,"Yes","")</f>
        <v/>
      </c>
      <c r="J526" s="9" t="inlineStr"/>
    </row>
    <row r="527">
      <c r="A527" s="9" t="n">
        <v>523</v>
      </c>
      <c r="B527" s="23" t="inlineStr">
        <is>
          <t>☐</t>
        </is>
      </c>
      <c r="C527" s="9" t="inlineStr">
        <is>
          <t>Canada</t>
        </is>
      </c>
      <c r="D527" s="9" t="inlineStr">
        <is>
          <t>Ontario</t>
        </is>
      </c>
      <c r="E527" s="9" t="inlineStr">
        <is>
          <t>Toronto / Niagara</t>
        </is>
      </c>
      <c r="F527" s="9" t="inlineStr">
        <is>
          <t>ISKCON Toronto (Hare Krishna Centre); CN Tower; Niagara Falls</t>
        </is>
      </c>
      <c r="G527" s="9" t="inlineStr">
        <is>
          <t>ISKCON</t>
        </is>
      </c>
      <c r="H527" s="9" t="inlineStr"/>
      <c r="I527" s="9">
        <f>IF(COUNTIF('Country Summary'!$B$5:$B$200,C527)&gt;0,"Yes","")</f>
        <v/>
      </c>
      <c r="J527" s="9" t="inlineStr"/>
    </row>
    <row r="528">
      <c r="A528" s="9" t="n">
        <v>524</v>
      </c>
      <c r="B528" s="23" t="inlineStr">
        <is>
          <t>☐</t>
        </is>
      </c>
      <c r="C528" s="9" t="inlineStr">
        <is>
          <t>Canada</t>
        </is>
      </c>
      <c r="D528" s="9" t="inlineStr">
        <is>
          <t>British Columbia</t>
        </is>
      </c>
      <c r="E528" s="9" t="inlineStr">
        <is>
          <t>Vancouver / Banff</t>
        </is>
      </c>
      <c r="F528" s="9" t="inlineStr">
        <is>
          <t>ISKCON Vancouver (Burnaby); Banff &amp; Jasper - UNESCO</t>
        </is>
      </c>
      <c r="G528" s="9" t="inlineStr">
        <is>
          <t>UNESCO</t>
        </is>
      </c>
      <c r="H528" s="9" t="inlineStr"/>
      <c r="I528" s="9">
        <f>IF(COUNTIF('Country Summary'!$B$5:$B$200,C528)&gt;0,"Yes","")</f>
        <v/>
      </c>
      <c r="J528" s="9" t="inlineStr"/>
    </row>
    <row r="529">
      <c r="A529" s="9" t="n">
        <v>525</v>
      </c>
      <c r="B529" s="23" t="inlineStr">
        <is>
          <t>☐</t>
        </is>
      </c>
      <c r="C529" s="9" t="inlineStr">
        <is>
          <t>Canada</t>
        </is>
      </c>
      <c r="D529" s="9" t="inlineStr">
        <is>
          <t>Quebec</t>
        </is>
      </c>
      <c r="E529" s="9" t="inlineStr">
        <is>
          <t>Montreal / Quebec City</t>
        </is>
      </c>
      <c r="F529" s="9" t="inlineStr">
        <is>
          <t>ISKCON Montreal; Old Quebec - UNESCO</t>
        </is>
      </c>
      <c r="G529" s="9" t="inlineStr">
        <is>
          <t>UNESCO</t>
        </is>
      </c>
      <c r="H529" s="9" t="inlineStr"/>
      <c r="I529" s="9">
        <f>IF(COUNTIF('Country Summary'!$B$5:$B$200,C529)&gt;0,"Yes","")</f>
        <v/>
      </c>
      <c r="J529" s="9" t="inlineStr"/>
    </row>
    <row r="530">
      <c r="A530" s="9" t="n">
        <v>526</v>
      </c>
      <c r="B530" s="23" t="inlineStr">
        <is>
          <t>☐</t>
        </is>
      </c>
      <c r="C530" s="9" t="inlineStr">
        <is>
          <t>Canada</t>
        </is>
      </c>
      <c r="D530" s="9" t="inlineStr">
        <is>
          <t>Ontario / Alberta</t>
        </is>
      </c>
      <c r="E530" s="9" t="inlineStr">
        <is>
          <t>Niagara / Banff</t>
        </is>
      </c>
      <c r="F530" s="9" t="inlineStr">
        <is>
          <t>Hornblower cruise (Canadian side), Lake Louise, Moraine Lake, Icefields Parkway, Jasper</t>
        </is>
      </c>
      <c r="G530" s="9" t="inlineStr">
        <is>
          <t>Nature</t>
        </is>
      </c>
      <c r="H530" s="9" t="inlineStr"/>
      <c r="I530" s="9">
        <f>IF(COUNTIF('Country Summary'!$B$5:$B$200,C530)&gt;0,"Yes","")</f>
        <v/>
      </c>
      <c r="J530" s="9" t="inlineStr"/>
    </row>
    <row r="531">
      <c r="A531" s="9" t="n">
        <v>527</v>
      </c>
      <c r="B531" s="23" t="inlineStr">
        <is>
          <t>☐</t>
        </is>
      </c>
      <c r="C531" s="9" t="inlineStr">
        <is>
          <t>Canada</t>
        </is>
      </c>
      <c r="D531" s="9" t="inlineStr">
        <is>
          <t>Quebec / BC</t>
        </is>
      </c>
      <c r="E531" s="9" t="inlineStr">
        <is>
          <t>Montreal / Vancouver</t>
        </is>
      </c>
      <c r="F531" s="9" t="inlineStr">
        <is>
          <t>Old Quebec, Stanley Park, Capilano suspension bridge, Whistler</t>
        </is>
      </c>
      <c r="G531" s="9" t="inlineStr">
        <is>
          <t>Sightseeing</t>
        </is>
      </c>
      <c r="H531" s="9" t="inlineStr"/>
      <c r="I531" s="9">
        <f>IF(COUNTIF('Country Summary'!$B$5:$B$200,C531)&gt;0,"Yes","")</f>
        <v/>
      </c>
      <c r="J531" s="9" t="inlineStr"/>
    </row>
    <row r="532">
      <c r="A532" s="9" t="n">
        <v>528</v>
      </c>
      <c r="B532" s="23" t="inlineStr">
        <is>
          <t>☐</t>
        </is>
      </c>
      <c r="C532" s="9" t="inlineStr">
        <is>
          <t>Mexico</t>
        </is>
      </c>
      <c r="D532" s="9" t="inlineStr">
        <is>
          <t>Yucatan</t>
        </is>
      </c>
      <c r="E532" s="9" t="inlineStr">
        <is>
          <t>Chichen Itza / Tulum / Cancun</t>
        </is>
      </c>
      <c r="F532" s="9" t="inlineStr">
        <is>
          <t>Chichen Itza - UNESCO; Tulum</t>
        </is>
      </c>
      <c r="G532" s="9" t="inlineStr">
        <is>
          <t>UNESCO</t>
        </is>
      </c>
      <c r="H532" s="9" t="inlineStr"/>
      <c r="I532" s="9">
        <f>IF(COUNTIF('Country Summary'!$B$5:$B$200,C532)&gt;0,"Yes","")</f>
        <v/>
      </c>
      <c r="J532" s="9" t="inlineStr"/>
    </row>
    <row r="533">
      <c r="A533" s="9" t="n">
        <v>529</v>
      </c>
      <c r="B533" s="23" t="inlineStr">
        <is>
          <t>☐</t>
        </is>
      </c>
      <c r="C533" s="9" t="inlineStr">
        <is>
          <t>Mexico</t>
        </is>
      </c>
      <c r="D533" s="9" t="inlineStr">
        <is>
          <t>Mexico City</t>
        </is>
      </c>
      <c r="E533" s="9" t="inlineStr">
        <is>
          <t>Mexico City</t>
        </is>
      </c>
      <c r="F533" s="9" t="inlineStr">
        <is>
          <t>Teotihuacan - UNESCO; Zocalo; ISKCON Mexico City</t>
        </is>
      </c>
      <c r="G533" s="9" t="inlineStr">
        <is>
          <t>UNESCO</t>
        </is>
      </c>
      <c r="H533" s="9" t="inlineStr"/>
      <c r="I533" s="9">
        <f>IF(COUNTIF('Country Summary'!$B$5:$B$200,C533)&gt;0,"Yes","")</f>
        <v/>
      </c>
      <c r="J533" s="9" t="inlineStr"/>
    </row>
    <row r="534">
      <c r="A534" s="9" t="n">
        <v>530</v>
      </c>
      <c r="B534" s="23" t="inlineStr">
        <is>
          <t>☐</t>
        </is>
      </c>
      <c r="C534" s="9" t="inlineStr">
        <is>
          <t>Mexico</t>
        </is>
      </c>
      <c r="D534" s="9" t="inlineStr">
        <is>
          <t>Quintana Roo</t>
        </is>
      </c>
      <c r="E534" s="9" t="inlineStr">
        <is>
          <t>Cancun / Riviera Maya</t>
        </is>
      </c>
      <c r="F534" s="9" t="inlineStr">
        <is>
          <t>Xcaret park, cenotes, Isla Mujeres, Cozumel</t>
        </is>
      </c>
      <c r="G534" s="9" t="inlineStr">
        <is>
          <t>Beach</t>
        </is>
      </c>
      <c r="H534" s="9" t="inlineStr"/>
      <c r="I534" s="9">
        <f>IF(COUNTIF('Country Summary'!$B$5:$B$200,C534)&gt;0,"Yes","")</f>
        <v/>
      </c>
      <c r="J534" s="9" t="inlineStr"/>
    </row>
    <row r="535">
      <c r="A535" s="9" t="n">
        <v>531</v>
      </c>
      <c r="B535" s="23" t="inlineStr">
        <is>
          <t>☐</t>
        </is>
      </c>
      <c r="C535" s="9" t="inlineStr">
        <is>
          <t>Peru</t>
        </is>
      </c>
      <c r="D535" s="9" t="inlineStr">
        <is>
          <t>Cusco</t>
        </is>
      </c>
      <c r="E535" s="9" t="inlineStr">
        <is>
          <t>Machu Picchu / Cusco</t>
        </is>
      </c>
      <c r="F535" s="9" t="inlineStr">
        <is>
          <t>Machu Picchu - UNESCO; Sacred Valley; ISKCON Cusco</t>
        </is>
      </c>
      <c r="G535" s="9" t="inlineStr">
        <is>
          <t>UNESCO</t>
        </is>
      </c>
      <c r="H535" s="9" t="inlineStr"/>
      <c r="I535" s="9">
        <f>IF(COUNTIF('Country Summary'!$B$5:$B$200,C535)&gt;0,"Yes","")</f>
        <v/>
      </c>
      <c r="J535" s="9" t="inlineStr"/>
    </row>
    <row r="536">
      <c r="A536" s="9" t="n">
        <v>532</v>
      </c>
      <c r="B536" s="23" t="inlineStr">
        <is>
          <t>☐</t>
        </is>
      </c>
      <c r="C536" s="9" t="inlineStr">
        <is>
          <t>Peru</t>
        </is>
      </c>
      <c r="D536" s="9" t="inlineStr">
        <is>
          <t>Lima / Puno</t>
        </is>
      </c>
      <c r="E536" s="9" t="inlineStr">
        <is>
          <t>Lima / Lake Titicaca</t>
        </is>
      </c>
      <c r="F536" s="9" t="inlineStr">
        <is>
          <t>Historic centre - UNESCO; Titicaca</t>
        </is>
      </c>
      <c r="G536" s="9" t="inlineStr">
        <is>
          <t>UNESCO</t>
        </is>
      </c>
      <c r="H536" s="9" t="inlineStr"/>
      <c r="I536" s="9">
        <f>IF(COUNTIF('Country Summary'!$B$5:$B$200,C536)&gt;0,"Yes","")</f>
        <v/>
      </c>
      <c r="J536" s="9" t="inlineStr"/>
    </row>
    <row r="537">
      <c r="A537" s="9" t="n">
        <v>533</v>
      </c>
      <c r="B537" s="23" t="inlineStr">
        <is>
          <t>☐</t>
        </is>
      </c>
      <c r="C537" s="9" t="inlineStr">
        <is>
          <t>Brazil</t>
        </is>
      </c>
      <c r="D537" s="9" t="inlineStr">
        <is>
          <t>Rio / Sao Paulo</t>
        </is>
      </c>
      <c r="E537" s="9" t="inlineStr">
        <is>
          <t>Rio de Janeiro</t>
        </is>
      </c>
      <c r="F537" s="9" t="inlineStr">
        <is>
          <t>Christ the Redeemer, Sugarloaf - UNESCO; Iguazu Falls - UNESCO; Nova Gokula (ISKCON farm, Pindamonhangaba)</t>
        </is>
      </c>
      <c r="G537" s="9" t="inlineStr">
        <is>
          <t>UNESCO</t>
        </is>
      </c>
      <c r="H537" s="9" t="inlineStr"/>
      <c r="I537" s="9">
        <f>IF(COUNTIF('Country Summary'!$B$5:$B$200,C537)&gt;0,"Yes","")</f>
        <v/>
      </c>
      <c r="J537" s="9" t="inlineStr"/>
    </row>
    <row r="538">
      <c r="A538" s="9" t="n">
        <v>534</v>
      </c>
      <c r="B538" s="23" t="inlineStr">
        <is>
          <t>☐</t>
        </is>
      </c>
      <c r="C538" s="9" t="inlineStr">
        <is>
          <t>Brazil</t>
        </is>
      </c>
      <c r="D538" s="9" t="inlineStr">
        <is>
          <t>Rio</t>
        </is>
      </c>
      <c r="E538" s="9" t="inlineStr">
        <is>
          <t>Rio de Janeiro</t>
        </is>
      </c>
      <c r="F538" s="9" t="inlineStr">
        <is>
          <t>Copacabana, Ipanema, Carnival (Feb-Mar), Selaron steps</t>
        </is>
      </c>
      <c r="G538" s="9" t="inlineStr">
        <is>
          <t>Beach</t>
        </is>
      </c>
      <c r="H538" s="9" t="inlineStr"/>
      <c r="I538" s="9">
        <f>IF(COUNTIF('Country Summary'!$B$5:$B$200,C538)&gt;0,"Yes","")</f>
        <v/>
      </c>
      <c r="J538" s="9" t="inlineStr"/>
    </row>
    <row r="539">
      <c r="A539" s="9" t="n">
        <v>535</v>
      </c>
      <c r="B539" s="23" t="inlineStr">
        <is>
          <t>☐</t>
        </is>
      </c>
      <c r="C539" s="9" t="inlineStr">
        <is>
          <t>Argentina</t>
        </is>
      </c>
      <c r="D539" s="9" t="inlineStr">
        <is>
          <t>Buenos Aires / Misiones</t>
        </is>
      </c>
      <c r="E539" s="9" t="inlineStr">
        <is>
          <t>Buenos Aires / Iguazu</t>
        </is>
      </c>
      <c r="F539" s="9" t="inlineStr">
        <is>
          <t>Recoleta, Tango; Iguazu - UNESCO; Perito Moreno glacier</t>
        </is>
      </c>
      <c r="G539" s="9" t="inlineStr">
        <is>
          <t>UNESCO</t>
        </is>
      </c>
      <c r="H539" s="9" t="inlineStr"/>
      <c r="I539" s="9">
        <f>IF(COUNTIF('Country Summary'!$B$5:$B$200,C539)&gt;0,"Yes","")</f>
        <v/>
      </c>
      <c r="J539" s="9" t="inlineStr"/>
    </row>
    <row r="540">
      <c r="A540" s="9" t="n">
        <v>536</v>
      </c>
      <c r="B540" s="23" t="inlineStr">
        <is>
          <t>☐</t>
        </is>
      </c>
      <c r="C540" s="9" t="inlineStr">
        <is>
          <t>Chile</t>
        </is>
      </c>
      <c r="D540" s="9" t="inlineStr">
        <is>
          <t>-</t>
        </is>
      </c>
      <c r="E540" s="9" t="inlineStr">
        <is>
          <t>Santiago / Atacama / Easter Island</t>
        </is>
      </c>
      <c r="F540" s="9" t="inlineStr">
        <is>
          <t>Atacama desert; Rapa Nui moai - UNESCO</t>
        </is>
      </c>
      <c r="G540" s="9" t="inlineStr">
        <is>
          <t>UNESCO</t>
        </is>
      </c>
      <c r="H540" s="9" t="inlineStr"/>
      <c r="I540" s="9">
        <f>IF(COUNTIF('Country Summary'!$B$5:$B$200,C540)&gt;0,"Yes","")</f>
        <v/>
      </c>
      <c r="J540" s="9" t="inlineStr"/>
    </row>
    <row r="541">
      <c r="A541" s="9" t="n">
        <v>537</v>
      </c>
      <c r="B541" s="23" t="inlineStr">
        <is>
          <t>☐</t>
        </is>
      </c>
      <c r="C541" s="9" t="inlineStr">
        <is>
          <t>Colombia</t>
        </is>
      </c>
      <c r="D541" s="9" t="inlineStr">
        <is>
          <t>-</t>
        </is>
      </c>
      <c r="E541" s="9" t="inlineStr">
        <is>
          <t>Cartagena / Bogota</t>
        </is>
      </c>
      <c r="F541" s="9" t="inlineStr">
        <is>
          <t>Cartagena old city - UNESCO</t>
        </is>
      </c>
      <c r="G541" s="9" t="inlineStr">
        <is>
          <t>UNESCO</t>
        </is>
      </c>
      <c r="H541" s="9" t="inlineStr"/>
      <c r="I541" s="9">
        <f>IF(COUNTIF('Country Summary'!$B$5:$B$200,C541)&gt;0,"Yes","")</f>
        <v/>
      </c>
      <c r="J541" s="9" t="inlineStr"/>
    </row>
    <row r="542">
      <c r="A542" s="9" t="n">
        <v>538</v>
      </c>
      <c r="B542" s="23" t="inlineStr">
        <is>
          <t>☐</t>
        </is>
      </c>
      <c r="C542" s="9" t="inlineStr">
        <is>
          <t>Guyana / Trinidad / Suriname</t>
        </is>
      </c>
      <c r="D542" s="9" t="inlineStr">
        <is>
          <t>-</t>
        </is>
      </c>
      <c r="E542" s="9" t="inlineStr">
        <is>
          <t>Georgetown / Port of Spain / Paramaribo</t>
        </is>
      </c>
      <c r="F542" s="9" t="inlineStr">
        <is>
          <t>Hindu diaspora temples; Temple in the Sea (Waterloo, Trinidad); ISKCON Guyana</t>
        </is>
      </c>
      <c r="G542" s="9" t="inlineStr">
        <is>
          <t>Temple</t>
        </is>
      </c>
      <c r="H542" s="9" t="inlineStr"/>
      <c r="I542" s="9">
        <f>IF(COUNTIF('Country Summary'!$B$5:$B$200,C542)&gt;0,"Yes","")</f>
        <v/>
      </c>
      <c r="J542" s="9" t="inlineStr"/>
    </row>
    <row r="543">
      <c r="A543" s="9" t="n">
        <v>539</v>
      </c>
      <c r="B543" s="23" t="inlineStr">
        <is>
          <t>☐</t>
        </is>
      </c>
      <c r="C543" s="9" t="inlineStr">
        <is>
          <t>Cuba</t>
        </is>
      </c>
      <c r="D543" s="9" t="inlineStr">
        <is>
          <t>Havana</t>
        </is>
      </c>
      <c r="E543" s="9" t="inlineStr">
        <is>
          <t>Havana</t>
        </is>
      </c>
      <c r="F543" s="9" t="inlineStr">
        <is>
          <t>Old Havana - UNESCO</t>
        </is>
      </c>
      <c r="G543" s="9" t="inlineStr">
        <is>
          <t>UNESCO</t>
        </is>
      </c>
      <c r="H543" s="9" t="inlineStr"/>
      <c r="I543" s="9">
        <f>IF(COUNTIF('Country Summary'!$B$5:$B$200,C543)&gt;0,"Yes","")</f>
        <v/>
      </c>
      <c r="J543" s="9" t="inlineStr"/>
    </row>
    <row r="544">
      <c r="A544" s="9" t="n">
        <v>540</v>
      </c>
      <c r="B544" s="23" t="inlineStr">
        <is>
          <t>☐</t>
        </is>
      </c>
      <c r="C544" s="9" t="inlineStr">
        <is>
          <t>Costa Rica / Panama</t>
        </is>
      </c>
      <c r="D544" s="9" t="inlineStr">
        <is>
          <t>-</t>
        </is>
      </c>
      <c r="E544" s="9" t="inlineStr">
        <is>
          <t>Arenal / Panama City</t>
        </is>
      </c>
      <c r="F544" s="9" t="inlineStr">
        <is>
          <t>Rainforest, Panama Canal</t>
        </is>
      </c>
      <c r="G544" s="9" t="inlineStr">
        <is>
          <t>Nature</t>
        </is>
      </c>
      <c r="H544" s="9" t="inlineStr"/>
      <c r="I544" s="9">
        <f>IF(COUNTIF('Country Summary'!$B$5:$B$200,C544)&gt;0,"Yes","")</f>
        <v/>
      </c>
      <c r="J544" s="9" t="inlineStr"/>
    </row>
    <row r="545">
      <c r="A545" s="9" t="n">
        <v>541</v>
      </c>
      <c r="B545" s="23" t="inlineStr">
        <is>
          <t>☐</t>
        </is>
      </c>
      <c r="C545" s="9" t="inlineStr">
        <is>
          <t>Australia</t>
        </is>
      </c>
      <c r="D545" s="9" t="inlineStr">
        <is>
          <t>New South Wales</t>
        </is>
      </c>
      <c r="E545" s="9" t="inlineStr">
        <is>
          <t>Sydney</t>
        </is>
      </c>
      <c r="F545" s="9" t="inlineStr">
        <is>
          <t>Opera House - UNESCO, Harbour Bridge, Bondi; ISKCON Sydney (North Sydney)</t>
        </is>
      </c>
      <c r="G545" s="9" t="inlineStr">
        <is>
          <t>UNESCO</t>
        </is>
      </c>
      <c r="H545" s="9" t="inlineStr"/>
      <c r="I545" s="9">
        <f>IF(COUNTIF('Country Summary'!$B$5:$B$200,C545)&gt;0,"Yes","")</f>
        <v/>
      </c>
      <c r="J545" s="9" t="inlineStr"/>
    </row>
    <row r="546">
      <c r="A546" s="9" t="n">
        <v>542</v>
      </c>
      <c r="B546" s="23" t="inlineStr">
        <is>
          <t>☐</t>
        </is>
      </c>
      <c r="C546" s="9" t="inlineStr">
        <is>
          <t>Australia</t>
        </is>
      </c>
      <c r="D546" s="9" t="inlineStr">
        <is>
          <t>New South Wales</t>
        </is>
      </c>
      <c r="E546" s="9" t="inlineStr">
        <is>
          <t>Murwillumbah</t>
        </is>
      </c>
      <c r="F546" s="9" t="inlineStr">
        <is>
          <t>New Govardhana (ISKCON farm); Byron Bay</t>
        </is>
      </c>
      <c r="G546" s="9" t="inlineStr">
        <is>
          <t>ISKCON</t>
        </is>
      </c>
      <c r="H546" s="9" t="inlineStr"/>
      <c r="I546" s="9">
        <f>IF(COUNTIF('Country Summary'!$B$5:$B$200,C546)&gt;0,"Yes","")</f>
        <v/>
      </c>
      <c r="J546" s="9" t="inlineStr"/>
    </row>
    <row r="547">
      <c r="A547" s="9" t="n">
        <v>543</v>
      </c>
      <c r="B547" s="23" t="inlineStr">
        <is>
          <t>☐</t>
        </is>
      </c>
      <c r="C547" s="9" t="inlineStr">
        <is>
          <t>Australia</t>
        </is>
      </c>
      <c r="D547" s="9" t="inlineStr">
        <is>
          <t>Victoria</t>
        </is>
      </c>
      <c r="E547" s="9" t="inlineStr">
        <is>
          <t>Melbourne</t>
        </is>
      </c>
      <c r="F547" s="9" t="inlineStr">
        <is>
          <t>ISKCON Melbourne (Albert Park); Great Ocean Road (Twelve Apostles); New Nandagram</t>
        </is>
      </c>
      <c r="G547" s="9" t="inlineStr">
        <is>
          <t>ISKCON</t>
        </is>
      </c>
      <c r="H547" s="9" t="inlineStr"/>
      <c r="I547" s="9">
        <f>IF(COUNTIF('Country Summary'!$B$5:$B$200,C547)&gt;0,"Yes","")</f>
        <v/>
      </c>
      <c r="J547" s="9" t="inlineStr"/>
    </row>
    <row r="548">
      <c r="A548" s="9" t="n">
        <v>544</v>
      </c>
      <c r="B548" s="23" t="inlineStr">
        <is>
          <t>☐</t>
        </is>
      </c>
      <c r="C548" s="9" t="inlineStr">
        <is>
          <t>Australia</t>
        </is>
      </c>
      <c r="D548" s="9" t="inlineStr">
        <is>
          <t>Queensland</t>
        </is>
      </c>
      <c r="E548" s="9" t="inlineStr">
        <is>
          <t>Brisbane / Cairns / Gold Coast</t>
        </is>
      </c>
      <c r="F548" s="9" t="inlineStr">
        <is>
          <t>Great Barrier Reef - UNESCO; ISKCON Brisbane; Daintree</t>
        </is>
      </c>
      <c r="G548" s="9" t="inlineStr">
        <is>
          <t>UNESCO</t>
        </is>
      </c>
      <c r="H548" s="9" t="inlineStr"/>
      <c r="I548" s="9">
        <f>IF(COUNTIF('Country Summary'!$B$5:$B$200,C548)&gt;0,"Yes","")</f>
        <v/>
      </c>
      <c r="J548" s="9" t="inlineStr"/>
    </row>
    <row r="549">
      <c r="A549" s="9" t="n">
        <v>545</v>
      </c>
      <c r="B549" s="23" t="inlineStr">
        <is>
          <t>☐</t>
        </is>
      </c>
      <c r="C549" s="9" t="inlineStr">
        <is>
          <t>Australia</t>
        </is>
      </c>
      <c r="D549" s="9" t="inlineStr">
        <is>
          <t>Northern Territory</t>
        </is>
      </c>
      <c r="E549" s="9" t="inlineStr">
        <is>
          <t>Uluru</t>
        </is>
      </c>
      <c r="F549" s="9" t="inlineStr">
        <is>
          <t>Uluru-Kata Tjuta - UNESCO</t>
        </is>
      </c>
      <c r="G549" s="9" t="inlineStr">
        <is>
          <t>UNESCO</t>
        </is>
      </c>
      <c r="H549" s="9" t="inlineStr"/>
      <c r="I549" s="9">
        <f>IF(COUNTIF('Country Summary'!$B$5:$B$200,C549)&gt;0,"Yes","")</f>
        <v/>
      </c>
      <c r="J549" s="9" t="inlineStr"/>
    </row>
    <row r="550">
      <c r="A550" s="9" t="n">
        <v>546</v>
      </c>
      <c r="B550" s="23" t="inlineStr">
        <is>
          <t>☐</t>
        </is>
      </c>
      <c r="C550" s="9" t="inlineStr">
        <is>
          <t>Australia</t>
        </is>
      </c>
      <c r="D550" s="9" t="inlineStr">
        <is>
          <t>Western Australia</t>
        </is>
      </c>
      <c r="E550" s="9" t="inlineStr">
        <is>
          <t>Perth</t>
        </is>
      </c>
      <c r="F550" s="9" t="inlineStr">
        <is>
          <t>ISKCON Perth; Pinnacles, Rottnest</t>
        </is>
      </c>
      <c r="G550" s="9" t="inlineStr">
        <is>
          <t>ISKCON</t>
        </is>
      </c>
      <c r="H550" s="9" t="inlineStr"/>
      <c r="I550" s="9">
        <f>IF(COUNTIF('Country Summary'!$B$5:$B$200,C550)&gt;0,"Yes","")</f>
        <v/>
      </c>
      <c r="J550" s="9" t="inlineStr"/>
    </row>
    <row r="551">
      <c r="A551" s="9" t="n">
        <v>547</v>
      </c>
      <c r="B551" s="23" t="inlineStr">
        <is>
          <t>☐</t>
        </is>
      </c>
      <c r="C551" s="9" t="inlineStr">
        <is>
          <t>Australia</t>
        </is>
      </c>
      <c r="D551" s="9" t="inlineStr">
        <is>
          <t>Tasmania</t>
        </is>
      </c>
      <c r="E551" s="9" t="inlineStr">
        <is>
          <t>Hobart</t>
        </is>
      </c>
      <c r="F551" s="9" t="inlineStr">
        <is>
          <t>Cradle Mountain, MONA</t>
        </is>
      </c>
      <c r="G551" s="9" t="inlineStr">
        <is>
          <t>Nature</t>
        </is>
      </c>
      <c r="H551" s="9" t="inlineStr"/>
      <c r="I551" s="9">
        <f>IF(COUNTIF('Country Summary'!$B$5:$B$200,C551)&gt;0,"Yes","")</f>
        <v/>
      </c>
      <c r="J551" s="9" t="inlineStr"/>
    </row>
    <row r="552">
      <c r="A552" s="9" t="n">
        <v>548</v>
      </c>
      <c r="B552" s="23" t="inlineStr">
        <is>
          <t>☐</t>
        </is>
      </c>
      <c r="C552" s="9" t="inlineStr">
        <is>
          <t>Australia</t>
        </is>
      </c>
      <c r="D552" s="9" t="inlineStr">
        <is>
          <t>New South Wales</t>
        </is>
      </c>
      <c r="E552" s="9" t="inlineStr">
        <is>
          <t>Sydney</t>
        </is>
      </c>
      <c r="F552" s="9" t="inlineStr">
        <is>
          <t>Blue Mountains, Bondi-Coogee walk, Taronga Zoo, Sydney Harbour cruise, Vivid (May-Jun)</t>
        </is>
      </c>
      <c r="G552" s="9" t="inlineStr">
        <is>
          <t>Sightseeing</t>
        </is>
      </c>
      <c r="H552" s="9" t="inlineStr"/>
      <c r="I552" s="9">
        <f>IF(COUNTIF('Country Summary'!$B$5:$B$200,C552)&gt;0,"Yes","")</f>
        <v/>
      </c>
      <c r="J552" s="9" t="inlineStr"/>
    </row>
    <row r="553">
      <c r="A553" s="9" t="n">
        <v>549</v>
      </c>
      <c r="B553" s="23" t="inlineStr">
        <is>
          <t>☐</t>
        </is>
      </c>
      <c r="C553" s="9" t="inlineStr">
        <is>
          <t>Australia</t>
        </is>
      </c>
      <c r="D553" s="9" t="inlineStr">
        <is>
          <t>Victoria</t>
        </is>
      </c>
      <c r="E553" s="9" t="inlineStr">
        <is>
          <t>Melbourne / Phillip Island</t>
        </is>
      </c>
      <c r="F553" s="9" t="inlineStr">
        <is>
          <t>Penguin parade, Yarra Valley, MCG tour, Puffing Billy</t>
        </is>
      </c>
      <c r="G553" s="9" t="inlineStr">
        <is>
          <t>Sightseeing</t>
        </is>
      </c>
      <c r="H553" s="9" t="inlineStr"/>
      <c r="I553" s="9">
        <f>IF(COUNTIF('Country Summary'!$B$5:$B$200,C553)&gt;0,"Yes","")</f>
        <v/>
      </c>
      <c r="J553" s="9" t="inlineStr"/>
    </row>
    <row r="554">
      <c r="A554" s="9" t="n">
        <v>550</v>
      </c>
      <c r="B554" s="23" t="inlineStr">
        <is>
          <t>☐</t>
        </is>
      </c>
      <c r="C554" s="9" t="inlineStr">
        <is>
          <t>Australia</t>
        </is>
      </c>
      <c r="D554" s="9" t="inlineStr">
        <is>
          <t>Queensland</t>
        </is>
      </c>
      <c r="E554" s="9" t="inlineStr">
        <is>
          <t>Gold Coast / Cairns</t>
        </is>
      </c>
      <c r="F554" s="9" t="inlineStr">
        <is>
          <t>Movie World, Dreamworld, Sea World; reef snorkel/dive, Kuranda railway</t>
        </is>
      </c>
      <c r="G554" s="9" t="inlineStr">
        <is>
          <t>Theme park</t>
        </is>
      </c>
      <c r="H554" s="9" t="inlineStr"/>
      <c r="I554" s="9">
        <f>IF(COUNTIF('Country Summary'!$B$5:$B$200,C554)&gt;0,"Yes","")</f>
        <v/>
      </c>
      <c r="J554" s="9" t="inlineStr"/>
    </row>
    <row r="555">
      <c r="A555" s="9" t="n">
        <v>551</v>
      </c>
      <c r="B555" s="23" t="inlineStr">
        <is>
          <t>☐</t>
        </is>
      </c>
      <c r="C555" s="9" t="inlineStr">
        <is>
          <t>New Zealand</t>
        </is>
      </c>
      <c r="D555" s="9" t="inlineStr">
        <is>
          <t>North Island</t>
        </is>
      </c>
      <c r="E555" s="9" t="inlineStr">
        <is>
          <t>Auckland / Rotorua</t>
        </is>
      </c>
      <c r="F555" s="9" t="inlineStr">
        <is>
          <t>ISKCON Auckland (Kumeu); Rotorua geothermal; Hobbiton</t>
        </is>
      </c>
      <c r="G555" s="9" t="inlineStr">
        <is>
          <t>ISKCON</t>
        </is>
      </c>
      <c r="H555" s="9" t="inlineStr"/>
      <c r="I555" s="9">
        <f>IF(COUNTIF('Country Summary'!$B$5:$B$200,C555)&gt;0,"Yes","")</f>
        <v/>
      </c>
      <c r="J555" s="9" t="inlineStr"/>
    </row>
    <row r="556">
      <c r="A556" s="9" t="n">
        <v>552</v>
      </c>
      <c r="B556" s="23" t="inlineStr">
        <is>
          <t>☐</t>
        </is>
      </c>
      <c r="C556" s="9" t="inlineStr">
        <is>
          <t>New Zealand</t>
        </is>
      </c>
      <c r="D556" s="9" t="inlineStr">
        <is>
          <t>South Island</t>
        </is>
      </c>
      <c r="E556" s="9" t="inlineStr">
        <is>
          <t>Queenstown / Milford Sound</t>
        </is>
      </c>
      <c r="F556" s="9" t="inlineStr">
        <is>
          <t>Fiordland - UNESCO; Christchurch ISKCON</t>
        </is>
      </c>
      <c r="G556" s="9" t="inlineStr">
        <is>
          <t>UNESCO</t>
        </is>
      </c>
      <c r="H556" s="9" t="inlineStr"/>
      <c r="I556" s="9">
        <f>IF(COUNTIF('Country Summary'!$B$5:$B$200,C556)&gt;0,"Yes","")</f>
        <v/>
      </c>
      <c r="J556" s="9" t="inlineStr"/>
    </row>
    <row r="557">
      <c r="A557" s="9" t="n">
        <v>553</v>
      </c>
      <c r="B557" s="23" t="inlineStr">
        <is>
          <t>☐</t>
        </is>
      </c>
      <c r="C557" s="9" t="inlineStr">
        <is>
          <t>New Zealand</t>
        </is>
      </c>
      <c r="D557" s="9" t="inlineStr">
        <is>
          <t>South / North Island</t>
        </is>
      </c>
      <c r="E557" s="9" t="inlineStr">
        <is>
          <t>Queenstown / Rotorua</t>
        </is>
      </c>
      <c r="F557" s="9" t="inlineStr">
        <is>
          <t>Bungee (AJ Hackett), Milford Sound cruise, Franz Josef glacier, Te Puia geysers, Waitomo glow-worm caves, Hobbiton</t>
        </is>
      </c>
      <c r="G557" s="9" t="inlineStr">
        <is>
          <t>Nature</t>
        </is>
      </c>
      <c r="H557" s="9" t="inlineStr"/>
      <c r="I557" s="9">
        <f>IF(COUNTIF('Country Summary'!$B$5:$B$200,C557)&gt;0,"Yes","")</f>
        <v/>
      </c>
      <c r="J557" s="9" t="inlineStr"/>
    </row>
    <row r="558">
      <c r="A558" s="9" t="n">
        <v>554</v>
      </c>
      <c r="B558" s="23" t="inlineStr">
        <is>
          <t>☐</t>
        </is>
      </c>
      <c r="C558" s="9" t="inlineStr">
        <is>
          <t>Fiji</t>
        </is>
      </c>
      <c r="D558" s="9" t="inlineStr">
        <is>
          <t>Viti Levu</t>
        </is>
      </c>
      <c r="E558" s="9" t="inlineStr">
        <is>
          <t>Nadi / Suva</t>
        </is>
      </c>
      <c r="F558" s="9" t="inlineStr">
        <is>
          <t>Sri Siva Subramaniya temple (Nadi); ISKCON Fiji (Lautoka, Suva, Labasa)</t>
        </is>
      </c>
      <c r="G558" s="9" t="inlineStr">
        <is>
          <t>Temple</t>
        </is>
      </c>
      <c r="H558" s="9" t="inlineStr"/>
      <c r="I558" s="9">
        <f>IF(COUNTIF('Country Summary'!$B$5:$B$200,C558)&gt;0,"Yes","")</f>
        <v/>
      </c>
      <c r="J558" s="9" t="inlineStr"/>
    </row>
    <row r="559">
      <c r="A559" s="9" t="n">
        <v>555</v>
      </c>
      <c r="B559" s="23" t="inlineStr">
        <is>
          <t>☐</t>
        </is>
      </c>
      <c r="C559" s="9" t="inlineStr">
        <is>
          <t>Montenegro</t>
        </is>
      </c>
      <c r="D559" s="9" t="inlineStr">
        <is>
          <t>Bay of Kotor</t>
        </is>
      </c>
      <c r="E559" s="9" t="inlineStr">
        <is>
          <t>Kotor / Budva</t>
        </is>
      </c>
      <c r="F559" s="9" t="inlineStr">
        <is>
          <t>Kotor old town &amp; fortress, Budva riviera</t>
        </is>
      </c>
      <c r="G559" s="9" t="inlineStr">
        <is>
          <t>Sightseeing</t>
        </is>
      </c>
      <c r="H559" s="9" t="inlineStr"/>
      <c r="I559" s="9">
        <f>IF(COUNTIF('Country Summary'!$B$5:$B$200,C559)&gt;0,"Yes","")</f>
        <v/>
      </c>
      <c r="J559" s="9" t="inlineStr"/>
    </row>
    <row r="560">
      <c r="A560" s="9" t="n">
        <v>556</v>
      </c>
      <c r="B560" s="23" t="inlineStr">
        <is>
          <t>☐</t>
        </is>
      </c>
      <c r="C560" s="9" t="inlineStr">
        <is>
          <t>Iceland</t>
        </is>
      </c>
      <c r="D560" s="9" t="inlineStr">
        <is>
          <t>-</t>
        </is>
      </c>
      <c r="E560" s="9" t="inlineStr">
        <is>
          <t>Reykjavik</t>
        </is>
      </c>
      <c r="F560" s="9" t="inlineStr">
        <is>
          <t>Golden Circle, Blue Lagoon, South Coast waterfalls, Jokulsarlon glacier lagoon, Northern Lights (Sep-Mar)</t>
        </is>
      </c>
      <c r="G560" s="9" t="inlineStr">
        <is>
          <t>Nature</t>
        </is>
      </c>
      <c r="H560" s="9" t="inlineStr"/>
      <c r="I560" s="9">
        <f>IF(COUNTIF('Country Summary'!$B$5:$B$200,C560)&gt;0,"Yes","")</f>
        <v/>
      </c>
      <c r="J560" s="9" t="inlineStr"/>
    </row>
    <row r="561">
      <c r="A561" s="9" t="n">
        <v>557</v>
      </c>
      <c r="B561" s="23" t="inlineStr">
        <is>
          <t>☐</t>
        </is>
      </c>
      <c r="C561" s="9" t="inlineStr">
        <is>
          <t>Finland</t>
        </is>
      </c>
      <c r="D561" s="9" t="inlineStr">
        <is>
          <t>Lapland</t>
        </is>
      </c>
      <c r="E561" s="9" t="inlineStr">
        <is>
          <t>Rovaniemi</t>
        </is>
      </c>
      <c r="F561" s="9" t="inlineStr">
        <is>
          <t>Santa Claus Village, husky safari, glass igloos</t>
        </is>
      </c>
      <c r="G561" s="9" t="inlineStr">
        <is>
          <t>Sightseeing</t>
        </is>
      </c>
      <c r="H561" s="9" t="inlineStr"/>
      <c r="I561" s="9">
        <f>IF(COUNTIF('Country Summary'!$B$5:$B$200,C561)&gt;0,"Yes","")</f>
        <v/>
      </c>
      <c r="J561" s="9" t="inlineStr"/>
    </row>
    <row r="562">
      <c r="A562" s="9" t="n">
        <v>558</v>
      </c>
      <c r="B562" s="23" t="inlineStr">
        <is>
          <t>☐</t>
        </is>
      </c>
      <c r="C562" s="9" t="inlineStr">
        <is>
          <t>Seychelles</t>
        </is>
      </c>
      <c r="D562" s="9" t="inlineStr">
        <is>
          <t>-</t>
        </is>
      </c>
      <c r="E562" s="9" t="inlineStr">
        <is>
          <t>Mahe / Praslin / La Digue</t>
        </is>
      </c>
      <c r="F562" s="9" t="inlineStr">
        <is>
          <t>Anse Source d'Argent, Vallee de Mai - UNESCO</t>
        </is>
      </c>
      <c r="G562" s="9" t="inlineStr">
        <is>
          <t>Beach</t>
        </is>
      </c>
      <c r="H562" s="9" t="inlineStr"/>
      <c r="I562" s="9">
        <f>IF(COUNTIF('Country Summary'!$B$5:$B$200,C562)&gt;0,"Yes","")</f>
        <v/>
      </c>
      <c r="J562" s="9" t="inlineStr"/>
    </row>
    <row r="563">
      <c r="A563" s="9" t="n">
        <v>559</v>
      </c>
      <c r="B563" s="23" t="inlineStr">
        <is>
          <t>☐</t>
        </is>
      </c>
      <c r="C563" s="9" t="inlineStr">
        <is>
          <t>Israel / Jordan</t>
        </is>
      </c>
      <c r="D563" s="9" t="inlineStr">
        <is>
          <t>-</t>
        </is>
      </c>
      <c r="E563" s="9" t="inlineStr">
        <is>
          <t>Dead Sea</t>
        </is>
      </c>
      <c r="F563" s="9" t="inlineStr">
        <is>
          <t>Float in the Dead Sea, Masada</t>
        </is>
      </c>
      <c r="G563" s="9" t="inlineStr">
        <is>
          <t>Nature</t>
        </is>
      </c>
      <c r="H563" s="9" t="inlineStr"/>
      <c r="I563" s="9">
        <f>IF(COUNTIF('Country Summary'!$B$5:$B$200,C563)&gt;0,"Yes","")</f>
        <v/>
      </c>
      <c r="J563" s="9" t="inlineStr"/>
    </row>
    <row r="564">
      <c r="A564" s="9" t="n">
        <v>560</v>
      </c>
      <c r="B564" s="23" t="inlineStr">
        <is>
          <t>☐</t>
        </is>
      </c>
      <c r="C564" s="9" t="inlineStr">
        <is>
          <t>Kenya / Tanzania</t>
        </is>
      </c>
      <c r="D564" s="9" t="inlineStr">
        <is>
          <t>-</t>
        </is>
      </c>
      <c r="E564" s="9" t="inlineStr">
        <is>
          <t>Maasai Mara / Serengeti</t>
        </is>
      </c>
      <c r="F564" s="9" t="inlineStr">
        <is>
          <t>Great Migration (Jul-Oct), Ngorongoro crater, hot-air balloon safari</t>
        </is>
      </c>
      <c r="G564" s="9" t="inlineStr">
        <is>
          <t>Wildlife</t>
        </is>
      </c>
      <c r="H564" s="9" t="inlineStr"/>
      <c r="I564" s="9">
        <f>IF(COUNTIF('Country Summary'!$B$5:$B$200,C564)&gt;0,"Yes","")</f>
        <v/>
      </c>
      <c r="J564" s="9" t="inlineStr"/>
    </row>
    <row r="565">
      <c r="A565" s="9" t="n">
        <v>561</v>
      </c>
      <c r="B565" s="23" t="inlineStr">
        <is>
          <t>☐</t>
        </is>
      </c>
      <c r="C565" s="9" t="inlineStr">
        <is>
          <t>Namibia / Botswana</t>
        </is>
      </c>
      <c r="D565" s="9" t="inlineStr">
        <is>
          <t>-</t>
        </is>
      </c>
      <c r="E565" s="9" t="inlineStr">
        <is>
          <t>Sossusvlei / Okavango</t>
        </is>
      </c>
      <c r="F565" s="9" t="inlineStr">
        <is>
          <t>Namib dunes, Etosha, Okavango Delta mokoro</t>
        </is>
      </c>
      <c r="G565" s="9" t="inlineStr">
        <is>
          <t>Wildlife</t>
        </is>
      </c>
      <c r="H565" s="9" t="inlineStr"/>
      <c r="I565" s="9">
        <f>IF(COUNTIF('Country Summary'!$B$5:$B$200,C565)&gt;0,"Yes","")</f>
        <v/>
      </c>
      <c r="J565" s="9" t="inlineStr"/>
    </row>
    <row r="566">
      <c r="A566" s="9" t="n">
        <v>562</v>
      </c>
      <c r="B566" s="23" t="inlineStr">
        <is>
          <t>☐</t>
        </is>
      </c>
      <c r="C566" s="9" t="inlineStr">
        <is>
          <t>Ecuador</t>
        </is>
      </c>
      <c r="D566" s="9" t="inlineStr">
        <is>
          <t>Galapagos</t>
        </is>
      </c>
      <c r="E566" s="9" t="inlineStr">
        <is>
          <t>Galapagos Islands</t>
        </is>
      </c>
      <c r="F566" s="9" t="inlineStr">
        <is>
          <t>Galapagos wildlife cruise - UNESCO; Quito old town</t>
        </is>
      </c>
      <c r="G566" s="9" t="inlineStr">
        <is>
          <t>Wildlife</t>
        </is>
      </c>
      <c r="H566" s="9" t="inlineStr"/>
      <c r="I566" s="9">
        <f>IF(COUNTIF('Country Summary'!$B$5:$B$200,C566)&gt;0,"Yes","")</f>
        <v/>
      </c>
      <c r="J566" s="9" t="inlineStr"/>
    </row>
    <row r="567">
      <c r="A567" s="9" t="n">
        <v>563</v>
      </c>
      <c r="B567" s="23" t="inlineStr">
        <is>
          <t>☐</t>
        </is>
      </c>
      <c r="C567" s="9" t="inlineStr">
        <is>
          <t>Brazil / Peru</t>
        </is>
      </c>
      <c r="D567" s="9" t="inlineStr">
        <is>
          <t>Amazon</t>
        </is>
      </c>
      <c r="E567" s="9" t="inlineStr">
        <is>
          <t>Manaus / Iquitos</t>
        </is>
      </c>
      <c r="F567" s="9" t="inlineStr">
        <is>
          <t>Amazon river lodge, meeting of waters</t>
        </is>
      </c>
      <c r="G567" s="9" t="inlineStr">
        <is>
          <t>Wildlife</t>
        </is>
      </c>
      <c r="H567" s="9" t="inlineStr"/>
      <c r="I567" s="9">
        <f>IF(COUNTIF('Country Summary'!$B$5:$B$200,C567)&gt;0,"Yes","")</f>
        <v/>
      </c>
      <c r="J567" s="9" t="inlineStr"/>
    </row>
    <row r="568">
      <c r="A568" s="9" t="n">
        <v>564</v>
      </c>
      <c r="B568" s="23" t="inlineStr">
        <is>
          <t>☐</t>
        </is>
      </c>
      <c r="C568" s="9" t="inlineStr">
        <is>
          <t>Argentina / Chile</t>
        </is>
      </c>
      <c r="D568" s="9" t="inlineStr">
        <is>
          <t>Patagonia</t>
        </is>
      </c>
      <c r="E568" s="9" t="inlineStr">
        <is>
          <t>El Calafate / Torres del Paine</t>
        </is>
      </c>
      <c r="F568" s="9" t="inlineStr">
        <is>
          <t>Perito Moreno glacier, Torres del Paine W-trek, Ushuaia (end of the world)</t>
        </is>
      </c>
      <c r="G568" s="9" t="inlineStr">
        <is>
          <t>Nature</t>
        </is>
      </c>
      <c r="H568" s="9" t="inlineStr"/>
      <c r="I568" s="9">
        <f>IF(COUNTIF('Country Summary'!$B$5:$B$200,C568)&gt;0,"Yes","")</f>
        <v/>
      </c>
      <c r="J568" s="9" t="inlineStr"/>
    </row>
    <row r="569">
      <c r="A569" s="9" t="n">
        <v>565</v>
      </c>
      <c r="B569" s="23" t="inlineStr">
        <is>
          <t>☐</t>
        </is>
      </c>
      <c r="C569" s="9" t="inlineStr">
        <is>
          <t>Antarctica</t>
        </is>
      </c>
      <c r="D569" s="9" t="inlineStr">
        <is>
          <t>-</t>
        </is>
      </c>
      <c r="E569" s="9" t="inlineStr">
        <is>
          <t>Antarctic Peninsula</t>
        </is>
      </c>
      <c r="F569" s="9" t="inlineStr">
        <is>
          <t>Expedition cruise from Ushuaia (Nov-Mar)</t>
        </is>
      </c>
      <c r="G569" s="9" t="inlineStr">
        <is>
          <t>Nature</t>
        </is>
      </c>
      <c r="H569" s="9" t="inlineStr"/>
      <c r="I569" s="9">
        <f>IF(COUNTIF('Country Summary'!$B$5:$B$200,C569)&gt;0,"Yes","")</f>
        <v/>
      </c>
      <c r="J569" s="9" t="inlineStr"/>
    </row>
    <row r="570">
      <c r="A570" s="9" t="n">
        <v>566</v>
      </c>
      <c r="B570" s="23" t="inlineStr">
        <is>
          <t>☐</t>
        </is>
      </c>
      <c r="C570" s="9" t="inlineStr">
        <is>
          <t>Caribbean</t>
        </is>
      </c>
      <c r="D570" s="9" t="inlineStr">
        <is>
          <t>-</t>
        </is>
      </c>
      <c r="E570" s="9" t="inlineStr">
        <is>
          <t>Caribbean cruise</t>
        </is>
      </c>
      <c r="F570" s="9" t="inlineStr">
        <is>
          <t>Bahamas / Jamaica / Cayman cruise from Miami; Barbados, St Lucia Pitons</t>
        </is>
      </c>
      <c r="G570" s="9" t="inlineStr">
        <is>
          <t>Beach</t>
        </is>
      </c>
      <c r="H570" s="9" t="inlineStr"/>
      <c r="I570" s="9">
        <f>IF(COUNTIF('Country Summary'!$B$5:$B$200,C570)&gt;0,"Yes","")</f>
        <v/>
      </c>
      <c r="J570" s="9" t="inlineStr"/>
    </row>
    <row r="571">
      <c r="A571" s="9" t="n">
        <v>567</v>
      </c>
      <c r="B571" s="23" t="inlineStr">
        <is>
          <t>☐</t>
        </is>
      </c>
      <c r="C571" s="9" t="inlineStr">
        <is>
          <t>Fiji / Pacific</t>
        </is>
      </c>
      <c r="D571" s="9" t="inlineStr">
        <is>
          <t>-</t>
        </is>
      </c>
      <c r="E571" s="9" t="inlineStr">
        <is>
          <t>Fiji / Bora Bora / Tahiti</t>
        </is>
      </c>
      <c r="F571" s="9" t="inlineStr">
        <is>
          <t>Mamanuca islands, Bora Bora overwater bungalows</t>
        </is>
      </c>
      <c r="G571" s="9" t="inlineStr">
        <is>
          <t>Beach</t>
        </is>
      </c>
      <c r="H571" s="9" t="inlineStr"/>
      <c r="I571" s="9">
        <f>IF(COUNTIF('Country Summary'!$B$5:$B$200,C571)&gt;0,"Yes","")</f>
        <v/>
      </c>
      <c r="J571" s="9" t="inlineStr"/>
    </row>
  </sheetData>
  <autoFilter ref="A4:J1071"/>
  <conditionalFormatting sqref="B5:B1071">
    <cfRule type="cellIs" priority="1" operator="equal" dxfId="2">
      <formula>"☑"</formula>
    </cfRule>
  </conditionalFormatting>
  <conditionalFormatting sqref="H5:H1071">
    <cfRule type="cellIs" priority="2" operator="equal" dxfId="1">
      <formula>"Likely"</formula>
    </cfRule>
    <cfRule type="cellIs" priority="3" operator="equal" dxfId="3">
      <formula>"Planned"</formula>
    </cfRule>
  </conditionalFormatting>
  <dataValidations count="3">
    <dataValidation sqref="B5:B1071" showDropDown="0" showInputMessage="0" showErrorMessage="0" allowBlank="1" type="list">
      <formula1>"☑,☐"</formula1>
    </dataValidation>
    <dataValidation sqref="H5:H1071" showDropDown="0" showInputMessage="0" showErrorMessage="0" allowBlank="1" type="list">
      <formula1>"Likely,Planned,No"</formula1>
    </dataValidation>
    <dataValidation sqref="G5:G1071" showDropDown="0" showInputMessage="0" showErrorMessage="0" allowBlank="1" type="list">
      <formula1>"Temple,ISKCON,Monument,UNESCO,Nature,Museum,Modern,Festival,Sightseeing,Theme park,Beach,Wildlife"</formula1>
    </dataValidation>
  </dataValidations>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I96"/>
  <sheetViews>
    <sheetView zoomScale="100" workbookViewId="0">
      <pane ySplit="4" topLeftCell="A5" activePane="bottomLeft" state="frozen"/>
      <selection pane="bottomLeft" activeCell="A1" sqref="A1"/>
    </sheetView>
  </sheetViews>
  <sheetFormatPr baseColWidth="8" defaultRowHeight="15"/>
  <cols>
    <col width="5" customWidth="1" min="1" max="1"/>
    <col width="22" customWidth="1" min="2" max="2"/>
    <col width="13" customWidth="1" min="3" max="3"/>
    <col width="12" customWidth="1" min="4" max="4"/>
    <col width="14" customWidth="1" min="5" max="5"/>
    <col width="10" customWidth="1" min="6" max="6"/>
    <col width="11" customWidth="1" min="7" max="7"/>
    <col width="11" customWidth="1" min="8" max="8"/>
    <col width="15" customWidth="1" min="9" max="9"/>
  </cols>
  <sheetData>
    <row r="1">
      <c r="A1" s="1" t="inlineStr">
        <is>
          <t>Checklist Summary - progress by country (auto from the ticks)</t>
        </is>
      </c>
    </row>
    <row r="2">
      <c r="A2" s="2" t="inlineStr">
        <is>
          <t>Visited = rows ticked ☑ on World Checklist. Add a country name in column B to track it.</t>
        </is>
      </c>
    </row>
    <row r="4">
      <c r="A4" s="3" t="inlineStr">
        <is>
          <t>#</t>
        </is>
      </c>
      <c r="B4" s="3" t="inlineStr">
        <is>
          <t>Country</t>
        </is>
      </c>
      <c r="C4" s="3" t="inlineStr">
        <is>
          <t>Places listed</t>
        </is>
      </c>
      <c r="D4" s="3" t="inlineStr">
        <is>
          <t>Visited ☑</t>
        </is>
      </c>
      <c r="E4" s="3" t="inlineStr">
        <is>
          <t>Likely (confirm)</t>
        </is>
      </c>
      <c r="F4" s="3" t="inlineStr">
        <is>
          <t>Planned</t>
        </is>
      </c>
      <c r="G4" s="3" t="inlineStr">
        <is>
          <t>Remaining</t>
        </is>
      </c>
      <c r="H4" s="3" t="inlineStr">
        <is>
          <t>% visited</t>
        </is>
      </c>
      <c r="I4" s="3" t="inlineStr">
        <is>
          <t>Country entered?</t>
        </is>
      </c>
    </row>
    <row r="5">
      <c r="A5" s="9" t="n">
        <v>1</v>
      </c>
      <c r="B5" s="9" t="inlineStr">
        <is>
          <t>India</t>
        </is>
      </c>
      <c r="C5" s="9">
        <f>COUNTIF('World Checklist'!$C$5:$C$1071,B5)</f>
        <v/>
      </c>
      <c r="D5" s="9">
        <f>COUNTIFS('World Checklist'!$C$5:$C$1071,B5,'World Checklist'!$B$5:$B$1071,"☑")</f>
        <v/>
      </c>
      <c r="E5" s="9">
        <f>COUNTIFS('World Checklist'!$C$5:$C$1071,B5,'World Checklist'!$H$5:$H$1071,"Likely")</f>
        <v/>
      </c>
      <c r="F5" s="9">
        <f>COUNTIFS('World Checklist'!$C$5:$C$1071,B5,'World Checklist'!$H$5:$H$1071,"Planned")</f>
        <v/>
      </c>
      <c r="G5" s="9">
        <f>C5-D5</f>
        <v/>
      </c>
      <c r="H5" s="24">
        <f>IF(C5=0,"",D5/C5)</f>
        <v/>
      </c>
      <c r="I5" s="9">
        <f>IF(COUNTIF('Country Summary'!$B$5:$B$200,B5)&gt;0,"Yes","")</f>
        <v/>
      </c>
    </row>
    <row r="6">
      <c r="A6" s="9" t="n">
        <v>2</v>
      </c>
      <c r="B6" s="9" t="inlineStr">
        <is>
          <t>USA</t>
        </is>
      </c>
      <c r="C6" s="9">
        <f>COUNTIF('World Checklist'!$C$5:$C$1071,B6)</f>
        <v/>
      </c>
      <c r="D6" s="9">
        <f>COUNTIFS('World Checklist'!$C$5:$C$1071,B6,'World Checklist'!$B$5:$B$1071,"☑")</f>
        <v/>
      </c>
      <c r="E6" s="9">
        <f>COUNTIFS('World Checklist'!$C$5:$C$1071,B6,'World Checklist'!$H$5:$H$1071,"Likely")</f>
        <v/>
      </c>
      <c r="F6" s="9">
        <f>COUNTIFS('World Checklist'!$C$5:$C$1071,B6,'World Checklist'!$H$5:$H$1071,"Planned")</f>
        <v/>
      </c>
      <c r="G6" s="9">
        <f>C6-D6</f>
        <v/>
      </c>
      <c r="H6" s="24">
        <f>IF(C6=0,"",D6/C6)</f>
        <v/>
      </c>
      <c r="I6" s="9">
        <f>IF(COUNTIF('Country Summary'!$B$5:$B$200,B6)&gt;0,"Yes","")</f>
        <v/>
      </c>
    </row>
    <row r="7">
      <c r="A7" s="9" t="n">
        <v>3</v>
      </c>
      <c r="B7" s="9" t="inlineStr">
        <is>
          <t>United Kingdom</t>
        </is>
      </c>
      <c r="C7" s="9">
        <f>COUNTIF('World Checklist'!$C$5:$C$1071,B7)</f>
        <v/>
      </c>
      <c r="D7" s="9">
        <f>COUNTIFS('World Checklist'!$C$5:$C$1071,B7,'World Checklist'!$B$5:$B$1071,"☑")</f>
        <v/>
      </c>
      <c r="E7" s="9">
        <f>COUNTIFS('World Checklist'!$C$5:$C$1071,B7,'World Checklist'!$H$5:$H$1071,"Likely")</f>
        <v/>
      </c>
      <c r="F7" s="9">
        <f>COUNTIFS('World Checklist'!$C$5:$C$1071,B7,'World Checklist'!$H$5:$H$1071,"Planned")</f>
        <v/>
      </c>
      <c r="G7" s="9">
        <f>C7-D7</f>
        <v/>
      </c>
      <c r="H7" s="24">
        <f>IF(C7=0,"",D7/C7)</f>
        <v/>
      </c>
      <c r="I7" s="9">
        <f>IF(COUNTIF('Country Summary'!$B$5:$B$200,B7)&gt;0,"Yes","")</f>
        <v/>
      </c>
    </row>
    <row r="8">
      <c r="A8" s="9" t="n">
        <v>4</v>
      </c>
      <c r="B8" s="9" t="inlineStr">
        <is>
          <t>France</t>
        </is>
      </c>
      <c r="C8" s="9">
        <f>COUNTIF('World Checklist'!$C$5:$C$1071,B8)</f>
        <v/>
      </c>
      <c r="D8" s="9">
        <f>COUNTIFS('World Checklist'!$C$5:$C$1071,B8,'World Checklist'!$B$5:$B$1071,"☑")</f>
        <v/>
      </c>
      <c r="E8" s="9">
        <f>COUNTIFS('World Checklist'!$C$5:$C$1071,B8,'World Checklist'!$H$5:$H$1071,"Likely")</f>
        <v/>
      </c>
      <c r="F8" s="9">
        <f>COUNTIFS('World Checklist'!$C$5:$C$1071,B8,'World Checklist'!$H$5:$H$1071,"Planned")</f>
        <v/>
      </c>
      <c r="G8" s="9">
        <f>C8-D8</f>
        <v/>
      </c>
      <c r="H8" s="24">
        <f>IF(C8=0,"",D8/C8)</f>
        <v/>
      </c>
      <c r="I8" s="9">
        <f>IF(COUNTIF('Country Summary'!$B$5:$B$200,B8)&gt;0,"Yes","")</f>
        <v/>
      </c>
    </row>
    <row r="9">
      <c r="A9" s="9" t="n">
        <v>5</v>
      </c>
      <c r="B9" s="9" t="inlineStr">
        <is>
          <t>Belgium</t>
        </is>
      </c>
      <c r="C9" s="9">
        <f>COUNTIF('World Checklist'!$C$5:$C$1071,B9)</f>
        <v/>
      </c>
      <c r="D9" s="9">
        <f>COUNTIFS('World Checklist'!$C$5:$C$1071,B9,'World Checklist'!$B$5:$B$1071,"☑")</f>
        <v/>
      </c>
      <c r="E9" s="9">
        <f>COUNTIFS('World Checklist'!$C$5:$C$1071,B9,'World Checklist'!$H$5:$H$1071,"Likely")</f>
        <v/>
      </c>
      <c r="F9" s="9">
        <f>COUNTIFS('World Checklist'!$C$5:$C$1071,B9,'World Checklist'!$H$5:$H$1071,"Planned")</f>
        <v/>
      </c>
      <c r="G9" s="9">
        <f>C9-D9</f>
        <v/>
      </c>
      <c r="H9" s="24">
        <f>IF(C9=0,"",D9/C9)</f>
        <v/>
      </c>
      <c r="I9" s="9">
        <f>IF(COUNTIF('Country Summary'!$B$5:$B$200,B9)&gt;0,"Yes","")</f>
        <v/>
      </c>
    </row>
    <row r="10">
      <c r="A10" s="9" t="n">
        <v>6</v>
      </c>
      <c r="B10" s="9" t="inlineStr">
        <is>
          <t>Netherlands</t>
        </is>
      </c>
      <c r="C10" s="9">
        <f>COUNTIF('World Checklist'!$C$5:$C$1071,B10)</f>
        <v/>
      </c>
      <c r="D10" s="9">
        <f>COUNTIFS('World Checklist'!$C$5:$C$1071,B10,'World Checklist'!$B$5:$B$1071,"☑")</f>
        <v/>
      </c>
      <c r="E10" s="9">
        <f>COUNTIFS('World Checklist'!$C$5:$C$1071,B10,'World Checklist'!$H$5:$H$1071,"Likely")</f>
        <v/>
      </c>
      <c r="F10" s="9">
        <f>COUNTIFS('World Checklist'!$C$5:$C$1071,B10,'World Checklist'!$H$5:$H$1071,"Planned")</f>
        <v/>
      </c>
      <c r="G10" s="9">
        <f>C10-D10</f>
        <v/>
      </c>
      <c r="H10" s="24">
        <f>IF(C10=0,"",D10/C10)</f>
        <v/>
      </c>
      <c r="I10" s="9">
        <f>IF(COUNTIF('Country Summary'!$B$5:$B$200,B10)&gt;0,"Yes","")</f>
        <v/>
      </c>
    </row>
    <row r="11">
      <c r="A11" s="9" t="n">
        <v>7</v>
      </c>
      <c r="B11" s="9" t="inlineStr">
        <is>
          <t>Germany</t>
        </is>
      </c>
      <c r="C11" s="9">
        <f>COUNTIF('World Checklist'!$C$5:$C$1071,B11)</f>
        <v/>
      </c>
      <c r="D11" s="9">
        <f>COUNTIFS('World Checklist'!$C$5:$C$1071,B11,'World Checklist'!$B$5:$B$1071,"☑")</f>
        <v/>
      </c>
      <c r="E11" s="9">
        <f>COUNTIFS('World Checklist'!$C$5:$C$1071,B11,'World Checklist'!$H$5:$H$1071,"Likely")</f>
        <v/>
      </c>
      <c r="F11" s="9">
        <f>COUNTIFS('World Checklist'!$C$5:$C$1071,B11,'World Checklist'!$H$5:$H$1071,"Planned")</f>
        <v/>
      </c>
      <c r="G11" s="9">
        <f>C11-D11</f>
        <v/>
      </c>
      <c r="H11" s="24">
        <f>IF(C11=0,"",D11/C11)</f>
        <v/>
      </c>
      <c r="I11" s="9">
        <f>IF(COUNTIF('Country Summary'!$B$5:$B$200,B11)&gt;0,"Yes","")</f>
        <v/>
      </c>
    </row>
    <row r="12">
      <c r="A12" s="9" t="n">
        <v>8</v>
      </c>
      <c r="B12" s="9" t="inlineStr">
        <is>
          <t>Switzerland</t>
        </is>
      </c>
      <c r="C12" s="9">
        <f>COUNTIF('World Checklist'!$C$5:$C$1071,B12)</f>
        <v/>
      </c>
      <c r="D12" s="9">
        <f>COUNTIFS('World Checklist'!$C$5:$C$1071,B12,'World Checklist'!$B$5:$B$1071,"☑")</f>
        <v/>
      </c>
      <c r="E12" s="9">
        <f>COUNTIFS('World Checklist'!$C$5:$C$1071,B12,'World Checklist'!$H$5:$H$1071,"Likely")</f>
        <v/>
      </c>
      <c r="F12" s="9">
        <f>COUNTIFS('World Checklist'!$C$5:$C$1071,B12,'World Checklist'!$H$5:$H$1071,"Planned")</f>
        <v/>
      </c>
      <c r="G12" s="9">
        <f>C12-D12</f>
        <v/>
      </c>
      <c r="H12" s="24">
        <f>IF(C12=0,"",D12/C12)</f>
        <v/>
      </c>
      <c r="I12" s="9">
        <f>IF(COUNTIF('Country Summary'!$B$5:$B$200,B12)&gt;0,"Yes","")</f>
        <v/>
      </c>
    </row>
    <row r="13">
      <c r="A13" s="9" t="n">
        <v>9</v>
      </c>
      <c r="B13" s="9" t="inlineStr">
        <is>
          <t>Italy</t>
        </is>
      </c>
      <c r="C13" s="9">
        <f>COUNTIF('World Checklist'!$C$5:$C$1071,B13)</f>
        <v/>
      </c>
      <c r="D13" s="9">
        <f>COUNTIFS('World Checklist'!$C$5:$C$1071,B13,'World Checklist'!$B$5:$B$1071,"☑")</f>
        <v/>
      </c>
      <c r="E13" s="9">
        <f>COUNTIFS('World Checklist'!$C$5:$C$1071,B13,'World Checklist'!$H$5:$H$1071,"Likely")</f>
        <v/>
      </c>
      <c r="F13" s="9">
        <f>COUNTIFS('World Checklist'!$C$5:$C$1071,B13,'World Checklist'!$H$5:$H$1071,"Planned")</f>
        <v/>
      </c>
      <c r="G13" s="9">
        <f>C13-D13</f>
        <v/>
      </c>
      <c r="H13" s="24">
        <f>IF(C13=0,"",D13/C13)</f>
        <v/>
      </c>
      <c r="I13" s="9">
        <f>IF(COUNTIF('Country Summary'!$B$5:$B$200,B13)&gt;0,"Yes","")</f>
        <v/>
      </c>
    </row>
    <row r="14">
      <c r="A14" s="9" t="n">
        <v>10</v>
      </c>
      <c r="B14" s="9" t="inlineStr">
        <is>
          <t>Vatican City</t>
        </is>
      </c>
      <c r="C14" s="9">
        <f>COUNTIF('World Checklist'!$C$5:$C$1071,B14)</f>
        <v/>
      </c>
      <c r="D14" s="9">
        <f>COUNTIFS('World Checklist'!$C$5:$C$1071,B14,'World Checklist'!$B$5:$B$1071,"☑")</f>
        <v/>
      </c>
      <c r="E14" s="9">
        <f>COUNTIFS('World Checklist'!$C$5:$C$1071,B14,'World Checklist'!$H$5:$H$1071,"Likely")</f>
        <v/>
      </c>
      <c r="F14" s="9">
        <f>COUNTIFS('World Checklist'!$C$5:$C$1071,B14,'World Checklist'!$H$5:$H$1071,"Planned")</f>
        <v/>
      </c>
      <c r="G14" s="9">
        <f>C14-D14</f>
        <v/>
      </c>
      <c r="H14" s="24">
        <f>IF(C14=0,"",D14/C14)</f>
        <v/>
      </c>
      <c r="I14" s="9">
        <f>IF(COUNTIF('Country Summary'!$B$5:$B$200,B14)&gt;0,"Yes","")</f>
        <v/>
      </c>
    </row>
    <row r="15">
      <c r="A15" s="9" t="n">
        <v>11</v>
      </c>
      <c r="B15" s="9" t="inlineStr">
        <is>
          <t>Spain</t>
        </is>
      </c>
      <c r="C15" s="9">
        <f>COUNTIF('World Checklist'!$C$5:$C$1071,B15)</f>
        <v/>
      </c>
      <c r="D15" s="9">
        <f>COUNTIFS('World Checklist'!$C$5:$C$1071,B15,'World Checklist'!$B$5:$B$1071,"☑")</f>
        <v/>
      </c>
      <c r="E15" s="9">
        <f>COUNTIFS('World Checklist'!$C$5:$C$1071,B15,'World Checklist'!$H$5:$H$1071,"Likely")</f>
        <v/>
      </c>
      <c r="F15" s="9">
        <f>COUNTIFS('World Checklist'!$C$5:$C$1071,B15,'World Checklist'!$H$5:$H$1071,"Planned")</f>
        <v/>
      </c>
      <c r="G15" s="9">
        <f>C15-D15</f>
        <v/>
      </c>
      <c r="H15" s="24">
        <f>IF(C15=0,"",D15/C15)</f>
        <v/>
      </c>
      <c r="I15" s="9">
        <f>IF(COUNTIF('Country Summary'!$B$5:$B$200,B15)&gt;0,"Yes","")</f>
        <v/>
      </c>
    </row>
    <row r="16">
      <c r="A16" s="9" t="n">
        <v>12</v>
      </c>
      <c r="B16" s="9" t="inlineStr">
        <is>
          <t>Portugal</t>
        </is>
      </c>
      <c r="C16" s="9">
        <f>COUNTIF('World Checklist'!$C$5:$C$1071,B16)</f>
        <v/>
      </c>
      <c r="D16" s="9">
        <f>COUNTIFS('World Checklist'!$C$5:$C$1071,B16,'World Checklist'!$B$5:$B$1071,"☑")</f>
        <v/>
      </c>
      <c r="E16" s="9">
        <f>COUNTIFS('World Checklist'!$C$5:$C$1071,B16,'World Checklist'!$H$5:$H$1071,"Likely")</f>
        <v/>
      </c>
      <c r="F16" s="9">
        <f>COUNTIFS('World Checklist'!$C$5:$C$1071,B16,'World Checklist'!$H$5:$H$1071,"Planned")</f>
        <v/>
      </c>
      <c r="G16" s="9">
        <f>C16-D16</f>
        <v/>
      </c>
      <c r="H16" s="24">
        <f>IF(C16=0,"",D16/C16)</f>
        <v/>
      </c>
      <c r="I16" s="9">
        <f>IF(COUNTIF('Country Summary'!$B$5:$B$200,B16)&gt;0,"Yes","")</f>
        <v/>
      </c>
    </row>
    <row r="17">
      <c r="A17" s="9" t="n">
        <v>13</v>
      </c>
      <c r="B17" s="9" t="inlineStr">
        <is>
          <t>Austria</t>
        </is>
      </c>
      <c r="C17" s="9">
        <f>COUNTIF('World Checklist'!$C$5:$C$1071,B17)</f>
        <v/>
      </c>
      <c r="D17" s="9">
        <f>COUNTIFS('World Checklist'!$C$5:$C$1071,B17,'World Checklist'!$B$5:$B$1071,"☑")</f>
        <v/>
      </c>
      <c r="E17" s="9">
        <f>COUNTIFS('World Checklist'!$C$5:$C$1071,B17,'World Checklist'!$H$5:$H$1071,"Likely")</f>
        <v/>
      </c>
      <c r="F17" s="9">
        <f>COUNTIFS('World Checklist'!$C$5:$C$1071,B17,'World Checklist'!$H$5:$H$1071,"Planned")</f>
        <v/>
      </c>
      <c r="G17" s="9">
        <f>C17-D17</f>
        <v/>
      </c>
      <c r="H17" s="24">
        <f>IF(C17=0,"",D17/C17)</f>
        <v/>
      </c>
      <c r="I17" s="9">
        <f>IF(COUNTIF('Country Summary'!$B$5:$B$200,B17)&gt;0,"Yes","")</f>
        <v/>
      </c>
    </row>
    <row r="18">
      <c r="A18" s="9" t="n">
        <v>14</v>
      </c>
      <c r="B18" s="9" t="inlineStr">
        <is>
          <t>Czechia</t>
        </is>
      </c>
      <c r="C18" s="9">
        <f>COUNTIF('World Checklist'!$C$5:$C$1071,B18)</f>
        <v/>
      </c>
      <c r="D18" s="9">
        <f>COUNTIFS('World Checklist'!$C$5:$C$1071,B18,'World Checklist'!$B$5:$B$1071,"☑")</f>
        <v/>
      </c>
      <c r="E18" s="9">
        <f>COUNTIFS('World Checklist'!$C$5:$C$1071,B18,'World Checklist'!$H$5:$H$1071,"Likely")</f>
        <v/>
      </c>
      <c r="F18" s="9">
        <f>COUNTIFS('World Checklist'!$C$5:$C$1071,B18,'World Checklist'!$H$5:$H$1071,"Planned")</f>
        <v/>
      </c>
      <c r="G18" s="9">
        <f>C18-D18</f>
        <v/>
      </c>
      <c r="H18" s="24">
        <f>IF(C18=0,"",D18/C18)</f>
        <v/>
      </c>
      <c r="I18" s="9">
        <f>IF(COUNTIF('Country Summary'!$B$5:$B$200,B18)&gt;0,"Yes","")</f>
        <v/>
      </c>
    </row>
    <row r="19">
      <c r="A19" s="9" t="n">
        <v>15</v>
      </c>
      <c r="B19" s="9" t="inlineStr">
        <is>
          <t>Hungary</t>
        </is>
      </c>
      <c r="C19" s="9">
        <f>COUNTIF('World Checklist'!$C$5:$C$1071,B19)</f>
        <v/>
      </c>
      <c r="D19" s="9">
        <f>COUNTIFS('World Checklist'!$C$5:$C$1071,B19,'World Checklist'!$B$5:$B$1071,"☑")</f>
        <v/>
      </c>
      <c r="E19" s="9">
        <f>COUNTIFS('World Checklist'!$C$5:$C$1071,B19,'World Checklist'!$H$5:$H$1071,"Likely")</f>
        <v/>
      </c>
      <c r="F19" s="9">
        <f>COUNTIFS('World Checklist'!$C$5:$C$1071,B19,'World Checklist'!$H$5:$H$1071,"Planned")</f>
        <v/>
      </c>
      <c r="G19" s="9">
        <f>C19-D19</f>
        <v/>
      </c>
      <c r="H19" s="24">
        <f>IF(C19=0,"",D19/C19)</f>
        <v/>
      </c>
      <c r="I19" s="9">
        <f>IF(COUNTIF('Country Summary'!$B$5:$B$200,B19)&gt;0,"Yes","")</f>
        <v/>
      </c>
    </row>
    <row r="20">
      <c r="A20" s="9" t="n">
        <v>16</v>
      </c>
      <c r="B20" s="9" t="inlineStr">
        <is>
          <t>Poland</t>
        </is>
      </c>
      <c r="C20" s="9">
        <f>COUNTIF('World Checklist'!$C$5:$C$1071,B20)</f>
        <v/>
      </c>
      <c r="D20" s="9">
        <f>COUNTIFS('World Checklist'!$C$5:$C$1071,B20,'World Checklist'!$B$5:$B$1071,"☑")</f>
        <v/>
      </c>
      <c r="E20" s="9">
        <f>COUNTIFS('World Checklist'!$C$5:$C$1071,B20,'World Checklist'!$H$5:$H$1071,"Likely")</f>
        <v/>
      </c>
      <c r="F20" s="9">
        <f>COUNTIFS('World Checklist'!$C$5:$C$1071,B20,'World Checklist'!$H$5:$H$1071,"Planned")</f>
        <v/>
      </c>
      <c r="G20" s="9">
        <f>C20-D20</f>
        <v/>
      </c>
      <c r="H20" s="24">
        <f>IF(C20=0,"",D20/C20)</f>
        <v/>
      </c>
      <c r="I20" s="9">
        <f>IF(COUNTIF('Country Summary'!$B$5:$B$200,B20)&gt;0,"Yes","")</f>
        <v/>
      </c>
    </row>
    <row r="21">
      <c r="A21" s="9" t="n">
        <v>17</v>
      </c>
      <c r="B21" s="9" t="inlineStr">
        <is>
          <t>Greece</t>
        </is>
      </c>
      <c r="C21" s="9">
        <f>COUNTIF('World Checklist'!$C$5:$C$1071,B21)</f>
        <v/>
      </c>
      <c r="D21" s="9">
        <f>COUNTIFS('World Checklist'!$C$5:$C$1071,B21,'World Checklist'!$B$5:$B$1071,"☑")</f>
        <v/>
      </c>
      <c r="E21" s="9">
        <f>COUNTIFS('World Checklist'!$C$5:$C$1071,B21,'World Checklist'!$H$5:$H$1071,"Likely")</f>
        <v/>
      </c>
      <c r="F21" s="9">
        <f>COUNTIFS('World Checklist'!$C$5:$C$1071,B21,'World Checklist'!$H$5:$H$1071,"Planned")</f>
        <v/>
      </c>
      <c r="G21" s="9">
        <f>C21-D21</f>
        <v/>
      </c>
      <c r="H21" s="24">
        <f>IF(C21=0,"",D21/C21)</f>
        <v/>
      </c>
      <c r="I21" s="9">
        <f>IF(COUNTIF('Country Summary'!$B$5:$B$200,B21)&gt;0,"Yes","")</f>
        <v/>
      </c>
    </row>
    <row r="22">
      <c r="A22" s="9" t="n">
        <v>18</v>
      </c>
      <c r="B22" s="9" t="inlineStr">
        <is>
          <t>Croatia</t>
        </is>
      </c>
      <c r="C22" s="9">
        <f>COUNTIF('World Checklist'!$C$5:$C$1071,B22)</f>
        <v/>
      </c>
      <c r="D22" s="9">
        <f>COUNTIFS('World Checklist'!$C$5:$C$1071,B22,'World Checklist'!$B$5:$B$1071,"☑")</f>
        <v/>
      </c>
      <c r="E22" s="9">
        <f>COUNTIFS('World Checklist'!$C$5:$C$1071,B22,'World Checklist'!$H$5:$H$1071,"Likely")</f>
        <v/>
      </c>
      <c r="F22" s="9">
        <f>COUNTIFS('World Checklist'!$C$5:$C$1071,B22,'World Checklist'!$H$5:$H$1071,"Planned")</f>
        <v/>
      </c>
      <c r="G22" s="9">
        <f>C22-D22</f>
        <v/>
      </c>
      <c r="H22" s="24">
        <f>IF(C22=0,"",D22/C22)</f>
        <v/>
      </c>
      <c r="I22" s="9">
        <f>IF(COUNTIF('Country Summary'!$B$5:$B$200,B22)&gt;0,"Yes","")</f>
        <v/>
      </c>
    </row>
    <row r="23">
      <c r="A23" s="9" t="n">
        <v>19</v>
      </c>
      <c r="B23" s="9" t="inlineStr">
        <is>
          <t>Slovenia</t>
        </is>
      </c>
      <c r="C23" s="9">
        <f>COUNTIF('World Checklist'!$C$5:$C$1071,B23)</f>
        <v/>
      </c>
      <c r="D23" s="9">
        <f>COUNTIFS('World Checklist'!$C$5:$C$1071,B23,'World Checklist'!$B$5:$B$1071,"☑")</f>
        <v/>
      </c>
      <c r="E23" s="9">
        <f>COUNTIFS('World Checklist'!$C$5:$C$1071,B23,'World Checklist'!$H$5:$H$1071,"Likely")</f>
        <v/>
      </c>
      <c r="F23" s="9">
        <f>COUNTIFS('World Checklist'!$C$5:$C$1071,B23,'World Checklist'!$H$5:$H$1071,"Planned")</f>
        <v/>
      </c>
      <c r="G23" s="9">
        <f>C23-D23</f>
        <v/>
      </c>
      <c r="H23" s="24">
        <f>IF(C23=0,"",D23/C23)</f>
        <v/>
      </c>
      <c r="I23" s="9">
        <f>IF(COUNTIF('Country Summary'!$B$5:$B$200,B23)&gt;0,"Yes","")</f>
        <v/>
      </c>
    </row>
    <row r="24">
      <c r="A24" s="9" t="n">
        <v>20</v>
      </c>
      <c r="B24" s="9" t="inlineStr">
        <is>
          <t>Denmark</t>
        </is>
      </c>
      <c r="C24" s="9">
        <f>COUNTIF('World Checklist'!$C$5:$C$1071,B24)</f>
        <v/>
      </c>
      <c r="D24" s="9">
        <f>COUNTIFS('World Checklist'!$C$5:$C$1071,B24,'World Checklist'!$B$5:$B$1071,"☑")</f>
        <v/>
      </c>
      <c r="E24" s="9">
        <f>COUNTIFS('World Checklist'!$C$5:$C$1071,B24,'World Checklist'!$H$5:$H$1071,"Likely")</f>
        <v/>
      </c>
      <c r="F24" s="9">
        <f>COUNTIFS('World Checklist'!$C$5:$C$1071,B24,'World Checklist'!$H$5:$H$1071,"Planned")</f>
        <v/>
      </c>
      <c r="G24" s="9">
        <f>C24-D24</f>
        <v/>
      </c>
      <c r="H24" s="24">
        <f>IF(C24=0,"",D24/C24)</f>
        <v/>
      </c>
      <c r="I24" s="9">
        <f>IF(COUNTIF('Country Summary'!$B$5:$B$200,B24)&gt;0,"Yes","")</f>
        <v/>
      </c>
    </row>
    <row r="25">
      <c r="A25" s="9" t="n">
        <v>21</v>
      </c>
      <c r="B25" s="9" t="inlineStr">
        <is>
          <t>Sweden</t>
        </is>
      </c>
      <c r="C25" s="9">
        <f>COUNTIF('World Checklist'!$C$5:$C$1071,B25)</f>
        <v/>
      </c>
      <c r="D25" s="9">
        <f>COUNTIFS('World Checklist'!$C$5:$C$1071,B25,'World Checklist'!$B$5:$B$1071,"☑")</f>
        <v/>
      </c>
      <c r="E25" s="9">
        <f>COUNTIFS('World Checklist'!$C$5:$C$1071,B25,'World Checklist'!$H$5:$H$1071,"Likely")</f>
        <v/>
      </c>
      <c r="F25" s="9">
        <f>COUNTIFS('World Checklist'!$C$5:$C$1071,B25,'World Checklist'!$H$5:$H$1071,"Planned")</f>
        <v/>
      </c>
      <c r="G25" s="9">
        <f>C25-D25</f>
        <v/>
      </c>
      <c r="H25" s="24">
        <f>IF(C25=0,"",D25/C25)</f>
        <v/>
      </c>
      <c r="I25" s="9">
        <f>IF(COUNTIF('Country Summary'!$B$5:$B$200,B25)&gt;0,"Yes","")</f>
        <v/>
      </c>
    </row>
    <row r="26">
      <c r="A26" s="9" t="n">
        <v>22</v>
      </c>
      <c r="B26" s="9" t="inlineStr">
        <is>
          <t>Norway</t>
        </is>
      </c>
      <c r="C26" s="9">
        <f>COUNTIF('World Checklist'!$C$5:$C$1071,B26)</f>
        <v/>
      </c>
      <c r="D26" s="9">
        <f>COUNTIFS('World Checklist'!$C$5:$C$1071,B26,'World Checklist'!$B$5:$B$1071,"☑")</f>
        <v/>
      </c>
      <c r="E26" s="9">
        <f>COUNTIFS('World Checklist'!$C$5:$C$1071,B26,'World Checklist'!$H$5:$H$1071,"Likely")</f>
        <v/>
      </c>
      <c r="F26" s="9">
        <f>COUNTIFS('World Checklist'!$C$5:$C$1071,B26,'World Checklist'!$H$5:$H$1071,"Planned")</f>
        <v/>
      </c>
      <c r="G26" s="9">
        <f>C26-D26</f>
        <v/>
      </c>
      <c r="H26" s="24">
        <f>IF(C26=0,"",D26/C26)</f>
        <v/>
      </c>
      <c r="I26" s="9">
        <f>IF(COUNTIF('Country Summary'!$B$5:$B$200,B26)&gt;0,"Yes","")</f>
        <v/>
      </c>
    </row>
    <row r="27">
      <c r="A27" s="9" t="n">
        <v>23</v>
      </c>
      <c r="B27" s="9" t="inlineStr">
        <is>
          <t>Finland / Iceland</t>
        </is>
      </c>
      <c r="C27" s="9">
        <f>COUNTIF('World Checklist'!$C$5:$C$1071,B27)</f>
        <v/>
      </c>
      <c r="D27" s="9">
        <f>COUNTIFS('World Checklist'!$C$5:$C$1071,B27,'World Checklist'!$B$5:$B$1071,"☑")</f>
        <v/>
      </c>
      <c r="E27" s="9">
        <f>COUNTIFS('World Checklist'!$C$5:$C$1071,B27,'World Checklist'!$H$5:$H$1071,"Likely")</f>
        <v/>
      </c>
      <c r="F27" s="9">
        <f>COUNTIFS('World Checklist'!$C$5:$C$1071,B27,'World Checklist'!$H$5:$H$1071,"Planned")</f>
        <v/>
      </c>
      <c r="G27" s="9">
        <f>C27-D27</f>
        <v/>
      </c>
      <c r="H27" s="24">
        <f>IF(C27=0,"",D27/C27)</f>
        <v/>
      </c>
      <c r="I27" s="9">
        <f>IF(COUNTIF('Country Summary'!$B$5:$B$200,B27)&gt;0,"Yes","")</f>
        <v/>
      </c>
    </row>
    <row r="28">
      <c r="A28" s="9" t="n">
        <v>24</v>
      </c>
      <c r="B28" s="9" t="inlineStr">
        <is>
          <t>Ireland</t>
        </is>
      </c>
      <c r="C28" s="9">
        <f>COUNTIF('World Checklist'!$C$5:$C$1071,B28)</f>
        <v/>
      </c>
      <c r="D28" s="9">
        <f>COUNTIFS('World Checklist'!$C$5:$C$1071,B28,'World Checklist'!$B$5:$B$1071,"☑")</f>
        <v/>
      </c>
      <c r="E28" s="9">
        <f>COUNTIFS('World Checklist'!$C$5:$C$1071,B28,'World Checklist'!$H$5:$H$1071,"Likely")</f>
        <v/>
      </c>
      <c r="F28" s="9">
        <f>COUNTIFS('World Checklist'!$C$5:$C$1071,B28,'World Checklist'!$H$5:$H$1071,"Planned")</f>
        <v/>
      </c>
      <c r="G28" s="9">
        <f>C28-D28</f>
        <v/>
      </c>
      <c r="H28" s="24">
        <f>IF(C28=0,"",D28/C28)</f>
        <v/>
      </c>
      <c r="I28" s="9">
        <f>IF(COUNTIF('Country Summary'!$B$5:$B$200,B28)&gt;0,"Yes","")</f>
        <v/>
      </c>
    </row>
    <row r="29">
      <c r="A29" s="9" t="n">
        <v>25</v>
      </c>
      <c r="B29" s="9" t="inlineStr">
        <is>
          <t>Turkey</t>
        </is>
      </c>
      <c r="C29" s="9">
        <f>COUNTIF('World Checklist'!$C$5:$C$1071,B29)</f>
        <v/>
      </c>
      <c r="D29" s="9">
        <f>COUNTIFS('World Checklist'!$C$5:$C$1071,B29,'World Checklist'!$B$5:$B$1071,"☑")</f>
        <v/>
      </c>
      <c r="E29" s="9">
        <f>COUNTIFS('World Checklist'!$C$5:$C$1071,B29,'World Checklist'!$H$5:$H$1071,"Likely")</f>
        <v/>
      </c>
      <c r="F29" s="9">
        <f>COUNTIFS('World Checklist'!$C$5:$C$1071,B29,'World Checklist'!$H$5:$H$1071,"Planned")</f>
        <v/>
      </c>
      <c r="G29" s="9">
        <f>C29-D29</f>
        <v/>
      </c>
      <c r="H29" s="24">
        <f>IF(C29=0,"",D29/C29)</f>
        <v/>
      </c>
      <c r="I29" s="9">
        <f>IF(COUNTIF('Country Summary'!$B$5:$B$200,B29)&gt;0,"Yes","")</f>
        <v/>
      </c>
    </row>
    <row r="30">
      <c r="A30" s="9" t="n">
        <v>26</v>
      </c>
      <c r="B30" s="9" t="inlineStr">
        <is>
          <t>Russia</t>
        </is>
      </c>
      <c r="C30" s="9">
        <f>COUNTIF('World Checklist'!$C$5:$C$1071,B30)</f>
        <v/>
      </c>
      <c r="D30" s="9">
        <f>COUNTIFS('World Checklist'!$C$5:$C$1071,B30,'World Checklist'!$B$5:$B$1071,"☑")</f>
        <v/>
      </c>
      <c r="E30" s="9">
        <f>COUNTIFS('World Checklist'!$C$5:$C$1071,B30,'World Checklist'!$H$5:$H$1071,"Likely")</f>
        <v/>
      </c>
      <c r="F30" s="9">
        <f>COUNTIFS('World Checklist'!$C$5:$C$1071,B30,'World Checklist'!$H$5:$H$1071,"Planned")</f>
        <v/>
      </c>
      <c r="G30" s="9">
        <f>C30-D30</f>
        <v/>
      </c>
      <c r="H30" s="24">
        <f>IF(C30=0,"",D30/C30)</f>
        <v/>
      </c>
      <c r="I30" s="9">
        <f>IF(COUNTIF('Country Summary'!$B$5:$B$200,B30)&gt;0,"Yes","")</f>
        <v/>
      </c>
    </row>
    <row r="31">
      <c r="A31" s="9" t="n">
        <v>27</v>
      </c>
      <c r="B31" s="9" t="inlineStr">
        <is>
          <t>UAE</t>
        </is>
      </c>
      <c r="C31" s="9">
        <f>COUNTIF('World Checklist'!$C$5:$C$1071,B31)</f>
        <v/>
      </c>
      <c r="D31" s="9">
        <f>COUNTIFS('World Checklist'!$C$5:$C$1071,B31,'World Checklist'!$B$5:$B$1071,"☑")</f>
        <v/>
      </c>
      <c r="E31" s="9">
        <f>COUNTIFS('World Checklist'!$C$5:$C$1071,B31,'World Checklist'!$H$5:$H$1071,"Likely")</f>
        <v/>
      </c>
      <c r="F31" s="9">
        <f>COUNTIFS('World Checklist'!$C$5:$C$1071,B31,'World Checklist'!$H$5:$H$1071,"Planned")</f>
        <v/>
      </c>
      <c r="G31" s="9">
        <f>C31-D31</f>
        <v/>
      </c>
      <c r="H31" s="24">
        <f>IF(C31=0,"",D31/C31)</f>
        <v/>
      </c>
      <c r="I31" s="9">
        <f>IF(COUNTIF('Country Summary'!$B$5:$B$200,B31)&gt;0,"Yes","")</f>
        <v/>
      </c>
    </row>
    <row r="32">
      <c r="A32" s="9" t="n">
        <v>28</v>
      </c>
      <c r="B32" s="9" t="inlineStr">
        <is>
          <t>Sri Lanka</t>
        </is>
      </c>
      <c r="C32" s="9">
        <f>COUNTIF('World Checklist'!$C$5:$C$1071,B32)</f>
        <v/>
      </c>
      <c r="D32" s="9">
        <f>COUNTIFS('World Checklist'!$C$5:$C$1071,B32,'World Checklist'!$B$5:$B$1071,"☑")</f>
        <v/>
      </c>
      <c r="E32" s="9">
        <f>COUNTIFS('World Checklist'!$C$5:$C$1071,B32,'World Checklist'!$H$5:$H$1071,"Likely")</f>
        <v/>
      </c>
      <c r="F32" s="9">
        <f>COUNTIFS('World Checklist'!$C$5:$C$1071,B32,'World Checklist'!$H$5:$H$1071,"Planned")</f>
        <v/>
      </c>
      <c r="G32" s="9">
        <f>C32-D32</f>
        <v/>
      </c>
      <c r="H32" s="24">
        <f>IF(C32=0,"",D32/C32)</f>
        <v/>
      </c>
      <c r="I32" s="9">
        <f>IF(COUNTIF('Country Summary'!$B$5:$B$200,B32)&gt;0,"Yes","")</f>
        <v/>
      </c>
    </row>
    <row r="33">
      <c r="A33" s="9" t="n">
        <v>29</v>
      </c>
      <c r="B33" s="9" t="inlineStr">
        <is>
          <t>Cambodia</t>
        </is>
      </c>
      <c r="C33" s="9">
        <f>COUNTIF('World Checklist'!$C$5:$C$1071,B33)</f>
        <v/>
      </c>
      <c r="D33" s="9">
        <f>COUNTIFS('World Checklist'!$C$5:$C$1071,B33,'World Checklist'!$B$5:$B$1071,"☑")</f>
        <v/>
      </c>
      <c r="E33" s="9">
        <f>COUNTIFS('World Checklist'!$C$5:$C$1071,B33,'World Checklist'!$H$5:$H$1071,"Likely")</f>
        <v/>
      </c>
      <c r="F33" s="9">
        <f>COUNTIFS('World Checklist'!$C$5:$C$1071,B33,'World Checklist'!$H$5:$H$1071,"Planned")</f>
        <v/>
      </c>
      <c r="G33" s="9">
        <f>C33-D33</f>
        <v/>
      </c>
      <c r="H33" s="24">
        <f>IF(C33=0,"",D33/C33)</f>
        <v/>
      </c>
      <c r="I33" s="9">
        <f>IF(COUNTIF('Country Summary'!$B$5:$B$200,B33)&gt;0,"Yes","")</f>
        <v/>
      </c>
    </row>
    <row r="34">
      <c r="A34" s="9" t="n">
        <v>30</v>
      </c>
      <c r="B34" s="9" t="inlineStr">
        <is>
          <t>Thailand</t>
        </is>
      </c>
      <c r="C34" s="9">
        <f>COUNTIF('World Checklist'!$C$5:$C$1071,B34)</f>
        <v/>
      </c>
      <c r="D34" s="9">
        <f>COUNTIFS('World Checklist'!$C$5:$C$1071,B34,'World Checklist'!$B$5:$B$1071,"☑")</f>
        <v/>
      </c>
      <c r="E34" s="9">
        <f>COUNTIFS('World Checklist'!$C$5:$C$1071,B34,'World Checklist'!$H$5:$H$1071,"Likely")</f>
        <v/>
      </c>
      <c r="F34" s="9">
        <f>COUNTIFS('World Checklist'!$C$5:$C$1071,B34,'World Checklist'!$H$5:$H$1071,"Planned")</f>
        <v/>
      </c>
      <c r="G34" s="9">
        <f>C34-D34</f>
        <v/>
      </c>
      <c r="H34" s="24">
        <f>IF(C34=0,"",D34/C34)</f>
        <v/>
      </c>
      <c r="I34" s="9">
        <f>IF(COUNTIF('Country Summary'!$B$5:$B$200,B34)&gt;0,"Yes","")</f>
        <v/>
      </c>
    </row>
    <row r="35">
      <c r="A35" s="9" t="n">
        <v>31</v>
      </c>
      <c r="B35" s="9" t="inlineStr">
        <is>
          <t>Nepal</t>
        </is>
      </c>
      <c r="C35" s="9">
        <f>COUNTIF('World Checklist'!$C$5:$C$1071,B35)</f>
        <v/>
      </c>
      <c r="D35" s="9">
        <f>COUNTIFS('World Checklist'!$C$5:$C$1071,B35,'World Checklist'!$B$5:$B$1071,"☑")</f>
        <v/>
      </c>
      <c r="E35" s="9">
        <f>COUNTIFS('World Checklist'!$C$5:$C$1071,B35,'World Checklist'!$H$5:$H$1071,"Likely")</f>
        <v/>
      </c>
      <c r="F35" s="9">
        <f>COUNTIFS('World Checklist'!$C$5:$C$1071,B35,'World Checklist'!$H$5:$H$1071,"Planned")</f>
        <v/>
      </c>
      <c r="G35" s="9">
        <f>C35-D35</f>
        <v/>
      </c>
      <c r="H35" s="24">
        <f>IF(C35=0,"",D35/C35)</f>
        <v/>
      </c>
      <c r="I35" s="9">
        <f>IF(COUNTIF('Country Summary'!$B$5:$B$200,B35)&gt;0,"Yes","")</f>
        <v/>
      </c>
    </row>
    <row r="36">
      <c r="A36" s="9" t="n">
        <v>32</v>
      </c>
      <c r="B36" s="9" t="inlineStr">
        <is>
          <t>Bhutan</t>
        </is>
      </c>
      <c r="C36" s="9">
        <f>COUNTIF('World Checklist'!$C$5:$C$1071,B36)</f>
        <v/>
      </c>
      <c r="D36" s="9">
        <f>COUNTIFS('World Checklist'!$C$5:$C$1071,B36,'World Checklist'!$B$5:$B$1071,"☑")</f>
        <v/>
      </c>
      <c r="E36" s="9">
        <f>COUNTIFS('World Checklist'!$C$5:$C$1071,B36,'World Checklist'!$H$5:$H$1071,"Likely")</f>
        <v/>
      </c>
      <c r="F36" s="9">
        <f>COUNTIFS('World Checklist'!$C$5:$C$1071,B36,'World Checklist'!$H$5:$H$1071,"Planned")</f>
        <v/>
      </c>
      <c r="G36" s="9">
        <f>C36-D36</f>
        <v/>
      </c>
      <c r="H36" s="24">
        <f>IF(C36=0,"",D36/C36)</f>
        <v/>
      </c>
      <c r="I36" s="9">
        <f>IF(COUNTIF('Country Summary'!$B$5:$B$200,B36)&gt;0,"Yes","")</f>
        <v/>
      </c>
    </row>
    <row r="37">
      <c r="A37" s="9" t="n">
        <v>33</v>
      </c>
      <c r="B37" s="9" t="inlineStr">
        <is>
          <t>Bangladesh</t>
        </is>
      </c>
      <c r="C37" s="9">
        <f>COUNTIF('World Checklist'!$C$5:$C$1071,B37)</f>
        <v/>
      </c>
      <c r="D37" s="9">
        <f>COUNTIFS('World Checklist'!$C$5:$C$1071,B37,'World Checklist'!$B$5:$B$1071,"☑")</f>
        <v/>
      </c>
      <c r="E37" s="9">
        <f>COUNTIFS('World Checklist'!$C$5:$C$1071,B37,'World Checklist'!$H$5:$H$1071,"Likely")</f>
        <v/>
      </c>
      <c r="F37" s="9">
        <f>COUNTIFS('World Checklist'!$C$5:$C$1071,B37,'World Checklist'!$H$5:$H$1071,"Planned")</f>
        <v/>
      </c>
      <c r="G37" s="9">
        <f>C37-D37</f>
        <v/>
      </c>
      <c r="H37" s="24">
        <f>IF(C37=0,"",D37/C37)</f>
        <v/>
      </c>
      <c r="I37" s="9">
        <f>IF(COUNTIF('Country Summary'!$B$5:$B$200,B37)&gt;0,"Yes","")</f>
        <v/>
      </c>
    </row>
    <row r="38">
      <c r="A38" s="9" t="n">
        <v>34</v>
      </c>
      <c r="B38" s="9" t="inlineStr">
        <is>
          <t>Maldives</t>
        </is>
      </c>
      <c r="C38" s="9">
        <f>COUNTIF('World Checklist'!$C$5:$C$1071,B38)</f>
        <v/>
      </c>
      <c r="D38" s="9">
        <f>COUNTIFS('World Checklist'!$C$5:$C$1071,B38,'World Checklist'!$B$5:$B$1071,"☑")</f>
        <v/>
      </c>
      <c r="E38" s="9">
        <f>COUNTIFS('World Checklist'!$C$5:$C$1071,B38,'World Checklist'!$H$5:$H$1071,"Likely")</f>
        <v/>
      </c>
      <c r="F38" s="9">
        <f>COUNTIFS('World Checklist'!$C$5:$C$1071,B38,'World Checklist'!$H$5:$H$1071,"Planned")</f>
        <v/>
      </c>
      <c r="G38" s="9">
        <f>C38-D38</f>
        <v/>
      </c>
      <c r="H38" s="24">
        <f>IF(C38=0,"",D38/C38)</f>
        <v/>
      </c>
      <c r="I38" s="9">
        <f>IF(COUNTIF('Country Summary'!$B$5:$B$200,B38)&gt;0,"Yes","")</f>
        <v/>
      </c>
    </row>
    <row r="39">
      <c r="A39" s="9" t="n">
        <v>35</v>
      </c>
      <c r="B39" s="9" t="inlineStr">
        <is>
          <t>Mauritius</t>
        </is>
      </c>
      <c r="C39" s="9">
        <f>COUNTIF('World Checklist'!$C$5:$C$1071,B39)</f>
        <v/>
      </c>
      <c r="D39" s="9">
        <f>COUNTIFS('World Checklist'!$C$5:$C$1071,B39,'World Checklist'!$B$5:$B$1071,"☑")</f>
        <v/>
      </c>
      <c r="E39" s="9">
        <f>COUNTIFS('World Checklist'!$C$5:$C$1071,B39,'World Checklist'!$H$5:$H$1071,"Likely")</f>
        <v/>
      </c>
      <c r="F39" s="9">
        <f>COUNTIFS('World Checklist'!$C$5:$C$1071,B39,'World Checklist'!$H$5:$H$1071,"Planned")</f>
        <v/>
      </c>
      <c r="G39" s="9">
        <f>C39-D39</f>
        <v/>
      </c>
      <c r="H39" s="24">
        <f>IF(C39=0,"",D39/C39)</f>
        <v/>
      </c>
      <c r="I39" s="9">
        <f>IF(COUNTIF('Country Summary'!$B$5:$B$200,B39)&gt;0,"Yes","")</f>
        <v/>
      </c>
    </row>
    <row r="40">
      <c r="A40" s="9" t="n">
        <v>36</v>
      </c>
      <c r="B40" s="9" t="inlineStr">
        <is>
          <t>Malaysia</t>
        </is>
      </c>
      <c r="C40" s="9">
        <f>COUNTIF('World Checklist'!$C$5:$C$1071,B40)</f>
        <v/>
      </c>
      <c r="D40" s="9">
        <f>COUNTIFS('World Checklist'!$C$5:$C$1071,B40,'World Checklist'!$B$5:$B$1071,"☑")</f>
        <v/>
      </c>
      <c r="E40" s="9">
        <f>COUNTIFS('World Checklist'!$C$5:$C$1071,B40,'World Checklist'!$H$5:$H$1071,"Likely")</f>
        <v/>
      </c>
      <c r="F40" s="9">
        <f>COUNTIFS('World Checklist'!$C$5:$C$1071,B40,'World Checklist'!$H$5:$H$1071,"Planned")</f>
        <v/>
      </c>
      <c r="G40" s="9">
        <f>C40-D40</f>
        <v/>
      </c>
      <c r="H40" s="24">
        <f>IF(C40=0,"",D40/C40)</f>
        <v/>
      </c>
      <c r="I40" s="9">
        <f>IF(COUNTIF('Country Summary'!$B$5:$B$200,B40)&gt;0,"Yes","")</f>
        <v/>
      </c>
    </row>
    <row r="41">
      <c r="A41" s="9" t="n">
        <v>37</v>
      </c>
      <c r="B41" s="9" t="inlineStr">
        <is>
          <t>Singapore</t>
        </is>
      </c>
      <c r="C41" s="9">
        <f>COUNTIF('World Checklist'!$C$5:$C$1071,B41)</f>
        <v/>
      </c>
      <c r="D41" s="9">
        <f>COUNTIFS('World Checklist'!$C$5:$C$1071,B41,'World Checklist'!$B$5:$B$1071,"☑")</f>
        <v/>
      </c>
      <c r="E41" s="9">
        <f>COUNTIFS('World Checklist'!$C$5:$C$1071,B41,'World Checklist'!$H$5:$H$1071,"Likely")</f>
        <v/>
      </c>
      <c r="F41" s="9">
        <f>COUNTIFS('World Checklist'!$C$5:$C$1071,B41,'World Checklist'!$H$5:$H$1071,"Planned")</f>
        <v/>
      </c>
      <c r="G41" s="9">
        <f>C41-D41</f>
        <v/>
      </c>
      <c r="H41" s="24">
        <f>IF(C41=0,"",D41/C41)</f>
        <v/>
      </c>
      <c r="I41" s="9">
        <f>IF(COUNTIF('Country Summary'!$B$5:$B$200,B41)&gt;0,"Yes","")</f>
        <v/>
      </c>
    </row>
    <row r="42">
      <c r="A42" s="9" t="n">
        <v>38</v>
      </c>
      <c r="B42" s="9" t="inlineStr">
        <is>
          <t>Indonesia</t>
        </is>
      </c>
      <c r="C42" s="9">
        <f>COUNTIF('World Checklist'!$C$5:$C$1071,B42)</f>
        <v/>
      </c>
      <c r="D42" s="9">
        <f>COUNTIFS('World Checklist'!$C$5:$C$1071,B42,'World Checklist'!$B$5:$B$1071,"☑")</f>
        <v/>
      </c>
      <c r="E42" s="9">
        <f>COUNTIFS('World Checklist'!$C$5:$C$1071,B42,'World Checklist'!$H$5:$H$1071,"Likely")</f>
        <v/>
      </c>
      <c r="F42" s="9">
        <f>COUNTIFS('World Checklist'!$C$5:$C$1071,B42,'World Checklist'!$H$5:$H$1071,"Planned")</f>
        <v/>
      </c>
      <c r="G42" s="9">
        <f>C42-D42</f>
        <v/>
      </c>
      <c r="H42" s="24">
        <f>IF(C42=0,"",D42/C42)</f>
        <v/>
      </c>
      <c r="I42" s="9">
        <f>IF(COUNTIF('Country Summary'!$B$5:$B$200,B42)&gt;0,"Yes","")</f>
        <v/>
      </c>
    </row>
    <row r="43">
      <c r="A43" s="9" t="n">
        <v>39</v>
      </c>
      <c r="B43" s="9" t="inlineStr">
        <is>
          <t>Vietnam</t>
        </is>
      </c>
      <c r="C43" s="9">
        <f>COUNTIF('World Checklist'!$C$5:$C$1071,B43)</f>
        <v/>
      </c>
      <c r="D43" s="9">
        <f>COUNTIFS('World Checklist'!$C$5:$C$1071,B43,'World Checklist'!$B$5:$B$1071,"☑")</f>
        <v/>
      </c>
      <c r="E43" s="9">
        <f>COUNTIFS('World Checklist'!$C$5:$C$1071,B43,'World Checklist'!$H$5:$H$1071,"Likely")</f>
        <v/>
      </c>
      <c r="F43" s="9">
        <f>COUNTIFS('World Checklist'!$C$5:$C$1071,B43,'World Checklist'!$H$5:$H$1071,"Planned")</f>
        <v/>
      </c>
      <c r="G43" s="9">
        <f>C43-D43</f>
        <v/>
      </c>
      <c r="H43" s="24">
        <f>IF(C43=0,"",D43/C43)</f>
        <v/>
      </c>
      <c r="I43" s="9">
        <f>IF(COUNTIF('Country Summary'!$B$5:$B$200,B43)&gt;0,"Yes","")</f>
        <v/>
      </c>
    </row>
    <row r="44">
      <c r="A44" s="9" t="n">
        <v>40</v>
      </c>
      <c r="B44" s="9" t="inlineStr">
        <is>
          <t>Laos</t>
        </is>
      </c>
      <c r="C44" s="9">
        <f>COUNTIF('World Checklist'!$C$5:$C$1071,B44)</f>
        <v/>
      </c>
      <c r="D44" s="9">
        <f>COUNTIFS('World Checklist'!$C$5:$C$1071,B44,'World Checklist'!$B$5:$B$1071,"☑")</f>
        <v/>
      </c>
      <c r="E44" s="9">
        <f>COUNTIFS('World Checklist'!$C$5:$C$1071,B44,'World Checklist'!$H$5:$H$1071,"Likely")</f>
        <v/>
      </c>
      <c r="F44" s="9">
        <f>COUNTIFS('World Checklist'!$C$5:$C$1071,B44,'World Checklist'!$H$5:$H$1071,"Planned")</f>
        <v/>
      </c>
      <c r="G44" s="9">
        <f>C44-D44</f>
        <v/>
      </c>
      <c r="H44" s="24">
        <f>IF(C44=0,"",D44/C44)</f>
        <v/>
      </c>
      <c r="I44" s="9">
        <f>IF(COUNTIF('Country Summary'!$B$5:$B$200,B44)&gt;0,"Yes","")</f>
        <v/>
      </c>
    </row>
    <row r="45">
      <c r="A45" s="9" t="n">
        <v>41</v>
      </c>
      <c r="B45" s="9" t="inlineStr">
        <is>
          <t>Myanmar</t>
        </is>
      </c>
      <c r="C45" s="9">
        <f>COUNTIF('World Checklist'!$C$5:$C$1071,B45)</f>
        <v/>
      </c>
      <c r="D45" s="9">
        <f>COUNTIFS('World Checklist'!$C$5:$C$1071,B45,'World Checklist'!$B$5:$B$1071,"☑")</f>
        <v/>
      </c>
      <c r="E45" s="9">
        <f>COUNTIFS('World Checklist'!$C$5:$C$1071,B45,'World Checklist'!$H$5:$H$1071,"Likely")</f>
        <v/>
      </c>
      <c r="F45" s="9">
        <f>COUNTIFS('World Checklist'!$C$5:$C$1071,B45,'World Checklist'!$H$5:$H$1071,"Planned")</f>
        <v/>
      </c>
      <c r="G45" s="9">
        <f>C45-D45</f>
        <v/>
      </c>
      <c r="H45" s="24">
        <f>IF(C45=0,"",D45/C45)</f>
        <v/>
      </c>
      <c r="I45" s="9">
        <f>IF(COUNTIF('Country Summary'!$B$5:$B$200,B45)&gt;0,"Yes","")</f>
        <v/>
      </c>
    </row>
    <row r="46">
      <c r="A46" s="9" t="n">
        <v>42</v>
      </c>
      <c r="B46" s="9" t="inlineStr">
        <is>
          <t>Philippines</t>
        </is>
      </c>
      <c r="C46" s="9">
        <f>COUNTIF('World Checklist'!$C$5:$C$1071,B46)</f>
        <v/>
      </c>
      <c r="D46" s="9">
        <f>COUNTIFS('World Checklist'!$C$5:$C$1071,B46,'World Checklist'!$B$5:$B$1071,"☑")</f>
        <v/>
      </c>
      <c r="E46" s="9">
        <f>COUNTIFS('World Checklist'!$C$5:$C$1071,B46,'World Checklist'!$H$5:$H$1071,"Likely")</f>
        <v/>
      </c>
      <c r="F46" s="9">
        <f>COUNTIFS('World Checklist'!$C$5:$C$1071,B46,'World Checklist'!$H$5:$H$1071,"Planned")</f>
        <v/>
      </c>
      <c r="G46" s="9">
        <f>C46-D46</f>
        <v/>
      </c>
      <c r="H46" s="24">
        <f>IF(C46=0,"",D46/C46)</f>
        <v/>
      </c>
      <c r="I46" s="9">
        <f>IF(COUNTIF('Country Summary'!$B$5:$B$200,B46)&gt;0,"Yes","")</f>
        <v/>
      </c>
    </row>
    <row r="47">
      <c r="A47" s="9" t="n">
        <v>43</v>
      </c>
      <c r="B47" s="9" t="inlineStr">
        <is>
          <t>Japan</t>
        </is>
      </c>
      <c r="C47" s="9">
        <f>COUNTIF('World Checklist'!$C$5:$C$1071,B47)</f>
        <v/>
      </c>
      <c r="D47" s="9">
        <f>COUNTIFS('World Checklist'!$C$5:$C$1071,B47,'World Checklist'!$B$5:$B$1071,"☑")</f>
        <v/>
      </c>
      <c r="E47" s="9">
        <f>COUNTIFS('World Checklist'!$C$5:$C$1071,B47,'World Checklist'!$H$5:$H$1071,"Likely")</f>
        <v/>
      </c>
      <c r="F47" s="9">
        <f>COUNTIFS('World Checklist'!$C$5:$C$1071,B47,'World Checklist'!$H$5:$H$1071,"Planned")</f>
        <v/>
      </c>
      <c r="G47" s="9">
        <f>C47-D47</f>
        <v/>
      </c>
      <c r="H47" s="24">
        <f>IF(C47=0,"",D47/C47)</f>
        <v/>
      </c>
      <c r="I47" s="9">
        <f>IF(COUNTIF('Country Summary'!$B$5:$B$200,B47)&gt;0,"Yes","")</f>
        <v/>
      </c>
    </row>
    <row r="48">
      <c r="A48" s="9" t="n">
        <v>44</v>
      </c>
      <c r="B48" s="9" t="inlineStr">
        <is>
          <t>South Korea</t>
        </is>
      </c>
      <c r="C48" s="9">
        <f>COUNTIF('World Checklist'!$C$5:$C$1071,B48)</f>
        <v/>
      </c>
      <c r="D48" s="9">
        <f>COUNTIFS('World Checklist'!$C$5:$C$1071,B48,'World Checklist'!$B$5:$B$1071,"☑")</f>
        <v/>
      </c>
      <c r="E48" s="9">
        <f>COUNTIFS('World Checklist'!$C$5:$C$1071,B48,'World Checklist'!$H$5:$H$1071,"Likely")</f>
        <v/>
      </c>
      <c r="F48" s="9">
        <f>COUNTIFS('World Checklist'!$C$5:$C$1071,B48,'World Checklist'!$H$5:$H$1071,"Planned")</f>
        <v/>
      </c>
      <c r="G48" s="9">
        <f>C48-D48</f>
        <v/>
      </c>
      <c r="H48" s="24">
        <f>IF(C48=0,"",D48/C48)</f>
        <v/>
      </c>
      <c r="I48" s="9">
        <f>IF(COUNTIF('Country Summary'!$B$5:$B$200,B48)&gt;0,"Yes","")</f>
        <v/>
      </c>
    </row>
    <row r="49">
      <c r="A49" s="9" t="n">
        <v>45</v>
      </c>
      <c r="B49" s="9" t="inlineStr">
        <is>
          <t>China</t>
        </is>
      </c>
      <c r="C49" s="9">
        <f>COUNTIF('World Checklist'!$C$5:$C$1071,B49)</f>
        <v/>
      </c>
      <c r="D49" s="9">
        <f>COUNTIFS('World Checklist'!$C$5:$C$1071,B49,'World Checklist'!$B$5:$B$1071,"☑")</f>
        <v/>
      </c>
      <c r="E49" s="9">
        <f>COUNTIFS('World Checklist'!$C$5:$C$1071,B49,'World Checklist'!$H$5:$H$1071,"Likely")</f>
        <v/>
      </c>
      <c r="F49" s="9">
        <f>COUNTIFS('World Checklist'!$C$5:$C$1071,B49,'World Checklist'!$H$5:$H$1071,"Planned")</f>
        <v/>
      </c>
      <c r="G49" s="9">
        <f>C49-D49</f>
        <v/>
      </c>
      <c r="H49" s="24">
        <f>IF(C49=0,"",D49/C49)</f>
        <v/>
      </c>
      <c r="I49" s="9">
        <f>IF(COUNTIF('Country Summary'!$B$5:$B$200,B49)&gt;0,"Yes","")</f>
        <v/>
      </c>
    </row>
    <row r="50">
      <c r="A50" s="9" t="n">
        <v>46</v>
      </c>
      <c r="B50" s="9" t="inlineStr">
        <is>
          <t>Hong Kong</t>
        </is>
      </c>
      <c r="C50" s="9">
        <f>COUNTIF('World Checklist'!$C$5:$C$1071,B50)</f>
        <v/>
      </c>
      <c r="D50" s="9">
        <f>COUNTIFS('World Checklist'!$C$5:$C$1071,B50,'World Checklist'!$B$5:$B$1071,"☑")</f>
        <v/>
      </c>
      <c r="E50" s="9">
        <f>COUNTIFS('World Checklist'!$C$5:$C$1071,B50,'World Checklist'!$H$5:$H$1071,"Likely")</f>
        <v/>
      </c>
      <c r="F50" s="9">
        <f>COUNTIFS('World Checklist'!$C$5:$C$1071,B50,'World Checklist'!$H$5:$H$1071,"Planned")</f>
        <v/>
      </c>
      <c r="G50" s="9">
        <f>C50-D50</f>
        <v/>
      </c>
      <c r="H50" s="24">
        <f>IF(C50=0,"",D50/C50)</f>
        <v/>
      </c>
      <c r="I50" s="9">
        <f>IF(COUNTIF('Country Summary'!$B$5:$B$200,B50)&gt;0,"Yes","")</f>
        <v/>
      </c>
    </row>
    <row r="51">
      <c r="A51" s="9" t="n">
        <v>47</v>
      </c>
      <c r="B51" s="9" t="inlineStr">
        <is>
          <t>Taiwan</t>
        </is>
      </c>
      <c r="C51" s="9">
        <f>COUNTIF('World Checklist'!$C$5:$C$1071,B51)</f>
        <v/>
      </c>
      <c r="D51" s="9">
        <f>COUNTIFS('World Checklist'!$C$5:$C$1071,B51,'World Checklist'!$B$5:$B$1071,"☑")</f>
        <v/>
      </c>
      <c r="E51" s="9">
        <f>COUNTIFS('World Checklist'!$C$5:$C$1071,B51,'World Checklist'!$H$5:$H$1071,"Likely")</f>
        <v/>
      </c>
      <c r="F51" s="9">
        <f>COUNTIFS('World Checklist'!$C$5:$C$1071,B51,'World Checklist'!$H$5:$H$1071,"Planned")</f>
        <v/>
      </c>
      <c r="G51" s="9">
        <f>C51-D51</f>
        <v/>
      </c>
      <c r="H51" s="24">
        <f>IF(C51=0,"",D51/C51)</f>
        <v/>
      </c>
      <c r="I51" s="9">
        <f>IF(COUNTIF('Country Summary'!$B$5:$B$200,B51)&gt;0,"Yes","")</f>
        <v/>
      </c>
    </row>
    <row r="52">
      <c r="A52" s="9" t="n">
        <v>48</v>
      </c>
      <c r="B52" s="9" t="inlineStr">
        <is>
          <t>Kazakhstan</t>
        </is>
      </c>
      <c r="C52" s="9">
        <f>COUNTIF('World Checklist'!$C$5:$C$1071,B52)</f>
        <v/>
      </c>
      <c r="D52" s="9">
        <f>COUNTIFS('World Checklist'!$C$5:$C$1071,B52,'World Checklist'!$B$5:$B$1071,"☑")</f>
        <v/>
      </c>
      <c r="E52" s="9">
        <f>COUNTIFS('World Checklist'!$C$5:$C$1071,B52,'World Checklist'!$H$5:$H$1071,"Likely")</f>
        <v/>
      </c>
      <c r="F52" s="9">
        <f>COUNTIFS('World Checklist'!$C$5:$C$1071,B52,'World Checklist'!$H$5:$H$1071,"Planned")</f>
        <v/>
      </c>
      <c r="G52" s="9">
        <f>C52-D52</f>
        <v/>
      </c>
      <c r="H52" s="24">
        <f>IF(C52=0,"",D52/C52)</f>
        <v/>
      </c>
      <c r="I52" s="9">
        <f>IF(COUNTIF('Country Summary'!$B$5:$B$200,B52)&gt;0,"Yes","")</f>
        <v/>
      </c>
    </row>
    <row r="53">
      <c r="A53" s="9" t="n">
        <v>49</v>
      </c>
      <c r="B53" s="9" t="inlineStr">
        <is>
          <t>Uzbekistan</t>
        </is>
      </c>
      <c r="C53" s="9">
        <f>COUNTIF('World Checklist'!$C$5:$C$1071,B53)</f>
        <v/>
      </c>
      <c r="D53" s="9">
        <f>COUNTIFS('World Checklist'!$C$5:$C$1071,B53,'World Checklist'!$B$5:$B$1071,"☑")</f>
        <v/>
      </c>
      <c r="E53" s="9">
        <f>COUNTIFS('World Checklist'!$C$5:$C$1071,B53,'World Checklist'!$H$5:$H$1071,"Likely")</f>
        <v/>
      </c>
      <c r="F53" s="9">
        <f>COUNTIFS('World Checklist'!$C$5:$C$1071,B53,'World Checklist'!$H$5:$H$1071,"Planned")</f>
        <v/>
      </c>
      <c r="G53" s="9">
        <f>C53-D53</f>
        <v/>
      </c>
      <c r="H53" s="24">
        <f>IF(C53=0,"",D53/C53)</f>
        <v/>
      </c>
      <c r="I53" s="9">
        <f>IF(COUNTIF('Country Summary'!$B$5:$B$200,B53)&gt;0,"Yes","")</f>
        <v/>
      </c>
    </row>
    <row r="54">
      <c r="A54" s="9" t="n">
        <v>50</v>
      </c>
      <c r="B54" s="9" t="inlineStr">
        <is>
          <t>Georgia</t>
        </is>
      </c>
      <c r="C54" s="9">
        <f>COUNTIF('World Checklist'!$C$5:$C$1071,B54)</f>
        <v/>
      </c>
      <c r="D54" s="9">
        <f>COUNTIFS('World Checklist'!$C$5:$C$1071,B54,'World Checklist'!$B$5:$B$1071,"☑")</f>
        <v/>
      </c>
      <c r="E54" s="9">
        <f>COUNTIFS('World Checklist'!$C$5:$C$1071,B54,'World Checklist'!$H$5:$H$1071,"Likely")</f>
        <v/>
      </c>
      <c r="F54" s="9">
        <f>COUNTIFS('World Checklist'!$C$5:$C$1071,B54,'World Checklist'!$H$5:$H$1071,"Planned")</f>
        <v/>
      </c>
      <c r="G54" s="9">
        <f>C54-D54</f>
        <v/>
      </c>
      <c r="H54" s="24">
        <f>IF(C54=0,"",D54/C54)</f>
        <v/>
      </c>
      <c r="I54" s="9">
        <f>IF(COUNTIF('Country Summary'!$B$5:$B$200,B54)&gt;0,"Yes","")</f>
        <v/>
      </c>
    </row>
    <row r="55">
      <c r="A55" s="9" t="n">
        <v>51</v>
      </c>
      <c r="B55" s="9" t="inlineStr">
        <is>
          <t>Armenia</t>
        </is>
      </c>
      <c r="C55" s="9">
        <f>COUNTIF('World Checklist'!$C$5:$C$1071,B55)</f>
        <v/>
      </c>
      <c r="D55" s="9">
        <f>COUNTIFS('World Checklist'!$C$5:$C$1071,B55,'World Checklist'!$B$5:$B$1071,"☑")</f>
        <v/>
      </c>
      <c r="E55" s="9">
        <f>COUNTIFS('World Checklist'!$C$5:$C$1071,B55,'World Checklist'!$H$5:$H$1071,"Likely")</f>
        <v/>
      </c>
      <c r="F55" s="9">
        <f>COUNTIFS('World Checklist'!$C$5:$C$1071,B55,'World Checklist'!$H$5:$H$1071,"Planned")</f>
        <v/>
      </c>
      <c r="G55" s="9">
        <f>C55-D55</f>
        <v/>
      </c>
      <c r="H55" s="24">
        <f>IF(C55=0,"",D55/C55)</f>
        <v/>
      </c>
      <c r="I55" s="9">
        <f>IF(COUNTIF('Country Summary'!$B$5:$B$200,B55)&gt;0,"Yes","")</f>
        <v/>
      </c>
    </row>
    <row r="56">
      <c r="A56" s="9" t="n">
        <v>52</v>
      </c>
      <c r="B56" s="9" t="inlineStr">
        <is>
          <t>Israel / Palestine</t>
        </is>
      </c>
      <c r="C56" s="9">
        <f>COUNTIF('World Checklist'!$C$5:$C$1071,B56)</f>
        <v/>
      </c>
      <c r="D56" s="9">
        <f>COUNTIFS('World Checklist'!$C$5:$C$1071,B56,'World Checklist'!$B$5:$B$1071,"☑")</f>
        <v/>
      </c>
      <c r="E56" s="9">
        <f>COUNTIFS('World Checklist'!$C$5:$C$1071,B56,'World Checklist'!$H$5:$H$1071,"Likely")</f>
        <v/>
      </c>
      <c r="F56" s="9">
        <f>COUNTIFS('World Checklist'!$C$5:$C$1071,B56,'World Checklist'!$H$5:$H$1071,"Planned")</f>
        <v/>
      </c>
      <c r="G56" s="9">
        <f>C56-D56</f>
        <v/>
      </c>
      <c r="H56" s="24">
        <f>IF(C56=0,"",D56/C56)</f>
        <v/>
      </c>
      <c r="I56" s="9">
        <f>IF(COUNTIF('Country Summary'!$B$5:$B$200,B56)&gt;0,"Yes","")</f>
        <v/>
      </c>
    </row>
    <row r="57">
      <c r="A57" s="9" t="n">
        <v>53</v>
      </c>
      <c r="B57" s="9" t="inlineStr">
        <is>
          <t>Jordan</t>
        </is>
      </c>
      <c r="C57" s="9">
        <f>COUNTIF('World Checklist'!$C$5:$C$1071,B57)</f>
        <v/>
      </c>
      <c r="D57" s="9">
        <f>COUNTIFS('World Checklist'!$C$5:$C$1071,B57,'World Checklist'!$B$5:$B$1071,"☑")</f>
        <v/>
      </c>
      <c r="E57" s="9">
        <f>COUNTIFS('World Checklist'!$C$5:$C$1071,B57,'World Checklist'!$H$5:$H$1071,"Likely")</f>
        <v/>
      </c>
      <c r="F57" s="9">
        <f>COUNTIFS('World Checklist'!$C$5:$C$1071,B57,'World Checklist'!$H$5:$H$1071,"Planned")</f>
        <v/>
      </c>
      <c r="G57" s="9">
        <f>C57-D57</f>
        <v/>
      </c>
      <c r="H57" s="24">
        <f>IF(C57=0,"",D57/C57)</f>
        <v/>
      </c>
      <c r="I57" s="9">
        <f>IF(COUNTIF('Country Summary'!$B$5:$B$200,B57)&gt;0,"Yes","")</f>
        <v/>
      </c>
    </row>
    <row r="58">
      <c r="A58" s="9" t="n">
        <v>54</v>
      </c>
      <c r="B58" s="9" t="inlineStr">
        <is>
          <t>Saudi Arabia</t>
        </is>
      </c>
      <c r="C58" s="9">
        <f>COUNTIF('World Checklist'!$C$5:$C$1071,B58)</f>
        <v/>
      </c>
      <c r="D58" s="9">
        <f>COUNTIFS('World Checklist'!$C$5:$C$1071,B58,'World Checklist'!$B$5:$B$1071,"☑")</f>
        <v/>
      </c>
      <c r="E58" s="9">
        <f>COUNTIFS('World Checklist'!$C$5:$C$1071,B58,'World Checklist'!$H$5:$H$1071,"Likely")</f>
        <v/>
      </c>
      <c r="F58" s="9">
        <f>COUNTIFS('World Checklist'!$C$5:$C$1071,B58,'World Checklist'!$H$5:$H$1071,"Planned")</f>
        <v/>
      </c>
      <c r="G58" s="9">
        <f>C58-D58</f>
        <v/>
      </c>
      <c r="H58" s="24">
        <f>IF(C58=0,"",D58/C58)</f>
        <v/>
      </c>
      <c r="I58" s="9">
        <f>IF(COUNTIF('Country Summary'!$B$5:$B$200,B58)&gt;0,"Yes","")</f>
        <v/>
      </c>
    </row>
    <row r="59">
      <c r="A59" s="9" t="n">
        <v>55</v>
      </c>
      <c r="B59" s="9" t="inlineStr">
        <is>
          <t>Oman</t>
        </is>
      </c>
      <c r="C59" s="9">
        <f>COUNTIF('World Checklist'!$C$5:$C$1071,B59)</f>
        <v/>
      </c>
      <c r="D59" s="9">
        <f>COUNTIFS('World Checklist'!$C$5:$C$1071,B59,'World Checklist'!$B$5:$B$1071,"☑")</f>
        <v/>
      </c>
      <c r="E59" s="9">
        <f>COUNTIFS('World Checklist'!$C$5:$C$1071,B59,'World Checklist'!$H$5:$H$1071,"Likely")</f>
        <v/>
      </c>
      <c r="F59" s="9">
        <f>COUNTIFS('World Checklist'!$C$5:$C$1071,B59,'World Checklist'!$H$5:$H$1071,"Planned")</f>
        <v/>
      </c>
      <c r="G59" s="9">
        <f>C59-D59</f>
        <v/>
      </c>
      <c r="H59" s="24">
        <f>IF(C59=0,"",D59/C59)</f>
        <v/>
      </c>
      <c r="I59" s="9">
        <f>IF(COUNTIF('Country Summary'!$B$5:$B$200,B59)&gt;0,"Yes","")</f>
        <v/>
      </c>
    </row>
    <row r="60">
      <c r="A60" s="9" t="n">
        <v>56</v>
      </c>
      <c r="B60" s="9" t="inlineStr">
        <is>
          <t>Qatar</t>
        </is>
      </c>
      <c r="C60" s="9">
        <f>COUNTIF('World Checklist'!$C$5:$C$1071,B60)</f>
        <v/>
      </c>
      <c r="D60" s="9">
        <f>COUNTIFS('World Checklist'!$C$5:$C$1071,B60,'World Checklist'!$B$5:$B$1071,"☑")</f>
        <v/>
      </c>
      <c r="E60" s="9">
        <f>COUNTIFS('World Checklist'!$C$5:$C$1071,B60,'World Checklist'!$H$5:$H$1071,"Likely")</f>
        <v/>
      </c>
      <c r="F60" s="9">
        <f>COUNTIFS('World Checklist'!$C$5:$C$1071,B60,'World Checklist'!$H$5:$H$1071,"Planned")</f>
        <v/>
      </c>
      <c r="G60" s="9">
        <f>C60-D60</f>
        <v/>
      </c>
      <c r="H60" s="24">
        <f>IF(C60=0,"",D60/C60)</f>
        <v/>
      </c>
      <c r="I60" s="9">
        <f>IF(COUNTIF('Country Summary'!$B$5:$B$200,B60)&gt;0,"Yes","")</f>
        <v/>
      </c>
    </row>
    <row r="61">
      <c r="A61" s="9" t="n">
        <v>57</v>
      </c>
      <c r="B61" s="9" t="inlineStr">
        <is>
          <t>Bahrain</t>
        </is>
      </c>
      <c r="C61" s="9">
        <f>COUNTIF('World Checklist'!$C$5:$C$1071,B61)</f>
        <v/>
      </c>
      <c r="D61" s="9">
        <f>COUNTIFS('World Checklist'!$C$5:$C$1071,B61,'World Checklist'!$B$5:$B$1071,"☑")</f>
        <v/>
      </c>
      <c r="E61" s="9">
        <f>COUNTIFS('World Checklist'!$C$5:$C$1071,B61,'World Checklist'!$H$5:$H$1071,"Likely")</f>
        <v/>
      </c>
      <c r="F61" s="9">
        <f>COUNTIFS('World Checklist'!$C$5:$C$1071,B61,'World Checklist'!$H$5:$H$1071,"Planned")</f>
        <v/>
      </c>
      <c r="G61" s="9">
        <f>C61-D61</f>
        <v/>
      </c>
      <c r="H61" s="24">
        <f>IF(C61=0,"",D61/C61)</f>
        <v/>
      </c>
      <c r="I61" s="9">
        <f>IF(COUNTIF('Country Summary'!$B$5:$B$200,B61)&gt;0,"Yes","")</f>
        <v/>
      </c>
    </row>
    <row r="62">
      <c r="A62" s="9" t="n">
        <v>58</v>
      </c>
      <c r="B62" s="9" t="inlineStr">
        <is>
          <t>Egypt</t>
        </is>
      </c>
      <c r="C62" s="9">
        <f>COUNTIF('World Checklist'!$C$5:$C$1071,B62)</f>
        <v/>
      </c>
      <c r="D62" s="9">
        <f>COUNTIFS('World Checklist'!$C$5:$C$1071,B62,'World Checklist'!$B$5:$B$1071,"☑")</f>
        <v/>
      </c>
      <c r="E62" s="9">
        <f>COUNTIFS('World Checklist'!$C$5:$C$1071,B62,'World Checklist'!$H$5:$H$1071,"Likely")</f>
        <v/>
      </c>
      <c r="F62" s="9">
        <f>COUNTIFS('World Checklist'!$C$5:$C$1071,B62,'World Checklist'!$H$5:$H$1071,"Planned")</f>
        <v/>
      </c>
      <c r="G62" s="9">
        <f>C62-D62</f>
        <v/>
      </c>
      <c r="H62" s="24">
        <f>IF(C62=0,"",D62/C62)</f>
        <v/>
      </c>
      <c r="I62" s="9">
        <f>IF(COUNTIF('Country Summary'!$B$5:$B$200,B62)&gt;0,"Yes","")</f>
        <v/>
      </c>
    </row>
    <row r="63">
      <c r="A63" s="9" t="n">
        <v>59</v>
      </c>
      <c r="B63" s="9" t="inlineStr">
        <is>
          <t>Kenya</t>
        </is>
      </c>
      <c r="C63" s="9">
        <f>COUNTIF('World Checklist'!$C$5:$C$1071,B63)</f>
        <v/>
      </c>
      <c r="D63" s="9">
        <f>COUNTIFS('World Checklist'!$C$5:$C$1071,B63,'World Checklist'!$B$5:$B$1071,"☑")</f>
        <v/>
      </c>
      <c r="E63" s="9">
        <f>COUNTIFS('World Checklist'!$C$5:$C$1071,B63,'World Checklist'!$H$5:$H$1071,"Likely")</f>
        <v/>
      </c>
      <c r="F63" s="9">
        <f>COUNTIFS('World Checklist'!$C$5:$C$1071,B63,'World Checklist'!$H$5:$H$1071,"Planned")</f>
        <v/>
      </c>
      <c r="G63" s="9">
        <f>C63-D63</f>
        <v/>
      </c>
      <c r="H63" s="24">
        <f>IF(C63=0,"",D63/C63)</f>
        <v/>
      </c>
      <c r="I63" s="9">
        <f>IF(COUNTIF('Country Summary'!$B$5:$B$200,B63)&gt;0,"Yes","")</f>
        <v/>
      </c>
    </row>
    <row r="64">
      <c r="A64" s="9" t="n">
        <v>60</v>
      </c>
      <c r="B64" s="9" t="inlineStr">
        <is>
          <t>Tanzania</t>
        </is>
      </c>
      <c r="C64" s="9">
        <f>COUNTIF('World Checklist'!$C$5:$C$1071,B64)</f>
        <v/>
      </c>
      <c r="D64" s="9">
        <f>COUNTIFS('World Checklist'!$C$5:$C$1071,B64,'World Checklist'!$B$5:$B$1071,"☑")</f>
        <v/>
      </c>
      <c r="E64" s="9">
        <f>COUNTIFS('World Checklist'!$C$5:$C$1071,B64,'World Checklist'!$H$5:$H$1071,"Likely")</f>
        <v/>
      </c>
      <c r="F64" s="9">
        <f>COUNTIFS('World Checklist'!$C$5:$C$1071,B64,'World Checklist'!$H$5:$H$1071,"Planned")</f>
        <v/>
      </c>
      <c r="G64" s="9">
        <f>C64-D64</f>
        <v/>
      </c>
      <c r="H64" s="24">
        <f>IF(C64=0,"",D64/C64)</f>
        <v/>
      </c>
      <c r="I64" s="9">
        <f>IF(COUNTIF('Country Summary'!$B$5:$B$200,B64)&gt;0,"Yes","")</f>
        <v/>
      </c>
    </row>
    <row r="65">
      <c r="A65" s="9" t="n">
        <v>61</v>
      </c>
      <c r="B65" s="9" t="inlineStr">
        <is>
          <t>South Africa</t>
        </is>
      </c>
      <c r="C65" s="9">
        <f>COUNTIF('World Checklist'!$C$5:$C$1071,B65)</f>
        <v/>
      </c>
      <c r="D65" s="9">
        <f>COUNTIFS('World Checklist'!$C$5:$C$1071,B65,'World Checklist'!$B$5:$B$1071,"☑")</f>
        <v/>
      </c>
      <c r="E65" s="9">
        <f>COUNTIFS('World Checklist'!$C$5:$C$1071,B65,'World Checklist'!$H$5:$H$1071,"Likely")</f>
        <v/>
      </c>
      <c r="F65" s="9">
        <f>COUNTIFS('World Checklist'!$C$5:$C$1071,B65,'World Checklist'!$H$5:$H$1071,"Planned")</f>
        <v/>
      </c>
      <c r="G65" s="9">
        <f>C65-D65</f>
        <v/>
      </c>
      <c r="H65" s="24">
        <f>IF(C65=0,"",D65/C65)</f>
        <v/>
      </c>
      <c r="I65" s="9">
        <f>IF(COUNTIF('Country Summary'!$B$5:$B$200,B65)&gt;0,"Yes","")</f>
        <v/>
      </c>
    </row>
    <row r="66">
      <c r="A66" s="9" t="n">
        <v>62</v>
      </c>
      <c r="B66" s="9" t="inlineStr">
        <is>
          <t>Morocco</t>
        </is>
      </c>
      <c r="C66" s="9">
        <f>COUNTIF('World Checklist'!$C$5:$C$1071,B66)</f>
        <v/>
      </c>
      <c r="D66" s="9">
        <f>COUNTIFS('World Checklist'!$C$5:$C$1071,B66,'World Checklist'!$B$5:$B$1071,"☑")</f>
        <v/>
      </c>
      <c r="E66" s="9">
        <f>COUNTIFS('World Checklist'!$C$5:$C$1071,B66,'World Checklist'!$H$5:$H$1071,"Likely")</f>
        <v/>
      </c>
      <c r="F66" s="9">
        <f>COUNTIFS('World Checklist'!$C$5:$C$1071,B66,'World Checklist'!$H$5:$H$1071,"Planned")</f>
        <v/>
      </c>
      <c r="G66" s="9">
        <f>C66-D66</f>
        <v/>
      </c>
      <c r="H66" s="24">
        <f>IF(C66=0,"",D66/C66)</f>
        <v/>
      </c>
      <c r="I66" s="9">
        <f>IF(COUNTIF('Country Summary'!$B$5:$B$200,B66)&gt;0,"Yes","")</f>
        <v/>
      </c>
    </row>
    <row r="67">
      <c r="A67" s="9" t="n">
        <v>63</v>
      </c>
      <c r="B67" s="9" t="inlineStr">
        <is>
          <t>Ethiopia</t>
        </is>
      </c>
      <c r="C67" s="9">
        <f>COUNTIF('World Checklist'!$C$5:$C$1071,B67)</f>
        <v/>
      </c>
      <c r="D67" s="9">
        <f>COUNTIFS('World Checklist'!$C$5:$C$1071,B67,'World Checklist'!$B$5:$B$1071,"☑")</f>
        <v/>
      </c>
      <c r="E67" s="9">
        <f>COUNTIFS('World Checklist'!$C$5:$C$1071,B67,'World Checklist'!$H$5:$H$1071,"Likely")</f>
        <v/>
      </c>
      <c r="F67" s="9">
        <f>COUNTIFS('World Checklist'!$C$5:$C$1071,B67,'World Checklist'!$H$5:$H$1071,"Planned")</f>
        <v/>
      </c>
      <c r="G67" s="9">
        <f>C67-D67</f>
        <v/>
      </c>
      <c r="H67" s="24">
        <f>IF(C67=0,"",D67/C67)</f>
        <v/>
      </c>
      <c r="I67" s="9">
        <f>IF(COUNTIF('Country Summary'!$B$5:$B$200,B67)&gt;0,"Yes","")</f>
        <v/>
      </c>
    </row>
    <row r="68">
      <c r="A68" s="9" t="n">
        <v>64</v>
      </c>
      <c r="B68" s="9" t="inlineStr">
        <is>
          <t>Zimbabwe / Zambia</t>
        </is>
      </c>
      <c r="C68" s="9">
        <f>COUNTIF('World Checklist'!$C$5:$C$1071,B68)</f>
        <v/>
      </c>
      <c r="D68" s="9">
        <f>COUNTIFS('World Checklist'!$C$5:$C$1071,B68,'World Checklist'!$B$5:$B$1071,"☑")</f>
        <v/>
      </c>
      <c r="E68" s="9">
        <f>COUNTIFS('World Checklist'!$C$5:$C$1071,B68,'World Checklist'!$H$5:$H$1071,"Likely")</f>
        <v/>
      </c>
      <c r="F68" s="9">
        <f>COUNTIFS('World Checklist'!$C$5:$C$1071,B68,'World Checklist'!$H$5:$H$1071,"Planned")</f>
        <v/>
      </c>
      <c r="G68" s="9">
        <f>C68-D68</f>
        <v/>
      </c>
      <c r="H68" s="24">
        <f>IF(C68=0,"",D68/C68)</f>
        <v/>
      </c>
      <c r="I68" s="9">
        <f>IF(COUNTIF('Country Summary'!$B$5:$B$200,B68)&gt;0,"Yes","")</f>
        <v/>
      </c>
    </row>
    <row r="69">
      <c r="A69" s="9" t="n">
        <v>65</v>
      </c>
      <c r="B69" s="9" t="inlineStr">
        <is>
          <t>Uganda / Rwanda</t>
        </is>
      </c>
      <c r="C69" s="9">
        <f>COUNTIF('World Checklist'!$C$5:$C$1071,B69)</f>
        <v/>
      </c>
      <c r="D69" s="9">
        <f>COUNTIFS('World Checklist'!$C$5:$C$1071,B69,'World Checklist'!$B$5:$B$1071,"☑")</f>
        <v/>
      </c>
      <c r="E69" s="9">
        <f>COUNTIFS('World Checklist'!$C$5:$C$1071,B69,'World Checklist'!$H$5:$H$1071,"Likely")</f>
        <v/>
      </c>
      <c r="F69" s="9">
        <f>COUNTIFS('World Checklist'!$C$5:$C$1071,B69,'World Checklist'!$H$5:$H$1071,"Planned")</f>
        <v/>
      </c>
      <c r="G69" s="9">
        <f>C69-D69</f>
        <v/>
      </c>
      <c r="H69" s="24">
        <f>IF(C69=0,"",D69/C69)</f>
        <v/>
      </c>
      <c r="I69" s="9">
        <f>IF(COUNTIF('Country Summary'!$B$5:$B$200,B69)&gt;0,"Yes","")</f>
        <v/>
      </c>
    </row>
    <row r="70">
      <c r="A70" s="9" t="n">
        <v>66</v>
      </c>
      <c r="B70" s="9" t="inlineStr">
        <is>
          <t>Canada</t>
        </is>
      </c>
      <c r="C70" s="9">
        <f>COUNTIF('World Checklist'!$C$5:$C$1071,B70)</f>
        <v/>
      </c>
      <c r="D70" s="9">
        <f>COUNTIFS('World Checklist'!$C$5:$C$1071,B70,'World Checklist'!$B$5:$B$1071,"☑")</f>
        <v/>
      </c>
      <c r="E70" s="9">
        <f>COUNTIFS('World Checklist'!$C$5:$C$1071,B70,'World Checklist'!$H$5:$H$1071,"Likely")</f>
        <v/>
      </c>
      <c r="F70" s="9">
        <f>COUNTIFS('World Checklist'!$C$5:$C$1071,B70,'World Checklist'!$H$5:$H$1071,"Planned")</f>
        <v/>
      </c>
      <c r="G70" s="9">
        <f>C70-D70</f>
        <v/>
      </c>
      <c r="H70" s="24">
        <f>IF(C70=0,"",D70/C70)</f>
        <v/>
      </c>
      <c r="I70" s="9">
        <f>IF(COUNTIF('Country Summary'!$B$5:$B$200,B70)&gt;0,"Yes","")</f>
        <v/>
      </c>
    </row>
    <row r="71">
      <c r="A71" s="9" t="n">
        <v>67</v>
      </c>
      <c r="B71" s="9" t="inlineStr">
        <is>
          <t>Mexico</t>
        </is>
      </c>
      <c r="C71" s="9">
        <f>COUNTIF('World Checklist'!$C$5:$C$1071,B71)</f>
        <v/>
      </c>
      <c r="D71" s="9">
        <f>COUNTIFS('World Checklist'!$C$5:$C$1071,B71,'World Checklist'!$B$5:$B$1071,"☑")</f>
        <v/>
      </c>
      <c r="E71" s="9">
        <f>COUNTIFS('World Checklist'!$C$5:$C$1071,B71,'World Checklist'!$H$5:$H$1071,"Likely")</f>
        <v/>
      </c>
      <c r="F71" s="9">
        <f>COUNTIFS('World Checklist'!$C$5:$C$1071,B71,'World Checklist'!$H$5:$H$1071,"Planned")</f>
        <v/>
      </c>
      <c r="G71" s="9">
        <f>C71-D71</f>
        <v/>
      </c>
      <c r="H71" s="24">
        <f>IF(C71=0,"",D71/C71)</f>
        <v/>
      </c>
      <c r="I71" s="9">
        <f>IF(COUNTIF('Country Summary'!$B$5:$B$200,B71)&gt;0,"Yes","")</f>
        <v/>
      </c>
    </row>
    <row r="72">
      <c r="A72" s="9" t="n">
        <v>68</v>
      </c>
      <c r="B72" s="9" t="inlineStr">
        <is>
          <t>Peru</t>
        </is>
      </c>
      <c r="C72" s="9">
        <f>COUNTIF('World Checklist'!$C$5:$C$1071,B72)</f>
        <v/>
      </c>
      <c r="D72" s="9">
        <f>COUNTIFS('World Checklist'!$C$5:$C$1071,B72,'World Checklist'!$B$5:$B$1071,"☑")</f>
        <v/>
      </c>
      <c r="E72" s="9">
        <f>COUNTIFS('World Checklist'!$C$5:$C$1071,B72,'World Checklist'!$H$5:$H$1071,"Likely")</f>
        <v/>
      </c>
      <c r="F72" s="9">
        <f>COUNTIFS('World Checklist'!$C$5:$C$1071,B72,'World Checklist'!$H$5:$H$1071,"Planned")</f>
        <v/>
      </c>
      <c r="G72" s="9">
        <f>C72-D72</f>
        <v/>
      </c>
      <c r="H72" s="24">
        <f>IF(C72=0,"",D72/C72)</f>
        <v/>
      </c>
      <c r="I72" s="9">
        <f>IF(COUNTIF('Country Summary'!$B$5:$B$200,B72)&gt;0,"Yes","")</f>
        <v/>
      </c>
    </row>
    <row r="73">
      <c r="A73" s="9" t="n">
        <v>69</v>
      </c>
      <c r="B73" s="9" t="inlineStr">
        <is>
          <t>Brazil</t>
        </is>
      </c>
      <c r="C73" s="9">
        <f>COUNTIF('World Checklist'!$C$5:$C$1071,B73)</f>
        <v/>
      </c>
      <c r="D73" s="9">
        <f>COUNTIFS('World Checklist'!$C$5:$C$1071,B73,'World Checklist'!$B$5:$B$1071,"☑")</f>
        <v/>
      </c>
      <c r="E73" s="9">
        <f>COUNTIFS('World Checklist'!$C$5:$C$1071,B73,'World Checklist'!$H$5:$H$1071,"Likely")</f>
        <v/>
      </c>
      <c r="F73" s="9">
        <f>COUNTIFS('World Checklist'!$C$5:$C$1071,B73,'World Checklist'!$H$5:$H$1071,"Planned")</f>
        <v/>
      </c>
      <c r="G73" s="9">
        <f>C73-D73</f>
        <v/>
      </c>
      <c r="H73" s="24">
        <f>IF(C73=0,"",D73/C73)</f>
        <v/>
      </c>
      <c r="I73" s="9">
        <f>IF(COUNTIF('Country Summary'!$B$5:$B$200,B73)&gt;0,"Yes","")</f>
        <v/>
      </c>
    </row>
    <row r="74">
      <c r="A74" s="9" t="n">
        <v>70</v>
      </c>
      <c r="B74" s="9" t="inlineStr">
        <is>
          <t>Argentina</t>
        </is>
      </c>
      <c r="C74" s="9">
        <f>COUNTIF('World Checklist'!$C$5:$C$1071,B74)</f>
        <v/>
      </c>
      <c r="D74" s="9">
        <f>COUNTIFS('World Checklist'!$C$5:$C$1071,B74,'World Checklist'!$B$5:$B$1071,"☑")</f>
        <v/>
      </c>
      <c r="E74" s="9">
        <f>COUNTIFS('World Checklist'!$C$5:$C$1071,B74,'World Checklist'!$H$5:$H$1071,"Likely")</f>
        <v/>
      </c>
      <c r="F74" s="9">
        <f>COUNTIFS('World Checklist'!$C$5:$C$1071,B74,'World Checklist'!$H$5:$H$1071,"Planned")</f>
        <v/>
      </c>
      <c r="G74" s="9">
        <f>C74-D74</f>
        <v/>
      </c>
      <c r="H74" s="24">
        <f>IF(C74=0,"",D74/C74)</f>
        <v/>
      </c>
      <c r="I74" s="9">
        <f>IF(COUNTIF('Country Summary'!$B$5:$B$200,B74)&gt;0,"Yes","")</f>
        <v/>
      </c>
    </row>
    <row r="75">
      <c r="A75" s="9" t="n">
        <v>71</v>
      </c>
      <c r="B75" s="9" t="inlineStr">
        <is>
          <t>Chile</t>
        </is>
      </c>
      <c r="C75" s="9">
        <f>COUNTIF('World Checklist'!$C$5:$C$1071,B75)</f>
        <v/>
      </c>
      <c r="D75" s="9">
        <f>COUNTIFS('World Checklist'!$C$5:$C$1071,B75,'World Checklist'!$B$5:$B$1071,"☑")</f>
        <v/>
      </c>
      <c r="E75" s="9">
        <f>COUNTIFS('World Checklist'!$C$5:$C$1071,B75,'World Checklist'!$H$5:$H$1071,"Likely")</f>
        <v/>
      </c>
      <c r="F75" s="9">
        <f>COUNTIFS('World Checklist'!$C$5:$C$1071,B75,'World Checklist'!$H$5:$H$1071,"Planned")</f>
        <v/>
      </c>
      <c r="G75" s="9">
        <f>C75-D75</f>
        <v/>
      </c>
      <c r="H75" s="24">
        <f>IF(C75=0,"",D75/C75)</f>
        <v/>
      </c>
      <c r="I75" s="9">
        <f>IF(COUNTIF('Country Summary'!$B$5:$B$200,B75)&gt;0,"Yes","")</f>
        <v/>
      </c>
    </row>
    <row r="76">
      <c r="A76" s="9" t="n">
        <v>72</v>
      </c>
      <c r="B76" s="9" t="inlineStr">
        <is>
          <t>Colombia</t>
        </is>
      </c>
      <c r="C76" s="9">
        <f>COUNTIF('World Checklist'!$C$5:$C$1071,B76)</f>
        <v/>
      </c>
      <c r="D76" s="9">
        <f>COUNTIFS('World Checklist'!$C$5:$C$1071,B76,'World Checklist'!$B$5:$B$1071,"☑")</f>
        <v/>
      </c>
      <c r="E76" s="9">
        <f>COUNTIFS('World Checklist'!$C$5:$C$1071,B76,'World Checklist'!$H$5:$H$1071,"Likely")</f>
        <v/>
      </c>
      <c r="F76" s="9">
        <f>COUNTIFS('World Checklist'!$C$5:$C$1071,B76,'World Checklist'!$H$5:$H$1071,"Planned")</f>
        <v/>
      </c>
      <c r="G76" s="9">
        <f>C76-D76</f>
        <v/>
      </c>
      <c r="H76" s="24">
        <f>IF(C76=0,"",D76/C76)</f>
        <v/>
      </c>
      <c r="I76" s="9">
        <f>IF(COUNTIF('Country Summary'!$B$5:$B$200,B76)&gt;0,"Yes","")</f>
        <v/>
      </c>
    </row>
    <row r="77">
      <c r="A77" s="9" t="n">
        <v>73</v>
      </c>
      <c r="B77" s="9" t="inlineStr">
        <is>
          <t>Guyana / Trinidad / Suriname</t>
        </is>
      </c>
      <c r="C77" s="9">
        <f>COUNTIF('World Checklist'!$C$5:$C$1071,B77)</f>
        <v/>
      </c>
      <c r="D77" s="9">
        <f>COUNTIFS('World Checklist'!$C$5:$C$1071,B77,'World Checklist'!$B$5:$B$1071,"☑")</f>
        <v/>
      </c>
      <c r="E77" s="9">
        <f>COUNTIFS('World Checklist'!$C$5:$C$1071,B77,'World Checklist'!$H$5:$H$1071,"Likely")</f>
        <v/>
      </c>
      <c r="F77" s="9">
        <f>COUNTIFS('World Checklist'!$C$5:$C$1071,B77,'World Checklist'!$H$5:$H$1071,"Planned")</f>
        <v/>
      </c>
      <c r="G77" s="9">
        <f>C77-D77</f>
        <v/>
      </c>
      <c r="H77" s="24">
        <f>IF(C77=0,"",D77/C77)</f>
        <v/>
      </c>
      <c r="I77" s="9">
        <f>IF(COUNTIF('Country Summary'!$B$5:$B$200,B77)&gt;0,"Yes","")</f>
        <v/>
      </c>
    </row>
    <row r="78">
      <c r="A78" s="9" t="n">
        <v>74</v>
      </c>
      <c r="B78" s="9" t="inlineStr">
        <is>
          <t>Cuba</t>
        </is>
      </c>
      <c r="C78" s="9">
        <f>COUNTIF('World Checklist'!$C$5:$C$1071,B78)</f>
        <v/>
      </c>
      <c r="D78" s="9">
        <f>COUNTIFS('World Checklist'!$C$5:$C$1071,B78,'World Checklist'!$B$5:$B$1071,"☑")</f>
        <v/>
      </c>
      <c r="E78" s="9">
        <f>COUNTIFS('World Checklist'!$C$5:$C$1071,B78,'World Checklist'!$H$5:$H$1071,"Likely")</f>
        <v/>
      </c>
      <c r="F78" s="9">
        <f>COUNTIFS('World Checklist'!$C$5:$C$1071,B78,'World Checklist'!$H$5:$H$1071,"Planned")</f>
        <v/>
      </c>
      <c r="G78" s="9">
        <f>C78-D78</f>
        <v/>
      </c>
      <c r="H78" s="24">
        <f>IF(C78=0,"",D78/C78)</f>
        <v/>
      </c>
      <c r="I78" s="9">
        <f>IF(COUNTIF('Country Summary'!$B$5:$B$200,B78)&gt;0,"Yes","")</f>
        <v/>
      </c>
    </row>
    <row r="79">
      <c r="A79" s="9" t="n">
        <v>75</v>
      </c>
      <c r="B79" s="9" t="inlineStr">
        <is>
          <t>Costa Rica / Panama</t>
        </is>
      </c>
      <c r="C79" s="9">
        <f>COUNTIF('World Checklist'!$C$5:$C$1071,B79)</f>
        <v/>
      </c>
      <c r="D79" s="9">
        <f>COUNTIFS('World Checklist'!$C$5:$C$1071,B79,'World Checklist'!$B$5:$B$1071,"☑")</f>
        <v/>
      </c>
      <c r="E79" s="9">
        <f>COUNTIFS('World Checklist'!$C$5:$C$1071,B79,'World Checklist'!$H$5:$H$1071,"Likely")</f>
        <v/>
      </c>
      <c r="F79" s="9">
        <f>COUNTIFS('World Checklist'!$C$5:$C$1071,B79,'World Checklist'!$H$5:$H$1071,"Planned")</f>
        <v/>
      </c>
      <c r="G79" s="9">
        <f>C79-D79</f>
        <v/>
      </c>
      <c r="H79" s="24">
        <f>IF(C79=0,"",D79/C79)</f>
        <v/>
      </c>
      <c r="I79" s="9">
        <f>IF(COUNTIF('Country Summary'!$B$5:$B$200,B79)&gt;0,"Yes","")</f>
        <v/>
      </c>
    </row>
    <row r="80">
      <c r="A80" s="9" t="n">
        <v>76</v>
      </c>
      <c r="B80" s="9" t="inlineStr">
        <is>
          <t>Australia</t>
        </is>
      </c>
      <c r="C80" s="9">
        <f>COUNTIF('World Checklist'!$C$5:$C$1071,B80)</f>
        <v/>
      </c>
      <c r="D80" s="9">
        <f>COUNTIFS('World Checklist'!$C$5:$C$1071,B80,'World Checklist'!$B$5:$B$1071,"☑")</f>
        <v/>
      </c>
      <c r="E80" s="9">
        <f>COUNTIFS('World Checklist'!$C$5:$C$1071,B80,'World Checklist'!$H$5:$H$1071,"Likely")</f>
        <v/>
      </c>
      <c r="F80" s="9">
        <f>COUNTIFS('World Checklist'!$C$5:$C$1071,B80,'World Checklist'!$H$5:$H$1071,"Planned")</f>
        <v/>
      </c>
      <c r="G80" s="9">
        <f>C80-D80</f>
        <v/>
      </c>
      <c r="H80" s="24">
        <f>IF(C80=0,"",D80/C80)</f>
        <v/>
      </c>
      <c r="I80" s="9">
        <f>IF(COUNTIF('Country Summary'!$B$5:$B$200,B80)&gt;0,"Yes","")</f>
        <v/>
      </c>
    </row>
    <row r="81">
      <c r="A81" s="9" t="n">
        <v>77</v>
      </c>
      <c r="B81" s="9" t="inlineStr">
        <is>
          <t>New Zealand</t>
        </is>
      </c>
      <c r="C81" s="9">
        <f>COUNTIF('World Checklist'!$C$5:$C$1071,B81)</f>
        <v/>
      </c>
      <c r="D81" s="9">
        <f>COUNTIFS('World Checklist'!$C$5:$C$1071,B81,'World Checklist'!$B$5:$B$1071,"☑")</f>
        <v/>
      </c>
      <c r="E81" s="9">
        <f>COUNTIFS('World Checklist'!$C$5:$C$1071,B81,'World Checklist'!$H$5:$H$1071,"Likely")</f>
        <v/>
      </c>
      <c r="F81" s="9">
        <f>COUNTIFS('World Checklist'!$C$5:$C$1071,B81,'World Checklist'!$H$5:$H$1071,"Planned")</f>
        <v/>
      </c>
      <c r="G81" s="9">
        <f>C81-D81</f>
        <v/>
      </c>
      <c r="H81" s="24">
        <f>IF(C81=0,"",D81/C81)</f>
        <v/>
      </c>
      <c r="I81" s="9">
        <f>IF(COUNTIF('Country Summary'!$B$5:$B$200,B81)&gt;0,"Yes","")</f>
        <v/>
      </c>
    </row>
    <row r="82">
      <c r="A82" s="9" t="n">
        <v>78</v>
      </c>
      <c r="B82" s="9" t="inlineStr">
        <is>
          <t>Fiji</t>
        </is>
      </c>
      <c r="C82" s="9">
        <f>COUNTIF('World Checklist'!$C$5:$C$1071,B82)</f>
        <v/>
      </c>
      <c r="D82" s="9">
        <f>COUNTIFS('World Checklist'!$C$5:$C$1071,B82,'World Checklist'!$B$5:$B$1071,"☑")</f>
        <v/>
      </c>
      <c r="E82" s="9">
        <f>COUNTIFS('World Checklist'!$C$5:$C$1071,B82,'World Checklist'!$H$5:$H$1071,"Likely")</f>
        <v/>
      </c>
      <c r="F82" s="9">
        <f>COUNTIFS('World Checklist'!$C$5:$C$1071,B82,'World Checklist'!$H$5:$H$1071,"Planned")</f>
        <v/>
      </c>
      <c r="G82" s="9">
        <f>C82-D82</f>
        <v/>
      </c>
      <c r="H82" s="24">
        <f>IF(C82=0,"",D82/C82)</f>
        <v/>
      </c>
      <c r="I82" s="9">
        <f>IF(COUNTIF('Country Summary'!$B$5:$B$200,B82)&gt;0,"Yes","")</f>
        <v/>
      </c>
    </row>
    <row r="83">
      <c r="A83" s="9" t="n">
        <v>79</v>
      </c>
      <c r="B83" s="9" t="inlineStr">
        <is>
          <t>Montenegro</t>
        </is>
      </c>
      <c r="C83" s="9">
        <f>COUNTIF('World Checklist'!$C$5:$C$1071,B83)</f>
        <v/>
      </c>
      <c r="D83" s="9">
        <f>COUNTIFS('World Checklist'!$C$5:$C$1071,B83,'World Checklist'!$B$5:$B$1071,"☑")</f>
        <v/>
      </c>
      <c r="E83" s="9">
        <f>COUNTIFS('World Checklist'!$C$5:$C$1071,B83,'World Checklist'!$H$5:$H$1071,"Likely")</f>
        <v/>
      </c>
      <c r="F83" s="9">
        <f>COUNTIFS('World Checklist'!$C$5:$C$1071,B83,'World Checklist'!$H$5:$H$1071,"Planned")</f>
        <v/>
      </c>
      <c r="G83" s="9">
        <f>C83-D83</f>
        <v/>
      </c>
      <c r="H83" s="24">
        <f>IF(C83=0,"",D83/C83)</f>
        <v/>
      </c>
      <c r="I83" s="9">
        <f>IF(COUNTIF('Country Summary'!$B$5:$B$200,B83)&gt;0,"Yes","")</f>
        <v/>
      </c>
    </row>
    <row r="84">
      <c r="A84" s="9" t="n">
        <v>80</v>
      </c>
      <c r="B84" s="9" t="inlineStr">
        <is>
          <t>Iceland</t>
        </is>
      </c>
      <c r="C84" s="9">
        <f>COUNTIF('World Checklist'!$C$5:$C$1071,B84)</f>
        <v/>
      </c>
      <c r="D84" s="9">
        <f>COUNTIFS('World Checklist'!$C$5:$C$1071,B84,'World Checklist'!$B$5:$B$1071,"☑")</f>
        <v/>
      </c>
      <c r="E84" s="9">
        <f>COUNTIFS('World Checklist'!$C$5:$C$1071,B84,'World Checklist'!$H$5:$H$1071,"Likely")</f>
        <v/>
      </c>
      <c r="F84" s="9">
        <f>COUNTIFS('World Checklist'!$C$5:$C$1071,B84,'World Checklist'!$H$5:$H$1071,"Planned")</f>
        <v/>
      </c>
      <c r="G84" s="9">
        <f>C84-D84</f>
        <v/>
      </c>
      <c r="H84" s="24">
        <f>IF(C84=0,"",D84/C84)</f>
        <v/>
      </c>
      <c r="I84" s="9">
        <f>IF(COUNTIF('Country Summary'!$B$5:$B$200,B84)&gt;0,"Yes","")</f>
        <v/>
      </c>
    </row>
    <row r="85">
      <c r="A85" s="9" t="n">
        <v>81</v>
      </c>
      <c r="B85" s="9" t="inlineStr">
        <is>
          <t>Finland</t>
        </is>
      </c>
      <c r="C85" s="9">
        <f>COUNTIF('World Checklist'!$C$5:$C$1071,B85)</f>
        <v/>
      </c>
      <c r="D85" s="9">
        <f>COUNTIFS('World Checklist'!$C$5:$C$1071,B85,'World Checklist'!$B$5:$B$1071,"☑")</f>
        <v/>
      </c>
      <c r="E85" s="9">
        <f>COUNTIFS('World Checklist'!$C$5:$C$1071,B85,'World Checklist'!$H$5:$H$1071,"Likely")</f>
        <v/>
      </c>
      <c r="F85" s="9">
        <f>COUNTIFS('World Checklist'!$C$5:$C$1071,B85,'World Checklist'!$H$5:$H$1071,"Planned")</f>
        <v/>
      </c>
      <c r="G85" s="9">
        <f>C85-D85</f>
        <v/>
      </c>
      <c r="H85" s="24">
        <f>IF(C85=0,"",D85/C85)</f>
        <v/>
      </c>
      <c r="I85" s="9">
        <f>IF(COUNTIF('Country Summary'!$B$5:$B$200,B85)&gt;0,"Yes","")</f>
        <v/>
      </c>
    </row>
    <row r="86">
      <c r="A86" s="9" t="n">
        <v>82</v>
      </c>
      <c r="B86" s="9" t="inlineStr">
        <is>
          <t>Seychelles</t>
        </is>
      </c>
      <c r="C86" s="9">
        <f>COUNTIF('World Checklist'!$C$5:$C$1071,B86)</f>
        <v/>
      </c>
      <c r="D86" s="9">
        <f>COUNTIFS('World Checklist'!$C$5:$C$1071,B86,'World Checklist'!$B$5:$B$1071,"☑")</f>
        <v/>
      </c>
      <c r="E86" s="9">
        <f>COUNTIFS('World Checklist'!$C$5:$C$1071,B86,'World Checklist'!$H$5:$H$1071,"Likely")</f>
        <v/>
      </c>
      <c r="F86" s="9">
        <f>COUNTIFS('World Checklist'!$C$5:$C$1071,B86,'World Checklist'!$H$5:$H$1071,"Planned")</f>
        <v/>
      </c>
      <c r="G86" s="9">
        <f>C86-D86</f>
        <v/>
      </c>
      <c r="H86" s="24">
        <f>IF(C86=0,"",D86/C86)</f>
        <v/>
      </c>
      <c r="I86" s="9">
        <f>IF(COUNTIF('Country Summary'!$B$5:$B$200,B86)&gt;0,"Yes","")</f>
        <v/>
      </c>
    </row>
    <row r="87">
      <c r="A87" s="9" t="n">
        <v>83</v>
      </c>
      <c r="B87" s="9" t="inlineStr">
        <is>
          <t>Israel / Jordan</t>
        </is>
      </c>
      <c r="C87" s="9">
        <f>COUNTIF('World Checklist'!$C$5:$C$1071,B87)</f>
        <v/>
      </c>
      <c r="D87" s="9">
        <f>COUNTIFS('World Checklist'!$C$5:$C$1071,B87,'World Checklist'!$B$5:$B$1071,"☑")</f>
        <v/>
      </c>
      <c r="E87" s="9">
        <f>COUNTIFS('World Checklist'!$C$5:$C$1071,B87,'World Checklist'!$H$5:$H$1071,"Likely")</f>
        <v/>
      </c>
      <c r="F87" s="9">
        <f>COUNTIFS('World Checklist'!$C$5:$C$1071,B87,'World Checklist'!$H$5:$H$1071,"Planned")</f>
        <v/>
      </c>
      <c r="G87" s="9">
        <f>C87-D87</f>
        <v/>
      </c>
      <c r="H87" s="24">
        <f>IF(C87=0,"",D87/C87)</f>
        <v/>
      </c>
      <c r="I87" s="9">
        <f>IF(COUNTIF('Country Summary'!$B$5:$B$200,B87)&gt;0,"Yes","")</f>
        <v/>
      </c>
    </row>
    <row r="88">
      <c r="A88" s="9" t="n">
        <v>84</v>
      </c>
      <c r="B88" s="9" t="inlineStr">
        <is>
          <t>Kenya / Tanzania</t>
        </is>
      </c>
      <c r="C88" s="9">
        <f>COUNTIF('World Checklist'!$C$5:$C$1071,B88)</f>
        <v/>
      </c>
      <c r="D88" s="9">
        <f>COUNTIFS('World Checklist'!$C$5:$C$1071,B88,'World Checklist'!$B$5:$B$1071,"☑")</f>
        <v/>
      </c>
      <c r="E88" s="9">
        <f>COUNTIFS('World Checklist'!$C$5:$C$1071,B88,'World Checklist'!$H$5:$H$1071,"Likely")</f>
        <v/>
      </c>
      <c r="F88" s="9">
        <f>COUNTIFS('World Checklist'!$C$5:$C$1071,B88,'World Checklist'!$H$5:$H$1071,"Planned")</f>
        <v/>
      </c>
      <c r="G88" s="9">
        <f>C88-D88</f>
        <v/>
      </c>
      <c r="H88" s="24">
        <f>IF(C88=0,"",D88/C88)</f>
        <v/>
      </c>
      <c r="I88" s="9">
        <f>IF(COUNTIF('Country Summary'!$B$5:$B$200,B88)&gt;0,"Yes","")</f>
        <v/>
      </c>
    </row>
    <row r="89">
      <c r="A89" s="9" t="n">
        <v>85</v>
      </c>
      <c r="B89" s="9" t="inlineStr">
        <is>
          <t>Namibia / Botswana</t>
        </is>
      </c>
      <c r="C89" s="9">
        <f>COUNTIF('World Checklist'!$C$5:$C$1071,B89)</f>
        <v/>
      </c>
      <c r="D89" s="9">
        <f>COUNTIFS('World Checklist'!$C$5:$C$1071,B89,'World Checklist'!$B$5:$B$1071,"☑")</f>
        <v/>
      </c>
      <c r="E89" s="9">
        <f>COUNTIFS('World Checklist'!$C$5:$C$1071,B89,'World Checklist'!$H$5:$H$1071,"Likely")</f>
        <v/>
      </c>
      <c r="F89" s="9">
        <f>COUNTIFS('World Checklist'!$C$5:$C$1071,B89,'World Checklist'!$H$5:$H$1071,"Planned")</f>
        <v/>
      </c>
      <c r="G89" s="9">
        <f>C89-D89</f>
        <v/>
      </c>
      <c r="H89" s="24">
        <f>IF(C89=0,"",D89/C89)</f>
        <v/>
      </c>
      <c r="I89" s="9">
        <f>IF(COUNTIF('Country Summary'!$B$5:$B$200,B89)&gt;0,"Yes","")</f>
        <v/>
      </c>
    </row>
    <row r="90">
      <c r="A90" s="9" t="n">
        <v>86</v>
      </c>
      <c r="B90" s="9" t="inlineStr">
        <is>
          <t>Ecuador</t>
        </is>
      </c>
      <c r="C90" s="9">
        <f>COUNTIF('World Checklist'!$C$5:$C$1071,B90)</f>
        <v/>
      </c>
      <c r="D90" s="9">
        <f>COUNTIFS('World Checklist'!$C$5:$C$1071,B90,'World Checklist'!$B$5:$B$1071,"☑")</f>
        <v/>
      </c>
      <c r="E90" s="9">
        <f>COUNTIFS('World Checklist'!$C$5:$C$1071,B90,'World Checklist'!$H$5:$H$1071,"Likely")</f>
        <v/>
      </c>
      <c r="F90" s="9">
        <f>COUNTIFS('World Checklist'!$C$5:$C$1071,B90,'World Checklist'!$H$5:$H$1071,"Planned")</f>
        <v/>
      </c>
      <c r="G90" s="9">
        <f>C90-D90</f>
        <v/>
      </c>
      <c r="H90" s="24">
        <f>IF(C90=0,"",D90/C90)</f>
        <v/>
      </c>
      <c r="I90" s="9">
        <f>IF(COUNTIF('Country Summary'!$B$5:$B$200,B90)&gt;0,"Yes","")</f>
        <v/>
      </c>
    </row>
    <row r="91">
      <c r="A91" s="9" t="n">
        <v>87</v>
      </c>
      <c r="B91" s="9" t="inlineStr">
        <is>
          <t>Brazil / Peru</t>
        </is>
      </c>
      <c r="C91" s="9">
        <f>COUNTIF('World Checklist'!$C$5:$C$1071,B91)</f>
        <v/>
      </c>
      <c r="D91" s="9">
        <f>COUNTIFS('World Checklist'!$C$5:$C$1071,B91,'World Checklist'!$B$5:$B$1071,"☑")</f>
        <v/>
      </c>
      <c r="E91" s="9">
        <f>COUNTIFS('World Checklist'!$C$5:$C$1071,B91,'World Checklist'!$H$5:$H$1071,"Likely")</f>
        <v/>
      </c>
      <c r="F91" s="9">
        <f>COUNTIFS('World Checklist'!$C$5:$C$1071,B91,'World Checklist'!$H$5:$H$1071,"Planned")</f>
        <v/>
      </c>
      <c r="G91" s="9">
        <f>C91-D91</f>
        <v/>
      </c>
      <c r="H91" s="24">
        <f>IF(C91=0,"",D91/C91)</f>
        <v/>
      </c>
      <c r="I91" s="9">
        <f>IF(COUNTIF('Country Summary'!$B$5:$B$200,B91)&gt;0,"Yes","")</f>
        <v/>
      </c>
    </row>
    <row r="92">
      <c r="A92" s="9" t="n">
        <v>88</v>
      </c>
      <c r="B92" s="9" t="inlineStr">
        <is>
          <t>Argentina / Chile</t>
        </is>
      </c>
      <c r="C92" s="9">
        <f>COUNTIF('World Checklist'!$C$5:$C$1071,B92)</f>
        <v/>
      </c>
      <c r="D92" s="9">
        <f>COUNTIFS('World Checklist'!$C$5:$C$1071,B92,'World Checklist'!$B$5:$B$1071,"☑")</f>
        <v/>
      </c>
      <c r="E92" s="9">
        <f>COUNTIFS('World Checklist'!$C$5:$C$1071,B92,'World Checklist'!$H$5:$H$1071,"Likely")</f>
        <v/>
      </c>
      <c r="F92" s="9">
        <f>COUNTIFS('World Checklist'!$C$5:$C$1071,B92,'World Checklist'!$H$5:$H$1071,"Planned")</f>
        <v/>
      </c>
      <c r="G92" s="9">
        <f>C92-D92</f>
        <v/>
      </c>
      <c r="H92" s="24">
        <f>IF(C92=0,"",D92/C92)</f>
        <v/>
      </c>
      <c r="I92" s="9">
        <f>IF(COUNTIF('Country Summary'!$B$5:$B$200,B92)&gt;0,"Yes","")</f>
        <v/>
      </c>
    </row>
    <row r="93">
      <c r="A93" s="9" t="n">
        <v>89</v>
      </c>
      <c r="B93" s="9" t="inlineStr">
        <is>
          <t>Antarctica</t>
        </is>
      </c>
      <c r="C93" s="9">
        <f>COUNTIF('World Checklist'!$C$5:$C$1071,B93)</f>
        <v/>
      </c>
      <c r="D93" s="9">
        <f>COUNTIFS('World Checklist'!$C$5:$C$1071,B93,'World Checklist'!$B$5:$B$1071,"☑")</f>
        <v/>
      </c>
      <c r="E93" s="9">
        <f>COUNTIFS('World Checklist'!$C$5:$C$1071,B93,'World Checklist'!$H$5:$H$1071,"Likely")</f>
        <v/>
      </c>
      <c r="F93" s="9">
        <f>COUNTIFS('World Checklist'!$C$5:$C$1071,B93,'World Checklist'!$H$5:$H$1071,"Planned")</f>
        <v/>
      </c>
      <c r="G93" s="9">
        <f>C93-D93</f>
        <v/>
      </c>
      <c r="H93" s="24">
        <f>IF(C93=0,"",D93/C93)</f>
        <v/>
      </c>
      <c r="I93" s="9">
        <f>IF(COUNTIF('Country Summary'!$B$5:$B$200,B93)&gt;0,"Yes","")</f>
        <v/>
      </c>
    </row>
    <row r="94">
      <c r="A94" s="9" t="n">
        <v>90</v>
      </c>
      <c r="B94" s="9" t="inlineStr">
        <is>
          <t>Caribbean</t>
        </is>
      </c>
      <c r="C94" s="9">
        <f>COUNTIF('World Checklist'!$C$5:$C$1071,B94)</f>
        <v/>
      </c>
      <c r="D94" s="9">
        <f>COUNTIFS('World Checklist'!$C$5:$C$1071,B94,'World Checklist'!$B$5:$B$1071,"☑")</f>
        <v/>
      </c>
      <c r="E94" s="9">
        <f>COUNTIFS('World Checklist'!$C$5:$C$1071,B94,'World Checklist'!$H$5:$H$1071,"Likely")</f>
        <v/>
      </c>
      <c r="F94" s="9">
        <f>COUNTIFS('World Checklist'!$C$5:$C$1071,B94,'World Checklist'!$H$5:$H$1071,"Planned")</f>
        <v/>
      </c>
      <c r="G94" s="9">
        <f>C94-D94</f>
        <v/>
      </c>
      <c r="H94" s="24">
        <f>IF(C94=0,"",D94/C94)</f>
        <v/>
      </c>
      <c r="I94" s="9">
        <f>IF(COUNTIF('Country Summary'!$B$5:$B$200,B94)&gt;0,"Yes","")</f>
        <v/>
      </c>
    </row>
    <row r="95">
      <c r="A95" s="9" t="n">
        <v>91</v>
      </c>
      <c r="B95" s="9" t="inlineStr">
        <is>
          <t>Fiji / Pacific</t>
        </is>
      </c>
      <c r="C95" s="9">
        <f>COUNTIF('World Checklist'!$C$5:$C$1071,B95)</f>
        <v/>
      </c>
      <c r="D95" s="9">
        <f>COUNTIFS('World Checklist'!$C$5:$C$1071,B95,'World Checklist'!$B$5:$B$1071,"☑")</f>
        <v/>
      </c>
      <c r="E95" s="9">
        <f>COUNTIFS('World Checklist'!$C$5:$C$1071,B95,'World Checklist'!$H$5:$H$1071,"Likely")</f>
        <v/>
      </c>
      <c r="F95" s="9">
        <f>COUNTIFS('World Checklist'!$C$5:$C$1071,B95,'World Checklist'!$H$5:$H$1071,"Planned")</f>
        <v/>
      </c>
      <c r="G95" s="9">
        <f>C95-D95</f>
        <v/>
      </c>
      <c r="H95" s="24">
        <f>IF(C95=0,"",D95/C95)</f>
        <v/>
      </c>
      <c r="I95" s="9">
        <f>IF(COUNTIF('Country Summary'!$B$5:$B$200,B95)&gt;0,"Yes","")</f>
        <v/>
      </c>
    </row>
    <row r="96">
      <c r="B96" s="4" t="inlineStr">
        <is>
          <t>TOTAL</t>
        </is>
      </c>
      <c r="C96" s="4">
        <f>SUM(C5:C95)</f>
        <v/>
      </c>
      <c r="D96" s="4">
        <f>SUM(D5:D95)</f>
        <v/>
      </c>
      <c r="E96" s="4">
        <f>SUM(E5:E95)</f>
        <v/>
      </c>
      <c r="F96" s="4">
        <f>SUM(F5:F95)</f>
        <v/>
      </c>
      <c r="G96" s="4">
        <f>SUM(G5:G95)</f>
        <v/>
      </c>
      <c r="H96" s="25">
        <f>IF(C96=0,"",D96/C96)</f>
        <v/>
      </c>
    </row>
  </sheetData>
  <conditionalFormatting sqref="H5:H96">
    <cfRule type="cellIs" priority="1" operator="greaterThanOrEqual" dxfId="2">
      <formula>0.5</formula>
    </cfRule>
  </conditionalFormatting>
  <pageMargins left="0.75" right="0.75" top="1" bottom="1" header="0.5" footer="0.5"/>
</worksheet>
</file>

<file path=xl/worksheets/sheet12.xml><?xml version="1.0" encoding="utf-8"?>
<worksheet xmlns="http://schemas.openxmlformats.org/spreadsheetml/2006/main">
  <sheetPr>
    <tabColor rgb="001F2A44"/>
    <outlinePr summaryBelow="1" summaryRight="1"/>
    <pageSetUpPr/>
  </sheetPr>
  <dimension ref="A1:G64"/>
  <sheetViews>
    <sheetView zoomScale="100" workbookViewId="0">
      <pane ySplit="4" topLeftCell="A5" activePane="bottomLeft" state="frozen"/>
      <selection pane="bottomLeft" activeCell="A1" sqref="A1"/>
    </sheetView>
  </sheetViews>
  <sheetFormatPr baseColWidth="8" defaultRowHeight="15"/>
  <cols>
    <col width="5" customWidth="1" min="1" max="1"/>
    <col width="24" customWidth="1" min="2" max="2"/>
    <col width="110" customWidth="1" min="3" max="3"/>
    <col width="8" customWidth="1" min="4" max="4"/>
    <col width="13" customWidth="1" min="5" max="5"/>
    <col width="13" customWidth="1" min="6" max="6"/>
    <col width="22" customWidth="1" min="7" max="7"/>
  </cols>
  <sheetData>
    <row r="1">
      <c r="A1" s="1" t="inlineStr">
        <is>
          <t>GPS Timeline - countries (Google Maps Timeline, 18 Feb 2015 - 14 Oct 2026)</t>
        </is>
      </c>
    </row>
    <row r="2">
      <c r="A2" s="2" t="inlineStr">
        <is>
          <t>Independent evidence from your phone. Days = days with a recorded stop; a gap over 2 days starts a new trip. China/Tibet does not appear (no GPS data in Tibet).</t>
        </is>
      </c>
    </row>
    <row r="4">
      <c r="A4" s="3" t="inlineStr">
        <is>
          <t>#</t>
        </is>
      </c>
      <c r="B4" s="3" t="inlineStr">
        <is>
          <t>Country</t>
        </is>
      </c>
      <c r="C4" s="3" t="inlineStr">
        <is>
          <t>Days</t>
        </is>
      </c>
      <c r="D4" s="3" t="inlineStr">
        <is>
          <t>Trips</t>
        </is>
      </c>
      <c r="E4" s="3" t="inlineStr">
        <is>
          <t>First visit</t>
        </is>
      </c>
      <c r="F4" s="3" t="inlineStr">
        <is>
          <t>Last visit</t>
        </is>
      </c>
      <c r="G4" s="3" t="inlineStr">
        <is>
          <t>In passport/itinerary log?</t>
        </is>
      </c>
    </row>
    <row r="5">
      <c r="A5" s="9" t="n">
        <v>1</v>
      </c>
      <c r="B5" s="9" t="inlineStr">
        <is>
          <t>India</t>
        </is>
      </c>
      <c r="C5" s="9" t="n">
        <v>2955</v>
      </c>
      <c r="D5" s="9" t="n">
        <v>115</v>
      </c>
      <c r="E5" s="10" t="n">
        <v>42053</v>
      </c>
      <c r="F5" s="10" t="n">
        <v>46315</v>
      </c>
      <c r="G5" s="9" t="inlineStr">
        <is>
          <t>n/a (home)</t>
        </is>
      </c>
    </row>
    <row r="6">
      <c r="A6" s="9" t="n">
        <v>2</v>
      </c>
      <c r="B6" s="9" t="inlineStr">
        <is>
          <t>Sri Lanka</t>
        </is>
      </c>
      <c r="C6" s="9" t="n">
        <v>50</v>
      </c>
      <c r="D6" s="9" t="n">
        <v>8</v>
      </c>
      <c r="E6" s="10" t="n">
        <v>43736</v>
      </c>
      <c r="F6" s="10" t="n">
        <v>44625</v>
      </c>
      <c r="G6" s="9" t="inlineStr">
        <is>
          <t>Yes</t>
        </is>
      </c>
    </row>
    <row r="7">
      <c r="A7" s="9" t="n">
        <v>3</v>
      </c>
      <c r="B7" s="9" t="inlineStr">
        <is>
          <t>Nepal</t>
        </is>
      </c>
      <c r="C7" s="9" t="n">
        <v>36</v>
      </c>
      <c r="D7" s="9" t="n">
        <v>5</v>
      </c>
      <c r="E7" s="10" t="n">
        <v>43527</v>
      </c>
      <c r="F7" s="10" t="n">
        <v>46185</v>
      </c>
      <c r="G7" s="9" t="inlineStr">
        <is>
          <t>Yes</t>
        </is>
      </c>
    </row>
    <row r="8">
      <c r="A8" s="9" t="n">
        <v>4</v>
      </c>
      <c r="B8" s="9" t="inlineStr">
        <is>
          <t>United States</t>
        </is>
      </c>
      <c r="C8" s="9" t="n">
        <v>26</v>
      </c>
      <c r="D8" s="9" t="n">
        <v>1</v>
      </c>
      <c r="E8" s="10" t="n">
        <v>45904</v>
      </c>
      <c r="F8" s="10" t="n">
        <v>45929</v>
      </c>
      <c r="G8" s="9" t="inlineStr">
        <is>
          <t>Yes</t>
        </is>
      </c>
    </row>
    <row r="9">
      <c r="A9" s="9" t="n">
        <v>5</v>
      </c>
      <c r="B9" s="9" t="inlineStr">
        <is>
          <t>Thailand</t>
        </is>
      </c>
      <c r="C9" s="9" t="n">
        <v>9</v>
      </c>
      <c r="D9" s="9" t="n">
        <v>3</v>
      </c>
      <c r="E9" s="10" t="n">
        <v>44964</v>
      </c>
      <c r="F9" s="10" t="n">
        <v>45107</v>
      </c>
      <c r="G9" s="9" t="inlineStr">
        <is>
          <t>Yes</t>
        </is>
      </c>
    </row>
    <row r="10">
      <c r="A10" s="9" t="n">
        <v>6</v>
      </c>
      <c r="B10" s="9" t="inlineStr">
        <is>
          <t>Cambodia</t>
        </is>
      </c>
      <c r="C10" s="9" t="n">
        <v>7</v>
      </c>
      <c r="D10" s="9" t="n">
        <v>2</v>
      </c>
      <c r="E10" s="10" t="n">
        <v>44965</v>
      </c>
      <c r="F10" s="10" t="n">
        <v>45107</v>
      </c>
      <c r="G10" s="9" t="inlineStr">
        <is>
          <t>Yes</t>
        </is>
      </c>
    </row>
    <row r="11">
      <c r="A11" s="9" t="n">
        <v>7</v>
      </c>
      <c r="B11" s="9" t="inlineStr">
        <is>
          <t>United Arab Emirates</t>
        </is>
      </c>
      <c r="C11" s="9" t="n">
        <v>6</v>
      </c>
      <c r="D11" s="9" t="n">
        <v>2</v>
      </c>
      <c r="E11" s="10" t="n">
        <v>45488</v>
      </c>
      <c r="F11" s="10" t="n">
        <v>45509</v>
      </c>
      <c r="G11" s="9" t="inlineStr">
        <is>
          <t>Yes</t>
        </is>
      </c>
    </row>
    <row r="12">
      <c r="A12" s="9" t="n">
        <v>8</v>
      </c>
      <c r="B12" s="9" t="inlineStr">
        <is>
          <t>Italy</t>
        </is>
      </c>
      <c r="C12" s="9" t="n">
        <v>6</v>
      </c>
      <c r="D12" s="9" t="n">
        <v>1</v>
      </c>
      <c r="E12" s="10" t="n">
        <v>45496</v>
      </c>
      <c r="F12" s="10" t="n">
        <v>45501</v>
      </c>
      <c r="G12" s="9" t="inlineStr">
        <is>
          <t>Yes</t>
        </is>
      </c>
    </row>
    <row r="13">
      <c r="A13" s="9" t="n">
        <v>9</v>
      </c>
      <c r="B13" s="9" t="inlineStr">
        <is>
          <t>France</t>
        </is>
      </c>
      <c r="C13" s="9" t="n">
        <v>4</v>
      </c>
      <c r="D13" s="9" t="n">
        <v>1</v>
      </c>
      <c r="E13" s="10" t="n">
        <v>45488</v>
      </c>
      <c r="F13" s="10" t="n">
        <v>45491</v>
      </c>
      <c r="G13" s="9" t="inlineStr">
        <is>
          <t>Yes</t>
        </is>
      </c>
    </row>
    <row r="14">
      <c r="A14" s="9" t="n">
        <v>10</v>
      </c>
      <c r="B14" s="9" t="inlineStr">
        <is>
          <t>United Kingdom</t>
        </is>
      </c>
      <c r="C14" s="9" t="n">
        <v>4</v>
      </c>
      <c r="D14" s="9" t="n">
        <v>1</v>
      </c>
      <c r="E14" s="10" t="n">
        <v>45501</v>
      </c>
      <c r="F14" s="10" t="n">
        <v>45504</v>
      </c>
      <c r="G14" s="9" t="inlineStr">
        <is>
          <t>Yes</t>
        </is>
      </c>
    </row>
    <row r="15">
      <c r="A15" s="9" t="n">
        <v>11</v>
      </c>
      <c r="B15" s="9" t="inlineStr">
        <is>
          <t>Switzerland</t>
        </is>
      </c>
      <c r="C15" s="9" t="n">
        <v>3</v>
      </c>
      <c r="D15" s="9" t="n">
        <v>1</v>
      </c>
      <c r="E15" s="10" t="n">
        <v>45494</v>
      </c>
      <c r="F15" s="10" t="n">
        <v>45496</v>
      </c>
      <c r="G15" s="9" t="inlineStr">
        <is>
          <t>Yes</t>
        </is>
      </c>
    </row>
    <row r="16">
      <c r="A16" s="9" t="n">
        <v>12</v>
      </c>
      <c r="B16" s="9" t="inlineStr">
        <is>
          <t>Turkey</t>
        </is>
      </c>
      <c r="C16" s="9" t="n">
        <v>3</v>
      </c>
      <c r="D16" s="9" t="n">
        <v>2</v>
      </c>
      <c r="E16" s="10" t="n">
        <v>45504</v>
      </c>
      <c r="F16" s="10" t="n">
        <v>45929</v>
      </c>
      <c r="G16" s="9" t="inlineStr">
        <is>
          <t>Yes</t>
        </is>
      </c>
    </row>
    <row r="17">
      <c r="A17" s="9" t="n">
        <v>13</v>
      </c>
      <c r="B17" s="9" t="inlineStr">
        <is>
          <t>Belgium</t>
        </is>
      </c>
      <c r="C17" s="9" t="n">
        <v>2</v>
      </c>
      <c r="D17" s="9" t="n">
        <v>1</v>
      </c>
      <c r="E17" s="10" t="n">
        <v>45491</v>
      </c>
      <c r="F17" s="10" t="n">
        <v>45492</v>
      </c>
      <c r="G17" s="9" t="inlineStr">
        <is>
          <t>Yes</t>
        </is>
      </c>
    </row>
    <row r="18">
      <c r="A18" s="9" t="n">
        <v>14</v>
      </c>
      <c r="B18" s="9" t="inlineStr">
        <is>
          <t>Netherlands</t>
        </is>
      </c>
      <c r="C18" s="9" t="n">
        <v>2</v>
      </c>
      <c r="D18" s="9" t="n">
        <v>1</v>
      </c>
      <c r="E18" s="10" t="n">
        <v>45492</v>
      </c>
      <c r="F18" s="10" t="n">
        <v>45493</v>
      </c>
      <c r="G18" s="9" t="inlineStr">
        <is>
          <t>Yes</t>
        </is>
      </c>
    </row>
    <row r="19">
      <c r="A19" s="9" t="n">
        <v>15</v>
      </c>
      <c r="B19" s="9" t="inlineStr">
        <is>
          <t>Germany</t>
        </is>
      </c>
      <c r="C19" s="9" t="n">
        <v>2</v>
      </c>
      <c r="D19" s="9" t="n">
        <v>1</v>
      </c>
      <c r="E19" s="10" t="n">
        <v>45493</v>
      </c>
      <c r="F19" s="10" t="n">
        <v>45494</v>
      </c>
      <c r="G19" s="9" t="inlineStr">
        <is>
          <t>Yes</t>
        </is>
      </c>
    </row>
    <row r="20">
      <c r="A20" s="9" t="n">
        <v>16</v>
      </c>
      <c r="B20" s="9" t="inlineStr">
        <is>
          <t>Canada</t>
        </is>
      </c>
      <c r="C20" s="9" t="n">
        <v>1</v>
      </c>
      <c r="D20" s="9" t="n">
        <v>1</v>
      </c>
      <c r="E20" s="10" t="n">
        <v>45906</v>
      </c>
      <c r="F20" s="10" t="n">
        <v>45906</v>
      </c>
      <c r="G20" s="9" t="inlineStr">
        <is>
          <t>NO - border GPS drift, not entered</t>
        </is>
      </c>
    </row>
    <row r="22">
      <c r="B22" s="20" t="inlineStr">
        <is>
          <t>Foreign trip windows derived from GPS (gap &gt; 4 days = new trip)</t>
        </is>
      </c>
    </row>
    <row r="23">
      <c r="A23" s="21" t="inlineStr">
        <is>
          <t>#</t>
        </is>
      </c>
      <c r="B23" s="21" t="inlineStr">
        <is>
          <t>Country</t>
        </is>
      </c>
      <c r="C23" s="21" t="inlineStr">
        <is>
          <t>From</t>
        </is>
      </c>
      <c r="D23" s="21" t="inlineStr">
        <is>
          <t>To</t>
        </is>
      </c>
      <c r="E23" s="21" t="inlineStr">
        <is>
          <t>Days</t>
        </is>
      </c>
    </row>
    <row r="24">
      <c r="A24" s="9" t="n">
        <v>1</v>
      </c>
      <c r="B24" s="9" t="inlineStr">
        <is>
          <t>Nepal</t>
        </is>
      </c>
      <c r="C24" s="10" t="n">
        <v>43527</v>
      </c>
      <c r="D24" s="10" t="n">
        <v>43530</v>
      </c>
      <c r="E24" s="9" t="n">
        <v>4</v>
      </c>
    </row>
    <row r="25">
      <c r="A25" s="9" t="n">
        <v>2</v>
      </c>
      <c r="B25" s="9" t="inlineStr">
        <is>
          <t>Nepal</t>
        </is>
      </c>
      <c r="C25" s="10" t="n">
        <v>43600</v>
      </c>
      <c r="D25" s="10" t="n">
        <v>43611</v>
      </c>
      <c r="E25" s="9" t="n">
        <v>12</v>
      </c>
    </row>
    <row r="26">
      <c r="A26" s="9" t="n">
        <v>3</v>
      </c>
      <c r="B26" s="9" t="inlineStr">
        <is>
          <t>Sri Lanka</t>
        </is>
      </c>
      <c r="C26" s="10" t="n">
        <v>43736</v>
      </c>
      <c r="D26" s="10" t="n">
        <v>43745</v>
      </c>
      <c r="E26" s="9" t="n">
        <v>10</v>
      </c>
    </row>
    <row r="27">
      <c r="A27" s="9" t="n">
        <v>4</v>
      </c>
      <c r="B27" s="9" t="inlineStr">
        <is>
          <t>Sri Lanka</t>
        </is>
      </c>
      <c r="C27" s="10" t="n">
        <v>43816</v>
      </c>
      <c r="D27" s="10" t="n">
        <v>43827</v>
      </c>
      <c r="E27" s="9" t="n">
        <v>12</v>
      </c>
    </row>
    <row r="28">
      <c r="A28" s="9" t="n">
        <v>5</v>
      </c>
      <c r="B28" s="9" t="inlineStr">
        <is>
          <t>Sri Lanka</t>
        </is>
      </c>
      <c r="C28" s="10" t="n">
        <v>44585</v>
      </c>
      <c r="D28" s="10" t="n">
        <v>44616</v>
      </c>
      <c r="E28" s="9" t="n">
        <v>32</v>
      </c>
    </row>
    <row r="29">
      <c r="A29" s="9" t="n">
        <v>6</v>
      </c>
      <c r="B29" s="9" t="inlineStr">
        <is>
          <t>Sri Lanka</t>
        </is>
      </c>
      <c r="C29" s="10" t="n">
        <v>44622</v>
      </c>
      <c r="D29" s="10" t="n">
        <v>44625</v>
      </c>
      <c r="E29" s="9" t="n">
        <v>4</v>
      </c>
    </row>
    <row r="30">
      <c r="A30" s="9" t="n">
        <v>7</v>
      </c>
      <c r="B30" s="9" t="inlineStr">
        <is>
          <t>Nepal</t>
        </is>
      </c>
      <c r="C30" s="10" t="n">
        <v>44665</v>
      </c>
      <c r="D30" s="10" t="n">
        <v>44672</v>
      </c>
      <c r="E30" s="9" t="n">
        <v>8</v>
      </c>
    </row>
    <row r="31">
      <c r="A31" s="9" t="n">
        <v>8</v>
      </c>
      <c r="B31" s="9" t="inlineStr">
        <is>
          <t>Thailand</t>
        </is>
      </c>
      <c r="C31" s="10" t="n">
        <v>44964</v>
      </c>
      <c r="D31" s="10" t="n">
        <v>44968</v>
      </c>
      <c r="E31" s="9" t="n">
        <v>5</v>
      </c>
    </row>
    <row r="32">
      <c r="A32" s="9" t="n">
        <v>9</v>
      </c>
      <c r="B32" s="9" t="inlineStr">
        <is>
          <t>Cambodia</t>
        </is>
      </c>
      <c r="C32" s="10" t="n">
        <v>44965</v>
      </c>
      <c r="D32" s="10" t="n">
        <v>44967</v>
      </c>
      <c r="E32" s="9" t="n">
        <v>3</v>
      </c>
    </row>
    <row r="33">
      <c r="A33" s="9" t="n">
        <v>10</v>
      </c>
      <c r="B33" s="9" t="inlineStr">
        <is>
          <t>Thailand</t>
        </is>
      </c>
      <c r="C33" s="10" t="n">
        <v>45102</v>
      </c>
      <c r="D33" s="10" t="n">
        <v>45107</v>
      </c>
      <c r="E33" s="9" t="n">
        <v>6</v>
      </c>
    </row>
    <row r="34">
      <c r="A34" s="9" t="n">
        <v>11</v>
      </c>
      <c r="B34" s="9" t="inlineStr">
        <is>
          <t>Cambodia</t>
        </is>
      </c>
      <c r="C34" s="10" t="n">
        <v>45104</v>
      </c>
      <c r="D34" s="10" t="n">
        <v>45107</v>
      </c>
      <c r="E34" s="9" t="n">
        <v>4</v>
      </c>
    </row>
    <row r="35">
      <c r="A35" s="9" t="n">
        <v>12</v>
      </c>
      <c r="B35" s="9" t="inlineStr">
        <is>
          <t>France</t>
        </is>
      </c>
      <c r="C35" s="10" t="n">
        <v>45488</v>
      </c>
      <c r="D35" s="10" t="n">
        <v>45491</v>
      </c>
      <c r="E35" s="9" t="n">
        <v>4</v>
      </c>
    </row>
    <row r="36">
      <c r="A36" s="9" t="n">
        <v>13</v>
      </c>
      <c r="B36" s="9" t="inlineStr">
        <is>
          <t>United Arab Emirates</t>
        </is>
      </c>
      <c r="C36" s="10" t="n">
        <v>45488</v>
      </c>
      <c r="D36" s="10" t="n">
        <v>45488</v>
      </c>
      <c r="E36" s="9" t="n">
        <v>1</v>
      </c>
    </row>
    <row r="37">
      <c r="A37" s="9" t="n">
        <v>14</v>
      </c>
      <c r="B37" s="9" t="inlineStr">
        <is>
          <t>Belgium</t>
        </is>
      </c>
      <c r="C37" s="10" t="n">
        <v>45491</v>
      </c>
      <c r="D37" s="10" t="n">
        <v>45492</v>
      </c>
      <c r="E37" s="9" t="n">
        <v>2</v>
      </c>
    </row>
    <row r="38">
      <c r="A38" s="9" t="n">
        <v>15</v>
      </c>
      <c r="B38" s="9" t="inlineStr">
        <is>
          <t>Netherlands</t>
        </is>
      </c>
      <c r="C38" s="10" t="n">
        <v>45492</v>
      </c>
      <c r="D38" s="10" t="n">
        <v>45493</v>
      </c>
      <c r="E38" s="9" t="n">
        <v>2</v>
      </c>
    </row>
    <row r="39">
      <c r="A39" s="9" t="n">
        <v>16</v>
      </c>
      <c r="B39" s="9" t="inlineStr">
        <is>
          <t>Germany</t>
        </is>
      </c>
      <c r="C39" s="10" t="n">
        <v>45493</v>
      </c>
      <c r="D39" s="10" t="n">
        <v>45494</v>
      </c>
      <c r="E39" s="9" t="n">
        <v>2</v>
      </c>
    </row>
    <row r="40">
      <c r="A40" s="9" t="n">
        <v>17</v>
      </c>
      <c r="B40" s="9" t="inlineStr">
        <is>
          <t>Switzerland</t>
        </is>
      </c>
      <c r="C40" s="10" t="n">
        <v>45494</v>
      </c>
      <c r="D40" s="10" t="n">
        <v>45496</v>
      </c>
      <c r="E40" s="9" t="n">
        <v>3</v>
      </c>
    </row>
    <row r="41">
      <c r="A41" s="9" t="n">
        <v>18</v>
      </c>
      <c r="B41" s="9" t="inlineStr">
        <is>
          <t>Italy</t>
        </is>
      </c>
      <c r="C41" s="10" t="n">
        <v>45496</v>
      </c>
      <c r="D41" s="10" t="n">
        <v>45501</v>
      </c>
      <c r="E41" s="9" t="n">
        <v>6</v>
      </c>
    </row>
    <row r="42">
      <c r="A42" s="9" t="n">
        <v>19</v>
      </c>
      <c r="B42" s="9" t="inlineStr">
        <is>
          <t>United Kingdom</t>
        </is>
      </c>
      <c r="C42" s="10" t="n">
        <v>45501</v>
      </c>
      <c r="D42" s="10" t="n">
        <v>45504</v>
      </c>
      <c r="E42" s="9" t="n">
        <v>4</v>
      </c>
    </row>
    <row r="43">
      <c r="A43" s="9" t="n">
        <v>20</v>
      </c>
      <c r="B43" s="9" t="inlineStr">
        <is>
          <t>Turkey</t>
        </is>
      </c>
      <c r="C43" s="10" t="n">
        <v>45504</v>
      </c>
      <c r="D43" s="10" t="n">
        <v>45505</v>
      </c>
      <c r="E43" s="9" t="n">
        <v>2</v>
      </c>
    </row>
    <row r="44">
      <c r="A44" s="9" t="n">
        <v>21</v>
      </c>
      <c r="B44" s="9" t="inlineStr">
        <is>
          <t>United Arab Emirates</t>
        </is>
      </c>
      <c r="C44" s="10" t="n">
        <v>45505</v>
      </c>
      <c r="D44" s="10" t="n">
        <v>45509</v>
      </c>
      <c r="E44" s="9" t="n">
        <v>5</v>
      </c>
    </row>
    <row r="45">
      <c r="A45" s="9" t="n">
        <v>22</v>
      </c>
      <c r="B45" s="9" t="inlineStr">
        <is>
          <t>United States</t>
        </is>
      </c>
      <c r="C45" s="10" t="n">
        <v>45904</v>
      </c>
      <c r="D45" s="10" t="n">
        <v>45929</v>
      </c>
      <c r="E45" s="9" t="n">
        <v>26</v>
      </c>
    </row>
    <row r="46">
      <c r="A46" s="9" t="n">
        <v>23</v>
      </c>
      <c r="B46" s="9" t="inlineStr">
        <is>
          <t>Turkey</t>
        </is>
      </c>
      <c r="C46" s="10" t="n">
        <v>45929</v>
      </c>
      <c r="D46" s="10" t="n">
        <v>45929</v>
      </c>
      <c r="E46" s="9" t="n">
        <v>1</v>
      </c>
    </row>
    <row r="47">
      <c r="A47" s="9" t="n">
        <v>24</v>
      </c>
      <c r="B47" s="9" t="inlineStr">
        <is>
          <t>Nepal</t>
        </is>
      </c>
      <c r="C47" s="10" t="n">
        <v>46172</v>
      </c>
      <c r="D47" s="10" t="n">
        <v>46178</v>
      </c>
      <c r="E47" s="9" t="n">
        <v>7</v>
      </c>
    </row>
    <row r="48">
      <c r="A48" s="9" t="n">
        <v>25</v>
      </c>
      <c r="B48" s="9" t="inlineStr">
        <is>
          <t>Nepal</t>
        </is>
      </c>
      <c r="C48" s="10" t="n">
        <v>46183</v>
      </c>
      <c r="D48" s="10" t="n">
        <v>46185</v>
      </c>
      <c r="E48" s="9" t="n">
        <v>3</v>
      </c>
    </row>
    <row r="50">
      <c r="B50" s="26" t="inlineStr">
        <is>
          <t>Reconciliation: GPS vs passport / itineraries</t>
        </is>
      </c>
    </row>
    <row r="51">
      <c r="A51" s="21" t="inlineStr">
        <is>
          <t>#</t>
        </is>
      </c>
      <c r="B51" s="21" t="inlineStr">
        <is>
          <t>Item</t>
        </is>
      </c>
      <c r="C51" s="21" t="inlineStr">
        <is>
          <t>Finding</t>
        </is>
      </c>
    </row>
    <row r="52" ht="45" customHeight="1">
      <c r="A52" s="9" t="n">
        <v>1</v>
      </c>
      <c r="B52" s="12" t="inlineStr">
        <is>
          <t>Sri Lanka Ramayan Yatra 16-25 Jan 2026</t>
        </is>
      </c>
      <c r="C52" s="9" t="inlineStr">
        <is>
          <t>GPS has no Sri Lanka after Mar 2022 because the phone Timeline was OFF. Confirmed visited by you (22 Oct 2026).</t>
        </is>
      </c>
    </row>
    <row r="53" ht="45" customHeight="1">
      <c r="A53" s="9" t="n">
        <v>2</v>
      </c>
      <c r="B53" s="12" t="inlineStr">
        <is>
          <t>Nepal Muktinath Yatra 24-29 May 2026</t>
        </is>
      </c>
      <c r="C53" s="9" t="inlineStr">
        <is>
          <t>GPS gap because the phone Timeline was OFF. Confirmed visited by you (22 Oct 2026). GPS 30 May-5 Jun / 10-12 Jun = Kailash legs.</t>
        </is>
      </c>
    </row>
    <row r="54" ht="45" customHeight="1">
      <c r="A54" s="9" t="n">
        <v>3</v>
      </c>
      <c r="B54" s="9" t="inlineStr">
        <is>
          <t>Kailash Manasarovar Jun 2026</t>
        </is>
      </c>
      <c r="C54" s="9" t="inlineStr">
        <is>
          <t>GPS supports it: Nepal 30 May-5 Jun, then a 5-day GPS blackout (Tibet, no data), Nepal again 10-12 Jun. Dates adjusted to GPS.</t>
        </is>
      </c>
    </row>
    <row r="55" ht="45" customHeight="1">
      <c r="A55" s="9" t="n">
        <v>4</v>
      </c>
      <c r="B55" s="9" t="inlineStr">
        <is>
          <t>USA yatra places</t>
        </is>
      </c>
      <c r="C55" s="9" t="inlineStr">
        <is>
          <t>GPS (4-29 Sep 2025) shows NY, Niagara, Pittsburgh, New Vrindaban (Wheeling WV), DC/Fairfax, Baltimore, NJ, Philadelphia, Orlando, Gainesville (ISKCON Alachua), Miami, Los Angeles, Boston. NO San Francisco / Berkeley / San Jose -&gt; those brochure places un-ticked.</t>
        </is>
      </c>
    </row>
    <row r="56" ht="45" customHeight="1">
      <c r="A56" s="9" t="n">
        <v>5</v>
      </c>
      <c r="B56" s="12" t="inlineStr">
        <is>
          <t>Canada 6 Sep 2025</t>
        </is>
      </c>
      <c r="C56" s="9" t="inlineStr">
        <is>
          <t>GPS point in Niagara Falls, Ontario was border/boat drift - you confirmed (22 Oct 2026) you did NOT enter Canada. Canada remains unvisited (TRV needed).</t>
        </is>
      </c>
    </row>
    <row r="57" ht="45" customHeight="1">
      <c r="A57" s="9" t="n">
        <v>6</v>
      </c>
      <c r="B57" s="9" t="inlineStr">
        <is>
          <t>Turkey</t>
        </is>
      </c>
      <c r="C57" s="9" t="inlineStr">
        <is>
          <t>GPS shows Istanbul (Umraniye, Asian side) overnight 31 Jul-1 Aug 2024 - i.e. you LEFT the airport -&gt; Turkey counts as entered (Turkish eVisa via UK/Schengen visa). Plus airport transit 29 Sep 2025.</t>
        </is>
      </c>
    </row>
    <row r="58" ht="45" customHeight="1">
      <c r="A58" s="9" t="n">
        <v>7</v>
      </c>
      <c r="B58" s="9" t="inlineStr">
        <is>
          <t>UAE 15 Jul 2024</t>
        </is>
      </c>
      <c r="C58" s="9" t="inlineStr">
        <is>
          <t>GPS shows Sharjah on 15 Jul 2024 = outbound transit to Paris (Air Arabia). Added as transit.</t>
        </is>
      </c>
    </row>
    <row r="59" ht="45" customHeight="1">
      <c r="A59" s="9" t="n">
        <v>8</v>
      </c>
      <c r="B59" s="12" t="inlineStr">
        <is>
          <t>Abu Dhabi 3 Aug 2024</t>
        </is>
      </c>
      <c r="C59" s="9" t="inlineStr">
        <is>
          <t>GPS confirms Abu Dhabi + Masdar City day trip from Dubai.</t>
        </is>
      </c>
    </row>
    <row r="60" ht="45" customHeight="1">
      <c r="A60" s="9" t="n">
        <v>9</v>
      </c>
      <c r="B60" s="9" t="inlineStr">
        <is>
          <t>Sri Lanka Feb-Mar 2022</t>
        </is>
      </c>
      <c r="C60" s="9" t="inlineStr">
        <is>
          <t>Passport scan shows exit 31 Jan 2022, but GPS shows you in Sri Lanka 24 Jan-24 Feb and 2-5 Mar 2022 (Hatton 7 trips) = several Ramayana batches. Stamps for those re-entries are not in the Nov-2025 scan. Added as GPS-derived visits.</t>
        </is>
      </c>
    </row>
    <row r="61" ht="45" customHeight="1">
      <c r="A61" s="9" t="n">
        <v>10</v>
      </c>
      <c r="B61" s="9" t="inlineStr">
        <is>
          <t>Nepal 2019</t>
        </is>
      </c>
      <c r="C61" s="9" t="inlineStr">
        <is>
          <t>GPS fills the gaps: 3-6 Mar 2019 (entered via Sunauli/Bhairahawa, exit KTM 7 Mar) and 15-26 May 2019 (Pokhara, Baglung, Hetauda, Chitwan, Janakpur; exit via Janakpur-Sitamarhi land border).</t>
        </is>
      </c>
    </row>
    <row r="62" ht="45" customHeight="1">
      <c r="A62" s="9" t="n">
        <v>11</v>
      </c>
      <c r="B62" s="9" t="inlineStr">
        <is>
          <t>Italy / UK dates</t>
        </is>
      </c>
      <c r="C62" s="9" t="inlineStr">
        <is>
          <t>GPS: Italy 23-28 Jul, London 28-31 Jul 2024 vs stamps 27 Jul for both Malpensa and Gatwick - a late-night flight; stamps kept.</t>
        </is>
      </c>
    </row>
    <row r="63" ht="45" customHeight="1">
      <c r="A63" s="9" t="n">
        <v>12</v>
      </c>
      <c r="B63" s="9" t="inlineStr">
        <is>
          <t>Lagny-sur-Marne 16 Jul 2024</t>
        </is>
      </c>
      <c r="C63" s="9" t="inlineStr">
        <is>
          <t>GPS point next to Disneyland Paris - did you visit Disneyland? (not in itinerary)</t>
        </is>
      </c>
    </row>
    <row r="64" ht="45" customHeight="1">
      <c r="A64" s="9" t="n">
        <v>13</v>
      </c>
      <c r="B64" s="9" t="inlineStr">
        <is>
          <t>Europe route detail</t>
        </is>
      </c>
      <c r="C64" s="9" t="inlineStr">
        <is>
          <t>GPS adds: Cambrai (FR), Breda/Oosterhout (NL), Dusseldorf, Frankfurt, Sankt Wendel (Saarland), Offenburg/Waldkirch (Black Forest), Schaffhausen, Kriens, Bellinzona (Ticino), Vicenza/Este, Perugia (overnight, not Arezzo), Modena, Prato, Scandicci (= ISKCON Villa Vrindavana area).</t>
        </is>
      </c>
    </row>
  </sheetData>
  <pageMargins left="0.75" right="0.75" top="1" bottom="1" header="0.5" footer="0.5"/>
</worksheet>
</file>

<file path=xl/worksheets/sheet13.xml><?xml version="1.0" encoding="utf-8"?>
<worksheet xmlns="http://schemas.openxmlformats.org/spreadsheetml/2006/main">
  <sheetPr>
    <tabColor rgb="001F2A44"/>
    <outlinePr summaryBelow="1" summaryRight="1"/>
    <pageSetUpPr/>
  </sheetPr>
  <dimension ref="A1:K43"/>
  <sheetViews>
    <sheetView zoomScale="100" workbookViewId="0">
      <pane ySplit="4" topLeftCell="A5" activePane="bottomLeft" state="frozen"/>
      <selection pane="bottomLeft" activeCell="A1" sqref="A1"/>
    </sheetView>
  </sheetViews>
  <sheetFormatPr baseColWidth="8" defaultRowHeight="15"/>
  <cols>
    <col width="5" customWidth="1" min="1" max="1"/>
    <col width="6" customWidth="1" min="2" max="2"/>
    <col width="34" customWidth="1" min="3" max="3"/>
    <col width="8" customWidth="1" min="4" max="4"/>
    <col width="12" customWidth="1" min="5" max="5"/>
    <col width="8" customWidth="1" min="6" max="6"/>
    <col width="8" customWidth="1" min="7" max="7"/>
    <col width="8" customWidth="1" min="8" max="8"/>
    <col width="13" customWidth="1" min="9" max="9"/>
    <col width="13" customWidth="1" min="10" max="10"/>
    <col width="90" customWidth="1" min="11" max="11"/>
  </cols>
  <sheetData>
    <row r="1">
      <c r="A1" s="1" t="inlineStr">
        <is>
          <t>India - states &amp; union territories (GPS Timeline)</t>
        </is>
      </c>
    </row>
    <row r="2">
      <c r="A2" s="2" t="inlineStr">
        <is>
          <t>17 of 28 states + 2 of 8 UTs visited. Tick column B as you cover new ones; the 'Not yet' rows are your domestic wishlist.</t>
        </is>
      </c>
    </row>
    <row r="4">
      <c r="A4" s="3" t="inlineStr">
        <is>
          <t>#</t>
        </is>
      </c>
      <c r="B4" s="3" t="inlineStr">
        <is>
          <t>✔</t>
        </is>
      </c>
      <c r="C4" s="3" t="inlineStr">
        <is>
          <t>State / UT</t>
        </is>
      </c>
      <c r="D4" s="3" t="inlineStr">
        <is>
          <t>Type</t>
        </is>
      </c>
      <c r="E4" s="3" t="inlineStr">
        <is>
          <t>GPS status</t>
        </is>
      </c>
      <c r="F4" s="3" t="inlineStr">
        <is>
          <t>Days</t>
        </is>
      </c>
      <c r="G4" s="3" t="inlineStr">
        <is>
          <t>Trips</t>
        </is>
      </c>
      <c r="H4" s="3" t="inlineStr">
        <is>
          <t>Cities</t>
        </is>
      </c>
      <c r="I4" s="3" t="inlineStr">
        <is>
          <t>First visit</t>
        </is>
      </c>
      <c r="J4" s="3" t="inlineStr">
        <is>
          <t>Last visit</t>
        </is>
      </c>
      <c r="K4" s="3" t="inlineStr">
        <is>
          <t>Cities visited (first 12)</t>
        </is>
      </c>
    </row>
    <row r="5">
      <c r="A5" s="9" t="n">
        <v>1</v>
      </c>
      <c r="B5" s="27" t="inlineStr">
        <is>
          <t>☑</t>
        </is>
      </c>
      <c r="C5" s="9" t="inlineStr">
        <is>
          <t>Telangana</t>
        </is>
      </c>
      <c r="D5" s="9" t="inlineStr">
        <is>
          <t>State</t>
        </is>
      </c>
      <c r="E5" s="9" t="inlineStr">
        <is>
          <t>Visited</t>
        </is>
      </c>
      <c r="F5" s="9" t="n">
        <v>2440</v>
      </c>
      <c r="G5" s="9" t="n">
        <v>166</v>
      </c>
      <c r="H5" s="9" t="n">
        <v>26</v>
      </c>
      <c r="I5" s="10" t="n">
        <v>42053</v>
      </c>
      <c r="J5" s="10" t="n">
        <v>46315</v>
      </c>
      <c r="K5" s="9" t="inlineStr">
        <is>
          <t>Banswada, Bhadrachalam, Bhongir, Farrukhnagar, Hyderabad, Jangaon, Kamareddi, Khammam, Mahbubabad, Mahbubnagar, Mancheral, Manuguru</t>
        </is>
      </c>
    </row>
    <row r="6">
      <c r="A6" s="9" t="n">
        <v>2</v>
      </c>
      <c r="B6" s="27" t="inlineStr">
        <is>
          <t>☑</t>
        </is>
      </c>
      <c r="C6" s="9" t="inlineStr">
        <is>
          <t>Karnataka</t>
        </is>
      </c>
      <c r="D6" s="9" t="inlineStr">
        <is>
          <t>State</t>
        </is>
      </c>
      <c r="E6" s="9" t="inlineStr">
        <is>
          <t>Visited</t>
        </is>
      </c>
      <c r="F6" s="9" t="n">
        <v>180</v>
      </c>
      <c r="G6" s="9" t="n">
        <v>29</v>
      </c>
      <c r="H6" s="9" t="n">
        <v>29</v>
      </c>
      <c r="I6" s="10" t="n">
        <v>42405</v>
      </c>
      <c r="J6" s="10" t="n">
        <v>46307</v>
      </c>
      <c r="K6" s="9" t="inlineStr">
        <is>
          <t>Bagepalli, Basavakalyan, Belagavi, Belur, Bengaluru, Byndoor, Channapatna, Channarayapatna, Closepet, Devanhalli, Gadag-Betageri, Gangawati</t>
        </is>
      </c>
    </row>
    <row r="7">
      <c r="A7" s="9" t="n">
        <v>3</v>
      </c>
      <c r="B7" s="27" t="inlineStr">
        <is>
          <t>☑</t>
        </is>
      </c>
      <c r="C7" s="9" t="inlineStr">
        <is>
          <t>Uttarakhand</t>
        </is>
      </c>
      <c r="D7" s="9" t="inlineStr">
        <is>
          <t>State</t>
        </is>
      </c>
      <c r="E7" s="9" t="inlineStr">
        <is>
          <t>Visited</t>
        </is>
      </c>
      <c r="F7" s="9" t="n">
        <v>143</v>
      </c>
      <c r="G7" s="9" t="n">
        <v>8</v>
      </c>
      <c r="H7" s="9" t="n">
        <v>9</v>
      </c>
      <c r="I7" s="10" t="n">
        <v>43613</v>
      </c>
      <c r="J7" s="10" t="n">
        <v>45463</v>
      </c>
      <c r="K7" s="9" t="inlineStr">
        <is>
          <t>Dehra Dun, Haridwar, Mussoorie, Pauri, Rishikesh, Roorkee, Srinagar, Tehri, Uttarkashi</t>
        </is>
      </c>
    </row>
    <row r="8">
      <c r="A8" s="9" t="n">
        <v>4</v>
      </c>
      <c r="B8" s="27" t="inlineStr">
        <is>
          <t>☑</t>
        </is>
      </c>
      <c r="C8" s="9" t="inlineStr">
        <is>
          <t>Uttar Pradesh</t>
        </is>
      </c>
      <c r="D8" s="9" t="inlineStr">
        <is>
          <t>State</t>
        </is>
      </c>
      <c r="E8" s="9" t="inlineStr">
        <is>
          <t>Visited</t>
        </is>
      </c>
      <c r="F8" s="9" t="n">
        <v>142</v>
      </c>
      <c r="G8" s="9" t="n">
        <v>22</v>
      </c>
      <c r="H8" s="9" t="n">
        <v>38</v>
      </c>
      <c r="I8" s="10" t="n">
        <v>42982</v>
      </c>
      <c r="J8" s="10" t="n">
        <v>45678</v>
      </c>
      <c r="K8" s="9" t="inlineStr">
        <is>
          <t>Achhnera, Agra, Atarra, Ayodhya, Bela, Bindki, Chandauli, Chhata, Dataganj, Deoband, Etawah, Fyzabad</t>
        </is>
      </c>
    </row>
    <row r="9">
      <c r="A9" s="9" t="n">
        <v>5</v>
      </c>
      <c r="B9" s="27" t="inlineStr">
        <is>
          <t>☑</t>
        </is>
      </c>
      <c r="C9" s="9" t="inlineStr">
        <is>
          <t>Andhra Pradesh</t>
        </is>
      </c>
      <c r="D9" s="9" t="inlineStr">
        <is>
          <t>State</t>
        </is>
      </c>
      <c r="E9" s="9" t="inlineStr">
        <is>
          <t>Visited</t>
        </is>
      </c>
      <c r="F9" s="9" t="n">
        <v>58</v>
      </c>
      <c r="G9" s="9" t="n">
        <v>29</v>
      </c>
      <c r="H9" s="9" t="n">
        <v>38</v>
      </c>
      <c r="I9" s="10" t="n">
        <v>42294</v>
      </c>
      <c r="J9" s="10" t="n">
        <v>46298</v>
      </c>
      <c r="K9" s="9" t="inlineStr">
        <is>
          <t>Akkarampalle, Betamcherla, Chemmumiahpet, Dharmavaram, Dhone, Giddalur, Gooty, Gorantla, Guntakal, Guntur, Hindupur, Jaggaiahpet</t>
        </is>
      </c>
    </row>
    <row r="10">
      <c r="A10" s="9" t="n">
        <v>6</v>
      </c>
      <c r="B10" s="27" t="inlineStr">
        <is>
          <t>☑</t>
        </is>
      </c>
      <c r="C10" s="9" t="inlineStr">
        <is>
          <t>Gujarat</t>
        </is>
      </c>
      <c r="D10" s="9" t="inlineStr">
        <is>
          <t>State</t>
        </is>
      </c>
      <c r="E10" s="9" t="inlineStr">
        <is>
          <t>Visited</t>
        </is>
      </c>
      <c r="F10" s="9" t="n">
        <v>45</v>
      </c>
      <c r="G10" s="9" t="n">
        <v>6</v>
      </c>
      <c r="H10" s="9" t="n">
        <v>30</v>
      </c>
      <c r="I10" s="10" t="n">
        <v>42118</v>
      </c>
      <c r="J10" s="10" t="n">
        <v>45687</v>
      </c>
      <c r="K10" s="9" t="inlineStr">
        <is>
          <t>Ahmedabad, Ambaji, Ankleshwar, Baola, Bharuch, Bhiloda, Bholav, Bilimora, Chorwad, Chotila, Dakor, Dwarka</t>
        </is>
      </c>
    </row>
    <row r="11">
      <c r="A11" s="9" t="n">
        <v>7</v>
      </c>
      <c r="B11" s="27" t="inlineStr">
        <is>
          <t>☑</t>
        </is>
      </c>
      <c r="C11" s="9" t="inlineStr">
        <is>
          <t>Rajasthan</t>
        </is>
      </c>
      <c r="D11" s="9" t="inlineStr">
        <is>
          <t>State</t>
        </is>
      </c>
      <c r="E11" s="9" t="inlineStr">
        <is>
          <t>Visited</t>
        </is>
      </c>
      <c r="F11" s="9" t="n">
        <v>31</v>
      </c>
      <c r="G11" s="9" t="n">
        <v>12</v>
      </c>
      <c r="H11" s="9" t="n">
        <v>9</v>
      </c>
      <c r="I11" s="10" t="n">
        <v>42983</v>
      </c>
      <c r="J11" s="10" t="n">
        <v>45581</v>
      </c>
      <c r="K11" s="9" t="inlineStr">
        <is>
          <t>Bharatpur, Dausa, Dungarpur, Jaipur, Kaman, Karauli, Nathdwara, Rajsamand, Udaipur</t>
        </is>
      </c>
    </row>
    <row r="12">
      <c r="A12" s="9" t="n">
        <v>8</v>
      </c>
      <c r="B12" s="27" t="inlineStr">
        <is>
          <t>☑</t>
        </is>
      </c>
      <c r="C12" s="9" t="inlineStr">
        <is>
          <t>Haryana</t>
        </is>
      </c>
      <c r="D12" s="9" t="inlineStr">
        <is>
          <t>State</t>
        </is>
      </c>
      <c r="E12" s="9" t="inlineStr">
        <is>
          <t>Visited</t>
        </is>
      </c>
      <c r="F12" s="9" t="n">
        <v>29</v>
      </c>
      <c r="G12" s="9" t="n">
        <v>21</v>
      </c>
      <c r="H12" s="9" t="n">
        <v>6</v>
      </c>
      <c r="I12" s="10" t="n">
        <v>43531</v>
      </c>
      <c r="J12" s="10" t="n">
        <v>46185</v>
      </c>
      <c r="K12" s="9" t="inlineStr">
        <is>
          <t>Faridabad, Gharaunda, Gurugram, Karnal, Nilokheri, Thanesar</t>
        </is>
      </c>
    </row>
    <row r="13">
      <c r="A13" s="9" t="n">
        <v>9</v>
      </c>
      <c r="B13" s="27" t="inlineStr">
        <is>
          <t>☑</t>
        </is>
      </c>
      <c r="C13" s="9" t="inlineStr">
        <is>
          <t>West Bengal</t>
        </is>
      </c>
      <c r="D13" s="9" t="inlineStr">
        <is>
          <t>State</t>
        </is>
      </c>
      <c r="E13" s="9" t="inlineStr">
        <is>
          <t>Visited</t>
        </is>
      </c>
      <c r="F13" s="9" t="n">
        <v>28</v>
      </c>
      <c r="G13" s="9" t="n">
        <v>5</v>
      </c>
      <c r="H13" s="9" t="n">
        <v>15</v>
      </c>
      <c r="I13" s="10" t="n">
        <v>42576</v>
      </c>
      <c r="J13" s="10" t="n">
        <v>45732</v>
      </c>
      <c r="K13" s="9" t="inlineStr">
        <is>
          <t>Baharampur, Barddhaman, Bolpur, Howrah, Kalna, Kalyani, Kharagpur, Kolkata, Krishnanagar, Nagarukhra City, Navadwip, Rampur Hat</t>
        </is>
      </c>
    </row>
    <row r="14">
      <c r="A14" s="9" t="n">
        <v>10</v>
      </c>
      <c r="B14" s="27" t="inlineStr">
        <is>
          <t>☑</t>
        </is>
      </c>
      <c r="C14" s="9" t="inlineStr">
        <is>
          <t>Maharashtra</t>
        </is>
      </c>
      <c r="D14" s="9" t="inlineStr">
        <is>
          <t>State</t>
        </is>
      </c>
      <c r="E14" s="9" t="inlineStr">
        <is>
          <t>Visited</t>
        </is>
      </c>
      <c r="F14" s="9" t="n">
        <v>25</v>
      </c>
      <c r="G14" s="9" t="n">
        <v>20</v>
      </c>
      <c r="H14" s="9" t="n">
        <v>13</v>
      </c>
      <c r="I14" s="10" t="n">
        <v>42118</v>
      </c>
      <c r="J14" s="10" t="n">
        <v>45930</v>
      </c>
      <c r="K14" s="9" t="inlineStr">
        <is>
          <t>Ballarpur, Bhayandar, Borivli, Dharmabad, Gondia, Kalyan, Mumbai, Nagpur, Nanded, Navi Mumbai, Pandharpur, Purna</t>
        </is>
      </c>
    </row>
    <row r="15">
      <c r="A15" s="9" t="n">
        <v>11</v>
      </c>
      <c r="B15" s="27" t="inlineStr">
        <is>
          <t>☑</t>
        </is>
      </c>
      <c r="C15" s="9" t="inlineStr">
        <is>
          <t>Tamil Nadu</t>
        </is>
      </c>
      <c r="D15" s="9" t="inlineStr">
        <is>
          <t>State</t>
        </is>
      </c>
      <c r="E15" s="9" t="inlineStr">
        <is>
          <t>Visited</t>
        </is>
      </c>
      <c r="F15" s="9" t="n">
        <v>23</v>
      </c>
      <c r="G15" s="9" t="n">
        <v>12</v>
      </c>
      <c r="H15" s="9" t="n">
        <v>14</v>
      </c>
      <c r="I15" s="10" t="n">
        <v>42294</v>
      </c>
      <c r="J15" s="10" t="n">
        <v>45774</v>
      </c>
      <c r="K15" s="9" t="inlineStr">
        <is>
          <t>Arakkonam, Chennai, Dindigul, Kanchipuram, Krishnagiri, Kuzhithurai, Madurai, Madurantakam, Rameswaram, Sriperumbudur, Srivilliputhur, Thoothukudi</t>
        </is>
      </c>
    </row>
    <row r="16">
      <c r="A16" s="9" t="n">
        <v>12</v>
      </c>
      <c r="B16" s="27" t="inlineStr">
        <is>
          <t>☑</t>
        </is>
      </c>
      <c r="C16" s="9" t="inlineStr">
        <is>
          <t>Delhi</t>
        </is>
      </c>
      <c r="D16" s="9" t="inlineStr">
        <is>
          <t>UT</t>
        </is>
      </c>
      <c r="E16" s="9" t="inlineStr">
        <is>
          <t>Visited</t>
        </is>
      </c>
      <c r="F16" s="9" t="n">
        <v>16</v>
      </c>
      <c r="G16" s="9" t="n">
        <v>12</v>
      </c>
      <c r="H16" s="9" t="n">
        <v>4</v>
      </c>
      <c r="I16" s="10" t="n">
        <v>43531</v>
      </c>
      <c r="J16" s="10" t="n">
        <v>45576</v>
      </c>
      <c r="K16" s="9" t="inlineStr">
        <is>
          <t>Delhi, Karol Bagh, Najafgarh, Narela</t>
        </is>
      </c>
    </row>
    <row r="17">
      <c r="A17" s="9" t="n">
        <v>13</v>
      </c>
      <c r="B17" s="27" t="inlineStr">
        <is>
          <t>☑</t>
        </is>
      </c>
      <c r="C17" s="9" t="inlineStr">
        <is>
          <t>Odisha</t>
        </is>
      </c>
      <c r="D17" s="9" t="inlineStr">
        <is>
          <t>State</t>
        </is>
      </c>
      <c r="E17" s="9" t="inlineStr">
        <is>
          <t>Visited</t>
        </is>
      </c>
      <c r="F17" s="9" t="n">
        <v>15</v>
      </c>
      <c r="G17" s="9" t="n">
        <v>5</v>
      </c>
      <c r="H17" s="9" t="n">
        <v>10</v>
      </c>
      <c r="I17" s="10" t="n">
        <v>43386</v>
      </c>
      <c r="J17" s="10" t="n">
        <v>44911</v>
      </c>
      <c r="K17" s="9" t="inlineStr">
        <is>
          <t>Balasore, Bhubaneswar, Brahmapur, Cuttack, Jajpur, Jaleshwar, Konarka, Puri, Remuna, Rourkela</t>
        </is>
      </c>
    </row>
    <row r="18">
      <c r="A18" s="9" t="n">
        <v>14</v>
      </c>
      <c r="B18" s="27" t="inlineStr">
        <is>
          <t>☑</t>
        </is>
      </c>
      <c r="C18" s="9" t="inlineStr">
        <is>
          <t>Bihar</t>
        </is>
      </c>
      <c r="D18" s="9" t="inlineStr">
        <is>
          <t>State</t>
        </is>
      </c>
      <c r="E18" s="9" t="inlineStr">
        <is>
          <t>Visited</t>
        </is>
      </c>
      <c r="F18" s="9" t="n">
        <v>7</v>
      </c>
      <c r="G18" s="9" t="n">
        <v>4</v>
      </c>
      <c r="H18" s="9" t="n">
        <v>5</v>
      </c>
      <c r="I18" s="10" t="n">
        <v>43517</v>
      </c>
      <c r="J18" s="10" t="n">
        <v>44751</v>
      </c>
      <c r="K18" s="9" t="inlineStr">
        <is>
          <t>Bodh Gaya, Gaya, Patna, Sherghati, Sitamarhi</t>
        </is>
      </c>
    </row>
    <row r="19">
      <c r="A19" s="9" t="n">
        <v>15</v>
      </c>
      <c r="B19" s="27" t="inlineStr">
        <is>
          <t>☑</t>
        </is>
      </c>
      <c r="C19" s="9" t="inlineStr">
        <is>
          <t>Madhya Pradesh</t>
        </is>
      </c>
      <c r="D19" s="9" t="inlineStr">
        <is>
          <t>State</t>
        </is>
      </c>
      <c r="E19" s="9" t="inlineStr">
        <is>
          <t>Visited</t>
        </is>
      </c>
      <c r="F19" s="9" t="n">
        <v>7</v>
      </c>
      <c r="G19" s="9" t="n">
        <v>6</v>
      </c>
      <c r="H19" s="9" t="n">
        <v>7</v>
      </c>
      <c r="I19" s="10" t="n">
        <v>43001</v>
      </c>
      <c r="J19" s="10" t="n">
        <v>44752</v>
      </c>
      <c r="K19" s="9" t="inlineStr">
        <is>
          <t>Bhopal, Gwalior, Itarsi, Jabalpur, Khandwa, Pandhurna, Sohagpur</t>
        </is>
      </c>
    </row>
    <row r="20">
      <c r="A20" s="9" t="n">
        <v>16</v>
      </c>
      <c r="B20" s="27" t="inlineStr">
        <is>
          <t>☑</t>
        </is>
      </c>
      <c r="C20" s="9" t="inlineStr">
        <is>
          <t>Kerala</t>
        </is>
      </c>
      <c r="D20" s="9" t="inlineStr">
        <is>
          <t>State</t>
        </is>
      </c>
      <c r="E20" s="9" t="inlineStr">
        <is>
          <t>Visited</t>
        </is>
      </c>
      <c r="F20" s="9" t="n">
        <v>2</v>
      </c>
      <c r="G20" s="9" t="n">
        <v>1</v>
      </c>
      <c r="H20" s="9" t="n">
        <v>9</v>
      </c>
      <c r="I20" s="10" t="n">
        <v>43149</v>
      </c>
      <c r="J20" s="10" t="n">
        <v>43150</v>
      </c>
      <c r="K20" s="9" t="inlineStr">
        <is>
          <t>Guruvayur, Kanayannur, Kollam, Kozhikode, Kunnamkulam, Shoranur, Thiruvananthapuram, Thrissur, Tirur</t>
        </is>
      </c>
    </row>
    <row r="21">
      <c r="A21" s="9" t="n">
        <v>17</v>
      </c>
      <c r="B21" s="27" t="inlineStr">
        <is>
          <t>☑</t>
        </is>
      </c>
      <c r="C21" s="9" t="inlineStr">
        <is>
          <t>Chhattisgarh</t>
        </is>
      </c>
      <c r="D21" s="9" t="inlineStr">
        <is>
          <t>State</t>
        </is>
      </c>
      <c r="E21" s="9" t="inlineStr">
        <is>
          <t>Visited</t>
        </is>
      </c>
      <c r="F21" s="9" t="n">
        <v>1</v>
      </c>
      <c r="G21" s="9" t="n">
        <v>1</v>
      </c>
      <c r="H21" s="9" t="n">
        <v>1</v>
      </c>
      <c r="I21" s="10" t="n">
        <v>43516</v>
      </c>
      <c r="J21" s="10" t="n">
        <v>43516</v>
      </c>
      <c r="K21" s="9" t="inlineStr">
        <is>
          <t>Bhilai</t>
        </is>
      </c>
    </row>
    <row r="22">
      <c r="A22" s="9" t="n">
        <v>18</v>
      </c>
      <c r="B22" s="27" t="inlineStr">
        <is>
          <t>☑</t>
        </is>
      </c>
      <c r="C22" s="9" t="inlineStr">
        <is>
          <t>Dadra and Nagar Haveli and Daman and Diu</t>
        </is>
      </c>
      <c r="D22" s="9" t="inlineStr">
        <is>
          <t>UT</t>
        </is>
      </c>
      <c r="E22" s="9" t="inlineStr">
        <is>
          <t>Visited</t>
        </is>
      </c>
      <c r="F22" s="9" t="n">
        <v>1</v>
      </c>
      <c r="G22" s="9" t="n">
        <v>1</v>
      </c>
      <c r="H22" s="9" t="n">
        <v>1</v>
      </c>
      <c r="I22" s="10" t="n">
        <v>45687</v>
      </c>
      <c r="J22" s="10" t="n">
        <v>45687</v>
      </c>
      <c r="K22" s="9" t="inlineStr">
        <is>
          <t>Diu</t>
        </is>
      </c>
    </row>
    <row r="23">
      <c r="A23" s="9" t="n">
        <v>19</v>
      </c>
      <c r="B23" s="27" t="inlineStr">
        <is>
          <t>☑</t>
        </is>
      </c>
      <c r="C23" s="9" t="inlineStr">
        <is>
          <t>Jharkhand</t>
        </is>
      </c>
      <c r="D23" s="9" t="inlineStr">
        <is>
          <t>State</t>
        </is>
      </c>
      <c r="E23" s="9" t="inlineStr">
        <is>
          <t>Visited</t>
        </is>
      </c>
      <c r="F23" s="9" t="n">
        <v>1</v>
      </c>
      <c r="G23" s="9" t="n">
        <v>1</v>
      </c>
      <c r="H23" s="9" t="n">
        <v>2</v>
      </c>
      <c r="I23" s="10" t="n">
        <v>43517</v>
      </c>
      <c r="J23" s="10" t="n">
        <v>43517</v>
      </c>
      <c r="K23" s="9" t="inlineStr">
        <is>
          <t>Barki Saria, Gomoh</t>
        </is>
      </c>
    </row>
    <row r="24">
      <c r="A24" s="9" t="n">
        <v>20</v>
      </c>
      <c r="B24" s="28" t="inlineStr">
        <is>
          <t>☐</t>
        </is>
      </c>
      <c r="C24" s="9" t="inlineStr">
        <is>
          <t>Andaman and Nicobar Islands</t>
        </is>
      </c>
      <c r="D24" s="9" t="inlineStr">
        <is>
          <t>UT</t>
        </is>
      </c>
      <c r="E24" s="9" t="inlineStr">
        <is>
          <t>Not yet</t>
        </is>
      </c>
      <c r="F24" s="9" t="n"/>
      <c r="G24" s="9" t="n"/>
      <c r="H24" s="9" t="n"/>
      <c r="I24" s="10" t="n"/>
      <c r="J24" s="10" t="n"/>
      <c r="K24" s="9" t="n"/>
    </row>
    <row r="25">
      <c r="A25" s="9" t="n">
        <v>21</v>
      </c>
      <c r="B25" s="28" t="inlineStr">
        <is>
          <t>☐</t>
        </is>
      </c>
      <c r="C25" s="9" t="inlineStr">
        <is>
          <t>Arunachal Pradesh</t>
        </is>
      </c>
      <c r="D25" s="9" t="inlineStr">
        <is>
          <t>State</t>
        </is>
      </c>
      <c r="E25" s="9" t="inlineStr">
        <is>
          <t>Not yet</t>
        </is>
      </c>
      <c r="F25" s="9" t="n"/>
      <c r="G25" s="9" t="n"/>
      <c r="H25" s="9" t="n"/>
      <c r="I25" s="10" t="n"/>
      <c r="J25" s="10" t="n"/>
      <c r="K25" s="9" t="n"/>
    </row>
    <row r="26">
      <c r="A26" s="9" t="n">
        <v>22</v>
      </c>
      <c r="B26" s="28" t="inlineStr">
        <is>
          <t>☐</t>
        </is>
      </c>
      <c r="C26" s="9" t="inlineStr">
        <is>
          <t>Assam</t>
        </is>
      </c>
      <c r="D26" s="9" t="inlineStr">
        <is>
          <t>State</t>
        </is>
      </c>
      <c r="E26" s="9" t="inlineStr">
        <is>
          <t>Not yet</t>
        </is>
      </c>
      <c r="F26" s="9" t="n"/>
      <c r="G26" s="9" t="n"/>
      <c r="H26" s="9" t="n"/>
      <c r="I26" s="10" t="n"/>
      <c r="J26" s="10" t="n"/>
      <c r="K26" s="9" t="n"/>
    </row>
    <row r="27">
      <c r="A27" s="9" t="n">
        <v>23</v>
      </c>
      <c r="B27" s="28" t="inlineStr">
        <is>
          <t>☐</t>
        </is>
      </c>
      <c r="C27" s="9" t="inlineStr">
        <is>
          <t>Chandigarh</t>
        </is>
      </c>
      <c r="D27" s="9" t="inlineStr">
        <is>
          <t>UT</t>
        </is>
      </c>
      <c r="E27" s="9" t="inlineStr">
        <is>
          <t>Not yet</t>
        </is>
      </c>
      <c r="F27" s="9" t="n"/>
      <c r="G27" s="9" t="n"/>
      <c r="H27" s="9" t="n"/>
      <c r="I27" s="10" t="n"/>
      <c r="J27" s="10" t="n"/>
      <c r="K27" s="9" t="n"/>
    </row>
    <row r="28">
      <c r="A28" s="9" t="n">
        <v>24</v>
      </c>
      <c r="B28" s="28" t="inlineStr">
        <is>
          <t>☐</t>
        </is>
      </c>
      <c r="C28" s="9" t="inlineStr">
        <is>
          <t>Goa</t>
        </is>
      </c>
      <c r="D28" s="9" t="inlineStr">
        <is>
          <t>State</t>
        </is>
      </c>
      <c r="E28" s="9" t="inlineStr">
        <is>
          <t>Not yet</t>
        </is>
      </c>
      <c r="F28" s="9" t="n"/>
      <c r="G28" s="9" t="n"/>
      <c r="H28" s="9" t="n"/>
      <c r="I28" s="10" t="n"/>
      <c r="J28" s="10" t="n"/>
      <c r="K28" s="9" t="n"/>
    </row>
    <row r="29">
      <c r="A29" s="9" t="n">
        <v>25</v>
      </c>
      <c r="B29" s="28" t="inlineStr">
        <is>
          <t>☐</t>
        </is>
      </c>
      <c r="C29" s="9" t="inlineStr">
        <is>
          <t>Himachal Pradesh</t>
        </is>
      </c>
      <c r="D29" s="9" t="inlineStr">
        <is>
          <t>State</t>
        </is>
      </c>
      <c r="E29" s="9" t="inlineStr">
        <is>
          <t>Not yet</t>
        </is>
      </c>
      <c r="F29" s="9" t="n"/>
      <c r="G29" s="9" t="n"/>
      <c r="H29" s="9" t="n"/>
      <c r="I29" s="10" t="n"/>
      <c r="J29" s="10" t="n"/>
      <c r="K29" s="9" t="n"/>
    </row>
    <row r="30">
      <c r="A30" s="9" t="n">
        <v>26</v>
      </c>
      <c r="B30" s="28" t="inlineStr">
        <is>
          <t>☐</t>
        </is>
      </c>
      <c r="C30" s="9" t="inlineStr">
        <is>
          <t>Jammu and Kashmir</t>
        </is>
      </c>
      <c r="D30" s="9" t="inlineStr">
        <is>
          <t>UT</t>
        </is>
      </c>
      <c r="E30" s="9" t="inlineStr">
        <is>
          <t>Not yet</t>
        </is>
      </c>
      <c r="F30" s="9" t="n"/>
      <c r="G30" s="9" t="n"/>
      <c r="H30" s="9" t="n"/>
      <c r="I30" s="10" t="n"/>
      <c r="J30" s="10" t="n"/>
      <c r="K30" s="9" t="n"/>
    </row>
    <row r="31">
      <c r="A31" s="9" t="n">
        <v>27</v>
      </c>
      <c r="B31" s="28" t="inlineStr">
        <is>
          <t>☐</t>
        </is>
      </c>
      <c r="C31" s="9" t="inlineStr">
        <is>
          <t>Ladakh</t>
        </is>
      </c>
      <c r="D31" s="9" t="inlineStr">
        <is>
          <t>UT</t>
        </is>
      </c>
      <c r="E31" s="9" t="inlineStr">
        <is>
          <t>Not yet</t>
        </is>
      </c>
      <c r="F31" s="9" t="n"/>
      <c r="G31" s="9" t="n"/>
      <c r="H31" s="9" t="n"/>
      <c r="I31" s="10" t="n"/>
      <c r="J31" s="10" t="n"/>
      <c r="K31" s="9" t="n"/>
    </row>
    <row r="32">
      <c r="A32" s="9" t="n">
        <v>28</v>
      </c>
      <c r="B32" s="28" t="inlineStr">
        <is>
          <t>☐</t>
        </is>
      </c>
      <c r="C32" s="9" t="inlineStr">
        <is>
          <t>Lakshadweep</t>
        </is>
      </c>
      <c r="D32" s="9" t="inlineStr">
        <is>
          <t>UT</t>
        </is>
      </c>
      <c r="E32" s="9" t="inlineStr">
        <is>
          <t>Not yet</t>
        </is>
      </c>
      <c r="F32" s="9" t="n"/>
      <c r="G32" s="9" t="n"/>
      <c r="H32" s="9" t="n"/>
      <c r="I32" s="10" t="n"/>
      <c r="J32" s="10" t="n"/>
      <c r="K32" s="9" t="n"/>
    </row>
    <row r="33">
      <c r="A33" s="9" t="n">
        <v>29</v>
      </c>
      <c r="B33" s="28" t="inlineStr">
        <is>
          <t>☐</t>
        </is>
      </c>
      <c r="C33" s="9" t="inlineStr">
        <is>
          <t>Manipur</t>
        </is>
      </c>
      <c r="D33" s="9" t="inlineStr">
        <is>
          <t>State</t>
        </is>
      </c>
      <c r="E33" s="9" t="inlineStr">
        <is>
          <t>Not yet</t>
        </is>
      </c>
      <c r="F33" s="9" t="n"/>
      <c r="G33" s="9" t="n"/>
      <c r="H33" s="9" t="n"/>
      <c r="I33" s="10" t="n"/>
      <c r="J33" s="10" t="n"/>
      <c r="K33" s="9" t="n"/>
    </row>
    <row r="34">
      <c r="A34" s="9" t="n">
        <v>30</v>
      </c>
      <c r="B34" s="28" t="inlineStr">
        <is>
          <t>☐</t>
        </is>
      </c>
      <c r="C34" s="9" t="inlineStr">
        <is>
          <t>Meghalaya</t>
        </is>
      </c>
      <c r="D34" s="9" t="inlineStr">
        <is>
          <t>State</t>
        </is>
      </c>
      <c r="E34" s="9" t="inlineStr">
        <is>
          <t>Not yet</t>
        </is>
      </c>
      <c r="F34" s="9" t="n"/>
      <c r="G34" s="9" t="n"/>
      <c r="H34" s="9" t="n"/>
      <c r="I34" s="10" t="n"/>
      <c r="J34" s="10" t="n"/>
      <c r="K34" s="9" t="n"/>
    </row>
    <row r="35">
      <c r="A35" s="9" t="n">
        <v>31</v>
      </c>
      <c r="B35" s="28" t="inlineStr">
        <is>
          <t>☐</t>
        </is>
      </c>
      <c r="C35" s="9" t="inlineStr">
        <is>
          <t>Mizoram</t>
        </is>
      </c>
      <c r="D35" s="9" t="inlineStr">
        <is>
          <t>State</t>
        </is>
      </c>
      <c r="E35" s="9" t="inlineStr">
        <is>
          <t>Not yet</t>
        </is>
      </c>
      <c r="F35" s="9" t="n"/>
      <c r="G35" s="9" t="n"/>
      <c r="H35" s="9" t="n"/>
      <c r="I35" s="10" t="n"/>
      <c r="J35" s="10" t="n"/>
      <c r="K35" s="9" t="n"/>
    </row>
    <row r="36">
      <c r="A36" s="9" t="n">
        <v>32</v>
      </c>
      <c r="B36" s="28" t="inlineStr">
        <is>
          <t>☐</t>
        </is>
      </c>
      <c r="C36" s="9" t="inlineStr">
        <is>
          <t>Nagaland</t>
        </is>
      </c>
      <c r="D36" s="9" t="inlineStr">
        <is>
          <t>State</t>
        </is>
      </c>
      <c r="E36" s="9" t="inlineStr">
        <is>
          <t>Not yet</t>
        </is>
      </c>
      <c r="F36" s="9" t="n"/>
      <c r="G36" s="9" t="n"/>
      <c r="H36" s="9" t="n"/>
      <c r="I36" s="10" t="n"/>
      <c r="J36" s="10" t="n"/>
      <c r="K36" s="9" t="n"/>
    </row>
    <row r="37">
      <c r="A37" s="9" t="n">
        <v>33</v>
      </c>
      <c r="B37" s="28" t="inlineStr">
        <is>
          <t>☐</t>
        </is>
      </c>
      <c r="C37" s="9" t="inlineStr">
        <is>
          <t>Puducherry</t>
        </is>
      </c>
      <c r="D37" s="9" t="inlineStr">
        <is>
          <t>UT</t>
        </is>
      </c>
      <c r="E37" s="9" t="inlineStr">
        <is>
          <t>Not yet</t>
        </is>
      </c>
      <c r="F37" s="9" t="n"/>
      <c r="G37" s="9" t="n"/>
      <c r="H37" s="9" t="n"/>
      <c r="I37" s="10" t="n"/>
      <c r="J37" s="10" t="n"/>
      <c r="K37" s="9" t="n"/>
    </row>
    <row r="38">
      <c r="A38" s="9" t="n">
        <v>34</v>
      </c>
      <c r="B38" s="28" t="inlineStr">
        <is>
          <t>☐</t>
        </is>
      </c>
      <c r="C38" s="9" t="inlineStr">
        <is>
          <t>Punjab</t>
        </is>
      </c>
      <c r="D38" s="9" t="inlineStr">
        <is>
          <t>State</t>
        </is>
      </c>
      <c r="E38" s="9" t="inlineStr">
        <is>
          <t>Not yet</t>
        </is>
      </c>
      <c r="F38" s="9" t="n"/>
      <c r="G38" s="9" t="n"/>
      <c r="H38" s="9" t="n"/>
      <c r="I38" s="10" t="n"/>
      <c r="J38" s="10" t="n"/>
      <c r="K38" s="9" t="n"/>
    </row>
    <row r="39">
      <c r="A39" s="9" t="n">
        <v>35</v>
      </c>
      <c r="B39" s="28" t="inlineStr">
        <is>
          <t>☐</t>
        </is>
      </c>
      <c r="C39" s="9" t="inlineStr">
        <is>
          <t>Sikkim</t>
        </is>
      </c>
      <c r="D39" s="9" t="inlineStr">
        <is>
          <t>State</t>
        </is>
      </c>
      <c r="E39" s="9" t="inlineStr">
        <is>
          <t>Not yet</t>
        </is>
      </c>
      <c r="F39" s="9" t="n"/>
      <c r="G39" s="9" t="n"/>
      <c r="H39" s="9" t="n"/>
      <c r="I39" s="10" t="n"/>
      <c r="J39" s="10" t="n"/>
      <c r="K39" s="9" t="n"/>
    </row>
    <row r="40">
      <c r="A40" s="9" t="n">
        <v>36</v>
      </c>
      <c r="B40" s="28" t="inlineStr">
        <is>
          <t>☐</t>
        </is>
      </c>
      <c r="C40" s="9" t="inlineStr">
        <is>
          <t>Tripura</t>
        </is>
      </c>
      <c r="D40" s="9" t="inlineStr">
        <is>
          <t>State</t>
        </is>
      </c>
      <c r="E40" s="9" t="inlineStr">
        <is>
          <t>Not yet</t>
        </is>
      </c>
      <c r="F40" s="9" t="n"/>
      <c r="G40" s="9" t="n"/>
      <c r="H40" s="9" t="n"/>
      <c r="I40" s="10" t="n"/>
      <c r="J40" s="10" t="n"/>
      <c r="K40" s="9" t="n"/>
    </row>
    <row r="42">
      <c r="C42" s="4" t="inlineStr">
        <is>
          <t>States/UTs ticked</t>
        </is>
      </c>
      <c r="D42">
        <f>COUNTIF(B5:B40,"☑")</f>
        <v/>
      </c>
    </row>
    <row r="43">
      <c r="C43" s="4" t="inlineStr">
        <is>
          <t>of</t>
        </is>
      </c>
      <c r="D43" t="n">
        <v>36</v>
      </c>
    </row>
  </sheetData>
  <dataValidations count="1">
    <dataValidation sqref="B5:B40" showDropDown="0" showInputMessage="0" showErrorMessage="0" allowBlank="1" type="list">
      <formula1>"☑,☐"</formula1>
    </dataValidation>
  </dataValidations>
  <pageMargins left="0.75" right="0.75" top="1" bottom="1" header="0.5" footer="0.5"/>
</worksheet>
</file>

<file path=xl/worksheets/sheet14.xml><?xml version="1.0" encoding="utf-8"?>
<worksheet xmlns="http://schemas.openxmlformats.org/spreadsheetml/2006/main">
  <sheetPr>
    <tabColor rgb="001F2A44"/>
    <outlinePr summaryBelow="1" summaryRight="1"/>
    <pageSetUpPr/>
  </sheetPr>
  <dimension ref="A1:H378"/>
  <sheetViews>
    <sheetView zoomScale="100" workbookViewId="0">
      <pane ySplit="4" topLeftCell="A5" activePane="bottomLeft" state="frozen"/>
      <selection pane="bottomLeft" activeCell="A1" sqref="A1"/>
    </sheetView>
  </sheetViews>
  <sheetFormatPr baseColWidth="8" defaultRowHeight="15"/>
  <cols>
    <col width="5" customWidth="1" min="1" max="1"/>
    <col width="28" customWidth="1" min="2" max="2"/>
    <col width="30" customWidth="1" min="3" max="3"/>
    <col width="20" customWidth="1" min="4" max="4"/>
    <col width="8" customWidth="1" min="5" max="5"/>
    <col width="8" customWidth="1" min="6" max="6"/>
    <col width="13" customWidth="1" min="7" max="7"/>
    <col width="13" customWidth="1" min="8" max="8"/>
  </cols>
  <sheetData>
    <row r="1">
      <c r="A1" s="1" t="inlineStr">
        <is>
          <t>GPS Timeline - all 374 cities &amp; towns with a recorded stop</t>
        </is>
      </c>
    </row>
    <row r="2">
      <c r="A2" s="2" t="inlineStr">
        <is>
          <t>Sorted by trips. City names from GeoNames; suburbs/airports within 30 km of a big city count as that city.</t>
        </is>
      </c>
    </row>
    <row r="4">
      <c r="A4" s="3" t="inlineStr">
        <is>
          <t>#</t>
        </is>
      </c>
      <c r="B4" s="3" t="inlineStr">
        <is>
          <t>City</t>
        </is>
      </c>
      <c r="C4" s="3" t="inlineStr">
        <is>
          <t>State / region</t>
        </is>
      </c>
      <c r="D4" s="3" t="inlineStr">
        <is>
          <t>Country</t>
        </is>
      </c>
      <c r="E4" s="3" t="inlineStr">
        <is>
          <t>Days</t>
        </is>
      </c>
      <c r="F4" s="3" t="inlineStr">
        <is>
          <t>Trips</t>
        </is>
      </c>
      <c r="G4" s="3" t="inlineStr">
        <is>
          <t>First visit</t>
        </is>
      </c>
      <c r="H4" s="3" t="inlineStr">
        <is>
          <t>Last visit</t>
        </is>
      </c>
    </row>
    <row r="5">
      <c r="A5" s="9" t="n">
        <v>1</v>
      </c>
      <c r="B5" s="9" t="inlineStr">
        <is>
          <t>Hyderabad</t>
        </is>
      </c>
      <c r="C5" s="9" t="inlineStr">
        <is>
          <t>Telangana</t>
        </is>
      </c>
      <c r="D5" s="9" t="inlineStr">
        <is>
          <t>India</t>
        </is>
      </c>
      <c r="E5" s="9" t="n">
        <v>2328</v>
      </c>
      <c r="F5" s="9" t="n">
        <v>180</v>
      </c>
      <c r="G5" s="10" t="n">
        <v>42054</v>
      </c>
      <c r="H5" s="10" t="n">
        <v>46315</v>
      </c>
    </row>
    <row r="6">
      <c r="A6" s="9" t="n">
        <v>2</v>
      </c>
      <c r="B6" s="9" t="inlineStr">
        <is>
          <t>Sangareddi</t>
        </is>
      </c>
      <c r="C6" s="9" t="inlineStr">
        <is>
          <t>Telangana</t>
        </is>
      </c>
      <c r="D6" s="9" t="inlineStr">
        <is>
          <t>India</t>
        </is>
      </c>
      <c r="E6" s="9" t="n">
        <v>151</v>
      </c>
      <c r="F6" s="9" t="n">
        <v>79</v>
      </c>
      <c r="G6" s="10" t="n">
        <v>42053</v>
      </c>
      <c r="H6" s="10" t="n">
        <v>45350</v>
      </c>
    </row>
    <row r="7">
      <c r="A7" s="9" t="n">
        <v>3</v>
      </c>
      <c r="B7" s="9" t="inlineStr">
        <is>
          <t>Singapur</t>
        </is>
      </c>
      <c r="C7" s="9" t="inlineStr">
        <is>
          <t>Telangana</t>
        </is>
      </c>
      <c r="D7" s="9" t="inlineStr">
        <is>
          <t>India</t>
        </is>
      </c>
      <c r="E7" s="9" t="n">
        <v>109</v>
      </c>
      <c r="F7" s="9" t="n">
        <v>60</v>
      </c>
      <c r="G7" s="10" t="n">
        <v>42056</v>
      </c>
      <c r="H7" s="10" t="n">
        <v>43162</v>
      </c>
    </row>
    <row r="8">
      <c r="A8" s="9" t="n">
        <v>4</v>
      </c>
      <c r="B8" s="9" t="inlineStr">
        <is>
          <t>Bengaluru</t>
        </is>
      </c>
      <c r="C8" s="9" t="inlineStr">
        <is>
          <t>Karnataka</t>
        </is>
      </c>
      <c r="D8" s="9" t="inlineStr">
        <is>
          <t>India</t>
        </is>
      </c>
      <c r="E8" s="9" t="n">
        <v>168</v>
      </c>
      <c r="F8" s="9" t="n">
        <v>28</v>
      </c>
      <c r="G8" s="10" t="n">
        <v>42405</v>
      </c>
      <c r="H8" s="10" t="n">
        <v>46307</v>
      </c>
    </row>
    <row r="9">
      <c r="A9" s="9" t="n">
        <v>5</v>
      </c>
      <c r="B9" s="9" t="inlineStr">
        <is>
          <t>Dehra Dun</t>
        </is>
      </c>
      <c r="C9" s="9" t="inlineStr">
        <is>
          <t>Uttarakhand</t>
        </is>
      </c>
      <c r="D9" s="9" t="inlineStr">
        <is>
          <t>India</t>
        </is>
      </c>
      <c r="E9" s="9" t="n">
        <v>67</v>
      </c>
      <c r="F9" s="9" t="n">
        <v>20</v>
      </c>
      <c r="G9" s="10" t="n">
        <v>43617</v>
      </c>
      <c r="H9" s="10" t="n">
        <v>45463</v>
      </c>
    </row>
    <row r="10">
      <c r="A10" s="9" t="n">
        <v>6</v>
      </c>
      <c r="B10" s="9" t="inlineStr">
        <is>
          <t>Gurugram</t>
        </is>
      </c>
      <c r="C10" s="9" t="inlineStr">
        <is>
          <t>Haryana</t>
        </is>
      </c>
      <c r="D10" s="9" t="inlineStr">
        <is>
          <t>India</t>
        </is>
      </c>
      <c r="E10" s="9" t="n">
        <v>26</v>
      </c>
      <c r="F10" s="9" t="n">
        <v>20</v>
      </c>
      <c r="G10" s="10" t="n">
        <v>43531</v>
      </c>
      <c r="H10" s="10" t="n">
        <v>46185</v>
      </c>
    </row>
    <row r="11">
      <c r="A11" s="9" t="n">
        <v>7</v>
      </c>
      <c r="B11" s="9" t="inlineStr">
        <is>
          <t>Rishikesh</t>
        </is>
      </c>
      <c r="C11" s="9" t="inlineStr">
        <is>
          <t>Uttarakhand</t>
        </is>
      </c>
      <c r="D11" s="9" t="inlineStr">
        <is>
          <t>India</t>
        </is>
      </c>
      <c r="E11" s="9" t="n">
        <v>40</v>
      </c>
      <c r="F11" s="9" t="n">
        <v>15</v>
      </c>
      <c r="G11" s="10" t="n">
        <v>43613</v>
      </c>
      <c r="H11" s="10" t="n">
        <v>45433</v>
      </c>
    </row>
    <row r="12">
      <c r="A12" s="9" t="n">
        <v>8</v>
      </c>
      <c r="B12" s="9" t="inlineStr">
        <is>
          <t>Mathura</t>
        </is>
      </c>
      <c r="C12" s="9" t="inlineStr">
        <is>
          <t>Uttar Pradesh</t>
        </is>
      </c>
      <c r="D12" s="9" t="inlineStr">
        <is>
          <t>India</t>
        </is>
      </c>
      <c r="E12" s="9" t="n">
        <v>17</v>
      </c>
      <c r="F12" s="9" t="n">
        <v>15</v>
      </c>
      <c r="G12" s="10" t="n">
        <v>42982</v>
      </c>
      <c r="H12" s="10" t="n">
        <v>45582</v>
      </c>
    </row>
    <row r="13">
      <c r="A13" s="9" t="n">
        <v>9</v>
      </c>
      <c r="B13" s="9" t="inlineStr">
        <is>
          <t>Srinagar</t>
        </is>
      </c>
      <c r="C13" s="9" t="inlineStr">
        <is>
          <t>Uttarakhand</t>
        </is>
      </c>
      <c r="D13" s="9" t="inlineStr">
        <is>
          <t>India</t>
        </is>
      </c>
      <c r="E13" s="9" t="n">
        <v>44</v>
      </c>
      <c r="F13" s="9" t="n">
        <v>11</v>
      </c>
      <c r="G13" s="10" t="n">
        <v>43613</v>
      </c>
      <c r="H13" s="10" t="n">
        <v>45463</v>
      </c>
    </row>
    <row r="14">
      <c r="A14" s="9" t="n">
        <v>10</v>
      </c>
      <c r="B14" s="9" t="inlineStr">
        <is>
          <t>Lucknow</t>
        </is>
      </c>
      <c r="C14" s="9" t="inlineStr">
        <is>
          <t>Uttar Pradesh</t>
        </is>
      </c>
      <c r="D14" s="9" t="inlineStr">
        <is>
          <t>India</t>
        </is>
      </c>
      <c r="E14" s="9" t="n">
        <v>30</v>
      </c>
      <c r="F14" s="9" t="n">
        <v>11</v>
      </c>
      <c r="G14" s="10" t="n">
        <v>43458</v>
      </c>
      <c r="H14" s="10" t="n">
        <v>45360</v>
      </c>
    </row>
    <row r="15">
      <c r="A15" s="9" t="n">
        <v>11</v>
      </c>
      <c r="B15" s="9" t="inlineStr">
        <is>
          <t>Vrindavan</t>
        </is>
      </c>
      <c r="C15" s="9" t="inlineStr">
        <is>
          <t>Uttar Pradesh</t>
        </is>
      </c>
      <c r="D15" s="9" t="inlineStr">
        <is>
          <t>India</t>
        </is>
      </c>
      <c r="E15" s="9" t="n">
        <v>63</v>
      </c>
      <c r="F15" s="9" t="n">
        <v>10</v>
      </c>
      <c r="G15" s="10" t="n">
        <v>42982</v>
      </c>
      <c r="H15" s="10" t="n">
        <v>45583</v>
      </c>
    </row>
    <row r="16">
      <c r="A16" s="9" t="n">
        <v>12</v>
      </c>
      <c r="B16" s="9" t="inlineStr">
        <is>
          <t>Haridwar</t>
        </is>
      </c>
      <c r="C16" s="9" t="inlineStr">
        <is>
          <t>Uttarakhand</t>
        </is>
      </c>
      <c r="D16" s="9" t="inlineStr">
        <is>
          <t>India</t>
        </is>
      </c>
      <c r="E16" s="9" t="n">
        <v>31</v>
      </c>
      <c r="F16" s="9" t="n">
        <v>10</v>
      </c>
      <c r="G16" s="10" t="n">
        <v>43613</v>
      </c>
      <c r="H16" s="10" t="n">
        <v>45227</v>
      </c>
    </row>
    <row r="17">
      <c r="A17" s="9" t="n">
        <v>13</v>
      </c>
      <c r="B17" s="9" t="inlineStr">
        <is>
          <t>Chennai</t>
        </is>
      </c>
      <c r="C17" s="9" t="inlineStr">
        <is>
          <t>Tamil Nadu</t>
        </is>
      </c>
      <c r="D17" s="9" t="inlineStr">
        <is>
          <t>India</t>
        </is>
      </c>
      <c r="E17" s="9" t="n">
        <v>13</v>
      </c>
      <c r="F17" s="9" t="n">
        <v>10</v>
      </c>
      <c r="G17" s="10" t="n">
        <v>42294</v>
      </c>
      <c r="H17" s="10" t="n">
        <v>45648</v>
      </c>
    </row>
    <row r="18">
      <c r="A18" s="9" t="n">
        <v>14</v>
      </c>
      <c r="B18" s="9" t="inlineStr">
        <is>
          <t>Patancheru</t>
        </is>
      </c>
      <c r="C18" s="9" t="inlineStr">
        <is>
          <t>Telangana</t>
        </is>
      </c>
      <c r="D18" s="9" t="inlineStr">
        <is>
          <t>India</t>
        </is>
      </c>
      <c r="E18" s="9" t="n">
        <v>9</v>
      </c>
      <c r="F18" s="9" t="n">
        <v>9</v>
      </c>
      <c r="G18" s="10" t="n">
        <v>42188</v>
      </c>
      <c r="H18" s="10" t="n">
        <v>43767</v>
      </c>
    </row>
    <row r="19">
      <c r="A19" s="9" t="n">
        <v>15</v>
      </c>
      <c r="B19" s="9" t="inlineStr">
        <is>
          <t>Ahmedabad</t>
        </is>
      </c>
      <c r="C19" s="9" t="inlineStr">
        <is>
          <t>Gujarat</t>
        </is>
      </c>
      <c r="D19" s="9" t="inlineStr">
        <is>
          <t>India</t>
        </is>
      </c>
      <c r="E19" s="9" t="n">
        <v>26</v>
      </c>
      <c r="F19" s="9" t="n">
        <v>8</v>
      </c>
      <c r="G19" s="10" t="n">
        <v>42930</v>
      </c>
      <c r="H19" s="10" t="n">
        <v>45687</v>
      </c>
    </row>
    <row r="20">
      <c r="A20" s="9" t="n">
        <v>16</v>
      </c>
      <c r="B20" s="9" t="inlineStr">
        <is>
          <t>Delhi</t>
        </is>
      </c>
      <c r="C20" s="9" t="inlineStr">
        <is>
          <t>Delhi</t>
        </is>
      </c>
      <c r="D20" s="9" t="inlineStr">
        <is>
          <t>India</t>
        </is>
      </c>
      <c r="E20" s="9" t="n">
        <v>10</v>
      </c>
      <c r="F20" s="9" t="n">
        <v>8</v>
      </c>
      <c r="G20" s="10" t="n">
        <v>43531</v>
      </c>
      <c r="H20" s="10" t="n">
        <v>44691</v>
      </c>
    </row>
    <row r="21">
      <c r="A21" s="9" t="n">
        <v>17</v>
      </c>
      <c r="B21" s="9" t="inlineStr">
        <is>
          <t>Nagpur</t>
        </is>
      </c>
      <c r="C21" s="9" t="inlineStr">
        <is>
          <t>Maharashtra</t>
        </is>
      </c>
      <c r="D21" s="9" t="inlineStr">
        <is>
          <t>India</t>
        </is>
      </c>
      <c r="E21" s="9" t="n">
        <v>8</v>
      </c>
      <c r="F21" s="9" t="n">
        <v>8</v>
      </c>
      <c r="G21" s="10" t="n">
        <v>42981</v>
      </c>
      <c r="H21" s="10" t="n">
        <v>43496</v>
      </c>
    </row>
    <row r="22">
      <c r="A22" s="9" t="n">
        <v>18</v>
      </c>
      <c r="B22" s="9" t="inlineStr">
        <is>
          <t>Uttarkashi</t>
        </is>
      </c>
      <c r="C22" s="9" t="inlineStr">
        <is>
          <t>Uttarakhand</t>
        </is>
      </c>
      <c r="D22" s="9" t="inlineStr">
        <is>
          <t>India</t>
        </is>
      </c>
      <c r="E22" s="9" t="n">
        <v>28</v>
      </c>
      <c r="F22" s="9" t="n">
        <v>7</v>
      </c>
      <c r="G22" s="10" t="n">
        <v>43645</v>
      </c>
      <c r="H22" s="10" t="n">
        <v>45461</v>
      </c>
    </row>
    <row r="23">
      <c r="A23" s="9" t="n">
        <v>19</v>
      </c>
      <c r="B23" s="9" t="inlineStr">
        <is>
          <t>Kathmandu</t>
        </is>
      </c>
      <c r="C23" s="9" t="inlineStr">
        <is>
          <t>Bagmati Province</t>
        </is>
      </c>
      <c r="D23" s="9" t="inlineStr">
        <is>
          <t>Nepal</t>
        </is>
      </c>
      <c r="E23" s="9" t="n">
        <v>27</v>
      </c>
      <c r="F23" s="9" t="n">
        <v>7</v>
      </c>
      <c r="G23" s="10" t="n">
        <v>43528</v>
      </c>
      <c r="H23" s="10" t="n">
        <v>46185</v>
      </c>
    </row>
    <row r="24">
      <c r="A24" s="9" t="n">
        <v>20</v>
      </c>
      <c r="B24" s="9" t="inlineStr">
        <is>
          <t>Colombo</t>
        </is>
      </c>
      <c r="C24" s="9" t="inlineStr">
        <is>
          <t>Western Province</t>
        </is>
      </c>
      <c r="D24" s="9" t="inlineStr">
        <is>
          <t>Sri Lanka</t>
        </is>
      </c>
      <c r="E24" s="9" t="n">
        <v>20</v>
      </c>
      <c r="F24" s="9" t="n">
        <v>7</v>
      </c>
      <c r="G24" s="10" t="n">
        <v>43736</v>
      </c>
      <c r="H24" s="10" t="n">
        <v>44607</v>
      </c>
    </row>
    <row r="25">
      <c r="A25" s="9" t="n">
        <v>21</v>
      </c>
      <c r="B25" s="9" t="inlineStr">
        <is>
          <t>Varanasi</t>
        </is>
      </c>
      <c r="C25" s="9" t="inlineStr">
        <is>
          <t>Uttar Pradesh</t>
        </is>
      </c>
      <c r="D25" s="9" t="inlineStr">
        <is>
          <t>India</t>
        </is>
      </c>
      <c r="E25" s="9" t="n">
        <v>18</v>
      </c>
      <c r="F25" s="9" t="n">
        <v>7</v>
      </c>
      <c r="G25" s="10" t="n">
        <v>43459</v>
      </c>
      <c r="H25" s="10" t="n">
        <v>45677</v>
      </c>
    </row>
    <row r="26">
      <c r="A26" s="9" t="n">
        <v>22</v>
      </c>
      <c r="B26" s="9" t="inlineStr">
        <is>
          <t>Hatton</t>
        </is>
      </c>
      <c r="C26" s="9" t="inlineStr">
        <is>
          <t>Central Province</t>
        </is>
      </c>
      <c r="D26" s="9" t="inlineStr">
        <is>
          <t>Sri Lanka</t>
        </is>
      </c>
      <c r="E26" s="9" t="n">
        <v>17</v>
      </c>
      <c r="F26" s="9" t="n">
        <v>7</v>
      </c>
      <c r="G26" s="10" t="n">
        <v>44592</v>
      </c>
      <c r="H26" s="10" t="n">
        <v>44625</v>
      </c>
    </row>
    <row r="27">
      <c r="A27" s="9" t="n">
        <v>23</v>
      </c>
      <c r="B27" s="9" t="inlineStr">
        <is>
          <t>Mumbai</t>
        </is>
      </c>
      <c r="C27" s="9" t="inlineStr">
        <is>
          <t>Maharashtra</t>
        </is>
      </c>
      <c r="D27" s="9" t="inlineStr">
        <is>
          <t>India</t>
        </is>
      </c>
      <c r="E27" s="9" t="n">
        <v>9</v>
      </c>
      <c r="F27" s="9" t="n">
        <v>7</v>
      </c>
      <c r="G27" s="10" t="n">
        <v>42118</v>
      </c>
      <c r="H27" s="10" t="n">
        <v>45930</v>
      </c>
    </row>
    <row r="28">
      <c r="A28" s="9" t="n">
        <v>24</v>
      </c>
      <c r="B28" s="9" t="inlineStr">
        <is>
          <t>Kolkata</t>
        </is>
      </c>
      <c r="C28" s="9" t="inlineStr">
        <is>
          <t>West Bengal</t>
        </is>
      </c>
      <c r="D28" s="9" t="inlineStr">
        <is>
          <t>India</t>
        </is>
      </c>
      <c r="E28" s="9" t="n">
        <v>8</v>
      </c>
      <c r="F28" s="9" t="n">
        <v>7</v>
      </c>
      <c r="G28" s="10" t="n">
        <v>42576</v>
      </c>
      <c r="H28" s="10" t="n">
        <v>45732</v>
      </c>
    </row>
    <row r="29">
      <c r="A29" s="9" t="n">
        <v>25</v>
      </c>
      <c r="B29" s="9" t="inlineStr">
        <is>
          <t>Prayagraj</t>
        </is>
      </c>
      <c r="C29" s="9" t="inlineStr">
        <is>
          <t>Uttar Pradesh</t>
        </is>
      </c>
      <c r="D29" s="9" t="inlineStr">
        <is>
          <t>India</t>
        </is>
      </c>
      <c r="E29" s="9" t="n">
        <v>20</v>
      </c>
      <c r="F29" s="9" t="n">
        <v>6</v>
      </c>
      <c r="G29" s="10" t="n">
        <v>43454</v>
      </c>
      <c r="H29" s="10" t="n">
        <v>45678</v>
      </c>
    </row>
    <row r="30">
      <c r="A30" s="9" t="n">
        <v>26</v>
      </c>
      <c r="B30" s="9" t="inlineStr">
        <is>
          <t>Dwarka</t>
        </is>
      </c>
      <c r="C30" s="9" t="inlineStr">
        <is>
          <t>Gujarat</t>
        </is>
      </c>
      <c r="D30" s="9" t="inlineStr">
        <is>
          <t>India</t>
        </is>
      </c>
      <c r="E30" s="9" t="n">
        <v>16</v>
      </c>
      <c r="F30" s="9" t="n">
        <v>6</v>
      </c>
      <c r="G30" s="10" t="n">
        <v>42933</v>
      </c>
      <c r="H30" s="10" t="n">
        <v>45685</v>
      </c>
    </row>
    <row r="31">
      <c r="A31" s="9" t="n">
        <v>27</v>
      </c>
      <c r="B31" s="9" t="inlineStr">
        <is>
          <t>Ayodhya</t>
        </is>
      </c>
      <c r="C31" s="9" t="inlineStr">
        <is>
          <t>Uttar Pradesh</t>
        </is>
      </c>
      <c r="D31" s="9" t="inlineStr">
        <is>
          <t>India</t>
        </is>
      </c>
      <c r="E31" s="9" t="n">
        <v>15</v>
      </c>
      <c r="F31" s="9" t="n">
        <v>6</v>
      </c>
      <c r="G31" s="10" t="n">
        <v>43456</v>
      </c>
      <c r="H31" s="10" t="n">
        <v>45361</v>
      </c>
    </row>
    <row r="32">
      <c r="A32" s="9" t="n">
        <v>28</v>
      </c>
      <c r="B32" s="9" t="inlineStr">
        <is>
          <t>Akkarampalle</t>
        </is>
      </c>
      <c r="C32" s="9" t="inlineStr">
        <is>
          <t>Andhra Pradesh</t>
        </is>
      </c>
      <c r="D32" s="9" t="inlineStr">
        <is>
          <t>India</t>
        </is>
      </c>
      <c r="E32" s="9" t="n">
        <v>11</v>
      </c>
      <c r="F32" s="9" t="n">
        <v>6</v>
      </c>
      <c r="G32" s="10" t="n">
        <v>42911</v>
      </c>
      <c r="H32" s="10" t="n">
        <v>45771</v>
      </c>
    </row>
    <row r="33">
      <c r="A33" s="9" t="n">
        <v>29</v>
      </c>
      <c r="B33" s="9" t="inlineStr">
        <is>
          <t>Veraval</t>
        </is>
      </c>
      <c r="C33" s="9" t="inlineStr">
        <is>
          <t>Gujarat</t>
        </is>
      </c>
      <c r="D33" s="9" t="inlineStr">
        <is>
          <t>India</t>
        </is>
      </c>
      <c r="E33" s="9" t="n">
        <v>9</v>
      </c>
      <c r="F33" s="9" t="n">
        <v>6</v>
      </c>
      <c r="G33" s="10" t="n">
        <v>42934</v>
      </c>
      <c r="H33" s="10" t="n">
        <v>45686</v>
      </c>
    </row>
    <row r="34">
      <c r="A34" s="9" t="n">
        <v>30</v>
      </c>
      <c r="B34" s="9" t="inlineStr">
        <is>
          <t>Okha</t>
        </is>
      </c>
      <c r="C34" s="9" t="inlineStr">
        <is>
          <t>Gujarat</t>
        </is>
      </c>
      <c r="D34" s="9" t="inlineStr">
        <is>
          <t>India</t>
        </is>
      </c>
      <c r="E34" s="9" t="n">
        <v>8</v>
      </c>
      <c r="F34" s="9" t="n">
        <v>6</v>
      </c>
      <c r="G34" s="10" t="n">
        <v>42933</v>
      </c>
      <c r="H34" s="10" t="n">
        <v>45684</v>
      </c>
    </row>
    <row r="35">
      <c r="A35" s="9" t="n">
        <v>31</v>
      </c>
      <c r="B35" s="9" t="inlineStr">
        <is>
          <t>Karol Bagh</t>
        </is>
      </c>
      <c r="C35" s="9" t="inlineStr">
        <is>
          <t>Delhi</t>
        </is>
      </c>
      <c r="D35" s="9" t="inlineStr">
        <is>
          <t>India</t>
        </is>
      </c>
      <c r="E35" s="9" t="n">
        <v>7</v>
      </c>
      <c r="F35" s="9" t="n">
        <v>6</v>
      </c>
      <c r="G35" s="10" t="n">
        <v>43531</v>
      </c>
      <c r="H35" s="10" t="n">
        <v>45576</v>
      </c>
    </row>
    <row r="36">
      <c r="A36" s="9" t="n">
        <v>32</v>
      </c>
      <c r="B36" s="9" t="inlineStr">
        <is>
          <t>Porbandar</t>
        </is>
      </c>
      <c r="C36" s="9" t="inlineStr">
        <is>
          <t>Gujarat</t>
        </is>
      </c>
      <c r="D36" s="9" t="inlineStr">
        <is>
          <t>India</t>
        </is>
      </c>
      <c r="E36" s="9" t="n">
        <v>6</v>
      </c>
      <c r="F36" s="9" t="n">
        <v>6</v>
      </c>
      <c r="G36" s="10" t="n">
        <v>42934</v>
      </c>
      <c r="H36" s="10" t="n">
        <v>45685</v>
      </c>
    </row>
    <row r="37">
      <c r="A37" s="9" t="n">
        <v>33</v>
      </c>
      <c r="B37" s="9" t="inlineStr">
        <is>
          <t>Govardhan</t>
        </is>
      </c>
      <c r="C37" s="9" t="inlineStr">
        <is>
          <t>Uttar Pradesh</t>
        </is>
      </c>
      <c r="D37" s="9" t="inlineStr">
        <is>
          <t>India</t>
        </is>
      </c>
      <c r="E37" s="9" t="n">
        <v>6</v>
      </c>
      <c r="F37" s="9" t="n">
        <v>6</v>
      </c>
      <c r="G37" s="10" t="n">
        <v>43005</v>
      </c>
      <c r="H37" s="10" t="n">
        <v>44864</v>
      </c>
    </row>
    <row r="38">
      <c r="A38" s="9" t="n">
        <v>34</v>
      </c>
      <c r="B38" s="9" t="inlineStr">
        <is>
          <t>Navadwip</t>
        </is>
      </c>
      <c r="C38" s="9" t="inlineStr">
        <is>
          <t>West Bengal</t>
        </is>
      </c>
      <c r="D38" s="9" t="inlineStr">
        <is>
          <t>India</t>
        </is>
      </c>
      <c r="E38" s="9" t="n">
        <v>24</v>
      </c>
      <c r="F38" s="9" t="n">
        <v>5</v>
      </c>
      <c r="G38" s="10" t="n">
        <v>42577</v>
      </c>
      <c r="H38" s="10" t="n">
        <v>45732</v>
      </c>
    </row>
    <row r="39">
      <c r="A39" s="9" t="n">
        <v>35</v>
      </c>
      <c r="B39" s="9" t="inlineStr">
        <is>
          <t>Vijayawada</t>
        </is>
      </c>
      <c r="C39" s="9" t="inlineStr">
        <is>
          <t>Andhra Pradesh</t>
        </is>
      </c>
      <c r="D39" s="9" t="inlineStr">
        <is>
          <t>India</t>
        </is>
      </c>
      <c r="E39" s="9" t="n">
        <v>11</v>
      </c>
      <c r="F39" s="9" t="n">
        <v>5</v>
      </c>
      <c r="G39" s="10" t="n">
        <v>42575</v>
      </c>
      <c r="H39" s="10" t="n">
        <v>44612</v>
      </c>
    </row>
    <row r="40">
      <c r="A40" s="9" t="n">
        <v>36</v>
      </c>
      <c r="B40" s="9" t="inlineStr">
        <is>
          <t>Tirumala</t>
        </is>
      </c>
      <c r="C40" s="9" t="inlineStr">
        <is>
          <t>Andhra Pradesh</t>
        </is>
      </c>
      <c r="D40" s="9" t="inlineStr">
        <is>
          <t>India</t>
        </is>
      </c>
      <c r="E40" s="9" t="n">
        <v>11</v>
      </c>
      <c r="F40" s="9" t="n">
        <v>5</v>
      </c>
      <c r="G40" s="10" t="n">
        <v>42910</v>
      </c>
      <c r="H40" s="10" t="n">
        <v>45773</v>
      </c>
    </row>
    <row r="41">
      <c r="A41" s="9" t="n">
        <v>37</v>
      </c>
      <c r="B41" s="9" t="inlineStr">
        <is>
          <t>Kanchipuram</t>
        </is>
      </c>
      <c r="C41" s="9" t="inlineStr">
        <is>
          <t>Tamil Nadu</t>
        </is>
      </c>
      <c r="D41" s="9" t="inlineStr">
        <is>
          <t>India</t>
        </is>
      </c>
      <c r="E41" s="9" t="n">
        <v>8</v>
      </c>
      <c r="F41" s="9" t="n">
        <v>5</v>
      </c>
      <c r="G41" s="10" t="n">
        <v>42294</v>
      </c>
      <c r="H41" s="10" t="n">
        <v>45774</v>
      </c>
    </row>
    <row r="42">
      <c r="A42" s="9" t="n">
        <v>38</v>
      </c>
      <c r="B42" s="9" t="inlineStr">
        <is>
          <t>Fyzabad</t>
        </is>
      </c>
      <c r="C42" s="9" t="inlineStr">
        <is>
          <t>Uttar Pradesh</t>
        </is>
      </c>
      <c r="D42" s="9" t="inlineStr">
        <is>
          <t>India</t>
        </is>
      </c>
      <c r="E42" s="9" t="n">
        <v>8</v>
      </c>
      <c r="F42" s="9" t="n">
        <v>5</v>
      </c>
      <c r="G42" s="10" t="n">
        <v>43457</v>
      </c>
      <c r="H42" s="10" t="n">
        <v>45361</v>
      </c>
    </row>
    <row r="43">
      <c r="A43" s="9" t="n">
        <v>39</v>
      </c>
      <c r="B43" s="9" t="inlineStr">
        <is>
          <t>Bharatpur</t>
        </is>
      </c>
      <c r="C43" s="9" t="inlineStr">
        <is>
          <t>Bagmati Province</t>
        </is>
      </c>
      <c r="D43" s="9" t="inlineStr">
        <is>
          <t>Nepal</t>
        </is>
      </c>
      <c r="E43" s="9" t="n">
        <v>7</v>
      </c>
      <c r="F43" s="9" t="n">
        <v>5</v>
      </c>
      <c r="G43" s="10" t="n">
        <v>43601</v>
      </c>
      <c r="H43" s="10" t="n">
        <v>44670</v>
      </c>
    </row>
    <row r="44">
      <c r="A44" s="9" t="n">
        <v>40</v>
      </c>
      <c r="B44" s="9" t="inlineStr">
        <is>
          <t>Tirupati</t>
        </is>
      </c>
      <c r="C44" s="9" t="inlineStr">
        <is>
          <t>Andhra Pradesh</t>
        </is>
      </c>
      <c r="D44" s="9" t="inlineStr">
        <is>
          <t>India</t>
        </is>
      </c>
      <c r="E44" s="9" t="n">
        <v>6</v>
      </c>
      <c r="F44" s="9" t="n">
        <v>5</v>
      </c>
      <c r="G44" s="10" t="n">
        <v>42912</v>
      </c>
      <c r="H44" s="10" t="n">
        <v>45770</v>
      </c>
    </row>
    <row r="45">
      <c r="A45" s="9" t="n">
        <v>41</v>
      </c>
      <c r="B45" s="9" t="inlineStr">
        <is>
          <t>Agra</t>
        </is>
      </c>
      <c r="C45" s="9" t="inlineStr">
        <is>
          <t>Uttar Pradesh</t>
        </is>
      </c>
      <c r="D45" s="9" t="inlineStr">
        <is>
          <t>India</t>
        </is>
      </c>
      <c r="E45" s="9" t="n">
        <v>6</v>
      </c>
      <c r="F45" s="9" t="n">
        <v>5</v>
      </c>
      <c r="G45" s="10" t="n">
        <v>43002</v>
      </c>
      <c r="H45" s="10" t="n">
        <v>44743</v>
      </c>
    </row>
    <row r="46">
      <c r="A46" s="9" t="n">
        <v>42</v>
      </c>
      <c r="B46" s="9" t="inlineStr">
        <is>
          <t>Kosi</t>
        </is>
      </c>
      <c r="C46" s="9" t="inlineStr">
        <is>
          <t>Uttar Pradesh</t>
        </is>
      </c>
      <c r="D46" s="9" t="inlineStr">
        <is>
          <t>India</t>
        </is>
      </c>
      <c r="E46" s="9" t="n">
        <v>6</v>
      </c>
      <c r="F46" s="9" t="n">
        <v>5</v>
      </c>
      <c r="G46" s="10" t="n">
        <v>43004</v>
      </c>
      <c r="H46" s="10" t="n">
        <v>44863</v>
      </c>
    </row>
    <row r="47">
      <c r="A47" s="9" t="n">
        <v>43</v>
      </c>
      <c r="B47" s="9" t="inlineStr">
        <is>
          <t>Bhongir</t>
        </is>
      </c>
      <c r="C47" s="9" t="inlineStr">
        <is>
          <t>Telangana</t>
        </is>
      </c>
      <c r="D47" s="9" t="inlineStr">
        <is>
          <t>India</t>
        </is>
      </c>
      <c r="E47" s="9" t="n">
        <v>5</v>
      </c>
      <c r="F47" s="9" t="n">
        <v>5</v>
      </c>
      <c r="G47" s="10" t="n">
        <v>42478</v>
      </c>
      <c r="H47" s="10" t="n">
        <v>45116</v>
      </c>
    </row>
    <row r="48">
      <c r="A48" s="9" t="n">
        <v>44</v>
      </c>
      <c r="B48" s="9" t="inlineStr">
        <is>
          <t>Howrah</t>
        </is>
      </c>
      <c r="C48" s="9" t="inlineStr">
        <is>
          <t>West Bengal</t>
        </is>
      </c>
      <c r="D48" s="9" t="inlineStr">
        <is>
          <t>India</t>
        </is>
      </c>
      <c r="E48" s="9" t="n">
        <v>5</v>
      </c>
      <c r="F48" s="9" t="n">
        <v>5</v>
      </c>
      <c r="G48" s="10" t="n">
        <v>42576</v>
      </c>
      <c r="H48" s="10" t="n">
        <v>45237</v>
      </c>
    </row>
    <row r="49">
      <c r="A49" s="9" t="n">
        <v>45</v>
      </c>
      <c r="B49" s="9" t="inlineStr">
        <is>
          <t>Mahbubnagar</t>
        </is>
      </c>
      <c r="C49" s="9" t="inlineStr">
        <is>
          <t>Telangana</t>
        </is>
      </c>
      <c r="D49" s="9" t="inlineStr">
        <is>
          <t>India</t>
        </is>
      </c>
      <c r="E49" s="9" t="n">
        <v>5</v>
      </c>
      <c r="F49" s="9" t="n">
        <v>5</v>
      </c>
      <c r="G49" s="10" t="n">
        <v>42814</v>
      </c>
      <c r="H49" s="10" t="n">
        <v>46298</v>
      </c>
    </row>
    <row r="50">
      <c r="A50" s="9" t="n">
        <v>46</v>
      </c>
      <c r="B50" s="9" t="inlineStr">
        <is>
          <t>Gooty</t>
        </is>
      </c>
      <c r="C50" s="9" t="inlineStr">
        <is>
          <t>Andhra Pradesh</t>
        </is>
      </c>
      <c r="D50" s="9" t="inlineStr">
        <is>
          <t>India</t>
        </is>
      </c>
      <c r="E50" s="9" t="n">
        <v>5</v>
      </c>
      <c r="F50" s="9" t="n">
        <v>5</v>
      </c>
      <c r="G50" s="10" t="n">
        <v>42824</v>
      </c>
      <c r="H50" s="10" t="n">
        <v>46298</v>
      </c>
    </row>
    <row r="51">
      <c r="A51" s="9" t="n">
        <v>47</v>
      </c>
      <c r="B51" s="9" t="inlineStr">
        <is>
          <t>Farrukhnagar</t>
        </is>
      </c>
      <c r="C51" s="9" t="inlineStr">
        <is>
          <t>Telangana</t>
        </is>
      </c>
      <c r="D51" s="9" t="inlineStr">
        <is>
          <t>India</t>
        </is>
      </c>
      <c r="E51" s="9" t="n">
        <v>5</v>
      </c>
      <c r="F51" s="9" t="n">
        <v>5</v>
      </c>
      <c r="G51" s="10" t="n">
        <v>42913</v>
      </c>
      <c r="H51" s="10" t="n">
        <v>45781</v>
      </c>
    </row>
    <row r="52">
      <c r="A52" s="9" t="n">
        <v>48</v>
      </c>
      <c r="B52" s="9" t="inlineStr">
        <is>
          <t>Kaman</t>
        </is>
      </c>
      <c r="C52" s="9" t="inlineStr">
        <is>
          <t>Rajasthan</t>
        </is>
      </c>
      <c r="D52" s="9" t="inlineStr">
        <is>
          <t>India</t>
        </is>
      </c>
      <c r="E52" s="9" t="n">
        <v>5</v>
      </c>
      <c r="F52" s="9" t="n">
        <v>5</v>
      </c>
      <c r="G52" s="10" t="n">
        <v>43004</v>
      </c>
      <c r="H52" s="10" t="n">
        <v>45581</v>
      </c>
    </row>
    <row r="53">
      <c r="A53" s="9" t="n">
        <v>49</v>
      </c>
      <c r="B53" s="9" t="inlineStr">
        <is>
          <t>Ranavav</t>
        </is>
      </c>
      <c r="C53" s="9" t="inlineStr">
        <is>
          <t>Gujarat</t>
        </is>
      </c>
      <c r="D53" s="9" t="inlineStr">
        <is>
          <t>India</t>
        </is>
      </c>
      <c r="E53" s="9" t="n">
        <v>5</v>
      </c>
      <c r="F53" s="9" t="n">
        <v>5</v>
      </c>
      <c r="G53" s="10" t="n">
        <v>43841</v>
      </c>
      <c r="H53" s="10" t="n">
        <v>45685</v>
      </c>
    </row>
    <row r="54">
      <c r="A54" s="9" t="n">
        <v>50</v>
      </c>
      <c r="B54" s="9" t="inlineStr">
        <is>
          <t>Jaipur</t>
        </is>
      </c>
      <c r="C54" s="9" t="inlineStr">
        <is>
          <t>Rajasthan</t>
        </is>
      </c>
      <c r="D54" s="9" t="inlineStr">
        <is>
          <t>India</t>
        </is>
      </c>
      <c r="E54" s="9" t="n">
        <v>19</v>
      </c>
      <c r="F54" s="9" t="n">
        <v>4</v>
      </c>
      <c r="G54" s="10" t="n">
        <v>42983</v>
      </c>
      <c r="H54" s="10" t="n">
        <v>44488</v>
      </c>
    </row>
    <row r="55">
      <c r="A55" s="9" t="n">
        <v>51</v>
      </c>
      <c r="B55" s="9" t="inlineStr">
        <is>
          <t>Bhubaneswar</t>
        </is>
      </c>
      <c r="C55" s="9" t="inlineStr">
        <is>
          <t>Odisha</t>
        </is>
      </c>
      <c r="D55" s="9" t="inlineStr">
        <is>
          <t>India</t>
        </is>
      </c>
      <c r="E55" s="9" t="n">
        <v>8</v>
      </c>
      <c r="F55" s="9" t="n">
        <v>4</v>
      </c>
      <c r="G55" s="10" t="n">
        <v>43386</v>
      </c>
      <c r="H55" s="10" t="n">
        <v>44911</v>
      </c>
    </row>
    <row r="56">
      <c r="A56" s="9" t="n">
        <v>52</v>
      </c>
      <c r="B56" s="9" t="inlineStr">
        <is>
          <t>Misrikh</t>
        </is>
      </c>
      <c r="C56" s="9" t="inlineStr">
        <is>
          <t>Uttar Pradesh</t>
        </is>
      </c>
      <c r="D56" s="9" t="inlineStr">
        <is>
          <t>India</t>
        </is>
      </c>
      <c r="E56" s="9" t="n">
        <v>7</v>
      </c>
      <c r="F56" s="9" t="n">
        <v>4</v>
      </c>
      <c r="G56" s="10" t="n">
        <v>43458</v>
      </c>
      <c r="H56" s="10" t="n">
        <v>45360</v>
      </c>
    </row>
    <row r="57">
      <c r="A57" s="9" t="n">
        <v>53</v>
      </c>
      <c r="B57" s="9" t="inlineStr">
        <is>
          <t>Nalgonda</t>
        </is>
      </c>
      <c r="C57" s="9" t="inlineStr">
        <is>
          <t>Telangana</t>
        </is>
      </c>
      <c r="D57" s="9" t="inlineStr">
        <is>
          <t>India</t>
        </is>
      </c>
      <c r="E57" s="9" t="n">
        <v>5</v>
      </c>
      <c r="F57" s="9" t="n">
        <v>4</v>
      </c>
      <c r="G57" s="10" t="n">
        <v>42447</v>
      </c>
      <c r="H57" s="10" t="n">
        <v>45411</v>
      </c>
    </row>
    <row r="58">
      <c r="A58" s="9" t="n">
        <v>54</v>
      </c>
      <c r="B58" s="9" t="inlineStr">
        <is>
          <t>Rasapudipalem</t>
        </is>
      </c>
      <c r="C58" s="9" t="inlineStr">
        <is>
          <t>Andhra Pradesh</t>
        </is>
      </c>
      <c r="D58" s="9" t="inlineStr">
        <is>
          <t>India</t>
        </is>
      </c>
      <c r="E58" s="9" t="n">
        <v>5</v>
      </c>
      <c r="F58" s="9" t="n">
        <v>4</v>
      </c>
      <c r="G58" s="10" t="n">
        <v>42576</v>
      </c>
      <c r="H58" s="10" t="n">
        <v>43394</v>
      </c>
    </row>
    <row r="59">
      <c r="A59" s="9" t="n">
        <v>55</v>
      </c>
      <c r="B59" s="9" t="inlineStr">
        <is>
          <t>Limbdi</t>
        </is>
      </c>
      <c r="C59" s="9" t="inlineStr">
        <is>
          <t>Gujarat</t>
        </is>
      </c>
      <c r="D59" s="9" t="inlineStr">
        <is>
          <t>India</t>
        </is>
      </c>
      <c r="E59" s="9" t="n">
        <v>4</v>
      </c>
      <c r="F59" s="9" t="n">
        <v>4</v>
      </c>
      <c r="G59" s="10" t="n">
        <v>42933</v>
      </c>
      <c r="H59" s="10" t="n">
        <v>45257</v>
      </c>
    </row>
    <row r="60">
      <c r="A60" s="9" t="n">
        <v>56</v>
      </c>
      <c r="B60" s="9" t="inlineStr">
        <is>
          <t>Chotila</t>
        </is>
      </c>
      <c r="C60" s="9" t="inlineStr">
        <is>
          <t>Gujarat</t>
        </is>
      </c>
      <c r="D60" s="9" t="inlineStr">
        <is>
          <t>India</t>
        </is>
      </c>
      <c r="E60" s="9" t="n">
        <v>4</v>
      </c>
      <c r="F60" s="9" t="n">
        <v>4</v>
      </c>
      <c r="G60" s="10" t="n">
        <v>42933</v>
      </c>
      <c r="H60" s="10" t="n">
        <v>45254</v>
      </c>
    </row>
    <row r="61">
      <c r="A61" s="9" t="n">
        <v>57</v>
      </c>
      <c r="B61" s="9" t="inlineStr">
        <is>
          <t>Jamnagar</t>
        </is>
      </c>
      <c r="C61" s="9" t="inlineStr">
        <is>
          <t>Gujarat</t>
        </is>
      </c>
      <c r="D61" s="9" t="inlineStr">
        <is>
          <t>India</t>
        </is>
      </c>
      <c r="E61" s="9" t="n">
        <v>4</v>
      </c>
      <c r="F61" s="9" t="n">
        <v>4</v>
      </c>
      <c r="G61" s="10" t="n">
        <v>42933</v>
      </c>
      <c r="H61" s="10" t="n">
        <v>45254</v>
      </c>
    </row>
    <row r="62">
      <c r="A62" s="9" t="n">
        <v>58</v>
      </c>
      <c r="B62" s="9" t="inlineStr">
        <is>
          <t>Ballarpur</t>
        </is>
      </c>
      <c r="C62" s="9" t="inlineStr">
        <is>
          <t>Maharashtra</t>
        </is>
      </c>
      <c r="D62" s="9" t="inlineStr">
        <is>
          <t>India</t>
        </is>
      </c>
      <c r="E62" s="9" t="n">
        <v>4</v>
      </c>
      <c r="F62" s="9" t="n">
        <v>4</v>
      </c>
      <c r="G62" s="10" t="n">
        <v>43361</v>
      </c>
      <c r="H62" s="10" t="n">
        <v>43516</v>
      </c>
    </row>
    <row r="63">
      <c r="A63" s="9" t="n">
        <v>59</v>
      </c>
      <c r="B63" s="9" t="inlineStr">
        <is>
          <t>Tiruchanur</t>
        </is>
      </c>
      <c r="C63" s="9" t="inlineStr">
        <is>
          <t>Andhra Pradesh</t>
        </is>
      </c>
      <c r="D63" s="9" t="inlineStr">
        <is>
          <t>India</t>
        </is>
      </c>
      <c r="E63" s="9" t="n">
        <v>4</v>
      </c>
      <c r="F63" s="9" t="n">
        <v>4</v>
      </c>
      <c r="G63" s="10" t="n">
        <v>43379</v>
      </c>
      <c r="H63" s="10" t="n">
        <v>45773</v>
      </c>
    </row>
    <row r="64">
      <c r="A64" s="9" t="n">
        <v>60</v>
      </c>
      <c r="B64" s="9" t="inlineStr">
        <is>
          <t>Pauri</t>
        </is>
      </c>
      <c r="C64" s="9" t="inlineStr">
        <is>
          <t>Uttarakhand</t>
        </is>
      </c>
      <c r="D64" s="9" t="inlineStr">
        <is>
          <t>India</t>
        </is>
      </c>
      <c r="E64" s="9" t="n">
        <v>4</v>
      </c>
      <c r="F64" s="9" t="n">
        <v>4</v>
      </c>
      <c r="G64" s="10" t="n">
        <v>43617</v>
      </c>
      <c r="H64" s="10" t="n">
        <v>45426</v>
      </c>
    </row>
    <row r="65">
      <c r="A65" s="9" t="n">
        <v>61</v>
      </c>
      <c r="B65" s="9" t="inlineStr">
        <is>
          <t>Tehri</t>
        </is>
      </c>
      <c r="C65" s="9" t="inlineStr">
        <is>
          <t>Uttarakhand</t>
        </is>
      </c>
      <c r="D65" s="9" t="inlineStr">
        <is>
          <t>India</t>
        </is>
      </c>
      <c r="E65" s="9" t="n">
        <v>4</v>
      </c>
      <c r="F65" s="9" t="n">
        <v>4</v>
      </c>
      <c r="G65" s="10" t="n">
        <v>43649</v>
      </c>
      <c r="H65" s="10" t="n">
        <v>44727</v>
      </c>
    </row>
    <row r="66">
      <c r="A66" s="9" t="n">
        <v>62</v>
      </c>
      <c r="B66" s="9" t="inlineStr">
        <is>
          <t>Guntakal</t>
        </is>
      </c>
      <c r="C66" s="9" t="inlineStr">
        <is>
          <t>Andhra Pradesh</t>
        </is>
      </c>
      <c r="D66" s="9" t="inlineStr">
        <is>
          <t>India</t>
        </is>
      </c>
      <c r="E66" s="9" t="n">
        <v>4</v>
      </c>
      <c r="F66" s="9" t="n">
        <v>4</v>
      </c>
      <c r="G66" s="10" t="n">
        <v>44210</v>
      </c>
      <c r="H66" s="10" t="n">
        <v>46215</v>
      </c>
    </row>
    <row r="67">
      <c r="A67" s="9" t="n">
        <v>63</v>
      </c>
      <c r="B67" s="9" t="inlineStr">
        <is>
          <t>Khammam</t>
        </is>
      </c>
      <c r="C67" s="9" t="inlineStr">
        <is>
          <t>Telangana</t>
        </is>
      </c>
      <c r="D67" s="9" t="inlineStr">
        <is>
          <t>India</t>
        </is>
      </c>
      <c r="E67" s="9" t="n">
        <v>4</v>
      </c>
      <c r="F67" s="9" t="n">
        <v>4</v>
      </c>
      <c r="G67" s="10" t="n">
        <v>45116</v>
      </c>
      <c r="H67" s="10" t="n">
        <v>45411</v>
      </c>
    </row>
    <row r="68">
      <c r="A68" s="9" t="n">
        <v>64</v>
      </c>
      <c r="B68" s="9" t="inlineStr">
        <is>
          <t>Puri</t>
        </is>
      </c>
      <c r="C68" s="9" t="inlineStr">
        <is>
          <t>Odisha</t>
        </is>
      </c>
      <c r="D68" s="9" t="inlineStr">
        <is>
          <t>India</t>
        </is>
      </c>
      <c r="E68" s="9" t="n">
        <v>12</v>
      </c>
      <c r="F68" s="9" t="n">
        <v>3</v>
      </c>
      <c r="G68" s="10" t="n">
        <v>43386</v>
      </c>
      <c r="H68" s="10" t="n">
        <v>44911</v>
      </c>
    </row>
    <row r="69">
      <c r="A69" s="9" t="n">
        <v>65</v>
      </c>
      <c r="B69" s="9" t="inlineStr">
        <is>
          <t>Pokhara</t>
        </is>
      </c>
      <c r="C69" s="9" t="inlineStr">
        <is>
          <t>Province 4</t>
        </is>
      </c>
      <c r="D69" s="9" t="inlineStr">
        <is>
          <t>Nepal</t>
        </is>
      </c>
      <c r="E69" s="9" t="n">
        <v>11</v>
      </c>
      <c r="F69" s="9" t="n">
        <v>3</v>
      </c>
      <c r="G69" s="10" t="n">
        <v>43601</v>
      </c>
      <c r="H69" s="10" t="n">
        <v>44669</v>
      </c>
    </row>
    <row r="70">
      <c r="A70" s="9" t="n">
        <v>66</v>
      </c>
      <c r="B70" s="9" t="inlineStr">
        <is>
          <t>Bangkok</t>
        </is>
      </c>
      <c r="C70" s="9" t="inlineStr">
        <is>
          <t>Bangkok</t>
        </is>
      </c>
      <c r="D70" s="9" t="inlineStr">
        <is>
          <t>Thailand</t>
        </is>
      </c>
      <c r="E70" s="9" t="n">
        <v>9</v>
      </c>
      <c r="F70" s="9" t="n">
        <v>3</v>
      </c>
      <c r="G70" s="10" t="n">
        <v>44964</v>
      </c>
      <c r="H70" s="10" t="n">
        <v>45107</v>
      </c>
    </row>
    <row r="71">
      <c r="A71" s="9" t="n">
        <v>67</v>
      </c>
      <c r="B71" s="9" t="inlineStr">
        <is>
          <t>Washington</t>
        </is>
      </c>
      <c r="C71" s="9" t="inlineStr">
        <is>
          <t>District of Columbia</t>
        </is>
      </c>
      <c r="D71" s="9" t="inlineStr">
        <is>
          <t>United States</t>
        </is>
      </c>
      <c r="E71" s="9" t="n">
        <v>9</v>
      </c>
      <c r="F71" s="9" t="n">
        <v>3</v>
      </c>
      <c r="G71" s="10" t="n">
        <v>45908</v>
      </c>
      <c r="H71" s="10" t="n">
        <v>45929</v>
      </c>
    </row>
    <row r="72">
      <c r="A72" s="9" t="n">
        <v>68</v>
      </c>
      <c r="B72" s="9" t="inlineStr">
        <is>
          <t>Nuwara Eliya</t>
        </is>
      </c>
      <c r="C72" s="9" t="inlineStr">
        <is>
          <t>Central Province</t>
        </is>
      </c>
      <c r="D72" s="9" t="inlineStr">
        <is>
          <t>Sri Lanka</t>
        </is>
      </c>
      <c r="E72" s="9" t="n">
        <v>8</v>
      </c>
      <c r="F72" s="9" t="n">
        <v>3</v>
      </c>
      <c r="G72" s="10" t="n">
        <v>43740</v>
      </c>
      <c r="H72" s="10" t="n">
        <v>44590</v>
      </c>
    </row>
    <row r="73">
      <c r="A73" s="9" t="n">
        <v>69</v>
      </c>
      <c r="B73" s="9" t="inlineStr">
        <is>
          <t>Atarra</t>
        </is>
      </c>
      <c r="C73" s="9" t="inlineStr">
        <is>
          <t>Uttar Pradesh</t>
        </is>
      </c>
      <c r="D73" s="9" t="inlineStr">
        <is>
          <t>India</t>
        </is>
      </c>
      <c r="E73" s="9" t="n">
        <v>7</v>
      </c>
      <c r="F73" s="9" t="n">
        <v>3</v>
      </c>
      <c r="G73" s="10" t="n">
        <v>43455</v>
      </c>
      <c r="H73" s="10" t="n">
        <v>43756</v>
      </c>
    </row>
    <row r="74">
      <c r="A74" s="9" t="n">
        <v>70</v>
      </c>
      <c r="B74" s="9" t="inlineStr">
        <is>
          <t>Ghaziabad</t>
        </is>
      </c>
      <c r="C74" s="9" t="inlineStr">
        <is>
          <t>Uttar Pradesh</t>
        </is>
      </c>
      <c r="D74" s="9" t="inlineStr">
        <is>
          <t>India</t>
        </is>
      </c>
      <c r="E74" s="9" t="n">
        <v>7</v>
      </c>
      <c r="F74" s="9" t="n">
        <v>3</v>
      </c>
      <c r="G74" s="10" t="n">
        <v>43643</v>
      </c>
      <c r="H74" s="10" t="n">
        <v>45010</v>
      </c>
    </row>
    <row r="75">
      <c r="A75" s="9" t="n">
        <v>71</v>
      </c>
      <c r="B75" s="9" t="inlineStr">
        <is>
          <t>Baglun</t>
        </is>
      </c>
      <c r="C75" s="9" t="inlineStr">
        <is>
          <t>Province 4</t>
        </is>
      </c>
      <c r="D75" s="9" t="inlineStr">
        <is>
          <t>Nepal</t>
        </is>
      </c>
      <c r="E75" s="9" t="n">
        <v>6</v>
      </c>
      <c r="F75" s="9" t="n">
        <v>3</v>
      </c>
      <c r="G75" s="10" t="n">
        <v>43602</v>
      </c>
      <c r="H75" s="10" t="n">
        <v>44668</v>
      </c>
    </row>
    <row r="76">
      <c r="A76" s="9" t="n">
        <v>72</v>
      </c>
      <c r="B76" s="9" t="inlineStr">
        <is>
          <t>Thanesar</t>
        </is>
      </c>
      <c r="C76" s="9" t="inlineStr">
        <is>
          <t>Haryana</t>
        </is>
      </c>
      <c r="D76" s="9" t="inlineStr">
        <is>
          <t>India</t>
        </is>
      </c>
      <c r="E76" s="9" t="n">
        <v>6</v>
      </c>
      <c r="F76" s="9" t="n">
        <v>3</v>
      </c>
      <c r="G76" s="10" t="n">
        <v>43656</v>
      </c>
      <c r="H76" s="10" t="n">
        <v>44866</v>
      </c>
    </row>
    <row r="77">
      <c r="A77" s="9" t="n">
        <v>73</v>
      </c>
      <c r="B77" s="9" t="inlineStr">
        <is>
          <t>Jaffna</t>
        </is>
      </c>
      <c r="C77" s="9" t="inlineStr">
        <is>
          <t>Northern Province</t>
        </is>
      </c>
      <c r="D77" s="9" t="inlineStr">
        <is>
          <t>Sri Lanka</t>
        </is>
      </c>
      <c r="E77" s="9" t="n">
        <v>6</v>
      </c>
      <c r="F77" s="9" t="n">
        <v>3</v>
      </c>
      <c r="G77" s="10" t="n">
        <v>43737</v>
      </c>
      <c r="H77" s="10" t="n">
        <v>44587</v>
      </c>
    </row>
    <row r="78">
      <c r="A78" s="9" t="n">
        <v>74</v>
      </c>
      <c r="B78" s="9" t="inlineStr">
        <is>
          <t>Trincomalee</t>
        </is>
      </c>
      <c r="C78" s="9" t="inlineStr">
        <is>
          <t>Eastern Province</t>
        </is>
      </c>
      <c r="D78" s="9" t="inlineStr">
        <is>
          <t>Sri Lanka</t>
        </is>
      </c>
      <c r="E78" s="9" t="n">
        <v>6</v>
      </c>
      <c r="F78" s="9" t="n">
        <v>3</v>
      </c>
      <c r="G78" s="10" t="n">
        <v>43738</v>
      </c>
      <c r="H78" s="10" t="n">
        <v>44588</v>
      </c>
    </row>
    <row r="79">
      <c r="A79" s="9" t="n">
        <v>75</v>
      </c>
      <c r="B79" s="9" t="inlineStr">
        <is>
          <t>Kandy</t>
        </is>
      </c>
      <c r="C79" s="9" t="inlineStr">
        <is>
          <t>Central Province</t>
        </is>
      </c>
      <c r="D79" s="9" t="inlineStr">
        <is>
          <t>Sri Lanka</t>
        </is>
      </c>
      <c r="E79" s="9" t="n">
        <v>6</v>
      </c>
      <c r="F79" s="9" t="n">
        <v>3</v>
      </c>
      <c r="G79" s="10" t="n">
        <v>43739</v>
      </c>
      <c r="H79" s="10" t="n">
        <v>44589</v>
      </c>
    </row>
    <row r="80">
      <c r="A80" s="9" t="n">
        <v>76</v>
      </c>
      <c r="B80" s="9" t="inlineStr">
        <is>
          <t>Kataragama</t>
        </is>
      </c>
      <c r="C80" s="9" t="inlineStr">
        <is>
          <t>Uva Province</t>
        </is>
      </c>
      <c r="D80" s="9" t="inlineStr">
        <is>
          <t>Sri Lanka</t>
        </is>
      </c>
      <c r="E80" s="9" t="n">
        <v>6</v>
      </c>
      <c r="F80" s="9" t="n">
        <v>3</v>
      </c>
      <c r="G80" s="10" t="n">
        <v>43742</v>
      </c>
      <c r="H80" s="10" t="n">
        <v>44591</v>
      </c>
    </row>
    <row r="81">
      <c r="A81" s="9" t="n">
        <v>77</v>
      </c>
      <c r="B81" s="9" t="inlineStr">
        <is>
          <t>Nathdwara</t>
        </is>
      </c>
      <c r="C81" s="9" t="inlineStr">
        <is>
          <t>Rajasthan</t>
        </is>
      </c>
      <c r="D81" s="9" t="inlineStr">
        <is>
          <t>India</t>
        </is>
      </c>
      <c r="E81" s="9" t="n">
        <v>6</v>
      </c>
      <c r="F81" s="9" t="n">
        <v>3</v>
      </c>
      <c r="G81" s="10" t="n">
        <v>43843</v>
      </c>
      <c r="H81" s="10" t="n">
        <v>45251</v>
      </c>
    </row>
    <row r="82">
      <c r="A82" s="9" t="n">
        <v>78</v>
      </c>
      <c r="B82" s="9" t="inlineStr">
        <is>
          <t>Udupi</t>
        </is>
      </c>
      <c r="C82" s="9" t="inlineStr">
        <is>
          <t>Karnataka</t>
        </is>
      </c>
      <c r="D82" s="9" t="inlineStr">
        <is>
          <t>India</t>
        </is>
      </c>
      <c r="E82" s="9" t="n">
        <v>5</v>
      </c>
      <c r="F82" s="9" t="n">
        <v>3</v>
      </c>
      <c r="G82" s="10" t="n">
        <v>42812</v>
      </c>
      <c r="H82" s="10" t="n">
        <v>46301</v>
      </c>
    </row>
    <row r="83">
      <c r="A83" s="9" t="n">
        <v>79</v>
      </c>
      <c r="B83" s="9" t="inlineStr">
        <is>
          <t>Gampola</t>
        </is>
      </c>
      <c r="C83" s="9" t="inlineStr">
        <is>
          <t>Central Province</t>
        </is>
      </c>
      <c r="D83" s="9" t="inlineStr">
        <is>
          <t>Sri Lanka</t>
        </is>
      </c>
      <c r="E83" s="9" t="n">
        <v>5</v>
      </c>
      <c r="F83" s="9" t="n">
        <v>3</v>
      </c>
      <c r="G83" s="10" t="n">
        <v>43740</v>
      </c>
      <c r="H83" s="10" t="n">
        <v>44589</v>
      </c>
    </row>
    <row r="84">
      <c r="A84" s="9" t="n">
        <v>80</v>
      </c>
      <c r="B84" s="9" t="inlineStr">
        <is>
          <t>Rajkot</t>
        </is>
      </c>
      <c r="C84" s="9" t="inlineStr">
        <is>
          <t>Gujarat</t>
        </is>
      </c>
      <c r="D84" s="9" t="inlineStr">
        <is>
          <t>India</t>
        </is>
      </c>
      <c r="E84" s="9" t="n">
        <v>5</v>
      </c>
      <c r="F84" s="9" t="n">
        <v>3</v>
      </c>
      <c r="G84" s="10" t="n">
        <v>45250</v>
      </c>
      <c r="H84" s="10" t="n">
        <v>45683</v>
      </c>
    </row>
    <row r="85">
      <c r="A85" s="9" t="n">
        <v>81</v>
      </c>
      <c r="B85" s="9" t="inlineStr">
        <is>
          <t>Bharatpur</t>
        </is>
      </c>
      <c r="C85" s="9" t="inlineStr">
        <is>
          <t>Rajasthan</t>
        </is>
      </c>
      <c r="D85" s="9" t="inlineStr">
        <is>
          <t>India</t>
        </is>
      </c>
      <c r="E85" s="9" t="n">
        <v>4</v>
      </c>
      <c r="F85" s="9" t="n">
        <v>3</v>
      </c>
      <c r="G85" s="10" t="n">
        <v>42992</v>
      </c>
      <c r="H85" s="10" t="n">
        <v>44488</v>
      </c>
    </row>
    <row r="86">
      <c r="A86" s="9" t="n">
        <v>82</v>
      </c>
      <c r="B86" s="9" t="inlineStr">
        <is>
          <t>Vadodara</t>
        </is>
      </c>
      <c r="C86" s="9" t="inlineStr">
        <is>
          <t>Gujarat</t>
        </is>
      </c>
      <c r="D86" s="9" t="inlineStr">
        <is>
          <t>India</t>
        </is>
      </c>
      <c r="E86" s="9" t="n">
        <v>3</v>
      </c>
      <c r="F86" s="9" t="n">
        <v>3</v>
      </c>
      <c r="G86" s="10" t="n">
        <v>42118</v>
      </c>
      <c r="H86" s="10" t="n">
        <v>43875</v>
      </c>
    </row>
    <row r="87">
      <c r="A87" s="9" t="n">
        <v>83</v>
      </c>
      <c r="B87" s="9" t="inlineStr">
        <is>
          <t>Malpe</t>
        </is>
      </c>
      <c r="C87" s="9" t="inlineStr">
        <is>
          <t>Karnataka</t>
        </is>
      </c>
      <c r="D87" s="9" t="inlineStr">
        <is>
          <t>India</t>
        </is>
      </c>
      <c r="E87" s="9" t="n">
        <v>3</v>
      </c>
      <c r="F87" s="9" t="n">
        <v>3</v>
      </c>
      <c r="G87" s="10" t="n">
        <v>42812</v>
      </c>
      <c r="H87" s="10" t="n">
        <v>46301</v>
      </c>
    </row>
    <row r="88">
      <c r="A88" s="9" t="n">
        <v>84</v>
      </c>
      <c r="B88" s="9" t="inlineStr">
        <is>
          <t>Channapatna</t>
        </is>
      </c>
      <c r="C88" s="9" t="inlineStr">
        <is>
          <t>Karnataka</t>
        </is>
      </c>
      <c r="D88" s="9" t="inlineStr">
        <is>
          <t>India</t>
        </is>
      </c>
      <c r="E88" s="9" t="n">
        <v>3</v>
      </c>
      <c r="F88" s="9" t="n">
        <v>3</v>
      </c>
      <c r="G88" s="10" t="n">
        <v>42907</v>
      </c>
      <c r="H88" s="10" t="n">
        <v>45297</v>
      </c>
    </row>
    <row r="89">
      <c r="A89" s="9" t="n">
        <v>85</v>
      </c>
      <c r="B89" s="9" t="inlineStr">
        <is>
          <t>Kurnool</t>
        </is>
      </c>
      <c r="C89" s="9" t="inlineStr">
        <is>
          <t>Andhra Pradesh</t>
        </is>
      </c>
      <c r="D89" s="9" t="inlineStr">
        <is>
          <t>India</t>
        </is>
      </c>
      <c r="E89" s="9" t="n">
        <v>3</v>
      </c>
      <c r="F89" s="9" t="n">
        <v>3</v>
      </c>
      <c r="G89" s="10" t="n">
        <v>42913</v>
      </c>
      <c r="H89" s="10" t="n">
        <v>46298</v>
      </c>
    </row>
    <row r="90">
      <c r="A90" s="9" t="n">
        <v>86</v>
      </c>
      <c r="B90" s="9" t="inlineStr">
        <is>
          <t>Vikarabad</t>
        </is>
      </c>
      <c r="C90" s="9" t="inlineStr">
        <is>
          <t>Telangana</t>
        </is>
      </c>
      <c r="D90" s="9" t="inlineStr">
        <is>
          <t>India</t>
        </is>
      </c>
      <c r="E90" s="9" t="n">
        <v>3</v>
      </c>
      <c r="F90" s="9" t="n">
        <v>3</v>
      </c>
      <c r="G90" s="10" t="n">
        <v>42929</v>
      </c>
      <c r="H90" s="10" t="n">
        <v>44291</v>
      </c>
    </row>
    <row r="91">
      <c r="A91" s="9" t="n">
        <v>87</v>
      </c>
      <c r="B91" s="9" t="inlineStr">
        <is>
          <t>Warangal</t>
        </is>
      </c>
      <c r="C91" s="9" t="inlineStr">
        <is>
          <t>Telangana</t>
        </is>
      </c>
      <c r="D91" s="9" t="inlineStr">
        <is>
          <t>India</t>
        </is>
      </c>
      <c r="E91" s="9" t="n">
        <v>3</v>
      </c>
      <c r="F91" s="9" t="n">
        <v>3</v>
      </c>
      <c r="G91" s="10" t="n">
        <v>42993</v>
      </c>
      <c r="H91" s="10" t="n">
        <v>44956</v>
      </c>
    </row>
    <row r="92">
      <c r="A92" s="9" t="n">
        <v>88</v>
      </c>
      <c r="B92" s="9" t="inlineStr">
        <is>
          <t>Bhopal</t>
        </is>
      </c>
      <c r="C92" s="9" t="inlineStr">
        <is>
          <t>Madhya Pradesh</t>
        </is>
      </c>
      <c r="D92" s="9" t="inlineStr">
        <is>
          <t>India</t>
        </is>
      </c>
      <c r="E92" s="9" t="n">
        <v>3</v>
      </c>
      <c r="F92" s="9" t="n">
        <v>3</v>
      </c>
      <c r="G92" s="10" t="n">
        <v>43001</v>
      </c>
      <c r="H92" s="10" t="n">
        <v>43423</v>
      </c>
    </row>
    <row r="93">
      <c r="A93" s="9" t="n">
        <v>89</v>
      </c>
      <c r="B93" s="9" t="inlineStr">
        <is>
          <t>Kunda</t>
        </is>
      </c>
      <c r="C93" s="9" t="inlineStr">
        <is>
          <t>Uttar Pradesh</t>
        </is>
      </c>
      <c r="D93" s="9" t="inlineStr">
        <is>
          <t>India</t>
        </is>
      </c>
      <c r="E93" s="9" t="n">
        <v>3</v>
      </c>
      <c r="F93" s="9" t="n">
        <v>3</v>
      </c>
      <c r="G93" s="10" t="n">
        <v>43458</v>
      </c>
      <c r="H93" s="10" t="n">
        <v>43754</v>
      </c>
    </row>
    <row r="94">
      <c r="A94" s="9" t="n">
        <v>90</v>
      </c>
      <c r="B94" s="9" t="inlineStr">
        <is>
          <t>Raebareli</t>
        </is>
      </c>
      <c r="C94" s="9" t="inlineStr">
        <is>
          <t>Uttar Pradesh</t>
        </is>
      </c>
      <c r="D94" s="9" t="inlineStr">
        <is>
          <t>India</t>
        </is>
      </c>
      <c r="E94" s="9" t="n">
        <v>3</v>
      </c>
      <c r="F94" s="9" t="n">
        <v>3</v>
      </c>
      <c r="G94" s="10" t="n">
        <v>43491</v>
      </c>
      <c r="H94" s="10" t="n">
        <v>43523</v>
      </c>
    </row>
    <row r="95">
      <c r="A95" s="9" t="n">
        <v>91</v>
      </c>
      <c r="B95" s="9" t="inlineStr">
        <is>
          <t>Patna</t>
        </is>
      </c>
      <c r="C95" s="9" t="inlineStr">
        <is>
          <t>Bihar</t>
        </is>
      </c>
      <c r="D95" s="9" t="inlineStr">
        <is>
          <t>India</t>
        </is>
      </c>
      <c r="E95" s="9" t="n">
        <v>3</v>
      </c>
      <c r="F95" s="9" t="n">
        <v>3</v>
      </c>
      <c r="G95" s="10" t="n">
        <v>43611</v>
      </c>
      <c r="H95" s="10" t="n">
        <v>44751</v>
      </c>
    </row>
    <row r="96">
      <c r="A96" s="9" t="n">
        <v>92</v>
      </c>
      <c r="B96" s="9" t="inlineStr">
        <is>
          <t>Chilaw</t>
        </is>
      </c>
      <c r="C96" s="9" t="inlineStr">
        <is>
          <t>North Western Province</t>
        </is>
      </c>
      <c r="D96" s="9" t="inlineStr">
        <is>
          <t>Sri Lanka</t>
        </is>
      </c>
      <c r="E96" s="9" t="n">
        <v>3</v>
      </c>
      <c r="F96" s="9" t="n">
        <v>3</v>
      </c>
      <c r="G96" s="10" t="n">
        <v>43737</v>
      </c>
      <c r="H96" s="10" t="n">
        <v>44586</v>
      </c>
    </row>
    <row r="97">
      <c r="A97" s="9" t="n">
        <v>93</v>
      </c>
      <c r="B97" s="9" t="inlineStr">
        <is>
          <t>Dambulla</t>
        </is>
      </c>
      <c r="C97" s="9" t="inlineStr">
        <is>
          <t>Central Province</t>
        </is>
      </c>
      <c r="D97" s="9" t="inlineStr">
        <is>
          <t>Sri Lanka</t>
        </is>
      </c>
      <c r="E97" s="9" t="n">
        <v>3</v>
      </c>
      <c r="F97" s="9" t="n">
        <v>3</v>
      </c>
      <c r="G97" s="10" t="n">
        <v>43739</v>
      </c>
      <c r="H97" s="10" t="n">
        <v>44588</v>
      </c>
    </row>
    <row r="98">
      <c r="A98" s="9" t="n">
        <v>94</v>
      </c>
      <c r="B98" s="9" t="inlineStr">
        <is>
          <t>Devinuwara</t>
        </is>
      </c>
      <c r="C98" s="9" t="inlineStr">
        <is>
          <t>Southern Province</t>
        </is>
      </c>
      <c r="D98" s="9" t="inlineStr">
        <is>
          <t>Sri Lanka</t>
        </is>
      </c>
      <c r="E98" s="9" t="n">
        <v>3</v>
      </c>
      <c r="F98" s="9" t="n">
        <v>3</v>
      </c>
      <c r="G98" s="10" t="n">
        <v>43743</v>
      </c>
      <c r="H98" s="10" t="n">
        <v>44591</v>
      </c>
    </row>
    <row r="99">
      <c r="A99" s="9" t="n">
        <v>95</v>
      </c>
      <c r="B99" s="9" t="inlineStr">
        <is>
          <t>Rajsamand</t>
        </is>
      </c>
      <c r="C99" s="9" t="inlineStr">
        <is>
          <t>Rajasthan</t>
        </is>
      </c>
      <c r="D99" s="9" t="inlineStr">
        <is>
          <t>India</t>
        </is>
      </c>
      <c r="E99" s="9" t="n">
        <v>3</v>
      </c>
      <c r="F99" s="9" t="n">
        <v>3</v>
      </c>
      <c r="G99" s="10" t="n">
        <v>43845</v>
      </c>
      <c r="H99" s="10" t="n">
        <v>45251</v>
      </c>
    </row>
    <row r="100">
      <c r="A100" s="9" t="n">
        <v>96</v>
      </c>
      <c r="B100" s="9" t="inlineStr">
        <is>
          <t>Dakor</t>
        </is>
      </c>
      <c r="C100" s="9" t="inlineStr">
        <is>
          <t>Gujarat</t>
        </is>
      </c>
      <c r="D100" s="9" t="inlineStr">
        <is>
          <t>India</t>
        </is>
      </c>
      <c r="E100" s="9" t="n">
        <v>3</v>
      </c>
      <c r="F100" s="9" t="n">
        <v>3</v>
      </c>
      <c r="G100" s="10" t="n">
        <v>43875</v>
      </c>
      <c r="H100" s="10" t="n">
        <v>45257</v>
      </c>
    </row>
    <row r="101">
      <c r="A101" s="9" t="n">
        <v>97</v>
      </c>
      <c r="B101" s="9" t="inlineStr">
        <is>
          <t>Siem Reap</t>
        </is>
      </c>
      <c r="C101" s="9" t="inlineStr">
        <is>
          <t>Siem Reap</t>
        </is>
      </c>
      <c r="D101" s="9" t="inlineStr">
        <is>
          <t>Cambodia</t>
        </is>
      </c>
      <c r="E101" s="9" t="n">
        <v>7</v>
      </c>
      <c r="F101" s="9" t="n">
        <v>2</v>
      </c>
      <c r="G101" s="10" t="n">
        <v>44965</v>
      </c>
      <c r="H101" s="10" t="n">
        <v>45107</v>
      </c>
    </row>
    <row r="102">
      <c r="A102" s="9" t="n">
        <v>98</v>
      </c>
      <c r="B102" s="9" t="inlineStr">
        <is>
          <t>New York City</t>
        </is>
      </c>
      <c r="C102" s="9" t="inlineStr">
        <is>
          <t>New York</t>
        </is>
      </c>
      <c r="D102" s="9" t="inlineStr">
        <is>
          <t>United States</t>
        </is>
      </c>
      <c r="E102" s="9" t="n">
        <v>6</v>
      </c>
      <c r="F102" s="9" t="n">
        <v>2</v>
      </c>
      <c r="G102" s="10" t="n">
        <v>45910</v>
      </c>
      <c r="H102" s="10" t="n">
        <v>45927</v>
      </c>
    </row>
    <row r="103">
      <c r="A103" s="9" t="n">
        <v>99</v>
      </c>
      <c r="B103" s="9" t="inlineStr">
        <is>
          <t>Sharjah</t>
        </is>
      </c>
      <c r="C103" s="9" t="inlineStr">
        <is>
          <t>Sharjah</t>
        </is>
      </c>
      <c r="D103" s="9" t="inlineStr">
        <is>
          <t>United Arab Emirates</t>
        </is>
      </c>
      <c r="E103" s="9" t="n">
        <v>5</v>
      </c>
      <c r="F103" s="9" t="n">
        <v>2</v>
      </c>
      <c r="G103" s="10" t="n">
        <v>45488</v>
      </c>
      <c r="H103" s="10" t="n">
        <v>45509</v>
      </c>
    </row>
    <row r="104">
      <c r="A104" s="9" t="n">
        <v>100</v>
      </c>
      <c r="B104" s="9" t="inlineStr">
        <is>
          <t>Bodh Gaya</t>
        </is>
      </c>
      <c r="C104" s="9" t="inlineStr">
        <is>
          <t>Bihar</t>
        </is>
      </c>
      <c r="D104" s="9" t="inlineStr">
        <is>
          <t>India</t>
        </is>
      </c>
      <c r="E104" s="9" t="n">
        <v>4</v>
      </c>
      <c r="F104" s="9" t="n">
        <v>2</v>
      </c>
      <c r="G104" s="10" t="n">
        <v>43518</v>
      </c>
      <c r="H104" s="10" t="n">
        <v>44528</v>
      </c>
    </row>
    <row r="105">
      <c r="A105" s="9" t="n">
        <v>101</v>
      </c>
      <c r="B105" s="9" t="inlineStr">
        <is>
          <t>Janakpur</t>
        </is>
      </c>
      <c r="C105" s="9" t="inlineStr">
        <is>
          <t>Madhesh</t>
        </is>
      </c>
      <c r="D105" s="9" t="inlineStr">
        <is>
          <t>Nepal</t>
        </is>
      </c>
      <c r="E105" s="9" t="n">
        <v>4</v>
      </c>
      <c r="F105" s="9" t="n">
        <v>2</v>
      </c>
      <c r="G105" s="10" t="n">
        <v>43610</v>
      </c>
      <c r="H105" s="10" t="n">
        <v>44670</v>
      </c>
    </row>
    <row r="106">
      <c r="A106" s="9" t="n">
        <v>102</v>
      </c>
      <c r="B106" s="9" t="inlineStr">
        <is>
          <t>Madurai</t>
        </is>
      </c>
      <c r="C106" s="9" t="inlineStr">
        <is>
          <t>Tamil Nadu</t>
        </is>
      </c>
      <c r="D106" s="9" t="inlineStr">
        <is>
          <t>India</t>
        </is>
      </c>
      <c r="E106" s="9" t="n">
        <v>4</v>
      </c>
      <c r="F106" s="9" t="n">
        <v>2</v>
      </c>
      <c r="G106" s="10" t="n">
        <v>43745</v>
      </c>
      <c r="H106" s="10" t="n">
        <v>44746</v>
      </c>
    </row>
    <row r="107">
      <c r="A107" s="9" t="n">
        <v>103</v>
      </c>
      <c r="B107" s="9" t="inlineStr">
        <is>
          <t>Udaipur</t>
        </is>
      </c>
      <c r="C107" s="9" t="inlineStr">
        <is>
          <t>Rajasthan</t>
        </is>
      </c>
      <c r="D107" s="9" t="inlineStr">
        <is>
          <t>India</t>
        </is>
      </c>
      <c r="E107" s="9" t="n">
        <v>4</v>
      </c>
      <c r="F107" s="9" t="n">
        <v>2</v>
      </c>
      <c r="G107" s="10" t="n">
        <v>43873</v>
      </c>
      <c r="H107" s="10" t="n">
        <v>45252</v>
      </c>
    </row>
    <row r="108">
      <c r="A108" s="9" t="n">
        <v>104</v>
      </c>
      <c r="B108" s="9" t="inlineStr">
        <is>
          <t>Roorkee</t>
        </is>
      </c>
      <c r="C108" s="9" t="inlineStr">
        <is>
          <t>Uttarakhand</t>
        </is>
      </c>
      <c r="D108" s="9" t="inlineStr">
        <is>
          <t>India</t>
        </is>
      </c>
      <c r="E108" s="9" t="n">
        <v>4</v>
      </c>
      <c r="F108" s="9" t="n">
        <v>2</v>
      </c>
      <c r="G108" s="10" t="n">
        <v>44698</v>
      </c>
      <c r="H108" s="10" t="n">
        <v>44723</v>
      </c>
    </row>
    <row r="109">
      <c r="A109" s="9" t="n">
        <v>105</v>
      </c>
      <c r="B109" s="9" t="inlineStr">
        <is>
          <t>Mysore</t>
        </is>
      </c>
      <c r="C109" s="9" t="inlineStr">
        <is>
          <t>Karnataka</t>
        </is>
      </c>
      <c r="D109" s="9" t="inlineStr">
        <is>
          <t>India</t>
        </is>
      </c>
      <c r="E109" s="9" t="n">
        <v>4</v>
      </c>
      <c r="F109" s="9" t="n">
        <v>2</v>
      </c>
      <c r="G109" s="10" t="n">
        <v>45073</v>
      </c>
      <c r="H109" s="10" t="n">
        <v>45299</v>
      </c>
    </row>
    <row r="110">
      <c r="A110" s="9" t="n">
        <v>106</v>
      </c>
      <c r="B110" s="9" t="inlineStr">
        <is>
          <t>Edison</t>
        </is>
      </c>
      <c r="C110" s="9" t="inlineStr">
        <is>
          <t>New Jersey</t>
        </is>
      </c>
      <c r="D110" s="9" t="inlineStr">
        <is>
          <t>United States</t>
        </is>
      </c>
      <c r="E110" s="9" t="n">
        <v>4</v>
      </c>
      <c r="F110" s="9" t="n">
        <v>2</v>
      </c>
      <c r="G110" s="10" t="n">
        <v>45910</v>
      </c>
      <c r="H110" s="10" t="n">
        <v>45927</v>
      </c>
    </row>
    <row r="111">
      <c r="A111" s="9" t="n">
        <v>107</v>
      </c>
      <c r="B111" s="9" t="inlineStr">
        <is>
          <t>Gangawati</t>
        </is>
      </c>
      <c r="C111" s="9" t="inlineStr">
        <is>
          <t>Karnataka</t>
        </is>
      </c>
      <c r="D111" s="9" t="inlineStr">
        <is>
          <t>India</t>
        </is>
      </c>
      <c r="E111" s="9" t="n">
        <v>3</v>
      </c>
      <c r="F111" s="9" t="n">
        <v>2</v>
      </c>
      <c r="G111" s="10" t="n">
        <v>42771</v>
      </c>
      <c r="H111" s="10" t="n">
        <v>42814</v>
      </c>
    </row>
    <row r="112">
      <c r="A112" s="9" t="n">
        <v>108</v>
      </c>
      <c r="B112" s="9" t="inlineStr">
        <is>
          <t>Gaya</t>
        </is>
      </c>
      <c r="C112" s="9" t="inlineStr">
        <is>
          <t>Bihar</t>
        </is>
      </c>
      <c r="D112" s="9" t="inlineStr">
        <is>
          <t>India</t>
        </is>
      </c>
      <c r="E112" s="9" t="n">
        <v>3</v>
      </c>
      <c r="F112" s="9" t="n">
        <v>2</v>
      </c>
      <c r="G112" s="10" t="n">
        <v>43517</v>
      </c>
      <c r="H112" s="10" t="n">
        <v>44527</v>
      </c>
    </row>
    <row r="113">
      <c r="A113" s="9" t="n">
        <v>109</v>
      </c>
      <c r="B113" s="9" t="inlineStr">
        <is>
          <t>Hetauda</t>
        </is>
      </c>
      <c r="C113" s="9" t="inlineStr">
        <is>
          <t>Bagmati Province</t>
        </is>
      </c>
      <c r="D113" s="9" t="inlineStr">
        <is>
          <t>Nepal</t>
        </is>
      </c>
      <c r="E113" s="9" t="n">
        <v>3</v>
      </c>
      <c r="F113" s="9" t="n">
        <v>2</v>
      </c>
      <c r="G113" s="10" t="n">
        <v>43606</v>
      </c>
      <c r="H113" s="10" t="n">
        <v>44670</v>
      </c>
    </row>
    <row r="114">
      <c r="A114" s="9" t="n">
        <v>110</v>
      </c>
      <c r="B114" s="9" t="inlineStr">
        <is>
          <t>Vavuniya</t>
        </is>
      </c>
      <c r="C114" s="9" t="inlineStr">
        <is>
          <t>Northern Province</t>
        </is>
      </c>
      <c r="D114" s="9" t="inlineStr">
        <is>
          <t>Sri Lanka</t>
        </is>
      </c>
      <c r="E114" s="9" t="n">
        <v>3</v>
      </c>
      <c r="F114" s="9" t="n">
        <v>2</v>
      </c>
      <c r="G114" s="10" t="n">
        <v>43737</v>
      </c>
      <c r="H114" s="10" t="n">
        <v>44587</v>
      </c>
    </row>
    <row r="115">
      <c r="A115" s="9" t="n">
        <v>111</v>
      </c>
      <c r="B115" s="9" t="inlineStr">
        <is>
          <t>Rameswaram</t>
        </is>
      </c>
      <c r="C115" s="9" t="inlineStr">
        <is>
          <t>Tamil Nadu</t>
        </is>
      </c>
      <c r="D115" s="9" t="inlineStr">
        <is>
          <t>India</t>
        </is>
      </c>
      <c r="E115" s="9" t="n">
        <v>3</v>
      </c>
      <c r="F115" s="9" t="n">
        <v>2</v>
      </c>
      <c r="G115" s="10" t="n">
        <v>43745</v>
      </c>
      <c r="H115" s="10" t="n">
        <v>44744</v>
      </c>
    </row>
    <row r="116">
      <c r="A116" s="9" t="n">
        <v>112</v>
      </c>
      <c r="B116" s="9" t="inlineStr">
        <is>
          <t>Bhiloda</t>
        </is>
      </c>
      <c r="C116" s="9" t="inlineStr">
        <is>
          <t>Gujarat</t>
        </is>
      </c>
      <c r="D116" s="9" t="inlineStr">
        <is>
          <t>India</t>
        </is>
      </c>
      <c r="E116" s="9" t="n">
        <v>3</v>
      </c>
      <c r="F116" s="9" t="n">
        <v>2</v>
      </c>
      <c r="G116" s="10" t="n">
        <v>43843</v>
      </c>
      <c r="H116" s="10" t="n">
        <v>43874</v>
      </c>
    </row>
    <row r="117">
      <c r="A117" s="9" t="n">
        <v>113</v>
      </c>
      <c r="B117" s="9" t="inlineStr">
        <is>
          <t>Talala</t>
        </is>
      </c>
      <c r="C117" s="9" t="inlineStr">
        <is>
          <t>Gujarat</t>
        </is>
      </c>
      <c r="D117" s="9" t="inlineStr">
        <is>
          <t>India</t>
        </is>
      </c>
      <c r="E117" s="9" t="n">
        <v>3</v>
      </c>
      <c r="F117" s="9" t="n">
        <v>2</v>
      </c>
      <c r="G117" s="10" t="n">
        <v>45256</v>
      </c>
      <c r="H117" s="10" t="n">
        <v>45687</v>
      </c>
    </row>
    <row r="118">
      <c r="A118" s="9" t="n">
        <v>114</v>
      </c>
      <c r="B118" s="9" t="inlineStr">
        <is>
          <t>Philadelphia</t>
        </is>
      </c>
      <c r="C118" s="9" t="inlineStr">
        <is>
          <t>Pennsylvania</t>
        </is>
      </c>
      <c r="D118" s="9" t="inlineStr">
        <is>
          <t>United States</t>
        </is>
      </c>
      <c r="E118" s="9" t="n">
        <v>3</v>
      </c>
      <c r="F118" s="9" t="n">
        <v>2</v>
      </c>
      <c r="G118" s="10" t="n">
        <v>45910</v>
      </c>
      <c r="H118" s="10" t="n">
        <v>45929</v>
      </c>
    </row>
    <row r="119">
      <c r="A119" s="9" t="n">
        <v>115</v>
      </c>
      <c r="B119" s="9" t="inlineStr">
        <is>
          <t>Sadashivpet</t>
        </is>
      </c>
      <c r="C119" s="9" t="inlineStr">
        <is>
          <t>Telangana</t>
        </is>
      </c>
      <c r="D119" s="9" t="inlineStr">
        <is>
          <t>India</t>
        </is>
      </c>
      <c r="E119" s="9" t="n">
        <v>2</v>
      </c>
      <c r="F119" s="9" t="n">
        <v>2</v>
      </c>
      <c r="G119" s="10" t="n">
        <v>42190</v>
      </c>
      <c r="H119" s="10" t="n">
        <v>44420</v>
      </c>
    </row>
    <row r="120">
      <c r="A120" s="9" t="n">
        <v>116</v>
      </c>
      <c r="B120" s="9" t="inlineStr">
        <is>
          <t>Suriapet</t>
        </is>
      </c>
      <c r="C120" s="9" t="inlineStr">
        <is>
          <t>Telangana</t>
        </is>
      </c>
      <c r="D120" s="9" t="inlineStr">
        <is>
          <t>India</t>
        </is>
      </c>
      <c r="E120" s="9" t="n">
        <v>2</v>
      </c>
      <c r="F120" s="9" t="n">
        <v>2</v>
      </c>
      <c r="G120" s="10" t="n">
        <v>42448</v>
      </c>
      <c r="H120" s="10" t="n">
        <v>43051</v>
      </c>
    </row>
    <row r="121">
      <c r="A121" s="9" t="n">
        <v>117</v>
      </c>
      <c r="B121" s="9" t="inlineStr">
        <is>
          <t>Kharagpur</t>
        </is>
      </c>
      <c r="C121" s="9" t="inlineStr">
        <is>
          <t>West Bengal</t>
        </is>
      </c>
      <c r="D121" s="9" t="inlineStr">
        <is>
          <t>India</t>
        </is>
      </c>
      <c r="E121" s="9" t="n">
        <v>2</v>
      </c>
      <c r="F121" s="9" t="n">
        <v>2</v>
      </c>
      <c r="G121" s="10" t="n">
        <v>42576</v>
      </c>
      <c r="H121" s="10" t="n">
        <v>43393</v>
      </c>
    </row>
    <row r="122">
      <c r="A122" s="9" t="n">
        <v>118</v>
      </c>
      <c r="B122" s="9" t="inlineStr">
        <is>
          <t>Krishnanagar</t>
        </is>
      </c>
      <c r="C122" s="9" t="inlineStr">
        <is>
          <t>West Bengal</t>
        </is>
      </c>
      <c r="D122" s="9" t="inlineStr">
        <is>
          <t>India</t>
        </is>
      </c>
      <c r="E122" s="9" t="n">
        <v>2</v>
      </c>
      <c r="F122" s="9" t="n">
        <v>2</v>
      </c>
      <c r="G122" s="10" t="n">
        <v>42577</v>
      </c>
      <c r="H122" s="10" t="n">
        <v>45235</v>
      </c>
    </row>
    <row r="123">
      <c r="A123" s="9" t="n">
        <v>119</v>
      </c>
      <c r="B123" s="9" t="inlineStr">
        <is>
          <t>Dhone</t>
        </is>
      </c>
      <c r="C123" s="9" t="inlineStr">
        <is>
          <t>Andhra Pradesh</t>
        </is>
      </c>
      <c r="D123" s="9" t="inlineStr">
        <is>
          <t>India</t>
        </is>
      </c>
      <c r="E123" s="9" t="n">
        <v>2</v>
      </c>
      <c r="F123" s="9" t="n">
        <v>2</v>
      </c>
      <c r="G123" s="10" t="n">
        <v>42755</v>
      </c>
      <c r="H123" s="10" t="n">
        <v>42758</v>
      </c>
    </row>
    <row r="124">
      <c r="A124" s="9" t="n">
        <v>120</v>
      </c>
      <c r="B124" s="9" t="inlineStr">
        <is>
          <t>Hubli</t>
        </is>
      </c>
      <c r="C124" s="9" t="inlineStr">
        <is>
          <t>Karnataka</t>
        </is>
      </c>
      <c r="D124" s="9" t="inlineStr">
        <is>
          <t>India</t>
        </is>
      </c>
      <c r="E124" s="9" t="n">
        <v>2</v>
      </c>
      <c r="F124" s="9" t="n">
        <v>2</v>
      </c>
      <c r="G124" s="10" t="n">
        <v>42770</v>
      </c>
      <c r="H124" s="10" t="n">
        <v>46301</v>
      </c>
    </row>
    <row r="125">
      <c r="A125" s="9" t="n">
        <v>121</v>
      </c>
      <c r="B125" s="9" t="inlineStr">
        <is>
          <t>Byndoor</t>
        </is>
      </c>
      <c r="C125" s="9" t="inlineStr">
        <is>
          <t>Karnataka</t>
        </is>
      </c>
      <c r="D125" s="9" t="inlineStr">
        <is>
          <t>India</t>
        </is>
      </c>
      <c r="E125" s="9" t="n">
        <v>2</v>
      </c>
      <c r="F125" s="9" t="n">
        <v>2</v>
      </c>
      <c r="G125" s="10" t="n">
        <v>42812</v>
      </c>
      <c r="H125" s="10" t="n">
        <v>46300</v>
      </c>
    </row>
    <row r="126">
      <c r="A126" s="9" t="n">
        <v>122</v>
      </c>
      <c r="B126" s="9" t="inlineStr">
        <is>
          <t>Nandyal</t>
        </is>
      </c>
      <c r="C126" s="9" t="inlineStr">
        <is>
          <t>Andhra Pradesh</t>
        </is>
      </c>
      <c r="D126" s="9" t="inlineStr">
        <is>
          <t>India</t>
        </is>
      </c>
      <c r="E126" s="9" t="n">
        <v>2</v>
      </c>
      <c r="F126" s="9" t="n">
        <v>2</v>
      </c>
      <c r="G126" s="10" t="n">
        <v>42875</v>
      </c>
      <c r="H126" s="10" t="n">
        <v>42913</v>
      </c>
    </row>
    <row r="127">
      <c r="A127" s="9" t="n">
        <v>123</v>
      </c>
      <c r="B127" s="9" t="inlineStr">
        <is>
          <t>Chorwad</t>
        </is>
      </c>
      <c r="C127" s="9" t="inlineStr">
        <is>
          <t>Gujarat</t>
        </is>
      </c>
      <c r="D127" s="9" t="inlineStr">
        <is>
          <t>India</t>
        </is>
      </c>
      <c r="E127" s="9" t="n">
        <v>2</v>
      </c>
      <c r="F127" s="9" t="n">
        <v>2</v>
      </c>
      <c r="G127" s="10" t="n">
        <v>42934</v>
      </c>
      <c r="H127" s="10" t="n">
        <v>45685</v>
      </c>
    </row>
    <row r="128">
      <c r="A128" s="9" t="n">
        <v>124</v>
      </c>
      <c r="B128" s="9" t="inlineStr">
        <is>
          <t>Vizianagaram</t>
        </is>
      </c>
      <c r="C128" s="9" t="inlineStr">
        <is>
          <t>Andhra Pradesh</t>
        </is>
      </c>
      <c r="D128" s="9" t="inlineStr">
        <is>
          <t>India</t>
        </is>
      </c>
      <c r="E128" s="9" t="n">
        <v>2</v>
      </c>
      <c r="F128" s="9" t="n">
        <v>2</v>
      </c>
      <c r="G128" s="10" t="n">
        <v>42972</v>
      </c>
      <c r="H128" s="10" t="n">
        <v>43394</v>
      </c>
    </row>
    <row r="129">
      <c r="A129" s="9" t="n">
        <v>125</v>
      </c>
      <c r="B129" s="9" t="inlineStr">
        <is>
          <t>Karauli</t>
        </is>
      </c>
      <c r="C129" s="9" t="inlineStr">
        <is>
          <t>Rajasthan</t>
        </is>
      </c>
      <c r="D129" s="9" t="inlineStr">
        <is>
          <t>India</t>
        </is>
      </c>
      <c r="E129" s="9" t="n">
        <v>2</v>
      </c>
      <c r="F129" s="9" t="n">
        <v>2</v>
      </c>
      <c r="G129" s="10" t="n">
        <v>43007</v>
      </c>
      <c r="H129" s="10" t="n">
        <v>44394</v>
      </c>
    </row>
    <row r="130">
      <c r="A130" s="9" t="n">
        <v>126</v>
      </c>
      <c r="B130" s="9" t="inlineStr">
        <is>
          <t>Guntur</t>
        </is>
      </c>
      <c r="C130" s="9" t="inlineStr">
        <is>
          <t>Andhra Pradesh</t>
        </is>
      </c>
      <c r="D130" s="9" t="inlineStr">
        <is>
          <t>India</t>
        </is>
      </c>
      <c r="E130" s="9" t="n">
        <v>2</v>
      </c>
      <c r="F130" s="9" t="n">
        <v>2</v>
      </c>
      <c r="G130" s="10" t="n">
        <v>43152</v>
      </c>
      <c r="H130" s="10" t="n">
        <v>45775</v>
      </c>
    </row>
    <row r="131">
      <c r="A131" s="9" t="n">
        <v>127</v>
      </c>
      <c r="B131" s="9" t="inlineStr">
        <is>
          <t>Sriramnagar</t>
        </is>
      </c>
      <c r="C131" s="9" t="inlineStr">
        <is>
          <t>Telangana</t>
        </is>
      </c>
      <c r="D131" s="9" t="inlineStr">
        <is>
          <t>India</t>
        </is>
      </c>
      <c r="E131" s="9" t="n">
        <v>2</v>
      </c>
      <c r="F131" s="9" t="n">
        <v>2</v>
      </c>
      <c r="G131" s="10" t="n">
        <v>43422</v>
      </c>
      <c r="H131" s="10" t="n">
        <v>44291</v>
      </c>
    </row>
    <row r="132">
      <c r="A132" s="9" t="n">
        <v>128</v>
      </c>
      <c r="B132" s="9" t="inlineStr">
        <is>
          <t>Jhansi</t>
        </is>
      </c>
      <c r="C132" s="9" t="inlineStr">
        <is>
          <t>Uttar Pradesh</t>
        </is>
      </c>
      <c r="D132" s="9" t="inlineStr">
        <is>
          <t>India</t>
        </is>
      </c>
      <c r="E132" s="9" t="n">
        <v>2</v>
      </c>
      <c r="F132" s="9" t="n">
        <v>2</v>
      </c>
      <c r="G132" s="10" t="n">
        <v>43424</v>
      </c>
      <c r="H132" s="10" t="n">
        <v>44752</v>
      </c>
    </row>
    <row r="133">
      <c r="A133" s="9" t="n">
        <v>129</v>
      </c>
      <c r="B133" s="9" t="inlineStr">
        <is>
          <t>Itarsi</t>
        </is>
      </c>
      <c r="C133" s="9" t="inlineStr">
        <is>
          <t>Madhya Pradesh</t>
        </is>
      </c>
      <c r="D133" s="9" t="inlineStr">
        <is>
          <t>India</t>
        </is>
      </c>
      <c r="E133" s="9" t="n">
        <v>2</v>
      </c>
      <c r="F133" s="9" t="n">
        <v>2</v>
      </c>
      <c r="G133" s="10" t="n">
        <v>43460</v>
      </c>
      <c r="H133" s="10" t="n">
        <v>44752</v>
      </c>
    </row>
    <row r="134">
      <c r="A134" s="9" t="n">
        <v>130</v>
      </c>
      <c r="B134" s="9" t="inlineStr">
        <is>
          <t>Dataganj</t>
        </is>
      </c>
      <c r="C134" s="9" t="inlineStr">
        <is>
          <t>Uttar Pradesh</t>
        </is>
      </c>
      <c r="D134" s="9" t="inlineStr">
        <is>
          <t>India</t>
        </is>
      </c>
      <c r="E134" s="9" t="n">
        <v>2</v>
      </c>
      <c r="F134" s="9" t="n">
        <v>2</v>
      </c>
      <c r="G134" s="10" t="n">
        <v>43520</v>
      </c>
      <c r="H134" s="10" t="n">
        <v>43524</v>
      </c>
    </row>
    <row r="135">
      <c r="A135" s="9" t="n">
        <v>131</v>
      </c>
      <c r="B135" s="9" t="inlineStr">
        <is>
          <t>Sultanpur</t>
        </is>
      </c>
      <c r="C135" s="9" t="inlineStr">
        <is>
          <t>Uttar Pradesh</t>
        </is>
      </c>
      <c r="D135" s="9" t="inlineStr">
        <is>
          <t>India</t>
        </is>
      </c>
      <c r="E135" s="9" t="n">
        <v>2</v>
      </c>
      <c r="F135" s="9" t="n">
        <v>2</v>
      </c>
      <c r="G135" s="10" t="n">
        <v>43521</v>
      </c>
      <c r="H135" s="10" t="n">
        <v>43525</v>
      </c>
    </row>
    <row r="136">
      <c r="A136" s="9" t="n">
        <v>132</v>
      </c>
      <c r="B136" s="9" t="inlineStr">
        <is>
          <t>Kirtipur</t>
        </is>
      </c>
      <c r="C136" s="9" t="inlineStr">
        <is>
          <t>Bagmati Province</t>
        </is>
      </c>
      <c r="D136" s="9" t="inlineStr">
        <is>
          <t>Nepal</t>
        </is>
      </c>
      <c r="E136" s="9" t="n">
        <v>2</v>
      </c>
      <c r="F136" s="9" t="n">
        <v>2</v>
      </c>
      <c r="G136" s="10" t="n">
        <v>43601</v>
      </c>
      <c r="H136" s="10" t="n">
        <v>44666</v>
      </c>
    </row>
    <row r="137">
      <c r="A137" s="9" t="n">
        <v>133</v>
      </c>
      <c r="B137" s="9" t="inlineStr">
        <is>
          <t>Najafgarh</t>
        </is>
      </c>
      <c r="C137" s="9" t="inlineStr">
        <is>
          <t>Delhi</t>
        </is>
      </c>
      <c r="D137" s="9" t="inlineStr">
        <is>
          <t>India</t>
        </is>
      </c>
      <c r="E137" s="9" t="n">
        <v>2</v>
      </c>
      <c r="F137" s="9" t="n">
        <v>2</v>
      </c>
      <c r="G137" s="10" t="n">
        <v>43643</v>
      </c>
      <c r="H137" s="10" t="n">
        <v>44388</v>
      </c>
    </row>
    <row r="138">
      <c r="A138" s="9" t="n">
        <v>134</v>
      </c>
      <c r="B138" s="9" t="inlineStr">
        <is>
          <t>Kanpur</t>
        </is>
      </c>
      <c r="C138" s="9" t="inlineStr">
        <is>
          <t>Uttar Pradesh</t>
        </is>
      </c>
      <c r="D138" s="9" t="inlineStr">
        <is>
          <t>India</t>
        </is>
      </c>
      <c r="E138" s="9" t="n">
        <v>2</v>
      </c>
      <c r="F138" s="9" t="n">
        <v>2</v>
      </c>
      <c r="G138" s="10" t="n">
        <v>43658</v>
      </c>
      <c r="H138" s="10" t="n">
        <v>44751</v>
      </c>
    </row>
    <row r="139">
      <c r="A139" s="9" t="n">
        <v>135</v>
      </c>
      <c r="B139" s="9" t="inlineStr">
        <is>
          <t>Mussoorie</t>
        </is>
      </c>
      <c r="C139" s="9" t="inlineStr">
        <is>
          <t>Uttarakhand</t>
        </is>
      </c>
      <c r="D139" s="9" t="inlineStr">
        <is>
          <t>India</t>
        </is>
      </c>
      <c r="E139" s="9" t="n">
        <v>2</v>
      </c>
      <c r="F139" s="9" t="n">
        <v>2</v>
      </c>
      <c r="G139" s="10" t="n">
        <v>43733</v>
      </c>
      <c r="H139" s="10" t="n">
        <v>44699</v>
      </c>
    </row>
    <row r="140">
      <c r="A140" s="9" t="n">
        <v>136</v>
      </c>
      <c r="B140" s="9" t="inlineStr">
        <is>
          <t>Point Pedro</t>
        </is>
      </c>
      <c r="C140" s="9" t="inlineStr">
        <is>
          <t>Northern Province</t>
        </is>
      </c>
      <c r="D140" s="9" t="inlineStr">
        <is>
          <t>Sri Lanka</t>
        </is>
      </c>
      <c r="E140" s="9" t="n">
        <v>2</v>
      </c>
      <c r="F140" s="9" t="n">
        <v>2</v>
      </c>
      <c r="G140" s="10" t="n">
        <v>43820</v>
      </c>
      <c r="H140" s="10" t="n">
        <v>44586</v>
      </c>
    </row>
    <row r="141">
      <c r="A141" s="9" t="n">
        <v>137</v>
      </c>
      <c r="B141" s="9" t="inlineStr">
        <is>
          <t>Valvedditturai</t>
        </is>
      </c>
      <c r="C141" s="9" t="inlineStr">
        <is>
          <t>Northern Province</t>
        </is>
      </c>
      <c r="D141" s="9" t="inlineStr">
        <is>
          <t>Sri Lanka</t>
        </is>
      </c>
      <c r="E141" s="9" t="n">
        <v>2</v>
      </c>
      <c r="F141" s="9" t="n">
        <v>2</v>
      </c>
      <c r="G141" s="10" t="n">
        <v>43820</v>
      </c>
      <c r="H141" s="10" t="n">
        <v>44587</v>
      </c>
    </row>
    <row r="142">
      <c r="A142" s="9" t="n">
        <v>138</v>
      </c>
      <c r="B142" s="9" t="inlineStr">
        <is>
          <t>Badulla</t>
        </is>
      </c>
      <c r="C142" s="9" t="inlineStr">
        <is>
          <t>Uva Province</t>
        </is>
      </c>
      <c r="D142" s="9" t="inlineStr">
        <is>
          <t>Sri Lanka</t>
        </is>
      </c>
      <c r="E142" s="9" t="n">
        <v>2</v>
      </c>
      <c r="F142" s="9" t="n">
        <v>2</v>
      </c>
      <c r="G142" s="10" t="n">
        <v>43825</v>
      </c>
      <c r="H142" s="10" t="n">
        <v>44590</v>
      </c>
    </row>
    <row r="143">
      <c r="A143" s="9" t="n">
        <v>139</v>
      </c>
      <c r="B143" s="9" t="inlineStr">
        <is>
          <t>Khambhaliya</t>
        </is>
      </c>
      <c r="C143" s="9" t="inlineStr">
        <is>
          <t>Gujarat</t>
        </is>
      </c>
      <c r="D143" s="9" t="inlineStr">
        <is>
          <t>India</t>
        </is>
      </c>
      <c r="E143" s="9" t="n">
        <v>2</v>
      </c>
      <c r="F143" s="9" t="n">
        <v>2</v>
      </c>
      <c r="G143" s="10" t="n">
        <v>43840</v>
      </c>
      <c r="H143" s="10" t="n">
        <v>45246</v>
      </c>
    </row>
    <row r="144">
      <c r="A144" s="9" t="n">
        <v>140</v>
      </c>
      <c r="B144" s="9" t="inlineStr">
        <is>
          <t>Khapat</t>
        </is>
      </c>
      <c r="C144" s="9" t="inlineStr">
        <is>
          <t>Gujarat</t>
        </is>
      </c>
      <c r="D144" s="9" t="inlineStr">
        <is>
          <t>India</t>
        </is>
      </c>
      <c r="E144" s="9" t="n">
        <v>2</v>
      </c>
      <c r="F144" s="9" t="n">
        <v>2</v>
      </c>
      <c r="G144" s="10" t="n">
        <v>43841</v>
      </c>
      <c r="H144" s="10" t="n">
        <v>43871</v>
      </c>
    </row>
    <row r="145">
      <c r="A145" s="9" t="n">
        <v>141</v>
      </c>
      <c r="B145" s="9" t="inlineStr">
        <is>
          <t>Siddhapur</t>
        </is>
      </c>
      <c r="C145" s="9" t="inlineStr">
        <is>
          <t>Gujarat</t>
        </is>
      </c>
      <c r="D145" s="9" t="inlineStr">
        <is>
          <t>India</t>
        </is>
      </c>
      <c r="E145" s="9" t="n">
        <v>2</v>
      </c>
      <c r="F145" s="9" t="n">
        <v>2</v>
      </c>
      <c r="G145" s="10" t="n">
        <v>43845</v>
      </c>
      <c r="H145" s="10" t="n">
        <v>43876</v>
      </c>
    </row>
    <row r="146">
      <c r="A146" s="9" t="n">
        <v>142</v>
      </c>
      <c r="B146" s="9" t="inlineStr">
        <is>
          <t>Rajpipla</t>
        </is>
      </c>
      <c r="C146" s="9" t="inlineStr">
        <is>
          <t>Gujarat</t>
        </is>
      </c>
      <c r="D146" s="9" t="inlineStr">
        <is>
          <t>India</t>
        </is>
      </c>
      <c r="E146" s="9" t="n">
        <v>2</v>
      </c>
      <c r="F146" s="9" t="n">
        <v>2</v>
      </c>
      <c r="G146" s="10" t="n">
        <v>43846</v>
      </c>
      <c r="H146" s="10" t="n">
        <v>43875</v>
      </c>
    </row>
    <row r="147">
      <c r="A147" s="9" t="n">
        <v>143</v>
      </c>
      <c r="B147" s="9" t="inlineStr">
        <is>
          <t>Konarka</t>
        </is>
      </c>
      <c r="C147" s="9" t="inlineStr">
        <is>
          <t>Odisha</t>
        </is>
      </c>
      <c r="D147" s="9" t="inlineStr">
        <is>
          <t>India</t>
        </is>
      </c>
      <c r="E147" s="9" t="n">
        <v>2</v>
      </c>
      <c r="F147" s="9" t="n">
        <v>2</v>
      </c>
      <c r="G147" s="10" t="n">
        <v>43857</v>
      </c>
      <c r="H147" s="10" t="n">
        <v>44909</v>
      </c>
    </row>
    <row r="148">
      <c r="A148" s="9" t="n">
        <v>144</v>
      </c>
      <c r="B148" s="9" t="inlineStr">
        <is>
          <t>Vellore</t>
        </is>
      </c>
      <c r="C148" s="9" t="inlineStr">
        <is>
          <t>Tamil Nadu</t>
        </is>
      </c>
      <c r="D148" s="9" t="inlineStr">
        <is>
          <t>India</t>
        </is>
      </c>
      <c r="E148" s="9" t="n">
        <v>2</v>
      </c>
      <c r="F148" s="9" t="n">
        <v>2</v>
      </c>
      <c r="G148" s="10" t="n">
        <v>44406</v>
      </c>
      <c r="H148" s="10" t="n">
        <v>44743</v>
      </c>
    </row>
    <row r="149">
      <c r="A149" s="9" t="n">
        <v>145</v>
      </c>
      <c r="B149" s="9" t="inlineStr">
        <is>
          <t>Devanhalli</t>
        </is>
      </c>
      <c r="C149" s="9" t="inlineStr">
        <is>
          <t>Karnataka</t>
        </is>
      </c>
      <c r="D149" s="9" t="inlineStr">
        <is>
          <t>India</t>
        </is>
      </c>
      <c r="E149" s="9" t="n">
        <v>2</v>
      </c>
      <c r="F149" s="9" t="n">
        <v>2</v>
      </c>
      <c r="G149" s="10" t="n">
        <v>44677</v>
      </c>
      <c r="H149" s="10" t="n">
        <v>45075</v>
      </c>
    </row>
    <row r="150">
      <c r="A150" s="9" t="n">
        <v>146</v>
      </c>
      <c r="B150" s="9" t="inlineStr">
        <is>
          <t>Chachoengsao</t>
        </is>
      </c>
      <c r="C150" s="9" t="inlineStr">
        <is>
          <t>Chachoengsao</t>
        </is>
      </c>
      <c r="D150" s="9" t="inlineStr">
        <is>
          <t>Thailand</t>
        </is>
      </c>
      <c r="E150" s="9" t="n">
        <v>2</v>
      </c>
      <c r="F150" s="9" t="n">
        <v>2</v>
      </c>
      <c r="G150" s="10" t="n">
        <v>44967</v>
      </c>
      <c r="H150" s="10" t="n">
        <v>45103</v>
      </c>
    </row>
    <row r="151">
      <c r="A151" s="9" t="n">
        <v>147</v>
      </c>
      <c r="B151" s="9" t="inlineStr">
        <is>
          <t>Gorantla</t>
        </is>
      </c>
      <c r="C151" s="9" t="inlineStr">
        <is>
          <t>Andhra Pradesh</t>
        </is>
      </c>
      <c r="D151" s="9" t="inlineStr">
        <is>
          <t>India</t>
        </is>
      </c>
      <c r="E151" s="9" t="n">
        <v>2</v>
      </c>
      <c r="F151" s="9" t="n">
        <v>2</v>
      </c>
      <c r="G151" s="10" t="n">
        <v>44970</v>
      </c>
      <c r="H151" s="10" t="n">
        <v>45128</v>
      </c>
    </row>
    <row r="152">
      <c r="A152" s="9" t="n">
        <v>148</v>
      </c>
      <c r="B152" s="9" t="inlineStr">
        <is>
          <t>Krishnarajpet</t>
        </is>
      </c>
      <c r="C152" s="9" t="inlineStr">
        <is>
          <t>Karnataka</t>
        </is>
      </c>
      <c r="D152" s="9" t="inlineStr">
        <is>
          <t>India</t>
        </is>
      </c>
      <c r="E152" s="9" t="n">
        <v>2</v>
      </c>
      <c r="F152" s="9" t="n">
        <v>2</v>
      </c>
      <c r="G152" s="10" t="n">
        <v>45073</v>
      </c>
      <c r="H152" s="10" t="n">
        <v>45299</v>
      </c>
    </row>
    <row r="153">
      <c r="A153" s="9" t="n">
        <v>149</v>
      </c>
      <c r="B153" s="9" t="inlineStr">
        <is>
          <t>Nagarukhra City</t>
        </is>
      </c>
      <c r="C153" s="9" t="inlineStr">
        <is>
          <t>West Bengal</t>
        </is>
      </c>
      <c r="D153" s="9" t="inlineStr">
        <is>
          <t>India</t>
        </is>
      </c>
      <c r="E153" s="9" t="n">
        <v>2</v>
      </c>
      <c r="F153" s="9" t="n">
        <v>2</v>
      </c>
      <c r="G153" s="10" t="n">
        <v>45230</v>
      </c>
      <c r="H153" s="10" t="n">
        <v>45237</v>
      </c>
    </row>
    <row r="154">
      <c r="A154" s="9" t="n">
        <v>150</v>
      </c>
      <c r="B154" s="9" t="inlineStr">
        <is>
          <t>Junagadh</t>
        </is>
      </c>
      <c r="C154" s="9" t="inlineStr">
        <is>
          <t>Gujarat</t>
        </is>
      </c>
      <c r="D154" s="9" t="inlineStr">
        <is>
          <t>India</t>
        </is>
      </c>
      <c r="E154" s="9" t="n">
        <v>2</v>
      </c>
      <c r="F154" s="9" t="n">
        <v>2</v>
      </c>
      <c r="G154" s="10" t="n">
        <v>45250</v>
      </c>
      <c r="H154" s="10" t="n">
        <v>45256</v>
      </c>
    </row>
    <row r="155">
      <c r="A155" s="9" t="n">
        <v>151</v>
      </c>
      <c r="B155" s="9" t="inlineStr">
        <is>
          <t>Queens</t>
        </is>
      </c>
      <c r="C155" s="9" t="inlineStr">
        <is>
          <t>New York</t>
        </is>
      </c>
      <c r="D155" s="9" t="inlineStr">
        <is>
          <t>United States</t>
        </is>
      </c>
      <c r="E155" s="9" t="n">
        <v>2</v>
      </c>
      <c r="F155" s="9" t="n">
        <v>2</v>
      </c>
      <c r="G155" s="10" t="n">
        <v>45904</v>
      </c>
      <c r="H155" s="10" t="n">
        <v>45929</v>
      </c>
    </row>
    <row r="156">
      <c r="A156" s="9" t="n">
        <v>152</v>
      </c>
      <c r="B156" s="9" t="inlineStr">
        <is>
          <t>Centreville</t>
        </is>
      </c>
      <c r="C156" s="9" t="inlineStr">
        <is>
          <t>Virginia</t>
        </is>
      </c>
      <c r="D156" s="9" t="inlineStr">
        <is>
          <t>United States</t>
        </is>
      </c>
      <c r="E156" s="9" t="n">
        <v>2</v>
      </c>
      <c r="F156" s="9" t="n">
        <v>2</v>
      </c>
      <c r="G156" s="10" t="n">
        <v>45908</v>
      </c>
      <c r="H156" s="10" t="n">
        <v>45922</v>
      </c>
    </row>
    <row r="157">
      <c r="A157" s="9" t="n">
        <v>153</v>
      </c>
      <c r="B157" s="9" t="inlineStr">
        <is>
          <t>Paris</t>
        </is>
      </c>
      <c r="C157" s="9" t="inlineStr">
        <is>
          <t>Ile-de-France</t>
        </is>
      </c>
      <c r="D157" s="9" t="inlineStr">
        <is>
          <t>France</t>
        </is>
      </c>
      <c r="E157" s="9" t="n">
        <v>4</v>
      </c>
      <c r="F157" s="9" t="n">
        <v>1</v>
      </c>
      <c r="G157" s="10" t="n">
        <v>45488</v>
      </c>
      <c r="H157" s="10" t="n">
        <v>45491</v>
      </c>
    </row>
    <row r="158">
      <c r="A158" s="9" t="n">
        <v>154</v>
      </c>
      <c r="B158" s="9" t="inlineStr">
        <is>
          <t>London</t>
        </is>
      </c>
      <c r="C158" s="9" t="inlineStr">
        <is>
          <t>England</t>
        </is>
      </c>
      <c r="D158" s="9" t="inlineStr">
        <is>
          <t>United Kingdom</t>
        </is>
      </c>
      <c r="E158" s="9" t="n">
        <v>4</v>
      </c>
      <c r="F158" s="9" t="n">
        <v>1</v>
      </c>
      <c r="G158" s="10" t="n">
        <v>45501</v>
      </c>
      <c r="H158" s="10" t="n">
        <v>45504</v>
      </c>
    </row>
    <row r="159">
      <c r="A159" s="9" t="n">
        <v>155</v>
      </c>
      <c r="B159" s="9" t="inlineStr">
        <is>
          <t>Dubai</t>
        </is>
      </c>
      <c r="C159" s="9" t="inlineStr">
        <is>
          <t>Dubai</t>
        </is>
      </c>
      <c r="D159" s="9" t="inlineStr">
        <is>
          <t>United Arab Emirates</t>
        </is>
      </c>
      <c r="E159" s="9" t="n">
        <v>4</v>
      </c>
      <c r="F159" s="9" t="n">
        <v>1</v>
      </c>
      <c r="G159" s="10" t="n">
        <v>45505</v>
      </c>
      <c r="H159" s="10" t="n">
        <v>45508</v>
      </c>
    </row>
    <row r="160">
      <c r="A160" s="9" t="n">
        <v>156</v>
      </c>
      <c r="B160" s="9" t="inlineStr">
        <is>
          <t>Los Angeles</t>
        </is>
      </c>
      <c r="C160" s="9" t="inlineStr">
        <is>
          <t>California</t>
        </is>
      </c>
      <c r="D160" s="9" t="inlineStr">
        <is>
          <t>United States</t>
        </is>
      </c>
      <c r="E160" s="9" t="n">
        <v>4</v>
      </c>
      <c r="F160" s="9" t="n">
        <v>1</v>
      </c>
      <c r="G160" s="10" t="n">
        <v>45917</v>
      </c>
      <c r="H160" s="10" t="n">
        <v>45920</v>
      </c>
    </row>
    <row r="161">
      <c r="A161" s="9" t="n">
        <v>157</v>
      </c>
      <c r="B161" s="9" t="inlineStr">
        <is>
          <t>Giddalur</t>
        </is>
      </c>
      <c r="C161" s="9" t="inlineStr">
        <is>
          <t>Andhra Pradesh</t>
        </is>
      </c>
      <c r="D161" s="9" t="inlineStr">
        <is>
          <t>India</t>
        </is>
      </c>
      <c r="E161" s="9" t="n">
        <v>3</v>
      </c>
      <c r="F161" s="9" t="n">
        <v>1</v>
      </c>
      <c r="G161" s="10" t="n">
        <v>44202</v>
      </c>
      <c r="H161" s="10" t="n">
        <v>44204</v>
      </c>
    </row>
    <row r="162">
      <c r="A162" s="9" t="n">
        <v>158</v>
      </c>
      <c r="B162" s="9" t="inlineStr">
        <is>
          <t>Gallarate</t>
        </is>
      </c>
      <c r="C162" s="9" t="inlineStr">
        <is>
          <t>Lombardy</t>
        </is>
      </c>
      <c r="D162" s="9" t="inlineStr">
        <is>
          <t>Italy</t>
        </is>
      </c>
      <c r="E162" s="9" t="n">
        <v>3</v>
      </c>
      <c r="F162" s="9" t="n">
        <v>1</v>
      </c>
      <c r="G162" s="10" t="n">
        <v>45499</v>
      </c>
      <c r="H162" s="10" t="n">
        <v>45501</v>
      </c>
    </row>
    <row r="163">
      <c r="A163" s="9" t="n">
        <v>159</v>
      </c>
      <c r="B163" s="9" t="inlineStr">
        <is>
          <t>Somerset</t>
        </is>
      </c>
      <c r="C163" s="9" t="inlineStr">
        <is>
          <t>New Jersey</t>
        </is>
      </c>
      <c r="D163" s="9" t="inlineStr">
        <is>
          <t>United States</t>
        </is>
      </c>
      <c r="E163" s="9" t="n">
        <v>3</v>
      </c>
      <c r="F163" s="9" t="n">
        <v>1</v>
      </c>
      <c r="G163" s="10" t="n">
        <v>45910</v>
      </c>
      <c r="H163" s="10" t="n">
        <v>45912</v>
      </c>
    </row>
    <row r="164">
      <c r="A164" s="9" t="n">
        <v>160</v>
      </c>
      <c r="B164" s="9" t="inlineStr">
        <is>
          <t>Kissimmee</t>
        </is>
      </c>
      <c r="C164" s="9" t="inlineStr">
        <is>
          <t>Florida</t>
        </is>
      </c>
      <c r="D164" s="9" t="inlineStr">
        <is>
          <t>United States</t>
        </is>
      </c>
      <c r="E164" s="9" t="n">
        <v>3</v>
      </c>
      <c r="F164" s="9" t="n">
        <v>1</v>
      </c>
      <c r="G164" s="10" t="n">
        <v>45913</v>
      </c>
      <c r="H164" s="10" t="n">
        <v>45915</v>
      </c>
    </row>
    <row r="165">
      <c r="A165" s="9" t="n">
        <v>161</v>
      </c>
      <c r="B165" s="9" t="inlineStr">
        <is>
          <t>Chantilly</t>
        </is>
      </c>
      <c r="C165" s="9" t="inlineStr">
        <is>
          <t>Virginia</t>
        </is>
      </c>
      <c r="D165" s="9" t="inlineStr">
        <is>
          <t>United States</t>
        </is>
      </c>
      <c r="E165" s="9" t="n">
        <v>3</v>
      </c>
      <c r="F165" s="9" t="n">
        <v>1</v>
      </c>
      <c r="G165" s="10" t="n">
        <v>45920</v>
      </c>
      <c r="H165" s="10" t="n">
        <v>45922</v>
      </c>
    </row>
    <row r="166">
      <c r="A166" s="9" t="n">
        <v>162</v>
      </c>
      <c r="B166" s="9" t="inlineStr">
        <is>
          <t>Boston</t>
        </is>
      </c>
      <c r="C166" s="9" t="inlineStr">
        <is>
          <t>Massachusetts</t>
        </is>
      </c>
      <c r="D166" s="9" t="inlineStr">
        <is>
          <t>United States</t>
        </is>
      </c>
      <c r="E166" s="9" t="n">
        <v>3</v>
      </c>
      <c r="F166" s="9" t="n">
        <v>1</v>
      </c>
      <c r="G166" s="10" t="n">
        <v>45923</v>
      </c>
      <c r="H166" s="10" t="n">
        <v>45925</v>
      </c>
    </row>
    <row r="167">
      <c r="A167" s="9" t="n">
        <v>163</v>
      </c>
      <c r="B167" s="9" t="inlineStr">
        <is>
          <t>Shrewsbury</t>
        </is>
      </c>
      <c r="C167" s="9" t="inlineStr">
        <is>
          <t>Massachusetts</t>
        </is>
      </c>
      <c r="D167" s="9" t="inlineStr">
        <is>
          <t>United States</t>
        </is>
      </c>
      <c r="E167" s="9" t="n">
        <v>3</v>
      </c>
      <c r="F167" s="9" t="n">
        <v>1</v>
      </c>
      <c r="G167" s="10" t="n">
        <v>45923</v>
      </c>
      <c r="H167" s="10" t="n">
        <v>45925</v>
      </c>
    </row>
    <row r="168">
      <c r="A168" s="9" t="n">
        <v>164</v>
      </c>
      <c r="B168" s="9" t="inlineStr">
        <is>
          <t>Manipal</t>
        </is>
      </c>
      <c r="C168" s="9" t="inlineStr">
        <is>
          <t>Karnataka</t>
        </is>
      </c>
      <c r="D168" s="9" t="inlineStr">
        <is>
          <t>India</t>
        </is>
      </c>
      <c r="E168" s="9" t="n">
        <v>3</v>
      </c>
      <c r="F168" s="9" t="n">
        <v>1</v>
      </c>
      <c r="G168" s="10" t="n">
        <v>46299</v>
      </c>
      <c r="H168" s="10" t="n">
        <v>46301</v>
      </c>
    </row>
    <row r="169">
      <c r="A169" s="9" t="n">
        <v>165</v>
      </c>
      <c r="B169" s="9" t="inlineStr">
        <is>
          <t>Nellore</t>
        </is>
      </c>
      <c r="C169" s="9" t="inlineStr">
        <is>
          <t>Andhra Pradesh</t>
        </is>
      </c>
      <c r="D169" s="9" t="inlineStr">
        <is>
          <t>India</t>
        </is>
      </c>
      <c r="E169" s="9" t="n">
        <v>2</v>
      </c>
      <c r="F169" s="9" t="n">
        <v>1</v>
      </c>
      <c r="G169" s="10" t="n">
        <v>42294</v>
      </c>
      <c r="H169" s="10" t="n">
        <v>42296</v>
      </c>
    </row>
    <row r="170">
      <c r="A170" s="9" t="n">
        <v>166</v>
      </c>
      <c r="B170" s="9" t="inlineStr">
        <is>
          <t>Pandharpur</t>
        </is>
      </c>
      <c r="C170" s="9" t="inlineStr">
        <is>
          <t>Maharashtra</t>
        </is>
      </c>
      <c r="D170" s="9" t="inlineStr">
        <is>
          <t>India</t>
        </is>
      </c>
      <c r="E170" s="9" t="n">
        <v>2</v>
      </c>
      <c r="F170" s="9" t="n">
        <v>1</v>
      </c>
      <c r="G170" s="10" t="n">
        <v>42768</v>
      </c>
      <c r="H170" s="10" t="n">
        <v>42769</v>
      </c>
    </row>
    <row r="171">
      <c r="A171" s="9" t="n">
        <v>167</v>
      </c>
      <c r="B171" s="9" t="inlineStr">
        <is>
          <t>Siddipet</t>
        </is>
      </c>
      <c r="C171" s="9" t="inlineStr">
        <is>
          <t>Telangana</t>
        </is>
      </c>
      <c r="D171" s="9" t="inlineStr">
        <is>
          <t>India</t>
        </is>
      </c>
      <c r="E171" s="9" t="n">
        <v>2</v>
      </c>
      <c r="F171" s="9" t="n">
        <v>1</v>
      </c>
      <c r="G171" s="10" t="n">
        <v>42910</v>
      </c>
      <c r="H171" s="10" t="n">
        <v>42911</v>
      </c>
    </row>
    <row r="172">
      <c r="A172" s="9" t="n">
        <v>168</v>
      </c>
      <c r="B172" s="9" t="inlineStr">
        <is>
          <t>Handia</t>
        </is>
      </c>
      <c r="C172" s="9" t="inlineStr">
        <is>
          <t>Uttar Pradesh</t>
        </is>
      </c>
      <c r="D172" s="9" t="inlineStr">
        <is>
          <t>India</t>
        </is>
      </c>
      <c r="E172" s="9" t="n">
        <v>2</v>
      </c>
      <c r="F172" s="9" t="n">
        <v>1</v>
      </c>
      <c r="G172" s="10" t="n">
        <v>43756</v>
      </c>
      <c r="H172" s="10" t="n">
        <v>43758</v>
      </c>
    </row>
    <row r="173">
      <c r="A173" s="9" t="n">
        <v>169</v>
      </c>
      <c r="B173" s="9" t="inlineStr">
        <is>
          <t>Anuradhapura</t>
        </is>
      </c>
      <c r="C173" s="9" t="inlineStr">
        <is>
          <t>North Central Province</t>
        </is>
      </c>
      <c r="D173" s="9" t="inlineStr">
        <is>
          <t>Sri Lanka</t>
        </is>
      </c>
      <c r="E173" s="9" t="n">
        <v>2</v>
      </c>
      <c r="F173" s="9" t="n">
        <v>1</v>
      </c>
      <c r="G173" s="10" t="n">
        <v>43819</v>
      </c>
      <c r="H173" s="10" t="n">
        <v>43820</v>
      </c>
    </row>
    <row r="174">
      <c r="A174" s="9" t="n">
        <v>170</v>
      </c>
      <c r="B174" s="9" t="inlineStr">
        <is>
          <t>Tiruchirappalli</t>
        </is>
      </c>
      <c r="C174" s="9" t="inlineStr">
        <is>
          <t>Tamil Nadu</t>
        </is>
      </c>
      <c r="D174" s="9" t="inlineStr">
        <is>
          <t>India</t>
        </is>
      </c>
      <c r="E174" s="9" t="n">
        <v>2</v>
      </c>
      <c r="F174" s="9" t="n">
        <v>1</v>
      </c>
      <c r="G174" s="10" t="n">
        <v>44746</v>
      </c>
      <c r="H174" s="10" t="n">
        <v>44747</v>
      </c>
    </row>
    <row r="175">
      <c r="A175" s="9" t="n">
        <v>171</v>
      </c>
      <c r="B175" s="9" t="inlineStr">
        <is>
          <t>Purna</t>
        </is>
      </c>
      <c r="C175" s="9" t="inlineStr">
        <is>
          <t>Maharashtra</t>
        </is>
      </c>
      <c r="D175" s="9" t="inlineStr">
        <is>
          <t>India</t>
        </is>
      </c>
      <c r="E175" s="9" t="n">
        <v>2</v>
      </c>
      <c r="F175" s="9" t="n">
        <v>1</v>
      </c>
      <c r="G175" s="10" t="n">
        <v>44752</v>
      </c>
      <c r="H175" s="10" t="n">
        <v>44753</v>
      </c>
    </row>
    <row r="176">
      <c r="A176" s="9" t="n">
        <v>172</v>
      </c>
      <c r="B176" s="9" t="inlineStr">
        <is>
          <t>Rampur Hat</t>
        </is>
      </c>
      <c r="C176" s="9" t="inlineStr">
        <is>
          <t>West Bengal</t>
        </is>
      </c>
      <c r="D176" s="9" t="inlineStr">
        <is>
          <t>India</t>
        </is>
      </c>
      <c r="E176" s="9" t="n">
        <v>2</v>
      </c>
      <c r="F176" s="9" t="n">
        <v>1</v>
      </c>
      <c r="G176" s="10" t="n">
        <v>44907</v>
      </c>
      <c r="H176" s="10" t="n">
        <v>44908</v>
      </c>
    </row>
    <row r="177">
      <c r="A177" s="9" t="n">
        <v>173</v>
      </c>
      <c r="B177" s="9" t="inlineStr">
        <is>
          <t>Belur</t>
        </is>
      </c>
      <c r="C177" s="9" t="inlineStr">
        <is>
          <t>Karnataka</t>
        </is>
      </c>
      <c r="D177" s="9" t="inlineStr">
        <is>
          <t>India</t>
        </is>
      </c>
      <c r="E177" s="9" t="n">
        <v>2</v>
      </c>
      <c r="F177" s="9" t="n">
        <v>1</v>
      </c>
      <c r="G177" s="10" t="n">
        <v>45073</v>
      </c>
      <c r="H177" s="10" t="n">
        <v>45074</v>
      </c>
    </row>
    <row r="178">
      <c r="A178" s="9" t="n">
        <v>174</v>
      </c>
      <c r="B178" s="9" t="inlineStr">
        <is>
          <t>Brussels</t>
        </is>
      </c>
      <c r="C178" s="9" t="inlineStr">
        <is>
          <t>Brussels Capital</t>
        </is>
      </c>
      <c r="D178" s="9" t="inlineStr">
        <is>
          <t>Belgium</t>
        </is>
      </c>
      <c r="E178" s="9" t="n">
        <v>2</v>
      </c>
      <c r="F178" s="9" t="n">
        <v>1</v>
      </c>
      <c r="G178" s="10" t="n">
        <v>45491</v>
      </c>
      <c r="H178" s="10" t="n">
        <v>45492</v>
      </c>
    </row>
    <row r="179">
      <c r="A179" s="9" t="n">
        <v>175</v>
      </c>
      <c r="B179" s="9" t="inlineStr">
        <is>
          <t>Amsterdam</t>
        </is>
      </c>
      <c r="C179" s="9" t="inlineStr">
        <is>
          <t>North Holland</t>
        </is>
      </c>
      <c r="D179" s="9" t="inlineStr">
        <is>
          <t>Netherlands</t>
        </is>
      </c>
      <c r="E179" s="9" t="n">
        <v>2</v>
      </c>
      <c r="F179" s="9" t="n">
        <v>1</v>
      </c>
      <c r="G179" s="10" t="n">
        <v>45492</v>
      </c>
      <c r="H179" s="10" t="n">
        <v>45493</v>
      </c>
    </row>
    <row r="180">
      <c r="A180" s="9" t="n">
        <v>176</v>
      </c>
      <c r="B180" s="9" t="inlineStr">
        <is>
          <t>Zurich (Kreis 11) / Seebach</t>
        </is>
      </c>
      <c r="C180" s="9" t="inlineStr">
        <is>
          <t>Zurich</t>
        </is>
      </c>
      <c r="D180" s="9" t="inlineStr">
        <is>
          <t>Switzerland</t>
        </is>
      </c>
      <c r="E180" s="9" t="n">
        <v>2</v>
      </c>
      <c r="F180" s="9" t="n">
        <v>1</v>
      </c>
      <c r="G180" s="10" t="n">
        <v>45495</v>
      </c>
      <c r="H180" s="10" t="n">
        <v>45496</v>
      </c>
    </row>
    <row r="181">
      <c r="A181" s="9" t="n">
        <v>177</v>
      </c>
      <c r="B181" s="9" t="inlineStr">
        <is>
          <t>Florence</t>
        </is>
      </c>
      <c r="C181" s="9" t="inlineStr">
        <is>
          <t>Tuscany</t>
        </is>
      </c>
      <c r="D181" s="9" t="inlineStr">
        <is>
          <t>Italy</t>
        </is>
      </c>
      <c r="E181" s="9" t="n">
        <v>2</v>
      </c>
      <c r="F181" s="9" t="n">
        <v>1</v>
      </c>
      <c r="G181" s="10" t="n">
        <v>45497</v>
      </c>
      <c r="H181" s="10" t="n">
        <v>45498</v>
      </c>
    </row>
    <row r="182">
      <c r="A182" s="9" t="n">
        <v>178</v>
      </c>
      <c r="B182" s="9" t="inlineStr">
        <is>
          <t>Perugia</t>
        </is>
      </c>
      <c r="C182" s="9" t="inlineStr">
        <is>
          <t>Umbria</t>
        </is>
      </c>
      <c r="D182" s="9" t="inlineStr">
        <is>
          <t>Italy</t>
        </is>
      </c>
      <c r="E182" s="9" t="n">
        <v>2</v>
      </c>
      <c r="F182" s="9" t="n">
        <v>1</v>
      </c>
      <c r="G182" s="10" t="n">
        <v>45498</v>
      </c>
      <c r="H182" s="10" t="n">
        <v>45499</v>
      </c>
    </row>
    <row r="183">
      <c r="A183" s="9" t="n">
        <v>179</v>
      </c>
      <c r="B183" s="9" t="inlineStr">
        <is>
          <t>Umraniye</t>
        </is>
      </c>
      <c r="C183" s="9" t="inlineStr">
        <is>
          <t>Istanbul</t>
        </is>
      </c>
      <c r="D183" s="9" t="inlineStr">
        <is>
          <t>Turkey</t>
        </is>
      </c>
      <c r="E183" s="9" t="n">
        <v>2</v>
      </c>
      <c r="F183" s="9" t="n">
        <v>1</v>
      </c>
      <c r="G183" s="10" t="n">
        <v>45504</v>
      </c>
      <c r="H183" s="10" t="n">
        <v>45505</v>
      </c>
    </row>
    <row r="184">
      <c r="A184" s="9" t="n">
        <v>180</v>
      </c>
      <c r="B184" s="9" t="inlineStr">
        <is>
          <t>Puttur</t>
        </is>
      </c>
      <c r="C184" s="9" t="inlineStr">
        <is>
          <t>Andhra Pradesh</t>
        </is>
      </c>
      <c r="D184" s="9" t="inlineStr">
        <is>
          <t>India</t>
        </is>
      </c>
      <c r="E184" s="9" t="n">
        <v>2</v>
      </c>
      <c r="F184" s="9" t="n">
        <v>1</v>
      </c>
      <c r="G184" s="10" t="n">
        <v>45771</v>
      </c>
      <c r="H184" s="10" t="n">
        <v>45772</v>
      </c>
    </row>
    <row r="185">
      <c r="A185" s="9" t="n">
        <v>181</v>
      </c>
      <c r="B185" s="9" t="inlineStr">
        <is>
          <t>The Bronx</t>
        </is>
      </c>
      <c r="C185" s="9" t="inlineStr">
        <is>
          <t>New York</t>
        </is>
      </c>
      <c r="D185" s="9" t="inlineStr">
        <is>
          <t>United States</t>
        </is>
      </c>
      <c r="E185" s="9" t="n">
        <v>2</v>
      </c>
      <c r="F185" s="9" t="n">
        <v>1</v>
      </c>
      <c r="G185" s="10" t="n">
        <v>45904</v>
      </c>
      <c r="H185" s="10" t="n">
        <v>45905</v>
      </c>
    </row>
    <row r="186">
      <c r="A186" s="9" t="n">
        <v>182</v>
      </c>
      <c r="B186" s="9" t="inlineStr">
        <is>
          <t>Amherst</t>
        </is>
      </c>
      <c r="C186" s="9" t="inlineStr">
        <is>
          <t>New York</t>
        </is>
      </c>
      <c r="D186" s="9" t="inlineStr">
        <is>
          <t>United States</t>
        </is>
      </c>
      <c r="E186" s="9" t="n">
        <v>2</v>
      </c>
      <c r="F186" s="9" t="n">
        <v>1</v>
      </c>
      <c r="G186" s="10" t="n">
        <v>45905</v>
      </c>
      <c r="H186" s="10" t="n">
        <v>45906</v>
      </c>
    </row>
    <row r="187">
      <c r="A187" s="9" t="n">
        <v>183</v>
      </c>
      <c r="B187" s="9" t="inlineStr">
        <is>
          <t>Niagara Falls</t>
        </is>
      </c>
      <c r="C187" s="9" t="inlineStr">
        <is>
          <t>New York</t>
        </is>
      </c>
      <c r="D187" s="9" t="inlineStr">
        <is>
          <t>United States</t>
        </is>
      </c>
      <c r="E187" s="9" t="n">
        <v>2</v>
      </c>
      <c r="F187" s="9" t="n">
        <v>1</v>
      </c>
      <c r="G187" s="10" t="n">
        <v>45905</v>
      </c>
      <c r="H187" s="10" t="n">
        <v>45906</v>
      </c>
    </row>
    <row r="188">
      <c r="A188" s="9" t="n">
        <v>184</v>
      </c>
      <c r="B188" s="9" t="inlineStr">
        <is>
          <t>Monroeville</t>
        </is>
      </c>
      <c r="C188" s="9" t="inlineStr">
        <is>
          <t>Pennsylvania</t>
        </is>
      </c>
      <c r="D188" s="9" t="inlineStr">
        <is>
          <t>United States</t>
        </is>
      </c>
      <c r="E188" s="9" t="n">
        <v>2</v>
      </c>
      <c r="F188" s="9" t="n">
        <v>1</v>
      </c>
      <c r="G188" s="10" t="n">
        <v>45906</v>
      </c>
      <c r="H188" s="10" t="n">
        <v>45907</v>
      </c>
    </row>
    <row r="189">
      <c r="A189" s="9" t="n">
        <v>185</v>
      </c>
      <c r="B189" s="9" t="inlineStr">
        <is>
          <t>Gaithersburg</t>
        </is>
      </c>
      <c r="C189" s="9" t="inlineStr">
        <is>
          <t>Maryland</t>
        </is>
      </c>
      <c r="D189" s="9" t="inlineStr">
        <is>
          <t>United States</t>
        </is>
      </c>
      <c r="E189" s="9" t="n">
        <v>2</v>
      </c>
      <c r="F189" s="9" t="n">
        <v>1</v>
      </c>
      <c r="G189" s="10" t="n">
        <v>45908</v>
      </c>
      <c r="H189" s="10" t="n">
        <v>45909</v>
      </c>
    </row>
    <row r="190">
      <c r="A190" s="9" t="n">
        <v>186</v>
      </c>
      <c r="B190" s="9" t="inlineStr">
        <is>
          <t>Baltimore</t>
        </is>
      </c>
      <c r="C190" s="9" t="inlineStr">
        <is>
          <t>Maryland</t>
        </is>
      </c>
      <c r="D190" s="9" t="inlineStr">
        <is>
          <t>United States</t>
        </is>
      </c>
      <c r="E190" s="9" t="n">
        <v>2</v>
      </c>
      <c r="F190" s="9" t="n">
        <v>1</v>
      </c>
      <c r="G190" s="10" t="n">
        <v>45908</v>
      </c>
      <c r="H190" s="10" t="n">
        <v>45909</v>
      </c>
    </row>
    <row r="191">
      <c r="A191" s="9" t="n">
        <v>187</v>
      </c>
      <c r="B191" s="9" t="inlineStr">
        <is>
          <t>Mercerville-Hamilton Square</t>
        </is>
      </c>
      <c r="C191" s="9" t="inlineStr">
        <is>
          <t>New Jersey</t>
        </is>
      </c>
      <c r="D191" s="9" t="inlineStr">
        <is>
          <t>United States</t>
        </is>
      </c>
      <c r="E191" s="9" t="n">
        <v>2</v>
      </c>
      <c r="F191" s="9" t="n">
        <v>1</v>
      </c>
      <c r="G191" s="10" t="n">
        <v>45910</v>
      </c>
      <c r="H191" s="10" t="n">
        <v>45911</v>
      </c>
    </row>
    <row r="192">
      <c r="A192" s="9" t="n">
        <v>188</v>
      </c>
      <c r="B192" s="9" t="inlineStr">
        <is>
          <t>Manhattan</t>
        </is>
      </c>
      <c r="C192" s="9" t="inlineStr">
        <is>
          <t>New York</t>
        </is>
      </c>
      <c r="D192" s="9" t="inlineStr">
        <is>
          <t>United States</t>
        </is>
      </c>
      <c r="E192" s="9" t="n">
        <v>2</v>
      </c>
      <c r="F192" s="9" t="n">
        <v>1</v>
      </c>
      <c r="G192" s="10" t="n">
        <v>45911</v>
      </c>
      <c r="H192" s="10" t="n">
        <v>45912</v>
      </c>
    </row>
    <row r="193">
      <c r="A193" s="9" t="n">
        <v>189</v>
      </c>
      <c r="B193" s="9" t="inlineStr">
        <is>
          <t>Meadow Woods</t>
        </is>
      </c>
      <c r="C193" s="9" t="inlineStr">
        <is>
          <t>Florida</t>
        </is>
      </c>
      <c r="D193" s="9" t="inlineStr">
        <is>
          <t>United States</t>
        </is>
      </c>
      <c r="E193" s="9" t="n">
        <v>2</v>
      </c>
      <c r="F193" s="9" t="n">
        <v>1</v>
      </c>
      <c r="G193" s="10" t="n">
        <v>45912</v>
      </c>
      <c r="H193" s="10" t="n">
        <v>45913</v>
      </c>
    </row>
    <row r="194">
      <c r="A194" s="9" t="n">
        <v>190</v>
      </c>
      <c r="B194" s="9" t="inlineStr">
        <is>
          <t>Jacksonville</t>
        </is>
      </c>
      <c r="C194" s="9" t="inlineStr">
        <is>
          <t>Florida</t>
        </is>
      </c>
      <c r="D194" s="9" t="inlineStr">
        <is>
          <t>United States</t>
        </is>
      </c>
      <c r="E194" s="9" t="n">
        <v>2</v>
      </c>
      <c r="F194" s="9" t="n">
        <v>1</v>
      </c>
      <c r="G194" s="10" t="n">
        <v>45916</v>
      </c>
      <c r="H194" s="10" t="n">
        <v>45917</v>
      </c>
    </row>
    <row r="195">
      <c r="A195" s="9" t="n">
        <v>191</v>
      </c>
      <c r="B195" s="9" t="inlineStr">
        <is>
          <t>Bilimora</t>
        </is>
      </c>
      <c r="C195" s="9" t="inlineStr">
        <is>
          <t>Gujarat</t>
        </is>
      </c>
      <c r="D195" s="9" t="inlineStr">
        <is>
          <t>India</t>
        </is>
      </c>
      <c r="E195" s="9" t="n">
        <v>1</v>
      </c>
      <c r="F195" s="9" t="n">
        <v>1</v>
      </c>
      <c r="G195" s="10" t="n">
        <v>42118</v>
      </c>
      <c r="H195" s="10" t="n">
        <v>42118</v>
      </c>
    </row>
    <row r="196">
      <c r="A196" s="9" t="n">
        <v>192</v>
      </c>
      <c r="B196" s="9" t="inlineStr">
        <is>
          <t>Piduguralla</t>
        </is>
      </c>
      <c r="C196" s="9" t="inlineStr">
        <is>
          <t>Andhra Pradesh</t>
        </is>
      </c>
      <c r="D196" s="9" t="inlineStr">
        <is>
          <t>India</t>
        </is>
      </c>
      <c r="E196" s="9" t="n">
        <v>1</v>
      </c>
      <c r="F196" s="9" t="n">
        <v>1</v>
      </c>
      <c r="G196" s="10" t="n">
        <v>42294</v>
      </c>
      <c r="H196" s="10" t="n">
        <v>42294</v>
      </c>
    </row>
    <row r="197">
      <c r="A197" s="9" t="n">
        <v>193</v>
      </c>
      <c r="B197" s="9" t="inlineStr">
        <is>
          <t>Kavali</t>
        </is>
      </c>
      <c r="C197" s="9" t="inlineStr">
        <is>
          <t>Andhra Pradesh</t>
        </is>
      </c>
      <c r="D197" s="9" t="inlineStr">
        <is>
          <t>India</t>
        </is>
      </c>
      <c r="E197" s="9" t="n">
        <v>1</v>
      </c>
      <c r="F197" s="9" t="n">
        <v>1</v>
      </c>
      <c r="G197" s="10" t="n">
        <v>42294</v>
      </c>
      <c r="H197" s="10" t="n">
        <v>42294</v>
      </c>
    </row>
    <row r="198">
      <c r="A198" s="9" t="n">
        <v>194</v>
      </c>
      <c r="B198" s="9" t="inlineStr">
        <is>
          <t>Bhadrachalam</t>
        </is>
      </c>
      <c r="C198" s="9" t="inlineStr">
        <is>
          <t>Telangana</t>
        </is>
      </c>
      <c r="D198" s="9" t="inlineStr">
        <is>
          <t>India</t>
        </is>
      </c>
      <c r="E198" s="9" t="n">
        <v>1</v>
      </c>
      <c r="F198" s="9" t="n">
        <v>1</v>
      </c>
      <c r="G198" s="10" t="n">
        <v>42448</v>
      </c>
      <c r="H198" s="10" t="n">
        <v>42448</v>
      </c>
    </row>
    <row r="199">
      <c r="A199" s="9" t="n">
        <v>195</v>
      </c>
      <c r="B199" s="9" t="inlineStr">
        <is>
          <t>Manuguru</t>
        </is>
      </c>
      <c r="C199" s="9" t="inlineStr">
        <is>
          <t>Telangana</t>
        </is>
      </c>
      <c r="D199" s="9" t="inlineStr">
        <is>
          <t>India</t>
        </is>
      </c>
      <c r="E199" s="9" t="n">
        <v>1</v>
      </c>
      <c r="F199" s="9" t="n">
        <v>1</v>
      </c>
      <c r="G199" s="10" t="n">
        <v>42448</v>
      </c>
      <c r="H199" s="10" t="n">
        <v>42448</v>
      </c>
    </row>
    <row r="200">
      <c r="A200" s="9" t="n">
        <v>196</v>
      </c>
      <c r="B200" s="9" t="inlineStr">
        <is>
          <t>Nadim Tiruvuru</t>
        </is>
      </c>
      <c r="C200" s="9" t="inlineStr">
        <is>
          <t>Andhra Pradesh</t>
        </is>
      </c>
      <c r="D200" s="9" t="inlineStr">
        <is>
          <t>India</t>
        </is>
      </c>
      <c r="E200" s="9" t="n">
        <v>1</v>
      </c>
      <c r="F200" s="9" t="n">
        <v>1</v>
      </c>
      <c r="G200" s="10" t="n">
        <v>42449</v>
      </c>
      <c r="H200" s="10" t="n">
        <v>42449</v>
      </c>
    </row>
    <row r="201">
      <c r="A201" s="9" t="n">
        <v>197</v>
      </c>
      <c r="B201" s="9" t="inlineStr">
        <is>
          <t>Kalna</t>
        </is>
      </c>
      <c r="C201" s="9" t="inlineStr">
        <is>
          <t>West Bengal</t>
        </is>
      </c>
      <c r="D201" s="9" t="inlineStr">
        <is>
          <t>India</t>
        </is>
      </c>
      <c r="E201" s="9" t="n">
        <v>1</v>
      </c>
      <c r="F201" s="9" t="n">
        <v>1</v>
      </c>
      <c r="G201" s="10" t="n">
        <v>42580</v>
      </c>
      <c r="H201" s="10" t="n">
        <v>42580</v>
      </c>
    </row>
    <row r="202">
      <c r="A202" s="9" t="n">
        <v>198</v>
      </c>
      <c r="B202" s="9" t="inlineStr">
        <is>
          <t>Basavakalyan</t>
        </is>
      </c>
      <c r="C202" s="9" t="inlineStr">
        <is>
          <t>Karnataka</t>
        </is>
      </c>
      <c r="D202" s="9" t="inlineStr">
        <is>
          <t>India</t>
        </is>
      </c>
      <c r="E202" s="9" t="n">
        <v>1</v>
      </c>
      <c r="F202" s="9" t="n">
        <v>1</v>
      </c>
      <c r="G202" s="10" t="n">
        <v>42768</v>
      </c>
      <c r="H202" s="10" t="n">
        <v>42768</v>
      </c>
    </row>
    <row r="203">
      <c r="A203" s="9" t="n">
        <v>199</v>
      </c>
      <c r="B203" s="9" t="inlineStr">
        <is>
          <t>Belagavi</t>
        </is>
      </c>
      <c r="C203" s="9" t="inlineStr">
        <is>
          <t>Karnataka</t>
        </is>
      </c>
      <c r="D203" s="9" t="inlineStr">
        <is>
          <t>India</t>
        </is>
      </c>
      <c r="E203" s="9" t="n">
        <v>1</v>
      </c>
      <c r="F203" s="9" t="n">
        <v>1</v>
      </c>
      <c r="G203" s="10" t="n">
        <v>42769</v>
      </c>
      <c r="H203" s="10" t="n">
        <v>42769</v>
      </c>
    </row>
    <row r="204">
      <c r="A204" s="9" t="n">
        <v>200</v>
      </c>
      <c r="B204" s="9" t="inlineStr">
        <is>
          <t>Gadag-Betageri</t>
        </is>
      </c>
      <c r="C204" s="9" t="inlineStr">
        <is>
          <t>Karnataka</t>
        </is>
      </c>
      <c r="D204" s="9" t="inlineStr">
        <is>
          <t>India</t>
        </is>
      </c>
      <c r="E204" s="9" t="n">
        <v>1</v>
      </c>
      <c r="F204" s="9" t="n">
        <v>1</v>
      </c>
      <c r="G204" s="10" t="n">
        <v>42771</v>
      </c>
      <c r="H204" s="10" t="n">
        <v>42771</v>
      </c>
    </row>
    <row r="205">
      <c r="A205" s="9" t="n">
        <v>201</v>
      </c>
      <c r="B205" s="9" t="inlineStr">
        <is>
          <t>Yellapur</t>
        </is>
      </c>
      <c r="C205" s="9" t="inlineStr">
        <is>
          <t>Karnataka</t>
        </is>
      </c>
      <c r="D205" s="9" t="inlineStr">
        <is>
          <t>India</t>
        </is>
      </c>
      <c r="E205" s="9" t="n">
        <v>1</v>
      </c>
      <c r="F205" s="9" t="n">
        <v>1</v>
      </c>
      <c r="G205" s="10" t="n">
        <v>42813</v>
      </c>
      <c r="H205" s="10" t="n">
        <v>42813</v>
      </c>
    </row>
    <row r="206">
      <c r="A206" s="9" t="n">
        <v>202</v>
      </c>
      <c r="B206" s="9" t="inlineStr">
        <is>
          <t>Hindupur</t>
        </is>
      </c>
      <c r="C206" s="9" t="inlineStr">
        <is>
          <t>Andhra Pradesh</t>
        </is>
      </c>
      <c r="D206" s="9" t="inlineStr">
        <is>
          <t>India</t>
        </is>
      </c>
      <c r="E206" s="9" t="n">
        <v>1</v>
      </c>
      <c r="F206" s="9" t="n">
        <v>1</v>
      </c>
      <c r="G206" s="10" t="n">
        <v>42824</v>
      </c>
      <c r="H206" s="10" t="n">
        <v>42824</v>
      </c>
    </row>
    <row r="207">
      <c r="A207" s="9" t="n">
        <v>203</v>
      </c>
      <c r="B207" s="9" t="inlineStr">
        <is>
          <t>Penukonda</t>
        </is>
      </c>
      <c r="C207" s="9" t="inlineStr">
        <is>
          <t>Andhra Pradesh</t>
        </is>
      </c>
      <c r="D207" s="9" t="inlineStr">
        <is>
          <t>India</t>
        </is>
      </c>
      <c r="E207" s="9" t="n">
        <v>1</v>
      </c>
      <c r="F207" s="9" t="n">
        <v>1</v>
      </c>
      <c r="G207" s="10" t="n">
        <v>42824</v>
      </c>
      <c r="H207" s="10" t="n">
        <v>42824</v>
      </c>
    </row>
    <row r="208">
      <c r="A208" s="9" t="n">
        <v>204</v>
      </c>
      <c r="B208" s="9" t="inlineStr">
        <is>
          <t>Betamcherla</t>
        </is>
      </c>
      <c r="C208" s="9" t="inlineStr">
        <is>
          <t>Andhra Pradesh</t>
        </is>
      </c>
      <c r="D208" s="9" t="inlineStr">
        <is>
          <t>India</t>
        </is>
      </c>
      <c r="E208" s="9" t="n">
        <v>1</v>
      </c>
      <c r="F208" s="9" t="n">
        <v>1</v>
      </c>
      <c r="G208" s="10" t="n">
        <v>42910</v>
      </c>
      <c r="H208" s="10" t="n">
        <v>42910</v>
      </c>
    </row>
    <row r="209">
      <c r="A209" s="9" t="n">
        <v>205</v>
      </c>
      <c r="B209" s="9" t="inlineStr">
        <is>
          <t>Razampeta</t>
        </is>
      </c>
      <c r="C209" s="9" t="inlineStr">
        <is>
          <t>Andhra Pradesh</t>
        </is>
      </c>
      <c r="D209" s="9" t="inlineStr">
        <is>
          <t>India</t>
        </is>
      </c>
      <c r="E209" s="9" t="n">
        <v>1</v>
      </c>
      <c r="F209" s="9" t="n">
        <v>1</v>
      </c>
      <c r="G209" s="10" t="n">
        <v>42910</v>
      </c>
      <c r="H209" s="10" t="n">
        <v>42910</v>
      </c>
    </row>
    <row r="210">
      <c r="A210" s="9" t="n">
        <v>206</v>
      </c>
      <c r="B210" s="9" t="inlineStr">
        <is>
          <t>Navi Mumbai</t>
        </is>
      </c>
      <c r="C210" s="9" t="inlineStr">
        <is>
          <t>Maharashtra</t>
        </is>
      </c>
      <c r="D210" s="9" t="inlineStr">
        <is>
          <t>India</t>
        </is>
      </c>
      <c r="E210" s="9" t="n">
        <v>1</v>
      </c>
      <c r="F210" s="9" t="n">
        <v>1</v>
      </c>
      <c r="G210" s="10" t="n">
        <v>42929</v>
      </c>
      <c r="H210" s="10" t="n">
        <v>42929</v>
      </c>
    </row>
    <row r="211">
      <c r="A211" s="9" t="n">
        <v>207</v>
      </c>
      <c r="B211" s="9" t="inlineStr">
        <is>
          <t>Bharuch</t>
        </is>
      </c>
      <c r="C211" s="9" t="inlineStr">
        <is>
          <t>Gujarat</t>
        </is>
      </c>
      <c r="D211" s="9" t="inlineStr">
        <is>
          <t>India</t>
        </is>
      </c>
      <c r="E211" s="9" t="n">
        <v>1</v>
      </c>
      <c r="F211" s="9" t="n">
        <v>1</v>
      </c>
      <c r="G211" s="10" t="n">
        <v>42930</v>
      </c>
      <c r="H211" s="10" t="n">
        <v>42930</v>
      </c>
    </row>
    <row r="212">
      <c r="A212" s="9" t="n">
        <v>208</v>
      </c>
      <c r="B212" s="9" t="inlineStr">
        <is>
          <t>Bholav</t>
        </is>
      </c>
      <c r="C212" s="9" t="inlineStr">
        <is>
          <t>Gujarat</t>
        </is>
      </c>
      <c r="D212" s="9" t="inlineStr">
        <is>
          <t>India</t>
        </is>
      </c>
      <c r="E212" s="9" t="n">
        <v>1</v>
      </c>
      <c r="F212" s="9" t="n">
        <v>1</v>
      </c>
      <c r="G212" s="10" t="n">
        <v>42935</v>
      </c>
      <c r="H212" s="10" t="n">
        <v>42935</v>
      </c>
    </row>
    <row r="213">
      <c r="A213" s="9" t="n">
        <v>209</v>
      </c>
      <c r="B213" s="9" t="inlineStr">
        <is>
          <t>Ankleshwar</t>
        </is>
      </c>
      <c r="C213" s="9" t="inlineStr">
        <is>
          <t>Gujarat</t>
        </is>
      </c>
      <c r="D213" s="9" t="inlineStr">
        <is>
          <t>India</t>
        </is>
      </c>
      <c r="E213" s="9" t="n">
        <v>1</v>
      </c>
      <c r="F213" s="9" t="n">
        <v>1</v>
      </c>
      <c r="G213" s="10" t="n">
        <v>42935</v>
      </c>
      <c r="H213" s="10" t="n">
        <v>42935</v>
      </c>
    </row>
    <row r="214">
      <c r="A214" s="9" t="n">
        <v>210</v>
      </c>
      <c r="B214" s="9" t="inlineStr">
        <is>
          <t>Bhayandar</t>
        </is>
      </c>
      <c r="C214" s="9" t="inlineStr">
        <is>
          <t>Maharashtra</t>
        </is>
      </c>
      <c r="D214" s="9" t="inlineStr">
        <is>
          <t>India</t>
        </is>
      </c>
      <c r="E214" s="9" t="n">
        <v>1</v>
      </c>
      <c r="F214" s="9" t="n">
        <v>1</v>
      </c>
      <c r="G214" s="10" t="n">
        <v>42935</v>
      </c>
      <c r="H214" s="10" t="n">
        <v>42935</v>
      </c>
    </row>
    <row r="215">
      <c r="A215" s="9" t="n">
        <v>211</v>
      </c>
      <c r="B215" s="9" t="inlineStr">
        <is>
          <t>Kalyan</t>
        </is>
      </c>
      <c r="C215" s="9" t="inlineStr">
        <is>
          <t>Maharashtra</t>
        </is>
      </c>
      <c r="D215" s="9" t="inlineStr">
        <is>
          <t>India</t>
        </is>
      </c>
      <c r="E215" s="9" t="n">
        <v>1</v>
      </c>
      <c r="F215" s="9" t="n">
        <v>1</v>
      </c>
      <c r="G215" s="10" t="n">
        <v>42935</v>
      </c>
      <c r="H215" s="10" t="n">
        <v>42935</v>
      </c>
    </row>
    <row r="216">
      <c r="A216" s="9" t="n">
        <v>212</v>
      </c>
      <c r="B216" s="9" t="inlineStr">
        <is>
          <t>Sholapur</t>
        </is>
      </c>
      <c r="C216" s="9" t="inlineStr">
        <is>
          <t>Maharashtra</t>
        </is>
      </c>
      <c r="D216" s="9" t="inlineStr">
        <is>
          <t>India</t>
        </is>
      </c>
      <c r="E216" s="9" t="n">
        <v>1</v>
      </c>
      <c r="F216" s="9" t="n">
        <v>1</v>
      </c>
      <c r="G216" s="10" t="n">
        <v>42936</v>
      </c>
      <c r="H216" s="10" t="n">
        <v>42936</v>
      </c>
    </row>
    <row r="217">
      <c r="A217" s="9" t="n">
        <v>213</v>
      </c>
      <c r="B217" s="9" t="inlineStr">
        <is>
          <t>Tuni</t>
        </is>
      </c>
      <c r="C217" s="9" t="inlineStr">
        <is>
          <t>Andhra Pradesh</t>
        </is>
      </c>
      <c r="D217" s="9" t="inlineStr">
        <is>
          <t>India</t>
        </is>
      </c>
      <c r="E217" s="9" t="n">
        <v>1</v>
      </c>
      <c r="F217" s="9" t="n">
        <v>1</v>
      </c>
      <c r="G217" s="10" t="n">
        <v>42971</v>
      </c>
      <c r="H217" s="10" t="n">
        <v>42971</v>
      </c>
    </row>
    <row r="218">
      <c r="A218" s="9" t="n">
        <v>214</v>
      </c>
      <c r="B218" s="9" t="inlineStr">
        <is>
          <t>Sriramnagar</t>
        </is>
      </c>
      <c r="C218" s="9" t="inlineStr">
        <is>
          <t>Andhra Pradesh</t>
        </is>
      </c>
      <c r="D218" s="9" t="inlineStr">
        <is>
          <t>India</t>
        </is>
      </c>
      <c r="E218" s="9" t="n">
        <v>1</v>
      </c>
      <c r="F218" s="9" t="n">
        <v>1</v>
      </c>
      <c r="G218" s="10" t="n">
        <v>42972</v>
      </c>
      <c r="H218" s="10" t="n">
        <v>42972</v>
      </c>
    </row>
    <row r="219">
      <c r="A219" s="9" t="n">
        <v>215</v>
      </c>
      <c r="B219" s="9" t="inlineStr">
        <is>
          <t>Nellimarla</t>
        </is>
      </c>
      <c r="C219" s="9" t="inlineStr">
        <is>
          <t>Andhra Pradesh</t>
        </is>
      </c>
      <c r="D219" s="9" t="inlineStr">
        <is>
          <t>India</t>
        </is>
      </c>
      <c r="E219" s="9" t="n">
        <v>1</v>
      </c>
      <c r="F219" s="9" t="n">
        <v>1</v>
      </c>
      <c r="G219" s="10" t="n">
        <v>42972</v>
      </c>
      <c r="H219" s="10" t="n">
        <v>42972</v>
      </c>
    </row>
    <row r="220">
      <c r="A220" s="9" t="n">
        <v>216</v>
      </c>
      <c r="B220" s="9" t="inlineStr">
        <is>
          <t>Dausa</t>
        </is>
      </c>
      <c r="C220" s="9" t="inlineStr">
        <is>
          <t>Rajasthan</t>
        </is>
      </c>
      <c r="D220" s="9" t="inlineStr">
        <is>
          <t>India</t>
        </is>
      </c>
      <c r="E220" s="9" t="n">
        <v>1</v>
      </c>
      <c r="F220" s="9" t="n">
        <v>1</v>
      </c>
      <c r="G220" s="10" t="n">
        <v>43009</v>
      </c>
      <c r="H220" s="10" t="n">
        <v>43009</v>
      </c>
    </row>
    <row r="221">
      <c r="A221" s="9" t="n">
        <v>217</v>
      </c>
      <c r="B221" s="9" t="inlineStr">
        <is>
          <t>Kozhikode</t>
        </is>
      </c>
      <c r="C221" s="9" t="inlineStr">
        <is>
          <t>Kerala</t>
        </is>
      </c>
      <c r="D221" s="9" t="inlineStr">
        <is>
          <t>India</t>
        </is>
      </c>
      <c r="E221" s="9" t="n">
        <v>1</v>
      </c>
      <c r="F221" s="9" t="n">
        <v>1</v>
      </c>
      <c r="G221" s="10" t="n">
        <v>43149</v>
      </c>
      <c r="H221" s="10" t="n">
        <v>43149</v>
      </c>
    </row>
    <row r="222">
      <c r="A222" s="9" t="n">
        <v>218</v>
      </c>
      <c r="B222" s="9" t="inlineStr">
        <is>
          <t>Tirur</t>
        </is>
      </c>
      <c r="C222" s="9" t="inlineStr">
        <is>
          <t>Kerala</t>
        </is>
      </c>
      <c r="D222" s="9" t="inlineStr">
        <is>
          <t>India</t>
        </is>
      </c>
      <c r="E222" s="9" t="n">
        <v>1</v>
      </c>
      <c r="F222" s="9" t="n">
        <v>1</v>
      </c>
      <c r="G222" s="10" t="n">
        <v>43149</v>
      </c>
      <c r="H222" s="10" t="n">
        <v>43149</v>
      </c>
    </row>
    <row r="223">
      <c r="A223" s="9" t="n">
        <v>219</v>
      </c>
      <c r="B223" s="9" t="inlineStr">
        <is>
          <t>Shoranur</t>
        </is>
      </c>
      <c r="C223" s="9" t="inlineStr">
        <is>
          <t>Kerala</t>
        </is>
      </c>
      <c r="D223" s="9" t="inlineStr">
        <is>
          <t>India</t>
        </is>
      </c>
      <c r="E223" s="9" t="n">
        <v>1</v>
      </c>
      <c r="F223" s="9" t="n">
        <v>1</v>
      </c>
      <c r="G223" s="10" t="n">
        <v>43149</v>
      </c>
      <c r="H223" s="10" t="n">
        <v>43149</v>
      </c>
    </row>
    <row r="224">
      <c r="A224" s="9" t="n">
        <v>220</v>
      </c>
      <c r="B224" s="9" t="inlineStr">
        <is>
          <t>Guruvayur</t>
        </is>
      </c>
      <c r="C224" s="9" t="inlineStr">
        <is>
          <t>Kerala</t>
        </is>
      </c>
      <c r="D224" s="9" t="inlineStr">
        <is>
          <t>India</t>
        </is>
      </c>
      <c r="E224" s="9" t="n">
        <v>1</v>
      </c>
      <c r="F224" s="9" t="n">
        <v>1</v>
      </c>
      <c r="G224" s="10" t="n">
        <v>43149</v>
      </c>
      <c r="H224" s="10" t="n">
        <v>43149</v>
      </c>
    </row>
    <row r="225">
      <c r="A225" s="9" t="n">
        <v>221</v>
      </c>
      <c r="B225" s="9" t="inlineStr">
        <is>
          <t>Kunnamkulam</t>
        </is>
      </c>
      <c r="C225" s="9" t="inlineStr">
        <is>
          <t>Kerala</t>
        </is>
      </c>
      <c r="D225" s="9" t="inlineStr">
        <is>
          <t>India</t>
        </is>
      </c>
      <c r="E225" s="9" t="n">
        <v>1</v>
      </c>
      <c r="F225" s="9" t="n">
        <v>1</v>
      </c>
      <c r="G225" s="10" t="n">
        <v>43149</v>
      </c>
      <c r="H225" s="10" t="n">
        <v>43149</v>
      </c>
    </row>
    <row r="226">
      <c r="A226" s="9" t="n">
        <v>222</v>
      </c>
      <c r="B226" s="9" t="inlineStr">
        <is>
          <t>Thrissur</t>
        </is>
      </c>
      <c r="C226" s="9" t="inlineStr">
        <is>
          <t>Kerala</t>
        </is>
      </c>
      <c r="D226" s="9" t="inlineStr">
        <is>
          <t>India</t>
        </is>
      </c>
      <c r="E226" s="9" t="n">
        <v>1</v>
      </c>
      <c r="F226" s="9" t="n">
        <v>1</v>
      </c>
      <c r="G226" s="10" t="n">
        <v>43149</v>
      </c>
      <c r="H226" s="10" t="n">
        <v>43149</v>
      </c>
    </row>
    <row r="227">
      <c r="A227" s="9" t="n">
        <v>223</v>
      </c>
      <c r="B227" s="9" t="inlineStr">
        <is>
          <t>Kanayannur</t>
        </is>
      </c>
      <c r="C227" s="9" t="inlineStr">
        <is>
          <t>Kerala</t>
        </is>
      </c>
      <c r="D227" s="9" t="inlineStr">
        <is>
          <t>India</t>
        </is>
      </c>
      <c r="E227" s="9" t="n">
        <v>1</v>
      </c>
      <c r="F227" s="9" t="n">
        <v>1</v>
      </c>
      <c r="G227" s="10" t="n">
        <v>43150</v>
      </c>
      <c r="H227" s="10" t="n">
        <v>43150</v>
      </c>
    </row>
    <row r="228">
      <c r="A228" s="9" t="n">
        <v>224</v>
      </c>
      <c r="B228" s="9" t="inlineStr">
        <is>
          <t>Kollam</t>
        </is>
      </c>
      <c r="C228" s="9" t="inlineStr">
        <is>
          <t>Kerala</t>
        </is>
      </c>
      <c r="D228" s="9" t="inlineStr">
        <is>
          <t>India</t>
        </is>
      </c>
      <c r="E228" s="9" t="n">
        <v>1</v>
      </c>
      <c r="F228" s="9" t="n">
        <v>1</v>
      </c>
      <c r="G228" s="10" t="n">
        <v>43150</v>
      </c>
      <c r="H228" s="10" t="n">
        <v>43150</v>
      </c>
    </row>
    <row r="229">
      <c r="A229" s="9" t="n">
        <v>225</v>
      </c>
      <c r="B229" s="9" t="inlineStr">
        <is>
          <t>Thiruvananthapuram</t>
        </is>
      </c>
      <c r="C229" s="9" t="inlineStr">
        <is>
          <t>Kerala</t>
        </is>
      </c>
      <c r="D229" s="9" t="inlineStr">
        <is>
          <t>India</t>
        </is>
      </c>
      <c r="E229" s="9" t="n">
        <v>1</v>
      </c>
      <c r="F229" s="9" t="n">
        <v>1</v>
      </c>
      <c r="G229" s="10" t="n">
        <v>43150</v>
      </c>
      <c r="H229" s="10" t="n">
        <v>43150</v>
      </c>
    </row>
    <row r="230">
      <c r="A230" s="9" t="n">
        <v>226</v>
      </c>
      <c r="B230" s="9" t="inlineStr">
        <is>
          <t>Kuzhithurai</t>
        </is>
      </c>
      <c r="C230" s="9" t="inlineStr">
        <is>
          <t>Tamil Nadu</t>
        </is>
      </c>
      <c r="D230" s="9" t="inlineStr">
        <is>
          <t>India</t>
        </is>
      </c>
      <c r="E230" s="9" t="n">
        <v>1</v>
      </c>
      <c r="F230" s="9" t="n">
        <v>1</v>
      </c>
      <c r="G230" s="10" t="n">
        <v>43150</v>
      </c>
      <c r="H230" s="10" t="n">
        <v>43150</v>
      </c>
    </row>
    <row r="231">
      <c r="A231" s="9" t="n">
        <v>227</v>
      </c>
      <c r="B231" s="9" t="inlineStr">
        <is>
          <t>Arakkonam</t>
        </is>
      </c>
      <c r="C231" s="9" t="inlineStr">
        <is>
          <t>Tamil Nadu</t>
        </is>
      </c>
      <c r="D231" s="9" t="inlineStr">
        <is>
          <t>India</t>
        </is>
      </c>
      <c r="E231" s="9" t="n">
        <v>1</v>
      </c>
      <c r="F231" s="9" t="n">
        <v>1</v>
      </c>
      <c r="G231" s="10" t="n">
        <v>43151</v>
      </c>
      <c r="H231" s="10" t="n">
        <v>43151</v>
      </c>
    </row>
    <row r="232">
      <c r="A232" s="9" t="n">
        <v>228</v>
      </c>
      <c r="B232" s="9" t="inlineStr">
        <is>
          <t>Sriperumbudur</t>
        </is>
      </c>
      <c r="C232" s="9" t="inlineStr">
        <is>
          <t>Tamil Nadu</t>
        </is>
      </c>
      <c r="D232" s="9" t="inlineStr">
        <is>
          <t>India</t>
        </is>
      </c>
      <c r="E232" s="9" t="n">
        <v>1</v>
      </c>
      <c r="F232" s="9" t="n">
        <v>1</v>
      </c>
      <c r="G232" s="10" t="n">
        <v>43151</v>
      </c>
      <c r="H232" s="10" t="n">
        <v>43151</v>
      </c>
    </row>
    <row r="233">
      <c r="A233" s="9" t="n">
        <v>229</v>
      </c>
      <c r="B233" s="9" t="inlineStr">
        <is>
          <t>Mancheral</t>
        </is>
      </c>
      <c r="C233" s="9" t="inlineStr">
        <is>
          <t>Telangana</t>
        </is>
      </c>
      <c r="D233" s="9" t="inlineStr">
        <is>
          <t>India</t>
        </is>
      </c>
      <c r="E233" s="9" t="n">
        <v>1</v>
      </c>
      <c r="F233" s="9" t="n">
        <v>1</v>
      </c>
      <c r="G233" s="10" t="n">
        <v>43374</v>
      </c>
      <c r="H233" s="10" t="n">
        <v>43374</v>
      </c>
    </row>
    <row r="234">
      <c r="A234" s="9" t="n">
        <v>230</v>
      </c>
      <c r="B234" s="9" t="inlineStr">
        <is>
          <t>Sattenapalle</t>
        </is>
      </c>
      <c r="C234" s="9" t="inlineStr">
        <is>
          <t>Andhra Pradesh</t>
        </is>
      </c>
      <c r="D234" s="9" t="inlineStr">
        <is>
          <t>India</t>
        </is>
      </c>
      <c r="E234" s="9" t="n">
        <v>1</v>
      </c>
      <c r="F234" s="9" t="n">
        <v>1</v>
      </c>
      <c r="G234" s="10" t="n">
        <v>43385</v>
      </c>
      <c r="H234" s="10" t="n">
        <v>43385</v>
      </c>
    </row>
    <row r="235">
      <c r="A235" s="9" t="n">
        <v>231</v>
      </c>
      <c r="B235" s="9" t="inlineStr">
        <is>
          <t>Samalkot</t>
        </is>
      </c>
      <c r="C235" s="9" t="inlineStr">
        <is>
          <t>Andhra Pradesh</t>
        </is>
      </c>
      <c r="D235" s="9" t="inlineStr">
        <is>
          <t>India</t>
        </is>
      </c>
      <c r="E235" s="9" t="n">
        <v>1</v>
      </c>
      <c r="F235" s="9" t="n">
        <v>1</v>
      </c>
      <c r="G235" s="10" t="n">
        <v>43386</v>
      </c>
      <c r="H235" s="10" t="n">
        <v>43386</v>
      </c>
    </row>
    <row r="236">
      <c r="A236" s="9" t="n">
        <v>232</v>
      </c>
      <c r="B236" s="9" t="inlineStr">
        <is>
          <t>Cuttack</t>
        </is>
      </c>
      <c r="C236" s="9" t="inlineStr">
        <is>
          <t>Odisha</t>
        </is>
      </c>
      <c r="D236" s="9" t="inlineStr">
        <is>
          <t>India</t>
        </is>
      </c>
      <c r="E236" s="9" t="n">
        <v>1</v>
      </c>
      <c r="F236" s="9" t="n">
        <v>1</v>
      </c>
      <c r="G236" s="10" t="n">
        <v>43388</v>
      </c>
      <c r="H236" s="10" t="n">
        <v>43388</v>
      </c>
    </row>
    <row r="237">
      <c r="A237" s="9" t="n">
        <v>233</v>
      </c>
      <c r="B237" s="9" t="inlineStr">
        <is>
          <t>Shantipur</t>
        </is>
      </c>
      <c r="C237" s="9" t="inlineStr">
        <is>
          <t>West Bengal</t>
        </is>
      </c>
      <c r="D237" s="9" t="inlineStr">
        <is>
          <t>India</t>
        </is>
      </c>
      <c r="E237" s="9" t="n">
        <v>1</v>
      </c>
      <c r="F237" s="9" t="n">
        <v>1</v>
      </c>
      <c r="G237" s="10" t="n">
        <v>43391</v>
      </c>
      <c r="H237" s="10" t="n">
        <v>43391</v>
      </c>
    </row>
    <row r="238">
      <c r="A238" s="9" t="n">
        <v>234</v>
      </c>
      <c r="B238" s="9" t="inlineStr">
        <is>
          <t>Jaleshwar</t>
        </is>
      </c>
      <c r="C238" s="9" t="inlineStr">
        <is>
          <t>Odisha</t>
        </is>
      </c>
      <c r="D238" s="9" t="inlineStr">
        <is>
          <t>India</t>
        </is>
      </c>
      <c r="E238" s="9" t="n">
        <v>1</v>
      </c>
      <c r="F238" s="9" t="n">
        <v>1</v>
      </c>
      <c r="G238" s="10" t="n">
        <v>43393</v>
      </c>
      <c r="H238" s="10" t="n">
        <v>43393</v>
      </c>
    </row>
    <row r="239">
      <c r="A239" s="9" t="n">
        <v>235</v>
      </c>
      <c r="B239" s="9" t="inlineStr">
        <is>
          <t>Balasore</t>
        </is>
      </c>
      <c r="C239" s="9" t="inlineStr">
        <is>
          <t>Odisha</t>
        </is>
      </c>
      <c r="D239" s="9" t="inlineStr">
        <is>
          <t>India</t>
        </is>
      </c>
      <c r="E239" s="9" t="n">
        <v>1</v>
      </c>
      <c r="F239" s="9" t="n">
        <v>1</v>
      </c>
      <c r="G239" s="10" t="n">
        <v>43393</v>
      </c>
      <c r="H239" s="10" t="n">
        <v>43393</v>
      </c>
    </row>
    <row r="240">
      <c r="A240" s="9" t="n">
        <v>236</v>
      </c>
      <c r="B240" s="9" t="inlineStr">
        <is>
          <t>Remuna</t>
        </is>
      </c>
      <c r="C240" s="9" t="inlineStr">
        <is>
          <t>Odisha</t>
        </is>
      </c>
      <c r="D240" s="9" t="inlineStr">
        <is>
          <t>India</t>
        </is>
      </c>
      <c r="E240" s="9" t="n">
        <v>1</v>
      </c>
      <c r="F240" s="9" t="n">
        <v>1</v>
      </c>
      <c r="G240" s="10" t="n">
        <v>43393</v>
      </c>
      <c r="H240" s="10" t="n">
        <v>43393</v>
      </c>
    </row>
    <row r="241">
      <c r="A241" s="9" t="n">
        <v>237</v>
      </c>
      <c r="B241" s="9" t="inlineStr">
        <is>
          <t>Brahmapur</t>
        </is>
      </c>
      <c r="C241" s="9" t="inlineStr">
        <is>
          <t>Odisha</t>
        </is>
      </c>
      <c r="D241" s="9" t="inlineStr">
        <is>
          <t>India</t>
        </is>
      </c>
      <c r="E241" s="9" t="n">
        <v>1</v>
      </c>
      <c r="F241" s="9" t="n">
        <v>1</v>
      </c>
      <c r="G241" s="10" t="n">
        <v>43394</v>
      </c>
      <c r="H241" s="10" t="n">
        <v>43394</v>
      </c>
    </row>
    <row r="242">
      <c r="A242" s="9" t="n">
        <v>238</v>
      </c>
      <c r="B242" s="9" t="inlineStr">
        <is>
          <t>Palasa</t>
        </is>
      </c>
      <c r="C242" s="9" t="inlineStr">
        <is>
          <t>Andhra Pradesh</t>
        </is>
      </c>
      <c r="D242" s="9" t="inlineStr">
        <is>
          <t>India</t>
        </is>
      </c>
      <c r="E242" s="9" t="n">
        <v>1</v>
      </c>
      <c r="F242" s="9" t="n">
        <v>1</v>
      </c>
      <c r="G242" s="10" t="n">
        <v>43394</v>
      </c>
      <c r="H242" s="10" t="n">
        <v>43394</v>
      </c>
    </row>
    <row r="243">
      <c r="A243" s="9" t="n">
        <v>239</v>
      </c>
      <c r="B243" s="9" t="inlineStr">
        <is>
          <t>Banswada</t>
        </is>
      </c>
      <c r="C243" s="9" t="inlineStr">
        <is>
          <t>Telangana</t>
        </is>
      </c>
      <c r="D243" s="9" t="inlineStr">
        <is>
          <t>India</t>
        </is>
      </c>
      <c r="E243" s="9" t="n">
        <v>1</v>
      </c>
      <c r="F243" s="9" t="n">
        <v>1</v>
      </c>
      <c r="G243" s="10" t="n">
        <v>43394</v>
      </c>
      <c r="H243" s="10" t="n">
        <v>43394</v>
      </c>
    </row>
    <row r="244">
      <c r="A244" s="9" t="n">
        <v>240</v>
      </c>
      <c r="B244" s="9" t="inlineStr">
        <is>
          <t>Jangaon</t>
        </is>
      </c>
      <c r="C244" s="9" t="inlineStr">
        <is>
          <t>Telangana</t>
        </is>
      </c>
      <c r="D244" s="9" t="inlineStr">
        <is>
          <t>India</t>
        </is>
      </c>
      <c r="E244" s="9" t="n">
        <v>1</v>
      </c>
      <c r="F244" s="9" t="n">
        <v>1</v>
      </c>
      <c r="G244" s="10" t="n">
        <v>43453</v>
      </c>
      <c r="H244" s="10" t="n">
        <v>43453</v>
      </c>
    </row>
    <row r="245">
      <c r="A245" s="9" t="n">
        <v>241</v>
      </c>
      <c r="B245" s="9" t="inlineStr">
        <is>
          <t>Jabalpur</t>
        </is>
      </c>
      <c r="C245" s="9" t="inlineStr">
        <is>
          <t>Madhya Pradesh</t>
        </is>
      </c>
      <c r="D245" s="9" t="inlineStr">
        <is>
          <t>India</t>
        </is>
      </c>
      <c r="E245" s="9" t="n">
        <v>1</v>
      </c>
      <c r="F245" s="9" t="n">
        <v>1</v>
      </c>
      <c r="G245" s="10" t="n">
        <v>43460</v>
      </c>
      <c r="H245" s="10" t="n">
        <v>43460</v>
      </c>
    </row>
    <row r="246">
      <c r="A246" s="9" t="n">
        <v>242</v>
      </c>
      <c r="B246" s="9" t="inlineStr">
        <is>
          <t>Sohagpur</t>
        </is>
      </c>
      <c r="C246" s="9" t="inlineStr">
        <is>
          <t>Madhya Pradesh</t>
        </is>
      </c>
      <c r="D246" s="9" t="inlineStr">
        <is>
          <t>India</t>
        </is>
      </c>
      <c r="E246" s="9" t="n">
        <v>1</v>
      </c>
      <c r="F246" s="9" t="n">
        <v>1</v>
      </c>
      <c r="G246" s="10" t="n">
        <v>43460</v>
      </c>
      <c r="H246" s="10" t="n">
        <v>43460</v>
      </c>
    </row>
    <row r="247">
      <c r="A247" s="9" t="n">
        <v>243</v>
      </c>
      <c r="B247" s="9" t="inlineStr">
        <is>
          <t>Pandhurna</t>
        </is>
      </c>
      <c r="C247" s="9" t="inlineStr">
        <is>
          <t>Madhya Pradesh</t>
        </is>
      </c>
      <c r="D247" s="9" t="inlineStr">
        <is>
          <t>India</t>
        </is>
      </c>
      <c r="E247" s="9" t="n">
        <v>1</v>
      </c>
      <c r="F247" s="9" t="n">
        <v>1</v>
      </c>
      <c r="G247" s="10" t="n">
        <v>43486</v>
      </c>
      <c r="H247" s="10" t="n">
        <v>43486</v>
      </c>
    </row>
    <row r="248">
      <c r="A248" s="9" t="n">
        <v>244</v>
      </c>
      <c r="B248" s="9" t="inlineStr">
        <is>
          <t>Purwa</t>
        </is>
      </c>
      <c r="C248" s="9" t="inlineStr">
        <is>
          <t>Uttar Pradesh</t>
        </is>
      </c>
      <c r="D248" s="9" t="inlineStr">
        <is>
          <t>India</t>
        </is>
      </c>
      <c r="E248" s="9" t="n">
        <v>1</v>
      </c>
      <c r="F248" s="9" t="n">
        <v>1</v>
      </c>
      <c r="G248" s="10" t="n">
        <v>43491</v>
      </c>
      <c r="H248" s="10" t="n">
        <v>43491</v>
      </c>
    </row>
    <row r="249">
      <c r="A249" s="9" t="n">
        <v>245</v>
      </c>
      <c r="B249" s="9" t="inlineStr">
        <is>
          <t>Bela</t>
        </is>
      </c>
      <c r="C249" s="9" t="inlineStr">
        <is>
          <t>Uttar Pradesh</t>
        </is>
      </c>
      <c r="D249" s="9" t="inlineStr">
        <is>
          <t>India</t>
        </is>
      </c>
      <c r="E249" s="9" t="n">
        <v>1</v>
      </c>
      <c r="F249" s="9" t="n">
        <v>1</v>
      </c>
      <c r="G249" s="10" t="n">
        <v>43493</v>
      </c>
      <c r="H249" s="10" t="n">
        <v>43493</v>
      </c>
    </row>
    <row r="250">
      <c r="A250" s="9" t="n">
        <v>246</v>
      </c>
      <c r="B250" s="9" t="inlineStr">
        <is>
          <t>Nawabganj</t>
        </is>
      </c>
      <c r="C250" s="9" t="inlineStr">
        <is>
          <t>Uttar Pradesh</t>
        </is>
      </c>
      <c r="D250" s="9" t="inlineStr">
        <is>
          <t>India</t>
        </is>
      </c>
      <c r="E250" s="9" t="n">
        <v>1</v>
      </c>
      <c r="F250" s="9" t="n">
        <v>1</v>
      </c>
      <c r="G250" s="10" t="n">
        <v>43494</v>
      </c>
      <c r="H250" s="10" t="n">
        <v>43494</v>
      </c>
    </row>
    <row r="251">
      <c r="A251" s="9" t="n">
        <v>247</v>
      </c>
      <c r="B251" s="9" t="inlineStr">
        <is>
          <t>Gondia</t>
        </is>
      </c>
      <c r="C251" s="9" t="inlineStr">
        <is>
          <t>Maharashtra</t>
        </is>
      </c>
      <c r="D251" s="9" t="inlineStr">
        <is>
          <t>India</t>
        </is>
      </c>
      <c r="E251" s="9" t="n">
        <v>1</v>
      </c>
      <c r="F251" s="9" t="n">
        <v>1</v>
      </c>
      <c r="G251" s="10" t="n">
        <v>43516</v>
      </c>
      <c r="H251" s="10" t="n">
        <v>43516</v>
      </c>
    </row>
    <row r="252">
      <c r="A252" s="9" t="n">
        <v>248</v>
      </c>
      <c r="B252" s="9" t="inlineStr">
        <is>
          <t>Bhilai</t>
        </is>
      </c>
      <c r="C252" s="9" t="inlineStr">
        <is>
          <t>Chhattisgarh</t>
        </is>
      </c>
      <c r="D252" s="9" t="inlineStr">
        <is>
          <t>India</t>
        </is>
      </c>
      <c r="E252" s="9" t="n">
        <v>1</v>
      </c>
      <c r="F252" s="9" t="n">
        <v>1</v>
      </c>
      <c r="G252" s="10" t="n">
        <v>43516</v>
      </c>
      <c r="H252" s="10" t="n">
        <v>43516</v>
      </c>
    </row>
    <row r="253">
      <c r="A253" s="9" t="n">
        <v>249</v>
      </c>
      <c r="B253" s="9" t="inlineStr">
        <is>
          <t>Rourkela</t>
        </is>
      </c>
      <c r="C253" s="9" t="inlineStr">
        <is>
          <t>Odisha</t>
        </is>
      </c>
      <c r="D253" s="9" t="inlineStr">
        <is>
          <t>India</t>
        </is>
      </c>
      <c r="E253" s="9" t="n">
        <v>1</v>
      </c>
      <c r="F253" s="9" t="n">
        <v>1</v>
      </c>
      <c r="G253" s="10" t="n">
        <v>43517</v>
      </c>
      <c r="H253" s="10" t="n">
        <v>43517</v>
      </c>
    </row>
    <row r="254">
      <c r="A254" s="9" t="n">
        <v>250</v>
      </c>
      <c r="B254" s="9" t="inlineStr">
        <is>
          <t>Gomoh</t>
        </is>
      </c>
      <c r="C254" s="9" t="inlineStr">
        <is>
          <t>Jharkhand</t>
        </is>
      </c>
      <c r="D254" s="9" t="inlineStr">
        <is>
          <t>India</t>
        </is>
      </c>
      <c r="E254" s="9" t="n">
        <v>1</v>
      </c>
      <c r="F254" s="9" t="n">
        <v>1</v>
      </c>
      <c r="G254" s="10" t="n">
        <v>43517</v>
      </c>
      <c r="H254" s="10" t="n">
        <v>43517</v>
      </c>
    </row>
    <row r="255">
      <c r="A255" s="9" t="n">
        <v>251</v>
      </c>
      <c r="B255" s="9" t="inlineStr">
        <is>
          <t>Barki Saria</t>
        </is>
      </c>
      <c r="C255" s="9" t="inlineStr">
        <is>
          <t>Jharkhand</t>
        </is>
      </c>
      <c r="D255" s="9" t="inlineStr">
        <is>
          <t>India</t>
        </is>
      </c>
      <c r="E255" s="9" t="n">
        <v>1</v>
      </c>
      <c r="F255" s="9" t="n">
        <v>1</v>
      </c>
      <c r="G255" s="10" t="n">
        <v>43517</v>
      </c>
      <c r="H255" s="10" t="n">
        <v>43517</v>
      </c>
    </row>
    <row r="256">
      <c r="A256" s="9" t="n">
        <v>252</v>
      </c>
      <c r="B256" s="9" t="inlineStr">
        <is>
          <t>Chandauli</t>
        </is>
      </c>
      <c r="C256" s="9" t="inlineStr">
        <is>
          <t>Uttar Pradesh</t>
        </is>
      </c>
      <c r="D256" s="9" t="inlineStr">
        <is>
          <t>India</t>
        </is>
      </c>
      <c r="E256" s="9" t="n">
        <v>1</v>
      </c>
      <c r="F256" s="9" t="n">
        <v>1</v>
      </c>
      <c r="G256" s="10" t="n">
        <v>43519</v>
      </c>
      <c r="H256" s="10" t="n">
        <v>43519</v>
      </c>
    </row>
    <row r="257">
      <c r="A257" s="9" t="n">
        <v>253</v>
      </c>
      <c r="B257" s="9" t="inlineStr">
        <is>
          <t>Gorakhpur</t>
        </is>
      </c>
      <c r="C257" s="9" t="inlineStr">
        <is>
          <t>Uttar Pradesh</t>
        </is>
      </c>
      <c r="D257" s="9" t="inlineStr">
        <is>
          <t>India</t>
        </is>
      </c>
      <c r="E257" s="9" t="n">
        <v>1</v>
      </c>
      <c r="F257" s="9" t="n">
        <v>1</v>
      </c>
      <c r="G257" s="10" t="n">
        <v>43527</v>
      </c>
      <c r="H257" s="10" t="n">
        <v>43527</v>
      </c>
    </row>
    <row r="258">
      <c r="A258" s="9" t="n">
        <v>254</v>
      </c>
      <c r="B258" s="9" t="inlineStr">
        <is>
          <t>Siddharthanagar</t>
        </is>
      </c>
      <c r="C258" s="9" t="inlineStr">
        <is>
          <t>Lumbini Province</t>
        </is>
      </c>
      <c r="D258" s="9" t="inlineStr">
        <is>
          <t>Nepal</t>
        </is>
      </c>
      <c r="E258" s="9" t="n">
        <v>1</v>
      </c>
      <c r="F258" s="9" t="n">
        <v>1</v>
      </c>
      <c r="G258" s="10" t="n">
        <v>43527</v>
      </c>
      <c r="H258" s="10" t="n">
        <v>43527</v>
      </c>
    </row>
    <row r="259">
      <c r="A259" s="9" t="n">
        <v>255</v>
      </c>
      <c r="B259" s="9" t="inlineStr">
        <is>
          <t>Sitamarhi</t>
        </is>
      </c>
      <c r="C259" s="9" t="inlineStr">
        <is>
          <t>Bihar</t>
        </is>
      </c>
      <c r="D259" s="9" t="inlineStr">
        <is>
          <t>India</t>
        </is>
      </c>
      <c r="E259" s="9" t="n">
        <v>1</v>
      </c>
      <c r="F259" s="9" t="n">
        <v>1</v>
      </c>
      <c r="G259" s="10" t="n">
        <v>43611</v>
      </c>
      <c r="H259" s="10" t="n">
        <v>43611</v>
      </c>
    </row>
    <row r="260">
      <c r="A260" s="9" t="n">
        <v>256</v>
      </c>
      <c r="B260" s="9" t="inlineStr">
        <is>
          <t>Najibabad</t>
        </is>
      </c>
      <c r="C260" s="9" t="inlineStr">
        <is>
          <t>Uttar Pradesh</t>
        </is>
      </c>
      <c r="D260" s="9" t="inlineStr">
        <is>
          <t>India</t>
        </is>
      </c>
      <c r="E260" s="9" t="n">
        <v>1</v>
      </c>
      <c r="F260" s="9" t="n">
        <v>1</v>
      </c>
      <c r="G260" s="10" t="n">
        <v>43644</v>
      </c>
      <c r="H260" s="10" t="n">
        <v>43644</v>
      </c>
    </row>
    <row r="261">
      <c r="A261" s="9" t="n">
        <v>257</v>
      </c>
      <c r="B261" s="9" t="inlineStr">
        <is>
          <t>Deoband</t>
        </is>
      </c>
      <c r="C261" s="9" t="inlineStr">
        <is>
          <t>Uttar Pradesh</t>
        </is>
      </c>
      <c r="D261" s="9" t="inlineStr">
        <is>
          <t>India</t>
        </is>
      </c>
      <c r="E261" s="9" t="n">
        <v>1</v>
      </c>
      <c r="F261" s="9" t="n">
        <v>1</v>
      </c>
      <c r="G261" s="10" t="n">
        <v>43655</v>
      </c>
      <c r="H261" s="10" t="n">
        <v>43655</v>
      </c>
    </row>
    <row r="262">
      <c r="A262" s="9" t="n">
        <v>258</v>
      </c>
      <c r="B262" s="9" t="inlineStr">
        <is>
          <t>Mandawar</t>
        </is>
      </c>
      <c r="C262" s="9" t="inlineStr">
        <is>
          <t>Uttar Pradesh</t>
        </is>
      </c>
      <c r="D262" s="9" t="inlineStr">
        <is>
          <t>India</t>
        </is>
      </c>
      <c r="E262" s="9" t="n">
        <v>1</v>
      </c>
      <c r="F262" s="9" t="n">
        <v>1</v>
      </c>
      <c r="G262" s="10" t="n">
        <v>43656</v>
      </c>
      <c r="H262" s="10" t="n">
        <v>43656</v>
      </c>
    </row>
    <row r="263">
      <c r="A263" s="9" t="n">
        <v>259</v>
      </c>
      <c r="B263" s="9" t="inlineStr">
        <is>
          <t>Nakur</t>
        </is>
      </c>
      <c r="C263" s="9" t="inlineStr">
        <is>
          <t>Uttar Pradesh</t>
        </is>
      </c>
      <c r="D263" s="9" t="inlineStr">
        <is>
          <t>India</t>
        </is>
      </c>
      <c r="E263" s="9" t="n">
        <v>1</v>
      </c>
      <c r="F263" s="9" t="n">
        <v>1</v>
      </c>
      <c r="G263" s="10" t="n">
        <v>43656</v>
      </c>
      <c r="H263" s="10" t="n">
        <v>43656</v>
      </c>
    </row>
    <row r="264">
      <c r="A264" s="9" t="n">
        <v>260</v>
      </c>
      <c r="B264" s="9" t="inlineStr">
        <is>
          <t>Etawah</t>
        </is>
      </c>
      <c r="C264" s="9" t="inlineStr">
        <is>
          <t>Uttar Pradesh</t>
        </is>
      </c>
      <c r="D264" s="9" t="inlineStr">
        <is>
          <t>India</t>
        </is>
      </c>
      <c r="E264" s="9" t="n">
        <v>1</v>
      </c>
      <c r="F264" s="9" t="n">
        <v>1</v>
      </c>
      <c r="G264" s="10" t="n">
        <v>43658</v>
      </c>
      <c r="H264" s="10" t="n">
        <v>43658</v>
      </c>
    </row>
    <row r="265">
      <c r="A265" s="9" t="n">
        <v>261</v>
      </c>
      <c r="B265" s="9" t="inlineStr">
        <is>
          <t>Meerut</t>
        </is>
      </c>
      <c r="C265" s="9" t="inlineStr">
        <is>
          <t>Uttar Pradesh</t>
        </is>
      </c>
      <c r="D265" s="9" t="inlineStr">
        <is>
          <t>India</t>
        </is>
      </c>
      <c r="E265" s="9" t="n">
        <v>1</v>
      </c>
      <c r="F265" s="9" t="n">
        <v>1</v>
      </c>
      <c r="G265" s="10" t="n">
        <v>43733</v>
      </c>
      <c r="H265" s="10" t="n">
        <v>43733</v>
      </c>
    </row>
    <row r="266">
      <c r="A266" s="9" t="n">
        <v>262</v>
      </c>
      <c r="B266" s="9" t="inlineStr">
        <is>
          <t>Kamareddi</t>
        </is>
      </c>
      <c r="C266" s="9" t="inlineStr">
        <is>
          <t>Telangana</t>
        </is>
      </c>
      <c r="D266" s="9" t="inlineStr">
        <is>
          <t>India</t>
        </is>
      </c>
      <c r="E266" s="9" t="n">
        <v>1</v>
      </c>
      <c r="F266" s="9" t="n">
        <v>1</v>
      </c>
      <c r="G266" s="10" t="n">
        <v>43755</v>
      </c>
      <c r="H266" s="10" t="n">
        <v>43755</v>
      </c>
    </row>
    <row r="267">
      <c r="A267" s="9" t="n">
        <v>263</v>
      </c>
      <c r="B267" s="9" t="inlineStr">
        <is>
          <t>Gyanpur</t>
        </is>
      </c>
      <c r="C267" s="9" t="inlineStr">
        <is>
          <t>Uttar Pradesh</t>
        </is>
      </c>
      <c r="D267" s="9" t="inlineStr">
        <is>
          <t>India</t>
        </is>
      </c>
      <c r="E267" s="9" t="n">
        <v>1</v>
      </c>
      <c r="F267" s="9" t="n">
        <v>1</v>
      </c>
      <c r="G267" s="10" t="n">
        <v>43756</v>
      </c>
      <c r="H267" s="10" t="n">
        <v>43756</v>
      </c>
    </row>
    <row r="268">
      <c r="A268" s="9" t="n">
        <v>264</v>
      </c>
      <c r="B268" s="9" t="inlineStr">
        <is>
          <t>Bindki</t>
        </is>
      </c>
      <c r="C268" s="9" t="inlineStr">
        <is>
          <t>Uttar Pradesh</t>
        </is>
      </c>
      <c r="D268" s="9" t="inlineStr">
        <is>
          <t>India</t>
        </is>
      </c>
      <c r="E268" s="9" t="n">
        <v>1</v>
      </c>
      <c r="F268" s="9" t="n">
        <v>1</v>
      </c>
      <c r="G268" s="10" t="n">
        <v>43758</v>
      </c>
      <c r="H268" s="10" t="n">
        <v>43758</v>
      </c>
    </row>
    <row r="269">
      <c r="A269" s="9" t="n">
        <v>265</v>
      </c>
      <c r="B269" s="9" t="inlineStr">
        <is>
          <t>Jaswantnagar</t>
        </is>
      </c>
      <c r="C269" s="9" t="inlineStr">
        <is>
          <t>Uttar Pradesh</t>
        </is>
      </c>
      <c r="D269" s="9" t="inlineStr">
        <is>
          <t>India</t>
        </is>
      </c>
      <c r="E269" s="9" t="n">
        <v>1</v>
      </c>
      <c r="F269" s="9" t="n">
        <v>1</v>
      </c>
      <c r="G269" s="10" t="n">
        <v>43758</v>
      </c>
      <c r="H269" s="10" t="n">
        <v>43758</v>
      </c>
    </row>
    <row r="270">
      <c r="A270" s="9" t="n">
        <v>266</v>
      </c>
      <c r="B270" s="9" t="inlineStr">
        <is>
          <t>Negombo</t>
        </is>
      </c>
      <c r="C270" s="9" t="inlineStr">
        <is>
          <t>Western Province</t>
        </is>
      </c>
      <c r="D270" s="9" t="inlineStr">
        <is>
          <t>Sri Lanka</t>
        </is>
      </c>
      <c r="E270" s="9" t="n">
        <v>1</v>
      </c>
      <c r="F270" s="9" t="n">
        <v>1</v>
      </c>
      <c r="G270" s="10" t="n">
        <v>43819</v>
      </c>
      <c r="H270" s="10" t="n">
        <v>43819</v>
      </c>
    </row>
    <row r="271">
      <c r="A271" s="9" t="n">
        <v>267</v>
      </c>
      <c r="B271" s="9" t="inlineStr">
        <is>
          <t>Matale</t>
        </is>
      </c>
      <c r="C271" s="9" t="inlineStr">
        <is>
          <t>Central Province</t>
        </is>
      </c>
      <c r="D271" s="9" t="inlineStr">
        <is>
          <t>Sri Lanka</t>
        </is>
      </c>
      <c r="E271" s="9" t="n">
        <v>1</v>
      </c>
      <c r="F271" s="9" t="n">
        <v>1</v>
      </c>
      <c r="G271" s="10" t="n">
        <v>43822</v>
      </c>
      <c r="H271" s="10" t="n">
        <v>43822</v>
      </c>
    </row>
    <row r="272">
      <c r="A272" s="9" t="n">
        <v>268</v>
      </c>
      <c r="B272" s="9" t="inlineStr">
        <is>
          <t>Baola</t>
        </is>
      </c>
      <c r="C272" s="9" t="inlineStr">
        <is>
          <t>Gujarat</t>
        </is>
      </c>
      <c r="D272" s="9" t="inlineStr">
        <is>
          <t>India</t>
        </is>
      </c>
      <c r="E272" s="9" t="n">
        <v>1</v>
      </c>
      <c r="F272" s="9" t="n">
        <v>1</v>
      </c>
      <c r="G272" s="10" t="n">
        <v>43842</v>
      </c>
      <c r="H272" s="10" t="n">
        <v>43842</v>
      </c>
    </row>
    <row r="273">
      <c r="A273" s="9" t="n">
        <v>269</v>
      </c>
      <c r="B273" s="9" t="inlineStr">
        <is>
          <t>Ambaji</t>
        </is>
      </c>
      <c r="C273" s="9" t="inlineStr">
        <is>
          <t>Gujarat</t>
        </is>
      </c>
      <c r="D273" s="9" t="inlineStr">
        <is>
          <t>India</t>
        </is>
      </c>
      <c r="E273" s="9" t="n">
        <v>1</v>
      </c>
      <c r="F273" s="9" t="n">
        <v>1</v>
      </c>
      <c r="G273" s="10" t="n">
        <v>43845</v>
      </c>
      <c r="H273" s="10" t="n">
        <v>43845</v>
      </c>
    </row>
    <row r="274">
      <c r="A274" s="9" t="n">
        <v>270</v>
      </c>
      <c r="B274" s="9" t="inlineStr">
        <is>
          <t>Palanpur</t>
        </is>
      </c>
      <c r="C274" s="9" t="inlineStr">
        <is>
          <t>Gujarat</t>
        </is>
      </c>
      <c r="D274" s="9" t="inlineStr">
        <is>
          <t>India</t>
        </is>
      </c>
      <c r="E274" s="9" t="n">
        <v>1</v>
      </c>
      <c r="F274" s="9" t="n">
        <v>1</v>
      </c>
      <c r="G274" s="10" t="n">
        <v>43845</v>
      </c>
      <c r="H274" s="10" t="n">
        <v>43845</v>
      </c>
    </row>
    <row r="275">
      <c r="A275" s="9" t="n">
        <v>271</v>
      </c>
      <c r="B275" s="9" t="inlineStr">
        <is>
          <t>Jajpur</t>
        </is>
      </c>
      <c r="C275" s="9" t="inlineStr">
        <is>
          <t>Odisha</t>
        </is>
      </c>
      <c r="D275" s="9" t="inlineStr">
        <is>
          <t>India</t>
        </is>
      </c>
      <c r="E275" s="9" t="n">
        <v>1</v>
      </c>
      <c r="F275" s="9" t="n">
        <v>1</v>
      </c>
      <c r="G275" s="10" t="n">
        <v>43859</v>
      </c>
      <c r="H275" s="10" t="n">
        <v>43859</v>
      </c>
    </row>
    <row r="276">
      <c r="A276" s="9" t="n">
        <v>272</v>
      </c>
      <c r="B276" s="9" t="inlineStr">
        <is>
          <t>Mangrol</t>
        </is>
      </c>
      <c r="C276" s="9" t="inlineStr">
        <is>
          <t>Gujarat</t>
        </is>
      </c>
      <c r="D276" s="9" t="inlineStr">
        <is>
          <t>India</t>
        </is>
      </c>
      <c r="E276" s="9" t="n">
        <v>1</v>
      </c>
      <c r="F276" s="9" t="n">
        <v>1</v>
      </c>
      <c r="G276" s="10" t="n">
        <v>43871</v>
      </c>
      <c r="H276" s="10" t="n">
        <v>43871</v>
      </c>
    </row>
    <row r="277">
      <c r="A277" s="9" t="n">
        <v>273</v>
      </c>
      <c r="B277" s="9" t="inlineStr">
        <is>
          <t>Jetpur</t>
        </is>
      </c>
      <c r="C277" s="9" t="inlineStr">
        <is>
          <t>Gujarat</t>
        </is>
      </c>
      <c r="D277" s="9" t="inlineStr">
        <is>
          <t>India</t>
        </is>
      </c>
      <c r="E277" s="9" t="n">
        <v>1</v>
      </c>
      <c r="F277" s="9" t="n">
        <v>1</v>
      </c>
      <c r="G277" s="10" t="n">
        <v>43872</v>
      </c>
      <c r="H277" s="10" t="n">
        <v>43872</v>
      </c>
    </row>
    <row r="278">
      <c r="A278" s="9" t="n">
        <v>274</v>
      </c>
      <c r="B278" s="9" t="inlineStr">
        <is>
          <t>Dungarpur</t>
        </is>
      </c>
      <c r="C278" s="9" t="inlineStr">
        <is>
          <t>Rajasthan</t>
        </is>
      </c>
      <c r="D278" s="9" t="inlineStr">
        <is>
          <t>India</t>
        </is>
      </c>
      <c r="E278" s="9" t="n">
        <v>1</v>
      </c>
      <c r="F278" s="9" t="n">
        <v>1</v>
      </c>
      <c r="G278" s="10" t="n">
        <v>43874</v>
      </c>
      <c r="H278" s="10" t="n">
        <v>43874</v>
      </c>
    </row>
    <row r="279">
      <c r="A279" s="9" t="n">
        <v>275</v>
      </c>
      <c r="B279" s="9" t="inlineStr">
        <is>
          <t>Mamidalapadu</t>
        </is>
      </c>
      <c r="C279" s="9" t="inlineStr">
        <is>
          <t>Andhra Pradesh</t>
        </is>
      </c>
      <c r="D279" s="9" t="inlineStr">
        <is>
          <t>India</t>
        </is>
      </c>
      <c r="E279" s="9" t="n">
        <v>1</v>
      </c>
      <c r="F279" s="9" t="n">
        <v>1</v>
      </c>
      <c r="G279" s="10" t="n">
        <v>44202</v>
      </c>
      <c r="H279" s="10" t="n">
        <v>44202</v>
      </c>
    </row>
    <row r="280">
      <c r="A280" s="9" t="n">
        <v>276</v>
      </c>
      <c r="B280" s="9" t="inlineStr">
        <is>
          <t>Closepet</t>
        </is>
      </c>
      <c r="C280" s="9" t="inlineStr">
        <is>
          <t>Karnataka</t>
        </is>
      </c>
      <c r="D280" s="9" t="inlineStr">
        <is>
          <t>India</t>
        </is>
      </c>
      <c r="E280" s="9" t="n">
        <v>1</v>
      </c>
      <c r="F280" s="9" t="n">
        <v>1</v>
      </c>
      <c r="G280" s="10" t="n">
        <v>44321</v>
      </c>
      <c r="H280" s="10" t="n">
        <v>44321</v>
      </c>
    </row>
    <row r="281">
      <c r="A281" s="9" t="n">
        <v>277</v>
      </c>
      <c r="B281" s="9" t="inlineStr">
        <is>
          <t>Mandya</t>
        </is>
      </c>
      <c r="C281" s="9" t="inlineStr">
        <is>
          <t>Karnataka</t>
        </is>
      </c>
      <c r="D281" s="9" t="inlineStr">
        <is>
          <t>India</t>
        </is>
      </c>
      <c r="E281" s="9" t="n">
        <v>1</v>
      </c>
      <c r="F281" s="9" t="n">
        <v>1</v>
      </c>
      <c r="G281" s="10" t="n">
        <v>44321</v>
      </c>
      <c r="H281" s="10" t="n">
        <v>44321</v>
      </c>
    </row>
    <row r="282">
      <c r="A282" s="9" t="n">
        <v>278</v>
      </c>
      <c r="B282" s="9" t="inlineStr">
        <is>
          <t>Raya</t>
        </is>
      </c>
      <c r="C282" s="9" t="inlineStr">
        <is>
          <t>Uttar Pradesh</t>
        </is>
      </c>
      <c r="D282" s="9" t="inlineStr">
        <is>
          <t>India</t>
        </is>
      </c>
      <c r="E282" s="9" t="n">
        <v>1</v>
      </c>
      <c r="F282" s="9" t="n">
        <v>1</v>
      </c>
      <c r="G282" s="10" t="n">
        <v>44391</v>
      </c>
      <c r="H282" s="10" t="n">
        <v>44391</v>
      </c>
    </row>
    <row r="283">
      <c r="A283" s="9" t="n">
        <v>279</v>
      </c>
      <c r="B283" s="9" t="inlineStr">
        <is>
          <t>Kolar</t>
        </is>
      </c>
      <c r="C283" s="9" t="inlineStr">
        <is>
          <t>Karnataka</t>
        </is>
      </c>
      <c r="D283" s="9" t="inlineStr">
        <is>
          <t>India</t>
        </is>
      </c>
      <c r="E283" s="9" t="n">
        <v>1</v>
      </c>
      <c r="F283" s="9" t="n">
        <v>1</v>
      </c>
      <c r="G283" s="10" t="n">
        <v>44402</v>
      </c>
      <c r="H283" s="10" t="n">
        <v>44402</v>
      </c>
    </row>
    <row r="284">
      <c r="A284" s="9" t="n">
        <v>280</v>
      </c>
      <c r="B284" s="9" t="inlineStr">
        <is>
          <t>Mulbagal</t>
        </is>
      </c>
      <c r="C284" s="9" t="inlineStr">
        <is>
          <t>Karnataka</t>
        </is>
      </c>
      <c r="D284" s="9" t="inlineStr">
        <is>
          <t>India</t>
        </is>
      </c>
      <c r="E284" s="9" t="n">
        <v>1</v>
      </c>
      <c r="F284" s="9" t="n">
        <v>1</v>
      </c>
      <c r="G284" s="10" t="n">
        <v>44402</v>
      </c>
      <c r="H284" s="10" t="n">
        <v>44402</v>
      </c>
    </row>
    <row r="285">
      <c r="A285" s="9" t="n">
        <v>281</v>
      </c>
      <c r="B285" s="9" t="inlineStr">
        <is>
          <t>Krishnagiri</t>
        </is>
      </c>
      <c r="C285" s="9" t="inlineStr">
        <is>
          <t>Tamil Nadu</t>
        </is>
      </c>
      <c r="D285" s="9" t="inlineStr">
        <is>
          <t>India</t>
        </is>
      </c>
      <c r="E285" s="9" t="n">
        <v>1</v>
      </c>
      <c r="F285" s="9" t="n">
        <v>1</v>
      </c>
      <c r="G285" s="10" t="n">
        <v>44406</v>
      </c>
      <c r="H285" s="10" t="n">
        <v>44406</v>
      </c>
    </row>
    <row r="286">
      <c r="A286" s="9" t="n">
        <v>282</v>
      </c>
      <c r="B286" s="9" t="inlineStr">
        <is>
          <t>Nilokheri</t>
        </is>
      </c>
      <c r="C286" s="9" t="inlineStr">
        <is>
          <t>Haryana</t>
        </is>
      </c>
      <c r="D286" s="9" t="inlineStr">
        <is>
          <t>India</t>
        </is>
      </c>
      <c r="E286" s="9" t="n">
        <v>1</v>
      </c>
      <c r="F286" s="9" t="n">
        <v>1</v>
      </c>
      <c r="G286" s="10" t="n">
        <v>44493</v>
      </c>
      <c r="H286" s="10" t="n">
        <v>44493</v>
      </c>
    </row>
    <row r="287">
      <c r="A287" s="9" t="n">
        <v>283</v>
      </c>
      <c r="B287" s="9" t="inlineStr">
        <is>
          <t>Sherghati</t>
        </is>
      </c>
      <c r="C287" s="9" t="inlineStr">
        <is>
          <t>Bihar</t>
        </is>
      </c>
      <c r="D287" s="9" t="inlineStr">
        <is>
          <t>India</t>
        </is>
      </c>
      <c r="E287" s="9" t="n">
        <v>1</v>
      </c>
      <c r="F287" s="9" t="n">
        <v>1</v>
      </c>
      <c r="G287" s="10" t="n">
        <v>44526</v>
      </c>
      <c r="H287" s="10" t="n">
        <v>44526</v>
      </c>
    </row>
    <row r="288">
      <c r="A288" s="9" t="n">
        <v>284</v>
      </c>
      <c r="B288" s="9" t="inlineStr">
        <is>
          <t>Weligama</t>
        </is>
      </c>
      <c r="C288" s="9" t="inlineStr">
        <is>
          <t>Southern Province</t>
        </is>
      </c>
      <c r="D288" s="9" t="inlineStr">
        <is>
          <t>Sri Lanka</t>
        </is>
      </c>
      <c r="E288" s="9" t="n">
        <v>1</v>
      </c>
      <c r="F288" s="9" t="n">
        <v>1</v>
      </c>
      <c r="G288" s="10" t="n">
        <v>44591</v>
      </c>
      <c r="H288" s="10" t="n">
        <v>44591</v>
      </c>
    </row>
    <row r="289">
      <c r="A289" s="9" t="n">
        <v>285</v>
      </c>
      <c r="B289" s="9" t="inlineStr">
        <is>
          <t>Tadepallegudem</t>
        </is>
      </c>
      <c r="C289" s="9" t="inlineStr">
        <is>
          <t>Andhra Pradesh</t>
        </is>
      </c>
      <c r="D289" s="9" t="inlineStr">
        <is>
          <t>India</t>
        </is>
      </c>
      <c r="E289" s="9" t="n">
        <v>1</v>
      </c>
      <c r="F289" s="9" t="n">
        <v>1</v>
      </c>
      <c r="G289" s="10" t="n">
        <v>44611</v>
      </c>
      <c r="H289" s="10" t="n">
        <v>44611</v>
      </c>
    </row>
    <row r="290">
      <c r="A290" s="9" t="n">
        <v>286</v>
      </c>
      <c r="B290" s="9" t="inlineStr">
        <is>
          <t>Kovvur</t>
        </is>
      </c>
      <c r="C290" s="9" t="inlineStr">
        <is>
          <t>Andhra Pradesh</t>
        </is>
      </c>
      <c r="D290" s="9" t="inlineStr">
        <is>
          <t>India</t>
        </is>
      </c>
      <c r="E290" s="9" t="n">
        <v>1</v>
      </c>
      <c r="F290" s="9" t="n">
        <v>1</v>
      </c>
      <c r="G290" s="10" t="n">
        <v>44611</v>
      </c>
      <c r="H290" s="10" t="n">
        <v>44611</v>
      </c>
    </row>
    <row r="291">
      <c r="A291" s="9" t="n">
        <v>287</v>
      </c>
      <c r="B291" s="9" t="inlineStr">
        <is>
          <t>Jaggaiahpet</t>
        </is>
      </c>
      <c r="C291" s="9" t="inlineStr">
        <is>
          <t>Andhra Pradesh</t>
        </is>
      </c>
      <c r="D291" s="9" t="inlineStr">
        <is>
          <t>India</t>
        </is>
      </c>
      <c r="E291" s="9" t="n">
        <v>1</v>
      </c>
      <c r="F291" s="9" t="n">
        <v>1</v>
      </c>
      <c r="G291" s="10" t="n">
        <v>44612</v>
      </c>
      <c r="H291" s="10" t="n">
        <v>44612</v>
      </c>
    </row>
    <row r="292">
      <c r="A292" s="9" t="n">
        <v>288</v>
      </c>
      <c r="B292" s="9" t="inlineStr">
        <is>
          <t>Malangawa</t>
        </is>
      </c>
      <c r="C292" s="9" t="inlineStr">
        <is>
          <t>Madhesh</t>
        </is>
      </c>
      <c r="D292" s="9" t="inlineStr">
        <is>
          <t>Nepal</t>
        </is>
      </c>
      <c r="E292" s="9" t="n">
        <v>1</v>
      </c>
      <c r="F292" s="9" t="n">
        <v>1</v>
      </c>
      <c r="G292" s="10" t="n">
        <v>44669</v>
      </c>
      <c r="H292" s="10" t="n">
        <v>44669</v>
      </c>
    </row>
    <row r="293">
      <c r="A293" s="9" t="n">
        <v>289</v>
      </c>
      <c r="B293" s="9" t="inlineStr">
        <is>
          <t>Chemmumiahpet</t>
        </is>
      </c>
      <c r="C293" s="9" t="inlineStr">
        <is>
          <t>Andhra Pradesh</t>
        </is>
      </c>
      <c r="D293" s="9" t="inlineStr">
        <is>
          <t>India</t>
        </is>
      </c>
      <c r="E293" s="9" t="n">
        <v>1</v>
      </c>
      <c r="F293" s="9" t="n">
        <v>1</v>
      </c>
      <c r="G293" s="10" t="n">
        <v>44741</v>
      </c>
      <c r="H293" s="10" t="n">
        <v>44741</v>
      </c>
    </row>
    <row r="294">
      <c r="A294" s="9" t="n">
        <v>290</v>
      </c>
      <c r="B294" s="9" t="inlineStr">
        <is>
          <t>Achhnera</t>
        </is>
      </c>
      <c r="C294" s="9" t="inlineStr">
        <is>
          <t>Uttar Pradesh</t>
        </is>
      </c>
      <c r="D294" s="9" t="inlineStr">
        <is>
          <t>India</t>
        </is>
      </c>
      <c r="E294" s="9" t="n">
        <v>1</v>
      </c>
      <c r="F294" s="9" t="n">
        <v>1</v>
      </c>
      <c r="G294" s="10" t="n">
        <v>44742</v>
      </c>
      <c r="H294" s="10" t="n">
        <v>44742</v>
      </c>
    </row>
    <row r="295">
      <c r="A295" s="9" t="n">
        <v>291</v>
      </c>
      <c r="B295" s="9" t="inlineStr">
        <is>
          <t>Dindigul</t>
        </is>
      </c>
      <c r="C295" s="9" t="inlineStr">
        <is>
          <t>Tamil Nadu</t>
        </is>
      </c>
      <c r="D295" s="9" t="inlineStr">
        <is>
          <t>India</t>
        </is>
      </c>
      <c r="E295" s="9" t="n">
        <v>1</v>
      </c>
      <c r="F295" s="9" t="n">
        <v>1</v>
      </c>
      <c r="G295" s="10" t="n">
        <v>44744</v>
      </c>
      <c r="H295" s="10" t="n">
        <v>44744</v>
      </c>
    </row>
    <row r="296">
      <c r="A296" s="9" t="n">
        <v>292</v>
      </c>
      <c r="B296" s="9" t="inlineStr">
        <is>
          <t>Thoothukudi</t>
        </is>
      </c>
      <c r="C296" s="9" t="inlineStr">
        <is>
          <t>Tamil Nadu</t>
        </is>
      </c>
      <c r="D296" s="9" t="inlineStr">
        <is>
          <t>India</t>
        </is>
      </c>
      <c r="E296" s="9" t="n">
        <v>1</v>
      </c>
      <c r="F296" s="9" t="n">
        <v>1</v>
      </c>
      <c r="G296" s="10" t="n">
        <v>44744</v>
      </c>
      <c r="H296" s="10" t="n">
        <v>44744</v>
      </c>
    </row>
    <row r="297">
      <c r="A297" s="9" t="n">
        <v>293</v>
      </c>
      <c r="B297" s="9" t="inlineStr">
        <is>
          <t>Srivilliputhur</t>
        </is>
      </c>
      <c r="C297" s="9" t="inlineStr">
        <is>
          <t>Tamil Nadu</t>
        </is>
      </c>
      <c r="D297" s="9" t="inlineStr">
        <is>
          <t>India</t>
        </is>
      </c>
      <c r="E297" s="9" t="n">
        <v>1</v>
      </c>
      <c r="F297" s="9" t="n">
        <v>1</v>
      </c>
      <c r="G297" s="10" t="n">
        <v>44746</v>
      </c>
      <c r="H297" s="10" t="n">
        <v>44746</v>
      </c>
    </row>
    <row r="298">
      <c r="A298" s="9" t="n">
        <v>294</v>
      </c>
      <c r="B298" s="9" t="inlineStr">
        <is>
          <t>Madurantakam</t>
        </is>
      </c>
      <c r="C298" s="9" t="inlineStr">
        <is>
          <t>Tamil Nadu</t>
        </is>
      </c>
      <c r="D298" s="9" t="inlineStr">
        <is>
          <t>India</t>
        </is>
      </c>
      <c r="E298" s="9" t="n">
        <v>1</v>
      </c>
      <c r="F298" s="9" t="n">
        <v>1</v>
      </c>
      <c r="G298" s="10" t="n">
        <v>44747</v>
      </c>
      <c r="H298" s="10" t="n">
        <v>44747</v>
      </c>
    </row>
    <row r="299">
      <c r="A299" s="9" t="n">
        <v>295</v>
      </c>
      <c r="B299" s="9" t="inlineStr">
        <is>
          <t>Gwalior</t>
        </is>
      </c>
      <c r="C299" s="9" t="inlineStr">
        <is>
          <t>Madhya Pradesh</t>
        </is>
      </c>
      <c r="D299" s="9" t="inlineStr">
        <is>
          <t>India</t>
        </is>
      </c>
      <c r="E299" s="9" t="n">
        <v>1</v>
      </c>
      <c r="F299" s="9" t="n">
        <v>1</v>
      </c>
      <c r="G299" s="10" t="n">
        <v>44751</v>
      </c>
      <c r="H299" s="10" t="n">
        <v>44751</v>
      </c>
    </row>
    <row r="300">
      <c r="A300" s="9" t="n">
        <v>296</v>
      </c>
      <c r="B300" s="9" t="inlineStr">
        <is>
          <t>Khandwa</t>
        </is>
      </c>
      <c r="C300" s="9" t="inlineStr">
        <is>
          <t>Madhya Pradesh</t>
        </is>
      </c>
      <c r="D300" s="9" t="inlineStr">
        <is>
          <t>India</t>
        </is>
      </c>
      <c r="E300" s="9" t="n">
        <v>1</v>
      </c>
      <c r="F300" s="9" t="n">
        <v>1</v>
      </c>
      <c r="G300" s="10" t="n">
        <v>44752</v>
      </c>
      <c r="H300" s="10" t="n">
        <v>44752</v>
      </c>
    </row>
    <row r="301">
      <c r="A301" s="9" t="n">
        <v>297</v>
      </c>
      <c r="B301" s="9" t="inlineStr">
        <is>
          <t>Nanded</t>
        </is>
      </c>
      <c r="C301" s="9" t="inlineStr">
        <is>
          <t>Maharashtra</t>
        </is>
      </c>
      <c r="D301" s="9" t="inlineStr">
        <is>
          <t>India</t>
        </is>
      </c>
      <c r="E301" s="9" t="n">
        <v>1</v>
      </c>
      <c r="F301" s="9" t="n">
        <v>1</v>
      </c>
      <c r="G301" s="10" t="n">
        <v>44753</v>
      </c>
      <c r="H301" s="10" t="n">
        <v>44753</v>
      </c>
    </row>
    <row r="302">
      <c r="A302" s="9" t="n">
        <v>298</v>
      </c>
      <c r="B302" s="9" t="inlineStr">
        <is>
          <t>Dharmabad</t>
        </is>
      </c>
      <c r="C302" s="9" t="inlineStr">
        <is>
          <t>Maharashtra</t>
        </is>
      </c>
      <c r="D302" s="9" t="inlineStr">
        <is>
          <t>India</t>
        </is>
      </c>
      <c r="E302" s="9" t="n">
        <v>1</v>
      </c>
      <c r="F302" s="9" t="n">
        <v>1</v>
      </c>
      <c r="G302" s="10" t="n">
        <v>44753</v>
      </c>
      <c r="H302" s="10" t="n">
        <v>44753</v>
      </c>
    </row>
    <row r="303">
      <c r="A303" s="9" t="n">
        <v>299</v>
      </c>
      <c r="B303" s="9" t="inlineStr">
        <is>
          <t>Nizamabad</t>
        </is>
      </c>
      <c r="C303" s="9" t="inlineStr">
        <is>
          <t>Telangana</t>
        </is>
      </c>
      <c r="D303" s="9" t="inlineStr">
        <is>
          <t>India</t>
        </is>
      </c>
      <c r="E303" s="9" t="n">
        <v>1</v>
      </c>
      <c r="F303" s="9" t="n">
        <v>1</v>
      </c>
      <c r="G303" s="10" t="n">
        <v>44753</v>
      </c>
      <c r="H303" s="10" t="n">
        <v>44753</v>
      </c>
    </row>
    <row r="304">
      <c r="A304" s="9" t="n">
        <v>300</v>
      </c>
      <c r="B304" s="9" t="inlineStr">
        <is>
          <t>Medak</t>
        </is>
      </c>
      <c r="C304" s="9" t="inlineStr">
        <is>
          <t>Telangana</t>
        </is>
      </c>
      <c r="D304" s="9" t="inlineStr">
        <is>
          <t>India</t>
        </is>
      </c>
      <c r="E304" s="9" t="n">
        <v>1</v>
      </c>
      <c r="F304" s="9" t="n">
        <v>1</v>
      </c>
      <c r="G304" s="10" t="n">
        <v>44753</v>
      </c>
      <c r="H304" s="10" t="n">
        <v>44753</v>
      </c>
    </row>
    <row r="305">
      <c r="A305" s="9" t="n">
        <v>301</v>
      </c>
      <c r="B305" s="9" t="inlineStr">
        <is>
          <t>Wanparti</t>
        </is>
      </c>
      <c r="C305" s="9" t="inlineStr">
        <is>
          <t>Telangana</t>
        </is>
      </c>
      <c r="D305" s="9" t="inlineStr">
        <is>
          <t>India</t>
        </is>
      </c>
      <c r="E305" s="9" t="n">
        <v>1</v>
      </c>
      <c r="F305" s="9" t="n">
        <v>1</v>
      </c>
      <c r="G305" s="10" t="n">
        <v>44754</v>
      </c>
      <c r="H305" s="10" t="n">
        <v>44754</v>
      </c>
    </row>
    <row r="306">
      <c r="A306" s="9" t="n">
        <v>302</v>
      </c>
      <c r="B306" s="9" t="inlineStr">
        <is>
          <t>Chhata</t>
        </is>
      </c>
      <c r="C306" s="9" t="inlineStr">
        <is>
          <t>Uttar Pradesh</t>
        </is>
      </c>
      <c r="D306" s="9" t="inlineStr">
        <is>
          <t>India</t>
        </is>
      </c>
      <c r="E306" s="9" t="n">
        <v>1</v>
      </c>
      <c r="F306" s="9" t="n">
        <v>1</v>
      </c>
      <c r="G306" s="10" t="n">
        <v>44865</v>
      </c>
      <c r="H306" s="10" t="n">
        <v>44865</v>
      </c>
    </row>
    <row r="307">
      <c r="A307" s="9" t="n">
        <v>303</v>
      </c>
      <c r="B307" s="9" t="inlineStr">
        <is>
          <t>Narela</t>
        </is>
      </c>
      <c r="C307" s="9" t="inlineStr">
        <is>
          <t>Delhi</t>
        </is>
      </c>
      <c r="D307" s="9" t="inlineStr">
        <is>
          <t>India</t>
        </is>
      </c>
      <c r="E307" s="9" t="n">
        <v>1</v>
      </c>
      <c r="F307" s="9" t="n">
        <v>1</v>
      </c>
      <c r="G307" s="10" t="n">
        <v>44865</v>
      </c>
      <c r="H307" s="10" t="n">
        <v>44865</v>
      </c>
    </row>
    <row r="308">
      <c r="A308" s="9" t="n">
        <v>304</v>
      </c>
      <c r="B308" s="9" t="inlineStr">
        <is>
          <t>Gharaunda</t>
        </is>
      </c>
      <c r="C308" s="9" t="inlineStr">
        <is>
          <t>Haryana</t>
        </is>
      </c>
      <c r="D308" s="9" t="inlineStr">
        <is>
          <t>India</t>
        </is>
      </c>
      <c r="E308" s="9" t="n">
        <v>1</v>
      </c>
      <c r="F308" s="9" t="n">
        <v>1</v>
      </c>
      <c r="G308" s="10" t="n">
        <v>44865</v>
      </c>
      <c r="H308" s="10" t="n">
        <v>44865</v>
      </c>
    </row>
    <row r="309">
      <c r="A309" s="9" t="n">
        <v>305</v>
      </c>
      <c r="B309" s="9" t="inlineStr">
        <is>
          <t>Karnal</t>
        </is>
      </c>
      <c r="C309" s="9" t="inlineStr">
        <is>
          <t>Haryana</t>
        </is>
      </c>
      <c r="D309" s="9" t="inlineStr">
        <is>
          <t>India</t>
        </is>
      </c>
      <c r="E309" s="9" t="n">
        <v>1</v>
      </c>
      <c r="F309" s="9" t="n">
        <v>1</v>
      </c>
      <c r="G309" s="10" t="n">
        <v>44866</v>
      </c>
      <c r="H309" s="10" t="n">
        <v>44866</v>
      </c>
    </row>
    <row r="310">
      <c r="A310" s="9" t="n">
        <v>306</v>
      </c>
      <c r="B310" s="9" t="inlineStr">
        <is>
          <t>Kalyani</t>
        </is>
      </c>
      <c r="C310" s="9" t="inlineStr">
        <is>
          <t>West Bengal</t>
        </is>
      </c>
      <c r="D310" s="9" t="inlineStr">
        <is>
          <t>India</t>
        </is>
      </c>
      <c r="E310" s="9" t="n">
        <v>1</v>
      </c>
      <c r="F310" s="9" t="n">
        <v>1</v>
      </c>
      <c r="G310" s="10" t="n">
        <v>44905</v>
      </c>
      <c r="H310" s="10" t="n">
        <v>44905</v>
      </c>
    </row>
    <row r="311">
      <c r="A311" s="9" t="n">
        <v>307</v>
      </c>
      <c r="B311" s="9" t="inlineStr">
        <is>
          <t>Baharampur</t>
        </is>
      </c>
      <c r="C311" s="9" t="inlineStr">
        <is>
          <t>West Bengal</t>
        </is>
      </c>
      <c r="D311" s="9" t="inlineStr">
        <is>
          <t>India</t>
        </is>
      </c>
      <c r="E311" s="9" t="n">
        <v>1</v>
      </c>
      <c r="F311" s="9" t="n">
        <v>1</v>
      </c>
      <c r="G311" s="10" t="n">
        <v>44907</v>
      </c>
      <c r="H311" s="10" t="n">
        <v>44907</v>
      </c>
    </row>
    <row r="312">
      <c r="A312" s="9" t="n">
        <v>308</v>
      </c>
      <c r="B312" s="9" t="inlineStr">
        <is>
          <t>Sainthia</t>
        </is>
      </c>
      <c r="C312" s="9" t="inlineStr">
        <is>
          <t>West Bengal</t>
        </is>
      </c>
      <c r="D312" s="9" t="inlineStr">
        <is>
          <t>India</t>
        </is>
      </c>
      <c r="E312" s="9" t="n">
        <v>1</v>
      </c>
      <c r="F312" s="9" t="n">
        <v>1</v>
      </c>
      <c r="G312" s="10" t="n">
        <v>44908</v>
      </c>
      <c r="H312" s="10" t="n">
        <v>44908</v>
      </c>
    </row>
    <row r="313">
      <c r="A313" s="9" t="n">
        <v>309</v>
      </c>
      <c r="B313" s="9" t="inlineStr">
        <is>
          <t>Bolpur</t>
        </is>
      </c>
      <c r="C313" s="9" t="inlineStr">
        <is>
          <t>West Bengal</t>
        </is>
      </c>
      <c r="D313" s="9" t="inlineStr">
        <is>
          <t>India</t>
        </is>
      </c>
      <c r="E313" s="9" t="n">
        <v>1</v>
      </c>
      <c r="F313" s="9" t="n">
        <v>1</v>
      </c>
      <c r="G313" s="10" t="n">
        <v>44908</v>
      </c>
      <c r="H313" s="10" t="n">
        <v>44908</v>
      </c>
    </row>
    <row r="314">
      <c r="A314" s="9" t="n">
        <v>310</v>
      </c>
      <c r="B314" s="9" t="inlineStr">
        <is>
          <t>Barddhaman</t>
        </is>
      </c>
      <c r="C314" s="9" t="inlineStr">
        <is>
          <t>West Bengal</t>
        </is>
      </c>
      <c r="D314" s="9" t="inlineStr">
        <is>
          <t>India</t>
        </is>
      </c>
      <c r="E314" s="9" t="n">
        <v>1</v>
      </c>
      <c r="F314" s="9" t="n">
        <v>1</v>
      </c>
      <c r="G314" s="10" t="n">
        <v>44908</v>
      </c>
      <c r="H314" s="10" t="n">
        <v>44908</v>
      </c>
    </row>
    <row r="315">
      <c r="A315" s="9" t="n">
        <v>311</v>
      </c>
      <c r="B315" s="9" t="inlineStr">
        <is>
          <t>Mahbubabad</t>
        </is>
      </c>
      <c r="C315" s="9" t="inlineStr">
        <is>
          <t>Telangana</t>
        </is>
      </c>
      <c r="D315" s="9" t="inlineStr">
        <is>
          <t>India</t>
        </is>
      </c>
      <c r="E315" s="9" t="n">
        <v>1</v>
      </c>
      <c r="F315" s="9" t="n">
        <v>1</v>
      </c>
      <c r="G315" s="10" t="n">
        <v>44956</v>
      </c>
      <c r="H315" s="10" t="n">
        <v>44956</v>
      </c>
    </row>
    <row r="316">
      <c r="A316" s="9" t="n">
        <v>312</v>
      </c>
      <c r="B316" s="9" t="inlineStr">
        <is>
          <t>Nandigama</t>
        </is>
      </c>
      <c r="C316" s="9" t="inlineStr">
        <is>
          <t>Andhra Pradesh</t>
        </is>
      </c>
      <c r="D316" s="9" t="inlineStr">
        <is>
          <t>India</t>
        </is>
      </c>
      <c r="E316" s="9" t="n">
        <v>1</v>
      </c>
      <c r="F316" s="9" t="n">
        <v>1</v>
      </c>
      <c r="G316" s="10" t="n">
        <v>44957</v>
      </c>
      <c r="H316" s="10" t="n">
        <v>44957</v>
      </c>
    </row>
    <row r="317">
      <c r="A317" s="9" t="n">
        <v>313</v>
      </c>
      <c r="B317" s="9" t="inlineStr">
        <is>
          <t>Renigunta</t>
        </is>
      </c>
      <c r="C317" s="9" t="inlineStr">
        <is>
          <t>Andhra Pradesh</t>
        </is>
      </c>
      <c r="D317" s="9" t="inlineStr">
        <is>
          <t>India</t>
        </is>
      </c>
      <c r="E317" s="9" t="n">
        <v>1</v>
      </c>
      <c r="F317" s="9" t="n">
        <v>1</v>
      </c>
      <c r="G317" s="10" t="n">
        <v>44958</v>
      </c>
      <c r="H317" s="10" t="n">
        <v>44958</v>
      </c>
    </row>
    <row r="318">
      <c r="A318" s="9" t="n">
        <v>314</v>
      </c>
      <c r="B318" s="9" t="inlineStr">
        <is>
          <t>Faridabad</t>
        </is>
      </c>
      <c r="C318" s="9" t="inlineStr">
        <is>
          <t>Haryana</t>
        </is>
      </c>
      <c r="D318" s="9" t="inlineStr">
        <is>
          <t>India</t>
        </is>
      </c>
      <c r="E318" s="9" t="n">
        <v>1</v>
      </c>
      <c r="F318" s="9" t="n">
        <v>1</v>
      </c>
      <c r="G318" s="10" t="n">
        <v>45009</v>
      </c>
      <c r="H318" s="10" t="n">
        <v>45009</v>
      </c>
    </row>
    <row r="319">
      <c r="A319" s="9" t="n">
        <v>315</v>
      </c>
      <c r="B319" s="9" t="inlineStr">
        <is>
          <t>Bagepalli</t>
        </is>
      </c>
      <c r="C319" s="9" t="inlineStr">
        <is>
          <t>Karnataka</t>
        </is>
      </c>
      <c r="D319" s="9" t="inlineStr">
        <is>
          <t>India</t>
        </is>
      </c>
      <c r="E319" s="9" t="n">
        <v>1</v>
      </c>
      <c r="F319" s="9" t="n">
        <v>1</v>
      </c>
      <c r="G319" s="10" t="n">
        <v>45070</v>
      </c>
      <c r="H319" s="10" t="n">
        <v>45070</v>
      </c>
    </row>
    <row r="320">
      <c r="A320" s="9" t="n">
        <v>316</v>
      </c>
      <c r="B320" s="9" t="inlineStr">
        <is>
          <t>Channarayapatna</t>
        </is>
      </c>
      <c r="C320" s="9" t="inlineStr">
        <is>
          <t>Karnataka</t>
        </is>
      </c>
      <c r="D320" s="9" t="inlineStr">
        <is>
          <t>India</t>
        </is>
      </c>
      <c r="E320" s="9" t="n">
        <v>1</v>
      </c>
      <c r="F320" s="9" t="n">
        <v>1</v>
      </c>
      <c r="G320" s="10" t="n">
        <v>45073</v>
      </c>
      <c r="H320" s="10" t="n">
        <v>45073</v>
      </c>
    </row>
    <row r="321">
      <c r="A321" s="9" t="n">
        <v>317</v>
      </c>
      <c r="B321" s="9" t="inlineStr">
        <is>
          <t>Dharmavaram</t>
        </is>
      </c>
      <c r="C321" s="9" t="inlineStr">
        <is>
          <t>Andhra Pradesh</t>
        </is>
      </c>
      <c r="D321" s="9" t="inlineStr">
        <is>
          <t>India</t>
        </is>
      </c>
      <c r="E321" s="9" t="n">
        <v>1</v>
      </c>
      <c r="F321" s="9" t="n">
        <v>1</v>
      </c>
      <c r="G321" s="10" t="n">
        <v>45125</v>
      </c>
      <c r="H321" s="10" t="n">
        <v>45125</v>
      </c>
    </row>
    <row r="322">
      <c r="A322" s="9" t="n">
        <v>318</v>
      </c>
      <c r="B322" s="9" t="inlineStr">
        <is>
          <t>Ranaghat</t>
        </is>
      </c>
      <c r="C322" s="9" t="inlineStr">
        <is>
          <t>West Bengal</t>
        </is>
      </c>
      <c r="D322" s="9" t="inlineStr">
        <is>
          <t>India</t>
        </is>
      </c>
      <c r="E322" s="9" t="n">
        <v>1</v>
      </c>
      <c r="F322" s="9" t="n">
        <v>1</v>
      </c>
      <c r="G322" s="10" t="n">
        <v>45230</v>
      </c>
      <c r="H322" s="10" t="n">
        <v>45230</v>
      </c>
    </row>
    <row r="323">
      <c r="A323" s="9" t="n">
        <v>319</v>
      </c>
      <c r="B323" s="9" t="inlineStr">
        <is>
          <t>Modasa</t>
        </is>
      </c>
      <c r="C323" s="9" t="inlineStr">
        <is>
          <t>Gujarat</t>
        </is>
      </c>
      <c r="D323" s="9" t="inlineStr">
        <is>
          <t>India</t>
        </is>
      </c>
      <c r="E323" s="9" t="n">
        <v>1</v>
      </c>
      <c r="F323" s="9" t="n">
        <v>1</v>
      </c>
      <c r="G323" s="10" t="n">
        <v>45252</v>
      </c>
      <c r="H323" s="10" t="n">
        <v>45252</v>
      </c>
    </row>
    <row r="324">
      <c r="A324" s="9" t="n">
        <v>320</v>
      </c>
      <c r="B324" s="9" t="inlineStr">
        <is>
          <t>Maddur</t>
        </is>
      </c>
      <c r="C324" s="9" t="inlineStr">
        <is>
          <t>Karnataka</t>
        </is>
      </c>
      <c r="D324" s="9" t="inlineStr">
        <is>
          <t>India</t>
        </is>
      </c>
      <c r="E324" s="9" t="n">
        <v>1</v>
      </c>
      <c r="F324" s="9" t="n">
        <v>1</v>
      </c>
      <c r="G324" s="10" t="n">
        <v>45297</v>
      </c>
      <c r="H324" s="10" t="n">
        <v>45297</v>
      </c>
    </row>
    <row r="325">
      <c r="A325" s="9" t="n">
        <v>321</v>
      </c>
      <c r="B325" s="9" t="inlineStr">
        <is>
          <t>Borivli</t>
        </is>
      </c>
      <c r="C325" s="9" t="inlineStr">
        <is>
          <t>Maharashtra</t>
        </is>
      </c>
      <c r="D325" s="9" t="inlineStr">
        <is>
          <t>India</t>
        </is>
      </c>
      <c r="E325" s="9" t="n">
        <v>1</v>
      </c>
      <c r="F325" s="9" t="n">
        <v>1</v>
      </c>
      <c r="G325" s="10" t="n">
        <v>45487</v>
      </c>
      <c r="H325" s="10" t="n">
        <v>45487</v>
      </c>
    </row>
    <row r="326">
      <c r="A326" s="9" t="n">
        <v>322</v>
      </c>
      <c r="B326" s="9" t="inlineStr">
        <is>
          <t>Lagny-sur-Marne</t>
        </is>
      </c>
      <c r="C326" s="9" t="inlineStr">
        <is>
          <t>Ile-de-France</t>
        </is>
      </c>
      <c r="D326" s="9" t="inlineStr">
        <is>
          <t>France</t>
        </is>
      </c>
      <c r="E326" s="9" t="n">
        <v>1</v>
      </c>
      <c r="F326" s="9" t="n">
        <v>1</v>
      </c>
      <c r="G326" s="10" t="n">
        <v>45489</v>
      </c>
      <c r="H326" s="10" t="n">
        <v>45489</v>
      </c>
    </row>
    <row r="327">
      <c r="A327" s="9" t="n">
        <v>323</v>
      </c>
      <c r="B327" s="9" t="inlineStr">
        <is>
          <t>Cambrai</t>
        </is>
      </c>
      <c r="C327" s="9" t="inlineStr">
        <is>
          <t>Hauts-de-France</t>
        </is>
      </c>
      <c r="D327" s="9" t="inlineStr">
        <is>
          <t>France</t>
        </is>
      </c>
      <c r="E327" s="9" t="n">
        <v>1</v>
      </c>
      <c r="F327" s="9" t="n">
        <v>1</v>
      </c>
      <c r="G327" s="10" t="n">
        <v>45491</v>
      </c>
      <c r="H327" s="10" t="n">
        <v>45491</v>
      </c>
    </row>
    <row r="328">
      <c r="A328" s="9" t="n">
        <v>324</v>
      </c>
      <c r="B328" s="9" t="inlineStr">
        <is>
          <t>Marche-en-Famenne</t>
        </is>
      </c>
      <c r="C328" s="9" t="inlineStr">
        <is>
          <t>Wallonia</t>
        </is>
      </c>
      <c r="D328" s="9" t="inlineStr">
        <is>
          <t>Belgium</t>
        </is>
      </c>
      <c r="E328" s="9" t="n">
        <v>1</v>
      </c>
      <c r="F328" s="9" t="n">
        <v>1</v>
      </c>
      <c r="G328" s="10" t="n">
        <v>45491</v>
      </c>
      <c r="H328" s="10" t="n">
        <v>45491</v>
      </c>
    </row>
    <row r="329">
      <c r="A329" s="9" t="n">
        <v>325</v>
      </c>
      <c r="B329" s="9" t="inlineStr">
        <is>
          <t>Hoogstraten</t>
        </is>
      </c>
      <c r="C329" s="9" t="inlineStr">
        <is>
          <t>Flanders</t>
        </is>
      </c>
      <c r="D329" s="9" t="inlineStr">
        <is>
          <t>Belgium</t>
        </is>
      </c>
      <c r="E329" s="9" t="n">
        <v>1</v>
      </c>
      <c r="F329" s="9" t="n">
        <v>1</v>
      </c>
      <c r="G329" s="10" t="n">
        <v>45492</v>
      </c>
      <c r="H329" s="10" t="n">
        <v>45492</v>
      </c>
    </row>
    <row r="330">
      <c r="A330" s="9" t="n">
        <v>326</v>
      </c>
      <c r="B330" s="9" t="inlineStr">
        <is>
          <t>Breda</t>
        </is>
      </c>
      <c r="C330" s="9" t="inlineStr">
        <is>
          <t>North Brabant</t>
        </is>
      </c>
      <c r="D330" s="9" t="inlineStr">
        <is>
          <t>Netherlands</t>
        </is>
      </c>
      <c r="E330" s="9" t="n">
        <v>1</v>
      </c>
      <c r="F330" s="9" t="n">
        <v>1</v>
      </c>
      <c r="G330" s="10" t="n">
        <v>45492</v>
      </c>
      <c r="H330" s="10" t="n">
        <v>45492</v>
      </c>
    </row>
    <row r="331">
      <c r="A331" s="9" t="n">
        <v>327</v>
      </c>
      <c r="B331" s="9" t="inlineStr">
        <is>
          <t>Oosterhout</t>
        </is>
      </c>
      <c r="C331" s="9" t="inlineStr">
        <is>
          <t>North Brabant</t>
        </is>
      </c>
      <c r="D331" s="9" t="inlineStr">
        <is>
          <t>Netherlands</t>
        </is>
      </c>
      <c r="E331" s="9" t="n">
        <v>1</v>
      </c>
      <c r="F331" s="9" t="n">
        <v>1</v>
      </c>
      <c r="G331" s="10" t="n">
        <v>45492</v>
      </c>
      <c r="H331" s="10" t="n">
        <v>45492</v>
      </c>
    </row>
    <row r="332">
      <c r="A332" s="9" t="n">
        <v>328</v>
      </c>
      <c r="B332" s="9" t="inlineStr">
        <is>
          <t>Dusseldorf</t>
        </is>
      </c>
      <c r="C332" s="9" t="inlineStr">
        <is>
          <t>North Rhine-Westphalia</t>
        </is>
      </c>
      <c r="D332" s="9" t="inlineStr">
        <is>
          <t>Germany</t>
        </is>
      </c>
      <c r="E332" s="9" t="n">
        <v>1</v>
      </c>
      <c r="F332" s="9" t="n">
        <v>1</v>
      </c>
      <c r="G332" s="10" t="n">
        <v>45493</v>
      </c>
      <c r="H332" s="10" t="n">
        <v>45493</v>
      </c>
    </row>
    <row r="333">
      <c r="A333" s="9" t="n">
        <v>329</v>
      </c>
      <c r="B333" s="9" t="inlineStr">
        <is>
          <t>Koln</t>
        </is>
      </c>
      <c r="C333" s="9" t="inlineStr">
        <is>
          <t>North Rhine-Westphalia</t>
        </is>
      </c>
      <c r="D333" s="9" t="inlineStr">
        <is>
          <t>Germany</t>
        </is>
      </c>
      <c r="E333" s="9" t="n">
        <v>1</v>
      </c>
      <c r="F333" s="9" t="n">
        <v>1</v>
      </c>
      <c r="G333" s="10" t="n">
        <v>45493</v>
      </c>
      <c r="H333" s="10" t="n">
        <v>45493</v>
      </c>
    </row>
    <row r="334">
      <c r="A334" s="9" t="n">
        <v>330</v>
      </c>
      <c r="B334" s="9" t="inlineStr">
        <is>
          <t>Frankfurt am Main</t>
        </is>
      </c>
      <c r="C334" s="9" t="inlineStr">
        <is>
          <t>Hesse</t>
        </is>
      </c>
      <c r="D334" s="9" t="inlineStr">
        <is>
          <t>Germany</t>
        </is>
      </c>
      <c r="E334" s="9" t="n">
        <v>1</v>
      </c>
      <c r="F334" s="9" t="n">
        <v>1</v>
      </c>
      <c r="G334" s="10" t="n">
        <v>45494</v>
      </c>
      <c r="H334" s="10" t="n">
        <v>45494</v>
      </c>
    </row>
    <row r="335">
      <c r="A335" s="9" t="n">
        <v>331</v>
      </c>
      <c r="B335" s="9" t="inlineStr">
        <is>
          <t>Sankt Wendel</t>
        </is>
      </c>
      <c r="C335" s="9" t="inlineStr">
        <is>
          <t>Saarland</t>
        </is>
      </c>
      <c r="D335" s="9" t="inlineStr">
        <is>
          <t>Germany</t>
        </is>
      </c>
      <c r="E335" s="9" t="n">
        <v>1</v>
      </c>
      <c r="F335" s="9" t="n">
        <v>1</v>
      </c>
      <c r="G335" s="10" t="n">
        <v>45494</v>
      </c>
      <c r="H335" s="10" t="n">
        <v>45494</v>
      </c>
    </row>
    <row r="336">
      <c r="A336" s="9" t="n">
        <v>332</v>
      </c>
      <c r="B336" s="9" t="inlineStr">
        <is>
          <t>Offenburg</t>
        </is>
      </c>
      <c r="C336" s="9" t="inlineStr">
        <is>
          <t>Baden-Wurttemberg</t>
        </is>
      </c>
      <c r="D336" s="9" t="inlineStr">
        <is>
          <t>Germany</t>
        </is>
      </c>
      <c r="E336" s="9" t="n">
        <v>1</v>
      </c>
      <c r="F336" s="9" t="n">
        <v>1</v>
      </c>
      <c r="G336" s="10" t="n">
        <v>45494</v>
      </c>
      <c r="H336" s="10" t="n">
        <v>45494</v>
      </c>
    </row>
    <row r="337">
      <c r="A337" s="9" t="n">
        <v>333</v>
      </c>
      <c r="B337" s="9" t="inlineStr">
        <is>
          <t>Waldkirch</t>
        </is>
      </c>
      <c r="C337" s="9" t="inlineStr">
        <is>
          <t>Baden-Wurttemberg</t>
        </is>
      </c>
      <c r="D337" s="9" t="inlineStr">
        <is>
          <t>Germany</t>
        </is>
      </c>
      <c r="E337" s="9" t="n">
        <v>1</v>
      </c>
      <c r="F337" s="9" t="n">
        <v>1</v>
      </c>
      <c r="G337" s="10" t="n">
        <v>45494</v>
      </c>
      <c r="H337" s="10" t="n">
        <v>45494</v>
      </c>
    </row>
    <row r="338">
      <c r="A338" s="9" t="n">
        <v>334</v>
      </c>
      <c r="B338" s="9" t="inlineStr">
        <is>
          <t>Schaffhausen</t>
        </is>
      </c>
      <c r="C338" s="9" t="inlineStr">
        <is>
          <t>Schaffhausen</t>
        </is>
      </c>
      <c r="D338" s="9" t="inlineStr">
        <is>
          <t>Switzerland</t>
        </is>
      </c>
      <c r="E338" s="9" t="n">
        <v>1</v>
      </c>
      <c r="F338" s="9" t="n">
        <v>1</v>
      </c>
      <c r="G338" s="10" t="n">
        <v>45494</v>
      </c>
      <c r="H338" s="10" t="n">
        <v>45494</v>
      </c>
    </row>
    <row r="339">
      <c r="A339" s="9" t="n">
        <v>335</v>
      </c>
      <c r="B339" s="9" t="inlineStr">
        <is>
          <t>Kriens</t>
        </is>
      </c>
      <c r="C339" s="9" t="inlineStr">
        <is>
          <t>Lucerne</t>
        </is>
      </c>
      <c r="D339" s="9" t="inlineStr">
        <is>
          <t>Switzerland</t>
        </is>
      </c>
      <c r="E339" s="9" t="n">
        <v>1</v>
      </c>
      <c r="F339" s="9" t="n">
        <v>1</v>
      </c>
      <c r="G339" s="10" t="n">
        <v>45495</v>
      </c>
      <c r="H339" s="10" t="n">
        <v>45495</v>
      </c>
    </row>
    <row r="340">
      <c r="A340" s="9" t="n">
        <v>336</v>
      </c>
      <c r="B340" s="9" t="inlineStr">
        <is>
          <t>Luzern</t>
        </is>
      </c>
      <c r="C340" s="9" t="inlineStr">
        <is>
          <t>Lucerne</t>
        </is>
      </c>
      <c r="D340" s="9" t="inlineStr">
        <is>
          <t>Switzerland</t>
        </is>
      </c>
      <c r="E340" s="9" t="n">
        <v>1</v>
      </c>
      <c r="F340" s="9" t="n">
        <v>1</v>
      </c>
      <c r="G340" s="10" t="n">
        <v>45495</v>
      </c>
      <c r="H340" s="10" t="n">
        <v>45495</v>
      </c>
    </row>
    <row r="341">
      <c r="A341" s="9" t="n">
        <v>337</v>
      </c>
      <c r="B341" s="9" t="inlineStr">
        <is>
          <t>Zurich (Kreis 11) / Affoltern</t>
        </is>
      </c>
      <c r="C341" s="9" t="inlineStr">
        <is>
          <t>Zurich</t>
        </is>
      </c>
      <c r="D341" s="9" t="inlineStr">
        <is>
          <t>Switzerland</t>
        </is>
      </c>
      <c r="E341" s="9" t="n">
        <v>1</v>
      </c>
      <c r="F341" s="9" t="n">
        <v>1</v>
      </c>
      <c r="G341" s="10" t="n">
        <v>45495</v>
      </c>
      <c r="H341" s="10" t="n">
        <v>45495</v>
      </c>
    </row>
    <row r="342">
      <c r="A342" s="9" t="n">
        <v>338</v>
      </c>
      <c r="B342" s="9" t="inlineStr">
        <is>
          <t>Bellinzona</t>
        </is>
      </c>
      <c r="C342" s="9" t="inlineStr">
        <is>
          <t>Ticino</t>
        </is>
      </c>
      <c r="D342" s="9" t="inlineStr">
        <is>
          <t>Switzerland</t>
        </is>
      </c>
      <c r="E342" s="9" t="n">
        <v>1</v>
      </c>
      <c r="F342" s="9" t="n">
        <v>1</v>
      </c>
      <c r="G342" s="10" t="n">
        <v>45496</v>
      </c>
      <c r="H342" s="10" t="n">
        <v>45496</v>
      </c>
    </row>
    <row r="343">
      <c r="A343" s="9" t="n">
        <v>339</v>
      </c>
      <c r="B343" s="9" t="inlineStr">
        <is>
          <t>Milan</t>
        </is>
      </c>
      <c r="C343" s="9" t="inlineStr">
        <is>
          <t>Lombardy</t>
        </is>
      </c>
      <c r="D343" s="9" t="inlineStr">
        <is>
          <t>Italy</t>
        </is>
      </c>
      <c r="E343" s="9" t="n">
        <v>1</v>
      </c>
      <c r="F343" s="9" t="n">
        <v>1</v>
      </c>
      <c r="G343" s="10" t="n">
        <v>45496</v>
      </c>
      <c r="H343" s="10" t="n">
        <v>45496</v>
      </c>
    </row>
    <row r="344">
      <c r="A344" s="9" t="n">
        <v>340</v>
      </c>
      <c r="B344" s="9" t="inlineStr">
        <is>
          <t>Venice</t>
        </is>
      </c>
      <c r="C344" s="9" t="inlineStr">
        <is>
          <t>Veneto</t>
        </is>
      </c>
      <c r="D344" s="9" t="inlineStr">
        <is>
          <t>Italy</t>
        </is>
      </c>
      <c r="E344" s="9" t="n">
        <v>1</v>
      </c>
      <c r="F344" s="9" t="n">
        <v>1</v>
      </c>
      <c r="G344" s="10" t="n">
        <v>45496</v>
      </c>
      <c r="H344" s="10" t="n">
        <v>45496</v>
      </c>
    </row>
    <row r="345">
      <c r="A345" s="9" t="n">
        <v>341</v>
      </c>
      <c r="B345" s="9" t="inlineStr">
        <is>
          <t>Vicenza</t>
        </is>
      </c>
      <c r="C345" s="9" t="inlineStr">
        <is>
          <t>Veneto</t>
        </is>
      </c>
      <c r="D345" s="9" t="inlineStr">
        <is>
          <t>Italy</t>
        </is>
      </c>
      <c r="E345" s="9" t="n">
        <v>1</v>
      </c>
      <c r="F345" s="9" t="n">
        <v>1</v>
      </c>
      <c r="G345" s="10" t="n">
        <v>45497</v>
      </c>
      <c r="H345" s="10" t="n">
        <v>45497</v>
      </c>
    </row>
    <row r="346">
      <c r="A346" s="9" t="n">
        <v>342</v>
      </c>
      <c r="B346" s="9" t="inlineStr">
        <is>
          <t>Este</t>
        </is>
      </c>
      <c r="C346" s="9" t="inlineStr">
        <is>
          <t>Veneto</t>
        </is>
      </c>
      <c r="D346" s="9" t="inlineStr">
        <is>
          <t>Italy</t>
        </is>
      </c>
      <c r="E346" s="9" t="n">
        <v>1</v>
      </c>
      <c r="F346" s="9" t="n">
        <v>1</v>
      </c>
      <c r="G346" s="10" t="n">
        <v>45497</v>
      </c>
      <c r="H346" s="10" t="n">
        <v>45497</v>
      </c>
    </row>
    <row r="347">
      <c r="A347" s="9" t="n">
        <v>343</v>
      </c>
      <c r="B347" s="9" t="inlineStr">
        <is>
          <t>Pisa</t>
        </is>
      </c>
      <c r="C347" s="9" t="inlineStr">
        <is>
          <t>Tuscany</t>
        </is>
      </c>
      <c r="D347" s="9" t="inlineStr">
        <is>
          <t>Italy</t>
        </is>
      </c>
      <c r="E347" s="9" t="n">
        <v>1</v>
      </c>
      <c r="F347" s="9" t="n">
        <v>1</v>
      </c>
      <c r="G347" s="10" t="n">
        <v>45497</v>
      </c>
      <c r="H347" s="10" t="n">
        <v>45497</v>
      </c>
    </row>
    <row r="348">
      <c r="A348" s="9" t="n">
        <v>344</v>
      </c>
      <c r="B348" s="9" t="inlineStr">
        <is>
          <t>Rome</t>
        </is>
      </c>
      <c r="C348" s="9" t="inlineStr">
        <is>
          <t>Lazio</t>
        </is>
      </c>
      <c r="D348" s="9" t="inlineStr">
        <is>
          <t>Italy</t>
        </is>
      </c>
      <c r="E348" s="9" t="n">
        <v>1</v>
      </c>
      <c r="F348" s="9" t="n">
        <v>1</v>
      </c>
      <c r="G348" s="10" t="n">
        <v>45498</v>
      </c>
      <c r="H348" s="10" t="n">
        <v>45498</v>
      </c>
    </row>
    <row r="349">
      <c r="A349" s="9" t="n">
        <v>345</v>
      </c>
      <c r="B349" s="9" t="inlineStr">
        <is>
          <t>Scandicci</t>
        </is>
      </c>
      <c r="C349" s="9" t="inlineStr">
        <is>
          <t>Tuscany</t>
        </is>
      </c>
      <c r="D349" s="9" t="inlineStr">
        <is>
          <t>Italy</t>
        </is>
      </c>
      <c r="E349" s="9" t="n">
        <v>1</v>
      </c>
      <c r="F349" s="9" t="n">
        <v>1</v>
      </c>
      <c r="G349" s="10" t="n">
        <v>45499</v>
      </c>
      <c r="H349" s="10" t="n">
        <v>45499</v>
      </c>
    </row>
    <row r="350">
      <c r="A350" s="9" t="n">
        <v>346</v>
      </c>
      <c r="B350" s="9" t="inlineStr">
        <is>
          <t>Prato</t>
        </is>
      </c>
      <c r="C350" s="9" t="inlineStr">
        <is>
          <t>Tuscany</t>
        </is>
      </c>
      <c r="D350" s="9" t="inlineStr">
        <is>
          <t>Italy</t>
        </is>
      </c>
      <c r="E350" s="9" t="n">
        <v>1</v>
      </c>
      <c r="F350" s="9" t="n">
        <v>1</v>
      </c>
      <c r="G350" s="10" t="n">
        <v>45499</v>
      </c>
      <c r="H350" s="10" t="n">
        <v>45499</v>
      </c>
    </row>
    <row r="351">
      <c r="A351" s="9" t="n">
        <v>347</v>
      </c>
      <c r="B351" s="9" t="inlineStr">
        <is>
          <t>Modena</t>
        </is>
      </c>
      <c r="C351" s="9" t="inlineStr">
        <is>
          <t>Emilia-Romagna</t>
        </is>
      </c>
      <c r="D351" s="9" t="inlineStr">
        <is>
          <t>Italy</t>
        </is>
      </c>
      <c r="E351" s="9" t="n">
        <v>1</v>
      </c>
      <c r="F351" s="9" t="n">
        <v>1</v>
      </c>
      <c r="G351" s="10" t="n">
        <v>45499</v>
      </c>
      <c r="H351" s="10" t="n">
        <v>45499</v>
      </c>
    </row>
    <row r="352">
      <c r="A352" s="9" t="n">
        <v>348</v>
      </c>
      <c r="B352" s="9" t="inlineStr">
        <is>
          <t>Horley</t>
        </is>
      </c>
      <c r="C352" s="9" t="inlineStr">
        <is>
          <t>England</t>
        </is>
      </c>
      <c r="D352" s="9" t="inlineStr">
        <is>
          <t>United Kingdom</t>
        </is>
      </c>
      <c r="E352" s="9" t="n">
        <v>1</v>
      </c>
      <c r="F352" s="9" t="n">
        <v>1</v>
      </c>
      <c r="G352" s="10" t="n">
        <v>45501</v>
      </c>
      <c r="H352" s="10" t="n">
        <v>45501</v>
      </c>
    </row>
    <row r="353">
      <c r="A353" s="9" t="n">
        <v>349</v>
      </c>
      <c r="B353" s="9" t="inlineStr">
        <is>
          <t>Bishops Stortford</t>
        </is>
      </c>
      <c r="C353" s="9" t="inlineStr">
        <is>
          <t>England</t>
        </is>
      </c>
      <c r="D353" s="9" t="inlineStr">
        <is>
          <t>United Kingdom</t>
        </is>
      </c>
      <c r="E353" s="9" t="n">
        <v>1</v>
      </c>
      <c r="F353" s="9" t="n">
        <v>1</v>
      </c>
      <c r="G353" s="10" t="n">
        <v>45504</v>
      </c>
      <c r="H353" s="10" t="n">
        <v>45504</v>
      </c>
    </row>
    <row r="354">
      <c r="A354" s="9" t="n">
        <v>350</v>
      </c>
      <c r="B354" s="9" t="inlineStr">
        <is>
          <t>Abu Dhabi</t>
        </is>
      </c>
      <c r="C354" s="9" t="inlineStr">
        <is>
          <t>Abu Dhabi</t>
        </is>
      </c>
      <c r="D354" s="9" t="inlineStr">
        <is>
          <t>United Arab Emirates</t>
        </is>
      </c>
      <c r="E354" s="9" t="n">
        <v>1</v>
      </c>
      <c r="F354" s="9" t="n">
        <v>1</v>
      </c>
      <c r="G354" s="10" t="n">
        <v>45507</v>
      </c>
      <c r="H354" s="10" t="n">
        <v>45507</v>
      </c>
    </row>
    <row r="355">
      <c r="A355" s="9" t="n">
        <v>351</v>
      </c>
      <c r="B355" s="9" t="inlineStr">
        <is>
          <t>Masdar City</t>
        </is>
      </c>
      <c r="C355" s="9" t="inlineStr">
        <is>
          <t>Abu Dhabi</t>
        </is>
      </c>
      <c r="D355" s="9" t="inlineStr">
        <is>
          <t>United Arab Emirates</t>
        </is>
      </c>
      <c r="E355" s="9" t="n">
        <v>1</v>
      </c>
      <c r="F355" s="9" t="n">
        <v>1</v>
      </c>
      <c r="G355" s="10" t="n">
        <v>45507</v>
      </c>
      <c r="H355" s="10" t="n">
        <v>45507</v>
      </c>
    </row>
    <row r="356">
      <c r="A356" s="9" t="n">
        <v>352</v>
      </c>
      <c r="B356" s="9" t="inlineStr">
        <is>
          <t>Secunderabad</t>
        </is>
      </c>
      <c r="C356" s="9" t="inlineStr">
        <is>
          <t>Telangana</t>
        </is>
      </c>
      <c r="D356" s="9" t="inlineStr">
        <is>
          <t>India</t>
        </is>
      </c>
      <c r="E356" s="9" t="n">
        <v>1</v>
      </c>
      <c r="F356" s="9" t="n">
        <v>1</v>
      </c>
      <c r="G356" s="10" t="n">
        <v>45561</v>
      </c>
      <c r="H356" s="10" t="n">
        <v>45561</v>
      </c>
    </row>
    <row r="357">
      <c r="A357" s="9" t="n">
        <v>353</v>
      </c>
      <c r="B357" s="9" t="inlineStr">
        <is>
          <t>Jewar</t>
        </is>
      </c>
      <c r="C357" s="9" t="inlineStr">
        <is>
          <t>Uttar Pradesh</t>
        </is>
      </c>
      <c r="D357" s="9" t="inlineStr">
        <is>
          <t>India</t>
        </is>
      </c>
      <c r="E357" s="9" t="n">
        <v>1</v>
      </c>
      <c r="F357" s="9" t="n">
        <v>1</v>
      </c>
      <c r="G357" s="10" t="n">
        <v>45576</v>
      </c>
      <c r="H357" s="10" t="n">
        <v>45576</v>
      </c>
    </row>
    <row r="358">
      <c r="A358" s="9" t="n">
        <v>354</v>
      </c>
      <c r="B358" s="9" t="inlineStr">
        <is>
          <t>Diu</t>
        </is>
      </c>
      <c r="C358" s="9" t="inlineStr">
        <is>
          <t>Dadra and Nagar Haveli and Daman and Diu</t>
        </is>
      </c>
      <c r="D358" s="9" t="inlineStr">
        <is>
          <t>India</t>
        </is>
      </c>
      <c r="E358" s="9" t="n">
        <v>1</v>
      </c>
      <c r="F358" s="9" t="n">
        <v>1</v>
      </c>
      <c r="G358" s="10" t="n">
        <v>45687</v>
      </c>
      <c r="H358" s="10" t="n">
        <v>45687</v>
      </c>
    </row>
    <row r="359">
      <c r="A359" s="9" t="n">
        <v>355</v>
      </c>
      <c r="B359" s="9" t="inlineStr">
        <is>
          <t>Cheektowaga</t>
        </is>
      </c>
      <c r="C359" s="9" t="inlineStr">
        <is>
          <t>New York</t>
        </is>
      </c>
      <c r="D359" s="9" t="inlineStr">
        <is>
          <t>United States</t>
        </is>
      </c>
      <c r="E359" s="9" t="n">
        <v>1</v>
      </c>
      <c r="F359" s="9" t="n">
        <v>1</v>
      </c>
      <c r="G359" s="10" t="n">
        <v>45905</v>
      </c>
      <c r="H359" s="10" t="n">
        <v>45905</v>
      </c>
    </row>
    <row r="360">
      <c r="A360" s="9" t="n">
        <v>356</v>
      </c>
      <c r="B360" s="9" t="inlineStr">
        <is>
          <t>Niagara Falls</t>
        </is>
      </c>
      <c r="C360" s="9" t="inlineStr">
        <is>
          <t>Ontario</t>
        </is>
      </c>
      <c r="D360" s="9" t="inlineStr">
        <is>
          <t>Canada</t>
        </is>
      </c>
      <c r="E360" s="9" t="n">
        <v>1</v>
      </c>
      <c r="F360" s="9" t="n">
        <v>1</v>
      </c>
      <c r="G360" s="10" t="n">
        <v>45906</v>
      </c>
      <c r="H360" s="10" t="n">
        <v>45906</v>
      </c>
    </row>
    <row r="361">
      <c r="A361" s="9" t="n">
        <v>357</v>
      </c>
      <c r="B361" s="9" t="inlineStr">
        <is>
          <t>Erie</t>
        </is>
      </c>
      <c r="C361" s="9" t="inlineStr">
        <is>
          <t>Pennsylvania</t>
        </is>
      </c>
      <c r="D361" s="9" t="inlineStr">
        <is>
          <t>United States</t>
        </is>
      </c>
      <c r="E361" s="9" t="n">
        <v>1</v>
      </c>
      <c r="F361" s="9" t="n">
        <v>1</v>
      </c>
      <c r="G361" s="10" t="n">
        <v>45906</v>
      </c>
      <c r="H361" s="10" t="n">
        <v>45906</v>
      </c>
    </row>
    <row r="362">
      <c r="A362" s="9" t="n">
        <v>358</v>
      </c>
      <c r="B362" s="9" t="inlineStr">
        <is>
          <t>Wheeling</t>
        </is>
      </c>
      <c r="C362" s="9" t="inlineStr">
        <is>
          <t>West Virginia</t>
        </is>
      </c>
      <c r="D362" s="9" t="inlineStr">
        <is>
          <t>United States</t>
        </is>
      </c>
      <c r="E362" s="9" t="n">
        <v>1</v>
      </c>
      <c r="F362" s="9" t="n">
        <v>1</v>
      </c>
      <c r="G362" s="10" t="n">
        <v>45907</v>
      </c>
      <c r="H362" s="10" t="n">
        <v>45907</v>
      </c>
    </row>
    <row r="363">
      <c r="A363" s="9" t="n">
        <v>359</v>
      </c>
      <c r="B363" s="9" t="inlineStr">
        <is>
          <t>Altoona</t>
        </is>
      </c>
      <c r="C363" s="9" t="inlineStr">
        <is>
          <t>Pennsylvania</t>
        </is>
      </c>
      <c r="D363" s="9" t="inlineStr">
        <is>
          <t>United States</t>
        </is>
      </c>
      <c r="E363" s="9" t="n">
        <v>1</v>
      </c>
      <c r="F363" s="9" t="n">
        <v>1</v>
      </c>
      <c r="G363" s="10" t="n">
        <v>45907</v>
      </c>
      <c r="H363" s="10" t="n">
        <v>45907</v>
      </c>
    </row>
    <row r="364">
      <c r="A364" s="9" t="n">
        <v>360</v>
      </c>
      <c r="B364" s="9" t="inlineStr">
        <is>
          <t>Oak Ridge</t>
        </is>
      </c>
      <c r="C364" s="9" t="inlineStr">
        <is>
          <t>Florida</t>
        </is>
      </c>
      <c r="D364" s="9" t="inlineStr">
        <is>
          <t>United States</t>
        </is>
      </c>
      <c r="E364" s="9" t="n">
        <v>1</v>
      </c>
      <c r="F364" s="9" t="n">
        <v>1</v>
      </c>
      <c r="G364" s="10" t="n">
        <v>45913</v>
      </c>
      <c r="H364" s="10" t="n">
        <v>45913</v>
      </c>
    </row>
    <row r="365">
      <c r="A365" s="9" t="n">
        <v>361</v>
      </c>
      <c r="B365" s="9" t="inlineStr">
        <is>
          <t>Gainesville</t>
        </is>
      </c>
      <c r="C365" s="9" t="inlineStr">
        <is>
          <t>Florida</t>
        </is>
      </c>
      <c r="D365" s="9" t="inlineStr">
        <is>
          <t>United States</t>
        </is>
      </c>
      <c r="E365" s="9" t="n">
        <v>1</v>
      </c>
      <c r="F365" s="9" t="n">
        <v>1</v>
      </c>
      <c r="G365" s="10" t="n">
        <v>45916</v>
      </c>
      <c r="H365" s="10" t="n">
        <v>45916</v>
      </c>
    </row>
    <row r="366">
      <c r="A366" s="9" t="n">
        <v>362</v>
      </c>
      <c r="B366" s="9" t="inlineStr">
        <is>
          <t>Flagami</t>
        </is>
      </c>
      <c r="C366" s="9" t="inlineStr">
        <is>
          <t>Florida</t>
        </is>
      </c>
      <c r="D366" s="9" t="inlineStr">
        <is>
          <t>United States</t>
        </is>
      </c>
      <c r="E366" s="9" t="n">
        <v>1</v>
      </c>
      <c r="F366" s="9" t="n">
        <v>1</v>
      </c>
      <c r="G366" s="10" t="n">
        <v>45917</v>
      </c>
      <c r="H366" s="10" t="n">
        <v>45917</v>
      </c>
    </row>
    <row r="367">
      <c r="A367" s="9" t="n">
        <v>363</v>
      </c>
      <c r="B367" s="9" t="inlineStr">
        <is>
          <t>Brownsville</t>
        </is>
      </c>
      <c r="C367" s="9" t="inlineStr">
        <is>
          <t>Florida</t>
        </is>
      </c>
      <c r="D367" s="9" t="inlineStr">
        <is>
          <t>United States</t>
        </is>
      </c>
      <c r="E367" s="9" t="n">
        <v>1</v>
      </c>
      <c r="F367" s="9" t="n">
        <v>1</v>
      </c>
      <c r="G367" s="10" t="n">
        <v>45917</v>
      </c>
      <c r="H367" s="10" t="n">
        <v>45917</v>
      </c>
    </row>
    <row r="368">
      <c r="A368" s="9" t="n">
        <v>364</v>
      </c>
      <c r="B368" s="9" t="inlineStr">
        <is>
          <t>South Riding</t>
        </is>
      </c>
      <c r="C368" s="9" t="inlineStr">
        <is>
          <t>Virginia</t>
        </is>
      </c>
      <c r="D368" s="9" t="inlineStr">
        <is>
          <t>United States</t>
        </is>
      </c>
      <c r="E368" s="9" t="n">
        <v>1</v>
      </c>
      <c r="F368" s="9" t="n">
        <v>1</v>
      </c>
      <c r="G368" s="10" t="n">
        <v>45920</v>
      </c>
      <c r="H368" s="10" t="n">
        <v>45920</v>
      </c>
    </row>
    <row r="369">
      <c r="A369" s="9" t="n">
        <v>365</v>
      </c>
      <c r="B369" s="9" t="inlineStr">
        <is>
          <t>Wyckoff</t>
        </is>
      </c>
      <c r="C369" s="9" t="inlineStr">
        <is>
          <t>New Jersey</t>
        </is>
      </c>
      <c r="D369" s="9" t="inlineStr">
        <is>
          <t>United States</t>
        </is>
      </c>
      <c r="E369" s="9" t="n">
        <v>1</v>
      </c>
      <c r="F369" s="9" t="n">
        <v>1</v>
      </c>
      <c r="G369" s="10" t="n">
        <v>45926</v>
      </c>
      <c r="H369" s="10" t="n">
        <v>45926</v>
      </c>
    </row>
    <row r="370">
      <c r="A370" s="9" t="n">
        <v>366</v>
      </c>
      <c r="B370" s="9" t="inlineStr">
        <is>
          <t>Piscataway</t>
        </is>
      </c>
      <c r="C370" s="9" t="inlineStr">
        <is>
          <t>New Jersey</t>
        </is>
      </c>
      <c r="D370" s="9" t="inlineStr">
        <is>
          <t>United States</t>
        </is>
      </c>
      <c r="E370" s="9" t="n">
        <v>1</v>
      </c>
      <c r="F370" s="9" t="n">
        <v>1</v>
      </c>
      <c r="G370" s="10" t="n">
        <v>45927</v>
      </c>
      <c r="H370" s="10" t="n">
        <v>45927</v>
      </c>
    </row>
    <row r="371">
      <c r="A371" s="9" t="n">
        <v>367</v>
      </c>
      <c r="B371" s="9" t="inlineStr">
        <is>
          <t>Bagcılar</t>
        </is>
      </c>
      <c r="C371" s="9" t="inlineStr">
        <is>
          <t>Istanbul</t>
        </is>
      </c>
      <c r="D371" s="9" t="inlineStr">
        <is>
          <t>Turkey</t>
        </is>
      </c>
      <c r="E371" s="9" t="n">
        <v>1</v>
      </c>
      <c r="F371" s="9" t="n">
        <v>1</v>
      </c>
      <c r="G371" s="10" t="n">
        <v>45929</v>
      </c>
      <c r="H371" s="10" t="n">
        <v>45929</v>
      </c>
    </row>
    <row r="372">
      <c r="A372" s="9" t="n">
        <v>368</v>
      </c>
      <c r="B372" s="9" t="inlineStr">
        <is>
          <t>Dailekh</t>
        </is>
      </c>
      <c r="C372" s="9" t="inlineStr">
        <is>
          <t>Karnali Pradesh</t>
        </is>
      </c>
      <c r="D372" s="9" t="inlineStr">
        <is>
          <t>Nepal</t>
        </is>
      </c>
      <c r="E372" s="9" t="n">
        <v>1</v>
      </c>
      <c r="F372" s="9" t="n">
        <v>1</v>
      </c>
      <c r="G372" s="10" t="n">
        <v>46183</v>
      </c>
      <c r="H372" s="10" t="n">
        <v>46183</v>
      </c>
    </row>
    <row r="373">
      <c r="A373" s="9" t="n">
        <v>369</v>
      </c>
      <c r="B373" s="9" t="inlineStr">
        <is>
          <t>Mangalore</t>
        </is>
      </c>
      <c r="C373" s="9" t="inlineStr">
        <is>
          <t>Karnataka</t>
        </is>
      </c>
      <c r="D373" s="9" t="inlineStr">
        <is>
          <t>India</t>
        </is>
      </c>
      <c r="E373" s="9" t="n">
        <v>1</v>
      </c>
      <c r="F373" s="9" t="n">
        <v>1</v>
      </c>
      <c r="G373" s="10" t="n">
        <v>46299</v>
      </c>
      <c r="H373" s="10" t="n">
        <v>46299</v>
      </c>
    </row>
    <row r="374">
      <c r="A374" s="9" t="n">
        <v>370</v>
      </c>
      <c r="B374" s="9" t="inlineStr">
        <is>
          <t>Gangolli</t>
        </is>
      </c>
      <c r="C374" s="9" t="inlineStr">
        <is>
          <t>Karnataka</t>
        </is>
      </c>
      <c r="D374" s="9" t="inlineStr">
        <is>
          <t>India</t>
        </is>
      </c>
      <c r="E374" s="9" t="n">
        <v>1</v>
      </c>
      <c r="F374" s="9" t="n">
        <v>1</v>
      </c>
      <c r="G374" s="10" t="n">
        <v>46300</v>
      </c>
      <c r="H374" s="10" t="n">
        <v>46300</v>
      </c>
    </row>
    <row r="375">
      <c r="A375" s="9" t="n">
        <v>371</v>
      </c>
      <c r="B375" s="9" t="inlineStr">
        <is>
          <t>Kundapura</t>
        </is>
      </c>
      <c r="C375" s="9" t="inlineStr">
        <is>
          <t>Karnataka</t>
        </is>
      </c>
      <c r="D375" s="9" t="inlineStr">
        <is>
          <t>India</t>
        </is>
      </c>
      <c r="E375" s="9" t="n">
        <v>1</v>
      </c>
      <c r="F375" s="9" t="n">
        <v>1</v>
      </c>
      <c r="G375" s="10" t="n">
        <v>46300</v>
      </c>
      <c r="H375" s="10" t="n">
        <v>46300</v>
      </c>
    </row>
    <row r="376">
      <c r="A376" s="9" t="n">
        <v>372</v>
      </c>
      <c r="B376" s="9" t="inlineStr">
        <is>
          <t>Murudeshwara</t>
        </is>
      </c>
      <c r="C376" s="9" t="inlineStr">
        <is>
          <t>Karnataka</t>
        </is>
      </c>
      <c r="D376" s="9" t="inlineStr">
        <is>
          <t>India</t>
        </is>
      </c>
      <c r="E376" s="9" t="n">
        <v>1</v>
      </c>
      <c r="F376" s="9" t="n">
        <v>1</v>
      </c>
      <c r="G376" s="10" t="n">
        <v>46301</v>
      </c>
      <c r="H376" s="10" t="n">
        <v>46301</v>
      </c>
    </row>
    <row r="377">
      <c r="A377" s="9" t="n">
        <v>373</v>
      </c>
      <c r="B377" s="9" t="inlineStr">
        <is>
          <t>Kumta</t>
        </is>
      </c>
      <c r="C377" s="9" t="inlineStr">
        <is>
          <t>Karnataka</t>
        </is>
      </c>
      <c r="D377" s="9" t="inlineStr">
        <is>
          <t>India</t>
        </is>
      </c>
      <c r="E377" s="9" t="n">
        <v>1</v>
      </c>
      <c r="F377" s="9" t="n">
        <v>1</v>
      </c>
      <c r="G377" s="10" t="n">
        <v>46301</v>
      </c>
      <c r="H377" s="10" t="n">
        <v>46301</v>
      </c>
    </row>
    <row r="378">
      <c r="A378" s="9" t="n">
        <v>374</v>
      </c>
      <c r="B378" s="9" t="inlineStr">
        <is>
          <t>Gokarna</t>
        </is>
      </c>
      <c r="C378" s="9" t="inlineStr">
        <is>
          <t>Karnataka</t>
        </is>
      </c>
      <c r="D378" s="9" t="inlineStr">
        <is>
          <t>India</t>
        </is>
      </c>
      <c r="E378" s="9" t="n">
        <v>1</v>
      </c>
      <c r="F378" s="9" t="n">
        <v>1</v>
      </c>
      <c r="G378" s="10" t="n">
        <v>46301</v>
      </c>
      <c r="H378" s="10" t="n">
        <v>46301</v>
      </c>
    </row>
  </sheetData>
  <autoFilter ref="A4:H378"/>
  <pageMargins left="0.75" right="0.75" top="1" bottom="1" header="0.5" footer="0.5"/>
</worksheet>
</file>

<file path=xl/worksheets/sheet15.xml><?xml version="1.0" encoding="utf-8"?>
<worksheet xmlns="http://schemas.openxmlformats.org/spreadsheetml/2006/main">
  <sheetPr>
    <tabColor rgb="001F2A44"/>
    <outlinePr summaryBelow="1" summaryRight="1"/>
    <pageSetUpPr/>
  </sheetPr>
  <dimension ref="A1:F22"/>
  <sheetViews>
    <sheetView zoomScale="100" workbookViewId="0">
      <pane ySplit="4" topLeftCell="A5" activePane="bottomLeft" state="frozen"/>
      <selection pane="bottomLeft" activeCell="A1" sqref="A1"/>
    </sheetView>
  </sheetViews>
  <sheetFormatPr baseColWidth="8" defaultRowHeight="15"/>
  <cols>
    <col width="5" customWidth="1" min="1" max="1"/>
    <col width="6" customWidth="1" min="2" max="2"/>
    <col width="34" customWidth="1" min="3" max="3"/>
    <col width="24" customWidth="1" min="4" max="4"/>
    <col width="12" customWidth="1" min="5" max="5"/>
    <col width="50" customWidth="1" min="6" max="6"/>
  </cols>
  <sheetData>
    <row r="1">
      <c r="A1" s="1" t="inlineStr">
        <is>
          <t>Pilgrimage status - Jyotirlingas &amp; Char Dham (GPS: a stop within 2 km of the temple)</t>
        </is>
      </c>
    </row>
    <row r="2">
      <c r="A2" s="2" t="inlineStr">
        <is>
          <t>5 of 12 Jyotirlingas and 4 of 4 Char Dham recorded. Tick manually if you visited before Feb 2015 or with Timeline off.</t>
        </is>
      </c>
    </row>
    <row r="4">
      <c r="A4" s="3" t="inlineStr">
        <is>
          <t>#</t>
        </is>
      </c>
      <c r="B4" s="3" t="inlineStr">
        <is>
          <t>✔</t>
        </is>
      </c>
      <c r="C4" s="3" t="inlineStr">
        <is>
          <t>Place</t>
        </is>
      </c>
      <c r="D4" s="3" t="inlineStr">
        <is>
          <t>Group</t>
        </is>
      </c>
      <c r="E4" s="3" t="inlineStr">
        <is>
          <t>GPS status</t>
        </is>
      </c>
      <c r="F4" s="3" t="inlineStr">
        <is>
          <t>Note</t>
        </is>
      </c>
    </row>
    <row r="5">
      <c r="A5" s="9" t="n">
        <v>1</v>
      </c>
      <c r="B5" s="27" t="inlineStr">
        <is>
          <t>☑</t>
        </is>
      </c>
      <c r="C5" s="9" t="inlineStr">
        <is>
          <t>Somnath</t>
        </is>
      </c>
      <c r="D5" s="9" t="inlineStr">
        <is>
          <t>Jyotirlinga</t>
        </is>
      </c>
      <c r="E5" s="9" t="inlineStr">
        <is>
          <t>Visited</t>
        </is>
      </c>
      <c r="F5" s="9" t="inlineStr"/>
    </row>
    <row r="6">
      <c r="A6" s="9" t="n">
        <v>2</v>
      </c>
      <c r="B6" s="28" t="inlineStr">
        <is>
          <t>☐</t>
        </is>
      </c>
      <c r="C6" s="9" t="inlineStr">
        <is>
          <t>Mallikarjuna, Srisailam</t>
        </is>
      </c>
      <c r="D6" s="9" t="inlineStr">
        <is>
          <t>Jyotirlinga</t>
        </is>
      </c>
      <c r="E6" s="9" t="inlineStr">
        <is>
          <t>Not yet</t>
        </is>
      </c>
      <c r="F6" s="9" t="inlineStr"/>
    </row>
    <row r="7">
      <c r="A7" s="9" t="n">
        <v>3</v>
      </c>
      <c r="B7" s="28" t="inlineStr">
        <is>
          <t>☐</t>
        </is>
      </c>
      <c r="C7" s="9" t="inlineStr">
        <is>
          <t>Mahakaleshwar, Ujjain</t>
        </is>
      </c>
      <c r="D7" s="9" t="inlineStr">
        <is>
          <t>Jyotirlinga</t>
        </is>
      </c>
      <c r="E7" s="9" t="inlineStr">
        <is>
          <t>Not yet</t>
        </is>
      </c>
      <c r="F7" s="9" t="inlineStr"/>
    </row>
    <row r="8">
      <c r="A8" s="9" t="n">
        <v>4</v>
      </c>
      <c r="B8" s="28" t="inlineStr">
        <is>
          <t>☐</t>
        </is>
      </c>
      <c r="C8" s="9" t="inlineStr">
        <is>
          <t>Omkareshwar</t>
        </is>
      </c>
      <c r="D8" s="9" t="inlineStr">
        <is>
          <t>Jyotirlinga</t>
        </is>
      </c>
      <c r="E8" s="9" t="inlineStr">
        <is>
          <t>Not yet</t>
        </is>
      </c>
      <c r="F8" s="9" t="inlineStr"/>
    </row>
    <row r="9">
      <c r="A9" s="9" t="n">
        <v>5</v>
      </c>
      <c r="B9" s="27" t="inlineStr">
        <is>
          <t>☑</t>
        </is>
      </c>
      <c r="C9" s="9" t="inlineStr">
        <is>
          <t>Kedarnath</t>
        </is>
      </c>
      <c r="D9" s="9" t="inlineStr">
        <is>
          <t>Jyotirlinga</t>
        </is>
      </c>
      <c r="E9" s="9" t="inlineStr">
        <is>
          <t>Visited</t>
        </is>
      </c>
      <c r="F9" s="9" t="inlineStr"/>
    </row>
    <row r="10">
      <c r="A10" s="9" t="n">
        <v>6</v>
      </c>
      <c r="B10" s="28" t="inlineStr">
        <is>
          <t>☐</t>
        </is>
      </c>
      <c r="C10" s="9" t="inlineStr">
        <is>
          <t>Bhimashankar</t>
        </is>
      </c>
      <c r="D10" s="9" t="inlineStr">
        <is>
          <t>Jyotirlinga</t>
        </is>
      </c>
      <c r="E10" s="9" t="inlineStr">
        <is>
          <t>Not yet</t>
        </is>
      </c>
      <c r="F10" s="9" t="inlineStr"/>
    </row>
    <row r="11">
      <c r="A11" s="9" t="n">
        <v>7</v>
      </c>
      <c r="B11" s="27" t="inlineStr">
        <is>
          <t>☑</t>
        </is>
      </c>
      <c r="C11" s="9" t="inlineStr">
        <is>
          <t>Kashi Vishwanath, Varanasi</t>
        </is>
      </c>
      <c r="D11" s="9" t="inlineStr">
        <is>
          <t>Jyotirlinga</t>
        </is>
      </c>
      <c r="E11" s="9" t="inlineStr">
        <is>
          <t>Visited</t>
        </is>
      </c>
      <c r="F11" s="9" t="inlineStr"/>
    </row>
    <row r="12">
      <c r="A12" s="9" t="n">
        <v>8</v>
      </c>
      <c r="B12" s="28" t="inlineStr">
        <is>
          <t>☐</t>
        </is>
      </c>
      <c r="C12" s="9" t="inlineStr">
        <is>
          <t>Trimbakeshwar, Nashik</t>
        </is>
      </c>
      <c r="D12" s="9" t="inlineStr">
        <is>
          <t>Jyotirlinga</t>
        </is>
      </c>
      <c r="E12" s="9" t="inlineStr">
        <is>
          <t>Not yet</t>
        </is>
      </c>
      <c r="F12" s="9" t="inlineStr"/>
    </row>
    <row r="13">
      <c r="A13" s="9" t="n">
        <v>9</v>
      </c>
      <c r="B13" s="28" t="inlineStr">
        <is>
          <t>☐</t>
        </is>
      </c>
      <c r="C13" s="9" t="inlineStr">
        <is>
          <t>Vaidyanath, Deoghar</t>
        </is>
      </c>
      <c r="D13" s="9" t="inlineStr">
        <is>
          <t>Jyotirlinga</t>
        </is>
      </c>
      <c r="E13" s="9" t="inlineStr">
        <is>
          <t>Not yet</t>
        </is>
      </c>
      <c r="F13" s="9" t="inlineStr"/>
    </row>
    <row r="14">
      <c r="A14" s="9" t="n">
        <v>10</v>
      </c>
      <c r="B14" s="27" t="inlineStr">
        <is>
          <t>☑</t>
        </is>
      </c>
      <c r="C14" s="9" t="inlineStr">
        <is>
          <t>Nageshwar, Dwarka</t>
        </is>
      </c>
      <c r="D14" s="9" t="inlineStr">
        <is>
          <t>Jyotirlinga</t>
        </is>
      </c>
      <c r="E14" s="9" t="inlineStr">
        <is>
          <t>Visited</t>
        </is>
      </c>
      <c r="F14" s="9" t="inlineStr"/>
    </row>
    <row r="15">
      <c r="A15" s="9" t="n">
        <v>11</v>
      </c>
      <c r="B15" s="27" t="inlineStr">
        <is>
          <t>☑</t>
        </is>
      </c>
      <c r="C15" s="9" t="inlineStr">
        <is>
          <t>Rameshwaram</t>
        </is>
      </c>
      <c r="D15" s="9" t="inlineStr">
        <is>
          <t>Jyotirlinga + Char Dham</t>
        </is>
      </c>
      <c r="E15" s="9" t="inlineStr">
        <is>
          <t>Visited</t>
        </is>
      </c>
      <c r="F15" s="9" t="inlineStr"/>
    </row>
    <row r="16">
      <c r="A16" s="9" t="n">
        <v>12</v>
      </c>
      <c r="B16" s="28" t="inlineStr">
        <is>
          <t>☐</t>
        </is>
      </c>
      <c r="C16" s="9" t="inlineStr">
        <is>
          <t>Grishneshwar, Ellora</t>
        </is>
      </c>
      <c r="D16" s="9" t="inlineStr">
        <is>
          <t>Jyotirlinga</t>
        </is>
      </c>
      <c r="E16" s="9" t="inlineStr">
        <is>
          <t>Not yet</t>
        </is>
      </c>
      <c r="F16" s="9" t="inlineStr"/>
    </row>
    <row r="17">
      <c r="A17" s="9" t="n">
        <v>13</v>
      </c>
      <c r="B17" s="27" t="inlineStr">
        <is>
          <t>☑</t>
        </is>
      </c>
      <c r="C17" s="9" t="inlineStr">
        <is>
          <t>Badrinath</t>
        </is>
      </c>
      <c r="D17" s="9" t="inlineStr">
        <is>
          <t>Char Dham</t>
        </is>
      </c>
      <c r="E17" s="9" t="inlineStr">
        <is>
          <t>Visited</t>
        </is>
      </c>
      <c r="F17" s="9" t="inlineStr"/>
    </row>
    <row r="18">
      <c r="A18" s="9" t="n">
        <v>14</v>
      </c>
      <c r="B18" s="27" t="inlineStr">
        <is>
          <t>☑</t>
        </is>
      </c>
      <c r="C18" s="9" t="inlineStr">
        <is>
          <t>Dwarka</t>
        </is>
      </c>
      <c r="D18" s="9" t="inlineStr">
        <is>
          <t>Char Dham</t>
        </is>
      </c>
      <c r="E18" s="9" t="inlineStr">
        <is>
          <t>Visited</t>
        </is>
      </c>
      <c r="F18" s="9" t="inlineStr"/>
    </row>
    <row r="19">
      <c r="A19" s="9" t="n">
        <v>15</v>
      </c>
      <c r="B19" s="27" t="inlineStr">
        <is>
          <t>☑</t>
        </is>
      </c>
      <c r="C19" s="9" t="inlineStr">
        <is>
          <t>Jagannath Puri</t>
        </is>
      </c>
      <c r="D19" s="9" t="inlineStr">
        <is>
          <t>Char Dham</t>
        </is>
      </c>
      <c r="E19" s="9" t="inlineStr">
        <is>
          <t>Visited</t>
        </is>
      </c>
      <c r="F19" s="9" t="inlineStr"/>
    </row>
    <row r="21">
      <c r="C21" s="4" t="inlineStr">
        <is>
          <t>Jyotirlingas ticked</t>
        </is>
      </c>
      <c r="D21">
        <f>COUNTIFS(B5:B19,"☑",D5:D19,"Jyotirlinga*")</f>
        <v/>
      </c>
    </row>
    <row r="22">
      <c r="C22" s="4" t="inlineStr">
        <is>
          <t>Char Dham ticked</t>
        </is>
      </c>
      <c r="D22">
        <f>COUNTIFS(B5:B19,"☑",D5:D19,"*Char Dham*")</f>
        <v/>
      </c>
    </row>
  </sheetData>
  <dataValidations count="1">
    <dataValidation sqref="B5:B19" showDropDown="0" showInputMessage="0" showErrorMessage="0" allowBlank="1" type="list">
      <formula1>"☑,☐"</formula1>
    </dataValidation>
  </dataValidations>
  <pageMargins left="0.75" right="0.75" top="1" bottom="1" header="0.5" footer="0.5"/>
</worksheet>
</file>

<file path=xl/worksheets/sheet16.xml><?xml version="1.0" encoding="utf-8"?>
<worksheet xmlns="http://schemas.openxmlformats.org/spreadsheetml/2006/main">
  <sheetPr>
    <tabColor rgb="001F2A44"/>
    <outlinePr summaryBelow="1" summaryRight="1"/>
    <pageSetUpPr/>
  </sheetPr>
  <dimension ref="A1:M2407"/>
  <sheetViews>
    <sheetView zoomScale="100" workbookViewId="0">
      <pane ySplit="4" topLeftCell="A5" activePane="bottomLeft" state="frozen"/>
      <selection pane="bottomLeft" activeCell="A1" sqref="A1"/>
    </sheetView>
  </sheetViews>
  <sheetFormatPr baseColWidth="8" defaultRowHeight="15"/>
  <cols>
    <col width="5" customWidth="1" min="1" max="1"/>
    <col width="20" customWidth="1" min="2" max="2"/>
    <col width="20" customWidth="1" min="3" max="3"/>
    <col width="22" customWidth="1" min="4" max="4"/>
    <col width="16" customWidth="1" min="5" max="5"/>
    <col width="7" customWidth="1" min="6" max="6"/>
    <col width="7" customWidth="1" min="7" max="7"/>
    <col width="7" customWidth="1" min="8" max="8"/>
    <col width="11" customWidth="1" min="9" max="9"/>
    <col width="11" customWidth="1" min="10" max="10"/>
    <col width="10" customWidth="1" min="11" max="11"/>
    <col width="10" customWidth="1" min="12" max="12"/>
    <col width="60" customWidth="1" min="13" max="13"/>
  </cols>
  <sheetData>
    <row r="1">
      <c r="A1" s="1" t="inlineStr">
        <is>
          <t>GPS Timeline - 2,403 distinct places (coordinates only)</t>
        </is>
      </c>
    </row>
    <row r="2">
      <c r="A2" s="2" t="inlineStr">
        <is>
          <t>Google's export has no names; open the Maps link to see each place. Useful to recover exact temples/sites per city.</t>
        </is>
      </c>
    </row>
    <row r="4">
      <c r="A4" s="3" t="inlineStr">
        <is>
          <t>#</t>
        </is>
      </c>
      <c r="B4" s="3" t="inlineStr">
        <is>
          <t>Town</t>
        </is>
      </c>
      <c r="C4" s="3" t="inlineStr">
        <is>
          <t>City</t>
        </is>
      </c>
      <c r="D4" s="3" t="inlineStr">
        <is>
          <t>State / region</t>
        </is>
      </c>
      <c r="E4" s="3" t="inlineStr">
        <is>
          <t>Country</t>
        </is>
      </c>
      <c r="F4" s="3" t="inlineStr">
        <is>
          <t>Visits</t>
        </is>
      </c>
      <c r="G4" s="3" t="inlineStr">
        <is>
          <t>Days</t>
        </is>
      </c>
      <c r="H4" s="3" t="inlineStr">
        <is>
          <t>Trips</t>
        </is>
      </c>
      <c r="I4" s="3" t="inlineStr">
        <is>
          <t>First</t>
        </is>
      </c>
      <c r="J4" s="3" t="inlineStr">
        <is>
          <t>Last</t>
        </is>
      </c>
      <c r="K4" s="3" t="inlineStr">
        <is>
          <t>Lat</t>
        </is>
      </c>
      <c r="L4" s="3" t="inlineStr">
        <is>
          <t>Lng</t>
        </is>
      </c>
      <c r="M4" s="3" t="inlineStr">
        <is>
          <t>Google Maps link</t>
        </is>
      </c>
    </row>
    <row r="5">
      <c r="A5" s="9" t="n">
        <v>1</v>
      </c>
      <c r="B5" s="9" t="inlineStr">
        <is>
          <t>Akkarampalle</t>
        </is>
      </c>
      <c r="C5" s="9" t="inlineStr">
        <is>
          <t>Akkarampalle</t>
        </is>
      </c>
      <c r="D5" s="9" t="inlineStr">
        <is>
          <t>Andhra Pradesh</t>
        </is>
      </c>
      <c r="E5" s="9" t="inlineStr">
        <is>
          <t>India</t>
        </is>
      </c>
      <c r="F5" s="9" t="n">
        <v>9</v>
      </c>
      <c r="G5" s="9" t="n">
        <v>4</v>
      </c>
      <c r="H5" s="9" t="n">
        <v>2</v>
      </c>
      <c r="I5" s="10" t="n">
        <v>42911</v>
      </c>
      <c r="J5" s="10" t="n">
        <v>43380</v>
      </c>
      <c r="K5" s="9" t="n">
        <v>13.65299</v>
      </c>
      <c r="L5" s="9" t="n">
        <v>79.42104</v>
      </c>
      <c r="M5" s="9" t="inlineStr">
        <is>
          <t>https://www.google.com/maps/place/?q=place_id:ChIJa5ewfwBLTToRDhQuDzSAbQQ</t>
        </is>
      </c>
    </row>
    <row r="6">
      <c r="A6" s="9" t="n">
        <v>2</v>
      </c>
      <c r="B6" s="9" t="inlineStr">
        <is>
          <t>Akkarampalle</t>
        </is>
      </c>
      <c r="C6" s="9" t="inlineStr">
        <is>
          <t>Akkarampalle</t>
        </is>
      </c>
      <c r="D6" s="9" t="inlineStr">
        <is>
          <t>Andhra Pradesh</t>
        </is>
      </c>
      <c r="E6" s="9" t="inlineStr">
        <is>
          <t>India</t>
        </is>
      </c>
      <c r="F6" s="9" t="n">
        <v>5</v>
      </c>
      <c r="G6" s="9" t="n">
        <v>4</v>
      </c>
      <c r="H6" s="9" t="n">
        <v>3</v>
      </c>
      <c r="I6" s="10" t="n">
        <v>42911</v>
      </c>
      <c r="J6" s="10" t="n">
        <v>44402</v>
      </c>
      <c r="K6" s="9" t="n">
        <v>13.64687</v>
      </c>
      <c r="L6" s="9" t="n">
        <v>79.41383999999999</v>
      </c>
      <c r="M6" s="9" t="inlineStr">
        <is>
          <t>https://www.google.com/maps/place/?q=place_id:ChIJT5yso-RKTToR-f0XoUX2-G0</t>
        </is>
      </c>
    </row>
    <row r="7">
      <c r="A7" s="9" t="n">
        <v>3</v>
      </c>
      <c r="B7" s="9" t="inlineStr">
        <is>
          <t>Akkarampalle</t>
        </is>
      </c>
      <c r="C7" s="9" t="inlineStr">
        <is>
          <t>Akkarampalle</t>
        </is>
      </c>
      <c r="D7" s="9" t="inlineStr">
        <is>
          <t>Andhra Pradesh</t>
        </is>
      </c>
      <c r="E7" s="9" t="inlineStr">
        <is>
          <t>India</t>
        </is>
      </c>
      <c r="F7" s="9" t="n">
        <v>5</v>
      </c>
      <c r="G7" s="9" t="n">
        <v>5</v>
      </c>
      <c r="H7" s="9" t="n">
        <v>3</v>
      </c>
      <c r="I7" s="10" t="n">
        <v>44402</v>
      </c>
      <c r="J7" s="10" t="n">
        <v>45771</v>
      </c>
      <c r="K7" s="9" t="n">
        <v>13.65308</v>
      </c>
      <c r="L7" s="9" t="n">
        <v>79.42256999999999</v>
      </c>
      <c r="M7" s="9" t="inlineStr">
        <is>
          <t>https://www.google.com/maps/place/?q=place_id:ChIJ2R-RSvdKTToRvgAnWmrDNjw</t>
        </is>
      </c>
    </row>
    <row r="8">
      <c r="A8" s="9" t="n">
        <v>4</v>
      </c>
      <c r="B8" s="9" t="inlineStr">
        <is>
          <t>Akkarampalle</t>
        </is>
      </c>
      <c r="C8" s="9" t="inlineStr">
        <is>
          <t>Akkarampalle</t>
        </is>
      </c>
      <c r="D8" s="9" t="inlineStr">
        <is>
          <t>Andhra Pradesh</t>
        </is>
      </c>
      <c r="E8" s="9" t="inlineStr">
        <is>
          <t>India</t>
        </is>
      </c>
      <c r="F8" s="9" t="n">
        <v>4</v>
      </c>
      <c r="G8" s="9" t="n">
        <v>3</v>
      </c>
      <c r="H8" s="9" t="n">
        <v>1</v>
      </c>
      <c r="I8" s="10" t="n">
        <v>44402</v>
      </c>
      <c r="J8" s="10" t="n">
        <v>44405</v>
      </c>
      <c r="K8" s="9" t="n">
        <v>13.65296</v>
      </c>
      <c r="L8" s="9" t="n">
        <v>79.42098</v>
      </c>
      <c r="M8" s="9" t="inlineStr">
        <is>
          <t>https://www.google.com/maps/place/?q=place_id:ChIJOYpd3_lKTToRj15jScpK9IU</t>
        </is>
      </c>
    </row>
    <row r="9">
      <c r="A9" s="9" t="n">
        <v>5</v>
      </c>
      <c r="B9" s="9" t="inlineStr">
        <is>
          <t>Akkarampalle</t>
        </is>
      </c>
      <c r="C9" s="9" t="inlineStr">
        <is>
          <t>Akkarampalle</t>
        </is>
      </c>
      <c r="D9" s="9" t="inlineStr">
        <is>
          <t>Andhra Pradesh</t>
        </is>
      </c>
      <c r="E9" s="9" t="inlineStr">
        <is>
          <t>India</t>
        </is>
      </c>
      <c r="F9" s="9" t="n">
        <v>2</v>
      </c>
      <c r="G9" s="9" t="n">
        <v>2</v>
      </c>
      <c r="H9" s="9" t="n">
        <v>2</v>
      </c>
      <c r="I9" s="10" t="n">
        <v>42912</v>
      </c>
      <c r="J9" s="10" t="n">
        <v>44957</v>
      </c>
      <c r="K9" s="9" t="n">
        <v>13.65286</v>
      </c>
      <c r="L9" s="9" t="n">
        <v>79.42104</v>
      </c>
      <c r="M9" s="9" t="inlineStr">
        <is>
          <t>https://www.google.com/maps/place/?q=place_id:ChIJyWGQqaZLTToRbQWuaG7vyDU</t>
        </is>
      </c>
    </row>
    <row r="10">
      <c r="A10" s="9" t="n">
        <v>6</v>
      </c>
      <c r="B10" s="9" t="inlineStr">
        <is>
          <t>Akkarampalle</t>
        </is>
      </c>
      <c r="C10" s="9" t="inlineStr">
        <is>
          <t>Akkarampalle</t>
        </is>
      </c>
      <c r="D10" s="9" t="inlineStr">
        <is>
          <t>Andhra Pradesh</t>
        </is>
      </c>
      <c r="E10" s="9" t="inlineStr">
        <is>
          <t>India</t>
        </is>
      </c>
      <c r="F10" s="9" t="n">
        <v>1</v>
      </c>
      <c r="G10" s="9" t="n">
        <v>1</v>
      </c>
      <c r="H10" s="9" t="n">
        <v>1</v>
      </c>
      <c r="I10" s="10" t="n">
        <v>42911</v>
      </c>
      <c r="J10" s="10" t="n">
        <v>42911</v>
      </c>
      <c r="K10" s="9" t="n">
        <v>13.64905</v>
      </c>
      <c r="L10" s="9" t="n">
        <v>79.42186</v>
      </c>
      <c r="M10" s="9" t="inlineStr">
        <is>
          <t>https://www.google.com/maps/place/?q=place_id:ChIJY-yWUvhKTToRKGsgzps44cQ</t>
        </is>
      </c>
    </row>
    <row r="11">
      <c r="A11" s="9" t="n">
        <v>7</v>
      </c>
      <c r="B11" s="9" t="inlineStr">
        <is>
          <t>Akkarampalle</t>
        </is>
      </c>
      <c r="C11" s="9" t="inlineStr">
        <is>
          <t>Akkarampalle</t>
        </is>
      </c>
      <c r="D11" s="9" t="inlineStr">
        <is>
          <t>Andhra Pradesh</t>
        </is>
      </c>
      <c r="E11" s="9" t="inlineStr">
        <is>
          <t>India</t>
        </is>
      </c>
      <c r="F11" s="9" t="n">
        <v>1</v>
      </c>
      <c r="G11" s="9" t="n">
        <v>1</v>
      </c>
      <c r="H11" s="9" t="n">
        <v>1</v>
      </c>
      <c r="I11" s="10" t="n">
        <v>42911</v>
      </c>
      <c r="J11" s="10" t="n">
        <v>42911</v>
      </c>
      <c r="K11" s="9" t="n">
        <v>13.65016</v>
      </c>
      <c r="L11" s="9" t="n">
        <v>79.41994</v>
      </c>
      <c r="M11" s="9" t="inlineStr">
        <is>
          <t>https://www.google.com/maps/place/?q=place_id:ChIJ-d3jhvlKTToRjlrG-ZaOrWY</t>
        </is>
      </c>
    </row>
    <row r="12">
      <c r="A12" s="9" t="n">
        <v>8</v>
      </c>
      <c r="B12" s="9" t="inlineStr">
        <is>
          <t>Akkarampalle</t>
        </is>
      </c>
      <c r="C12" s="9" t="inlineStr">
        <is>
          <t>Akkarampalle</t>
        </is>
      </c>
      <c r="D12" s="9" t="inlineStr">
        <is>
          <t>Andhra Pradesh</t>
        </is>
      </c>
      <c r="E12" s="9" t="inlineStr">
        <is>
          <t>India</t>
        </is>
      </c>
      <c r="F12" s="9" t="n">
        <v>1</v>
      </c>
      <c r="G12" s="9" t="n">
        <v>1</v>
      </c>
      <c r="H12" s="9" t="n">
        <v>1</v>
      </c>
      <c r="I12" s="10" t="n">
        <v>42911</v>
      </c>
      <c r="J12" s="10" t="n">
        <v>42911</v>
      </c>
      <c r="K12" s="9" t="n">
        <v>13.64722</v>
      </c>
      <c r="L12" s="9" t="n">
        <v>79.41916000000001</v>
      </c>
      <c r="M12" s="9" t="inlineStr">
        <is>
          <t>https://www.google.com/maps/place/?q=place_id:ChIJMRpl-vtKTToR5zY6i45dk_I</t>
        </is>
      </c>
    </row>
    <row r="13">
      <c r="A13" s="9" t="n">
        <v>9</v>
      </c>
      <c r="B13" s="9" t="inlineStr">
        <is>
          <t>Betamcherla</t>
        </is>
      </c>
      <c r="C13" s="9" t="inlineStr">
        <is>
          <t>Betamcherla</t>
        </is>
      </c>
      <c r="D13" s="9" t="inlineStr">
        <is>
          <t>Andhra Pradesh</t>
        </is>
      </c>
      <c r="E13" s="9" t="inlineStr">
        <is>
          <t>India</t>
        </is>
      </c>
      <c r="F13" s="9" t="n">
        <v>1</v>
      </c>
      <c r="G13" s="9" t="n">
        <v>1</v>
      </c>
      <c r="H13" s="9" t="n">
        <v>1</v>
      </c>
      <c r="I13" s="10" t="n">
        <v>42910</v>
      </c>
      <c r="J13" s="10" t="n">
        <v>42910</v>
      </c>
      <c r="K13" s="9" t="n">
        <v>15.48783</v>
      </c>
      <c r="L13" s="9" t="n">
        <v>78.19569</v>
      </c>
      <c r="M13" s="9" t="inlineStr">
        <is>
          <t>https://www.google.com/maps/place/?q=place_id:ChIJn-I4aFlFtDsRMrg7aXwirZg</t>
        </is>
      </c>
    </row>
    <row r="14">
      <c r="A14" s="9" t="n">
        <v>10</v>
      </c>
      <c r="B14" s="9" t="inlineStr">
        <is>
          <t>Chemmumiahpet</t>
        </is>
      </c>
      <c r="C14" s="9" t="inlineStr">
        <is>
          <t>Chemmumiahpet</t>
        </is>
      </c>
      <c r="D14" s="9" t="inlineStr">
        <is>
          <t>Andhra Pradesh</t>
        </is>
      </c>
      <c r="E14" s="9" t="inlineStr">
        <is>
          <t>India</t>
        </is>
      </c>
      <c r="F14" s="9" t="n">
        <v>1</v>
      </c>
      <c r="G14" s="9" t="n">
        <v>1</v>
      </c>
      <c r="H14" s="9" t="n">
        <v>1</v>
      </c>
      <c r="I14" s="10" t="n">
        <v>44741</v>
      </c>
      <c r="J14" s="10" t="n">
        <v>44741</v>
      </c>
      <c r="K14" s="9" t="n">
        <v>14.4515</v>
      </c>
      <c r="L14" s="9" t="n">
        <v>78.82886000000001</v>
      </c>
      <c r="M14" s="9" t="inlineStr">
        <is>
          <t>https://www.google.com/maps/place/?q=place_id:ChIJzQVsWnByszsRYa-ZSvvMAF0</t>
        </is>
      </c>
    </row>
    <row r="15">
      <c r="A15" s="9" t="n">
        <v>11</v>
      </c>
      <c r="B15" s="9" t="inlineStr">
        <is>
          <t>Dharmavaram</t>
        </is>
      </c>
      <c r="C15" s="9" t="inlineStr">
        <is>
          <t>Dharmavaram</t>
        </is>
      </c>
      <c r="D15" s="9" t="inlineStr">
        <is>
          <t>Andhra Pradesh</t>
        </is>
      </c>
      <c r="E15" s="9" t="inlineStr">
        <is>
          <t>India</t>
        </is>
      </c>
      <c r="F15" s="9" t="n">
        <v>1</v>
      </c>
      <c r="G15" s="9" t="n">
        <v>1</v>
      </c>
      <c r="H15" s="9" t="n">
        <v>1</v>
      </c>
      <c r="I15" s="10" t="n">
        <v>45125</v>
      </c>
      <c r="J15" s="10" t="n">
        <v>45125</v>
      </c>
      <c r="K15" s="9" t="n">
        <v>14.50209</v>
      </c>
      <c r="L15" s="9" t="n">
        <v>77.63121</v>
      </c>
      <c r="M15" s="9" t="inlineStr">
        <is>
          <t>https://www.google.com/maps/place/?q=place_id:ChIJzb9m2hdGsTsR4BNNznJ1vx4</t>
        </is>
      </c>
    </row>
    <row r="16">
      <c r="A16" s="9" t="n">
        <v>12</v>
      </c>
      <c r="B16" s="9" t="inlineStr">
        <is>
          <t>Dhone</t>
        </is>
      </c>
      <c r="C16" s="9" t="inlineStr">
        <is>
          <t>Dhone</t>
        </is>
      </c>
      <c r="D16" s="9" t="inlineStr">
        <is>
          <t>Andhra Pradesh</t>
        </is>
      </c>
      <c r="E16" s="9" t="inlineStr">
        <is>
          <t>India</t>
        </is>
      </c>
      <c r="F16" s="9" t="n">
        <v>2</v>
      </c>
      <c r="G16" s="9" t="n">
        <v>2</v>
      </c>
      <c r="H16" s="9" t="n">
        <v>2</v>
      </c>
      <c r="I16" s="10" t="n">
        <v>42755</v>
      </c>
      <c r="J16" s="10" t="n">
        <v>42758</v>
      </c>
      <c r="K16" s="9" t="n">
        <v>15.3977</v>
      </c>
      <c r="L16" s="9" t="n">
        <v>77.86548999999999</v>
      </c>
      <c r="M16" s="9" t="inlineStr">
        <is>
          <t>https://www.google.com/maps/place/?q=place_id:ChIJCyP-1B2BtjsRLq4BXc0nj8k</t>
        </is>
      </c>
    </row>
    <row r="17">
      <c r="A17" s="9" t="n">
        <v>13</v>
      </c>
      <c r="B17" s="9" t="inlineStr">
        <is>
          <t>Giddalur</t>
        </is>
      </c>
      <c r="C17" s="9" t="inlineStr">
        <is>
          <t>Giddalur</t>
        </is>
      </c>
      <c r="D17" s="9" t="inlineStr">
        <is>
          <t>Andhra Pradesh</t>
        </is>
      </c>
      <c r="E17" s="9" t="inlineStr">
        <is>
          <t>India</t>
        </is>
      </c>
      <c r="F17" s="9" t="n">
        <v>4</v>
      </c>
      <c r="G17" s="9" t="n">
        <v>3</v>
      </c>
      <c r="H17" s="9" t="n">
        <v>1</v>
      </c>
      <c r="I17" s="10" t="n">
        <v>44202</v>
      </c>
      <c r="J17" s="10" t="n">
        <v>44204</v>
      </c>
      <c r="K17" s="9" t="n">
        <v>15.12412</v>
      </c>
      <c r="L17" s="9" t="n">
        <v>78.67482</v>
      </c>
      <c r="M17" s="9" t="inlineStr">
        <is>
          <t>https://www.google.com/maps/place/?q=place_id:ChIJmWjGmkv1tDsRAY-lhuChaBc</t>
        </is>
      </c>
    </row>
    <row r="18">
      <c r="A18" s="9" t="n">
        <v>14</v>
      </c>
      <c r="B18" s="9" t="inlineStr">
        <is>
          <t>Giddalur</t>
        </is>
      </c>
      <c r="C18" s="9" t="inlineStr">
        <is>
          <t>Giddalur</t>
        </is>
      </c>
      <c r="D18" s="9" t="inlineStr">
        <is>
          <t>Andhra Pradesh</t>
        </is>
      </c>
      <c r="E18" s="9" t="inlineStr">
        <is>
          <t>India</t>
        </is>
      </c>
      <c r="F18" s="9" t="n">
        <v>1</v>
      </c>
      <c r="G18" s="9" t="n">
        <v>1</v>
      </c>
      <c r="H18" s="9" t="n">
        <v>1</v>
      </c>
      <c r="I18" s="10" t="n">
        <v>44202</v>
      </c>
      <c r="J18" s="10" t="n">
        <v>44202</v>
      </c>
      <c r="K18" s="9" t="n">
        <v>15.13381</v>
      </c>
      <c r="L18" s="9" t="n">
        <v>78.6726</v>
      </c>
      <c r="M18" s="9" t="inlineStr">
        <is>
          <t>https://www.google.com/maps/place/?q=place_id:ChIJuyoM4UX1tDsRmVUq8FGaLgI</t>
        </is>
      </c>
    </row>
    <row r="19">
      <c r="A19" s="9" t="n">
        <v>15</v>
      </c>
      <c r="B19" s="9" t="inlineStr">
        <is>
          <t>Gooty</t>
        </is>
      </c>
      <c r="C19" s="9" t="inlineStr">
        <is>
          <t>Gooty</t>
        </is>
      </c>
      <c r="D19" s="9" t="inlineStr">
        <is>
          <t>Andhra Pradesh</t>
        </is>
      </c>
      <c r="E19" s="9" t="inlineStr">
        <is>
          <t>India</t>
        </is>
      </c>
      <c r="F19" s="9" t="n">
        <v>1</v>
      </c>
      <c r="G19" s="9" t="n">
        <v>1</v>
      </c>
      <c r="H19" s="9" t="n">
        <v>1</v>
      </c>
      <c r="I19" s="10" t="n">
        <v>42824</v>
      </c>
      <c r="J19" s="10" t="n">
        <v>42824</v>
      </c>
      <c r="K19" s="9" t="n">
        <v>15.12472</v>
      </c>
      <c r="L19" s="9" t="n">
        <v>77.63373</v>
      </c>
      <c r="M19" s="9" t="inlineStr">
        <is>
          <t>https://www.google.com/maps/place/?q=place_id:ChIJDT0LtTmUtjsRp5iutKa2pL4</t>
        </is>
      </c>
    </row>
    <row r="20">
      <c r="A20" s="9" t="n">
        <v>16</v>
      </c>
      <c r="B20" s="9" t="inlineStr">
        <is>
          <t>Gooty</t>
        </is>
      </c>
      <c r="C20" s="9" t="inlineStr">
        <is>
          <t>Gooty</t>
        </is>
      </c>
      <c r="D20" s="9" t="inlineStr">
        <is>
          <t>Andhra Pradesh</t>
        </is>
      </c>
      <c r="E20" s="9" t="inlineStr">
        <is>
          <t>India</t>
        </is>
      </c>
      <c r="F20" s="9" t="n">
        <v>1</v>
      </c>
      <c r="G20" s="9" t="n">
        <v>1</v>
      </c>
      <c r="H20" s="9" t="n">
        <v>1</v>
      </c>
      <c r="I20" s="10" t="n">
        <v>44740</v>
      </c>
      <c r="J20" s="10" t="n">
        <v>44740</v>
      </c>
      <c r="K20" s="9" t="n">
        <v>15.14981</v>
      </c>
      <c r="L20" s="9" t="n">
        <v>77.62457999999999</v>
      </c>
      <c r="M20" s="9" t="inlineStr">
        <is>
          <t>https://www.google.com/maps/place/?q=place_id:ChIJ84XOxHOUtjsRBdvZZaRfg8s</t>
        </is>
      </c>
    </row>
    <row r="21">
      <c r="A21" s="9" t="n">
        <v>17</v>
      </c>
      <c r="B21" s="9" t="inlineStr">
        <is>
          <t>Gooty</t>
        </is>
      </c>
      <c r="C21" s="9" t="inlineStr">
        <is>
          <t>Gooty</t>
        </is>
      </c>
      <c r="D21" s="9" t="inlineStr">
        <is>
          <t>Andhra Pradesh</t>
        </is>
      </c>
      <c r="E21" s="9" t="inlineStr">
        <is>
          <t>India</t>
        </is>
      </c>
      <c r="F21" s="9" t="n">
        <v>1</v>
      </c>
      <c r="G21" s="9" t="n">
        <v>1</v>
      </c>
      <c r="H21" s="9" t="n">
        <v>1</v>
      </c>
      <c r="I21" s="10" t="n">
        <v>45075</v>
      </c>
      <c r="J21" s="10" t="n">
        <v>45075</v>
      </c>
      <c r="K21" s="9" t="n">
        <v>15.08826</v>
      </c>
      <c r="L21" s="9" t="n">
        <v>77.65061</v>
      </c>
      <c r="M21" s="9" t="inlineStr">
        <is>
          <t>https://www.google.com/maps/place/?q=place_id:ChIJg7EshBeVtjsRG24aamW9Lfk</t>
        </is>
      </c>
    </row>
    <row r="22">
      <c r="A22" s="9" t="n">
        <v>18</v>
      </c>
      <c r="B22" s="9" t="inlineStr">
        <is>
          <t>Gooty</t>
        </is>
      </c>
      <c r="C22" s="9" t="inlineStr">
        <is>
          <t>Gooty</t>
        </is>
      </c>
      <c r="D22" s="9" t="inlineStr">
        <is>
          <t>Andhra Pradesh</t>
        </is>
      </c>
      <c r="E22" s="9" t="inlineStr">
        <is>
          <t>India</t>
        </is>
      </c>
      <c r="F22" s="9" t="n">
        <v>1</v>
      </c>
      <c r="G22" s="9" t="n">
        <v>1</v>
      </c>
      <c r="H22" s="9" t="n">
        <v>1</v>
      </c>
      <c r="I22" s="10" t="n">
        <v>45482</v>
      </c>
      <c r="J22" s="10" t="n">
        <v>45482</v>
      </c>
      <c r="K22" s="9" t="n">
        <v>15.02978</v>
      </c>
      <c r="L22" s="9" t="n">
        <v>77.62304</v>
      </c>
      <c r="M22" s="9" t="inlineStr">
        <is>
          <t>https://www.google.com/maps/place/?q=place_id:ChIJraSjO1u-tjsRPZpgbf3j6kM</t>
        </is>
      </c>
    </row>
    <row r="23">
      <c r="A23" s="9" t="n">
        <v>19</v>
      </c>
      <c r="B23" s="9" t="inlineStr">
        <is>
          <t>Gooty</t>
        </is>
      </c>
      <c r="C23" s="9" t="inlineStr">
        <is>
          <t>Gooty</t>
        </is>
      </c>
      <c r="D23" s="9" t="inlineStr">
        <is>
          <t>Andhra Pradesh</t>
        </is>
      </c>
      <c r="E23" s="9" t="inlineStr">
        <is>
          <t>India</t>
        </is>
      </c>
      <c r="F23" s="9" t="n">
        <v>1</v>
      </c>
      <c r="G23" s="9" t="n">
        <v>1</v>
      </c>
      <c r="H23" s="9" t="n">
        <v>1</v>
      </c>
      <c r="I23" s="10" t="n">
        <v>46298</v>
      </c>
      <c r="J23" s="10" t="n">
        <v>46298</v>
      </c>
      <c r="K23" s="9" t="n">
        <v>15.05355</v>
      </c>
      <c r="L23" s="9" t="n">
        <v>77.62903</v>
      </c>
      <c r="M23" s="9" t="inlineStr">
        <is>
          <t>https://www.google.com/maps/place/?q=place_id:ChIJBUDvNj2-tjsR_-uO1s6_PRU</t>
        </is>
      </c>
    </row>
    <row r="24">
      <c r="A24" s="9" t="n">
        <v>20</v>
      </c>
      <c r="B24" s="9" t="inlineStr">
        <is>
          <t>Gorantla</t>
        </is>
      </c>
      <c r="C24" s="9" t="inlineStr">
        <is>
          <t>Gorantla</t>
        </is>
      </c>
      <c r="D24" s="9" t="inlineStr">
        <is>
          <t>Andhra Pradesh</t>
        </is>
      </c>
      <c r="E24" s="9" t="inlineStr">
        <is>
          <t>India</t>
        </is>
      </c>
      <c r="F24" s="9" t="n">
        <v>2</v>
      </c>
      <c r="G24" s="9" t="n">
        <v>2</v>
      </c>
      <c r="H24" s="9" t="n">
        <v>2</v>
      </c>
      <c r="I24" s="10" t="n">
        <v>44970</v>
      </c>
      <c r="J24" s="10" t="n">
        <v>45128</v>
      </c>
      <c r="K24" s="9" t="n">
        <v>14.16098</v>
      </c>
      <c r="L24" s="9" t="n">
        <v>77.75884000000001</v>
      </c>
      <c r="M24" s="9" t="inlineStr">
        <is>
          <t>https://www.google.com/maps/place/?q=place_id:ChIJP8PkyU1lsTsRavmIzcJ0wcw</t>
        </is>
      </c>
    </row>
    <row r="25">
      <c r="A25" s="9" t="n">
        <v>21</v>
      </c>
      <c r="B25" s="9" t="inlineStr">
        <is>
          <t>Guntakal</t>
        </is>
      </c>
      <c r="C25" s="9" t="inlineStr">
        <is>
          <t>Guntakal</t>
        </is>
      </c>
      <c r="D25" s="9" t="inlineStr">
        <is>
          <t>Andhra Pradesh</t>
        </is>
      </c>
      <c r="E25" s="9" t="inlineStr">
        <is>
          <t>India</t>
        </is>
      </c>
      <c r="F25" s="9" t="n">
        <v>4</v>
      </c>
      <c r="G25" s="9" t="n">
        <v>4</v>
      </c>
      <c r="H25" s="9" t="n">
        <v>4</v>
      </c>
      <c r="I25" s="10" t="n">
        <v>44210</v>
      </c>
      <c r="J25" s="10" t="n">
        <v>46215</v>
      </c>
      <c r="K25" s="9" t="n">
        <v>15.17531</v>
      </c>
      <c r="L25" s="9" t="n">
        <v>77.36666</v>
      </c>
      <c r="M25" s="9" t="inlineStr">
        <is>
          <t>https://www.google.com/maps/place/?q=place_id:ChIJKa0UN47ltjsR_-U1fA-IomY</t>
        </is>
      </c>
    </row>
    <row r="26">
      <c r="A26" s="9" t="n">
        <v>22</v>
      </c>
      <c r="B26" s="9" t="inlineStr">
        <is>
          <t>Guntakal</t>
        </is>
      </c>
      <c r="C26" s="9" t="inlineStr">
        <is>
          <t>Guntakal</t>
        </is>
      </c>
      <c r="D26" s="9" t="inlineStr">
        <is>
          <t>Andhra Pradesh</t>
        </is>
      </c>
      <c r="E26" s="9" t="inlineStr">
        <is>
          <t>India</t>
        </is>
      </c>
      <c r="F26" s="9" t="n">
        <v>1</v>
      </c>
      <c r="G26" s="9" t="n">
        <v>1</v>
      </c>
      <c r="H26" s="9" t="n">
        <v>1</v>
      </c>
      <c r="I26" s="10" t="n">
        <v>45129</v>
      </c>
      <c r="J26" s="10" t="n">
        <v>45129</v>
      </c>
      <c r="K26" s="9" t="n">
        <v>15.16085</v>
      </c>
      <c r="L26" s="9" t="n">
        <v>77.3754</v>
      </c>
      <c r="M26" s="9" t="inlineStr">
        <is>
          <t>https://www.google.com/maps/place/?q=place_id:ChIJq_5GK_TltjsRHBmwW8I-nm0</t>
        </is>
      </c>
    </row>
    <row r="27">
      <c r="A27" s="9" t="n">
        <v>23</v>
      </c>
      <c r="B27" s="9" t="inlineStr">
        <is>
          <t>Guntur</t>
        </is>
      </c>
      <c r="C27" s="9" t="inlineStr">
        <is>
          <t>Guntur</t>
        </is>
      </c>
      <c r="D27" s="9" t="inlineStr">
        <is>
          <t>Andhra Pradesh</t>
        </is>
      </c>
      <c r="E27" s="9" t="inlineStr">
        <is>
          <t>India</t>
        </is>
      </c>
      <c r="F27" s="9" t="n">
        <v>2</v>
      </c>
      <c r="G27" s="9" t="n">
        <v>2</v>
      </c>
      <c r="H27" s="9" t="n">
        <v>2</v>
      </c>
      <c r="I27" s="10" t="n">
        <v>43152</v>
      </c>
      <c r="J27" s="10" t="n">
        <v>45775</v>
      </c>
      <c r="K27" s="9" t="n">
        <v>16.3003</v>
      </c>
      <c r="L27" s="9" t="n">
        <v>80.44302</v>
      </c>
      <c r="M27" s="9" t="inlineStr">
        <is>
          <t>https://www.google.com/maps/place/?q=place_id:ChIJnQwg9EV1SjoRxtVwEYOdyYM</t>
        </is>
      </c>
    </row>
    <row r="28">
      <c r="A28" s="9" t="n">
        <v>24</v>
      </c>
      <c r="B28" s="9" t="inlineStr">
        <is>
          <t>Hindupur</t>
        </is>
      </c>
      <c r="C28" s="9" t="inlineStr">
        <is>
          <t>Hindupur</t>
        </is>
      </c>
      <c r="D28" s="9" t="inlineStr">
        <is>
          <t>Andhra Pradesh</t>
        </is>
      </c>
      <c r="E28" s="9" t="inlineStr">
        <is>
          <t>India</t>
        </is>
      </c>
      <c r="F28" s="9" t="n">
        <v>1</v>
      </c>
      <c r="G28" s="9" t="n">
        <v>1</v>
      </c>
      <c r="H28" s="9" t="n">
        <v>1</v>
      </c>
      <c r="I28" s="10" t="n">
        <v>42824</v>
      </c>
      <c r="J28" s="10" t="n">
        <v>42824</v>
      </c>
      <c r="K28" s="9" t="n">
        <v>13.81878</v>
      </c>
      <c r="L28" s="9" t="n">
        <v>77.50013</v>
      </c>
      <c r="M28" s="9" t="inlineStr">
        <is>
          <t>https://www.google.com/maps/place/?q=place_id:ChIJDcCftg6jsTsRbQ5LYO-_sIQ</t>
        </is>
      </c>
    </row>
    <row r="29">
      <c r="A29" s="9" t="n">
        <v>25</v>
      </c>
      <c r="B29" s="9" t="inlineStr">
        <is>
          <t>Jaggaiahpet</t>
        </is>
      </c>
      <c r="C29" s="9" t="inlineStr">
        <is>
          <t>Jaggaiahpet</t>
        </is>
      </c>
      <c r="D29" s="9" t="inlineStr">
        <is>
          <t>Andhra Pradesh</t>
        </is>
      </c>
      <c r="E29" s="9" t="inlineStr">
        <is>
          <t>India</t>
        </is>
      </c>
      <c r="F29" s="9" t="n">
        <v>1</v>
      </c>
      <c r="G29" s="9" t="n">
        <v>1</v>
      </c>
      <c r="H29" s="9" t="n">
        <v>1</v>
      </c>
      <c r="I29" s="10" t="n">
        <v>44612</v>
      </c>
      <c r="J29" s="10" t="n">
        <v>44612</v>
      </c>
      <c r="K29" s="9" t="n">
        <v>16.81538</v>
      </c>
      <c r="L29" s="9" t="n">
        <v>80.12474</v>
      </c>
      <c r="M29" s="9" t="inlineStr">
        <is>
          <t>https://www.google.com/maps/place/?q=place_id:ChIJAQAAAOSmNToRt5MwSAfThcQ</t>
        </is>
      </c>
    </row>
    <row r="30">
      <c r="A30" s="9" t="n">
        <v>26</v>
      </c>
      <c r="B30" s="9" t="inlineStr">
        <is>
          <t>Jaggaiahpet</t>
        </is>
      </c>
      <c r="C30" s="9" t="inlineStr">
        <is>
          <t>Jaggaiahpet</t>
        </is>
      </c>
      <c r="D30" s="9" t="inlineStr">
        <is>
          <t>Andhra Pradesh</t>
        </is>
      </c>
      <c r="E30" s="9" t="inlineStr">
        <is>
          <t>India</t>
        </is>
      </c>
      <c r="F30" s="9" t="n">
        <v>1</v>
      </c>
      <c r="G30" s="9" t="n">
        <v>1</v>
      </c>
      <c r="H30" s="9" t="n">
        <v>1</v>
      </c>
      <c r="I30" s="10" t="n">
        <v>44612</v>
      </c>
      <c r="J30" s="10" t="n">
        <v>44612</v>
      </c>
      <c r="K30" s="9" t="n">
        <v>16.81705</v>
      </c>
      <c r="L30" s="9" t="n">
        <v>80.1275</v>
      </c>
      <c r="M30" s="9" t="inlineStr">
        <is>
          <t>https://www.google.com/maps/place/?q=place_id:ChIJ97IwQKenNToRLxuUO_pjykc</t>
        </is>
      </c>
    </row>
    <row r="31">
      <c r="A31" s="9" t="n">
        <v>27</v>
      </c>
      <c r="B31" s="9" t="inlineStr">
        <is>
          <t>Kavali</t>
        </is>
      </c>
      <c r="C31" s="9" t="inlineStr">
        <is>
          <t>Kavali</t>
        </is>
      </c>
      <c r="D31" s="9" t="inlineStr">
        <is>
          <t>Andhra Pradesh</t>
        </is>
      </c>
      <c r="E31" s="9" t="inlineStr">
        <is>
          <t>India</t>
        </is>
      </c>
      <c r="F31" s="9" t="n">
        <v>1</v>
      </c>
      <c r="G31" s="9" t="n">
        <v>1</v>
      </c>
      <c r="H31" s="9" t="n">
        <v>1</v>
      </c>
      <c r="I31" s="10" t="n">
        <v>42294</v>
      </c>
      <c r="J31" s="10" t="n">
        <v>42294</v>
      </c>
      <c r="K31" s="9" t="n">
        <v>14.8789</v>
      </c>
      <c r="L31" s="9" t="n">
        <v>79.99073</v>
      </c>
      <c r="M31" s="9" t="inlineStr">
        <is>
          <t>https://www.google.com/maps/place/?q=place_id:ChIJOeCRlD58SzoRw-Kk6a3zPk8</t>
        </is>
      </c>
    </row>
    <row r="32">
      <c r="A32" s="9" t="n">
        <v>28</v>
      </c>
      <c r="B32" s="9" t="inlineStr">
        <is>
          <t>Kovvur</t>
        </is>
      </c>
      <c r="C32" s="9" t="inlineStr">
        <is>
          <t>Kovvur</t>
        </is>
      </c>
      <c r="D32" s="9" t="inlineStr">
        <is>
          <t>Andhra Pradesh</t>
        </is>
      </c>
      <c r="E32" s="9" t="inlineStr">
        <is>
          <t>India</t>
        </is>
      </c>
      <c r="F32" s="9" t="n">
        <v>1</v>
      </c>
      <c r="G32" s="9" t="n">
        <v>1</v>
      </c>
      <c r="H32" s="9" t="n">
        <v>1</v>
      </c>
      <c r="I32" s="10" t="n">
        <v>44611</v>
      </c>
      <c r="J32" s="10" t="n">
        <v>44611</v>
      </c>
      <c r="K32" s="9" t="n">
        <v>17.01685</v>
      </c>
      <c r="L32" s="9" t="n">
        <v>81.73531</v>
      </c>
      <c r="M32" s="9" t="inlineStr">
        <is>
          <t>https://www.google.com/maps/place/?q=place_id:ChIJ966_Sy2kNzoRCYHY7JIt9V8</t>
        </is>
      </c>
    </row>
    <row r="33">
      <c r="A33" s="9" t="n">
        <v>29</v>
      </c>
      <c r="B33" s="9" t="inlineStr">
        <is>
          <t>Kurnool</t>
        </is>
      </c>
      <c r="C33" s="9" t="inlineStr">
        <is>
          <t>Kurnool</t>
        </is>
      </c>
      <c r="D33" s="9" t="inlineStr">
        <is>
          <t>Andhra Pradesh</t>
        </is>
      </c>
      <c r="E33" s="9" t="inlineStr">
        <is>
          <t>India</t>
        </is>
      </c>
      <c r="F33" s="9" t="n">
        <v>1</v>
      </c>
      <c r="G33" s="9" t="n">
        <v>1</v>
      </c>
      <c r="H33" s="9" t="n">
        <v>1</v>
      </c>
      <c r="I33" s="10" t="n">
        <v>42913</v>
      </c>
      <c r="J33" s="10" t="n">
        <v>42913</v>
      </c>
      <c r="K33" s="9" t="n">
        <v>15.7481</v>
      </c>
      <c r="L33" s="9" t="n">
        <v>78.06644</v>
      </c>
      <c r="M33" s="9" t="inlineStr">
        <is>
          <t>https://www.google.com/maps/place/?q=place_id:ChIJdbaBN4jctTsRMGmMg4U0u-4</t>
        </is>
      </c>
    </row>
    <row r="34">
      <c r="A34" s="9" t="n">
        <v>30</v>
      </c>
      <c r="B34" s="9" t="inlineStr">
        <is>
          <t>Kurnool</t>
        </is>
      </c>
      <c r="C34" s="9" t="inlineStr">
        <is>
          <t>Kurnool</t>
        </is>
      </c>
      <c r="D34" s="9" t="inlineStr">
        <is>
          <t>Andhra Pradesh</t>
        </is>
      </c>
      <c r="E34" s="9" t="inlineStr">
        <is>
          <t>India</t>
        </is>
      </c>
      <c r="F34" s="9" t="n">
        <v>1</v>
      </c>
      <c r="G34" s="9" t="n">
        <v>1</v>
      </c>
      <c r="H34" s="9" t="n">
        <v>1</v>
      </c>
      <c r="I34" s="10" t="n">
        <v>44740</v>
      </c>
      <c r="J34" s="10" t="n">
        <v>44740</v>
      </c>
      <c r="K34" s="9" t="n">
        <v>15.83246</v>
      </c>
      <c r="L34" s="9" t="n">
        <v>78.03243000000001</v>
      </c>
      <c r="M34" s="9" t="inlineStr">
        <is>
          <t>https://www.google.com/maps/place/?q=place_id:ChIJyYTS9FrntTsROEBn9gPpUH8</t>
        </is>
      </c>
    </row>
    <row r="35">
      <c r="A35" s="9" t="n">
        <v>31</v>
      </c>
      <c r="B35" s="9" t="inlineStr">
        <is>
          <t>Kurnool</t>
        </is>
      </c>
      <c r="C35" s="9" t="inlineStr">
        <is>
          <t>Kurnool</t>
        </is>
      </c>
      <c r="D35" s="9" t="inlineStr">
        <is>
          <t>Andhra Pradesh</t>
        </is>
      </c>
      <c r="E35" s="9" t="inlineStr">
        <is>
          <t>India</t>
        </is>
      </c>
      <c r="F35" s="9" t="n">
        <v>1</v>
      </c>
      <c r="G35" s="9" t="n">
        <v>1</v>
      </c>
      <c r="H35" s="9" t="n">
        <v>1</v>
      </c>
      <c r="I35" s="10" t="n">
        <v>46298</v>
      </c>
      <c r="J35" s="10" t="n">
        <v>46298</v>
      </c>
      <c r="K35" s="9" t="n">
        <v>15.82475</v>
      </c>
      <c r="L35" s="9" t="n">
        <v>78.02112</v>
      </c>
      <c r="M35" s="9" t="inlineStr">
        <is>
          <t>https://www.google.com/maps/place/?q=place_id:ChIJL3TWZ1XntTsRqYnuLOKJd64</t>
        </is>
      </c>
    </row>
    <row r="36">
      <c r="A36" s="9" t="n">
        <v>32</v>
      </c>
      <c r="B36" s="9" t="inlineStr">
        <is>
          <t>Mamidalapadu</t>
        </is>
      </c>
      <c r="C36" s="9" t="inlineStr">
        <is>
          <t>Mamidalapadu</t>
        </is>
      </c>
      <c r="D36" s="9" t="inlineStr">
        <is>
          <t>Andhra Pradesh</t>
        </is>
      </c>
      <c r="E36" s="9" t="inlineStr">
        <is>
          <t>India</t>
        </is>
      </c>
      <c r="F36" s="9" t="n">
        <v>1</v>
      </c>
      <c r="G36" s="9" t="n">
        <v>1</v>
      </c>
      <c r="H36" s="9" t="n">
        <v>1</v>
      </c>
      <c r="I36" s="10" t="n">
        <v>44202</v>
      </c>
      <c r="J36" s="10" t="n">
        <v>44202</v>
      </c>
      <c r="K36" s="9" t="n">
        <v>15.87671</v>
      </c>
      <c r="L36" s="9" t="n">
        <v>78.01627999999999</v>
      </c>
      <c r="M36" s="9" t="inlineStr">
        <is>
          <t>https://www.google.com/maps/place/?q=place_id:ChIJM-9BZCzhtTsRM2_XVzS_l9w</t>
        </is>
      </c>
    </row>
    <row r="37">
      <c r="A37" s="9" t="n">
        <v>33</v>
      </c>
      <c r="B37" s="9" t="inlineStr">
        <is>
          <t>Nadim Tiruvuru</t>
        </is>
      </c>
      <c r="C37" s="9" t="inlineStr">
        <is>
          <t>Nadim Tiruvuru</t>
        </is>
      </c>
      <c r="D37" s="9" t="inlineStr">
        <is>
          <t>Andhra Pradesh</t>
        </is>
      </c>
      <c r="E37" s="9" t="inlineStr">
        <is>
          <t>India</t>
        </is>
      </c>
      <c r="F37" s="9" t="n">
        <v>1</v>
      </c>
      <c r="G37" s="9" t="n">
        <v>1</v>
      </c>
      <c r="H37" s="9" t="n">
        <v>1</v>
      </c>
      <c r="I37" s="10" t="n">
        <v>42449</v>
      </c>
      <c r="J37" s="10" t="n">
        <v>42449</v>
      </c>
      <c r="K37" s="9" t="n">
        <v>17.067</v>
      </c>
      <c r="L37" s="9" t="n">
        <v>80.39593000000001</v>
      </c>
      <c r="M37" s="9" t="inlineStr">
        <is>
          <t>https://www.google.com/maps/place/?q=place_id:ChIJicYEzzNLNDoRz5zfU8PXNpo</t>
        </is>
      </c>
    </row>
    <row r="38">
      <c r="A38" s="9" t="n">
        <v>34</v>
      </c>
      <c r="B38" s="9" t="inlineStr">
        <is>
          <t>Nandigama</t>
        </is>
      </c>
      <c r="C38" s="9" t="inlineStr">
        <is>
          <t>Nandigama</t>
        </is>
      </c>
      <c r="D38" s="9" t="inlineStr">
        <is>
          <t>Andhra Pradesh</t>
        </is>
      </c>
      <c r="E38" s="9" t="inlineStr">
        <is>
          <t>India</t>
        </is>
      </c>
      <c r="F38" s="9" t="n">
        <v>1</v>
      </c>
      <c r="G38" s="9" t="n">
        <v>1</v>
      </c>
      <c r="H38" s="9" t="n">
        <v>1</v>
      </c>
      <c r="I38" s="10" t="n">
        <v>44957</v>
      </c>
      <c r="J38" s="10" t="n">
        <v>44957</v>
      </c>
      <c r="K38" s="9" t="n">
        <v>16.92178</v>
      </c>
      <c r="L38" s="9" t="n">
        <v>80.36618</v>
      </c>
      <c r="M38" s="9" t="inlineStr">
        <is>
          <t>https://www.google.com/maps/place/?q=place_id:ChIJ_3a0SNW2NToRnU_qlzzgROI</t>
        </is>
      </c>
    </row>
    <row r="39">
      <c r="A39" s="9" t="n">
        <v>35</v>
      </c>
      <c r="B39" s="9" t="inlineStr">
        <is>
          <t>Nandyal</t>
        </is>
      </c>
      <c r="C39" s="9" t="inlineStr">
        <is>
          <t>Nandyal</t>
        </is>
      </c>
      <c r="D39" s="9" t="inlineStr">
        <is>
          <t>Andhra Pradesh</t>
        </is>
      </c>
      <c r="E39" s="9" t="inlineStr">
        <is>
          <t>India</t>
        </is>
      </c>
      <c r="F39" s="9" t="n">
        <v>1</v>
      </c>
      <c r="G39" s="9" t="n">
        <v>1</v>
      </c>
      <c r="H39" s="9" t="n">
        <v>1</v>
      </c>
      <c r="I39" s="10" t="n">
        <v>42875</v>
      </c>
      <c r="J39" s="10" t="n">
        <v>42875</v>
      </c>
      <c r="K39" s="9" t="n">
        <v>15.46356</v>
      </c>
      <c r="L39" s="9" t="n">
        <v>78.49086</v>
      </c>
      <c r="M39" s="9" t="inlineStr">
        <is>
          <t>https://www.google.com/maps/place/?q=place_id:ChIJjc24jrtStDsRe6a2gVDt_to</t>
        </is>
      </c>
    </row>
    <row r="40">
      <c r="A40" s="9" t="n">
        <v>36</v>
      </c>
      <c r="B40" s="9" t="inlineStr">
        <is>
          <t>Nandyal</t>
        </is>
      </c>
      <c r="C40" s="9" t="inlineStr">
        <is>
          <t>Nandyal</t>
        </is>
      </c>
      <c r="D40" s="9" t="inlineStr">
        <is>
          <t>Andhra Pradesh</t>
        </is>
      </c>
      <c r="E40" s="9" t="inlineStr">
        <is>
          <t>India</t>
        </is>
      </c>
      <c r="F40" s="9" t="n">
        <v>1</v>
      </c>
      <c r="G40" s="9" t="n">
        <v>1</v>
      </c>
      <c r="H40" s="9" t="n">
        <v>1</v>
      </c>
      <c r="I40" s="10" t="n">
        <v>42913</v>
      </c>
      <c r="J40" s="10" t="n">
        <v>42913</v>
      </c>
      <c r="K40" s="9" t="n">
        <v>15.50938</v>
      </c>
      <c r="L40" s="9" t="n">
        <v>78.34287</v>
      </c>
      <c r="M40" s="9" t="inlineStr">
        <is>
          <t>https://www.google.com/maps/place/?q=place_id:ChIJxdeD9Py0tTsRN_lXaDio1EY</t>
        </is>
      </c>
    </row>
    <row r="41">
      <c r="A41" s="9" t="n">
        <v>37</v>
      </c>
      <c r="B41" s="9" t="inlineStr">
        <is>
          <t>Nellimarla</t>
        </is>
      </c>
      <c r="C41" s="9" t="inlineStr">
        <is>
          <t>Nellimarla</t>
        </is>
      </c>
      <c r="D41" s="9" t="inlineStr">
        <is>
          <t>Andhra Pradesh</t>
        </is>
      </c>
      <c r="E41" s="9" t="inlineStr">
        <is>
          <t>India</t>
        </is>
      </c>
      <c r="F41" s="9" t="n">
        <v>1</v>
      </c>
      <c r="G41" s="9" t="n">
        <v>1</v>
      </c>
      <c r="H41" s="9" t="n">
        <v>1</v>
      </c>
      <c r="I41" s="10" t="n">
        <v>42972</v>
      </c>
      <c r="J41" s="10" t="n">
        <v>42972</v>
      </c>
      <c r="K41" s="9" t="n">
        <v>18.16738</v>
      </c>
      <c r="L41" s="9" t="n">
        <v>83.49177</v>
      </c>
      <c r="M41" s="9" t="inlineStr">
        <is>
          <t>https://www.google.com/maps/place/?q=place_id:ChIJORy2UNrwOzoRAXQgpQ4MAGg</t>
        </is>
      </c>
    </row>
    <row r="42">
      <c r="A42" s="9" t="n">
        <v>38</v>
      </c>
      <c r="B42" s="9" t="inlineStr">
        <is>
          <t>Nellore</t>
        </is>
      </c>
      <c r="C42" s="9" t="inlineStr">
        <is>
          <t>Nellore</t>
        </is>
      </c>
      <c r="D42" s="9" t="inlineStr">
        <is>
          <t>Andhra Pradesh</t>
        </is>
      </c>
      <c r="E42" s="9" t="inlineStr">
        <is>
          <t>India</t>
        </is>
      </c>
      <c r="F42" s="9" t="n">
        <v>1</v>
      </c>
      <c r="G42" s="9" t="n">
        <v>1</v>
      </c>
      <c r="H42" s="9" t="n">
        <v>1</v>
      </c>
      <c r="I42" s="10" t="n">
        <v>42294</v>
      </c>
      <c r="J42" s="10" t="n">
        <v>42294</v>
      </c>
      <c r="K42" s="9" t="n">
        <v>14.39164</v>
      </c>
      <c r="L42" s="9" t="n">
        <v>79.94091</v>
      </c>
      <c r="M42" s="9" t="inlineStr">
        <is>
          <t>https://www.google.com/maps/place/?q=place_id:ChIJ5zXdsWDyTDoR_ZkAzBRt-fE</t>
        </is>
      </c>
    </row>
    <row r="43">
      <c r="A43" s="9" t="n">
        <v>39</v>
      </c>
      <c r="B43" s="9" t="inlineStr">
        <is>
          <t>Kovur</t>
        </is>
      </c>
      <c r="C43" s="9" t="inlineStr">
        <is>
          <t>Nellore</t>
        </is>
      </c>
      <c r="D43" s="9" t="inlineStr">
        <is>
          <t>Andhra Pradesh</t>
        </is>
      </c>
      <c r="E43" s="9" t="inlineStr">
        <is>
          <t>India</t>
        </is>
      </c>
      <c r="F43" s="9" t="n">
        <v>1</v>
      </c>
      <c r="G43" s="9" t="n">
        <v>1</v>
      </c>
      <c r="H43" s="9" t="n">
        <v>1</v>
      </c>
      <c r="I43" s="10" t="n">
        <v>42296</v>
      </c>
      <c r="J43" s="10" t="n">
        <v>42296</v>
      </c>
      <c r="K43" s="9" t="n">
        <v>14.51822</v>
      </c>
      <c r="L43" s="9" t="n">
        <v>79.98757000000001</v>
      </c>
      <c r="M43" s="9" t="inlineStr">
        <is>
          <t>https://www.google.com/maps/place/?q=place_id:ChIJPRQi1BWMTDoRCYd2EiZkI30</t>
        </is>
      </c>
    </row>
    <row r="44">
      <c r="A44" s="9" t="n">
        <v>40</v>
      </c>
      <c r="B44" s="9" t="inlineStr">
        <is>
          <t>Palasa</t>
        </is>
      </c>
      <c r="C44" s="9" t="inlineStr">
        <is>
          <t>Palasa</t>
        </is>
      </c>
      <c r="D44" s="9" t="inlineStr">
        <is>
          <t>Andhra Pradesh</t>
        </is>
      </c>
      <c r="E44" s="9" t="inlineStr">
        <is>
          <t>India</t>
        </is>
      </c>
      <c r="F44" s="9" t="n">
        <v>1</v>
      </c>
      <c r="G44" s="9" t="n">
        <v>1</v>
      </c>
      <c r="H44" s="9" t="n">
        <v>1</v>
      </c>
      <c r="I44" s="10" t="n">
        <v>43394</v>
      </c>
      <c r="J44" s="10" t="n">
        <v>43394</v>
      </c>
      <c r="K44" s="9" t="n">
        <v>18.77039</v>
      </c>
      <c r="L44" s="9" t="n">
        <v>84.42166</v>
      </c>
      <c r="M44" s="9" t="inlineStr">
        <is>
          <t>https://www.google.com/maps/place/?q=place_id:ChIJUR8aacsHPToRZYFRC8WBg8s</t>
        </is>
      </c>
    </row>
    <row r="45">
      <c r="A45" s="9" t="n">
        <v>41</v>
      </c>
      <c r="B45" s="9" t="inlineStr">
        <is>
          <t>Penukonda</t>
        </is>
      </c>
      <c r="C45" s="9" t="inlineStr">
        <is>
          <t>Penukonda</t>
        </is>
      </c>
      <c r="D45" s="9" t="inlineStr">
        <is>
          <t>Andhra Pradesh</t>
        </is>
      </c>
      <c r="E45" s="9" t="inlineStr">
        <is>
          <t>India</t>
        </is>
      </c>
      <c r="F45" s="9" t="n">
        <v>1</v>
      </c>
      <c r="G45" s="9" t="n">
        <v>1</v>
      </c>
      <c r="H45" s="9" t="n">
        <v>1</v>
      </c>
      <c r="I45" s="10" t="n">
        <v>42824</v>
      </c>
      <c r="J45" s="10" t="n">
        <v>42824</v>
      </c>
      <c r="K45" s="9" t="n">
        <v>14.08635</v>
      </c>
      <c r="L45" s="9" t="n">
        <v>77.59666</v>
      </c>
      <c r="M45" s="9" t="inlineStr">
        <is>
          <t>https://www.google.com/maps/place/?q=place_id:ChIJIRGZHA5zsTsR-dF8DCK89PI</t>
        </is>
      </c>
    </row>
    <row r="46">
      <c r="A46" s="9" t="n">
        <v>42</v>
      </c>
      <c r="B46" s="9" t="inlineStr">
        <is>
          <t>Piduguralla</t>
        </is>
      </c>
      <c r="C46" s="9" t="inlineStr">
        <is>
          <t>Piduguralla</t>
        </is>
      </c>
      <c r="D46" s="9" t="inlineStr">
        <is>
          <t>Andhra Pradesh</t>
        </is>
      </c>
      <c r="E46" s="9" t="inlineStr">
        <is>
          <t>India</t>
        </is>
      </c>
      <c r="F46" s="9" t="n">
        <v>1</v>
      </c>
      <c r="G46" s="9" t="n">
        <v>1</v>
      </c>
      <c r="H46" s="9" t="n">
        <v>1</v>
      </c>
      <c r="I46" s="10" t="n">
        <v>42294</v>
      </c>
      <c r="J46" s="10" t="n">
        <v>42294</v>
      </c>
      <c r="K46" s="9" t="n">
        <v>16.64109</v>
      </c>
      <c r="L46" s="9" t="n">
        <v>79.69759000000001</v>
      </c>
      <c r="M46" s="9" t="inlineStr">
        <is>
          <t>https://www.google.com/maps/place/?q=place_id:ChIJUXNk42JANToRu9mHkYr90HI</t>
        </is>
      </c>
    </row>
    <row r="47">
      <c r="A47" s="9" t="n">
        <v>43</v>
      </c>
      <c r="B47" s="9" t="inlineStr">
        <is>
          <t>Puttur</t>
        </is>
      </c>
      <c r="C47" s="9" t="inlineStr">
        <is>
          <t>Puttur</t>
        </is>
      </c>
      <c r="D47" s="9" t="inlineStr">
        <is>
          <t>Andhra Pradesh</t>
        </is>
      </c>
      <c r="E47" s="9" t="inlineStr">
        <is>
          <t>India</t>
        </is>
      </c>
      <c r="F47" s="9" t="n">
        <v>1</v>
      </c>
      <c r="G47" s="9" t="n">
        <v>1</v>
      </c>
      <c r="H47" s="9" t="n">
        <v>1</v>
      </c>
      <c r="I47" s="10" t="n">
        <v>45771</v>
      </c>
      <c r="J47" s="10" t="n">
        <v>45771</v>
      </c>
      <c r="K47" s="9" t="n">
        <v>13.42469</v>
      </c>
      <c r="L47" s="9" t="n">
        <v>79.58886</v>
      </c>
      <c r="M47" s="9" t="inlineStr">
        <is>
          <t>https://www.google.com/maps/place/?q=place_id:ChIJf3D2LIBbTToRd8YOwhkixlk</t>
        </is>
      </c>
    </row>
    <row r="48">
      <c r="A48" s="9" t="n">
        <v>44</v>
      </c>
      <c r="B48" s="9" t="inlineStr">
        <is>
          <t>Puttur</t>
        </is>
      </c>
      <c r="C48" s="9" t="inlineStr">
        <is>
          <t>Puttur</t>
        </is>
      </c>
      <c r="D48" s="9" t="inlineStr">
        <is>
          <t>Andhra Pradesh</t>
        </is>
      </c>
      <c r="E48" s="9" t="inlineStr">
        <is>
          <t>India</t>
        </is>
      </c>
      <c r="F48" s="9" t="n">
        <v>1</v>
      </c>
      <c r="G48" s="9" t="n">
        <v>2</v>
      </c>
      <c r="H48" s="9" t="n">
        <v>1</v>
      </c>
      <c r="I48" s="10" t="n">
        <v>45771</v>
      </c>
      <c r="J48" s="10" t="n">
        <v>45772</v>
      </c>
      <c r="K48" s="9" t="n">
        <v>13.42364</v>
      </c>
      <c r="L48" s="9" t="n">
        <v>79.58571999999999</v>
      </c>
      <c r="M48" s="9" t="inlineStr">
        <is>
          <t>https://www.google.com/maps/place/?q=place_id:ChIJCb6KpyFaTToR7PthOVTWaSs</t>
        </is>
      </c>
    </row>
    <row r="49">
      <c r="A49" s="9" t="n">
        <v>45</v>
      </c>
      <c r="B49" s="9" t="inlineStr">
        <is>
          <t>Rasapudipalem</t>
        </is>
      </c>
      <c r="C49" s="9" t="inlineStr">
        <is>
          <t>Rasapudipalem</t>
        </is>
      </c>
      <c r="D49" s="9" t="inlineStr">
        <is>
          <t>Andhra Pradesh</t>
        </is>
      </c>
      <c r="E49" s="9" t="inlineStr">
        <is>
          <t>India</t>
        </is>
      </c>
      <c r="F49" s="9" t="n">
        <v>5</v>
      </c>
      <c r="G49" s="9" t="n">
        <v>4</v>
      </c>
      <c r="H49" s="9" t="n">
        <v>4</v>
      </c>
      <c r="I49" s="10" t="n">
        <v>42576</v>
      </c>
      <c r="J49" s="10" t="n">
        <v>43394</v>
      </c>
      <c r="K49" s="9" t="n">
        <v>17.72138</v>
      </c>
      <c r="L49" s="9" t="n">
        <v>83.29047</v>
      </c>
      <c r="M49" s="9" t="inlineStr">
        <is>
          <t>https://www.google.com/maps/place/?q=place_id:ChIJNTTfPt5COToRLe7UKJC8gQQ</t>
        </is>
      </c>
    </row>
    <row r="50">
      <c r="A50" s="9" t="n">
        <v>46</v>
      </c>
      <c r="B50" s="9" t="inlineStr">
        <is>
          <t>Rasapudipalem</t>
        </is>
      </c>
      <c r="C50" s="9" t="inlineStr">
        <is>
          <t>Rasapudipalem</t>
        </is>
      </c>
      <c r="D50" s="9" t="inlineStr">
        <is>
          <t>Andhra Pradesh</t>
        </is>
      </c>
      <c r="E50" s="9" t="inlineStr">
        <is>
          <t>India</t>
        </is>
      </c>
      <c r="F50" s="9" t="n">
        <v>1</v>
      </c>
      <c r="G50" s="9" t="n">
        <v>2</v>
      </c>
      <c r="H50" s="9" t="n">
        <v>1</v>
      </c>
      <c r="I50" s="10" t="n">
        <v>42971</v>
      </c>
      <c r="J50" s="10" t="n">
        <v>42972</v>
      </c>
      <c r="K50" s="9" t="n">
        <v>17.74458</v>
      </c>
      <c r="L50" s="9" t="n">
        <v>83.3319</v>
      </c>
      <c r="M50" s="9" t="inlineStr">
        <is>
          <t>https://www.google.com/maps/place/?q=place_id:ChIJq75ktlRDOToRwXnupNYGVWM</t>
        </is>
      </c>
    </row>
    <row r="51">
      <c r="A51" s="9" t="n">
        <v>47</v>
      </c>
      <c r="B51" s="9" t="inlineStr">
        <is>
          <t>Rasapudipalem</t>
        </is>
      </c>
      <c r="C51" s="9" t="inlineStr">
        <is>
          <t>Rasapudipalem</t>
        </is>
      </c>
      <c r="D51" s="9" t="inlineStr">
        <is>
          <t>Andhra Pradesh</t>
        </is>
      </c>
      <c r="E51" s="9" t="inlineStr">
        <is>
          <t>India</t>
        </is>
      </c>
      <c r="F51" s="9" t="n">
        <v>1</v>
      </c>
      <c r="G51" s="9" t="n">
        <v>1</v>
      </c>
      <c r="H51" s="9" t="n">
        <v>1</v>
      </c>
      <c r="I51" s="10" t="n">
        <v>42972</v>
      </c>
      <c r="J51" s="10" t="n">
        <v>42972</v>
      </c>
      <c r="K51" s="9" t="n">
        <v>17.74604</v>
      </c>
      <c r="L51" s="9" t="n">
        <v>83.33552</v>
      </c>
      <c r="M51" s="9" t="inlineStr">
        <is>
          <t>https://www.google.com/maps/place/?q=place_id:ChIJgzpktqpEOToR4pE28_jCHHU</t>
        </is>
      </c>
    </row>
    <row r="52">
      <c r="A52" s="9" t="n">
        <v>48</v>
      </c>
      <c r="B52" s="9" t="inlineStr">
        <is>
          <t>Rasapudipalem</t>
        </is>
      </c>
      <c r="C52" s="9" t="inlineStr">
        <is>
          <t>Rasapudipalem</t>
        </is>
      </c>
      <c r="D52" s="9" t="inlineStr">
        <is>
          <t>Andhra Pradesh</t>
        </is>
      </c>
      <c r="E52" s="9" t="inlineStr">
        <is>
          <t>India</t>
        </is>
      </c>
      <c r="F52" s="9" t="n">
        <v>1</v>
      </c>
      <c r="G52" s="9" t="n">
        <v>1</v>
      </c>
      <c r="H52" s="9" t="n">
        <v>1</v>
      </c>
      <c r="I52" s="10" t="n">
        <v>42972</v>
      </c>
      <c r="J52" s="10" t="n">
        <v>42972</v>
      </c>
      <c r="K52" s="9" t="n">
        <v>17.74214</v>
      </c>
      <c r="L52" s="9" t="n">
        <v>83.33004</v>
      </c>
      <c r="M52" s="9" t="inlineStr">
        <is>
          <t>https://www.google.com/maps/place/?q=place_id:ChIJp_HJd1NDOToR0uGTk_gV-rc</t>
        </is>
      </c>
    </row>
    <row r="53">
      <c r="A53" s="9" t="n">
        <v>49</v>
      </c>
      <c r="B53" s="9" t="inlineStr">
        <is>
          <t>Rasapudipalem</t>
        </is>
      </c>
      <c r="C53" s="9" t="inlineStr">
        <is>
          <t>Rasapudipalem</t>
        </is>
      </c>
      <c r="D53" s="9" t="inlineStr">
        <is>
          <t>Andhra Pradesh</t>
        </is>
      </c>
      <c r="E53" s="9" t="inlineStr">
        <is>
          <t>India</t>
        </is>
      </c>
      <c r="F53" s="9" t="n">
        <v>1</v>
      </c>
      <c r="G53" s="9" t="n">
        <v>1</v>
      </c>
      <c r="H53" s="9" t="n">
        <v>1</v>
      </c>
      <c r="I53" s="10" t="n">
        <v>42972</v>
      </c>
      <c r="J53" s="10" t="n">
        <v>42972</v>
      </c>
      <c r="K53" s="9" t="n">
        <v>17.71239</v>
      </c>
      <c r="L53" s="9" t="n">
        <v>83.30135</v>
      </c>
      <c r="M53" s="9" t="inlineStr">
        <is>
          <t>https://www.google.com/maps/place/?q=place_id:ChIJAQAAwBBDOToRo7GFzXMfPFk</t>
        </is>
      </c>
    </row>
    <row r="54">
      <c r="A54" s="9" t="n">
        <v>50</v>
      </c>
      <c r="B54" s="9" t="inlineStr">
        <is>
          <t>Razampeta</t>
        </is>
      </c>
      <c r="C54" s="9" t="inlineStr">
        <is>
          <t>Razampeta</t>
        </is>
      </c>
      <c r="D54" s="9" t="inlineStr">
        <is>
          <t>Andhra Pradesh</t>
        </is>
      </c>
      <c r="E54" s="9" t="inlineStr">
        <is>
          <t>India</t>
        </is>
      </c>
      <c r="F54" s="9" t="n">
        <v>1</v>
      </c>
      <c r="G54" s="9" t="n">
        <v>1</v>
      </c>
      <c r="H54" s="9" t="n">
        <v>1</v>
      </c>
      <c r="I54" s="10" t="n">
        <v>42910</v>
      </c>
      <c r="J54" s="10" t="n">
        <v>42910</v>
      </c>
      <c r="K54" s="9" t="n">
        <v>14.08705</v>
      </c>
      <c r="L54" s="9" t="n">
        <v>79.23147</v>
      </c>
      <c r="M54" s="9" t="inlineStr">
        <is>
          <t>https://www.google.com/maps/place/?q=place_id:ChIJm_7mt_UpszsRsGXVyDfxbF4</t>
        </is>
      </c>
    </row>
    <row r="55">
      <c r="A55" s="9" t="n">
        <v>51</v>
      </c>
      <c r="B55" s="9" t="inlineStr">
        <is>
          <t>Renigunta</t>
        </is>
      </c>
      <c r="C55" s="9" t="inlineStr">
        <is>
          <t>Renigunta</t>
        </is>
      </c>
      <c r="D55" s="9" t="inlineStr">
        <is>
          <t>Andhra Pradesh</t>
        </is>
      </c>
      <c r="E55" s="9" t="inlineStr">
        <is>
          <t>India</t>
        </is>
      </c>
      <c r="F55" s="9" t="n">
        <v>1</v>
      </c>
      <c r="G55" s="9" t="n">
        <v>1</v>
      </c>
      <c r="H55" s="9" t="n">
        <v>1</v>
      </c>
      <c r="I55" s="10" t="n">
        <v>44958</v>
      </c>
      <c r="J55" s="10" t="n">
        <v>44958</v>
      </c>
      <c r="K55" s="9" t="n">
        <v>13.63701</v>
      </c>
      <c r="L55" s="9" t="n">
        <v>79.50667</v>
      </c>
      <c r="M55" s="9" t="inlineStr">
        <is>
          <t>https://www.google.com/maps/place/?q=place_id:ChIJcxzNrQVJTToRk8rD1QzCgTM</t>
        </is>
      </c>
    </row>
    <row r="56">
      <c r="A56" s="9" t="n">
        <v>52</v>
      </c>
      <c r="B56" s="9" t="inlineStr">
        <is>
          <t>Samalkot</t>
        </is>
      </c>
      <c r="C56" s="9" t="inlineStr">
        <is>
          <t>Samalkot</t>
        </is>
      </c>
      <c r="D56" s="9" t="inlineStr">
        <is>
          <t>Andhra Pradesh</t>
        </is>
      </c>
      <c r="E56" s="9" t="inlineStr">
        <is>
          <t>India</t>
        </is>
      </c>
      <c r="F56" s="9" t="n">
        <v>1</v>
      </c>
      <c r="G56" s="9" t="n">
        <v>1</v>
      </c>
      <c r="H56" s="9" t="n">
        <v>1</v>
      </c>
      <c r="I56" s="10" t="n">
        <v>43386</v>
      </c>
      <c r="J56" s="10" t="n">
        <v>43386</v>
      </c>
      <c r="K56" s="9" t="n">
        <v>17.04532</v>
      </c>
      <c r="L56" s="9" t="n">
        <v>82.16912000000001</v>
      </c>
      <c r="M56" s="9" t="inlineStr">
        <is>
          <t>https://www.google.com/maps/place/?q=place_id:ChIJwUbD2SqBNzoR5gdgEyOUfxI</t>
        </is>
      </c>
    </row>
    <row r="57">
      <c r="A57" s="9" t="n">
        <v>53</v>
      </c>
      <c r="B57" s="9" t="inlineStr">
        <is>
          <t>Sattenapalle</t>
        </is>
      </c>
      <c r="C57" s="9" t="inlineStr">
        <is>
          <t>Sattenapalle</t>
        </is>
      </c>
      <c r="D57" s="9" t="inlineStr">
        <is>
          <t>Andhra Pradesh</t>
        </is>
      </c>
      <c r="E57" s="9" t="inlineStr">
        <is>
          <t>India</t>
        </is>
      </c>
      <c r="F57" s="9" t="n">
        <v>1</v>
      </c>
      <c r="G57" s="9" t="n">
        <v>1</v>
      </c>
      <c r="H57" s="9" t="n">
        <v>1</v>
      </c>
      <c r="I57" s="10" t="n">
        <v>43385</v>
      </c>
      <c r="J57" s="10" t="n">
        <v>43385</v>
      </c>
      <c r="K57" s="9" t="n">
        <v>16.40516</v>
      </c>
      <c r="L57" s="9" t="n">
        <v>80.15307</v>
      </c>
      <c r="M57" s="9" t="inlineStr">
        <is>
          <t>https://www.google.com/maps/place/?q=place_id:ChIJR911k9CDNToRZWDbf5ijZL4</t>
        </is>
      </c>
    </row>
    <row r="58">
      <c r="A58" s="9" t="n">
        <v>54</v>
      </c>
      <c r="B58" s="9" t="inlineStr">
        <is>
          <t>Sriramnagar</t>
        </is>
      </c>
      <c r="C58" s="9" t="inlineStr">
        <is>
          <t>Sriramnagar</t>
        </is>
      </c>
      <c r="D58" s="9" t="inlineStr">
        <is>
          <t>Andhra Pradesh</t>
        </is>
      </c>
      <c r="E58" s="9" t="inlineStr">
        <is>
          <t>India</t>
        </is>
      </c>
      <c r="F58" s="9" t="n">
        <v>1</v>
      </c>
      <c r="G58" s="9" t="n">
        <v>1</v>
      </c>
      <c r="H58" s="9" t="n">
        <v>1</v>
      </c>
      <c r="I58" s="10" t="n">
        <v>42972</v>
      </c>
      <c r="J58" s="10" t="n">
        <v>42972</v>
      </c>
      <c r="K58" s="9" t="n">
        <v>18.14685</v>
      </c>
      <c r="L58" s="9" t="n">
        <v>83.62844</v>
      </c>
      <c r="M58" s="9" t="inlineStr">
        <is>
          <t>https://www.google.com/maps/place/?q=place_id:ChIJMWpzjGQIPDoRc2frlhR3IPE</t>
        </is>
      </c>
    </row>
    <row r="59">
      <c r="A59" s="9" t="n">
        <v>55</v>
      </c>
      <c r="B59" s="9" t="inlineStr">
        <is>
          <t>Tadepallegudem</t>
        </is>
      </c>
      <c r="C59" s="9" t="inlineStr">
        <is>
          <t>Tadepallegudem</t>
        </is>
      </c>
      <c r="D59" s="9" t="inlineStr">
        <is>
          <t>Andhra Pradesh</t>
        </is>
      </c>
      <c r="E59" s="9" t="inlineStr">
        <is>
          <t>India</t>
        </is>
      </c>
      <c r="F59" s="9" t="n">
        <v>2</v>
      </c>
      <c r="G59" s="9" t="n">
        <v>1</v>
      </c>
      <c r="H59" s="9" t="n">
        <v>1</v>
      </c>
      <c r="I59" s="10" t="n">
        <v>44611</v>
      </c>
      <c r="J59" s="10" t="n">
        <v>44611</v>
      </c>
      <c r="K59" s="9" t="n">
        <v>16.98512</v>
      </c>
      <c r="L59" s="9" t="n">
        <v>81.47641</v>
      </c>
      <c r="M59" s="9" t="inlineStr">
        <is>
          <t>https://www.google.com/maps/place/?q=place_id:ChIJaYjPfDNTNjoRZtJxdtN8zG0</t>
        </is>
      </c>
    </row>
    <row r="60">
      <c r="A60" s="9" t="n">
        <v>56</v>
      </c>
      <c r="B60" s="9" t="inlineStr">
        <is>
          <t>Tiruchanur</t>
        </is>
      </c>
      <c r="C60" s="9" t="inlineStr">
        <is>
          <t>Tiruchanur</t>
        </is>
      </c>
      <c r="D60" s="9" t="inlineStr">
        <is>
          <t>Andhra Pradesh</t>
        </is>
      </c>
      <c r="E60" s="9" t="inlineStr">
        <is>
          <t>India</t>
        </is>
      </c>
      <c r="F60" s="9" t="n">
        <v>2</v>
      </c>
      <c r="G60" s="9" t="n">
        <v>2</v>
      </c>
      <c r="H60" s="9" t="n">
        <v>2</v>
      </c>
      <c r="I60" s="10" t="n">
        <v>44402</v>
      </c>
      <c r="J60" s="10" t="n">
        <v>45770</v>
      </c>
      <c r="K60" s="9" t="n">
        <v>13.6078</v>
      </c>
      <c r="L60" s="9" t="n">
        <v>79.45032999999999</v>
      </c>
      <c r="M60" s="9" t="inlineStr">
        <is>
          <t>https://www.google.com/maps/place/?q=place_id:ChIJkyRzp-hLTToR09iEd8GEjuo</t>
        </is>
      </c>
    </row>
    <row r="61">
      <c r="A61" s="9" t="n">
        <v>57</v>
      </c>
      <c r="B61" s="9" t="inlineStr">
        <is>
          <t>Tiruchanur</t>
        </is>
      </c>
      <c r="C61" s="9" t="inlineStr">
        <is>
          <t>Tiruchanur</t>
        </is>
      </c>
      <c r="D61" s="9" t="inlineStr">
        <is>
          <t>Andhra Pradesh</t>
        </is>
      </c>
      <c r="E61" s="9" t="inlineStr">
        <is>
          <t>India</t>
        </is>
      </c>
      <c r="F61" s="9" t="n">
        <v>1</v>
      </c>
      <c r="G61" s="9" t="n">
        <v>1</v>
      </c>
      <c r="H61" s="9" t="n">
        <v>1</v>
      </c>
      <c r="I61" s="10" t="n">
        <v>43379</v>
      </c>
      <c r="J61" s="10" t="n">
        <v>43379</v>
      </c>
      <c r="K61" s="9" t="n">
        <v>13.63087</v>
      </c>
      <c r="L61" s="9" t="n">
        <v>79.45139</v>
      </c>
      <c r="M61" s="9" t="inlineStr">
        <is>
          <t>https://www.google.com/maps/place/?q=place_id:ChIJrap_KMZLTToRccyUeSOu_s8</t>
        </is>
      </c>
    </row>
    <row r="62">
      <c r="A62" s="9" t="n">
        <v>58</v>
      </c>
      <c r="B62" s="9" t="inlineStr">
        <is>
          <t>Tiruchanur</t>
        </is>
      </c>
      <c r="C62" s="9" t="inlineStr">
        <is>
          <t>Tiruchanur</t>
        </is>
      </c>
      <c r="D62" s="9" t="inlineStr">
        <is>
          <t>Andhra Pradesh</t>
        </is>
      </c>
      <c r="E62" s="9" t="inlineStr">
        <is>
          <t>India</t>
        </is>
      </c>
      <c r="F62" s="9" t="n">
        <v>1</v>
      </c>
      <c r="G62" s="9" t="n">
        <v>1</v>
      </c>
      <c r="H62" s="9" t="n">
        <v>1</v>
      </c>
      <c r="I62" s="10" t="n">
        <v>43379</v>
      </c>
      <c r="J62" s="10" t="n">
        <v>43379</v>
      </c>
      <c r="K62" s="9" t="n">
        <v>13.60657</v>
      </c>
      <c r="L62" s="9" t="n">
        <v>79.45017</v>
      </c>
      <c r="M62" s="9" t="inlineStr">
        <is>
          <t>https://www.google.com/maps/place/?q=place_id:ChIJ0f0J8vJLTToRbp85fVoHKpw</t>
        </is>
      </c>
    </row>
    <row r="63">
      <c r="A63" s="9" t="n">
        <v>59</v>
      </c>
      <c r="B63" s="9" t="inlineStr">
        <is>
          <t>Tiruchanur</t>
        </is>
      </c>
      <c r="C63" s="9" t="inlineStr">
        <is>
          <t>Tiruchanur</t>
        </is>
      </c>
      <c r="D63" s="9" t="inlineStr">
        <is>
          <t>Andhra Pradesh</t>
        </is>
      </c>
      <c r="E63" s="9" t="inlineStr">
        <is>
          <t>India</t>
        </is>
      </c>
      <c r="F63" s="9" t="n">
        <v>1</v>
      </c>
      <c r="G63" s="9" t="n">
        <v>1</v>
      </c>
      <c r="H63" s="9" t="n">
        <v>1</v>
      </c>
      <c r="I63" s="10" t="n">
        <v>45773</v>
      </c>
      <c r="J63" s="10" t="n">
        <v>45773</v>
      </c>
      <c r="K63" s="9" t="n">
        <v>13.60608</v>
      </c>
      <c r="L63" s="9" t="n">
        <v>79.44808999999999</v>
      </c>
      <c r="M63" s="9" t="inlineStr">
        <is>
          <t>https://www.google.com/maps/place/?q=place_id:ChIJ2_5kKTFLTToRWnt9_BwFJ94</t>
        </is>
      </c>
    </row>
    <row r="64">
      <c r="A64" s="9" t="n">
        <v>60</v>
      </c>
      <c r="B64" s="9" t="inlineStr">
        <is>
          <t>Tirumala</t>
        </is>
      </c>
      <c r="C64" s="9" t="inlineStr">
        <is>
          <t>Tirumala</t>
        </is>
      </c>
      <c r="D64" s="9" t="inlineStr">
        <is>
          <t>Andhra Pradesh</t>
        </is>
      </c>
      <c r="E64" s="9" t="inlineStr">
        <is>
          <t>India</t>
        </is>
      </c>
      <c r="F64" s="9" t="n">
        <v>9</v>
      </c>
      <c r="G64" s="9" t="n">
        <v>5</v>
      </c>
      <c r="H64" s="9" t="n">
        <v>2</v>
      </c>
      <c r="I64" s="10" t="n">
        <v>44403</v>
      </c>
      <c r="J64" s="10" t="n">
        <v>44958</v>
      </c>
      <c r="K64" s="9" t="n">
        <v>13.68558</v>
      </c>
      <c r="L64" s="9" t="n">
        <v>79.35034</v>
      </c>
      <c r="M64" s="9" t="inlineStr">
        <is>
          <t>https://www.google.com/maps/place/?q=place_id:ChIJraqqnWK1sjsRg0P-eDju0Fc</t>
        </is>
      </c>
    </row>
    <row r="65">
      <c r="A65" s="9" t="n">
        <v>61</v>
      </c>
      <c r="B65" s="9" t="inlineStr">
        <is>
          <t>Tirumala</t>
        </is>
      </c>
      <c r="C65" s="9" t="inlineStr">
        <is>
          <t>Tirumala</t>
        </is>
      </c>
      <c r="D65" s="9" t="inlineStr">
        <is>
          <t>Andhra Pradesh</t>
        </is>
      </c>
      <c r="E65" s="9" t="inlineStr">
        <is>
          <t>India</t>
        </is>
      </c>
      <c r="F65" s="9" t="n">
        <v>3</v>
      </c>
      <c r="G65" s="9" t="n">
        <v>3</v>
      </c>
      <c r="H65" s="9" t="n">
        <v>2</v>
      </c>
      <c r="I65" s="10" t="n">
        <v>42910</v>
      </c>
      <c r="J65" s="10" t="n">
        <v>45773</v>
      </c>
      <c r="K65" s="9" t="n">
        <v>13.68326</v>
      </c>
      <c r="L65" s="9" t="n">
        <v>79.34728</v>
      </c>
      <c r="M65" s="9" t="inlineStr">
        <is>
          <t>https://www.google.com/maps/place/?q=place_id:ChIJm3DMpWK1sjsRMn1YUr0AekA</t>
        </is>
      </c>
    </row>
    <row r="66">
      <c r="A66" s="9" t="n">
        <v>62</v>
      </c>
      <c r="B66" s="9" t="inlineStr">
        <is>
          <t>Tirumala</t>
        </is>
      </c>
      <c r="C66" s="9" t="inlineStr">
        <is>
          <t>Tirumala</t>
        </is>
      </c>
      <c r="D66" s="9" t="inlineStr">
        <is>
          <t>Andhra Pradesh</t>
        </is>
      </c>
      <c r="E66" s="9" t="inlineStr">
        <is>
          <t>India</t>
        </is>
      </c>
      <c r="F66" s="9" t="n">
        <v>3</v>
      </c>
      <c r="G66" s="9" t="n">
        <v>3</v>
      </c>
      <c r="H66" s="9" t="n">
        <v>2</v>
      </c>
      <c r="I66" s="10" t="n">
        <v>42911</v>
      </c>
      <c r="J66" s="10" t="n">
        <v>44404</v>
      </c>
      <c r="K66" s="9" t="n">
        <v>13.67145</v>
      </c>
      <c r="L66" s="9" t="n">
        <v>79.34883000000001</v>
      </c>
      <c r="M66" s="9" t="inlineStr">
        <is>
          <t>https://www.google.com/maps/place/?q=place_id:ChIJTVtykW-1sjsRZ1hHBStoilc</t>
        </is>
      </c>
    </row>
    <row r="67">
      <c r="A67" s="9" t="n">
        <v>63</v>
      </c>
      <c r="B67" s="9" t="inlineStr">
        <is>
          <t>Tirumala</t>
        </is>
      </c>
      <c r="C67" s="9" t="inlineStr">
        <is>
          <t>Tirumala</t>
        </is>
      </c>
      <c r="D67" s="9" t="inlineStr">
        <is>
          <t>Andhra Pradesh</t>
        </is>
      </c>
      <c r="E67" s="9" t="inlineStr">
        <is>
          <t>India</t>
        </is>
      </c>
      <c r="F67" s="9" t="n">
        <v>3</v>
      </c>
      <c r="G67" s="9" t="n">
        <v>3</v>
      </c>
      <c r="H67" s="9" t="n">
        <v>2</v>
      </c>
      <c r="I67" s="10" t="n">
        <v>44404</v>
      </c>
      <c r="J67" s="10" t="n">
        <v>44957</v>
      </c>
      <c r="K67" s="9" t="n">
        <v>13.67633</v>
      </c>
      <c r="L67" s="9" t="n">
        <v>79.35250000000001</v>
      </c>
      <c r="M67" s="9" t="inlineStr">
        <is>
          <t>https://www.google.com/maps/place/?q=place_id:ChIJh3yPJWS1sjsRdYpCYcUG1rc</t>
        </is>
      </c>
    </row>
    <row r="68">
      <c r="A68" s="9" t="n">
        <v>64</v>
      </c>
      <c r="B68" s="9" t="inlineStr">
        <is>
          <t>Tirumala</t>
        </is>
      </c>
      <c r="C68" s="9" t="inlineStr">
        <is>
          <t>Tirumala</t>
        </is>
      </c>
      <c r="D68" s="9" t="inlineStr">
        <is>
          <t>Andhra Pradesh</t>
        </is>
      </c>
      <c r="E68" s="9" t="inlineStr">
        <is>
          <t>India</t>
        </is>
      </c>
      <c r="F68" s="9" t="n">
        <v>2</v>
      </c>
      <c r="G68" s="9" t="n">
        <v>2</v>
      </c>
      <c r="H68" s="9" t="n">
        <v>2</v>
      </c>
      <c r="I68" s="10" t="n">
        <v>44402</v>
      </c>
      <c r="J68" s="10" t="n">
        <v>44957</v>
      </c>
      <c r="K68" s="9" t="n">
        <v>13.61088</v>
      </c>
      <c r="L68" s="9" t="n">
        <v>79.328</v>
      </c>
      <c r="M68" s="9" t="inlineStr">
        <is>
          <t>https://www.google.com/maps/place/?q=place_id:ChIJtUJt52a0sjsRNdeL6fpnork</t>
        </is>
      </c>
    </row>
    <row r="69">
      <c r="A69" s="9" t="n">
        <v>65</v>
      </c>
      <c r="B69" s="9" t="inlineStr">
        <is>
          <t>Tirumala</t>
        </is>
      </c>
      <c r="C69" s="9" t="inlineStr">
        <is>
          <t>Tirumala</t>
        </is>
      </c>
      <c r="D69" s="9" t="inlineStr">
        <is>
          <t>Andhra Pradesh</t>
        </is>
      </c>
      <c r="E69" s="9" t="inlineStr">
        <is>
          <t>India</t>
        </is>
      </c>
      <c r="F69" s="9" t="n">
        <v>2</v>
      </c>
      <c r="G69" s="9" t="n">
        <v>2</v>
      </c>
      <c r="H69" s="9" t="n">
        <v>2</v>
      </c>
      <c r="I69" s="10" t="n">
        <v>44403</v>
      </c>
      <c r="J69" s="10" t="n">
        <v>44957</v>
      </c>
      <c r="K69" s="9" t="n">
        <v>13.67916</v>
      </c>
      <c r="L69" s="9" t="n">
        <v>79.35114</v>
      </c>
      <c r="M69" s="9" t="inlineStr">
        <is>
          <t>https://www.google.com/maps/place/?q=place_id:ChIJfeGWYJa1sjsRFoYw9KBF7nQ</t>
        </is>
      </c>
    </row>
    <row r="70">
      <c r="A70" s="9" t="n">
        <v>66</v>
      </c>
      <c r="B70" s="9" t="inlineStr">
        <is>
          <t>Tirumala</t>
        </is>
      </c>
      <c r="C70" s="9" t="inlineStr">
        <is>
          <t>Tirumala</t>
        </is>
      </c>
      <c r="D70" s="9" t="inlineStr">
        <is>
          <t>Andhra Pradesh</t>
        </is>
      </c>
      <c r="E70" s="9" t="inlineStr">
        <is>
          <t>India</t>
        </is>
      </c>
      <c r="F70" s="9" t="n">
        <v>2</v>
      </c>
      <c r="G70" s="9" t="n">
        <v>2</v>
      </c>
      <c r="H70" s="9" t="n">
        <v>1</v>
      </c>
      <c r="I70" s="10" t="n">
        <v>44403</v>
      </c>
      <c r="J70" s="10" t="n">
        <v>44404</v>
      </c>
      <c r="K70" s="9" t="n">
        <v>13.67781</v>
      </c>
      <c r="L70" s="9" t="n">
        <v>79.34402</v>
      </c>
      <c r="M70" s="9" t="inlineStr">
        <is>
          <t>https://www.google.com/maps/place/?q=place_id:ChIJhQCdgXy1sjsRm6IOY1nO3vM</t>
        </is>
      </c>
    </row>
    <row r="71">
      <c r="A71" s="9" t="n">
        <v>67</v>
      </c>
      <c r="B71" s="9" t="inlineStr">
        <is>
          <t>Tirumala</t>
        </is>
      </c>
      <c r="C71" s="9" t="inlineStr">
        <is>
          <t>Tirumala</t>
        </is>
      </c>
      <c r="D71" s="9" t="inlineStr">
        <is>
          <t>Andhra Pradesh</t>
        </is>
      </c>
      <c r="E71" s="9" t="inlineStr">
        <is>
          <t>India</t>
        </is>
      </c>
      <c r="F71" s="9" t="n">
        <v>1</v>
      </c>
      <c r="G71" s="9" t="n">
        <v>1</v>
      </c>
      <c r="H71" s="9" t="n">
        <v>1</v>
      </c>
      <c r="I71" s="10" t="n">
        <v>42910</v>
      </c>
      <c r="J71" s="10" t="n">
        <v>42910</v>
      </c>
      <c r="K71" s="9" t="n">
        <v>13.67913</v>
      </c>
      <c r="L71" s="9" t="n">
        <v>79.35113</v>
      </c>
      <c r="M71" s="9" t="inlineStr">
        <is>
          <t>https://www.google.com/maps/place/?q=place_id:ChIJD26g7mO1sjsRSZB-G_tTP_o</t>
        </is>
      </c>
    </row>
    <row r="72">
      <c r="A72" s="9" t="n">
        <v>68</v>
      </c>
      <c r="B72" s="9" t="inlineStr">
        <is>
          <t>Tirumala</t>
        </is>
      </c>
      <c r="C72" s="9" t="inlineStr">
        <is>
          <t>Tirumala</t>
        </is>
      </c>
      <c r="D72" s="9" t="inlineStr">
        <is>
          <t>Andhra Pradesh</t>
        </is>
      </c>
      <c r="E72" s="9" t="inlineStr">
        <is>
          <t>India</t>
        </is>
      </c>
      <c r="F72" s="9" t="n">
        <v>1</v>
      </c>
      <c r="G72" s="9" t="n">
        <v>1</v>
      </c>
      <c r="H72" s="9" t="n">
        <v>1</v>
      </c>
      <c r="I72" s="10" t="n">
        <v>42910</v>
      </c>
      <c r="J72" s="10" t="n">
        <v>42910</v>
      </c>
      <c r="K72" s="9" t="n">
        <v>13.6723</v>
      </c>
      <c r="L72" s="9" t="n">
        <v>79.35132</v>
      </c>
      <c r="M72" s="9" t="inlineStr">
        <is>
          <t>https://www.google.com/maps/place/?q=place_id:ChIJqaJXWG-1sjsR_Nw8L9K2g_c</t>
        </is>
      </c>
    </row>
    <row r="73">
      <c r="A73" s="9" t="n">
        <v>69</v>
      </c>
      <c r="B73" s="9" t="inlineStr">
        <is>
          <t>Tirumala</t>
        </is>
      </c>
      <c r="C73" s="9" t="inlineStr">
        <is>
          <t>Tirumala</t>
        </is>
      </c>
      <c r="D73" s="9" t="inlineStr">
        <is>
          <t>Andhra Pradesh</t>
        </is>
      </c>
      <c r="E73" s="9" t="inlineStr">
        <is>
          <t>India</t>
        </is>
      </c>
      <c r="F73" s="9" t="n">
        <v>1</v>
      </c>
      <c r="G73" s="9" t="n">
        <v>1</v>
      </c>
      <c r="H73" s="9" t="n">
        <v>1</v>
      </c>
      <c r="I73" s="10" t="n">
        <v>44402</v>
      </c>
      <c r="J73" s="10" t="n">
        <v>44402</v>
      </c>
      <c r="K73" s="9" t="n">
        <v>13.60625</v>
      </c>
      <c r="L73" s="9" t="n">
        <v>79.32973</v>
      </c>
      <c r="M73" s="9" t="inlineStr">
        <is>
          <t>https://www.google.com/maps/place/?q=place_id:ChIJP13bbmS0sjsRMmsTKK4TmPE</t>
        </is>
      </c>
    </row>
    <row r="74">
      <c r="A74" s="9" t="n">
        <v>70</v>
      </c>
      <c r="B74" s="9" t="inlineStr">
        <is>
          <t>Tirumala</t>
        </is>
      </c>
      <c r="C74" s="9" t="inlineStr">
        <is>
          <t>Tirumala</t>
        </is>
      </c>
      <c r="D74" s="9" t="inlineStr">
        <is>
          <t>Andhra Pradesh</t>
        </is>
      </c>
      <c r="E74" s="9" t="inlineStr">
        <is>
          <t>India</t>
        </is>
      </c>
      <c r="F74" s="9" t="n">
        <v>1</v>
      </c>
      <c r="G74" s="9" t="n">
        <v>1</v>
      </c>
      <c r="H74" s="9" t="n">
        <v>1</v>
      </c>
      <c r="I74" s="10" t="n">
        <v>44403</v>
      </c>
      <c r="J74" s="10" t="n">
        <v>44403</v>
      </c>
      <c r="K74" s="9" t="n">
        <v>13.68403</v>
      </c>
      <c r="L74" s="9" t="n">
        <v>79.3433</v>
      </c>
      <c r="M74" s="9" t="inlineStr">
        <is>
          <t>https://www.google.com/maps/place/?q=place_id:ChIJNymDcILKsjsR4TRi3xEGU9c</t>
        </is>
      </c>
    </row>
    <row r="75">
      <c r="A75" s="9" t="n">
        <v>71</v>
      </c>
      <c r="B75" s="9" t="inlineStr">
        <is>
          <t>Tirumala</t>
        </is>
      </c>
      <c r="C75" s="9" t="inlineStr">
        <is>
          <t>Tirumala</t>
        </is>
      </c>
      <c r="D75" s="9" t="inlineStr">
        <is>
          <t>Andhra Pradesh</t>
        </is>
      </c>
      <c r="E75" s="9" t="inlineStr">
        <is>
          <t>India</t>
        </is>
      </c>
      <c r="F75" s="9" t="n">
        <v>1</v>
      </c>
      <c r="G75" s="9" t="n">
        <v>1</v>
      </c>
      <c r="H75" s="9" t="n">
        <v>1</v>
      </c>
      <c r="I75" s="10" t="n">
        <v>44403</v>
      </c>
      <c r="J75" s="10" t="n">
        <v>44403</v>
      </c>
      <c r="K75" s="9" t="n">
        <v>13.68541</v>
      </c>
      <c r="L75" s="9" t="n">
        <v>79.34923999999999</v>
      </c>
      <c r="M75" s="9" t="inlineStr">
        <is>
          <t>https://www.google.com/maps/place/?q=place_id:ChIJLSOrYGK1sjsRYEPF7IqtG_I</t>
        </is>
      </c>
    </row>
    <row r="76">
      <c r="A76" s="9" t="n">
        <v>72</v>
      </c>
      <c r="B76" s="9" t="inlineStr">
        <is>
          <t>Tirumala</t>
        </is>
      </c>
      <c r="C76" s="9" t="inlineStr">
        <is>
          <t>Tirumala</t>
        </is>
      </c>
      <c r="D76" s="9" t="inlineStr">
        <is>
          <t>Andhra Pradesh</t>
        </is>
      </c>
      <c r="E76" s="9" t="inlineStr">
        <is>
          <t>India</t>
        </is>
      </c>
      <c r="F76" s="9" t="n">
        <v>1</v>
      </c>
      <c r="G76" s="9" t="n">
        <v>1</v>
      </c>
      <c r="H76" s="9" t="n">
        <v>1</v>
      </c>
      <c r="I76" s="10" t="n">
        <v>44403</v>
      </c>
      <c r="J76" s="10" t="n">
        <v>44403</v>
      </c>
      <c r="K76" s="9" t="n">
        <v>13.68841</v>
      </c>
      <c r="L76" s="9" t="n">
        <v>79.34018</v>
      </c>
      <c r="M76" s="9" t="inlineStr">
        <is>
          <t>https://www.google.com/maps/place/?q=place_id:ChIJB2ZVRYHKsjsRi2vvUAP56CI</t>
        </is>
      </c>
    </row>
    <row r="77">
      <c r="A77" s="9" t="n">
        <v>73</v>
      </c>
      <c r="B77" s="9" t="inlineStr">
        <is>
          <t>Tirumala</t>
        </is>
      </c>
      <c r="C77" s="9" t="inlineStr">
        <is>
          <t>Tirumala</t>
        </is>
      </c>
      <c r="D77" s="9" t="inlineStr">
        <is>
          <t>Andhra Pradesh</t>
        </is>
      </c>
      <c r="E77" s="9" t="inlineStr">
        <is>
          <t>India</t>
        </is>
      </c>
      <c r="F77" s="9" t="n">
        <v>1</v>
      </c>
      <c r="G77" s="9" t="n">
        <v>1</v>
      </c>
      <c r="H77" s="9" t="n">
        <v>1</v>
      </c>
      <c r="I77" s="10" t="n">
        <v>44404</v>
      </c>
      <c r="J77" s="10" t="n">
        <v>44404</v>
      </c>
      <c r="K77" s="9" t="n">
        <v>13.6786</v>
      </c>
      <c r="L77" s="9" t="n">
        <v>79.34461</v>
      </c>
      <c r="M77" s="9" t="inlineStr">
        <is>
          <t>https://www.google.com/maps/place/?q=place_id:ChIJmU041bi1sjsRnESNHOYPVT4</t>
        </is>
      </c>
    </row>
    <row r="78">
      <c r="A78" s="9" t="n">
        <v>74</v>
      </c>
      <c r="B78" s="9" t="inlineStr">
        <is>
          <t>Tirumala</t>
        </is>
      </c>
      <c r="C78" s="9" t="inlineStr">
        <is>
          <t>Tirumala</t>
        </is>
      </c>
      <c r="D78" s="9" t="inlineStr">
        <is>
          <t>Andhra Pradesh</t>
        </is>
      </c>
      <c r="E78" s="9" t="inlineStr">
        <is>
          <t>India</t>
        </is>
      </c>
      <c r="F78" s="9" t="n">
        <v>1</v>
      </c>
      <c r="G78" s="9" t="n">
        <v>1</v>
      </c>
      <c r="H78" s="9" t="n">
        <v>1</v>
      </c>
      <c r="I78" s="10" t="n">
        <v>44404</v>
      </c>
      <c r="J78" s="10" t="n">
        <v>44404</v>
      </c>
      <c r="K78" s="9" t="n">
        <v>13.70305</v>
      </c>
      <c r="L78" s="9" t="n">
        <v>79.34484999999999</v>
      </c>
      <c r="M78" s="9" t="inlineStr">
        <is>
          <t>https://www.google.com/maps/place/?q=place_id:ChIJM3ChejdLTToRFVKfo3qev6s</t>
        </is>
      </c>
    </row>
    <row r="79">
      <c r="A79" s="9" t="n">
        <v>75</v>
      </c>
      <c r="B79" s="9" t="inlineStr">
        <is>
          <t>Tirumala</t>
        </is>
      </c>
      <c r="C79" s="9" t="inlineStr">
        <is>
          <t>Tirumala</t>
        </is>
      </c>
      <c r="D79" s="9" t="inlineStr">
        <is>
          <t>Andhra Pradesh</t>
        </is>
      </c>
      <c r="E79" s="9" t="inlineStr">
        <is>
          <t>India</t>
        </is>
      </c>
      <c r="F79" s="9" t="n">
        <v>1</v>
      </c>
      <c r="G79" s="9" t="n">
        <v>1</v>
      </c>
      <c r="H79" s="9" t="n">
        <v>1</v>
      </c>
      <c r="I79" s="10" t="n">
        <v>44404</v>
      </c>
      <c r="J79" s="10" t="n">
        <v>44404</v>
      </c>
      <c r="K79" s="9" t="n">
        <v>13.69644</v>
      </c>
      <c r="L79" s="9" t="n">
        <v>79.33656999999999</v>
      </c>
      <c r="M79" s="9" t="inlineStr">
        <is>
          <t>https://www.google.com/maps/place/?q=place_id:ChIJO80yP4jKsjsRree6YqBilMI</t>
        </is>
      </c>
    </row>
    <row r="80">
      <c r="A80" s="9" t="n">
        <v>76</v>
      </c>
      <c r="B80" s="9" t="inlineStr">
        <is>
          <t>Tirumala</t>
        </is>
      </c>
      <c r="C80" s="9" t="inlineStr">
        <is>
          <t>Tirumala</t>
        </is>
      </c>
      <c r="D80" s="9" t="inlineStr">
        <is>
          <t>Andhra Pradesh</t>
        </is>
      </c>
      <c r="E80" s="9" t="inlineStr">
        <is>
          <t>India</t>
        </is>
      </c>
      <c r="F80" s="9" t="n">
        <v>1</v>
      </c>
      <c r="G80" s="9" t="n">
        <v>1</v>
      </c>
      <c r="H80" s="9" t="n">
        <v>1</v>
      </c>
      <c r="I80" s="10" t="n">
        <v>44404</v>
      </c>
      <c r="J80" s="10" t="n">
        <v>44404</v>
      </c>
      <c r="K80" s="9" t="n">
        <v>13.67805</v>
      </c>
      <c r="L80" s="9" t="n">
        <v>79.3421</v>
      </c>
      <c r="M80" s="9" t="inlineStr">
        <is>
          <t>https://www.google.com/maps/place/?q=place_id:ChIJnTo0d3y1sjsRgA_GAYb00Nc</t>
        </is>
      </c>
    </row>
    <row r="81">
      <c r="A81" s="9" t="n">
        <v>77</v>
      </c>
      <c r="B81" s="9" t="inlineStr">
        <is>
          <t>Tirumala</t>
        </is>
      </c>
      <c r="C81" s="9" t="inlineStr">
        <is>
          <t>Tirumala</t>
        </is>
      </c>
      <c r="D81" s="9" t="inlineStr">
        <is>
          <t>Andhra Pradesh</t>
        </is>
      </c>
      <c r="E81" s="9" t="inlineStr">
        <is>
          <t>India</t>
        </is>
      </c>
      <c r="F81" s="9" t="n">
        <v>1</v>
      </c>
      <c r="G81" s="9" t="n">
        <v>1</v>
      </c>
      <c r="H81" s="9" t="n">
        <v>1</v>
      </c>
      <c r="I81" s="10" t="n">
        <v>44742</v>
      </c>
      <c r="J81" s="10" t="n">
        <v>44742</v>
      </c>
      <c r="K81" s="9" t="n">
        <v>13.68481</v>
      </c>
      <c r="L81" s="9" t="n">
        <v>79.34343</v>
      </c>
      <c r="M81" s="9" t="inlineStr">
        <is>
          <t>https://www.google.com/maps/place/?q=place_id:ChIJX8POYILKsjsRNEoFRMa1nvQ</t>
        </is>
      </c>
    </row>
    <row r="82">
      <c r="A82" s="9" t="n">
        <v>78</v>
      </c>
      <c r="B82" s="9" t="inlineStr">
        <is>
          <t>Tirumala</t>
        </is>
      </c>
      <c r="C82" s="9" t="inlineStr">
        <is>
          <t>Tirumala</t>
        </is>
      </c>
      <c r="D82" s="9" t="inlineStr">
        <is>
          <t>Andhra Pradesh</t>
        </is>
      </c>
      <c r="E82" s="9" t="inlineStr">
        <is>
          <t>India</t>
        </is>
      </c>
      <c r="F82" s="9" t="n">
        <v>1</v>
      </c>
      <c r="G82" s="9" t="n">
        <v>1</v>
      </c>
      <c r="H82" s="9" t="n">
        <v>1</v>
      </c>
      <c r="I82" s="10" t="n">
        <v>44958</v>
      </c>
      <c r="J82" s="10" t="n">
        <v>44958</v>
      </c>
      <c r="K82" s="9" t="n">
        <v>13.68327</v>
      </c>
      <c r="L82" s="9" t="n">
        <v>79.34805</v>
      </c>
      <c r="M82" s="9" t="inlineStr">
        <is>
          <t>https://www.google.com/maps/place/?q=place_id:ChIJC1_20xlLTToRAVclJnVh65w</t>
        </is>
      </c>
    </row>
    <row r="83">
      <c r="A83" s="9" t="n">
        <v>79</v>
      </c>
      <c r="B83" s="9" t="inlineStr">
        <is>
          <t>Tirumala</t>
        </is>
      </c>
      <c r="C83" s="9" t="inlineStr">
        <is>
          <t>Tirumala</t>
        </is>
      </c>
      <c r="D83" s="9" t="inlineStr">
        <is>
          <t>Andhra Pradesh</t>
        </is>
      </c>
      <c r="E83" s="9" t="inlineStr">
        <is>
          <t>India</t>
        </is>
      </c>
      <c r="F83" s="9" t="n">
        <v>1</v>
      </c>
      <c r="G83" s="9" t="n">
        <v>1</v>
      </c>
      <c r="H83" s="9" t="n">
        <v>1</v>
      </c>
      <c r="I83" s="10" t="n">
        <v>45772</v>
      </c>
      <c r="J83" s="10" t="n">
        <v>45772</v>
      </c>
      <c r="K83" s="9" t="n">
        <v>13.68632</v>
      </c>
      <c r="L83" s="9" t="n">
        <v>79.34638</v>
      </c>
      <c r="M83" s="9" t="inlineStr">
        <is>
          <t>https://www.google.com/maps/place/?q=place_id:ChIJodbY1ILKsjsRTdpOIrsBxVY</t>
        </is>
      </c>
    </row>
    <row r="84">
      <c r="A84" s="9" t="n">
        <v>80</v>
      </c>
      <c r="B84" s="9" t="inlineStr">
        <is>
          <t>Tirumala</t>
        </is>
      </c>
      <c r="C84" s="9" t="inlineStr">
        <is>
          <t>Tirumala</t>
        </is>
      </c>
      <c r="D84" s="9" t="inlineStr">
        <is>
          <t>Andhra Pradesh</t>
        </is>
      </c>
      <c r="E84" s="9" t="inlineStr">
        <is>
          <t>India</t>
        </is>
      </c>
      <c r="F84" s="9" t="n">
        <v>1</v>
      </c>
      <c r="G84" s="9" t="n">
        <v>1</v>
      </c>
      <c r="H84" s="9" t="n">
        <v>1</v>
      </c>
      <c r="I84" s="10" t="n">
        <v>45772</v>
      </c>
      <c r="J84" s="10" t="n">
        <v>45772</v>
      </c>
      <c r="K84" s="9" t="n">
        <v>13.68839</v>
      </c>
      <c r="L84" s="9" t="n">
        <v>79.35575</v>
      </c>
      <c r="M84" s="9" t="inlineStr">
        <is>
          <t>https://www.google.com/maps/place/?q=place_id:ChIJP5AlI5_KsjsReeKD7Q9xzPE</t>
        </is>
      </c>
    </row>
    <row r="85">
      <c r="A85" s="9" t="n">
        <v>81</v>
      </c>
      <c r="B85" s="9" t="inlineStr">
        <is>
          <t>Tirumala</t>
        </is>
      </c>
      <c r="C85" s="9" t="inlineStr">
        <is>
          <t>Tirumala</t>
        </is>
      </c>
      <c r="D85" s="9" t="inlineStr">
        <is>
          <t>Andhra Pradesh</t>
        </is>
      </c>
      <c r="E85" s="9" t="inlineStr">
        <is>
          <t>India</t>
        </is>
      </c>
      <c r="F85" s="9" t="n">
        <v>1</v>
      </c>
      <c r="G85" s="9" t="n">
        <v>1</v>
      </c>
      <c r="H85" s="9" t="n">
        <v>1</v>
      </c>
      <c r="I85" s="10" t="n">
        <v>45773</v>
      </c>
      <c r="J85" s="10" t="n">
        <v>45773</v>
      </c>
      <c r="K85" s="9" t="n">
        <v>13.68923</v>
      </c>
      <c r="L85" s="9" t="n">
        <v>79.35563999999999</v>
      </c>
      <c r="M85" s="9" t="inlineStr">
        <is>
          <t>https://www.google.com/maps/place/?q=place_id:ChIJZ4PTL5_KsjsRUSpjLvN90_E</t>
        </is>
      </c>
    </row>
    <row r="86">
      <c r="A86" s="9" t="n">
        <v>82</v>
      </c>
      <c r="B86" s="9" t="inlineStr">
        <is>
          <t>Tirupati</t>
        </is>
      </c>
      <c r="C86" s="9" t="inlineStr">
        <is>
          <t>Tirupati</t>
        </is>
      </c>
      <c r="D86" s="9" t="inlineStr">
        <is>
          <t>Andhra Pradesh</t>
        </is>
      </c>
      <c r="E86" s="9" t="inlineStr">
        <is>
          <t>India</t>
        </is>
      </c>
      <c r="F86" s="9" t="n">
        <v>4</v>
      </c>
      <c r="G86" s="9" t="n">
        <v>3</v>
      </c>
      <c r="H86" s="9" t="n">
        <v>3</v>
      </c>
      <c r="I86" s="10" t="n">
        <v>43379</v>
      </c>
      <c r="J86" s="10" t="n">
        <v>45770</v>
      </c>
      <c r="K86" s="9" t="n">
        <v>13.62835</v>
      </c>
      <c r="L86" s="9" t="n">
        <v>79.41981</v>
      </c>
      <c r="M86" s="9" t="inlineStr">
        <is>
          <t>https://www.google.com/maps/place/?q=place_id:ChIJqwI2ywhLTToRFgAMWfm8ZtU</t>
        </is>
      </c>
    </row>
    <row r="87">
      <c r="A87" s="9" t="n">
        <v>83</v>
      </c>
      <c r="B87" s="9" t="inlineStr">
        <is>
          <t>Tirupati</t>
        </is>
      </c>
      <c r="C87" s="9" t="inlineStr">
        <is>
          <t>Tirupati</t>
        </is>
      </c>
      <c r="D87" s="9" t="inlineStr">
        <is>
          <t>Andhra Pradesh</t>
        </is>
      </c>
      <c r="E87" s="9" t="inlineStr">
        <is>
          <t>India</t>
        </is>
      </c>
      <c r="F87" s="9" t="n">
        <v>1</v>
      </c>
      <c r="G87" s="9" t="n">
        <v>1</v>
      </c>
      <c r="H87" s="9" t="n">
        <v>1</v>
      </c>
      <c r="I87" s="10" t="n">
        <v>42912</v>
      </c>
      <c r="J87" s="10" t="n">
        <v>42912</v>
      </c>
      <c r="K87" s="9" t="n">
        <v>13.63504</v>
      </c>
      <c r="L87" s="9" t="n">
        <v>79.41674999999999</v>
      </c>
      <c r="M87" s="9" t="inlineStr">
        <is>
          <t>https://www.google.com/maps/place/?q=place_id:ChIJTScLm_ZLTToRgfi8oIwdifw</t>
        </is>
      </c>
    </row>
    <row r="88">
      <c r="A88" s="9" t="n">
        <v>84</v>
      </c>
      <c r="B88" s="9" t="inlineStr">
        <is>
          <t>Tirupati</t>
        </is>
      </c>
      <c r="C88" s="9" t="inlineStr">
        <is>
          <t>Tirupati</t>
        </is>
      </c>
      <c r="D88" s="9" t="inlineStr">
        <is>
          <t>Andhra Pradesh</t>
        </is>
      </c>
      <c r="E88" s="9" t="inlineStr">
        <is>
          <t>India</t>
        </is>
      </c>
      <c r="F88" s="9" t="n">
        <v>1</v>
      </c>
      <c r="G88" s="9" t="n">
        <v>1</v>
      </c>
      <c r="H88" s="9" t="n">
        <v>1</v>
      </c>
      <c r="I88" s="10" t="n">
        <v>43379</v>
      </c>
      <c r="J88" s="10" t="n">
        <v>43379</v>
      </c>
      <c r="K88" s="9" t="n">
        <v>13.62462</v>
      </c>
      <c r="L88" s="9" t="n">
        <v>79.36511</v>
      </c>
      <c r="M88" s="9" t="inlineStr">
        <is>
          <t>https://www.google.com/maps/place/?q=place_id:ChIJqe9hlxxLTToRYlg7Hsl3RQs</t>
        </is>
      </c>
    </row>
    <row r="89">
      <c r="A89" s="9" t="n">
        <v>85</v>
      </c>
      <c r="B89" s="9" t="inlineStr">
        <is>
          <t>Tirupati</t>
        </is>
      </c>
      <c r="C89" s="9" t="inlineStr">
        <is>
          <t>Tirupati</t>
        </is>
      </c>
      <c r="D89" s="9" t="inlineStr">
        <is>
          <t>Andhra Pradesh</t>
        </is>
      </c>
      <c r="E89" s="9" t="inlineStr">
        <is>
          <t>India</t>
        </is>
      </c>
      <c r="F89" s="9" t="n">
        <v>1</v>
      </c>
      <c r="G89" s="9" t="n">
        <v>1</v>
      </c>
      <c r="H89" s="9" t="n">
        <v>1</v>
      </c>
      <c r="I89" s="10" t="n">
        <v>43380</v>
      </c>
      <c r="J89" s="10" t="n">
        <v>43380</v>
      </c>
      <c r="K89" s="9" t="n">
        <v>13.63299</v>
      </c>
      <c r="L89" s="9" t="n">
        <v>79.38908000000001</v>
      </c>
      <c r="M89" s="9" t="inlineStr">
        <is>
          <t>https://www.google.com/maps/place/?q=place_id:ChIJY2kyLy9LTToRSdzT6QOG2HQ</t>
        </is>
      </c>
    </row>
    <row r="90">
      <c r="A90" s="9" t="n">
        <v>86</v>
      </c>
      <c r="B90" s="9" t="inlineStr">
        <is>
          <t>Tirupati</t>
        </is>
      </c>
      <c r="C90" s="9" t="inlineStr">
        <is>
          <t>Tirupati</t>
        </is>
      </c>
      <c r="D90" s="9" t="inlineStr">
        <is>
          <t>Andhra Pradesh</t>
        </is>
      </c>
      <c r="E90" s="9" t="inlineStr">
        <is>
          <t>India</t>
        </is>
      </c>
      <c r="F90" s="9" t="n">
        <v>1</v>
      </c>
      <c r="G90" s="9" t="n">
        <v>1</v>
      </c>
      <c r="H90" s="9" t="n">
        <v>1</v>
      </c>
      <c r="I90" s="10" t="n">
        <v>43380</v>
      </c>
      <c r="J90" s="10" t="n">
        <v>43380</v>
      </c>
      <c r="K90" s="9" t="n">
        <v>13.63003</v>
      </c>
      <c r="L90" s="9" t="n">
        <v>79.41628</v>
      </c>
      <c r="M90" s="9" t="inlineStr">
        <is>
          <t>https://www.google.com/maps/place/?q=place_id:ChIJ57PHZAVLTToR06w9UdKCJt4</t>
        </is>
      </c>
    </row>
    <row r="91">
      <c r="A91" s="9" t="n">
        <v>87</v>
      </c>
      <c r="B91" s="9" t="inlineStr">
        <is>
          <t>Tirupati</t>
        </is>
      </c>
      <c r="C91" s="9" t="inlineStr">
        <is>
          <t>Tirupati</t>
        </is>
      </c>
      <c r="D91" s="9" t="inlineStr">
        <is>
          <t>Andhra Pradesh</t>
        </is>
      </c>
      <c r="E91" s="9" t="inlineStr">
        <is>
          <t>India</t>
        </is>
      </c>
      <c r="F91" s="9" t="n">
        <v>1</v>
      </c>
      <c r="G91" s="9" t="n">
        <v>1</v>
      </c>
      <c r="H91" s="9" t="n">
        <v>1</v>
      </c>
      <c r="I91" s="10" t="n">
        <v>43380</v>
      </c>
      <c r="J91" s="10" t="n">
        <v>43380</v>
      </c>
      <c r="K91" s="9" t="n">
        <v>13.63423</v>
      </c>
      <c r="L91" s="9" t="n">
        <v>79.42856</v>
      </c>
      <c r="M91" s="9" t="inlineStr">
        <is>
          <t>https://www.google.com/maps/place/?q=place_id:ChIJn4ycDKlLTToRrtPcoRewr8s</t>
        </is>
      </c>
    </row>
    <row r="92">
      <c r="A92" s="9" t="n">
        <v>88</v>
      </c>
      <c r="B92" s="9" t="inlineStr">
        <is>
          <t>Tirupati</t>
        </is>
      </c>
      <c r="C92" s="9" t="inlineStr">
        <is>
          <t>Tirupati</t>
        </is>
      </c>
      <c r="D92" s="9" t="inlineStr">
        <is>
          <t>Andhra Pradesh</t>
        </is>
      </c>
      <c r="E92" s="9" t="inlineStr">
        <is>
          <t>India</t>
        </is>
      </c>
      <c r="F92" s="9" t="n">
        <v>1</v>
      </c>
      <c r="G92" s="9" t="n">
        <v>1</v>
      </c>
      <c r="H92" s="9" t="n">
        <v>1</v>
      </c>
      <c r="I92" s="10" t="n">
        <v>43380</v>
      </c>
      <c r="J92" s="10" t="n">
        <v>43380</v>
      </c>
      <c r="K92" s="9" t="n">
        <v>13.64193</v>
      </c>
      <c r="L92" s="9" t="n">
        <v>79.42888000000001</v>
      </c>
      <c r="M92" s="9" t="inlineStr">
        <is>
          <t>https://www.google.com/maps/place/?q=place_id:ChIJvWrM0VRKTToRRYHLQS9mILk</t>
        </is>
      </c>
    </row>
    <row r="93">
      <c r="A93" s="9" t="n">
        <v>89</v>
      </c>
      <c r="B93" s="9" t="inlineStr">
        <is>
          <t>Tirupati</t>
        </is>
      </c>
      <c r="C93" s="9" t="inlineStr">
        <is>
          <t>Tirupati</t>
        </is>
      </c>
      <c r="D93" s="9" t="inlineStr">
        <is>
          <t>Andhra Pradesh</t>
        </is>
      </c>
      <c r="E93" s="9" t="inlineStr">
        <is>
          <t>India</t>
        </is>
      </c>
      <c r="F93" s="9" t="n">
        <v>1</v>
      </c>
      <c r="G93" s="9" t="n">
        <v>1</v>
      </c>
      <c r="H93" s="9" t="n">
        <v>1</v>
      </c>
      <c r="I93" s="10" t="n">
        <v>44402</v>
      </c>
      <c r="J93" s="10" t="n">
        <v>44402</v>
      </c>
      <c r="K93" s="9" t="n">
        <v>13.62956</v>
      </c>
      <c r="L93" s="9" t="n">
        <v>79.41704</v>
      </c>
      <c r="M93" s="9" t="inlineStr">
        <is>
          <t>https://www.google.com/maps/place/?q=place_id:ChIJ5XNUxnJLTToRO3KQh7GNExY</t>
        </is>
      </c>
    </row>
    <row r="94">
      <c r="A94" s="9" t="n">
        <v>90</v>
      </c>
      <c r="B94" s="9" t="inlineStr">
        <is>
          <t>Tirupati</t>
        </is>
      </c>
      <c r="C94" s="9" t="inlineStr">
        <is>
          <t>Tirupati</t>
        </is>
      </c>
      <c r="D94" s="9" t="inlineStr">
        <is>
          <t>Andhra Pradesh</t>
        </is>
      </c>
      <c r="E94" s="9" t="inlineStr">
        <is>
          <t>India</t>
        </is>
      </c>
      <c r="F94" s="9" t="n">
        <v>1</v>
      </c>
      <c r="G94" s="9" t="n">
        <v>1</v>
      </c>
      <c r="H94" s="9" t="n">
        <v>1</v>
      </c>
      <c r="I94" s="10" t="n">
        <v>44402</v>
      </c>
      <c r="J94" s="10" t="n">
        <v>44402</v>
      </c>
      <c r="K94" s="9" t="n">
        <v>13.63482</v>
      </c>
      <c r="L94" s="9" t="n">
        <v>79.41549000000001</v>
      </c>
      <c r="M94" s="9" t="inlineStr">
        <is>
          <t>https://www.google.com/maps/place/?q=place_id:ChIJD-gjogRLTToRB-4dA6kH34U</t>
        </is>
      </c>
    </row>
    <row r="95">
      <c r="A95" s="9" t="n">
        <v>91</v>
      </c>
      <c r="B95" s="9" t="inlineStr">
        <is>
          <t>Tuni</t>
        </is>
      </c>
      <c r="C95" s="9" t="inlineStr">
        <is>
          <t>Tuni</t>
        </is>
      </c>
      <c r="D95" s="9" t="inlineStr">
        <is>
          <t>Andhra Pradesh</t>
        </is>
      </c>
      <c r="E95" s="9" t="inlineStr">
        <is>
          <t>India</t>
        </is>
      </c>
      <c r="F95" s="9" t="n">
        <v>1</v>
      </c>
      <c r="G95" s="9" t="n">
        <v>1</v>
      </c>
      <c r="H95" s="9" t="n">
        <v>1</v>
      </c>
      <c r="I95" s="10" t="n">
        <v>42971</v>
      </c>
      <c r="J95" s="10" t="n">
        <v>42971</v>
      </c>
      <c r="K95" s="9" t="n">
        <v>17.28322</v>
      </c>
      <c r="L95" s="9" t="n">
        <v>82.40194</v>
      </c>
      <c r="M95" s="9" t="inlineStr">
        <is>
          <t>https://www.google.com/maps/place/?q=place_id:ChIJq6qqqi_OOToRiB1lJTD_X1M</t>
        </is>
      </c>
    </row>
    <row r="96">
      <c r="A96" s="9" t="n">
        <v>92</v>
      </c>
      <c r="B96" s="9" t="inlineStr">
        <is>
          <t>Vijayawada</t>
        </is>
      </c>
      <c r="C96" s="9" t="inlineStr">
        <is>
          <t>Vijayawada</t>
        </is>
      </c>
      <c r="D96" s="9" t="inlineStr">
        <is>
          <t>Andhra Pradesh</t>
        </is>
      </c>
      <c r="E96" s="9" t="inlineStr">
        <is>
          <t>India</t>
        </is>
      </c>
      <c r="F96" s="9" t="n">
        <v>6</v>
      </c>
      <c r="G96" s="9" t="n">
        <v>4</v>
      </c>
      <c r="H96" s="9" t="n">
        <v>1</v>
      </c>
      <c r="I96" s="10" t="n">
        <v>44607</v>
      </c>
      <c r="J96" s="10" t="n">
        <v>44612</v>
      </c>
      <c r="K96" s="9" t="n">
        <v>16.49772</v>
      </c>
      <c r="L96" s="9" t="n">
        <v>80.65398</v>
      </c>
      <c r="M96" s="9" t="inlineStr">
        <is>
          <t>https://www.google.com/maps/place/?q=place_id:ChIJt4xFlrj6NToRxW5pA8W8t3I</t>
        </is>
      </c>
    </row>
    <row r="97">
      <c r="A97" s="9" t="n">
        <v>93</v>
      </c>
      <c r="B97" s="9" t="inlineStr">
        <is>
          <t>Tadepalle</t>
        </is>
      </c>
      <c r="C97" s="9" t="inlineStr">
        <is>
          <t>Vijayawada</t>
        </is>
      </c>
      <c r="D97" s="9" t="inlineStr">
        <is>
          <t>Andhra Pradesh</t>
        </is>
      </c>
      <c r="E97" s="9" t="inlineStr">
        <is>
          <t>India</t>
        </is>
      </c>
      <c r="F97" s="9" t="n">
        <v>5</v>
      </c>
      <c r="G97" s="9" t="n">
        <v>5</v>
      </c>
      <c r="H97" s="9" t="n">
        <v>1</v>
      </c>
      <c r="I97" s="10" t="n">
        <v>44607</v>
      </c>
      <c r="J97" s="10" t="n">
        <v>44611</v>
      </c>
      <c r="K97" s="9" t="n">
        <v>16.50356</v>
      </c>
      <c r="L97" s="9" t="n">
        <v>80.59005000000001</v>
      </c>
      <c r="M97" s="9" t="inlineStr">
        <is>
          <t>https://www.google.com/maps/place/?q=place_id:ChIJEVWvlCzwNToRGBAcUTWDrFA</t>
        </is>
      </c>
    </row>
    <row r="98">
      <c r="A98" s="9" t="n">
        <v>94</v>
      </c>
      <c r="B98" s="9" t="inlineStr">
        <is>
          <t>Tadepalle</t>
        </is>
      </c>
      <c r="C98" s="9" t="inlineStr">
        <is>
          <t>Vijayawada</t>
        </is>
      </c>
      <c r="D98" s="9" t="inlineStr">
        <is>
          <t>Andhra Pradesh</t>
        </is>
      </c>
      <c r="E98" s="9" t="inlineStr">
        <is>
          <t>India</t>
        </is>
      </c>
      <c r="F98" s="9" t="n">
        <v>3</v>
      </c>
      <c r="G98" s="9" t="n">
        <v>3</v>
      </c>
      <c r="H98" s="9" t="n">
        <v>1</v>
      </c>
      <c r="I98" s="10" t="n">
        <v>44607</v>
      </c>
      <c r="J98" s="10" t="n">
        <v>44610</v>
      </c>
      <c r="K98" s="9" t="n">
        <v>16.46095</v>
      </c>
      <c r="L98" s="9" t="n">
        <v>80.61117</v>
      </c>
      <c r="M98" s="9" t="inlineStr">
        <is>
          <t>https://www.google.com/maps/place/?q=place_id:ChIJOV6jmYzwNToR8KTeP1j89n0</t>
        </is>
      </c>
    </row>
    <row r="99">
      <c r="A99" s="9" t="n">
        <v>95</v>
      </c>
      <c r="B99" s="9" t="inlineStr">
        <is>
          <t>Tadepalle</t>
        </is>
      </c>
      <c r="C99" s="9" t="inlineStr">
        <is>
          <t>Vijayawada</t>
        </is>
      </c>
      <c r="D99" s="9" t="inlineStr">
        <is>
          <t>Andhra Pradesh</t>
        </is>
      </c>
      <c r="E99" s="9" t="inlineStr">
        <is>
          <t>India</t>
        </is>
      </c>
      <c r="F99" s="9" t="n">
        <v>3</v>
      </c>
      <c r="G99" s="9" t="n">
        <v>3</v>
      </c>
      <c r="H99" s="9" t="n">
        <v>1</v>
      </c>
      <c r="I99" s="10" t="n">
        <v>44609</v>
      </c>
      <c r="J99" s="10" t="n">
        <v>44611</v>
      </c>
      <c r="K99" s="9" t="n">
        <v>16.50457</v>
      </c>
      <c r="L99" s="9" t="n">
        <v>80.57735</v>
      </c>
      <c r="M99" s="9" t="inlineStr">
        <is>
          <t>https://www.google.com/maps/place/?q=place_id:ChIJBcysVdfxNToRfMYfWgfyyuQ</t>
        </is>
      </c>
    </row>
    <row r="100">
      <c r="A100" s="9" t="n">
        <v>96</v>
      </c>
      <c r="B100" s="9" t="inlineStr">
        <is>
          <t>Vijayawada</t>
        </is>
      </c>
      <c r="C100" s="9" t="inlineStr">
        <is>
          <t>Vijayawada</t>
        </is>
      </c>
      <c r="D100" s="9" t="inlineStr">
        <is>
          <t>Andhra Pradesh</t>
        </is>
      </c>
      <c r="E100" s="9" t="inlineStr">
        <is>
          <t>India</t>
        </is>
      </c>
      <c r="F100" s="9" t="n">
        <v>2</v>
      </c>
      <c r="G100" s="9" t="n">
        <v>2</v>
      </c>
      <c r="H100" s="9" t="n">
        <v>2</v>
      </c>
      <c r="I100" s="10" t="n">
        <v>42575</v>
      </c>
      <c r="J100" s="10" t="n">
        <v>42973</v>
      </c>
      <c r="K100" s="9" t="n">
        <v>16.51847</v>
      </c>
      <c r="L100" s="9" t="n">
        <v>80.61951999999999</v>
      </c>
      <c r="M100" s="9" t="inlineStr">
        <is>
          <t>https://www.google.com/maps/place/?q=place_id:ChIJJTMjl-TvNToR10KtvfsPM5s</t>
        </is>
      </c>
    </row>
    <row r="101">
      <c r="A101" s="9" t="n">
        <v>97</v>
      </c>
      <c r="B101" s="9" t="inlineStr">
        <is>
          <t>Tadepalle</t>
        </is>
      </c>
      <c r="C101" s="9" t="inlineStr">
        <is>
          <t>Vijayawada</t>
        </is>
      </c>
      <c r="D101" s="9" t="inlineStr">
        <is>
          <t>Andhra Pradesh</t>
        </is>
      </c>
      <c r="E101" s="9" t="inlineStr">
        <is>
          <t>India</t>
        </is>
      </c>
      <c r="F101" s="9" t="n">
        <v>2</v>
      </c>
      <c r="G101" s="9" t="n">
        <v>1</v>
      </c>
      <c r="H101" s="9" t="n">
        <v>1</v>
      </c>
      <c r="I101" s="10" t="n">
        <v>43051</v>
      </c>
      <c r="J101" s="10" t="n">
        <v>43051</v>
      </c>
      <c r="K101" s="9" t="n">
        <v>16.50676</v>
      </c>
      <c r="L101" s="9" t="n">
        <v>80.5737</v>
      </c>
      <c r="M101" s="9" t="inlineStr">
        <is>
          <t>https://www.google.com/maps/place/?q=place_id:ChIJXV-rHNnxNToRfNJ6Meyeu84</t>
        </is>
      </c>
    </row>
    <row r="102">
      <c r="A102" s="9" t="n">
        <v>98</v>
      </c>
      <c r="B102" s="9" t="inlineStr">
        <is>
          <t>Gannavaram</t>
        </is>
      </c>
      <c r="C102" s="9" t="inlineStr">
        <is>
          <t>Vijayawada</t>
        </is>
      </c>
      <c r="D102" s="9" t="inlineStr">
        <is>
          <t>Andhra Pradesh</t>
        </is>
      </c>
      <c r="E102" s="9" t="inlineStr">
        <is>
          <t>India</t>
        </is>
      </c>
      <c r="F102" s="9" t="n">
        <v>2</v>
      </c>
      <c r="G102" s="9" t="n">
        <v>2</v>
      </c>
      <c r="H102" s="9" t="n">
        <v>2</v>
      </c>
      <c r="I102" s="10" t="n">
        <v>43052</v>
      </c>
      <c r="J102" s="10" t="n">
        <v>44609</v>
      </c>
      <c r="K102" s="9" t="n">
        <v>16.52384</v>
      </c>
      <c r="L102" s="9" t="n">
        <v>80.79142</v>
      </c>
      <c r="M102" s="9" t="inlineStr">
        <is>
          <t>https://www.google.com/maps/place/?q=place_id:ChIJ-e-966_iNToRxSQuK02EvAE</t>
        </is>
      </c>
    </row>
    <row r="103">
      <c r="A103" s="9" t="n">
        <v>99</v>
      </c>
      <c r="B103" s="9" t="inlineStr">
        <is>
          <t>Tadepalle</t>
        </is>
      </c>
      <c r="C103" s="9" t="inlineStr">
        <is>
          <t>Vijayawada</t>
        </is>
      </c>
      <c r="D103" s="9" t="inlineStr">
        <is>
          <t>Andhra Pradesh</t>
        </is>
      </c>
      <c r="E103" s="9" t="inlineStr">
        <is>
          <t>India</t>
        </is>
      </c>
      <c r="F103" s="9" t="n">
        <v>2</v>
      </c>
      <c r="G103" s="9" t="n">
        <v>4</v>
      </c>
      <c r="H103" s="9" t="n">
        <v>2</v>
      </c>
      <c r="I103" s="10" t="n">
        <v>44607</v>
      </c>
      <c r="J103" s="10" t="n">
        <v>44612</v>
      </c>
      <c r="K103" s="9" t="n">
        <v>16.5026</v>
      </c>
      <c r="L103" s="9" t="n">
        <v>80.58874</v>
      </c>
      <c r="M103" s="9" t="inlineStr">
        <is>
          <t>https://www.google.com/maps/place/?q=place_id:ChIJS3LChnjxNToR6TQ7NzfRICY</t>
        </is>
      </c>
    </row>
    <row r="104">
      <c r="A104" s="9" t="n">
        <v>100</v>
      </c>
      <c r="B104" s="9" t="inlineStr">
        <is>
          <t>Vijayawada</t>
        </is>
      </c>
      <c r="C104" s="9" t="inlineStr">
        <is>
          <t>Vijayawada</t>
        </is>
      </c>
      <c r="D104" s="9" t="inlineStr">
        <is>
          <t>Andhra Pradesh</t>
        </is>
      </c>
      <c r="E104" s="9" t="inlineStr">
        <is>
          <t>India</t>
        </is>
      </c>
      <c r="F104" s="9" t="n">
        <v>1</v>
      </c>
      <c r="G104" s="9" t="n">
        <v>1</v>
      </c>
      <c r="H104" s="9" t="n">
        <v>1</v>
      </c>
      <c r="I104" s="10" t="n">
        <v>43051</v>
      </c>
      <c r="J104" s="10" t="n">
        <v>43051</v>
      </c>
      <c r="K104" s="9" t="n">
        <v>16.49946</v>
      </c>
      <c r="L104" s="9" t="n">
        <v>80.65411</v>
      </c>
      <c r="M104" s="9" t="inlineStr">
        <is>
          <t>https://www.google.com/maps/place/?q=place_id:ChIJZXKiZLj6NToREpYjVxeFomQ</t>
        </is>
      </c>
    </row>
    <row r="105">
      <c r="A105" s="9" t="n">
        <v>101</v>
      </c>
      <c r="B105" s="9" t="inlineStr">
        <is>
          <t>Amaravati</t>
        </is>
      </c>
      <c r="C105" s="9" t="inlineStr">
        <is>
          <t>Vijayawada</t>
        </is>
      </c>
      <c r="D105" s="9" t="inlineStr">
        <is>
          <t>Andhra Pradesh</t>
        </is>
      </c>
      <c r="E105" s="9" t="inlineStr">
        <is>
          <t>India</t>
        </is>
      </c>
      <c r="F105" s="9" t="n">
        <v>1</v>
      </c>
      <c r="G105" s="9" t="n">
        <v>1</v>
      </c>
      <c r="H105" s="9" t="n">
        <v>1</v>
      </c>
      <c r="I105" s="10" t="n">
        <v>43051</v>
      </c>
      <c r="J105" s="10" t="n">
        <v>43051</v>
      </c>
      <c r="K105" s="9" t="n">
        <v>16.51249</v>
      </c>
      <c r="L105" s="9" t="n">
        <v>80.56191</v>
      </c>
      <c r="M105" s="9" t="inlineStr">
        <is>
          <t>https://www.google.com/maps/place/?q=place_id:ChIJsRMAaB7uNToR-A7VXjeo8Vw</t>
        </is>
      </c>
    </row>
    <row r="106">
      <c r="A106" s="9" t="n">
        <v>102</v>
      </c>
      <c r="B106" s="9" t="inlineStr">
        <is>
          <t>Mangalagiri</t>
        </is>
      </c>
      <c r="C106" s="9" t="inlineStr">
        <is>
          <t>Vijayawada</t>
        </is>
      </c>
      <c r="D106" s="9" t="inlineStr">
        <is>
          <t>Andhra Pradesh</t>
        </is>
      </c>
      <c r="E106" s="9" t="inlineStr">
        <is>
          <t>India</t>
        </is>
      </c>
      <c r="F106" s="9" t="n">
        <v>1</v>
      </c>
      <c r="G106" s="9" t="n">
        <v>1</v>
      </c>
      <c r="H106" s="9" t="n">
        <v>1</v>
      </c>
      <c r="I106" s="10" t="n">
        <v>43385</v>
      </c>
      <c r="J106" s="10" t="n">
        <v>43385</v>
      </c>
      <c r="K106" s="9" t="n">
        <v>16.43772</v>
      </c>
      <c r="L106" s="9" t="n">
        <v>80.56458000000001</v>
      </c>
      <c r="M106" s="9" t="inlineStr">
        <is>
          <t>https://www.google.com/maps/place/?q=place_id:ChIJzSADQkDxNToR9ppO6omRIkg</t>
        </is>
      </c>
    </row>
    <row r="107">
      <c r="A107" s="9" t="n">
        <v>103</v>
      </c>
      <c r="B107" s="9" t="inlineStr">
        <is>
          <t>Tadepalle</t>
        </is>
      </c>
      <c r="C107" s="9" t="inlineStr">
        <is>
          <t>Vijayawada</t>
        </is>
      </c>
      <c r="D107" s="9" t="inlineStr">
        <is>
          <t>Andhra Pradesh</t>
        </is>
      </c>
      <c r="E107" s="9" t="inlineStr">
        <is>
          <t>India</t>
        </is>
      </c>
      <c r="F107" s="9" t="n">
        <v>1</v>
      </c>
      <c r="G107" s="9" t="n">
        <v>1</v>
      </c>
      <c r="H107" s="9" t="n">
        <v>1</v>
      </c>
      <c r="I107" s="10" t="n">
        <v>44608</v>
      </c>
      <c r="J107" s="10" t="n">
        <v>44608</v>
      </c>
      <c r="K107" s="9" t="n">
        <v>16.51804</v>
      </c>
      <c r="L107" s="9" t="n">
        <v>80.6114</v>
      </c>
      <c r="M107" s="9" t="inlineStr">
        <is>
          <t>https://www.google.com/maps/place/?q=place_id:ChIJX8BjSufvNToRECN2iP7GfmI</t>
        </is>
      </c>
    </row>
    <row r="108">
      <c r="A108" s="9" t="n">
        <v>104</v>
      </c>
      <c r="B108" s="9" t="inlineStr">
        <is>
          <t>Tadepalle</t>
        </is>
      </c>
      <c r="C108" s="9" t="inlineStr">
        <is>
          <t>Vijayawada</t>
        </is>
      </c>
      <c r="D108" s="9" t="inlineStr">
        <is>
          <t>Andhra Pradesh</t>
        </is>
      </c>
      <c r="E108" s="9" t="inlineStr">
        <is>
          <t>India</t>
        </is>
      </c>
      <c r="F108" s="9" t="n">
        <v>1</v>
      </c>
      <c r="G108" s="9" t="n">
        <v>1</v>
      </c>
      <c r="H108" s="9" t="n">
        <v>1</v>
      </c>
      <c r="I108" s="10" t="n">
        <v>44608</v>
      </c>
      <c r="J108" s="10" t="n">
        <v>44608</v>
      </c>
      <c r="K108" s="9" t="n">
        <v>16.50741</v>
      </c>
      <c r="L108" s="9" t="n">
        <v>80.60514999999999</v>
      </c>
      <c r="M108" s="9" t="inlineStr">
        <is>
          <t>https://www.google.com/maps/place/?q=place_id:ChIJiW_-sibwNToR3vlaISZz_CI</t>
        </is>
      </c>
    </row>
    <row r="109">
      <c r="A109" s="9" t="n">
        <v>105</v>
      </c>
      <c r="B109" s="9" t="inlineStr">
        <is>
          <t>Tadepalle</t>
        </is>
      </c>
      <c r="C109" s="9" t="inlineStr">
        <is>
          <t>Vijayawada</t>
        </is>
      </c>
      <c r="D109" s="9" t="inlineStr">
        <is>
          <t>Andhra Pradesh</t>
        </is>
      </c>
      <c r="E109" s="9" t="inlineStr">
        <is>
          <t>India</t>
        </is>
      </c>
      <c r="F109" s="9" t="n">
        <v>1</v>
      </c>
      <c r="G109" s="9" t="n">
        <v>1</v>
      </c>
      <c r="H109" s="9" t="n">
        <v>1</v>
      </c>
      <c r="I109" s="10" t="n">
        <v>44608</v>
      </c>
      <c r="J109" s="10" t="n">
        <v>44608</v>
      </c>
      <c r="K109" s="9" t="n">
        <v>16.51354</v>
      </c>
      <c r="L109" s="9" t="n">
        <v>80.60576</v>
      </c>
      <c r="M109" s="9" t="inlineStr">
        <is>
          <t>https://www.google.com/maps/place/?q=place_id:ChIJ3Z8DhpXvNToR5icKiHiHbsM</t>
        </is>
      </c>
    </row>
    <row r="110">
      <c r="A110" s="9" t="n">
        <v>106</v>
      </c>
      <c r="B110" s="9" t="inlineStr">
        <is>
          <t>Tadepalle</t>
        </is>
      </c>
      <c r="C110" s="9" t="inlineStr">
        <is>
          <t>Vijayawada</t>
        </is>
      </c>
      <c r="D110" s="9" t="inlineStr">
        <is>
          <t>Andhra Pradesh</t>
        </is>
      </c>
      <c r="E110" s="9" t="inlineStr">
        <is>
          <t>India</t>
        </is>
      </c>
      <c r="F110" s="9" t="n">
        <v>1</v>
      </c>
      <c r="G110" s="9" t="n">
        <v>2</v>
      </c>
      <c r="H110" s="9" t="n">
        <v>1</v>
      </c>
      <c r="I110" s="10" t="n">
        <v>44608</v>
      </c>
      <c r="J110" s="10" t="n">
        <v>44609</v>
      </c>
      <c r="K110" s="9" t="n">
        <v>16.49667</v>
      </c>
      <c r="L110" s="9" t="n">
        <v>80.60336</v>
      </c>
      <c r="M110" s="9" t="inlineStr">
        <is>
          <t>https://www.google.com/maps/place/?q=place_id:ChIJLw9ZoDvwNToRluEM6bcifUo</t>
        </is>
      </c>
    </row>
    <row r="111">
      <c r="A111" s="9" t="n">
        <v>107</v>
      </c>
      <c r="B111" s="9" t="inlineStr">
        <is>
          <t>Mangalagiri</t>
        </is>
      </c>
      <c r="C111" s="9" t="inlineStr">
        <is>
          <t>Vijayawada</t>
        </is>
      </c>
      <c r="D111" s="9" t="inlineStr">
        <is>
          <t>Andhra Pradesh</t>
        </is>
      </c>
      <c r="E111" s="9" t="inlineStr">
        <is>
          <t>India</t>
        </is>
      </c>
      <c r="F111" s="9" t="n">
        <v>1</v>
      </c>
      <c r="G111" s="9" t="n">
        <v>1</v>
      </c>
      <c r="H111" s="9" t="n">
        <v>1</v>
      </c>
      <c r="I111" s="10" t="n">
        <v>44609</v>
      </c>
      <c r="J111" s="10" t="n">
        <v>44609</v>
      </c>
      <c r="K111" s="9" t="n">
        <v>16.42087</v>
      </c>
      <c r="L111" s="9" t="n">
        <v>80.58541</v>
      </c>
      <c r="M111" s="9" t="inlineStr">
        <is>
          <t>https://www.google.com/maps/place/?q=place_id:ChIJJZw4C7j6NToRKrBgCyNI8Z4</t>
        </is>
      </c>
    </row>
    <row r="112">
      <c r="A112" s="9" t="n">
        <v>108</v>
      </c>
      <c r="B112" s="9" t="inlineStr">
        <is>
          <t>Mangalagiri</t>
        </is>
      </c>
      <c r="C112" s="9" t="inlineStr">
        <is>
          <t>Vijayawada</t>
        </is>
      </c>
      <c r="D112" s="9" t="inlineStr">
        <is>
          <t>Andhra Pradesh</t>
        </is>
      </c>
      <c r="E112" s="9" t="inlineStr">
        <is>
          <t>India</t>
        </is>
      </c>
      <c r="F112" s="9" t="n">
        <v>1</v>
      </c>
      <c r="G112" s="9" t="n">
        <v>1</v>
      </c>
      <c r="H112" s="9" t="n">
        <v>1</v>
      </c>
      <c r="I112" s="10" t="n">
        <v>44609</v>
      </c>
      <c r="J112" s="10" t="n">
        <v>44609</v>
      </c>
      <c r="K112" s="9" t="n">
        <v>16.43718</v>
      </c>
      <c r="L112" s="9" t="n">
        <v>80.57012</v>
      </c>
      <c r="M112" s="9" t="inlineStr">
        <is>
          <t>https://www.google.com/maps/place/?q=place_id:ChIJ3fVbYD7xNToRs2hIQ8esUxo</t>
        </is>
      </c>
    </row>
    <row r="113">
      <c r="A113" s="9" t="n">
        <v>109</v>
      </c>
      <c r="B113" s="9" t="inlineStr">
        <is>
          <t>Mangalagiri</t>
        </is>
      </c>
      <c r="C113" s="9" t="inlineStr">
        <is>
          <t>Vijayawada</t>
        </is>
      </c>
      <c r="D113" s="9" t="inlineStr">
        <is>
          <t>Andhra Pradesh</t>
        </is>
      </c>
      <c r="E113" s="9" t="inlineStr">
        <is>
          <t>India</t>
        </is>
      </c>
      <c r="F113" s="9" t="n">
        <v>1</v>
      </c>
      <c r="G113" s="9" t="n">
        <v>1</v>
      </c>
      <c r="H113" s="9" t="n">
        <v>1</v>
      </c>
      <c r="I113" s="10" t="n">
        <v>44609</v>
      </c>
      <c r="J113" s="10" t="n">
        <v>44609</v>
      </c>
      <c r="K113" s="9" t="n">
        <v>16.4338</v>
      </c>
      <c r="L113" s="9" t="n">
        <v>80.56838</v>
      </c>
      <c r="M113" s="9" t="inlineStr">
        <is>
          <t>https://www.google.com/maps/place/?q=place_id:ChIJueeeJz_xNToR38gKmYBUfqE</t>
        </is>
      </c>
    </row>
    <row r="114">
      <c r="A114" s="9" t="n">
        <v>110</v>
      </c>
      <c r="B114" s="9" t="inlineStr">
        <is>
          <t>Vizianagaram</t>
        </is>
      </c>
      <c r="C114" s="9" t="inlineStr">
        <is>
          <t>Vizianagaram</t>
        </is>
      </c>
      <c r="D114" s="9" t="inlineStr">
        <is>
          <t>Andhra Pradesh</t>
        </is>
      </c>
      <c r="E114" s="9" t="inlineStr">
        <is>
          <t>India</t>
        </is>
      </c>
      <c r="F114" s="9" t="n">
        <v>1</v>
      </c>
      <c r="G114" s="9" t="n">
        <v>1</v>
      </c>
      <c r="H114" s="9" t="n">
        <v>1</v>
      </c>
      <c r="I114" s="10" t="n">
        <v>42972</v>
      </c>
      <c r="J114" s="10" t="n">
        <v>42972</v>
      </c>
      <c r="K114" s="9" t="n">
        <v>18.07487</v>
      </c>
      <c r="L114" s="9" t="n">
        <v>83.3695</v>
      </c>
      <c r="M114" s="9" t="inlineStr">
        <is>
          <t>https://www.google.com/maps/place/?q=place_id:ChIJWXs_n1LkOzoRZj9IgDzblec</t>
        </is>
      </c>
    </row>
    <row r="115">
      <c r="A115" s="9" t="n">
        <v>111</v>
      </c>
      <c r="B115" s="9" t="inlineStr">
        <is>
          <t>Vizianagaram</t>
        </is>
      </c>
      <c r="C115" s="9" t="inlineStr">
        <is>
          <t>Vizianagaram</t>
        </is>
      </c>
      <c r="D115" s="9" t="inlineStr">
        <is>
          <t>Andhra Pradesh</t>
        </is>
      </c>
      <c r="E115" s="9" t="inlineStr">
        <is>
          <t>India</t>
        </is>
      </c>
      <c r="F115" s="9" t="n">
        <v>1</v>
      </c>
      <c r="G115" s="9" t="n">
        <v>1</v>
      </c>
      <c r="H115" s="9" t="n">
        <v>1</v>
      </c>
      <c r="I115" s="10" t="n">
        <v>43394</v>
      </c>
      <c r="J115" s="10" t="n">
        <v>43394</v>
      </c>
      <c r="K115" s="9" t="n">
        <v>18.09427</v>
      </c>
      <c r="L115" s="9" t="n">
        <v>83.4089</v>
      </c>
      <c r="M115" s="9" t="inlineStr">
        <is>
          <t>https://www.google.com/maps/place/?q=place_id:ChIJ07SQNzrlOzoR3lPPrdDCsG0</t>
        </is>
      </c>
    </row>
    <row r="116">
      <c r="A116" s="9" t="n">
        <v>112</v>
      </c>
      <c r="B116" s="9" t="inlineStr">
        <is>
          <t>Bodh Gaya</t>
        </is>
      </c>
      <c r="C116" s="9" t="inlineStr">
        <is>
          <t>Bodh Gaya</t>
        </is>
      </c>
      <c r="D116" s="9" t="inlineStr">
        <is>
          <t>Bihar</t>
        </is>
      </c>
      <c r="E116" s="9" t="inlineStr">
        <is>
          <t>India</t>
        </is>
      </c>
      <c r="F116" s="9" t="n">
        <v>4</v>
      </c>
      <c r="G116" s="9" t="n">
        <v>3</v>
      </c>
      <c r="H116" s="9" t="n">
        <v>1</v>
      </c>
      <c r="I116" s="10" t="n">
        <v>44526</v>
      </c>
      <c r="J116" s="10" t="n">
        <v>44528</v>
      </c>
      <c r="K116" s="9" t="n">
        <v>24.71668</v>
      </c>
      <c r="L116" s="9" t="n">
        <v>84.99744</v>
      </c>
      <c r="M116" s="9" t="inlineStr">
        <is>
          <t>https://www.google.com/maps/place/?q=place_id:ChIJQ3nLcp4t8zkR64GylSX2ZCw</t>
        </is>
      </c>
    </row>
    <row r="117">
      <c r="A117" s="9" t="n">
        <v>113</v>
      </c>
      <c r="B117" s="9" t="inlineStr">
        <is>
          <t>Bodh Gaya</t>
        </is>
      </c>
      <c r="C117" s="9" t="inlineStr">
        <is>
          <t>Bodh Gaya</t>
        </is>
      </c>
      <c r="D117" s="9" t="inlineStr">
        <is>
          <t>Bihar</t>
        </is>
      </c>
      <c r="E117" s="9" t="inlineStr">
        <is>
          <t>India</t>
        </is>
      </c>
      <c r="F117" s="9" t="n">
        <v>2</v>
      </c>
      <c r="G117" s="9" t="n">
        <v>1</v>
      </c>
      <c r="H117" s="9" t="n">
        <v>1</v>
      </c>
      <c r="I117" s="10" t="n">
        <v>43518</v>
      </c>
      <c r="J117" s="10" t="n">
        <v>43518</v>
      </c>
      <c r="K117" s="9" t="n">
        <v>24.69592</v>
      </c>
      <c r="L117" s="9" t="n">
        <v>84.99142000000001</v>
      </c>
      <c r="M117" s="9" t="inlineStr">
        <is>
          <t>https://www.google.com/maps/place/?q=place_id:ChIJdwjYS1ss8zkRlwyobygu3fg</t>
        </is>
      </c>
    </row>
    <row r="118">
      <c r="A118" s="9" t="n">
        <v>114</v>
      </c>
      <c r="B118" s="9" t="inlineStr">
        <is>
          <t>Bodh Gaya</t>
        </is>
      </c>
      <c r="C118" s="9" t="inlineStr">
        <is>
          <t>Bodh Gaya</t>
        </is>
      </c>
      <c r="D118" s="9" t="inlineStr">
        <is>
          <t>Bihar</t>
        </is>
      </c>
      <c r="E118" s="9" t="inlineStr">
        <is>
          <t>India</t>
        </is>
      </c>
      <c r="F118" s="9" t="n">
        <v>1</v>
      </c>
      <c r="G118" s="9" t="n">
        <v>1</v>
      </c>
      <c r="H118" s="9" t="n">
        <v>1</v>
      </c>
      <c r="I118" s="10" t="n">
        <v>43518</v>
      </c>
      <c r="J118" s="10" t="n">
        <v>43518</v>
      </c>
      <c r="K118" s="9" t="n">
        <v>24.69416</v>
      </c>
      <c r="L118" s="9" t="n">
        <v>84.98499</v>
      </c>
      <c r="M118" s="9" t="inlineStr">
        <is>
          <t>https://www.google.com/maps/place/?q=place_id:ChIJf0R8Glks8zkRo41RraTxUOQ</t>
        </is>
      </c>
    </row>
    <row r="119">
      <c r="A119" s="9" t="n">
        <v>115</v>
      </c>
      <c r="B119" s="9" t="inlineStr">
        <is>
          <t>Bodh Gaya</t>
        </is>
      </c>
      <c r="C119" s="9" t="inlineStr">
        <is>
          <t>Bodh Gaya</t>
        </is>
      </c>
      <c r="D119" s="9" t="inlineStr">
        <is>
          <t>Bihar</t>
        </is>
      </c>
      <c r="E119" s="9" t="inlineStr">
        <is>
          <t>India</t>
        </is>
      </c>
      <c r="F119" s="9" t="n">
        <v>1</v>
      </c>
      <c r="G119" s="9" t="n">
        <v>2</v>
      </c>
      <c r="H119" s="9" t="n">
        <v>1</v>
      </c>
      <c r="I119" s="10" t="n">
        <v>44526</v>
      </c>
      <c r="J119" s="10" t="n">
        <v>44527</v>
      </c>
      <c r="K119" s="9" t="n">
        <v>24.71226</v>
      </c>
      <c r="L119" s="9" t="n">
        <v>84.99784</v>
      </c>
      <c r="M119" s="9" t="inlineStr">
        <is>
          <t>https://www.google.com/maps/place/?q=place_id:ChIJAQAAAFws8zkRjUxU6r2fAys</t>
        </is>
      </c>
    </row>
    <row r="120">
      <c r="A120" s="9" t="n">
        <v>116</v>
      </c>
      <c r="B120" s="9" t="inlineStr">
        <is>
          <t>Bodh Gaya</t>
        </is>
      </c>
      <c r="C120" s="9" t="inlineStr">
        <is>
          <t>Bodh Gaya</t>
        </is>
      </c>
      <c r="D120" s="9" t="inlineStr">
        <is>
          <t>Bihar</t>
        </is>
      </c>
      <c r="E120" s="9" t="inlineStr">
        <is>
          <t>India</t>
        </is>
      </c>
      <c r="F120" s="9" t="n">
        <v>1</v>
      </c>
      <c r="G120" s="9" t="n">
        <v>2</v>
      </c>
      <c r="H120" s="9" t="n">
        <v>1</v>
      </c>
      <c r="I120" s="10" t="n">
        <v>44527</v>
      </c>
      <c r="J120" s="10" t="n">
        <v>44528</v>
      </c>
      <c r="K120" s="9" t="n">
        <v>24.71378</v>
      </c>
      <c r="L120" s="9" t="n">
        <v>84.99836999999999</v>
      </c>
      <c r="M120" s="9" t="inlineStr">
        <is>
          <t>https://www.google.com/maps/place/?q=place_id:ChIJwSFvi20s8zkRIFh1Vz6CCLM</t>
        </is>
      </c>
    </row>
    <row r="121">
      <c r="A121" s="9" t="n">
        <v>117</v>
      </c>
      <c r="B121" s="9" t="inlineStr">
        <is>
          <t>Gaya</t>
        </is>
      </c>
      <c r="C121" s="9" t="inlineStr">
        <is>
          <t>Gaya</t>
        </is>
      </c>
      <c r="D121" s="9" t="inlineStr">
        <is>
          <t>Bihar</t>
        </is>
      </c>
      <c r="E121" s="9" t="inlineStr">
        <is>
          <t>India</t>
        </is>
      </c>
      <c r="F121" s="9" t="n">
        <v>3</v>
      </c>
      <c r="G121" s="9" t="n">
        <v>2</v>
      </c>
      <c r="H121" s="9" t="n">
        <v>1</v>
      </c>
      <c r="I121" s="10" t="n">
        <v>43517</v>
      </c>
      <c r="J121" s="10" t="n">
        <v>43518</v>
      </c>
      <c r="K121" s="9" t="n">
        <v>24.78783</v>
      </c>
      <c r="L121" s="9" t="n">
        <v>84.99414</v>
      </c>
      <c r="M121" s="9" t="inlineStr">
        <is>
          <t>https://www.google.com/maps/place/?q=place_id:ChIJ6XXrBkUq8zkRxv2Qcfoax-M</t>
        </is>
      </c>
    </row>
    <row r="122">
      <c r="A122" s="9" t="n">
        <v>118</v>
      </c>
      <c r="B122" s="9" t="inlineStr">
        <is>
          <t>Gaya</t>
        </is>
      </c>
      <c r="C122" s="9" t="inlineStr">
        <is>
          <t>Gaya</t>
        </is>
      </c>
      <c r="D122" s="9" t="inlineStr">
        <is>
          <t>Bihar</t>
        </is>
      </c>
      <c r="E122" s="9" t="inlineStr">
        <is>
          <t>India</t>
        </is>
      </c>
      <c r="F122" s="9" t="n">
        <v>2</v>
      </c>
      <c r="G122" s="9" t="n">
        <v>2</v>
      </c>
      <c r="H122" s="9" t="n">
        <v>1</v>
      </c>
      <c r="I122" s="10" t="n">
        <v>43517</v>
      </c>
      <c r="J122" s="10" t="n">
        <v>43518</v>
      </c>
      <c r="K122" s="9" t="n">
        <v>24.80328</v>
      </c>
      <c r="L122" s="9" t="n">
        <v>84.99969</v>
      </c>
      <c r="M122" s="9" t="inlineStr">
        <is>
          <t>https://www.google.com/maps/place/?q=place_id:ChIJD1EAfmwq8zkR8_TdhvPqNGU</t>
        </is>
      </c>
    </row>
    <row r="123">
      <c r="A123" s="9" t="n">
        <v>119</v>
      </c>
      <c r="B123" s="9" t="inlineStr">
        <is>
          <t>Gaya</t>
        </is>
      </c>
      <c r="C123" s="9" t="inlineStr">
        <is>
          <t>Gaya</t>
        </is>
      </c>
      <c r="D123" s="9" t="inlineStr">
        <is>
          <t>Bihar</t>
        </is>
      </c>
      <c r="E123" s="9" t="inlineStr">
        <is>
          <t>India</t>
        </is>
      </c>
      <c r="F123" s="9" t="n">
        <v>1</v>
      </c>
      <c r="G123" s="9" t="n">
        <v>1</v>
      </c>
      <c r="H123" s="9" t="n">
        <v>1</v>
      </c>
      <c r="I123" s="10" t="n">
        <v>43517</v>
      </c>
      <c r="J123" s="10" t="n">
        <v>43517</v>
      </c>
      <c r="K123" s="9" t="n">
        <v>24.77746</v>
      </c>
      <c r="L123" s="9" t="n">
        <v>85.00926</v>
      </c>
      <c r="M123" s="9" t="inlineStr">
        <is>
          <t>https://www.google.com/maps/place/?q=place_id:ChIJSzc9ozMq8zkRwklI7oF3xYE</t>
        </is>
      </c>
    </row>
    <row r="124">
      <c r="A124" s="9" t="n">
        <v>120</v>
      </c>
      <c r="B124" s="9" t="inlineStr">
        <is>
          <t>Gaya</t>
        </is>
      </c>
      <c r="C124" s="9" t="inlineStr">
        <is>
          <t>Gaya</t>
        </is>
      </c>
      <c r="D124" s="9" t="inlineStr">
        <is>
          <t>Bihar</t>
        </is>
      </c>
      <c r="E124" s="9" t="inlineStr">
        <is>
          <t>India</t>
        </is>
      </c>
      <c r="F124" s="9" t="n">
        <v>1</v>
      </c>
      <c r="G124" s="9" t="n">
        <v>1</v>
      </c>
      <c r="H124" s="9" t="n">
        <v>1</v>
      </c>
      <c r="I124" s="10" t="n">
        <v>44527</v>
      </c>
      <c r="J124" s="10" t="n">
        <v>44527</v>
      </c>
      <c r="K124" s="9" t="n">
        <v>24.77733</v>
      </c>
      <c r="L124" s="9" t="n">
        <v>85.00922</v>
      </c>
      <c r="M124" s="9" t="inlineStr">
        <is>
          <t>https://www.google.com/maps/place/?q=place_id:ChIJw9IBZpUr8zkR3lN8b8SNAYc</t>
        </is>
      </c>
    </row>
    <row r="125">
      <c r="A125" s="9" t="n">
        <v>121</v>
      </c>
      <c r="B125" s="9" t="inlineStr">
        <is>
          <t>Gaya</t>
        </is>
      </c>
      <c r="C125" s="9" t="inlineStr">
        <is>
          <t>Gaya</t>
        </is>
      </c>
      <c r="D125" s="9" t="inlineStr">
        <is>
          <t>Bihar</t>
        </is>
      </c>
      <c r="E125" s="9" t="inlineStr">
        <is>
          <t>India</t>
        </is>
      </c>
      <c r="F125" s="9" t="n">
        <v>1</v>
      </c>
      <c r="G125" s="9" t="n">
        <v>1</v>
      </c>
      <c r="H125" s="9" t="n">
        <v>1</v>
      </c>
      <c r="I125" s="10" t="n">
        <v>44527</v>
      </c>
      <c r="J125" s="10" t="n">
        <v>44527</v>
      </c>
      <c r="K125" s="9" t="n">
        <v>24.77509</v>
      </c>
      <c r="L125" s="9" t="n">
        <v>85.00230999999999</v>
      </c>
      <c r="M125" s="9" t="inlineStr">
        <is>
          <t>https://www.google.com/maps/place/?q=place_id:ChIJuSW5XzUq8zkR40JjR88pXX4</t>
        </is>
      </c>
    </row>
    <row r="126">
      <c r="A126" s="9" t="n">
        <v>122</v>
      </c>
      <c r="B126" s="9" t="inlineStr">
        <is>
          <t>Phulwari Sharif</t>
        </is>
      </c>
      <c r="C126" s="9" t="inlineStr">
        <is>
          <t>Patna</t>
        </is>
      </c>
      <c r="D126" s="9" t="inlineStr">
        <is>
          <t>Bihar</t>
        </is>
      </c>
      <c r="E126" s="9" t="inlineStr">
        <is>
          <t>India</t>
        </is>
      </c>
      <c r="F126" s="9" t="n">
        <v>3</v>
      </c>
      <c r="G126" s="9" t="n">
        <v>2</v>
      </c>
      <c r="H126" s="9" t="n">
        <v>2</v>
      </c>
      <c r="I126" s="10" t="n">
        <v>43611</v>
      </c>
      <c r="J126" s="10" t="n">
        <v>44528</v>
      </c>
      <c r="K126" s="9" t="n">
        <v>25.59481</v>
      </c>
      <c r="L126" s="9" t="n">
        <v>85.09113000000001</v>
      </c>
      <c r="M126" s="9" t="inlineStr">
        <is>
          <t>https://www.google.com/maps/place/?q=place_id:ChIJVTWh0OdX7TkR1QcP-S7TAQk</t>
        </is>
      </c>
    </row>
    <row r="127">
      <c r="A127" s="9" t="n">
        <v>123</v>
      </c>
      <c r="B127" s="9" t="inlineStr">
        <is>
          <t>Patna</t>
        </is>
      </c>
      <c r="C127" s="9" t="inlineStr">
        <is>
          <t>Patna</t>
        </is>
      </c>
      <c r="D127" s="9" t="inlineStr">
        <is>
          <t>Bihar</t>
        </is>
      </c>
      <c r="E127" s="9" t="inlineStr">
        <is>
          <t>India</t>
        </is>
      </c>
      <c r="F127" s="9" t="n">
        <v>3</v>
      </c>
      <c r="G127" s="9" t="n">
        <v>2</v>
      </c>
      <c r="H127" s="9" t="n">
        <v>2</v>
      </c>
      <c r="I127" s="10" t="n">
        <v>44528</v>
      </c>
      <c r="J127" s="10" t="n">
        <v>44751</v>
      </c>
      <c r="K127" s="9" t="n">
        <v>25.60681</v>
      </c>
      <c r="L127" s="9" t="n">
        <v>85.13342</v>
      </c>
      <c r="M127" s="9" t="inlineStr">
        <is>
          <t>https://www.google.com/maps/place/?q=place_id:ChIJC_YJbe1Y7TkRp8BDZvrnvwI</t>
        </is>
      </c>
    </row>
    <row r="128">
      <c r="A128" s="9" t="n">
        <v>124</v>
      </c>
      <c r="B128" s="9" t="inlineStr">
        <is>
          <t>Patna</t>
        </is>
      </c>
      <c r="C128" s="9" t="inlineStr">
        <is>
          <t>Patna</t>
        </is>
      </c>
      <c r="D128" s="9" t="inlineStr">
        <is>
          <t>Bihar</t>
        </is>
      </c>
      <c r="E128" s="9" t="inlineStr">
        <is>
          <t>India</t>
        </is>
      </c>
      <c r="F128" s="9" t="n">
        <v>1</v>
      </c>
      <c r="G128" s="9" t="n">
        <v>1</v>
      </c>
      <c r="H128" s="9" t="n">
        <v>1</v>
      </c>
      <c r="I128" s="10" t="n">
        <v>44528</v>
      </c>
      <c r="J128" s="10" t="n">
        <v>44528</v>
      </c>
      <c r="K128" s="9" t="n">
        <v>25.58464</v>
      </c>
      <c r="L128" s="9" t="n">
        <v>85.12299</v>
      </c>
      <c r="M128" s="9" t="inlineStr">
        <is>
          <t>https://www.google.com/maps/place/?q=place_id:ChIJ_YKeNApY7TkR9u4N14V-dWk</t>
        </is>
      </c>
    </row>
    <row r="129">
      <c r="A129" s="9" t="n">
        <v>125</v>
      </c>
      <c r="B129" s="9" t="inlineStr">
        <is>
          <t>Sherghati</t>
        </is>
      </c>
      <c r="C129" s="9" t="inlineStr">
        <is>
          <t>Sherghati</t>
        </is>
      </c>
      <c r="D129" s="9" t="inlineStr">
        <is>
          <t>Bihar</t>
        </is>
      </c>
      <c r="E129" s="9" t="inlineStr">
        <is>
          <t>India</t>
        </is>
      </c>
      <c r="F129" s="9" t="n">
        <v>1</v>
      </c>
      <c r="G129" s="9" t="n">
        <v>1</v>
      </c>
      <c r="H129" s="9" t="n">
        <v>1</v>
      </c>
      <c r="I129" s="10" t="n">
        <v>44526</v>
      </c>
      <c r="J129" s="10" t="n">
        <v>44526</v>
      </c>
      <c r="K129" s="9" t="n">
        <v>24.59955</v>
      </c>
      <c r="L129" s="9" t="n">
        <v>84.70283999999999</v>
      </c>
      <c r="M129" s="9" t="inlineStr">
        <is>
          <t>https://www.google.com/maps/place/?q=place_id:ChIJxbFgp73EjDkRrJzzVmOfA7U</t>
        </is>
      </c>
    </row>
    <row r="130">
      <c r="A130" s="9" t="n">
        <v>126</v>
      </c>
      <c r="B130" s="9" t="inlineStr">
        <is>
          <t>Sherghati</t>
        </is>
      </c>
      <c r="C130" s="9" t="inlineStr">
        <is>
          <t>Sherghati</t>
        </is>
      </c>
      <c r="D130" s="9" t="inlineStr">
        <is>
          <t>Bihar</t>
        </is>
      </c>
      <c r="E130" s="9" t="inlineStr">
        <is>
          <t>India</t>
        </is>
      </c>
      <c r="F130" s="9" t="n">
        <v>1</v>
      </c>
      <c r="G130" s="9" t="n">
        <v>1</v>
      </c>
      <c r="H130" s="9" t="n">
        <v>1</v>
      </c>
      <c r="I130" s="10" t="n">
        <v>44526</v>
      </c>
      <c r="J130" s="10" t="n">
        <v>44526</v>
      </c>
      <c r="K130" s="9" t="n">
        <v>24.5442</v>
      </c>
      <c r="L130" s="9" t="n">
        <v>84.87432</v>
      </c>
      <c r="M130" s="9" t="inlineStr">
        <is>
          <t>https://www.google.com/maps/place/?q=place_id:ChIJ-dDQeRLMjDkROSJ2s6bJ7AY</t>
        </is>
      </c>
    </row>
    <row r="131">
      <c r="A131" s="9" t="n">
        <v>127</v>
      </c>
      <c r="B131" s="9" t="inlineStr">
        <is>
          <t>Sherghati</t>
        </is>
      </c>
      <c r="C131" s="9" t="inlineStr">
        <is>
          <t>Sherghati</t>
        </is>
      </c>
      <c r="D131" s="9" t="inlineStr">
        <is>
          <t>Bihar</t>
        </is>
      </c>
      <c r="E131" s="9" t="inlineStr">
        <is>
          <t>India</t>
        </is>
      </c>
      <c r="F131" s="9" t="n">
        <v>1</v>
      </c>
      <c r="G131" s="9" t="n">
        <v>1</v>
      </c>
      <c r="H131" s="9" t="n">
        <v>1</v>
      </c>
      <c r="I131" s="10" t="n">
        <v>44526</v>
      </c>
      <c r="J131" s="10" t="n">
        <v>44526</v>
      </c>
      <c r="K131" s="9" t="n">
        <v>24.54099</v>
      </c>
      <c r="L131" s="9" t="n">
        <v>84.88337</v>
      </c>
      <c r="M131" s="9" t="inlineStr">
        <is>
          <t>https://www.google.com/maps/place/?q=place_id:ChIJOUbGenHMjDkRVirMGJUP--4</t>
        </is>
      </c>
    </row>
    <row r="132">
      <c r="A132" s="9" t="n">
        <v>128</v>
      </c>
      <c r="B132" s="9" t="inlineStr">
        <is>
          <t>Sitamarhi</t>
        </is>
      </c>
      <c r="C132" s="9" t="inlineStr">
        <is>
          <t>Sitamarhi</t>
        </is>
      </c>
      <c r="D132" s="9" t="inlineStr">
        <is>
          <t>Bihar</t>
        </is>
      </c>
      <c r="E132" s="9" t="inlineStr">
        <is>
          <t>India</t>
        </is>
      </c>
      <c r="F132" s="9" t="n">
        <v>1</v>
      </c>
      <c r="G132" s="9" t="n">
        <v>1</v>
      </c>
      <c r="H132" s="9" t="n">
        <v>1</v>
      </c>
      <c r="I132" s="10" t="n">
        <v>43611</v>
      </c>
      <c r="J132" s="10" t="n">
        <v>43611</v>
      </c>
      <c r="K132" s="9" t="n">
        <v>26.59291</v>
      </c>
      <c r="L132" s="9" t="n">
        <v>85.48381000000001</v>
      </c>
      <c r="M132" s="9" t="inlineStr">
        <is>
          <t>https://www.google.com/maps/place/?q=place_id:ChIJBU1LgAbx7DkRait-KzZ8uT4</t>
        </is>
      </c>
    </row>
    <row r="133">
      <c r="A133" s="9" t="n">
        <v>129</v>
      </c>
      <c r="B133" s="9" t="inlineStr">
        <is>
          <t>Durg</t>
        </is>
      </c>
      <c r="C133" s="9" t="inlineStr">
        <is>
          <t>Bhilai</t>
        </is>
      </c>
      <c r="D133" s="9" t="inlineStr">
        <is>
          <t>Chhattisgarh</t>
        </is>
      </c>
      <c r="E133" s="9" t="inlineStr">
        <is>
          <t>India</t>
        </is>
      </c>
      <c r="F133" s="9" t="n">
        <v>1</v>
      </c>
      <c r="G133" s="9" t="n">
        <v>1</v>
      </c>
      <c r="H133" s="9" t="n">
        <v>1</v>
      </c>
      <c r="I133" s="10" t="n">
        <v>43516</v>
      </c>
      <c r="J133" s="10" t="n">
        <v>43516</v>
      </c>
      <c r="K133" s="9" t="n">
        <v>21.20026</v>
      </c>
      <c r="L133" s="9" t="n">
        <v>81.29192999999999</v>
      </c>
      <c r="M133" s="9" t="inlineStr">
        <is>
          <t>https://www.google.com/maps/place/?q=place_id:ChIJAXZMYlQ8KToRjixdFmAVGHs</t>
        </is>
      </c>
    </row>
    <row r="134">
      <c r="A134" s="9" t="n">
        <v>130</v>
      </c>
      <c r="B134" s="9" t="inlineStr">
        <is>
          <t>Diu</t>
        </is>
      </c>
      <c r="C134" s="9" t="inlineStr">
        <is>
          <t>Diu</t>
        </is>
      </c>
      <c r="D134" s="9" t="inlineStr">
        <is>
          <t>Dadra and Nagar Haveli and Daman and Diu</t>
        </is>
      </c>
      <c r="E134" s="9" t="inlineStr">
        <is>
          <t>India</t>
        </is>
      </c>
      <c r="F134" s="9" t="n">
        <v>1</v>
      </c>
      <c r="G134" s="9" t="n">
        <v>1</v>
      </c>
      <c r="H134" s="9" t="n">
        <v>1</v>
      </c>
      <c r="I134" s="10" t="n">
        <v>45687</v>
      </c>
      <c r="J134" s="10" t="n">
        <v>45687</v>
      </c>
      <c r="K134" s="9" t="n">
        <v>20.71331</v>
      </c>
      <c r="L134" s="9" t="n">
        <v>70.92507999999999</v>
      </c>
      <c r="M134" s="9" t="inlineStr">
        <is>
          <t>https://www.google.com/maps/place/?q=place_id:ChIJvxfG7jIc4zsRf2qqrx147tg</t>
        </is>
      </c>
    </row>
    <row r="135">
      <c r="A135" s="9" t="n">
        <v>131</v>
      </c>
      <c r="B135" s="9" t="inlineStr">
        <is>
          <t>Tighri</t>
        </is>
      </c>
      <c r="C135" s="9" t="inlineStr">
        <is>
          <t>Delhi</t>
        </is>
      </c>
      <c r="D135" s="9" t="inlineStr">
        <is>
          <t>Delhi</t>
        </is>
      </c>
      <c r="E135" s="9" t="inlineStr">
        <is>
          <t>India</t>
        </is>
      </c>
      <c r="F135" s="9" t="n">
        <v>5</v>
      </c>
      <c r="G135" s="9" t="n">
        <v>4</v>
      </c>
      <c r="H135" s="9" t="n">
        <v>3</v>
      </c>
      <c r="I135" s="10" t="n">
        <v>43531</v>
      </c>
      <c r="J135" s="10" t="n">
        <v>43612</v>
      </c>
      <c r="K135" s="9" t="n">
        <v>28.55594</v>
      </c>
      <c r="L135" s="9" t="n">
        <v>77.25375</v>
      </c>
      <c r="M135" s="9" t="inlineStr">
        <is>
          <t>https://www.google.com/maps/place/?q=place_id:ChIJo2P1ucfjDDkR5R-KouH4wNc</t>
        </is>
      </c>
    </row>
    <row r="136">
      <c r="A136" s="9" t="n">
        <v>132</v>
      </c>
      <c r="B136" s="9" t="inlineStr">
        <is>
          <t>Tighri</t>
        </is>
      </c>
      <c r="C136" s="9" t="inlineStr">
        <is>
          <t>Delhi</t>
        </is>
      </c>
      <c r="D136" s="9" t="inlineStr">
        <is>
          <t>Delhi</t>
        </is>
      </c>
      <c r="E136" s="9" t="inlineStr">
        <is>
          <t>India</t>
        </is>
      </c>
      <c r="F136" s="9" t="n">
        <v>4</v>
      </c>
      <c r="G136" s="9" t="n">
        <v>3</v>
      </c>
      <c r="H136" s="9" t="n">
        <v>2</v>
      </c>
      <c r="I136" s="10" t="n">
        <v>44388</v>
      </c>
      <c r="J136" s="10" t="n">
        <v>44691</v>
      </c>
      <c r="K136" s="9" t="n">
        <v>28.5562</v>
      </c>
      <c r="L136" s="9" t="n">
        <v>77.25389</v>
      </c>
      <c r="M136" s="9" t="inlineStr">
        <is>
          <t>https://www.google.com/maps/place/?q=place_id:ChIJn-cqslTiDDkRvx76S8NxV_I</t>
        </is>
      </c>
    </row>
    <row r="137">
      <c r="A137" s="9" t="n">
        <v>133</v>
      </c>
      <c r="B137" s="9" t="inlineStr">
        <is>
          <t>Tighri</t>
        </is>
      </c>
      <c r="C137" s="9" t="inlineStr">
        <is>
          <t>Delhi</t>
        </is>
      </c>
      <c r="D137" s="9" t="inlineStr">
        <is>
          <t>Delhi</t>
        </is>
      </c>
      <c r="E137" s="9" t="inlineStr">
        <is>
          <t>India</t>
        </is>
      </c>
      <c r="F137" s="9" t="n">
        <v>2</v>
      </c>
      <c r="G137" s="9" t="n">
        <v>2</v>
      </c>
      <c r="H137" s="9" t="n">
        <v>2</v>
      </c>
      <c r="I137" s="10" t="n">
        <v>43531</v>
      </c>
      <c r="J137" s="10" t="n">
        <v>44691</v>
      </c>
      <c r="K137" s="9" t="n">
        <v>28.55539</v>
      </c>
      <c r="L137" s="9" t="n">
        <v>77.24195</v>
      </c>
      <c r="M137" s="9" t="inlineStr">
        <is>
          <t>https://www.google.com/maps/place/?q=place_id:ChIJa6wLwsrjDDkRRq-F0ZEO90k</t>
        </is>
      </c>
    </row>
    <row r="138">
      <c r="A138" s="9" t="n">
        <v>134</v>
      </c>
      <c r="B138" s="9" t="inlineStr">
        <is>
          <t>Delhi</t>
        </is>
      </c>
      <c r="C138" s="9" t="inlineStr">
        <is>
          <t>Delhi</t>
        </is>
      </c>
      <c r="D138" s="9" t="inlineStr">
        <is>
          <t>Delhi</t>
        </is>
      </c>
      <c r="E138" s="9" t="inlineStr">
        <is>
          <t>India</t>
        </is>
      </c>
      <c r="F138" s="9" t="n">
        <v>2</v>
      </c>
      <c r="G138" s="9" t="n">
        <v>2</v>
      </c>
      <c r="H138" s="9" t="n">
        <v>2</v>
      </c>
      <c r="I138" s="10" t="n">
        <v>43643</v>
      </c>
      <c r="J138" s="10" t="n">
        <v>43657</v>
      </c>
      <c r="K138" s="9" t="n">
        <v>28.66096</v>
      </c>
      <c r="L138" s="9" t="n">
        <v>77.22768000000001</v>
      </c>
      <c r="M138" s="9" t="inlineStr">
        <is>
          <t>https://www.google.com/maps/place/?q=place_id:ChIJ03AFdA_9DDkRuW2vyViPeAs</t>
        </is>
      </c>
    </row>
    <row r="139">
      <c r="A139" s="9" t="n">
        <v>135</v>
      </c>
      <c r="B139" s="9" t="inlineStr">
        <is>
          <t>Delhi</t>
        </is>
      </c>
      <c r="C139" s="9" t="inlineStr">
        <is>
          <t>Delhi</t>
        </is>
      </c>
      <c r="D139" s="9" t="inlineStr">
        <is>
          <t>Delhi</t>
        </is>
      </c>
      <c r="E139" s="9" t="inlineStr">
        <is>
          <t>India</t>
        </is>
      </c>
      <c r="F139" s="9" t="n">
        <v>1</v>
      </c>
      <c r="G139" s="9" t="n">
        <v>1</v>
      </c>
      <c r="H139" s="9" t="n">
        <v>1</v>
      </c>
      <c r="I139" s="10" t="n">
        <v>43612</v>
      </c>
      <c r="J139" s="10" t="n">
        <v>43612</v>
      </c>
      <c r="K139" s="9" t="n">
        <v>28.6418</v>
      </c>
      <c r="L139" s="9" t="n">
        <v>77.22175</v>
      </c>
      <c r="M139" s="9" t="inlineStr">
        <is>
          <t>https://www.google.com/maps/place/?q=place_id:ChIJBXs6ETz9DDkRFllm4f46kfg</t>
        </is>
      </c>
    </row>
    <row r="140">
      <c r="A140" s="9" t="n">
        <v>136</v>
      </c>
      <c r="B140" s="9" t="inlineStr">
        <is>
          <t>Gharonda Neemka Bangar</t>
        </is>
      </c>
      <c r="C140" s="9" t="inlineStr">
        <is>
          <t>Delhi</t>
        </is>
      </c>
      <c r="D140" s="9" t="inlineStr">
        <is>
          <t>Delhi</t>
        </is>
      </c>
      <c r="E140" s="9" t="inlineStr">
        <is>
          <t>India</t>
        </is>
      </c>
      <c r="F140" s="9" t="n">
        <v>1</v>
      </c>
      <c r="G140" s="9" t="n">
        <v>1</v>
      </c>
      <c r="H140" s="9" t="n">
        <v>1</v>
      </c>
      <c r="I140" s="10" t="n">
        <v>43612</v>
      </c>
      <c r="J140" s="10" t="n">
        <v>43612</v>
      </c>
      <c r="K140" s="9" t="n">
        <v>28.58901</v>
      </c>
      <c r="L140" s="9" t="n">
        <v>77.25364999999999</v>
      </c>
      <c r="M140" s="9" t="inlineStr">
        <is>
          <t>https://www.google.com/maps/place/?q=place_id:ChIJlxEKDw_jDDkREk3nwomkhSU</t>
        </is>
      </c>
    </row>
    <row r="141">
      <c r="A141" s="9" t="n">
        <v>137</v>
      </c>
      <c r="B141" s="9" t="inlineStr">
        <is>
          <t>Gharonda Neemka Bangar</t>
        </is>
      </c>
      <c r="C141" s="9" t="inlineStr">
        <is>
          <t>Delhi</t>
        </is>
      </c>
      <c r="D141" s="9" t="inlineStr">
        <is>
          <t>Delhi</t>
        </is>
      </c>
      <c r="E141" s="9" t="inlineStr">
        <is>
          <t>India</t>
        </is>
      </c>
      <c r="F141" s="9" t="n">
        <v>1</v>
      </c>
      <c r="G141" s="9" t="n">
        <v>1</v>
      </c>
      <c r="H141" s="9" t="n">
        <v>1</v>
      </c>
      <c r="I141" s="10" t="n">
        <v>43734</v>
      </c>
      <c r="J141" s="10" t="n">
        <v>43734</v>
      </c>
      <c r="K141" s="9" t="n">
        <v>28.61791</v>
      </c>
      <c r="L141" s="9" t="n">
        <v>77.27929</v>
      </c>
      <c r="M141" s="9" t="inlineStr">
        <is>
          <t>https://www.google.com/maps/place/?q=place_id:ChIJ5V1WpFDjDDkRqvD3ci_iunk</t>
        </is>
      </c>
    </row>
    <row r="142">
      <c r="A142" s="9" t="n">
        <v>138</v>
      </c>
      <c r="B142" s="9" t="inlineStr">
        <is>
          <t>Tighri</t>
        </is>
      </c>
      <c r="C142" s="9" t="inlineStr">
        <is>
          <t>Delhi</t>
        </is>
      </c>
      <c r="D142" s="9" t="inlineStr">
        <is>
          <t>Delhi</t>
        </is>
      </c>
      <c r="E142" s="9" t="inlineStr">
        <is>
          <t>India</t>
        </is>
      </c>
      <c r="F142" s="9" t="n">
        <v>1</v>
      </c>
      <c r="G142" s="9" t="n">
        <v>1</v>
      </c>
      <c r="H142" s="9" t="n">
        <v>1</v>
      </c>
      <c r="I142" s="10" t="n">
        <v>44690</v>
      </c>
      <c r="J142" s="10" t="n">
        <v>44690</v>
      </c>
      <c r="K142" s="9" t="n">
        <v>28.56257</v>
      </c>
      <c r="L142" s="9" t="n">
        <v>77.24445</v>
      </c>
      <c r="M142" s="9" t="inlineStr">
        <is>
          <t>https://www.google.com/maps/place/?q=place_id:ChIJXRehdrTjDDkRDsz0H-4vqjI</t>
        </is>
      </c>
    </row>
    <row r="143">
      <c r="A143" s="9" t="n">
        <v>139</v>
      </c>
      <c r="B143" s="9" t="inlineStr">
        <is>
          <t>Tighri</t>
        </is>
      </c>
      <c r="C143" s="9" t="inlineStr">
        <is>
          <t>Delhi</t>
        </is>
      </c>
      <c r="D143" s="9" t="inlineStr">
        <is>
          <t>Delhi</t>
        </is>
      </c>
      <c r="E143" s="9" t="inlineStr">
        <is>
          <t>India</t>
        </is>
      </c>
      <c r="F143" s="9" t="n">
        <v>1</v>
      </c>
      <c r="G143" s="9" t="n">
        <v>1</v>
      </c>
      <c r="H143" s="9" t="n">
        <v>1</v>
      </c>
      <c r="I143" s="10" t="n">
        <v>44691</v>
      </c>
      <c r="J143" s="10" t="n">
        <v>44691</v>
      </c>
      <c r="K143" s="9" t="n">
        <v>28.55346</v>
      </c>
      <c r="L143" s="9" t="n">
        <v>77.25047000000001</v>
      </c>
      <c r="M143" s="9" t="inlineStr">
        <is>
          <t>https://www.google.com/maps/place/?q=place_id:ChIJVVVV5cjjDDkRBov5gMhf7eY</t>
        </is>
      </c>
    </row>
    <row r="144">
      <c r="A144" s="9" t="n">
        <v>140</v>
      </c>
      <c r="B144" s="9" t="inlineStr">
        <is>
          <t>Tighri</t>
        </is>
      </c>
      <c r="C144" s="9" t="inlineStr">
        <is>
          <t>Delhi</t>
        </is>
      </c>
      <c r="D144" s="9" t="inlineStr">
        <is>
          <t>Delhi</t>
        </is>
      </c>
      <c r="E144" s="9" t="inlineStr">
        <is>
          <t>India</t>
        </is>
      </c>
      <c r="F144" s="9" t="n">
        <v>1</v>
      </c>
      <c r="G144" s="9" t="n">
        <v>1</v>
      </c>
      <c r="H144" s="9" t="n">
        <v>1</v>
      </c>
      <c r="I144" s="10" t="n">
        <v>44691</v>
      </c>
      <c r="J144" s="10" t="n">
        <v>44691</v>
      </c>
      <c r="K144" s="9" t="n">
        <v>28.52672</v>
      </c>
      <c r="L144" s="9" t="n">
        <v>77.23197</v>
      </c>
      <c r="M144" s="9" t="inlineStr">
        <is>
          <t>https://www.google.com/maps/place/?q=place_id:ChIJCyHpe8ThDDkRnK1305p416w</t>
        </is>
      </c>
    </row>
    <row r="145">
      <c r="A145" s="9" t="n">
        <v>141</v>
      </c>
      <c r="B145" s="9" t="inlineStr">
        <is>
          <t>Muradabad Pahari</t>
        </is>
      </c>
      <c r="C145" s="9" t="inlineStr">
        <is>
          <t>Karol Bagh</t>
        </is>
      </c>
      <c r="D145" s="9" t="inlineStr">
        <is>
          <t>Delhi</t>
        </is>
      </c>
      <c r="E145" s="9" t="inlineStr">
        <is>
          <t>India</t>
        </is>
      </c>
      <c r="F145" s="9" t="n">
        <v>2</v>
      </c>
      <c r="G145" s="9" t="n">
        <v>1</v>
      </c>
      <c r="H145" s="9" t="n">
        <v>1</v>
      </c>
      <c r="I145" s="10" t="n">
        <v>43643</v>
      </c>
      <c r="J145" s="10" t="n">
        <v>43643</v>
      </c>
      <c r="K145" s="9" t="n">
        <v>28.57224</v>
      </c>
      <c r="L145" s="9" t="n">
        <v>77.16154</v>
      </c>
      <c r="M145" s="9" t="inlineStr">
        <is>
          <t>https://www.google.com/maps/place/?q=place_id:ChIJqwkRIAgdDTkRgHF1QVOOQKk</t>
        </is>
      </c>
    </row>
    <row r="146">
      <c r="A146" s="9" t="n">
        <v>142</v>
      </c>
      <c r="B146" s="9" t="inlineStr">
        <is>
          <t>Muradabad Pahari</t>
        </is>
      </c>
      <c r="C146" s="9" t="inlineStr">
        <is>
          <t>Karol Bagh</t>
        </is>
      </c>
      <c r="D146" s="9" t="inlineStr">
        <is>
          <t>Delhi</t>
        </is>
      </c>
      <c r="E146" s="9" t="inlineStr">
        <is>
          <t>India</t>
        </is>
      </c>
      <c r="F146" s="9" t="n">
        <v>1</v>
      </c>
      <c r="G146" s="9" t="n">
        <v>1</v>
      </c>
      <c r="H146" s="9" t="n">
        <v>1</v>
      </c>
      <c r="I146" s="10" t="n">
        <v>43531</v>
      </c>
      <c r="J146" s="10" t="n">
        <v>43531</v>
      </c>
      <c r="K146" s="9" t="n">
        <v>28.59186</v>
      </c>
      <c r="L146" s="9" t="n">
        <v>77.1617</v>
      </c>
      <c r="M146" s="9" t="inlineStr">
        <is>
          <t>https://www.google.com/maps/place/?q=place_id:ChIJa2MBDBcdDTkR7lksGeMs6WI</t>
        </is>
      </c>
    </row>
    <row r="147">
      <c r="A147" s="9" t="n">
        <v>143</v>
      </c>
      <c r="B147" s="9" t="inlineStr">
        <is>
          <t>Kusum Pur</t>
        </is>
      </c>
      <c r="C147" s="9" t="inlineStr">
        <is>
          <t>Karol Bagh</t>
        </is>
      </c>
      <c r="D147" s="9" t="inlineStr">
        <is>
          <t>Delhi</t>
        </is>
      </c>
      <c r="E147" s="9" t="inlineStr">
        <is>
          <t>India</t>
        </is>
      </c>
      <c r="F147" s="9" t="n">
        <v>1</v>
      </c>
      <c r="G147" s="9" t="n">
        <v>1</v>
      </c>
      <c r="H147" s="9" t="n">
        <v>1</v>
      </c>
      <c r="I147" s="10" t="n">
        <v>43643</v>
      </c>
      <c r="J147" s="10" t="n">
        <v>43643</v>
      </c>
      <c r="K147" s="9" t="n">
        <v>28.53727</v>
      </c>
      <c r="L147" s="9" t="n">
        <v>77.14413</v>
      </c>
      <c r="M147" s="9" t="inlineStr">
        <is>
          <t>https://www.google.com/maps/place/?q=place_id:ChIJmZQOztIdDTkRP7F2TwIcXdg</t>
        </is>
      </c>
    </row>
    <row r="148">
      <c r="A148" s="9" t="n">
        <v>144</v>
      </c>
      <c r="B148" s="9" t="inlineStr">
        <is>
          <t>Karol Bagh</t>
        </is>
      </c>
      <c r="C148" s="9" t="inlineStr">
        <is>
          <t>Karol Bagh</t>
        </is>
      </c>
      <c r="D148" s="9" t="inlineStr">
        <is>
          <t>Delhi</t>
        </is>
      </c>
      <c r="E148" s="9" t="inlineStr">
        <is>
          <t>India</t>
        </is>
      </c>
      <c r="F148" s="9" t="n">
        <v>1</v>
      </c>
      <c r="G148" s="9" t="n">
        <v>1</v>
      </c>
      <c r="H148" s="9" t="n">
        <v>1</v>
      </c>
      <c r="I148" s="10" t="n">
        <v>44866</v>
      </c>
      <c r="J148" s="10" t="n">
        <v>44866</v>
      </c>
      <c r="K148" s="9" t="n">
        <v>28.67978</v>
      </c>
      <c r="L148" s="9" t="n">
        <v>77.16280999999999</v>
      </c>
      <c r="M148" s="9" t="inlineStr">
        <is>
          <t>https://www.google.com/maps/place/?q=place_id:ChIJTfSuNkQCDTkRF0fFobxoveU</t>
        </is>
      </c>
    </row>
    <row r="149">
      <c r="A149" s="9" t="n">
        <v>145</v>
      </c>
      <c r="B149" s="9" t="inlineStr">
        <is>
          <t>Kusum Pur</t>
        </is>
      </c>
      <c r="C149" s="9" t="inlineStr">
        <is>
          <t>Karol Bagh</t>
        </is>
      </c>
      <c r="D149" s="9" t="inlineStr">
        <is>
          <t>Delhi</t>
        </is>
      </c>
      <c r="E149" s="9" t="inlineStr">
        <is>
          <t>India</t>
        </is>
      </c>
      <c r="F149" s="9" t="n">
        <v>1</v>
      </c>
      <c r="G149" s="9" t="n">
        <v>1</v>
      </c>
      <c r="H149" s="9" t="n">
        <v>1</v>
      </c>
      <c r="I149" s="10" t="n">
        <v>45576</v>
      </c>
      <c r="J149" s="10" t="n">
        <v>45576</v>
      </c>
      <c r="K149" s="9" t="n">
        <v>28.56993</v>
      </c>
      <c r="L149" s="9" t="n">
        <v>77.19658</v>
      </c>
      <c r="M149" s="9" t="inlineStr">
        <is>
          <t>https://www.google.com/maps/place/?q=place_id:ChIJXRboSHniDDkR_GmwS_SMpow</t>
        </is>
      </c>
    </row>
    <row r="150">
      <c r="A150" s="9" t="n">
        <v>146</v>
      </c>
      <c r="B150" s="9" t="inlineStr">
        <is>
          <t>Raja Pur Khurd</t>
        </is>
      </c>
      <c r="C150" s="9" t="inlineStr">
        <is>
          <t>Najafgarh</t>
        </is>
      </c>
      <c r="D150" s="9" t="inlineStr">
        <is>
          <t>Delhi</t>
        </is>
      </c>
      <c r="E150" s="9" t="inlineStr">
        <is>
          <t>India</t>
        </is>
      </c>
      <c r="F150" s="9" t="n">
        <v>1</v>
      </c>
      <c r="G150" s="9" t="n">
        <v>1</v>
      </c>
      <c r="H150" s="9" t="n">
        <v>1</v>
      </c>
      <c r="I150" s="10" t="n">
        <v>43643</v>
      </c>
      <c r="J150" s="10" t="n">
        <v>43643</v>
      </c>
      <c r="K150" s="9" t="n">
        <v>28.6007</v>
      </c>
      <c r="L150" s="9" t="n">
        <v>77.03666</v>
      </c>
      <c r="M150" s="9" t="inlineStr">
        <is>
          <t>https://www.google.com/maps/place/?q=place_id:ChIJcz-HyMoaDTkRPAmnaT7mVCo</t>
        </is>
      </c>
    </row>
    <row r="151">
      <c r="A151" s="9" t="n">
        <v>147</v>
      </c>
      <c r="B151" s="9" t="inlineStr">
        <is>
          <t>Raja Pur Khurd</t>
        </is>
      </c>
      <c r="C151" s="9" t="inlineStr">
        <is>
          <t>Najafgarh</t>
        </is>
      </c>
      <c r="D151" s="9" t="inlineStr">
        <is>
          <t>Delhi</t>
        </is>
      </c>
      <c r="E151" s="9" t="inlineStr">
        <is>
          <t>India</t>
        </is>
      </c>
      <c r="F151" s="9" t="n">
        <v>1</v>
      </c>
      <c r="G151" s="9" t="n">
        <v>1</v>
      </c>
      <c r="H151" s="9" t="n">
        <v>1</v>
      </c>
      <c r="I151" s="10" t="n">
        <v>44388</v>
      </c>
      <c r="J151" s="10" t="n">
        <v>44388</v>
      </c>
      <c r="K151" s="9" t="n">
        <v>28.59866</v>
      </c>
      <c r="L151" s="9" t="n">
        <v>77.03485999999999</v>
      </c>
      <c r="M151" s="9" t="inlineStr">
        <is>
          <t>https://www.google.com/maps/place/?q=place_id:ChIJzyGoM94bDTkRCN0Y4839RXg</t>
        </is>
      </c>
    </row>
    <row r="152">
      <c r="A152" s="9" t="n">
        <v>148</v>
      </c>
      <c r="B152" s="9" t="inlineStr">
        <is>
          <t>Sonipat</t>
        </is>
      </c>
      <c r="C152" s="9" t="inlineStr">
        <is>
          <t>Narela</t>
        </is>
      </c>
      <c r="D152" s="9" t="inlineStr">
        <is>
          <t>Delhi</t>
        </is>
      </c>
      <c r="E152" s="9" t="inlineStr">
        <is>
          <t>India</t>
        </is>
      </c>
      <c r="F152" s="9" t="n">
        <v>1</v>
      </c>
      <c r="G152" s="9" t="n">
        <v>1</v>
      </c>
      <c r="H152" s="9" t="n">
        <v>1</v>
      </c>
      <c r="I152" s="10" t="n">
        <v>44865</v>
      </c>
      <c r="J152" s="10" t="n">
        <v>44865</v>
      </c>
      <c r="K152" s="9" t="n">
        <v>29.0312</v>
      </c>
      <c r="L152" s="9" t="n">
        <v>77.07174000000001</v>
      </c>
      <c r="M152" s="9" t="inlineStr">
        <is>
          <t>https://www.google.com/maps/place/?q=place_id:ChIJL7TQaBGwDTkR7_HLe9rgeHY</t>
        </is>
      </c>
    </row>
    <row r="153">
      <c r="A153" s="9" t="n">
        <v>149</v>
      </c>
      <c r="B153" s="9" t="inlineStr">
        <is>
          <t>Bopal</t>
        </is>
      </c>
      <c r="C153" s="9" t="inlineStr">
        <is>
          <t>Ahmedabad</t>
        </is>
      </c>
      <c r="D153" s="9" t="inlineStr">
        <is>
          <t>Gujarat</t>
        </is>
      </c>
      <c r="E153" s="9" t="inlineStr">
        <is>
          <t>India</t>
        </is>
      </c>
      <c r="F153" s="9" t="n">
        <v>19</v>
      </c>
      <c r="G153" s="9" t="n">
        <v>20</v>
      </c>
      <c r="H153" s="9" t="n">
        <v>5</v>
      </c>
      <c r="I153" s="10" t="n">
        <v>42930</v>
      </c>
      <c r="J153" s="10" t="n">
        <v>45254</v>
      </c>
      <c r="K153" s="9" t="n">
        <v>23.09857</v>
      </c>
      <c r="L153" s="9" t="n">
        <v>72.45766</v>
      </c>
      <c r="M153" s="9" t="inlineStr">
        <is>
          <t>https://www.google.com/maps/place/?q=place_id:ChIJkRlyALOdXjkR62v81o5SdOU</t>
        </is>
      </c>
    </row>
    <row r="154">
      <c r="A154" s="9" t="n">
        <v>150</v>
      </c>
      <c r="B154" s="9" t="inlineStr">
        <is>
          <t>Ahmedabad</t>
        </is>
      </c>
      <c r="C154" s="9" t="inlineStr">
        <is>
          <t>Ahmedabad</t>
        </is>
      </c>
      <c r="D154" s="9" t="inlineStr">
        <is>
          <t>Gujarat</t>
        </is>
      </c>
      <c r="E154" s="9" t="inlineStr">
        <is>
          <t>India</t>
        </is>
      </c>
      <c r="F154" s="9" t="n">
        <v>4</v>
      </c>
      <c r="G154" s="9" t="n">
        <v>4</v>
      </c>
      <c r="H154" s="9" t="n">
        <v>4</v>
      </c>
      <c r="I154" s="10" t="n">
        <v>43867</v>
      </c>
      <c r="J154" s="10" t="n">
        <v>45687</v>
      </c>
      <c r="K154" s="9" t="n">
        <v>23.0764</v>
      </c>
      <c r="L154" s="9" t="n">
        <v>72.631</v>
      </c>
      <c r="M154" s="9" t="inlineStr">
        <is>
          <t>https://www.google.com/maps/place/?q=place_id:ChIJhewEl06BXjkReqSbqeUA3ZA</t>
        </is>
      </c>
    </row>
    <row r="155">
      <c r="A155" s="9" t="n">
        <v>151</v>
      </c>
      <c r="B155" s="9" t="inlineStr">
        <is>
          <t>Bopal</t>
        </is>
      </c>
      <c r="C155" s="9" t="inlineStr">
        <is>
          <t>Ahmedabad</t>
        </is>
      </c>
      <c r="D155" s="9" t="inlineStr">
        <is>
          <t>Gujarat</t>
        </is>
      </c>
      <c r="E155" s="9" t="inlineStr">
        <is>
          <t>India</t>
        </is>
      </c>
      <c r="F155" s="9" t="n">
        <v>2</v>
      </c>
      <c r="G155" s="9" t="n">
        <v>2</v>
      </c>
      <c r="H155" s="9" t="n">
        <v>1</v>
      </c>
      <c r="I155" s="10" t="n">
        <v>43838</v>
      </c>
      <c r="J155" s="10" t="n">
        <v>43839</v>
      </c>
      <c r="K155" s="9" t="n">
        <v>23.09869</v>
      </c>
      <c r="L155" s="9" t="n">
        <v>72.45672999999999</v>
      </c>
      <c r="M155" s="9" t="inlineStr">
        <is>
          <t>https://www.google.com/maps/place/?q=place_id:ChIJgxVE1rGcXjkRFZ-cf6uKOW0</t>
        </is>
      </c>
    </row>
    <row r="156">
      <c r="A156" s="9" t="n">
        <v>152</v>
      </c>
      <c r="B156" s="9" t="inlineStr">
        <is>
          <t>Sarkhej</t>
        </is>
      </c>
      <c r="C156" s="9" t="inlineStr">
        <is>
          <t>Ahmedabad</t>
        </is>
      </c>
      <c r="D156" s="9" t="inlineStr">
        <is>
          <t>Gujarat</t>
        </is>
      </c>
      <c r="E156" s="9" t="inlineStr">
        <is>
          <t>India</t>
        </is>
      </c>
      <c r="F156" s="9" t="n">
        <v>2</v>
      </c>
      <c r="G156" s="9" t="n">
        <v>2</v>
      </c>
      <c r="H156" s="9" t="n">
        <v>2</v>
      </c>
      <c r="I156" s="10" t="n">
        <v>43872</v>
      </c>
      <c r="J156" s="10" t="n">
        <v>43875</v>
      </c>
      <c r="K156" s="9" t="n">
        <v>22.95272</v>
      </c>
      <c r="L156" s="9" t="n">
        <v>72.46801000000001</v>
      </c>
      <c r="M156" s="9" t="inlineStr">
        <is>
          <t>https://www.google.com/maps/place/?q=place_id:ChIJVZ6HsoaQXjkRiWMJanPIau8</t>
        </is>
      </c>
    </row>
    <row r="157">
      <c r="A157" s="9" t="n">
        <v>153</v>
      </c>
      <c r="B157" s="9" t="inlineStr">
        <is>
          <t>Ahmedabad</t>
        </is>
      </c>
      <c r="C157" s="9" t="inlineStr">
        <is>
          <t>Ahmedabad</t>
        </is>
      </c>
      <c r="D157" s="9" t="inlineStr">
        <is>
          <t>Gujarat</t>
        </is>
      </c>
      <c r="E157" s="9" t="inlineStr">
        <is>
          <t>India</t>
        </is>
      </c>
      <c r="F157" s="9" t="n">
        <v>1</v>
      </c>
      <c r="G157" s="9" t="n">
        <v>1</v>
      </c>
      <c r="H157" s="9" t="n">
        <v>1</v>
      </c>
      <c r="I157" s="10" t="n">
        <v>43838</v>
      </c>
      <c r="J157" s="10" t="n">
        <v>43838</v>
      </c>
      <c r="K157" s="9" t="n">
        <v>23.11125</v>
      </c>
      <c r="L157" s="9" t="n">
        <v>72.63126</v>
      </c>
      <c r="M157" s="9" t="inlineStr">
        <is>
          <t>https://www.google.com/maps/place/?q=place_id:ChIJvcU463aBXjkRGvUcSmWX2as</t>
        </is>
      </c>
    </row>
    <row r="158">
      <c r="A158" s="9" t="n">
        <v>154</v>
      </c>
      <c r="B158" s="9" t="inlineStr">
        <is>
          <t>Bopal</t>
        </is>
      </c>
      <c r="C158" s="9" t="inlineStr">
        <is>
          <t>Ahmedabad</t>
        </is>
      </c>
      <c r="D158" s="9" t="inlineStr">
        <is>
          <t>Gujarat</t>
        </is>
      </c>
      <c r="E158" s="9" t="inlineStr">
        <is>
          <t>India</t>
        </is>
      </c>
      <c r="F158" s="9" t="n">
        <v>1</v>
      </c>
      <c r="G158" s="9" t="n">
        <v>1</v>
      </c>
      <c r="H158" s="9" t="n">
        <v>1</v>
      </c>
      <c r="I158" s="10" t="n">
        <v>43839</v>
      </c>
      <c r="J158" s="10" t="n">
        <v>43839</v>
      </c>
      <c r="K158" s="9" t="n">
        <v>23.10702</v>
      </c>
      <c r="L158" s="9" t="n">
        <v>72.47041</v>
      </c>
      <c r="M158" s="9" t="inlineStr">
        <is>
          <t>https://www.google.com/maps/place/?q=place_id:ChIJQfPUXaidXjkRRnpJtFI67b4</t>
        </is>
      </c>
    </row>
    <row r="159">
      <c r="A159" s="9" t="n">
        <v>155</v>
      </c>
      <c r="B159" s="9" t="inlineStr">
        <is>
          <t>Ahmedabad</t>
        </is>
      </c>
      <c r="C159" s="9" t="inlineStr">
        <is>
          <t>Ahmedabad</t>
        </is>
      </c>
      <c r="D159" s="9" t="inlineStr">
        <is>
          <t>Gujarat</t>
        </is>
      </c>
      <c r="E159" s="9" t="inlineStr">
        <is>
          <t>India</t>
        </is>
      </c>
      <c r="F159" s="9" t="n">
        <v>1</v>
      </c>
      <c r="G159" s="9" t="n">
        <v>1</v>
      </c>
      <c r="H159" s="9" t="n">
        <v>1</v>
      </c>
      <c r="I159" s="10" t="n">
        <v>43839</v>
      </c>
      <c r="J159" s="10" t="n">
        <v>43839</v>
      </c>
      <c r="K159" s="9" t="n">
        <v>23.03611</v>
      </c>
      <c r="L159" s="9" t="n">
        <v>72.54662999999999</v>
      </c>
      <c r="M159" s="9" t="inlineStr">
        <is>
          <t>https://www.google.com/maps/place/?q=place_id:ChIJKTMQ0eqEXjkRfyuL7n9_kBo</t>
        </is>
      </c>
    </row>
    <row r="160">
      <c r="A160" s="9" t="n">
        <v>156</v>
      </c>
      <c r="B160" s="9" t="inlineStr">
        <is>
          <t>Ahmedabad</t>
        </is>
      </c>
      <c r="C160" s="9" t="inlineStr">
        <is>
          <t>Ahmedabad</t>
        </is>
      </c>
      <c r="D160" s="9" t="inlineStr">
        <is>
          <t>Gujarat</t>
        </is>
      </c>
      <c r="E160" s="9" t="inlineStr">
        <is>
          <t>India</t>
        </is>
      </c>
      <c r="F160" s="9" t="n">
        <v>1</v>
      </c>
      <c r="G160" s="9" t="n">
        <v>1</v>
      </c>
      <c r="H160" s="9" t="n">
        <v>1</v>
      </c>
      <c r="I160" s="10" t="n">
        <v>43867</v>
      </c>
      <c r="J160" s="10" t="n">
        <v>43867</v>
      </c>
      <c r="K160" s="9" t="n">
        <v>23.06807</v>
      </c>
      <c r="L160" s="9" t="n">
        <v>72.57559999999999</v>
      </c>
      <c r="M160" s="9" t="inlineStr">
        <is>
          <t>https://www.google.com/maps/place/?q=place_id:ChIJbwQxmYaDXjkR8dj3_awrBzk</t>
        </is>
      </c>
    </row>
    <row r="161">
      <c r="A161" s="9" t="n">
        <v>157</v>
      </c>
      <c r="B161" s="9" t="inlineStr">
        <is>
          <t>Ahmedabad</t>
        </is>
      </c>
      <c r="C161" s="9" t="inlineStr">
        <is>
          <t>Ahmedabad</t>
        </is>
      </c>
      <c r="D161" s="9" t="inlineStr">
        <is>
          <t>Gujarat</t>
        </is>
      </c>
      <c r="E161" s="9" t="inlineStr">
        <is>
          <t>India</t>
        </is>
      </c>
      <c r="F161" s="9" t="n">
        <v>1</v>
      </c>
      <c r="G161" s="9" t="n">
        <v>2</v>
      </c>
      <c r="H161" s="9" t="n">
        <v>1</v>
      </c>
      <c r="I161" s="10" t="n">
        <v>43868</v>
      </c>
      <c r="J161" s="10" t="n">
        <v>43869</v>
      </c>
      <c r="K161" s="9" t="n">
        <v>23.06843</v>
      </c>
      <c r="L161" s="9" t="n">
        <v>72.57574</v>
      </c>
      <c r="M161" s="9" t="inlineStr">
        <is>
          <t>https://www.google.com/maps/place/?q=place_id:ChIJe8BNl4aDXjkR_KeGhwMU_tQ</t>
        </is>
      </c>
    </row>
    <row r="162">
      <c r="A162" s="9" t="n">
        <v>158</v>
      </c>
      <c r="B162" s="9" t="inlineStr">
        <is>
          <t>Bopal</t>
        </is>
      </c>
      <c r="C162" s="9" t="inlineStr">
        <is>
          <t>Ahmedabad</t>
        </is>
      </c>
      <c r="D162" s="9" t="inlineStr">
        <is>
          <t>Gujarat</t>
        </is>
      </c>
      <c r="E162" s="9" t="inlineStr">
        <is>
          <t>India</t>
        </is>
      </c>
      <c r="F162" s="9" t="n">
        <v>1</v>
      </c>
      <c r="G162" s="9" t="n">
        <v>1</v>
      </c>
      <c r="H162" s="9" t="n">
        <v>1</v>
      </c>
      <c r="I162" s="10" t="n">
        <v>43869</v>
      </c>
      <c r="J162" s="10" t="n">
        <v>43869</v>
      </c>
      <c r="K162" s="9" t="n">
        <v>23.0284</v>
      </c>
      <c r="L162" s="9" t="n">
        <v>72.50682</v>
      </c>
      <c r="M162" s="9" t="inlineStr">
        <is>
          <t>https://www.google.com/maps/place/?q=place_id:ChIJ8_qnyIqEXjkR6UBgjDrwJvI</t>
        </is>
      </c>
    </row>
    <row r="163">
      <c r="A163" s="9" t="n">
        <v>159</v>
      </c>
      <c r="B163" s="9" t="inlineStr">
        <is>
          <t>Ahmedabad</t>
        </is>
      </c>
      <c r="C163" s="9" t="inlineStr">
        <is>
          <t>Ahmedabad</t>
        </is>
      </c>
      <c r="D163" s="9" t="inlineStr">
        <is>
          <t>Gujarat</t>
        </is>
      </c>
      <c r="E163" s="9" t="inlineStr">
        <is>
          <t>India</t>
        </is>
      </c>
      <c r="F163" s="9" t="n">
        <v>1</v>
      </c>
      <c r="G163" s="9" t="n">
        <v>1</v>
      </c>
      <c r="H163" s="9" t="n">
        <v>1</v>
      </c>
      <c r="I163" s="10" t="n">
        <v>45252</v>
      </c>
      <c r="J163" s="10" t="n">
        <v>45252</v>
      </c>
      <c r="K163" s="9" t="n">
        <v>23.11577</v>
      </c>
      <c r="L163" s="9" t="n">
        <v>72.63223000000001</v>
      </c>
      <c r="M163" s="9" t="inlineStr">
        <is>
          <t>https://www.google.com/maps/place/?q=place_id:ChIJd9WyRA-BXjkRpc5NLarDoJk</t>
        </is>
      </c>
    </row>
    <row r="164">
      <c r="A164" s="9" t="n">
        <v>160</v>
      </c>
      <c r="B164" s="9" t="inlineStr">
        <is>
          <t>Gandhinagar</t>
        </is>
      </c>
      <c r="C164" s="9" t="inlineStr">
        <is>
          <t>Ahmedabad</t>
        </is>
      </c>
      <c r="D164" s="9" t="inlineStr">
        <is>
          <t>Gujarat</t>
        </is>
      </c>
      <c r="E164" s="9" t="inlineStr">
        <is>
          <t>India</t>
        </is>
      </c>
      <c r="F164" s="9" t="n">
        <v>1</v>
      </c>
      <c r="G164" s="9" t="n">
        <v>1</v>
      </c>
      <c r="H164" s="9" t="n">
        <v>1</v>
      </c>
      <c r="I164" s="10" t="n">
        <v>45253</v>
      </c>
      <c r="J164" s="10" t="n">
        <v>45253</v>
      </c>
      <c r="K164" s="9" t="n">
        <v>23.22937</v>
      </c>
      <c r="L164" s="9" t="n">
        <v>72.67413999999999</v>
      </c>
      <c r="M164" s="9" t="inlineStr">
        <is>
          <t>https://www.google.com/maps/place/?q=place_id:ChIJ6dhnAQ4rXDkRJmHw0T2Wd5c</t>
        </is>
      </c>
    </row>
    <row r="165">
      <c r="A165" s="9" t="n">
        <v>161</v>
      </c>
      <c r="B165" s="9" t="inlineStr">
        <is>
          <t>Gandhinagar</t>
        </is>
      </c>
      <c r="C165" s="9" t="inlineStr">
        <is>
          <t>Ahmedabad</t>
        </is>
      </c>
      <c r="D165" s="9" t="inlineStr">
        <is>
          <t>Gujarat</t>
        </is>
      </c>
      <c r="E165" s="9" t="inlineStr">
        <is>
          <t>India</t>
        </is>
      </c>
      <c r="F165" s="9" t="n">
        <v>1</v>
      </c>
      <c r="G165" s="9" t="n">
        <v>1</v>
      </c>
      <c r="H165" s="9" t="n">
        <v>1</v>
      </c>
      <c r="I165" s="10" t="n">
        <v>45253</v>
      </c>
      <c r="J165" s="10" t="n">
        <v>45253</v>
      </c>
      <c r="K165" s="9" t="n">
        <v>23.19627</v>
      </c>
      <c r="L165" s="9" t="n">
        <v>72.63393000000001</v>
      </c>
      <c r="M165" s="9" t="inlineStr">
        <is>
          <t>https://www.google.com/maps/place/?q=place_id:ChIJpUVLqzAqXDkRIWFelHjFNKM</t>
        </is>
      </c>
    </row>
    <row r="166">
      <c r="A166" s="9" t="n">
        <v>162</v>
      </c>
      <c r="B166" s="9" t="inlineStr">
        <is>
          <t>Baola</t>
        </is>
      </c>
      <c r="C166" s="9" t="inlineStr">
        <is>
          <t>Ahmedabad</t>
        </is>
      </c>
      <c r="D166" s="9" t="inlineStr">
        <is>
          <t>Gujarat</t>
        </is>
      </c>
      <c r="E166" s="9" t="inlineStr">
        <is>
          <t>India</t>
        </is>
      </c>
      <c r="F166" s="9" t="n">
        <v>1</v>
      </c>
      <c r="G166" s="9" t="n">
        <v>1</v>
      </c>
      <c r="H166" s="9" t="n">
        <v>1</v>
      </c>
      <c r="I166" s="10" t="n">
        <v>45254</v>
      </c>
      <c r="J166" s="10" t="n">
        <v>45254</v>
      </c>
      <c r="K166" s="9" t="n">
        <v>22.86824</v>
      </c>
      <c r="L166" s="9" t="n">
        <v>72.39151</v>
      </c>
      <c r="M166" s="9" t="inlineStr">
        <is>
          <t>https://www.google.com/maps/place/?q=place_id:ChIJNcHm0ZuWXjkRCnKqRYsqTuE</t>
        </is>
      </c>
    </row>
    <row r="167">
      <c r="A167" s="9" t="n">
        <v>163</v>
      </c>
      <c r="B167" s="9" t="inlineStr">
        <is>
          <t>Ambaji</t>
        </is>
      </c>
      <c r="C167" s="9" t="inlineStr">
        <is>
          <t>Ambaji</t>
        </is>
      </c>
      <c r="D167" s="9" t="inlineStr">
        <is>
          <t>Gujarat</t>
        </is>
      </c>
      <c r="E167" s="9" t="inlineStr">
        <is>
          <t>India</t>
        </is>
      </c>
      <c r="F167" s="9" t="n">
        <v>1</v>
      </c>
      <c r="G167" s="9" t="n">
        <v>1</v>
      </c>
      <c r="H167" s="9" t="n">
        <v>1</v>
      </c>
      <c r="I167" s="10" t="n">
        <v>43845</v>
      </c>
      <c r="J167" s="10" t="n">
        <v>43845</v>
      </c>
      <c r="K167" s="9" t="n">
        <v>24.33582</v>
      </c>
      <c r="L167" s="9" t="n">
        <v>72.85012</v>
      </c>
      <c r="M167" s="9" t="inlineStr">
        <is>
          <t>https://www.google.com/maps/place/?q=place_id:ChIJD_dSElUiXTkR3c4lVOIYJ2k</t>
        </is>
      </c>
    </row>
    <row r="168">
      <c r="A168" s="9" t="n">
        <v>164</v>
      </c>
      <c r="B168" s="9" t="inlineStr">
        <is>
          <t>Ambaji</t>
        </is>
      </c>
      <c r="C168" s="9" t="inlineStr">
        <is>
          <t>Ambaji</t>
        </is>
      </c>
      <c r="D168" s="9" t="inlineStr">
        <is>
          <t>Gujarat</t>
        </is>
      </c>
      <c r="E168" s="9" t="inlineStr">
        <is>
          <t>India</t>
        </is>
      </c>
      <c r="F168" s="9" t="n">
        <v>1</v>
      </c>
      <c r="G168" s="9" t="n">
        <v>1</v>
      </c>
      <c r="H168" s="9" t="n">
        <v>1</v>
      </c>
      <c r="I168" s="10" t="n">
        <v>43845</v>
      </c>
      <c r="J168" s="10" t="n">
        <v>43845</v>
      </c>
      <c r="K168" s="9" t="n">
        <v>24.17535</v>
      </c>
      <c r="L168" s="9" t="n">
        <v>72.74281999999999</v>
      </c>
      <c r="M168" s="9" t="inlineStr">
        <is>
          <t>https://www.google.com/maps/place/?q=place_id:ChIJa-C8L8UdXTkRtZBG0eOlpbU</t>
        </is>
      </c>
    </row>
    <row r="169">
      <c r="A169" s="9" t="n">
        <v>165</v>
      </c>
      <c r="B169" s="9" t="inlineStr">
        <is>
          <t>Ankleshwar</t>
        </is>
      </c>
      <c r="C169" s="9" t="inlineStr">
        <is>
          <t>Ankleshwar</t>
        </is>
      </c>
      <c r="D169" s="9" t="inlineStr">
        <is>
          <t>Gujarat</t>
        </is>
      </c>
      <c r="E169" s="9" t="inlineStr">
        <is>
          <t>India</t>
        </is>
      </c>
      <c r="F169" s="9" t="n">
        <v>1</v>
      </c>
      <c r="G169" s="9" t="n">
        <v>1</v>
      </c>
      <c r="H169" s="9" t="n">
        <v>1</v>
      </c>
      <c r="I169" s="10" t="n">
        <v>42935</v>
      </c>
      <c r="J169" s="10" t="n">
        <v>42935</v>
      </c>
      <c r="K169" s="9" t="n">
        <v>21.62558</v>
      </c>
      <c r="L169" s="9" t="n">
        <v>73.00125</v>
      </c>
      <c r="M169" s="9" t="inlineStr">
        <is>
          <t>https://www.google.com/maps/place/?q=place_id:ChIJu0NGvPsj4DsRiHQntEXEQ4c</t>
        </is>
      </c>
    </row>
    <row r="170">
      <c r="A170" s="9" t="n">
        <v>166</v>
      </c>
      <c r="B170" s="9" t="inlineStr">
        <is>
          <t>Baola</t>
        </is>
      </c>
      <c r="C170" s="9" t="inlineStr">
        <is>
          <t>Baola</t>
        </is>
      </c>
      <c r="D170" s="9" t="inlineStr">
        <is>
          <t>Gujarat</t>
        </is>
      </c>
      <c r="E170" s="9" t="inlineStr">
        <is>
          <t>India</t>
        </is>
      </c>
      <c r="F170" s="9" t="n">
        <v>1</v>
      </c>
      <c r="G170" s="9" t="n">
        <v>1</v>
      </c>
      <c r="H170" s="9" t="n">
        <v>1</v>
      </c>
      <c r="I170" s="10" t="n">
        <v>43842</v>
      </c>
      <c r="J170" s="10" t="n">
        <v>43842</v>
      </c>
      <c r="K170" s="9" t="n">
        <v>22.6402</v>
      </c>
      <c r="L170" s="9" t="n">
        <v>72.19499999999999</v>
      </c>
      <c r="M170" s="9" t="inlineStr">
        <is>
          <t>https://www.google.com/maps/place/?q=place_id:ChIJTc55Fy7EXjkRWHdahMcNNQs</t>
        </is>
      </c>
    </row>
    <row r="171">
      <c r="A171" s="9" t="n">
        <v>167</v>
      </c>
      <c r="B171" s="9" t="inlineStr">
        <is>
          <t>Bharuch</t>
        </is>
      </c>
      <c r="C171" s="9" t="inlineStr">
        <is>
          <t>Bharuch</t>
        </is>
      </c>
      <c r="D171" s="9" t="inlineStr">
        <is>
          <t>Gujarat</t>
        </is>
      </c>
      <c r="E171" s="9" t="inlineStr">
        <is>
          <t>India</t>
        </is>
      </c>
      <c r="F171" s="9" t="n">
        <v>1</v>
      </c>
      <c r="G171" s="9" t="n">
        <v>1</v>
      </c>
      <c r="H171" s="9" t="n">
        <v>1</v>
      </c>
      <c r="I171" s="10" t="n">
        <v>42930</v>
      </c>
      <c r="J171" s="10" t="n">
        <v>42930</v>
      </c>
      <c r="K171" s="9" t="n">
        <v>21.7004</v>
      </c>
      <c r="L171" s="9" t="n">
        <v>73.00060000000001</v>
      </c>
      <c r="M171" s="9" t="inlineStr">
        <is>
          <t>https://www.google.com/maps/place/?q=place_id:ChIJ948Vlskg4DsR4bIiuxGGM9c</t>
        </is>
      </c>
    </row>
    <row r="172">
      <c r="A172" s="9" t="n">
        <v>168</v>
      </c>
      <c r="B172" s="9" t="inlineStr">
        <is>
          <t>Bhiloda</t>
        </is>
      </c>
      <c r="C172" s="9" t="inlineStr">
        <is>
          <t>Bhiloda</t>
        </is>
      </c>
      <c r="D172" s="9" t="inlineStr">
        <is>
          <t>Gujarat</t>
        </is>
      </c>
      <c r="E172" s="9" t="inlineStr">
        <is>
          <t>India</t>
        </is>
      </c>
      <c r="F172" s="9" t="n">
        <v>2</v>
      </c>
      <c r="G172" s="9" t="n">
        <v>2</v>
      </c>
      <c r="H172" s="9" t="n">
        <v>1</v>
      </c>
      <c r="I172" s="10" t="n">
        <v>43873</v>
      </c>
      <c r="J172" s="10" t="n">
        <v>43874</v>
      </c>
      <c r="K172" s="9" t="n">
        <v>23.72058</v>
      </c>
      <c r="L172" s="9" t="n">
        <v>73.39851</v>
      </c>
      <c r="M172" s="9" t="inlineStr">
        <is>
          <t>https://www.google.com/maps/place/?q=place_id:ChIJS7Q8jGiJXTkRbFvs7z7MNGc</t>
        </is>
      </c>
    </row>
    <row r="173">
      <c r="A173" s="9" t="n">
        <v>169</v>
      </c>
      <c r="B173" s="9" t="inlineStr">
        <is>
          <t>Bhiloda</t>
        </is>
      </c>
      <c r="C173" s="9" t="inlineStr">
        <is>
          <t>Bhiloda</t>
        </is>
      </c>
      <c r="D173" s="9" t="inlineStr">
        <is>
          <t>Gujarat</t>
        </is>
      </c>
      <c r="E173" s="9" t="inlineStr">
        <is>
          <t>India</t>
        </is>
      </c>
      <c r="F173" s="9" t="n">
        <v>1</v>
      </c>
      <c r="G173" s="9" t="n">
        <v>1</v>
      </c>
      <c r="H173" s="9" t="n">
        <v>1</v>
      </c>
      <c r="I173" s="10" t="n">
        <v>43843</v>
      </c>
      <c r="J173" s="10" t="n">
        <v>43843</v>
      </c>
      <c r="K173" s="9" t="n">
        <v>23.68783</v>
      </c>
      <c r="L173" s="9" t="n">
        <v>73.38736</v>
      </c>
      <c r="M173" s="9" t="inlineStr">
        <is>
          <t>https://www.google.com/maps/place/?q=place_id:ChIJTboGaeyLXTkRy2X6vmOAgFc</t>
        </is>
      </c>
    </row>
    <row r="174">
      <c r="A174" s="9" t="n">
        <v>170</v>
      </c>
      <c r="B174" s="9" t="inlineStr">
        <is>
          <t>Bhiloda</t>
        </is>
      </c>
      <c r="C174" s="9" t="inlineStr">
        <is>
          <t>Bhiloda</t>
        </is>
      </c>
      <c r="D174" s="9" t="inlineStr">
        <is>
          <t>Gujarat</t>
        </is>
      </c>
      <c r="E174" s="9" t="inlineStr">
        <is>
          <t>India</t>
        </is>
      </c>
      <c r="F174" s="9" t="n">
        <v>1</v>
      </c>
      <c r="G174" s="9" t="n">
        <v>1</v>
      </c>
      <c r="H174" s="9" t="n">
        <v>1</v>
      </c>
      <c r="I174" s="10" t="n">
        <v>43843</v>
      </c>
      <c r="J174" s="10" t="n">
        <v>43843</v>
      </c>
      <c r="K174" s="9" t="n">
        <v>23.7247</v>
      </c>
      <c r="L174" s="9" t="n">
        <v>73.4019</v>
      </c>
      <c r="M174" s="9" t="inlineStr">
        <is>
          <t>https://www.google.com/maps/place/?q=place_id:ChIJ2wyflW6JXTkREPSV2yzMPTo</t>
        </is>
      </c>
    </row>
    <row r="175">
      <c r="A175" s="9" t="n">
        <v>171</v>
      </c>
      <c r="B175" s="9" t="inlineStr">
        <is>
          <t>Bholav</t>
        </is>
      </c>
      <c r="C175" s="9" t="inlineStr">
        <is>
          <t>Bholav</t>
        </is>
      </c>
      <c r="D175" s="9" t="inlineStr">
        <is>
          <t>Gujarat</t>
        </is>
      </c>
      <c r="E175" s="9" t="inlineStr">
        <is>
          <t>India</t>
        </is>
      </c>
      <c r="F175" s="9" t="n">
        <v>1</v>
      </c>
      <c r="G175" s="9" t="n">
        <v>1</v>
      </c>
      <c r="H175" s="9" t="n">
        <v>1</v>
      </c>
      <c r="I175" s="10" t="n">
        <v>42935</v>
      </c>
      <c r="J175" s="10" t="n">
        <v>42935</v>
      </c>
      <c r="K175" s="9" t="n">
        <v>21.70337</v>
      </c>
      <c r="L175" s="9" t="n">
        <v>72.99957000000001</v>
      </c>
      <c r="M175" s="9" t="inlineStr">
        <is>
          <t>https://www.google.com/maps/place/?q=place_id:ChIJWSURd7Yg4DsRdpCduE5SCJU</t>
        </is>
      </c>
    </row>
    <row r="176">
      <c r="A176" s="9" t="n">
        <v>172</v>
      </c>
      <c r="B176" s="9" t="inlineStr">
        <is>
          <t>Navsari</t>
        </is>
      </c>
      <c r="C176" s="9" t="inlineStr">
        <is>
          <t>Bilimora</t>
        </is>
      </c>
      <c r="D176" s="9" t="inlineStr">
        <is>
          <t>Gujarat</t>
        </is>
      </c>
      <c r="E176" s="9" t="inlineStr">
        <is>
          <t>India</t>
        </is>
      </c>
      <c r="F176" s="9" t="n">
        <v>1</v>
      </c>
      <c r="G176" s="9" t="n">
        <v>1</v>
      </c>
      <c r="H176" s="9" t="n">
        <v>1</v>
      </c>
      <c r="I176" s="10" t="n">
        <v>42118</v>
      </c>
      <c r="J176" s="10" t="n">
        <v>42118</v>
      </c>
      <c r="K176" s="9" t="n">
        <v>20.94802</v>
      </c>
      <c r="L176" s="9" t="n">
        <v>72.91316</v>
      </c>
      <c r="M176" s="9" t="inlineStr">
        <is>
          <t>https://www.google.com/maps/place/?q=place_id:ChIJL9mmn5H34DsR80OY5Anz9JM</t>
        </is>
      </c>
    </row>
    <row r="177">
      <c r="A177" s="9" t="n">
        <v>173</v>
      </c>
      <c r="B177" s="9" t="inlineStr">
        <is>
          <t>Chorwad</t>
        </is>
      </c>
      <c r="C177" s="9" t="inlineStr">
        <is>
          <t>Chorwad</t>
        </is>
      </c>
      <c r="D177" s="9" t="inlineStr">
        <is>
          <t>Gujarat</t>
        </is>
      </c>
      <c r="E177" s="9" t="inlineStr">
        <is>
          <t>India</t>
        </is>
      </c>
      <c r="F177" s="9" t="n">
        <v>1</v>
      </c>
      <c r="G177" s="9" t="n">
        <v>1</v>
      </c>
      <c r="H177" s="9" t="n">
        <v>1</v>
      </c>
      <c r="I177" s="10" t="n">
        <v>42934</v>
      </c>
      <c r="J177" s="10" t="n">
        <v>42934</v>
      </c>
      <c r="K177" s="9" t="n">
        <v>21.07292</v>
      </c>
      <c r="L177" s="9" t="n">
        <v>70.29018000000001</v>
      </c>
      <c r="M177" s="9" t="inlineStr">
        <is>
          <t>https://www.google.com/maps/place/?q=place_id:ChIJm5kVOdNJ_TsRdOAORq8eyBg</t>
        </is>
      </c>
    </row>
    <row r="178">
      <c r="A178" s="9" t="n">
        <v>174</v>
      </c>
      <c r="B178" s="9" t="inlineStr">
        <is>
          <t>Chorwad</t>
        </is>
      </c>
      <c r="C178" s="9" t="inlineStr">
        <is>
          <t>Chorwad</t>
        </is>
      </c>
      <c r="D178" s="9" t="inlineStr">
        <is>
          <t>Gujarat</t>
        </is>
      </c>
      <c r="E178" s="9" t="inlineStr">
        <is>
          <t>India</t>
        </is>
      </c>
      <c r="F178" s="9" t="n">
        <v>1</v>
      </c>
      <c r="G178" s="9" t="n">
        <v>1</v>
      </c>
      <c r="H178" s="9" t="n">
        <v>1</v>
      </c>
      <c r="I178" s="10" t="n">
        <v>45685</v>
      </c>
      <c r="J178" s="10" t="n">
        <v>45685</v>
      </c>
      <c r="K178" s="9" t="n">
        <v>21.05387</v>
      </c>
      <c r="L178" s="9" t="n">
        <v>70.29040000000001</v>
      </c>
      <c r="M178" s="9" t="inlineStr">
        <is>
          <t>https://www.google.com/maps/place/?q=place_id:ChIJMSUnZtVJ_TsRP0QD8dqIqzE</t>
        </is>
      </c>
    </row>
    <row r="179">
      <c r="A179" s="9" t="n">
        <v>175</v>
      </c>
      <c r="B179" s="9" t="inlineStr">
        <is>
          <t>Chotila</t>
        </is>
      </c>
      <c r="C179" s="9" t="inlineStr">
        <is>
          <t>Chotila</t>
        </is>
      </c>
      <c r="D179" s="9" t="inlineStr">
        <is>
          <t>Gujarat</t>
        </is>
      </c>
      <c r="E179" s="9" t="inlineStr">
        <is>
          <t>India</t>
        </is>
      </c>
      <c r="F179" s="9" t="n">
        <v>1</v>
      </c>
      <c r="G179" s="9" t="n">
        <v>1</v>
      </c>
      <c r="H179" s="9" t="n">
        <v>1</v>
      </c>
      <c r="I179" s="10" t="n">
        <v>42933</v>
      </c>
      <c r="J179" s="10" t="n">
        <v>42933</v>
      </c>
      <c r="K179" s="9" t="n">
        <v>22.42292</v>
      </c>
      <c r="L179" s="9" t="n">
        <v>71.20246</v>
      </c>
      <c r="M179" s="9" t="inlineStr">
        <is>
          <t>https://www.google.com/maps/place/?q=place_id:ChIJbwM79PIHWTkRUsdScIwZoD0</t>
        </is>
      </c>
    </row>
    <row r="180">
      <c r="A180" s="9" t="n">
        <v>176</v>
      </c>
      <c r="B180" s="9" t="inlineStr">
        <is>
          <t>Chotila</t>
        </is>
      </c>
      <c r="C180" s="9" t="inlineStr">
        <is>
          <t>Chotila</t>
        </is>
      </c>
      <c r="D180" s="9" t="inlineStr">
        <is>
          <t>Gujarat</t>
        </is>
      </c>
      <c r="E180" s="9" t="inlineStr">
        <is>
          <t>India</t>
        </is>
      </c>
      <c r="F180" s="9" t="n">
        <v>1</v>
      </c>
      <c r="G180" s="9" t="n">
        <v>1</v>
      </c>
      <c r="H180" s="9" t="n">
        <v>1</v>
      </c>
      <c r="I180" s="10" t="n">
        <v>43842</v>
      </c>
      <c r="J180" s="10" t="n">
        <v>43842</v>
      </c>
      <c r="K180" s="9" t="n">
        <v>22.43811</v>
      </c>
      <c r="L180" s="9" t="n">
        <v>71.2174</v>
      </c>
      <c r="M180" s="9" t="inlineStr">
        <is>
          <t>https://www.google.com/maps/place/?q=place_id:ChIJQzfrF9wHWTkRPhgk5AyXi9k</t>
        </is>
      </c>
    </row>
    <row r="181">
      <c r="A181" s="9" t="n">
        <v>177</v>
      </c>
      <c r="B181" s="9" t="inlineStr">
        <is>
          <t>Chotila</t>
        </is>
      </c>
      <c r="C181" s="9" t="inlineStr">
        <is>
          <t>Chotila</t>
        </is>
      </c>
      <c r="D181" s="9" t="inlineStr">
        <is>
          <t>Gujarat</t>
        </is>
      </c>
      <c r="E181" s="9" t="inlineStr">
        <is>
          <t>India</t>
        </is>
      </c>
      <c r="F181" s="9" t="n">
        <v>1</v>
      </c>
      <c r="G181" s="9" t="n">
        <v>1</v>
      </c>
      <c r="H181" s="9" t="n">
        <v>1</v>
      </c>
      <c r="I181" s="10" t="n">
        <v>43872</v>
      </c>
      <c r="J181" s="10" t="n">
        <v>43872</v>
      </c>
      <c r="K181" s="9" t="n">
        <v>22.42544</v>
      </c>
      <c r="L181" s="9" t="n">
        <v>71.08295</v>
      </c>
      <c r="M181" s="9" t="inlineStr">
        <is>
          <t>https://www.google.com/maps/place/?q=place_id:ChIJeYdoEE6vWTkRv4tb8MntdzU</t>
        </is>
      </c>
    </row>
    <row r="182">
      <c r="A182" s="9" t="n">
        <v>178</v>
      </c>
      <c r="B182" s="9" t="inlineStr">
        <is>
          <t>Chotila</t>
        </is>
      </c>
      <c r="C182" s="9" t="inlineStr">
        <is>
          <t>Chotila</t>
        </is>
      </c>
      <c r="D182" s="9" t="inlineStr">
        <is>
          <t>Gujarat</t>
        </is>
      </c>
      <c r="E182" s="9" t="inlineStr">
        <is>
          <t>India</t>
        </is>
      </c>
      <c r="F182" s="9" t="n">
        <v>1</v>
      </c>
      <c r="G182" s="9" t="n">
        <v>1</v>
      </c>
      <c r="H182" s="9" t="n">
        <v>1</v>
      </c>
      <c r="I182" s="10" t="n">
        <v>45254</v>
      </c>
      <c r="J182" s="10" t="n">
        <v>45254</v>
      </c>
      <c r="K182" s="9" t="n">
        <v>22.46512</v>
      </c>
      <c r="L182" s="9" t="n">
        <v>71.26505</v>
      </c>
      <c r="M182" s="9" t="inlineStr">
        <is>
          <t>https://www.google.com/maps/place/?q=place_id:ChIJY3il7uwJWTkRz0PQ19TS_-8</t>
        </is>
      </c>
    </row>
    <row r="183">
      <c r="A183" s="9" t="n">
        <v>179</v>
      </c>
      <c r="B183" s="9" t="inlineStr">
        <is>
          <t>Dakor</t>
        </is>
      </c>
      <c r="C183" s="9" t="inlineStr">
        <is>
          <t>Dakor</t>
        </is>
      </c>
      <c r="D183" s="9" t="inlineStr">
        <is>
          <t>Gujarat</t>
        </is>
      </c>
      <c r="E183" s="9" t="inlineStr">
        <is>
          <t>India</t>
        </is>
      </c>
      <c r="F183" s="9" t="n">
        <v>2</v>
      </c>
      <c r="G183" s="9" t="n">
        <v>2</v>
      </c>
      <c r="H183" s="9" t="n">
        <v>2</v>
      </c>
      <c r="I183" s="10" t="n">
        <v>43875</v>
      </c>
      <c r="J183" s="10" t="n">
        <v>45257</v>
      </c>
      <c r="K183" s="9" t="n">
        <v>22.75434</v>
      </c>
      <c r="L183" s="9" t="n">
        <v>73.14881</v>
      </c>
      <c r="M183" s="9" t="inlineStr">
        <is>
          <t>https://www.google.com/maps/place/?q=place_id:ChIJteEOX0M5XjkRomz7XYJz2Ss</t>
        </is>
      </c>
    </row>
    <row r="184">
      <c r="A184" s="9" t="n">
        <v>180</v>
      </c>
      <c r="B184" s="9" t="inlineStr">
        <is>
          <t>Dakor</t>
        </is>
      </c>
      <c r="C184" s="9" t="inlineStr">
        <is>
          <t>Dakor</t>
        </is>
      </c>
      <c r="D184" s="9" t="inlineStr">
        <is>
          <t>Gujarat</t>
        </is>
      </c>
      <c r="E184" s="9" t="inlineStr">
        <is>
          <t>India</t>
        </is>
      </c>
      <c r="F184" s="9" t="n">
        <v>1</v>
      </c>
      <c r="G184" s="9" t="n">
        <v>1</v>
      </c>
      <c r="H184" s="9" t="n">
        <v>1</v>
      </c>
      <c r="I184" s="10" t="n">
        <v>43875</v>
      </c>
      <c r="J184" s="10" t="n">
        <v>43875</v>
      </c>
      <c r="K184" s="9" t="n">
        <v>22.75025</v>
      </c>
      <c r="L184" s="9" t="n">
        <v>73.15555999999999</v>
      </c>
      <c r="M184" s="9" t="inlineStr">
        <is>
          <t>https://www.google.com/maps/place/?q=place_id:ChIJE7rN9zY5XjkRtRbsm37SahM</t>
        </is>
      </c>
    </row>
    <row r="185">
      <c r="A185" s="9" t="n">
        <v>181</v>
      </c>
      <c r="B185" s="9" t="inlineStr">
        <is>
          <t>Dakor</t>
        </is>
      </c>
      <c r="C185" s="9" t="inlineStr">
        <is>
          <t>Dakor</t>
        </is>
      </c>
      <c r="D185" s="9" t="inlineStr">
        <is>
          <t>Gujarat</t>
        </is>
      </c>
      <c r="E185" s="9" t="inlineStr">
        <is>
          <t>India</t>
        </is>
      </c>
      <c r="F185" s="9" t="n">
        <v>1</v>
      </c>
      <c r="G185" s="9" t="n">
        <v>1</v>
      </c>
      <c r="H185" s="9" t="n">
        <v>1</v>
      </c>
      <c r="I185" s="10" t="n">
        <v>45252</v>
      </c>
      <c r="J185" s="10" t="n">
        <v>45252</v>
      </c>
      <c r="K185" s="9" t="n">
        <v>22.75454</v>
      </c>
      <c r="L185" s="9" t="n">
        <v>73.14971</v>
      </c>
      <c r="M185" s="9" t="inlineStr">
        <is>
          <t>https://www.google.com/maps/place/?q=place_id:ChIJDQt9qwM5XjkRMi8vNeDs7pk</t>
        </is>
      </c>
    </row>
    <row r="186">
      <c r="A186" s="9" t="n">
        <v>182</v>
      </c>
      <c r="B186" s="9" t="inlineStr">
        <is>
          <t>Dakor</t>
        </is>
      </c>
      <c r="C186" s="9" t="inlineStr">
        <is>
          <t>Dakor</t>
        </is>
      </c>
      <c r="D186" s="9" t="inlineStr">
        <is>
          <t>Gujarat</t>
        </is>
      </c>
      <c r="E186" s="9" t="inlineStr">
        <is>
          <t>India</t>
        </is>
      </c>
      <c r="F186" s="9" t="n">
        <v>1</v>
      </c>
      <c r="G186" s="9" t="n">
        <v>1</v>
      </c>
      <c r="H186" s="9" t="n">
        <v>1</v>
      </c>
      <c r="I186" s="10" t="n">
        <v>45257</v>
      </c>
      <c r="J186" s="10" t="n">
        <v>45257</v>
      </c>
      <c r="K186" s="9" t="n">
        <v>22.74969</v>
      </c>
      <c r="L186" s="9" t="n">
        <v>73.15441</v>
      </c>
      <c r="M186" s="9" t="inlineStr">
        <is>
          <t>https://www.google.com/maps/place/?q=place_id:ChIJIytC5DY5XjkRtuAjROAlX80</t>
        </is>
      </c>
    </row>
    <row r="187">
      <c r="A187" s="9" t="n">
        <v>183</v>
      </c>
      <c r="B187" s="9" t="inlineStr">
        <is>
          <t>Dwarka</t>
        </is>
      </c>
      <c r="C187" s="9" t="inlineStr">
        <is>
          <t>Dwarka</t>
        </is>
      </c>
      <c r="D187" s="9" t="inlineStr">
        <is>
          <t>Gujarat</t>
        </is>
      </c>
      <c r="E187" s="9" t="inlineStr">
        <is>
          <t>India</t>
        </is>
      </c>
      <c r="F187" s="9" t="n">
        <v>11</v>
      </c>
      <c r="G187" s="9" t="n">
        <v>4</v>
      </c>
      <c r="H187" s="9" t="n">
        <v>1</v>
      </c>
      <c r="I187" s="10" t="n">
        <v>45246</v>
      </c>
      <c r="J187" s="10" t="n">
        <v>45249</v>
      </c>
      <c r="K187" s="9" t="n">
        <v>22.23865</v>
      </c>
      <c r="L187" s="9" t="n">
        <v>68.96420999999999</v>
      </c>
      <c r="M187" s="9" t="inlineStr">
        <is>
          <t>https://www.google.com/maps/place/?q=place_id:ChIJXftU-KGdVjkRIEa5gAMx7rc</t>
        </is>
      </c>
    </row>
    <row r="188">
      <c r="A188" s="9" t="n">
        <v>184</v>
      </c>
      <c r="B188" s="9" t="inlineStr">
        <is>
          <t>Dwarka</t>
        </is>
      </c>
      <c r="C188" s="9" t="inlineStr">
        <is>
          <t>Dwarka</t>
        </is>
      </c>
      <c r="D188" s="9" t="inlineStr">
        <is>
          <t>Gujarat</t>
        </is>
      </c>
      <c r="E188" s="9" t="inlineStr">
        <is>
          <t>India</t>
        </is>
      </c>
      <c r="F188" s="9" t="n">
        <v>10</v>
      </c>
      <c r="G188" s="9" t="n">
        <v>7</v>
      </c>
      <c r="H188" s="9" t="n">
        <v>5</v>
      </c>
      <c r="I188" s="10" t="n">
        <v>42933</v>
      </c>
      <c r="J188" s="10" t="n">
        <v>45683</v>
      </c>
      <c r="K188" s="9" t="n">
        <v>22.23711</v>
      </c>
      <c r="L188" s="9" t="n">
        <v>68.96763</v>
      </c>
      <c r="M188" s="9" t="inlineStr">
        <is>
          <t>https://www.google.com/maps/place/?q=place_id:ChIJ5enEtzqcVjkR9EjfETF8GwM</t>
        </is>
      </c>
    </row>
    <row r="189">
      <c r="A189" s="9" t="n">
        <v>185</v>
      </c>
      <c r="B189" s="9" t="inlineStr">
        <is>
          <t>Dwarka</t>
        </is>
      </c>
      <c r="C189" s="9" t="inlineStr">
        <is>
          <t>Dwarka</t>
        </is>
      </c>
      <c r="D189" s="9" t="inlineStr">
        <is>
          <t>Gujarat</t>
        </is>
      </c>
      <c r="E189" s="9" t="inlineStr">
        <is>
          <t>India</t>
        </is>
      </c>
      <c r="F189" s="9" t="n">
        <v>6</v>
      </c>
      <c r="G189" s="9" t="n">
        <v>5</v>
      </c>
      <c r="H189" s="9" t="n">
        <v>2</v>
      </c>
      <c r="I189" s="10" t="n">
        <v>43840</v>
      </c>
      <c r="J189" s="10" t="n">
        <v>43871</v>
      </c>
      <c r="K189" s="9" t="n">
        <v>22.24351</v>
      </c>
      <c r="L189" s="9" t="n">
        <v>68.96648999999999</v>
      </c>
      <c r="M189" s="9" t="inlineStr">
        <is>
          <t>https://www.google.com/maps/place/?q=place_id:ChIJkziBByacVjkRzI7j5oITzts</t>
        </is>
      </c>
    </row>
    <row r="190">
      <c r="A190" s="9" t="n">
        <v>186</v>
      </c>
      <c r="B190" s="9" t="inlineStr">
        <is>
          <t>Dwarka</t>
        </is>
      </c>
      <c r="C190" s="9" t="inlineStr">
        <is>
          <t>Dwarka</t>
        </is>
      </c>
      <c r="D190" s="9" t="inlineStr">
        <is>
          <t>Gujarat</t>
        </is>
      </c>
      <c r="E190" s="9" t="inlineStr">
        <is>
          <t>India</t>
        </is>
      </c>
      <c r="F190" s="9" t="n">
        <v>4</v>
      </c>
      <c r="G190" s="9" t="n">
        <v>3</v>
      </c>
      <c r="H190" s="9" t="n">
        <v>1</v>
      </c>
      <c r="I190" s="10" t="n">
        <v>45683</v>
      </c>
      <c r="J190" s="10" t="n">
        <v>45685</v>
      </c>
      <c r="K190" s="9" t="n">
        <v>22.22493</v>
      </c>
      <c r="L190" s="9" t="n">
        <v>69.01897</v>
      </c>
      <c r="M190" s="9" t="inlineStr">
        <is>
          <t>https://www.google.com/maps/place/?q=place_id:ChIJm8QrMa6dVjkRnWLUUFyA6qA</t>
        </is>
      </c>
    </row>
    <row r="191">
      <c r="A191" s="9" t="n">
        <v>187</v>
      </c>
      <c r="B191" s="9" t="inlineStr">
        <is>
          <t>Dwarka</t>
        </is>
      </c>
      <c r="C191" s="9" t="inlineStr">
        <is>
          <t>Dwarka</t>
        </is>
      </c>
      <c r="D191" s="9" t="inlineStr">
        <is>
          <t>Gujarat</t>
        </is>
      </c>
      <c r="E191" s="9" t="inlineStr">
        <is>
          <t>India</t>
        </is>
      </c>
      <c r="F191" s="9" t="n">
        <v>2</v>
      </c>
      <c r="G191" s="9" t="n">
        <v>2</v>
      </c>
      <c r="H191" s="9" t="n">
        <v>1</v>
      </c>
      <c r="I191" s="10" t="n">
        <v>45247</v>
      </c>
      <c r="J191" s="10" t="n">
        <v>45248</v>
      </c>
      <c r="K191" s="9" t="n">
        <v>22.23839</v>
      </c>
      <c r="L191" s="9" t="n">
        <v>68.96617999999999</v>
      </c>
      <c r="M191" s="9" t="inlineStr">
        <is>
          <t>https://www.google.com/maps/place/?q=place_id:ChIJkTkkBQmdVjkRIpxrModpShs</t>
        </is>
      </c>
    </row>
    <row r="192">
      <c r="A192" s="9" t="n">
        <v>188</v>
      </c>
      <c r="B192" s="9" t="inlineStr">
        <is>
          <t>Dwarka</t>
        </is>
      </c>
      <c r="C192" s="9" t="inlineStr">
        <is>
          <t>Dwarka</t>
        </is>
      </c>
      <c r="D192" s="9" t="inlineStr">
        <is>
          <t>Gujarat</t>
        </is>
      </c>
      <c r="E192" s="9" t="inlineStr">
        <is>
          <t>India</t>
        </is>
      </c>
      <c r="F192" s="9" t="n">
        <v>2</v>
      </c>
      <c r="G192" s="9" t="n">
        <v>1</v>
      </c>
      <c r="H192" s="9" t="n">
        <v>1</v>
      </c>
      <c r="I192" s="10" t="n">
        <v>45254</v>
      </c>
      <c r="J192" s="10" t="n">
        <v>45254</v>
      </c>
      <c r="K192" s="9" t="n">
        <v>22.24413</v>
      </c>
      <c r="L192" s="9" t="n">
        <v>68.97123999999999</v>
      </c>
      <c r="M192" s="9" t="inlineStr">
        <is>
          <t>https://www.google.com/maps/place/?q=place_id:ChIJD9zgViGcVjkRf4C76RIkU4E</t>
        </is>
      </c>
    </row>
    <row r="193">
      <c r="A193" s="9" t="n">
        <v>189</v>
      </c>
      <c r="B193" s="9" t="inlineStr">
        <is>
          <t>Dwarka</t>
        </is>
      </c>
      <c r="C193" s="9" t="inlineStr">
        <is>
          <t>Dwarka</t>
        </is>
      </c>
      <c r="D193" s="9" t="inlineStr">
        <is>
          <t>Gujarat</t>
        </is>
      </c>
      <c r="E193" s="9" t="inlineStr">
        <is>
          <t>India</t>
        </is>
      </c>
      <c r="F193" s="9" t="n">
        <v>1</v>
      </c>
      <c r="G193" s="9" t="n">
        <v>1</v>
      </c>
      <c r="H193" s="9" t="n">
        <v>1</v>
      </c>
      <c r="I193" s="10" t="n">
        <v>43840</v>
      </c>
      <c r="J193" s="10" t="n">
        <v>43840</v>
      </c>
      <c r="K193" s="9" t="n">
        <v>22.23882</v>
      </c>
      <c r="L193" s="9" t="n">
        <v>68.96629</v>
      </c>
      <c r="M193" s="9" t="inlineStr">
        <is>
          <t>https://www.google.com/maps/place/?q=place_id:ChIJ-_TJuTqcVjkRNA3-qI1gnc8</t>
        </is>
      </c>
    </row>
    <row r="194">
      <c r="A194" s="9" t="n">
        <v>190</v>
      </c>
      <c r="B194" s="9" t="inlineStr">
        <is>
          <t>Dwarka</t>
        </is>
      </c>
      <c r="C194" s="9" t="inlineStr">
        <is>
          <t>Dwarka</t>
        </is>
      </c>
      <c r="D194" s="9" t="inlineStr">
        <is>
          <t>Gujarat</t>
        </is>
      </c>
      <c r="E194" s="9" t="inlineStr">
        <is>
          <t>India</t>
        </is>
      </c>
      <c r="F194" s="9" t="n">
        <v>1</v>
      </c>
      <c r="G194" s="9" t="n">
        <v>1</v>
      </c>
      <c r="H194" s="9" t="n">
        <v>1</v>
      </c>
      <c r="I194" s="10" t="n">
        <v>43841</v>
      </c>
      <c r="J194" s="10" t="n">
        <v>43841</v>
      </c>
      <c r="K194" s="9" t="n">
        <v>22.2029</v>
      </c>
      <c r="L194" s="9" t="n">
        <v>69.01414</v>
      </c>
      <c r="M194" s="9" t="inlineStr">
        <is>
          <t>https://www.google.com/maps/place/?q=place_id:ChIJu40bgQebVjkRZPd1uwDp77c</t>
        </is>
      </c>
    </row>
    <row r="195">
      <c r="A195" s="9" t="n">
        <v>191</v>
      </c>
      <c r="B195" s="9" t="inlineStr">
        <is>
          <t>Dwarka</t>
        </is>
      </c>
      <c r="C195" s="9" t="inlineStr">
        <is>
          <t>Dwarka</t>
        </is>
      </c>
      <c r="D195" s="9" t="inlineStr">
        <is>
          <t>Gujarat</t>
        </is>
      </c>
      <c r="E195" s="9" t="inlineStr">
        <is>
          <t>India</t>
        </is>
      </c>
      <c r="F195" s="9" t="n">
        <v>1</v>
      </c>
      <c r="G195" s="9" t="n">
        <v>1</v>
      </c>
      <c r="H195" s="9" t="n">
        <v>1</v>
      </c>
      <c r="I195" s="10" t="n">
        <v>43869</v>
      </c>
      <c r="J195" s="10" t="n">
        <v>43869</v>
      </c>
      <c r="K195" s="9" t="n">
        <v>22.23834</v>
      </c>
      <c r="L195" s="9" t="n">
        <v>68.97141000000001</v>
      </c>
      <c r="M195" s="9" t="inlineStr">
        <is>
          <t>https://www.google.com/maps/place/?q=place_id:ChIJ55U7aZadVjkROE5QB2lR5I0</t>
        </is>
      </c>
    </row>
    <row r="196">
      <c r="A196" s="9" t="n">
        <v>192</v>
      </c>
      <c r="B196" s="9" t="inlineStr">
        <is>
          <t>Dwarka</t>
        </is>
      </c>
      <c r="C196" s="9" t="inlineStr">
        <is>
          <t>Dwarka</t>
        </is>
      </c>
      <c r="D196" s="9" t="inlineStr">
        <is>
          <t>Gujarat</t>
        </is>
      </c>
      <c r="E196" s="9" t="inlineStr">
        <is>
          <t>India</t>
        </is>
      </c>
      <c r="F196" s="9" t="n">
        <v>1</v>
      </c>
      <c r="G196" s="9" t="n">
        <v>1</v>
      </c>
      <c r="H196" s="9" t="n">
        <v>1</v>
      </c>
      <c r="I196" s="10" t="n">
        <v>45247</v>
      </c>
      <c r="J196" s="10" t="n">
        <v>45247</v>
      </c>
      <c r="K196" s="9" t="n">
        <v>22.24189</v>
      </c>
      <c r="L196" s="9" t="n">
        <v>68.96626999999999</v>
      </c>
      <c r="M196" s="9" t="inlineStr">
        <is>
          <t>https://www.google.com/maps/place/?q=place_id:ChIJnVz9nSWcVjkRGtuuC19stLQ</t>
        </is>
      </c>
    </row>
    <row r="197">
      <c r="A197" s="9" t="n">
        <v>193</v>
      </c>
      <c r="B197" s="9" t="inlineStr">
        <is>
          <t>Dwarka</t>
        </is>
      </c>
      <c r="C197" s="9" t="inlineStr">
        <is>
          <t>Dwarka</t>
        </is>
      </c>
      <c r="D197" s="9" t="inlineStr">
        <is>
          <t>Gujarat</t>
        </is>
      </c>
      <c r="E197" s="9" t="inlineStr">
        <is>
          <t>India</t>
        </is>
      </c>
      <c r="F197" s="9" t="n">
        <v>1</v>
      </c>
      <c r="G197" s="9" t="n">
        <v>1</v>
      </c>
      <c r="H197" s="9" t="n">
        <v>1</v>
      </c>
      <c r="I197" s="10" t="n">
        <v>45249</v>
      </c>
      <c r="J197" s="10" t="n">
        <v>45249</v>
      </c>
      <c r="K197" s="9" t="n">
        <v>22.25731</v>
      </c>
      <c r="L197" s="9" t="n">
        <v>68.96442</v>
      </c>
      <c r="M197" s="9" t="inlineStr">
        <is>
          <t>https://www.google.com/maps/place/?q=place_id:ChIJXdijj4WeVjkR4-FA2P4LDcU</t>
        </is>
      </c>
    </row>
    <row r="198">
      <c r="A198" s="9" t="n">
        <v>194</v>
      </c>
      <c r="B198" s="9" t="inlineStr">
        <is>
          <t>Dwarka</t>
        </is>
      </c>
      <c r="C198" s="9" t="inlineStr">
        <is>
          <t>Dwarka</t>
        </is>
      </c>
      <c r="D198" s="9" t="inlineStr">
        <is>
          <t>Gujarat</t>
        </is>
      </c>
      <c r="E198" s="9" t="inlineStr">
        <is>
          <t>India</t>
        </is>
      </c>
      <c r="F198" s="9" t="n">
        <v>1</v>
      </c>
      <c r="G198" s="9" t="n">
        <v>2</v>
      </c>
      <c r="H198" s="9" t="n">
        <v>1</v>
      </c>
      <c r="I198" s="10" t="n">
        <v>45254</v>
      </c>
      <c r="J198" s="10" t="n">
        <v>45255</v>
      </c>
      <c r="K198" s="9" t="n">
        <v>22.23731</v>
      </c>
      <c r="L198" s="9" t="n">
        <v>68.96625</v>
      </c>
      <c r="M198" s="9" t="inlineStr">
        <is>
          <t>https://www.google.com/maps/place/?q=place_id:ChIJs-1lpjqcVjkRbCiLGZ4fQ7I</t>
        </is>
      </c>
    </row>
    <row r="199">
      <c r="A199" s="9" t="n">
        <v>195</v>
      </c>
      <c r="B199" s="9" t="inlineStr">
        <is>
          <t>Jamnagar</t>
        </is>
      </c>
      <c r="C199" s="9" t="inlineStr">
        <is>
          <t>Jamnagar</t>
        </is>
      </c>
      <c r="D199" s="9" t="inlineStr">
        <is>
          <t>Gujarat</t>
        </is>
      </c>
      <c r="E199" s="9" t="inlineStr">
        <is>
          <t>India</t>
        </is>
      </c>
      <c r="F199" s="9" t="n">
        <v>2</v>
      </c>
      <c r="G199" s="9" t="n">
        <v>2</v>
      </c>
      <c r="H199" s="9" t="n">
        <v>2</v>
      </c>
      <c r="I199" s="10" t="n">
        <v>45246</v>
      </c>
      <c r="J199" s="10" t="n">
        <v>45254</v>
      </c>
      <c r="K199" s="9" t="n">
        <v>22.48284</v>
      </c>
      <c r="L199" s="9" t="n">
        <v>70.12242000000001</v>
      </c>
      <c r="M199" s="9" t="inlineStr">
        <is>
          <t>https://www.google.com/maps/place/?q=place_id:ChIJeYFgMA1qVzkR78gSkczTmME</t>
        </is>
      </c>
    </row>
    <row r="200">
      <c r="A200" s="9" t="n">
        <v>196</v>
      </c>
      <c r="B200" s="9" t="inlineStr">
        <is>
          <t>Sikka</t>
        </is>
      </c>
      <c r="C200" s="9" t="inlineStr">
        <is>
          <t>Jamnagar</t>
        </is>
      </c>
      <c r="D200" s="9" t="inlineStr">
        <is>
          <t>Gujarat</t>
        </is>
      </c>
      <c r="E200" s="9" t="inlineStr">
        <is>
          <t>India</t>
        </is>
      </c>
      <c r="F200" s="9" t="n">
        <v>1</v>
      </c>
      <c r="G200" s="9" t="n">
        <v>1</v>
      </c>
      <c r="H200" s="9" t="n">
        <v>1</v>
      </c>
      <c r="I200" s="10" t="n">
        <v>42933</v>
      </c>
      <c r="J200" s="10" t="n">
        <v>42933</v>
      </c>
      <c r="K200" s="9" t="n">
        <v>22.43539</v>
      </c>
      <c r="L200" s="9" t="n">
        <v>69.90143</v>
      </c>
      <c r="M200" s="9" t="inlineStr">
        <is>
          <t>https://www.google.com/maps/place/?q=place_id:ChIJNy07BbcXVzkRkTA3_Tm2BYc</t>
        </is>
      </c>
    </row>
    <row r="201">
      <c r="A201" s="9" t="n">
        <v>197</v>
      </c>
      <c r="B201" s="9" t="inlineStr">
        <is>
          <t>Jamnagar</t>
        </is>
      </c>
      <c r="C201" s="9" t="inlineStr">
        <is>
          <t>Jamnagar</t>
        </is>
      </c>
      <c r="D201" s="9" t="inlineStr">
        <is>
          <t>Gujarat</t>
        </is>
      </c>
      <c r="E201" s="9" t="inlineStr">
        <is>
          <t>India</t>
        </is>
      </c>
      <c r="F201" s="9" t="n">
        <v>1</v>
      </c>
      <c r="G201" s="9" t="n">
        <v>1</v>
      </c>
      <c r="H201" s="9" t="n">
        <v>1</v>
      </c>
      <c r="I201" s="10" t="n">
        <v>43869</v>
      </c>
      <c r="J201" s="10" t="n">
        <v>43869</v>
      </c>
      <c r="K201" s="9" t="n">
        <v>22.46963</v>
      </c>
      <c r="L201" s="9" t="n">
        <v>70.04241</v>
      </c>
      <c r="M201" s="9" t="inlineStr">
        <is>
          <t>https://www.google.com/maps/place/?q=place_id:ChIJ70mDJE4VVzkRF_WILHeAF9w</t>
        </is>
      </c>
    </row>
    <row r="202">
      <c r="A202" s="9" t="n">
        <v>198</v>
      </c>
      <c r="B202" s="9" t="inlineStr">
        <is>
          <t>Bedi</t>
        </is>
      </c>
      <c r="C202" s="9" t="inlineStr">
        <is>
          <t>Jamnagar</t>
        </is>
      </c>
      <c r="D202" s="9" t="inlineStr">
        <is>
          <t>Gujarat</t>
        </is>
      </c>
      <c r="E202" s="9" t="inlineStr">
        <is>
          <t>India</t>
        </is>
      </c>
      <c r="F202" s="9" t="n">
        <v>1</v>
      </c>
      <c r="G202" s="9" t="n">
        <v>1</v>
      </c>
      <c r="H202" s="9" t="n">
        <v>1</v>
      </c>
      <c r="I202" s="10" t="n">
        <v>43869</v>
      </c>
      <c r="J202" s="10" t="n">
        <v>43869</v>
      </c>
      <c r="K202" s="9" t="n">
        <v>22.43769</v>
      </c>
      <c r="L202" s="9" t="n">
        <v>69.96335000000001</v>
      </c>
      <c r="M202" s="9" t="inlineStr">
        <is>
          <t>https://www.google.com/maps/place/?q=place_id:ChIJxfQ31J4VVzkR-ptRG46Id-U</t>
        </is>
      </c>
    </row>
    <row r="203">
      <c r="A203" s="9" t="n">
        <v>199</v>
      </c>
      <c r="B203" s="9" t="inlineStr">
        <is>
          <t>Bedi</t>
        </is>
      </c>
      <c r="C203" s="9" t="inlineStr">
        <is>
          <t>Jamnagar</t>
        </is>
      </c>
      <c r="D203" s="9" t="inlineStr">
        <is>
          <t>Gujarat</t>
        </is>
      </c>
      <c r="E203" s="9" t="inlineStr">
        <is>
          <t>India</t>
        </is>
      </c>
      <c r="F203" s="9" t="n">
        <v>1</v>
      </c>
      <c r="G203" s="9" t="n">
        <v>1</v>
      </c>
      <c r="H203" s="9" t="n">
        <v>1</v>
      </c>
      <c r="I203" s="10" t="n">
        <v>45246</v>
      </c>
      <c r="J203" s="10" t="n">
        <v>45246</v>
      </c>
      <c r="K203" s="9" t="n">
        <v>22.46071</v>
      </c>
      <c r="L203" s="9" t="n">
        <v>70.0159</v>
      </c>
      <c r="M203" s="9" t="inlineStr">
        <is>
          <t>https://www.google.com/maps/place/?q=place_id:ChIJGbtf6G0VVzkRlKy00hsTXrE</t>
        </is>
      </c>
    </row>
    <row r="204">
      <c r="A204" s="9" t="n">
        <v>200</v>
      </c>
      <c r="B204" s="9" t="inlineStr">
        <is>
          <t>Jamnagar</t>
        </is>
      </c>
      <c r="C204" s="9" t="inlineStr">
        <is>
          <t>Jamnagar</t>
        </is>
      </c>
      <c r="D204" s="9" t="inlineStr">
        <is>
          <t>Gujarat</t>
        </is>
      </c>
      <c r="E204" s="9" t="inlineStr">
        <is>
          <t>India</t>
        </is>
      </c>
      <c r="F204" s="9" t="n">
        <v>1</v>
      </c>
      <c r="G204" s="9" t="n">
        <v>1</v>
      </c>
      <c r="H204" s="9" t="n">
        <v>1</v>
      </c>
      <c r="I204" s="10" t="n">
        <v>45246</v>
      </c>
      <c r="J204" s="10" t="n">
        <v>45246</v>
      </c>
      <c r="K204" s="9" t="n">
        <v>22.47306</v>
      </c>
      <c r="L204" s="9" t="n">
        <v>70.06413000000001</v>
      </c>
      <c r="M204" s="9" t="inlineStr">
        <is>
          <t>https://www.google.com/maps/place/?q=place_id:ChIJWzMEzLpqVzkRsVAnJvw6BNI</t>
        </is>
      </c>
    </row>
    <row r="205">
      <c r="A205" s="9" t="n">
        <v>201</v>
      </c>
      <c r="B205" s="9" t="inlineStr">
        <is>
          <t>Jamnagar</t>
        </is>
      </c>
      <c r="C205" s="9" t="inlineStr">
        <is>
          <t>Jamnagar</t>
        </is>
      </c>
      <c r="D205" s="9" t="inlineStr">
        <is>
          <t>Gujarat</t>
        </is>
      </c>
      <c r="E205" s="9" t="inlineStr">
        <is>
          <t>India</t>
        </is>
      </c>
      <c r="F205" s="9" t="n">
        <v>1</v>
      </c>
      <c r="G205" s="9" t="n">
        <v>1</v>
      </c>
      <c r="H205" s="9" t="n">
        <v>1</v>
      </c>
      <c r="I205" s="10" t="n">
        <v>45246</v>
      </c>
      <c r="J205" s="10" t="n">
        <v>45246</v>
      </c>
      <c r="K205" s="9" t="n">
        <v>22.46414</v>
      </c>
      <c r="L205" s="9" t="n">
        <v>70.08004</v>
      </c>
      <c r="M205" s="9" t="inlineStr">
        <is>
          <t>https://www.google.com/maps/place/?q=place_id:ChIJFSf7VJNqVzkRAdwHi2SYlUY</t>
        </is>
      </c>
    </row>
    <row r="206">
      <c r="A206" s="9" t="n">
        <v>202</v>
      </c>
      <c r="B206" s="9" t="inlineStr">
        <is>
          <t>Dhrol</t>
        </is>
      </c>
      <c r="C206" s="9" t="inlineStr">
        <is>
          <t>Jamnagar</t>
        </is>
      </c>
      <c r="D206" s="9" t="inlineStr">
        <is>
          <t>Gujarat</t>
        </is>
      </c>
      <c r="E206" s="9" t="inlineStr">
        <is>
          <t>India</t>
        </is>
      </c>
      <c r="F206" s="9" t="n">
        <v>1</v>
      </c>
      <c r="G206" s="9" t="n">
        <v>1</v>
      </c>
      <c r="H206" s="9" t="n">
        <v>1</v>
      </c>
      <c r="I206" s="10" t="n">
        <v>45254</v>
      </c>
      <c r="J206" s="10" t="n">
        <v>45254</v>
      </c>
      <c r="K206" s="9" t="n">
        <v>22.52718</v>
      </c>
      <c r="L206" s="9" t="n">
        <v>70.29686</v>
      </c>
      <c r="M206" s="9" t="inlineStr">
        <is>
          <t>https://www.google.com/maps/place/?q=place_id:ChIJCejhwNVdVzkRePGOWae2L0Q</t>
        </is>
      </c>
    </row>
    <row r="207">
      <c r="A207" s="9" t="n">
        <v>203</v>
      </c>
      <c r="B207" s="9" t="inlineStr">
        <is>
          <t>Jetpur</t>
        </is>
      </c>
      <c r="C207" s="9" t="inlineStr">
        <is>
          <t>Jetpur</t>
        </is>
      </c>
      <c r="D207" s="9" t="inlineStr">
        <is>
          <t>Gujarat</t>
        </is>
      </c>
      <c r="E207" s="9" t="inlineStr">
        <is>
          <t>India</t>
        </is>
      </c>
      <c r="F207" s="9" t="n">
        <v>1</v>
      </c>
      <c r="G207" s="9" t="n">
        <v>1</v>
      </c>
      <c r="H207" s="9" t="n">
        <v>1</v>
      </c>
      <c r="I207" s="10" t="n">
        <v>43872</v>
      </c>
      <c r="J207" s="10" t="n">
        <v>43872</v>
      </c>
      <c r="K207" s="9" t="n">
        <v>21.8054</v>
      </c>
      <c r="L207" s="9" t="n">
        <v>70.66385</v>
      </c>
      <c r="M207" s="9" t="inlineStr">
        <is>
          <t>https://www.google.com/maps/place/?q=place_id:ChIJfZb38LUXWDkR0S2TheZhDN4</t>
        </is>
      </c>
    </row>
    <row r="208">
      <c r="A208" s="9" t="n">
        <v>204</v>
      </c>
      <c r="B208" s="9" t="inlineStr">
        <is>
          <t>Junagadh</t>
        </is>
      </c>
      <c r="C208" s="9" t="inlineStr">
        <is>
          <t>Junagadh</t>
        </is>
      </c>
      <c r="D208" s="9" t="inlineStr">
        <is>
          <t>Gujarat</t>
        </is>
      </c>
      <c r="E208" s="9" t="inlineStr">
        <is>
          <t>India</t>
        </is>
      </c>
      <c r="F208" s="9" t="n">
        <v>1</v>
      </c>
      <c r="G208" s="9" t="n">
        <v>1</v>
      </c>
      <c r="H208" s="9" t="n">
        <v>1</v>
      </c>
      <c r="I208" s="10" t="n">
        <v>45250</v>
      </c>
      <c r="J208" s="10" t="n">
        <v>45250</v>
      </c>
      <c r="K208" s="9" t="n">
        <v>21.59207</v>
      </c>
      <c r="L208" s="9" t="n">
        <v>70.48379</v>
      </c>
      <c r="M208" s="9" t="inlineStr">
        <is>
          <t>https://www.google.com/maps/place/?q=place_id:ChIJa3G39DUDWDkR1EXhxam56_o</t>
        </is>
      </c>
    </row>
    <row r="209">
      <c r="A209" s="9" t="n">
        <v>205</v>
      </c>
      <c r="B209" s="9" t="inlineStr">
        <is>
          <t>Junagadh</t>
        </is>
      </c>
      <c r="C209" s="9" t="inlineStr">
        <is>
          <t>Junagadh</t>
        </is>
      </c>
      <c r="D209" s="9" t="inlineStr">
        <is>
          <t>Gujarat</t>
        </is>
      </c>
      <c r="E209" s="9" t="inlineStr">
        <is>
          <t>India</t>
        </is>
      </c>
      <c r="F209" s="9" t="n">
        <v>1</v>
      </c>
      <c r="G209" s="9" t="n">
        <v>1</v>
      </c>
      <c r="H209" s="9" t="n">
        <v>1</v>
      </c>
      <c r="I209" s="10" t="n">
        <v>45256</v>
      </c>
      <c r="J209" s="10" t="n">
        <v>45256</v>
      </c>
      <c r="K209" s="9" t="n">
        <v>21.55754</v>
      </c>
      <c r="L209" s="9" t="n">
        <v>70.46420000000001</v>
      </c>
      <c r="M209" s="9" t="inlineStr">
        <is>
          <t>https://www.google.com/maps/place/?q=place_id:ChIJ35p-CegBWDkRXlNEPNUF4-g</t>
        </is>
      </c>
    </row>
    <row r="210">
      <c r="A210" s="9" t="n">
        <v>206</v>
      </c>
      <c r="B210" s="9" t="inlineStr">
        <is>
          <t>Khambhaliya</t>
        </is>
      </c>
      <c r="C210" s="9" t="inlineStr">
        <is>
          <t>Khambhaliya</t>
        </is>
      </c>
      <c r="D210" s="9" t="inlineStr">
        <is>
          <t>Gujarat</t>
        </is>
      </c>
      <c r="E210" s="9" t="inlineStr">
        <is>
          <t>India</t>
        </is>
      </c>
      <c r="F210" s="9" t="n">
        <v>1</v>
      </c>
      <c r="G210" s="9" t="n">
        <v>1</v>
      </c>
      <c r="H210" s="9" t="n">
        <v>1</v>
      </c>
      <c r="I210" s="10" t="n">
        <v>43840</v>
      </c>
      <c r="J210" s="10" t="n">
        <v>43840</v>
      </c>
      <c r="K210" s="9" t="n">
        <v>22.21937</v>
      </c>
      <c r="L210" s="9" t="n">
        <v>69.66262</v>
      </c>
      <c r="M210" s="9" t="inlineStr">
        <is>
          <t>https://www.google.com/maps/place/?q=place_id:ChIJSQ53h2T9VjkR3mVukiCyJP8</t>
        </is>
      </c>
    </row>
    <row r="211">
      <c r="A211" s="9" t="n">
        <v>207</v>
      </c>
      <c r="B211" s="9" t="inlineStr">
        <is>
          <t>Khambhaliya</t>
        </is>
      </c>
      <c r="C211" s="9" t="inlineStr">
        <is>
          <t>Khambhaliya</t>
        </is>
      </c>
      <c r="D211" s="9" t="inlineStr">
        <is>
          <t>Gujarat</t>
        </is>
      </c>
      <c r="E211" s="9" t="inlineStr">
        <is>
          <t>India</t>
        </is>
      </c>
      <c r="F211" s="9" t="n">
        <v>1</v>
      </c>
      <c r="G211" s="9" t="n">
        <v>1</v>
      </c>
      <c r="H211" s="9" t="n">
        <v>1</v>
      </c>
      <c r="I211" s="10" t="n">
        <v>45246</v>
      </c>
      <c r="J211" s="10" t="n">
        <v>45246</v>
      </c>
      <c r="K211" s="9" t="n">
        <v>22.28703</v>
      </c>
      <c r="L211" s="9" t="n">
        <v>69.70371</v>
      </c>
      <c r="M211" s="9" t="inlineStr">
        <is>
          <t>https://www.google.com/maps/place/?q=place_id:ChIJedFHiRAdVzkRJzZyBiV4T6I</t>
        </is>
      </c>
    </row>
    <row r="212">
      <c r="A212" s="9" t="n">
        <v>208</v>
      </c>
      <c r="B212" s="9" t="inlineStr">
        <is>
          <t>Khapat</t>
        </is>
      </c>
      <c r="C212" s="9" t="inlineStr">
        <is>
          <t>Khapat</t>
        </is>
      </c>
      <c r="D212" s="9" t="inlineStr">
        <is>
          <t>Gujarat</t>
        </is>
      </c>
      <c r="E212" s="9" t="inlineStr">
        <is>
          <t>India</t>
        </is>
      </c>
      <c r="F212" s="9" t="n">
        <v>1</v>
      </c>
      <c r="G212" s="9" t="n">
        <v>1</v>
      </c>
      <c r="H212" s="9" t="n">
        <v>1</v>
      </c>
      <c r="I212" s="10" t="n">
        <v>43841</v>
      </c>
      <c r="J212" s="10" t="n">
        <v>43841</v>
      </c>
      <c r="K212" s="9" t="n">
        <v>21.68185</v>
      </c>
      <c r="L212" s="9" t="n">
        <v>69.60463</v>
      </c>
      <c r="M212" s="9" t="inlineStr">
        <is>
          <t>https://www.google.com/maps/place/?q=place_id:ChIJl14R2iY1VjkR7r2nZ3FBdPw</t>
        </is>
      </c>
    </row>
    <row r="213">
      <c r="A213" s="9" t="n">
        <v>209</v>
      </c>
      <c r="B213" s="9" t="inlineStr">
        <is>
          <t>Khapat</t>
        </is>
      </c>
      <c r="C213" s="9" t="inlineStr">
        <is>
          <t>Khapat</t>
        </is>
      </c>
      <c r="D213" s="9" t="inlineStr">
        <is>
          <t>Gujarat</t>
        </is>
      </c>
      <c r="E213" s="9" t="inlineStr">
        <is>
          <t>India</t>
        </is>
      </c>
      <c r="F213" s="9" t="n">
        <v>1</v>
      </c>
      <c r="G213" s="9" t="n">
        <v>1</v>
      </c>
      <c r="H213" s="9" t="n">
        <v>1</v>
      </c>
      <c r="I213" s="10" t="n">
        <v>43871</v>
      </c>
      <c r="J213" s="10" t="n">
        <v>43871</v>
      </c>
      <c r="K213" s="9" t="n">
        <v>21.65614</v>
      </c>
      <c r="L213" s="9" t="n">
        <v>69.6176</v>
      </c>
      <c r="M213" s="9" t="inlineStr">
        <is>
          <t>https://www.google.com/maps/place/?q=place_id:ChIJyRi9pqs1VjkRN1QR5AdKNGo</t>
        </is>
      </c>
    </row>
    <row r="214">
      <c r="A214" s="9" t="n">
        <v>210</v>
      </c>
      <c r="B214" s="9" t="inlineStr">
        <is>
          <t>Limbdi</t>
        </is>
      </c>
      <c r="C214" s="9" t="inlineStr">
        <is>
          <t>Limbdi</t>
        </is>
      </c>
      <c r="D214" s="9" t="inlineStr">
        <is>
          <t>Gujarat</t>
        </is>
      </c>
      <c r="E214" s="9" t="inlineStr">
        <is>
          <t>India</t>
        </is>
      </c>
      <c r="F214" s="9" t="n">
        <v>3</v>
      </c>
      <c r="G214" s="9" t="n">
        <v>3</v>
      </c>
      <c r="H214" s="9" t="n">
        <v>3</v>
      </c>
      <c r="I214" s="10" t="n">
        <v>43869</v>
      </c>
      <c r="J214" s="10" t="n">
        <v>45257</v>
      </c>
      <c r="K214" s="9" t="n">
        <v>22.57536</v>
      </c>
      <c r="L214" s="9" t="n">
        <v>71.81689</v>
      </c>
      <c r="M214" s="9" t="inlineStr">
        <is>
          <t>https://www.google.com/maps/place/?q=place_id:ChIJjS2vcxsxWTkRm23Dn2yuPFk</t>
        </is>
      </c>
    </row>
    <row r="215">
      <c r="A215" s="9" t="n">
        <v>211</v>
      </c>
      <c r="B215" s="9" t="inlineStr">
        <is>
          <t>Limbdi</t>
        </is>
      </c>
      <c r="C215" s="9" t="inlineStr">
        <is>
          <t>Limbdi</t>
        </is>
      </c>
      <c r="D215" s="9" t="inlineStr">
        <is>
          <t>Gujarat</t>
        </is>
      </c>
      <c r="E215" s="9" t="inlineStr">
        <is>
          <t>India</t>
        </is>
      </c>
      <c r="F215" s="9" t="n">
        <v>1</v>
      </c>
      <c r="G215" s="9" t="n">
        <v>1</v>
      </c>
      <c r="H215" s="9" t="n">
        <v>1</v>
      </c>
      <c r="I215" s="10" t="n">
        <v>42933</v>
      </c>
      <c r="J215" s="10" t="n">
        <v>42933</v>
      </c>
      <c r="K215" s="9" t="n">
        <v>22.57559</v>
      </c>
      <c r="L215" s="9" t="n">
        <v>71.84741</v>
      </c>
      <c r="M215" s="9" t="inlineStr">
        <is>
          <t>https://www.google.com/maps/place/?q=place_id:ChIJ_8Kzw3oxWTkRvJq52yNZUuI</t>
        </is>
      </c>
    </row>
    <row r="216">
      <c r="A216" s="9" t="n">
        <v>212</v>
      </c>
      <c r="B216" s="9" t="inlineStr">
        <is>
          <t>Mangrol</t>
        </is>
      </c>
      <c r="C216" s="9" t="inlineStr">
        <is>
          <t>Mangrol</t>
        </is>
      </c>
      <c r="D216" s="9" t="inlineStr">
        <is>
          <t>Gujarat</t>
        </is>
      </c>
      <c r="E216" s="9" t="inlineStr">
        <is>
          <t>India</t>
        </is>
      </c>
      <c r="F216" s="9" t="n">
        <v>2</v>
      </c>
      <c r="G216" s="9" t="n">
        <v>1</v>
      </c>
      <c r="H216" s="9" t="n">
        <v>1</v>
      </c>
      <c r="I216" s="10" t="n">
        <v>43871</v>
      </c>
      <c r="J216" s="10" t="n">
        <v>43871</v>
      </c>
      <c r="K216" s="9" t="n">
        <v>21.26165</v>
      </c>
      <c r="L216" s="9" t="n">
        <v>69.96655</v>
      </c>
      <c r="M216" s="9" t="inlineStr">
        <is>
          <t>https://www.google.com/maps/place/?q=place_id:ChIJF6AGLJhm_TsR7Ydsl-7spYc</t>
        </is>
      </c>
    </row>
    <row r="217">
      <c r="A217" s="9" t="n">
        <v>213</v>
      </c>
      <c r="B217" s="9" t="inlineStr">
        <is>
          <t>Mangrol</t>
        </is>
      </c>
      <c r="C217" s="9" t="inlineStr">
        <is>
          <t>Mangrol</t>
        </is>
      </c>
      <c r="D217" s="9" t="inlineStr">
        <is>
          <t>Gujarat</t>
        </is>
      </c>
      <c r="E217" s="9" t="inlineStr">
        <is>
          <t>India</t>
        </is>
      </c>
      <c r="F217" s="9" t="n">
        <v>1</v>
      </c>
      <c r="G217" s="9" t="n">
        <v>1</v>
      </c>
      <c r="H217" s="9" t="n">
        <v>1</v>
      </c>
      <c r="I217" s="10" t="n">
        <v>43871</v>
      </c>
      <c r="J217" s="10" t="n">
        <v>43871</v>
      </c>
      <c r="K217" s="9" t="n">
        <v>21.25623</v>
      </c>
      <c r="L217" s="9" t="n">
        <v>69.95757</v>
      </c>
      <c r="M217" s="9" t="inlineStr">
        <is>
          <t>https://www.google.com/maps/place/?q=place_id:ChIJG4-my51m_TsRD5ARPQesSUc</t>
        </is>
      </c>
    </row>
    <row r="218">
      <c r="A218" s="9" t="n">
        <v>214</v>
      </c>
      <c r="B218" s="9" t="inlineStr">
        <is>
          <t>Modasa</t>
        </is>
      </c>
      <c r="C218" s="9" t="inlineStr">
        <is>
          <t>Modasa</t>
        </is>
      </c>
      <c r="D218" s="9" t="inlineStr">
        <is>
          <t>Gujarat</t>
        </is>
      </c>
      <c r="E218" s="9" t="inlineStr">
        <is>
          <t>India</t>
        </is>
      </c>
      <c r="F218" s="9" t="n">
        <v>1</v>
      </c>
      <c r="G218" s="9" t="n">
        <v>1</v>
      </c>
      <c r="H218" s="9" t="n">
        <v>1</v>
      </c>
      <c r="I218" s="10" t="n">
        <v>45252</v>
      </c>
      <c r="J218" s="10" t="n">
        <v>45252</v>
      </c>
      <c r="K218" s="9" t="n">
        <v>23.5031</v>
      </c>
      <c r="L218" s="9" t="n">
        <v>73.30441999999999</v>
      </c>
      <c r="M218" s="9" t="inlineStr">
        <is>
          <t>https://www.google.com/maps/place/?q=place_id:ChIJId9sBe3xXTkR2Irg90Zjuqs</t>
        </is>
      </c>
    </row>
    <row r="219">
      <c r="A219" s="9" t="n">
        <v>215</v>
      </c>
      <c r="B219" s="9" t="inlineStr">
        <is>
          <t>Okha</t>
        </is>
      </c>
      <c r="C219" s="9" t="inlineStr">
        <is>
          <t>Okha</t>
        </is>
      </c>
      <c r="D219" s="9" t="inlineStr">
        <is>
          <t>Gujarat</t>
        </is>
      </c>
      <c r="E219" s="9" t="inlineStr">
        <is>
          <t>India</t>
        </is>
      </c>
      <c r="F219" s="9" t="n">
        <v>4</v>
      </c>
      <c r="G219" s="9" t="n">
        <v>4</v>
      </c>
      <c r="H219" s="9" t="n">
        <v>4</v>
      </c>
      <c r="I219" s="10" t="n">
        <v>43870</v>
      </c>
      <c r="J219" s="10" t="n">
        <v>45684</v>
      </c>
      <c r="K219" s="9" t="n">
        <v>22.33596</v>
      </c>
      <c r="L219" s="9" t="n">
        <v>69.08701000000001</v>
      </c>
      <c r="M219" s="9" t="inlineStr">
        <is>
          <t>https://www.google.com/maps/place/?q=place_id:ChIJY79pSRiYVjkR_DnaH0A21qY</t>
        </is>
      </c>
    </row>
    <row r="220">
      <c r="A220" s="9" t="n">
        <v>216</v>
      </c>
      <c r="B220" s="9" t="inlineStr">
        <is>
          <t>Okha</t>
        </is>
      </c>
      <c r="C220" s="9" t="inlineStr">
        <is>
          <t>Okha</t>
        </is>
      </c>
      <c r="D220" s="9" t="inlineStr">
        <is>
          <t>Gujarat</t>
        </is>
      </c>
      <c r="E220" s="9" t="inlineStr">
        <is>
          <t>India</t>
        </is>
      </c>
      <c r="F220" s="9" t="n">
        <v>3</v>
      </c>
      <c r="G220" s="9" t="n">
        <v>2</v>
      </c>
      <c r="H220" s="9" t="n">
        <v>2</v>
      </c>
      <c r="I220" s="10" t="n">
        <v>45247</v>
      </c>
      <c r="J220" s="10" t="n">
        <v>45255</v>
      </c>
      <c r="K220" s="9" t="n">
        <v>22.46633</v>
      </c>
      <c r="L220" s="9" t="n">
        <v>69.07893</v>
      </c>
      <c r="M220" s="9" t="inlineStr">
        <is>
          <t>https://www.google.com/maps/place/?q=place_id:ChIJE59qzTClVjkR1OXDRM0vqu0</t>
        </is>
      </c>
    </row>
    <row r="221">
      <c r="A221" s="9" t="n">
        <v>217</v>
      </c>
      <c r="B221" s="9" t="inlineStr">
        <is>
          <t>Okha</t>
        </is>
      </c>
      <c r="C221" s="9" t="inlineStr">
        <is>
          <t>Okha</t>
        </is>
      </c>
      <c r="D221" s="9" t="inlineStr">
        <is>
          <t>Gujarat</t>
        </is>
      </c>
      <c r="E221" s="9" t="inlineStr">
        <is>
          <t>India</t>
        </is>
      </c>
      <c r="F221" s="9" t="n">
        <v>2</v>
      </c>
      <c r="G221" s="9" t="n">
        <v>2</v>
      </c>
      <c r="H221" s="9" t="n">
        <v>2</v>
      </c>
      <c r="I221" s="10" t="n">
        <v>43841</v>
      </c>
      <c r="J221" s="10" t="n">
        <v>43870</v>
      </c>
      <c r="K221" s="9" t="n">
        <v>22.46619</v>
      </c>
      <c r="L221" s="9" t="n">
        <v>69.07912</v>
      </c>
      <c r="M221" s="9" t="inlineStr">
        <is>
          <t>https://www.google.com/maps/place/?q=place_id:ChIJDev1xSOlVjkRl9FFwrzIRMQ</t>
        </is>
      </c>
    </row>
    <row r="222">
      <c r="A222" s="9" t="n">
        <v>218</v>
      </c>
      <c r="B222" s="9" t="inlineStr">
        <is>
          <t>Okha</t>
        </is>
      </c>
      <c r="C222" s="9" t="inlineStr">
        <is>
          <t>Okha</t>
        </is>
      </c>
      <c r="D222" s="9" t="inlineStr">
        <is>
          <t>Gujarat</t>
        </is>
      </c>
      <c r="E222" s="9" t="inlineStr">
        <is>
          <t>India</t>
        </is>
      </c>
      <c r="F222" s="9" t="n">
        <v>2</v>
      </c>
      <c r="G222" s="9" t="n">
        <v>2</v>
      </c>
      <c r="H222" s="9" t="n">
        <v>2</v>
      </c>
      <c r="I222" s="10" t="n">
        <v>43870</v>
      </c>
      <c r="J222" s="10" t="n">
        <v>45255</v>
      </c>
      <c r="K222" s="9" t="n">
        <v>22.36983</v>
      </c>
      <c r="L222" s="9" t="n">
        <v>69.10885</v>
      </c>
      <c r="M222" s="9" t="inlineStr">
        <is>
          <t>https://www.google.com/maps/place/?q=place_id:ChIJNQM9CVC9VjkR5Jg7rJdMbx0</t>
        </is>
      </c>
    </row>
    <row r="223">
      <c r="A223" s="9" t="n">
        <v>219</v>
      </c>
      <c r="B223" s="9" t="inlineStr">
        <is>
          <t>Okha</t>
        </is>
      </c>
      <c r="C223" s="9" t="inlineStr">
        <is>
          <t>Okha</t>
        </is>
      </c>
      <c r="D223" s="9" t="inlineStr">
        <is>
          <t>Gujarat</t>
        </is>
      </c>
      <c r="E223" s="9" t="inlineStr">
        <is>
          <t>India</t>
        </is>
      </c>
      <c r="F223" s="9" t="n">
        <v>2</v>
      </c>
      <c r="G223" s="9" t="n">
        <v>2</v>
      </c>
      <c r="H223" s="9" t="n">
        <v>1</v>
      </c>
      <c r="I223" s="10" t="n">
        <v>45247</v>
      </c>
      <c r="J223" s="10" t="n">
        <v>45248</v>
      </c>
      <c r="K223" s="9" t="n">
        <v>22.45154</v>
      </c>
      <c r="L223" s="9" t="n">
        <v>69.09182</v>
      </c>
      <c r="M223" s="9" t="inlineStr">
        <is>
          <t>https://www.google.com/maps/place/?q=place_id:ChIJoYTk7dKlVjkRTnlB90vi6zo</t>
        </is>
      </c>
    </row>
    <row r="224">
      <c r="A224" s="9" t="n">
        <v>220</v>
      </c>
      <c r="B224" s="9" t="inlineStr">
        <is>
          <t>Okha</t>
        </is>
      </c>
      <c r="C224" s="9" t="inlineStr">
        <is>
          <t>Okha</t>
        </is>
      </c>
      <c r="D224" s="9" t="inlineStr">
        <is>
          <t>Gujarat</t>
        </is>
      </c>
      <c r="E224" s="9" t="inlineStr">
        <is>
          <t>India</t>
        </is>
      </c>
      <c r="F224" s="9" t="n">
        <v>2</v>
      </c>
      <c r="G224" s="9" t="n">
        <v>2</v>
      </c>
      <c r="H224" s="9" t="n">
        <v>2</v>
      </c>
      <c r="I224" s="10" t="n">
        <v>45249</v>
      </c>
      <c r="J224" s="10" t="n">
        <v>45684</v>
      </c>
      <c r="K224" s="9" t="n">
        <v>22.36988</v>
      </c>
      <c r="L224" s="9" t="n">
        <v>69.10883</v>
      </c>
      <c r="M224" s="9" t="inlineStr">
        <is>
          <t>https://www.google.com/maps/place/?q=place_id:ChIJc8Qkm6WeVjkR_wa2RsmWRIs</t>
        </is>
      </c>
    </row>
    <row r="225">
      <c r="A225" s="9" t="n">
        <v>221</v>
      </c>
      <c r="B225" s="9" t="inlineStr">
        <is>
          <t>Okha</t>
        </is>
      </c>
      <c r="C225" s="9" t="inlineStr">
        <is>
          <t>Okha</t>
        </is>
      </c>
      <c r="D225" s="9" t="inlineStr">
        <is>
          <t>Gujarat</t>
        </is>
      </c>
      <c r="E225" s="9" t="inlineStr">
        <is>
          <t>India</t>
        </is>
      </c>
      <c r="F225" s="9" t="n">
        <v>2</v>
      </c>
      <c r="G225" s="9" t="n">
        <v>2</v>
      </c>
      <c r="H225" s="9" t="n">
        <v>2</v>
      </c>
      <c r="I225" s="10" t="n">
        <v>45255</v>
      </c>
      <c r="J225" s="10" t="n">
        <v>45684</v>
      </c>
      <c r="K225" s="9" t="n">
        <v>22.45199</v>
      </c>
      <c r="L225" s="9" t="n">
        <v>69.096</v>
      </c>
      <c r="M225" s="9" t="inlineStr">
        <is>
          <t>https://www.google.com/maps/place/?q=place_id:ChIJW7msJKukVjkRwNBp9iCCIZc</t>
        </is>
      </c>
    </row>
    <row r="226">
      <c r="A226" s="9" t="n">
        <v>222</v>
      </c>
      <c r="B226" s="9" t="inlineStr">
        <is>
          <t>Okha</t>
        </is>
      </c>
      <c r="C226" s="9" t="inlineStr">
        <is>
          <t>Okha</t>
        </is>
      </c>
      <c r="D226" s="9" t="inlineStr">
        <is>
          <t>Gujarat</t>
        </is>
      </c>
      <c r="E226" s="9" t="inlineStr">
        <is>
          <t>India</t>
        </is>
      </c>
      <c r="F226" s="9" t="n">
        <v>1</v>
      </c>
      <c r="G226" s="9" t="n">
        <v>1</v>
      </c>
      <c r="H226" s="9" t="n">
        <v>1</v>
      </c>
      <c r="I226" s="10" t="n">
        <v>42933</v>
      </c>
      <c r="J226" s="10" t="n">
        <v>42933</v>
      </c>
      <c r="K226" s="9" t="n">
        <v>22.46617</v>
      </c>
      <c r="L226" s="9" t="n">
        <v>69.07917</v>
      </c>
      <c r="M226" s="9" t="inlineStr">
        <is>
          <t>https://www.google.com/maps/place/?q=place_id:ChIJq-VR1bikVjkR1w5DOmdpOyk</t>
        </is>
      </c>
    </row>
    <row r="227">
      <c r="A227" s="9" t="n">
        <v>223</v>
      </c>
      <c r="B227" s="9" t="inlineStr">
        <is>
          <t>Okha</t>
        </is>
      </c>
      <c r="C227" s="9" t="inlineStr">
        <is>
          <t>Okha</t>
        </is>
      </c>
      <c r="D227" s="9" t="inlineStr">
        <is>
          <t>Gujarat</t>
        </is>
      </c>
      <c r="E227" s="9" t="inlineStr">
        <is>
          <t>India</t>
        </is>
      </c>
      <c r="F227" s="9" t="n">
        <v>1</v>
      </c>
      <c r="G227" s="9" t="n">
        <v>1</v>
      </c>
      <c r="H227" s="9" t="n">
        <v>1</v>
      </c>
      <c r="I227" s="10" t="n">
        <v>42933</v>
      </c>
      <c r="J227" s="10" t="n">
        <v>42933</v>
      </c>
      <c r="K227" s="9" t="n">
        <v>22.46631</v>
      </c>
      <c r="L227" s="9" t="n">
        <v>69.07832000000001</v>
      </c>
      <c r="M227" s="9" t="inlineStr">
        <is>
          <t>https://www.google.com/maps/place/?q=place_id:ChIJD34uGL-kVjkR_Pg3Nt6jS9o</t>
        </is>
      </c>
    </row>
    <row r="228">
      <c r="A228" s="9" t="n">
        <v>224</v>
      </c>
      <c r="B228" s="9" t="inlineStr">
        <is>
          <t>Okha</t>
        </is>
      </c>
      <c r="C228" s="9" t="inlineStr">
        <is>
          <t>Okha</t>
        </is>
      </c>
      <c r="D228" s="9" t="inlineStr">
        <is>
          <t>Gujarat</t>
        </is>
      </c>
      <c r="E228" s="9" t="inlineStr">
        <is>
          <t>India</t>
        </is>
      </c>
      <c r="F228" s="9" t="n">
        <v>1</v>
      </c>
      <c r="G228" s="9" t="n">
        <v>1</v>
      </c>
      <c r="H228" s="9" t="n">
        <v>1</v>
      </c>
      <c r="I228" s="10" t="n">
        <v>45248</v>
      </c>
      <c r="J228" s="10" t="n">
        <v>45248</v>
      </c>
      <c r="K228" s="9" t="n">
        <v>22.45995</v>
      </c>
      <c r="L228" s="9" t="n">
        <v>69.06923999999999</v>
      </c>
      <c r="M228" s="9" t="inlineStr">
        <is>
          <t>https://www.google.com/maps/place/?q=place_id:ChIJx1G_bqKlVjkR203K9Mq_EmY</t>
        </is>
      </c>
    </row>
    <row r="229">
      <c r="A229" s="9" t="n">
        <v>225</v>
      </c>
      <c r="B229" s="9" t="inlineStr">
        <is>
          <t>Okha</t>
        </is>
      </c>
      <c r="C229" s="9" t="inlineStr">
        <is>
          <t>Okha</t>
        </is>
      </c>
      <c r="D229" s="9" t="inlineStr">
        <is>
          <t>Gujarat</t>
        </is>
      </c>
      <c r="E229" s="9" t="inlineStr">
        <is>
          <t>India</t>
        </is>
      </c>
      <c r="F229" s="9" t="n">
        <v>1</v>
      </c>
      <c r="G229" s="9" t="n">
        <v>1</v>
      </c>
      <c r="H229" s="9" t="n">
        <v>1</v>
      </c>
      <c r="I229" s="10" t="n">
        <v>45255</v>
      </c>
      <c r="J229" s="10" t="n">
        <v>45255</v>
      </c>
      <c r="K229" s="9" t="n">
        <v>22.46999</v>
      </c>
      <c r="L229" s="9" t="n">
        <v>69.07799</v>
      </c>
      <c r="M229" s="9" t="inlineStr">
        <is>
          <t>https://www.google.com/maps/place/?q=place_id:ChIJq6qqqpWkVjkRdVsGi_2WIoU</t>
        </is>
      </c>
    </row>
    <row r="230">
      <c r="A230" s="9" t="n">
        <v>226</v>
      </c>
      <c r="B230" s="9" t="inlineStr">
        <is>
          <t>Palanpur</t>
        </is>
      </c>
      <c r="C230" s="9" t="inlineStr">
        <is>
          <t>Palanpur</t>
        </is>
      </c>
      <c r="D230" s="9" t="inlineStr">
        <is>
          <t>Gujarat</t>
        </is>
      </c>
      <c r="E230" s="9" t="inlineStr">
        <is>
          <t>India</t>
        </is>
      </c>
      <c r="F230" s="9" t="n">
        <v>1</v>
      </c>
      <c r="G230" s="9" t="n">
        <v>1</v>
      </c>
      <c r="H230" s="9" t="n">
        <v>1</v>
      </c>
      <c r="I230" s="10" t="n">
        <v>43845</v>
      </c>
      <c r="J230" s="10" t="n">
        <v>43845</v>
      </c>
      <c r="K230" s="9" t="n">
        <v>24.09439</v>
      </c>
      <c r="L230" s="9" t="n">
        <v>72.39927</v>
      </c>
      <c r="M230" s="9" t="inlineStr">
        <is>
          <t>https://www.google.com/maps/place/?q=place_id:ChIJ1dTzYbbtXDkRwrCXhZKt1V8</t>
        </is>
      </c>
    </row>
    <row r="231">
      <c r="A231" s="9" t="n">
        <v>227</v>
      </c>
      <c r="B231" s="9" t="inlineStr">
        <is>
          <t>Porbandar</t>
        </is>
      </c>
      <c r="C231" s="9" t="inlineStr">
        <is>
          <t>Porbandar</t>
        </is>
      </c>
      <c r="D231" s="9" t="inlineStr">
        <is>
          <t>Gujarat</t>
        </is>
      </c>
      <c r="E231" s="9" t="inlineStr">
        <is>
          <t>India</t>
        </is>
      </c>
      <c r="F231" s="9" t="n">
        <v>5</v>
      </c>
      <c r="G231" s="9" t="n">
        <v>5</v>
      </c>
      <c r="H231" s="9" t="n">
        <v>5</v>
      </c>
      <c r="I231" s="10" t="n">
        <v>42934</v>
      </c>
      <c r="J231" s="10" t="n">
        <v>45685</v>
      </c>
      <c r="K231" s="9" t="n">
        <v>21.64136</v>
      </c>
      <c r="L231" s="9" t="n">
        <v>69.60554</v>
      </c>
      <c r="M231" s="9" t="inlineStr">
        <is>
          <t>https://www.google.com/maps/place/?q=place_id:ChIJWZmFHPM1VjkRCqT6zdhT4tc</t>
        </is>
      </c>
    </row>
    <row r="232">
      <c r="A232" s="9" t="n">
        <v>228</v>
      </c>
      <c r="B232" s="9" t="inlineStr">
        <is>
          <t>Porbandar</t>
        </is>
      </c>
      <c r="C232" s="9" t="inlineStr">
        <is>
          <t>Porbandar</t>
        </is>
      </c>
      <c r="D232" s="9" t="inlineStr">
        <is>
          <t>Gujarat</t>
        </is>
      </c>
      <c r="E232" s="9" t="inlineStr">
        <is>
          <t>India</t>
        </is>
      </c>
      <c r="F232" s="9" t="n">
        <v>1</v>
      </c>
      <c r="G232" s="9" t="n">
        <v>1</v>
      </c>
      <c r="H232" s="9" t="n">
        <v>1</v>
      </c>
      <c r="I232" s="10" t="n">
        <v>43841</v>
      </c>
      <c r="J232" s="10" t="n">
        <v>43841</v>
      </c>
      <c r="K232" s="9" t="n">
        <v>21.64222</v>
      </c>
      <c r="L232" s="9" t="n">
        <v>69.60548</v>
      </c>
      <c r="M232" s="9" t="inlineStr">
        <is>
          <t>https://www.google.com/maps/place/?q=place_id:ChIJP7IpEU80VjkR4Ca_KxhLFU0</t>
        </is>
      </c>
    </row>
    <row r="233">
      <c r="A233" s="9" t="n">
        <v>229</v>
      </c>
      <c r="B233" s="9" t="inlineStr">
        <is>
          <t>Porbandar</t>
        </is>
      </c>
      <c r="C233" s="9" t="inlineStr">
        <is>
          <t>Porbandar</t>
        </is>
      </c>
      <c r="D233" s="9" t="inlineStr">
        <is>
          <t>Gujarat</t>
        </is>
      </c>
      <c r="E233" s="9" t="inlineStr">
        <is>
          <t>India</t>
        </is>
      </c>
      <c r="F233" s="9" t="n">
        <v>1</v>
      </c>
      <c r="G233" s="9" t="n">
        <v>1</v>
      </c>
      <c r="H233" s="9" t="n">
        <v>1</v>
      </c>
      <c r="I233" s="10" t="n">
        <v>43871</v>
      </c>
      <c r="J233" s="10" t="n">
        <v>43871</v>
      </c>
      <c r="K233" s="9" t="n">
        <v>21.64137</v>
      </c>
      <c r="L233" s="9" t="n">
        <v>69.60087</v>
      </c>
      <c r="M233" s="9" t="inlineStr">
        <is>
          <t>https://www.google.com/maps/place/?q=place_id:ChIJVYZAAkk0VjkR4QOLk9xH_NU</t>
        </is>
      </c>
    </row>
    <row r="234">
      <c r="A234" s="9" t="n">
        <v>230</v>
      </c>
      <c r="B234" s="9" t="inlineStr">
        <is>
          <t>Porbandar</t>
        </is>
      </c>
      <c r="C234" s="9" t="inlineStr">
        <is>
          <t>Porbandar</t>
        </is>
      </c>
      <c r="D234" s="9" t="inlineStr">
        <is>
          <t>Gujarat</t>
        </is>
      </c>
      <c r="E234" s="9" t="inlineStr">
        <is>
          <t>India</t>
        </is>
      </c>
      <c r="F234" s="9" t="n">
        <v>1</v>
      </c>
      <c r="G234" s="9" t="n">
        <v>1</v>
      </c>
      <c r="H234" s="9" t="n">
        <v>1</v>
      </c>
      <c r="I234" s="10" t="n">
        <v>45249</v>
      </c>
      <c r="J234" s="10" t="n">
        <v>45249</v>
      </c>
      <c r="K234" s="9" t="n">
        <v>21.64324</v>
      </c>
      <c r="L234" s="9" t="n">
        <v>69.61452</v>
      </c>
      <c r="M234" s="9" t="inlineStr">
        <is>
          <t>https://www.google.com/maps/place/?q=place_id:ChIJAUK7wlA0VjkRotAJf6AJzhc</t>
        </is>
      </c>
    </row>
    <row r="235">
      <c r="A235" s="9" t="n">
        <v>231</v>
      </c>
      <c r="B235" s="9" t="inlineStr">
        <is>
          <t>Porbandar</t>
        </is>
      </c>
      <c r="C235" s="9" t="inlineStr">
        <is>
          <t>Porbandar</t>
        </is>
      </c>
      <c r="D235" s="9" t="inlineStr">
        <is>
          <t>Gujarat</t>
        </is>
      </c>
      <c r="E235" s="9" t="inlineStr">
        <is>
          <t>India</t>
        </is>
      </c>
      <c r="F235" s="9" t="n">
        <v>1</v>
      </c>
      <c r="G235" s="9" t="n">
        <v>1</v>
      </c>
      <c r="H235" s="9" t="n">
        <v>1</v>
      </c>
      <c r="I235" s="10" t="n">
        <v>45249</v>
      </c>
      <c r="J235" s="10" t="n">
        <v>45249</v>
      </c>
      <c r="K235" s="9" t="n">
        <v>21.64115</v>
      </c>
      <c r="L235" s="9" t="n">
        <v>69.60096</v>
      </c>
      <c r="M235" s="9" t="inlineStr">
        <is>
          <t>https://www.google.com/maps/place/?q=place_id:ChIJNaSTjEg0VjkRM5X85PRf5Mk</t>
        </is>
      </c>
    </row>
    <row r="236">
      <c r="A236" s="9" t="n">
        <v>232</v>
      </c>
      <c r="B236" s="9" t="inlineStr">
        <is>
          <t>Porbandar</t>
        </is>
      </c>
      <c r="C236" s="9" t="inlineStr">
        <is>
          <t>Porbandar</t>
        </is>
      </c>
      <c r="D236" s="9" t="inlineStr">
        <is>
          <t>Gujarat</t>
        </is>
      </c>
      <c r="E236" s="9" t="inlineStr">
        <is>
          <t>India</t>
        </is>
      </c>
      <c r="F236" s="9" t="n">
        <v>1</v>
      </c>
      <c r="G236" s="9" t="n">
        <v>1</v>
      </c>
      <c r="H236" s="9" t="n">
        <v>1</v>
      </c>
      <c r="I236" s="10" t="n">
        <v>45249</v>
      </c>
      <c r="J236" s="10" t="n">
        <v>45249</v>
      </c>
      <c r="K236" s="9" t="n">
        <v>21.6314</v>
      </c>
      <c r="L236" s="9" t="n">
        <v>69.60917000000001</v>
      </c>
      <c r="M236" s="9" t="inlineStr">
        <is>
          <t>https://www.google.com/maps/place/?q=place_id:ChIJbyk_zkI0VjkRoPjmK6QVSek</t>
        </is>
      </c>
    </row>
    <row r="237">
      <c r="A237" s="9" t="n">
        <v>233</v>
      </c>
      <c r="B237" s="9" t="inlineStr">
        <is>
          <t>Rajkot</t>
        </is>
      </c>
      <c r="C237" s="9" t="inlineStr">
        <is>
          <t>Rajkot</t>
        </is>
      </c>
      <c r="D237" s="9" t="inlineStr">
        <is>
          <t>Gujarat</t>
        </is>
      </c>
      <c r="E237" s="9" t="inlineStr">
        <is>
          <t>India</t>
        </is>
      </c>
      <c r="F237" s="9" t="n">
        <v>1</v>
      </c>
      <c r="G237" s="9" t="n">
        <v>1</v>
      </c>
      <c r="H237" s="9" t="n">
        <v>1</v>
      </c>
      <c r="I237" s="10" t="n">
        <v>45250</v>
      </c>
      <c r="J237" s="10" t="n">
        <v>45250</v>
      </c>
      <c r="K237" s="9" t="n">
        <v>22.27206</v>
      </c>
      <c r="L237" s="9" t="n">
        <v>70.73945000000001</v>
      </c>
      <c r="M237" s="9" t="inlineStr">
        <is>
          <t>https://www.google.com/maps/place/?q=place_id:ChIJURxySpXLWTkRqh2ySVP__aE</t>
        </is>
      </c>
    </row>
    <row r="238">
      <c r="A238" s="9" t="n">
        <v>234</v>
      </c>
      <c r="B238" s="9" t="inlineStr">
        <is>
          <t>Kotharia</t>
        </is>
      </c>
      <c r="C238" s="9" t="inlineStr">
        <is>
          <t>Rajkot</t>
        </is>
      </c>
      <c r="D238" s="9" t="inlineStr">
        <is>
          <t>Gujarat</t>
        </is>
      </c>
      <c r="E238" s="9" t="inlineStr">
        <is>
          <t>India</t>
        </is>
      </c>
      <c r="F238" s="9" t="n">
        <v>1</v>
      </c>
      <c r="G238" s="9" t="n">
        <v>2</v>
      </c>
      <c r="H238" s="9" t="n">
        <v>1</v>
      </c>
      <c r="I238" s="10" t="n">
        <v>45250</v>
      </c>
      <c r="J238" s="10" t="n">
        <v>45251</v>
      </c>
      <c r="K238" s="9" t="n">
        <v>22.15844</v>
      </c>
      <c r="L238" s="9" t="n">
        <v>70.79131</v>
      </c>
      <c r="M238" s="9" t="inlineStr">
        <is>
          <t>https://www.google.com/maps/place/?q=place_id:ChIJO-GmgpA1WDkRHX8vxyof4Mg</t>
        </is>
      </c>
    </row>
    <row r="239">
      <c r="A239" s="9" t="n">
        <v>235</v>
      </c>
      <c r="B239" s="9" t="inlineStr">
        <is>
          <t>Rajkot</t>
        </is>
      </c>
      <c r="C239" s="9" t="inlineStr">
        <is>
          <t>Rajkot</t>
        </is>
      </c>
      <c r="D239" s="9" t="inlineStr">
        <is>
          <t>Gujarat</t>
        </is>
      </c>
      <c r="E239" s="9" t="inlineStr">
        <is>
          <t>India</t>
        </is>
      </c>
      <c r="F239" s="9" t="n">
        <v>1</v>
      </c>
      <c r="G239" s="9" t="n">
        <v>2</v>
      </c>
      <c r="H239" s="9" t="n">
        <v>1</v>
      </c>
      <c r="I239" s="10" t="n">
        <v>45256</v>
      </c>
      <c r="J239" s="10" t="n">
        <v>45257</v>
      </c>
      <c r="K239" s="9" t="n">
        <v>22.27008</v>
      </c>
      <c r="L239" s="9" t="n">
        <v>70.73361</v>
      </c>
      <c r="M239" s="9" t="inlineStr">
        <is>
          <t>https://www.google.com/maps/place/?q=place_id:ChIJzTkBaJPLWTkRc7Y4baAodmg</t>
        </is>
      </c>
    </row>
    <row r="240">
      <c r="A240" s="9" t="n">
        <v>236</v>
      </c>
      <c r="B240" s="9" t="inlineStr">
        <is>
          <t>Rajkot</t>
        </is>
      </c>
      <c r="C240" s="9" t="inlineStr">
        <is>
          <t>Rajkot</t>
        </is>
      </c>
      <c r="D240" s="9" t="inlineStr">
        <is>
          <t>Gujarat</t>
        </is>
      </c>
      <c r="E240" s="9" t="inlineStr">
        <is>
          <t>India</t>
        </is>
      </c>
      <c r="F240" s="9" t="n">
        <v>1</v>
      </c>
      <c r="G240" s="9" t="n">
        <v>1</v>
      </c>
      <c r="H240" s="9" t="n">
        <v>1</v>
      </c>
      <c r="I240" s="10" t="n">
        <v>45257</v>
      </c>
      <c r="J240" s="10" t="n">
        <v>45257</v>
      </c>
      <c r="K240" s="9" t="n">
        <v>22.35938</v>
      </c>
      <c r="L240" s="9" t="n">
        <v>70.93788000000001</v>
      </c>
      <c r="M240" s="9" t="inlineStr">
        <is>
          <t>https://www.google.com/maps/place/?q=place_id:ChIJH0If8xuxWTkRhthviDeOPnU</t>
        </is>
      </c>
    </row>
    <row r="241">
      <c r="A241" s="9" t="n">
        <v>237</v>
      </c>
      <c r="B241" s="9" t="inlineStr">
        <is>
          <t>Chotila</t>
        </is>
      </c>
      <c r="C241" s="9" t="inlineStr">
        <is>
          <t>Rajkot</t>
        </is>
      </c>
      <c r="D241" s="9" t="inlineStr">
        <is>
          <t>Gujarat</t>
        </is>
      </c>
      <c r="E241" s="9" t="inlineStr">
        <is>
          <t>India</t>
        </is>
      </c>
      <c r="F241" s="9" t="n">
        <v>1</v>
      </c>
      <c r="G241" s="9" t="n">
        <v>1</v>
      </c>
      <c r="H241" s="9" t="n">
        <v>1</v>
      </c>
      <c r="I241" s="10" t="n">
        <v>45683</v>
      </c>
      <c r="J241" s="10" t="n">
        <v>45683</v>
      </c>
      <c r="K241" s="9" t="n">
        <v>22.38725</v>
      </c>
      <c r="L241" s="9" t="n">
        <v>71.03634</v>
      </c>
      <c r="M241" s="9" t="inlineStr">
        <is>
          <t>https://www.google.com/maps/place/?q=place_id:ChIJRyUbFQCvWTkR7iyugOAAvQU</t>
        </is>
      </c>
    </row>
    <row r="242">
      <c r="A242" s="9" t="n">
        <v>238</v>
      </c>
      <c r="B242" s="9" t="inlineStr">
        <is>
          <t>Chotila</t>
        </is>
      </c>
      <c r="C242" s="9" t="inlineStr">
        <is>
          <t>Rajkot</t>
        </is>
      </c>
      <c r="D242" s="9" t="inlineStr">
        <is>
          <t>Gujarat</t>
        </is>
      </c>
      <c r="E242" s="9" t="inlineStr">
        <is>
          <t>India</t>
        </is>
      </c>
      <c r="F242" s="9" t="n">
        <v>1</v>
      </c>
      <c r="G242" s="9" t="n">
        <v>1</v>
      </c>
      <c r="H242" s="9" t="n">
        <v>1</v>
      </c>
      <c r="I242" s="10" t="n">
        <v>45683</v>
      </c>
      <c r="J242" s="10" t="n">
        <v>45683</v>
      </c>
      <c r="K242" s="9" t="n">
        <v>22.41393</v>
      </c>
      <c r="L242" s="9" t="n">
        <v>71.01732</v>
      </c>
      <c r="M242" s="9" t="inlineStr">
        <is>
          <t>https://www.google.com/maps/place/?q=place_id:ChIJl7Zb3_CvWTkRGwGFF4yWKYY</t>
        </is>
      </c>
    </row>
    <row r="243">
      <c r="A243" s="9" t="n">
        <v>239</v>
      </c>
      <c r="B243" s="9" t="inlineStr">
        <is>
          <t>Rajpipla</t>
        </is>
      </c>
      <c r="C243" s="9" t="inlineStr">
        <is>
          <t>Rajpipla</t>
        </is>
      </c>
      <c r="D243" s="9" t="inlineStr">
        <is>
          <t>Gujarat</t>
        </is>
      </c>
      <c r="E243" s="9" t="inlineStr">
        <is>
          <t>India</t>
        </is>
      </c>
      <c r="F243" s="9" t="n">
        <v>1</v>
      </c>
      <c r="G243" s="9" t="n">
        <v>1</v>
      </c>
      <c r="H243" s="9" t="n">
        <v>1</v>
      </c>
      <c r="I243" s="10" t="n">
        <v>43846</v>
      </c>
      <c r="J243" s="10" t="n">
        <v>43846</v>
      </c>
      <c r="K243" s="9" t="n">
        <v>21.87349</v>
      </c>
      <c r="L243" s="9" t="n">
        <v>73.69658</v>
      </c>
      <c r="M243" s="9" t="inlineStr">
        <is>
          <t>https://www.google.com/maps/place/?q=place_id:ChIJ11sqRawdYDkRnplE_v5e6kY</t>
        </is>
      </c>
    </row>
    <row r="244">
      <c r="A244" s="9" t="n">
        <v>240</v>
      </c>
      <c r="B244" s="9" t="inlineStr">
        <is>
          <t>Rajpipla</t>
        </is>
      </c>
      <c r="C244" s="9" t="inlineStr">
        <is>
          <t>Rajpipla</t>
        </is>
      </c>
      <c r="D244" s="9" t="inlineStr">
        <is>
          <t>Gujarat</t>
        </is>
      </c>
      <c r="E244" s="9" t="inlineStr">
        <is>
          <t>India</t>
        </is>
      </c>
      <c r="F244" s="9" t="n">
        <v>1</v>
      </c>
      <c r="G244" s="9" t="n">
        <v>1</v>
      </c>
      <c r="H244" s="9" t="n">
        <v>1</v>
      </c>
      <c r="I244" s="10" t="n">
        <v>43846</v>
      </c>
      <c r="J244" s="10" t="n">
        <v>43846</v>
      </c>
      <c r="K244" s="9" t="n">
        <v>21.83812</v>
      </c>
      <c r="L244" s="9" t="n">
        <v>73.71874</v>
      </c>
      <c r="M244" s="9" t="inlineStr">
        <is>
          <t>https://www.google.com/maps/place/?q=place_id:ChIJH_I65FUdYDkRGOv2oQE84rg</t>
        </is>
      </c>
    </row>
    <row r="245">
      <c r="A245" s="9" t="n">
        <v>241</v>
      </c>
      <c r="B245" s="9" t="inlineStr">
        <is>
          <t>Rajpipla</t>
        </is>
      </c>
      <c r="C245" s="9" t="inlineStr">
        <is>
          <t>Rajpipla</t>
        </is>
      </c>
      <c r="D245" s="9" t="inlineStr">
        <is>
          <t>Gujarat</t>
        </is>
      </c>
      <c r="E245" s="9" t="inlineStr">
        <is>
          <t>India</t>
        </is>
      </c>
      <c r="F245" s="9" t="n">
        <v>1</v>
      </c>
      <c r="G245" s="9" t="n">
        <v>1</v>
      </c>
      <c r="H245" s="9" t="n">
        <v>1</v>
      </c>
      <c r="I245" s="10" t="n">
        <v>43846</v>
      </c>
      <c r="J245" s="10" t="n">
        <v>43846</v>
      </c>
      <c r="K245" s="9" t="n">
        <v>21.83839</v>
      </c>
      <c r="L245" s="9" t="n">
        <v>73.72225</v>
      </c>
      <c r="M245" s="9" t="inlineStr">
        <is>
          <t>https://www.google.com/maps/place/?q=place_id:ChIJne7XyIkdYDkR9HvcTekENGE</t>
        </is>
      </c>
    </row>
    <row r="246">
      <c r="A246" s="9" t="n">
        <v>242</v>
      </c>
      <c r="B246" s="9" t="inlineStr">
        <is>
          <t>Rajpipla</t>
        </is>
      </c>
      <c r="C246" s="9" t="inlineStr">
        <is>
          <t>Rajpipla</t>
        </is>
      </c>
      <c r="D246" s="9" t="inlineStr">
        <is>
          <t>Gujarat</t>
        </is>
      </c>
      <c r="E246" s="9" t="inlineStr">
        <is>
          <t>India</t>
        </is>
      </c>
      <c r="F246" s="9" t="n">
        <v>1</v>
      </c>
      <c r="G246" s="9" t="n">
        <v>1</v>
      </c>
      <c r="H246" s="9" t="n">
        <v>1</v>
      </c>
      <c r="I246" s="10" t="n">
        <v>43875</v>
      </c>
      <c r="J246" s="10" t="n">
        <v>43875</v>
      </c>
      <c r="K246" s="9" t="n">
        <v>21.83336</v>
      </c>
      <c r="L246" s="9" t="n">
        <v>73.73386000000001</v>
      </c>
      <c r="M246" s="9" t="inlineStr">
        <is>
          <t>https://www.google.com/maps/place/?q=place_id:ChIJceFphJwdYDkRxoIWfqMllcQ</t>
        </is>
      </c>
    </row>
    <row r="247">
      <c r="A247" s="9" t="n">
        <v>243</v>
      </c>
      <c r="B247" s="9" t="inlineStr">
        <is>
          <t>Rajpipla</t>
        </is>
      </c>
      <c r="C247" s="9" t="inlineStr">
        <is>
          <t>Rajpipla</t>
        </is>
      </c>
      <c r="D247" s="9" t="inlineStr">
        <is>
          <t>Gujarat</t>
        </is>
      </c>
      <c r="E247" s="9" t="inlineStr">
        <is>
          <t>India</t>
        </is>
      </c>
      <c r="F247" s="9" t="n">
        <v>1</v>
      </c>
      <c r="G247" s="9" t="n">
        <v>1</v>
      </c>
      <c r="H247" s="9" t="n">
        <v>1</v>
      </c>
      <c r="I247" s="10" t="n">
        <v>43875</v>
      </c>
      <c r="J247" s="10" t="n">
        <v>43875</v>
      </c>
      <c r="K247" s="9" t="n">
        <v>21.83736</v>
      </c>
      <c r="L247" s="9" t="n">
        <v>73.72613</v>
      </c>
      <c r="M247" s="9" t="inlineStr">
        <is>
          <t>https://www.google.com/maps/place/?q=place_id:ChIJZ_P-mPMdYDkR6xInw94NCNU</t>
        </is>
      </c>
    </row>
    <row r="248">
      <c r="A248" s="9" t="n">
        <v>244</v>
      </c>
      <c r="B248" s="9" t="inlineStr">
        <is>
          <t>Ranavav</t>
        </is>
      </c>
      <c r="C248" s="9" t="inlineStr">
        <is>
          <t>Ranavav</t>
        </is>
      </c>
      <c r="D248" s="9" t="inlineStr">
        <is>
          <t>Gujarat</t>
        </is>
      </c>
      <c r="E248" s="9" t="inlineStr">
        <is>
          <t>India</t>
        </is>
      </c>
      <c r="F248" s="9" t="n">
        <v>4</v>
      </c>
      <c r="G248" s="9" t="n">
        <v>4</v>
      </c>
      <c r="H248" s="9" t="n">
        <v>4</v>
      </c>
      <c r="I248" s="10" t="n">
        <v>43871</v>
      </c>
      <c r="J248" s="10" t="n">
        <v>45685</v>
      </c>
      <c r="K248" s="9" t="n">
        <v>21.71225</v>
      </c>
      <c r="L248" s="9" t="n">
        <v>69.71711000000001</v>
      </c>
      <c r="M248" s="9" t="inlineStr">
        <is>
          <t>https://www.google.com/maps/place/?q=place_id:ChIJnz92zGTKVzkR7KyoObN-MqM</t>
        </is>
      </c>
    </row>
    <row r="249">
      <c r="A249" s="9" t="n">
        <v>245</v>
      </c>
      <c r="B249" s="9" t="inlineStr">
        <is>
          <t>Ranavav</t>
        </is>
      </c>
      <c r="C249" s="9" t="inlineStr">
        <is>
          <t>Ranavav</t>
        </is>
      </c>
      <c r="D249" s="9" t="inlineStr">
        <is>
          <t>Gujarat</t>
        </is>
      </c>
      <c r="E249" s="9" t="inlineStr">
        <is>
          <t>India</t>
        </is>
      </c>
      <c r="F249" s="9" t="n">
        <v>1</v>
      </c>
      <c r="G249" s="9" t="n">
        <v>1</v>
      </c>
      <c r="H249" s="9" t="n">
        <v>1</v>
      </c>
      <c r="I249" s="10" t="n">
        <v>43841</v>
      </c>
      <c r="J249" s="10" t="n">
        <v>43841</v>
      </c>
      <c r="K249" s="9" t="n">
        <v>21.65875</v>
      </c>
      <c r="L249" s="9" t="n">
        <v>69.81605999999999</v>
      </c>
      <c r="M249" s="9" t="inlineStr">
        <is>
          <t>https://www.google.com/maps/place/?q=place_id:ChIJRT-JG-HIVzkR_nMdn82eWZQ</t>
        </is>
      </c>
    </row>
    <row r="250">
      <c r="A250" s="9" t="n">
        <v>246</v>
      </c>
      <c r="B250" s="9" t="inlineStr">
        <is>
          <t>Siddhapur</t>
        </is>
      </c>
      <c r="C250" s="9" t="inlineStr">
        <is>
          <t>Siddhapur</t>
        </is>
      </c>
      <c r="D250" s="9" t="inlineStr">
        <is>
          <t>Gujarat</t>
        </is>
      </c>
      <c r="E250" s="9" t="inlineStr">
        <is>
          <t>India</t>
        </is>
      </c>
      <c r="F250" s="9" t="n">
        <v>2</v>
      </c>
      <c r="G250" s="9" t="n">
        <v>2</v>
      </c>
      <c r="H250" s="9" t="n">
        <v>2</v>
      </c>
      <c r="I250" s="10" t="n">
        <v>43845</v>
      </c>
      <c r="J250" s="10" t="n">
        <v>43876</v>
      </c>
      <c r="K250" s="9" t="n">
        <v>23.90902</v>
      </c>
      <c r="L250" s="9" t="n">
        <v>72.3644</v>
      </c>
      <c r="M250" s="9" t="inlineStr">
        <is>
          <t>https://www.google.com/maps/place/?q=place_id:ChIJN1tZjRz1XDkRDEvjHeLnLRs</t>
        </is>
      </c>
    </row>
    <row r="251">
      <c r="A251" s="9" t="n">
        <v>247</v>
      </c>
      <c r="B251" s="9" t="inlineStr">
        <is>
          <t>Talala</t>
        </is>
      </c>
      <c r="C251" s="9" t="inlineStr">
        <is>
          <t>Talala</t>
        </is>
      </c>
      <c r="D251" s="9" t="inlineStr">
        <is>
          <t>Gujarat</t>
        </is>
      </c>
      <c r="E251" s="9" t="inlineStr">
        <is>
          <t>India</t>
        </is>
      </c>
      <c r="F251" s="9" t="n">
        <v>2</v>
      </c>
      <c r="G251" s="9" t="n">
        <v>1</v>
      </c>
      <c r="H251" s="9" t="n">
        <v>1</v>
      </c>
      <c r="I251" s="10" t="n">
        <v>45256</v>
      </c>
      <c r="J251" s="10" t="n">
        <v>45256</v>
      </c>
      <c r="K251" s="9" t="n">
        <v>21.16899</v>
      </c>
      <c r="L251" s="9" t="n">
        <v>70.50362</v>
      </c>
      <c r="M251" s="9" t="inlineStr">
        <is>
          <t>https://www.google.com/maps/place/?q=place_id:ChIJXQbr7TK14jsRID9cDnRWxxg</t>
        </is>
      </c>
    </row>
    <row r="252">
      <c r="A252" s="9" t="n">
        <v>248</v>
      </c>
      <c r="B252" s="9" t="inlineStr">
        <is>
          <t>Talala</t>
        </is>
      </c>
      <c r="C252" s="9" t="inlineStr">
        <is>
          <t>Talala</t>
        </is>
      </c>
      <c r="D252" s="9" t="inlineStr">
        <is>
          <t>Gujarat</t>
        </is>
      </c>
      <c r="E252" s="9" t="inlineStr">
        <is>
          <t>India</t>
        </is>
      </c>
      <c r="F252" s="9" t="n">
        <v>1</v>
      </c>
      <c r="G252" s="9" t="n">
        <v>1</v>
      </c>
      <c r="H252" s="9" t="n">
        <v>1</v>
      </c>
      <c r="I252" s="10" t="n">
        <v>45256</v>
      </c>
      <c r="J252" s="10" t="n">
        <v>45256</v>
      </c>
      <c r="K252" s="9" t="n">
        <v>21.16879</v>
      </c>
      <c r="L252" s="9" t="n">
        <v>70.59848</v>
      </c>
      <c r="M252" s="9" t="inlineStr">
        <is>
          <t>https://www.google.com/maps/place/?q=place_id:ChIJF583Bzi34jsRIPlpBvPjG4E</t>
        </is>
      </c>
    </row>
    <row r="253">
      <c r="A253" s="9" t="n">
        <v>249</v>
      </c>
      <c r="B253" s="9" t="inlineStr">
        <is>
          <t>Talala</t>
        </is>
      </c>
      <c r="C253" s="9" t="inlineStr">
        <is>
          <t>Talala</t>
        </is>
      </c>
      <c r="D253" s="9" t="inlineStr">
        <is>
          <t>Gujarat</t>
        </is>
      </c>
      <c r="E253" s="9" t="inlineStr">
        <is>
          <t>India</t>
        </is>
      </c>
      <c r="F253" s="9" t="n">
        <v>1</v>
      </c>
      <c r="G253" s="9" t="n">
        <v>2</v>
      </c>
      <c r="H253" s="9" t="n">
        <v>1</v>
      </c>
      <c r="I253" s="10" t="n">
        <v>45686</v>
      </c>
      <c r="J253" s="10" t="n">
        <v>45687</v>
      </c>
      <c r="K253" s="9" t="n">
        <v>21.11968</v>
      </c>
      <c r="L253" s="9" t="n">
        <v>70.54303</v>
      </c>
      <c r="M253" s="9" t="inlineStr">
        <is>
          <t>https://www.google.com/maps/place/?q=place_id:ChIJsU_ilovJ4jsRO_hyV4eZZdo</t>
        </is>
      </c>
    </row>
    <row r="254">
      <c r="A254" s="9" t="n">
        <v>250</v>
      </c>
      <c r="B254" s="9" t="inlineStr">
        <is>
          <t>Vadodara</t>
        </is>
      </c>
      <c r="C254" s="9" t="inlineStr">
        <is>
          <t>Vadodara</t>
        </is>
      </c>
      <c r="D254" s="9" t="inlineStr">
        <is>
          <t>Gujarat</t>
        </is>
      </c>
      <c r="E254" s="9" t="inlineStr">
        <is>
          <t>India</t>
        </is>
      </c>
      <c r="F254" s="9" t="n">
        <v>1</v>
      </c>
      <c r="G254" s="9" t="n">
        <v>1</v>
      </c>
      <c r="H254" s="9" t="n">
        <v>1</v>
      </c>
      <c r="I254" s="10" t="n">
        <v>42118</v>
      </c>
      <c r="J254" s="10" t="n">
        <v>42118</v>
      </c>
      <c r="K254" s="9" t="n">
        <v>22.28068</v>
      </c>
      <c r="L254" s="9" t="n">
        <v>73.17737</v>
      </c>
      <c r="M254" s="9" t="inlineStr">
        <is>
          <t>https://www.google.com/maps/place/?q=place_id:ChIJgZ2b4QvGXzkRRcJX63jnwuU</t>
        </is>
      </c>
    </row>
    <row r="255">
      <c r="A255" s="9" t="n">
        <v>251</v>
      </c>
      <c r="B255" s="9" t="inlineStr">
        <is>
          <t>Vadodara</t>
        </is>
      </c>
      <c r="C255" s="9" t="inlineStr">
        <is>
          <t>Vadodara</t>
        </is>
      </c>
      <c r="D255" s="9" t="inlineStr">
        <is>
          <t>Gujarat</t>
        </is>
      </c>
      <c r="E255" s="9" t="inlineStr">
        <is>
          <t>India</t>
        </is>
      </c>
      <c r="F255" s="9" t="n">
        <v>1</v>
      </c>
      <c r="G255" s="9" t="n">
        <v>1</v>
      </c>
      <c r="H255" s="9" t="n">
        <v>1</v>
      </c>
      <c r="I255" s="10" t="n">
        <v>42935</v>
      </c>
      <c r="J255" s="10" t="n">
        <v>42935</v>
      </c>
      <c r="K255" s="9" t="n">
        <v>22.31077</v>
      </c>
      <c r="L255" s="9" t="n">
        <v>73.18093</v>
      </c>
      <c r="M255" s="9" t="inlineStr">
        <is>
          <t>https://www.google.com/maps/place/?q=place_id:ChIJOWsxvrLIXzkRaW-SWawG3BA</t>
        </is>
      </c>
    </row>
    <row r="256">
      <c r="A256" s="9" t="n">
        <v>252</v>
      </c>
      <c r="B256" s="9" t="inlineStr">
        <is>
          <t>Anklav</t>
        </is>
      </c>
      <c r="C256" s="9" t="inlineStr">
        <is>
          <t>Vadodara</t>
        </is>
      </c>
      <c r="D256" s="9" t="inlineStr">
        <is>
          <t>Gujarat</t>
        </is>
      </c>
      <c r="E256" s="9" t="inlineStr">
        <is>
          <t>India</t>
        </is>
      </c>
      <c r="F256" s="9" t="n">
        <v>1</v>
      </c>
      <c r="G256" s="9" t="n">
        <v>1</v>
      </c>
      <c r="H256" s="9" t="n">
        <v>1</v>
      </c>
      <c r="I256" s="10" t="n">
        <v>43875</v>
      </c>
      <c r="J256" s="10" t="n">
        <v>43875</v>
      </c>
      <c r="K256" s="9" t="n">
        <v>22.45338</v>
      </c>
      <c r="L256" s="9" t="n">
        <v>73.07043</v>
      </c>
      <c r="M256" s="9" t="inlineStr">
        <is>
          <t>https://www.google.com/maps/place/?q=place_id:ChIJg-nP-0O1XzkR0EJrJi73lvc</t>
        </is>
      </c>
    </row>
    <row r="257">
      <c r="A257" s="9" t="n">
        <v>253</v>
      </c>
      <c r="B257" s="9" t="inlineStr">
        <is>
          <t>Veraval</t>
        </is>
      </c>
      <c r="C257" s="9" t="inlineStr">
        <is>
          <t>Veraval</t>
        </is>
      </c>
      <c r="D257" s="9" t="inlineStr">
        <is>
          <t>Gujarat</t>
        </is>
      </c>
      <c r="E257" s="9" t="inlineStr">
        <is>
          <t>India</t>
        </is>
      </c>
      <c r="F257" s="9" t="n">
        <v>3</v>
      </c>
      <c r="G257" s="9" t="n">
        <v>3</v>
      </c>
      <c r="H257" s="9" t="n">
        <v>2</v>
      </c>
      <c r="I257" s="10" t="n">
        <v>42934</v>
      </c>
      <c r="J257" s="10" t="n">
        <v>45256</v>
      </c>
      <c r="K257" s="9" t="n">
        <v>20.88986</v>
      </c>
      <c r="L257" s="9" t="n">
        <v>70.40599</v>
      </c>
      <c r="M257" s="9" t="inlineStr">
        <is>
          <t>https://www.google.com/maps/place/?q=place_id:ChIJ-xt4ypgy_TsR7HfAQ4p1YuE</t>
        </is>
      </c>
    </row>
    <row r="258">
      <c r="A258" s="9" t="n">
        <v>254</v>
      </c>
      <c r="B258" s="9" t="inlineStr">
        <is>
          <t>Veraval</t>
        </is>
      </c>
      <c r="C258" s="9" t="inlineStr">
        <is>
          <t>Veraval</t>
        </is>
      </c>
      <c r="D258" s="9" t="inlineStr">
        <is>
          <t>Gujarat</t>
        </is>
      </c>
      <c r="E258" s="9" t="inlineStr">
        <is>
          <t>India</t>
        </is>
      </c>
      <c r="F258" s="9" t="n">
        <v>3</v>
      </c>
      <c r="G258" s="9" t="n">
        <v>3</v>
      </c>
      <c r="H258" s="9" t="n">
        <v>2</v>
      </c>
      <c r="I258" s="10" t="n">
        <v>43841</v>
      </c>
      <c r="J258" s="10" t="n">
        <v>43872</v>
      </c>
      <c r="K258" s="9" t="n">
        <v>20.8997</v>
      </c>
      <c r="L258" s="9" t="n">
        <v>70.40751</v>
      </c>
      <c r="M258" s="9" t="inlineStr">
        <is>
          <t>https://www.google.com/maps/place/?q=place_id:ChIJZ2PS970y_TsRxl-CrC4-4Z8</t>
        </is>
      </c>
    </row>
    <row r="259">
      <c r="A259" s="9" t="n">
        <v>255</v>
      </c>
      <c r="B259" s="9" t="inlineStr">
        <is>
          <t>Veraval</t>
        </is>
      </c>
      <c r="C259" s="9" t="inlineStr">
        <is>
          <t>Veraval</t>
        </is>
      </c>
      <c r="D259" s="9" t="inlineStr">
        <is>
          <t>Gujarat</t>
        </is>
      </c>
      <c r="E259" s="9" t="inlineStr">
        <is>
          <t>India</t>
        </is>
      </c>
      <c r="F259" s="9" t="n">
        <v>3</v>
      </c>
      <c r="G259" s="9" t="n">
        <v>2</v>
      </c>
      <c r="H259" s="9" t="n">
        <v>1</v>
      </c>
      <c r="I259" s="10" t="n">
        <v>45685</v>
      </c>
      <c r="J259" s="10" t="n">
        <v>45686</v>
      </c>
      <c r="K259" s="9" t="n">
        <v>20.91276</v>
      </c>
      <c r="L259" s="9" t="n">
        <v>70.35398000000001</v>
      </c>
      <c r="M259" s="9" t="inlineStr">
        <is>
          <t>https://www.google.com/maps/place/?q=place_id:ChIJayk4GQAz_TsRMuKkInJ6q1c</t>
        </is>
      </c>
    </row>
    <row r="260">
      <c r="A260" s="9" t="n">
        <v>256</v>
      </c>
      <c r="B260" s="9" t="inlineStr">
        <is>
          <t>Veraval</t>
        </is>
      </c>
      <c r="C260" s="9" t="inlineStr">
        <is>
          <t>Veraval</t>
        </is>
      </c>
      <c r="D260" s="9" t="inlineStr">
        <is>
          <t>Gujarat</t>
        </is>
      </c>
      <c r="E260" s="9" t="inlineStr">
        <is>
          <t>India</t>
        </is>
      </c>
      <c r="F260" s="9" t="n">
        <v>2</v>
      </c>
      <c r="G260" s="9" t="n">
        <v>2</v>
      </c>
      <c r="H260" s="9" t="n">
        <v>2</v>
      </c>
      <c r="I260" s="10" t="n">
        <v>42934</v>
      </c>
      <c r="J260" s="10" t="n">
        <v>43842</v>
      </c>
      <c r="K260" s="9" t="n">
        <v>20.88821</v>
      </c>
      <c r="L260" s="9" t="n">
        <v>70.40600000000001</v>
      </c>
      <c r="M260" s="9" t="inlineStr">
        <is>
          <t>https://www.google.com/maps/place/?q=place_id:ChIJmQ8OZZ8y_TsRjRYeiz_Amog</t>
        </is>
      </c>
    </row>
    <row r="261">
      <c r="A261" s="9" t="n">
        <v>257</v>
      </c>
      <c r="B261" s="9" t="inlineStr">
        <is>
          <t>Veraval</t>
        </is>
      </c>
      <c r="C261" s="9" t="inlineStr">
        <is>
          <t>Veraval</t>
        </is>
      </c>
      <c r="D261" s="9" t="inlineStr">
        <is>
          <t>Gujarat</t>
        </is>
      </c>
      <c r="E261" s="9" t="inlineStr">
        <is>
          <t>India</t>
        </is>
      </c>
      <c r="F261" s="9" t="n">
        <v>2</v>
      </c>
      <c r="G261" s="9" t="n">
        <v>2</v>
      </c>
      <c r="H261" s="9" t="n">
        <v>2</v>
      </c>
      <c r="I261" s="10" t="n">
        <v>43842</v>
      </c>
      <c r="J261" s="10" t="n">
        <v>45250</v>
      </c>
      <c r="K261" s="9" t="n">
        <v>20.88802</v>
      </c>
      <c r="L261" s="9" t="n">
        <v>70.401</v>
      </c>
      <c r="M261" s="9" t="inlineStr">
        <is>
          <t>https://www.google.com/maps/place/?q=place_id:ChIJdcsXBJ8y_TsRY3mF6Q1RWi8</t>
        </is>
      </c>
    </row>
    <row r="262">
      <c r="A262" s="9" t="n">
        <v>258</v>
      </c>
      <c r="B262" s="9" t="inlineStr">
        <is>
          <t>Veraval</t>
        </is>
      </c>
      <c r="C262" s="9" t="inlineStr">
        <is>
          <t>Veraval</t>
        </is>
      </c>
      <c r="D262" s="9" t="inlineStr">
        <is>
          <t>Gujarat</t>
        </is>
      </c>
      <c r="E262" s="9" t="inlineStr">
        <is>
          <t>India</t>
        </is>
      </c>
      <c r="F262" s="9" t="n">
        <v>2</v>
      </c>
      <c r="G262" s="9" t="n">
        <v>2</v>
      </c>
      <c r="H262" s="9" t="n">
        <v>2</v>
      </c>
      <c r="I262" s="10" t="n">
        <v>43842</v>
      </c>
      <c r="J262" s="10" t="n">
        <v>45256</v>
      </c>
      <c r="K262" s="9" t="n">
        <v>20.89581</v>
      </c>
      <c r="L262" s="9" t="n">
        <v>70.41167</v>
      </c>
      <c r="M262" s="9" t="inlineStr">
        <is>
          <t>https://www.google.com/maps/place/?q=place_id:ChIJOS9ktJgy_TsRvC8n358C8_k</t>
        </is>
      </c>
    </row>
    <row r="263">
      <c r="A263" s="9" t="n">
        <v>259</v>
      </c>
      <c r="B263" s="9" t="inlineStr">
        <is>
          <t>Veraval</t>
        </is>
      </c>
      <c r="C263" s="9" t="inlineStr">
        <is>
          <t>Veraval</t>
        </is>
      </c>
      <c r="D263" s="9" t="inlineStr">
        <is>
          <t>Gujarat</t>
        </is>
      </c>
      <c r="E263" s="9" t="inlineStr">
        <is>
          <t>India</t>
        </is>
      </c>
      <c r="F263" s="9" t="n">
        <v>2</v>
      </c>
      <c r="G263" s="9" t="n">
        <v>1</v>
      </c>
      <c r="H263" s="9" t="n">
        <v>1</v>
      </c>
      <c r="I263" s="10" t="n">
        <v>45250</v>
      </c>
      <c r="J263" s="10" t="n">
        <v>45250</v>
      </c>
      <c r="K263" s="9" t="n">
        <v>20.88716</v>
      </c>
      <c r="L263" s="9" t="n">
        <v>70.4104</v>
      </c>
      <c r="M263" s="9" t="inlineStr">
        <is>
          <t>https://www.google.com/maps/place/?q=place_id:ChIJHTC7ZH0z_TsRD8tEEB_u1KA</t>
        </is>
      </c>
    </row>
    <row r="264">
      <c r="A264" s="9" t="n">
        <v>260</v>
      </c>
      <c r="B264" s="9" t="inlineStr">
        <is>
          <t>Veraval</t>
        </is>
      </c>
      <c r="C264" s="9" t="inlineStr">
        <is>
          <t>Veraval</t>
        </is>
      </c>
      <c r="D264" s="9" t="inlineStr">
        <is>
          <t>Gujarat</t>
        </is>
      </c>
      <c r="E264" s="9" t="inlineStr">
        <is>
          <t>India</t>
        </is>
      </c>
      <c r="F264" s="9" t="n">
        <v>2</v>
      </c>
      <c r="G264" s="9" t="n">
        <v>2</v>
      </c>
      <c r="H264" s="9" t="n">
        <v>2</v>
      </c>
      <c r="I264" s="10" t="n">
        <v>45250</v>
      </c>
      <c r="J264" s="10" t="n">
        <v>45256</v>
      </c>
      <c r="K264" s="9" t="n">
        <v>20.91161</v>
      </c>
      <c r="L264" s="9" t="n">
        <v>70.38381</v>
      </c>
      <c r="M264" s="9" t="inlineStr">
        <is>
          <t>https://www.google.com/maps/place/?q=place_id:ChIJ58fMIPYy_TsRrg-scNUQtJM</t>
        </is>
      </c>
    </row>
    <row r="265">
      <c r="A265" s="9" t="n">
        <v>261</v>
      </c>
      <c r="B265" s="9" t="inlineStr">
        <is>
          <t>Veraval</t>
        </is>
      </c>
      <c r="C265" s="9" t="inlineStr">
        <is>
          <t>Veraval</t>
        </is>
      </c>
      <c r="D265" s="9" t="inlineStr">
        <is>
          <t>Gujarat</t>
        </is>
      </c>
      <c r="E265" s="9" t="inlineStr">
        <is>
          <t>India</t>
        </is>
      </c>
      <c r="F265" s="9" t="n">
        <v>1</v>
      </c>
      <c r="G265" s="9" t="n">
        <v>1</v>
      </c>
      <c r="H265" s="9" t="n">
        <v>1</v>
      </c>
      <c r="I265" s="10" t="n">
        <v>43842</v>
      </c>
      <c r="J265" s="10" t="n">
        <v>43842</v>
      </c>
      <c r="K265" s="9" t="n">
        <v>20.89873</v>
      </c>
      <c r="L265" s="9" t="n">
        <v>70.38334999999999</v>
      </c>
      <c r="M265" s="9" t="inlineStr">
        <is>
          <t>https://www.google.com/maps/place/?q=place_id:ChIJQQED_GEy_TsRkra8wDBEdhI</t>
        </is>
      </c>
    </row>
    <row r="266">
      <c r="A266" s="9" t="n">
        <v>262</v>
      </c>
      <c r="B266" s="9" t="inlineStr">
        <is>
          <t>Veraval</t>
        </is>
      </c>
      <c r="C266" s="9" t="inlineStr">
        <is>
          <t>Veraval</t>
        </is>
      </c>
      <c r="D266" s="9" t="inlineStr">
        <is>
          <t>Gujarat</t>
        </is>
      </c>
      <c r="E266" s="9" t="inlineStr">
        <is>
          <t>India</t>
        </is>
      </c>
      <c r="F266" s="9" t="n">
        <v>1</v>
      </c>
      <c r="G266" s="9" t="n">
        <v>1</v>
      </c>
      <c r="H266" s="9" t="n">
        <v>1</v>
      </c>
      <c r="I266" s="10" t="n">
        <v>43842</v>
      </c>
      <c r="J266" s="10" t="n">
        <v>43842</v>
      </c>
      <c r="K266" s="9" t="n">
        <v>20.96127</v>
      </c>
      <c r="L266" s="9" t="n">
        <v>70.33431</v>
      </c>
      <c r="M266" s="9" t="inlineStr">
        <is>
          <t>https://www.google.com/maps/place/?q=place_id:ChIJXwh23lUx_TsRvpQowK6DwtU</t>
        </is>
      </c>
    </row>
    <row r="267">
      <c r="A267" s="9" t="n">
        <v>263</v>
      </c>
      <c r="B267" s="9" t="inlineStr">
        <is>
          <t>Veraval</t>
        </is>
      </c>
      <c r="C267" s="9" t="inlineStr">
        <is>
          <t>Veraval</t>
        </is>
      </c>
      <c r="D267" s="9" t="inlineStr">
        <is>
          <t>Gujarat</t>
        </is>
      </c>
      <c r="E267" s="9" t="inlineStr">
        <is>
          <t>India</t>
        </is>
      </c>
      <c r="F267" s="9" t="n">
        <v>1</v>
      </c>
      <c r="G267" s="9" t="n">
        <v>1</v>
      </c>
      <c r="H267" s="9" t="n">
        <v>1</v>
      </c>
      <c r="I267" s="10" t="n">
        <v>45250</v>
      </c>
      <c r="J267" s="10" t="n">
        <v>45250</v>
      </c>
      <c r="K267" s="9" t="n">
        <v>20.88524</v>
      </c>
      <c r="L267" s="9" t="n">
        <v>70.4123</v>
      </c>
      <c r="M267" s="9" t="inlineStr">
        <is>
          <t>https://www.google.com/maps/place/?q=place_id:ChIJveg-Wl8t_TsRDmyHYNB-slw</t>
        </is>
      </c>
    </row>
    <row r="268">
      <c r="A268" s="9" t="n">
        <v>264</v>
      </c>
      <c r="B268" s="9" t="inlineStr">
        <is>
          <t>Veraval</t>
        </is>
      </c>
      <c r="C268" s="9" t="inlineStr">
        <is>
          <t>Veraval</t>
        </is>
      </c>
      <c r="D268" s="9" t="inlineStr">
        <is>
          <t>Gujarat</t>
        </is>
      </c>
      <c r="E268" s="9" t="inlineStr">
        <is>
          <t>India</t>
        </is>
      </c>
      <c r="F268" s="9" t="n">
        <v>1</v>
      </c>
      <c r="G268" s="9" t="n">
        <v>1</v>
      </c>
      <c r="H268" s="9" t="n">
        <v>1</v>
      </c>
      <c r="I268" s="10" t="n">
        <v>45250</v>
      </c>
      <c r="J268" s="10" t="n">
        <v>45250</v>
      </c>
      <c r="K268" s="9" t="n">
        <v>20.9415</v>
      </c>
      <c r="L268" s="9" t="n">
        <v>70.34757</v>
      </c>
      <c r="M268" s="9" t="inlineStr">
        <is>
          <t>https://www.google.com/maps/place/?q=place_id:ChIJi_BQydwz_TsRY6GEz-WZVsU</t>
        </is>
      </c>
    </row>
    <row r="269">
      <c r="A269" s="9" t="n">
        <v>265</v>
      </c>
      <c r="B269" s="9" t="inlineStr">
        <is>
          <t>Veraval</t>
        </is>
      </c>
      <c r="C269" s="9" t="inlineStr">
        <is>
          <t>Veraval</t>
        </is>
      </c>
      <c r="D269" s="9" t="inlineStr">
        <is>
          <t>Gujarat</t>
        </is>
      </c>
      <c r="E269" s="9" t="inlineStr">
        <is>
          <t>India</t>
        </is>
      </c>
      <c r="F269" s="9" t="n">
        <v>1</v>
      </c>
      <c r="G269" s="9" t="n">
        <v>1</v>
      </c>
      <c r="H269" s="9" t="n">
        <v>1</v>
      </c>
      <c r="I269" s="10" t="n">
        <v>45250</v>
      </c>
      <c r="J269" s="10" t="n">
        <v>45250</v>
      </c>
      <c r="K269" s="9" t="n">
        <v>20.97336</v>
      </c>
      <c r="L269" s="9" t="n">
        <v>70.32563</v>
      </c>
      <c r="M269" s="9" t="inlineStr">
        <is>
          <t>https://www.google.com/maps/place/?q=place_id:ChIJjXrqfK42_TsRlbG0JEwHDfg</t>
        </is>
      </c>
    </row>
    <row r="270">
      <c r="A270" s="9" t="n">
        <v>266</v>
      </c>
      <c r="B270" s="9" t="inlineStr">
        <is>
          <t>Veraval</t>
        </is>
      </c>
      <c r="C270" s="9" t="inlineStr">
        <is>
          <t>Veraval</t>
        </is>
      </c>
      <c r="D270" s="9" t="inlineStr">
        <is>
          <t>Gujarat</t>
        </is>
      </c>
      <c r="E270" s="9" t="inlineStr">
        <is>
          <t>India</t>
        </is>
      </c>
      <c r="F270" s="9" t="n">
        <v>1</v>
      </c>
      <c r="G270" s="9" t="n">
        <v>1</v>
      </c>
      <c r="H270" s="9" t="n">
        <v>1</v>
      </c>
      <c r="I270" s="10" t="n">
        <v>45255</v>
      </c>
      <c r="J270" s="10" t="n">
        <v>45255</v>
      </c>
      <c r="K270" s="9" t="n">
        <v>20.88761</v>
      </c>
      <c r="L270" s="9" t="n">
        <v>70.40482</v>
      </c>
      <c r="M270" s="9" t="inlineStr">
        <is>
          <t>https://www.google.com/maps/place/?q=place_id:ChIJO-0MpnQz_TsRVdDUvZhIY7o</t>
        </is>
      </c>
    </row>
    <row r="271">
      <c r="A271" s="9" t="n">
        <v>267</v>
      </c>
      <c r="B271" s="9" t="inlineStr">
        <is>
          <t>Veraval</t>
        </is>
      </c>
      <c r="C271" s="9" t="inlineStr">
        <is>
          <t>Veraval</t>
        </is>
      </c>
      <c r="D271" s="9" t="inlineStr">
        <is>
          <t>Gujarat</t>
        </is>
      </c>
      <c r="E271" s="9" t="inlineStr">
        <is>
          <t>India</t>
        </is>
      </c>
      <c r="F271" s="9" t="n">
        <v>1</v>
      </c>
      <c r="G271" s="9" t="n">
        <v>2</v>
      </c>
      <c r="H271" s="9" t="n">
        <v>1</v>
      </c>
      <c r="I271" s="10" t="n">
        <v>45255</v>
      </c>
      <c r="J271" s="10" t="n">
        <v>45256</v>
      </c>
      <c r="K271" s="9" t="n">
        <v>20.91248</v>
      </c>
      <c r="L271" s="9" t="n">
        <v>70.40486</v>
      </c>
      <c r="M271" s="9" t="inlineStr">
        <is>
          <t>https://www.google.com/maps/place/?q=place_id:ChIJCTr_docz_TsRTmn3QGktazw</t>
        </is>
      </c>
    </row>
    <row r="272">
      <c r="A272" s="9" t="n">
        <v>268</v>
      </c>
      <c r="B272" s="9" t="inlineStr">
        <is>
          <t>Veraval</t>
        </is>
      </c>
      <c r="C272" s="9" t="inlineStr">
        <is>
          <t>Veraval</t>
        </is>
      </c>
      <c r="D272" s="9" t="inlineStr">
        <is>
          <t>Gujarat</t>
        </is>
      </c>
      <c r="E272" s="9" t="inlineStr">
        <is>
          <t>India</t>
        </is>
      </c>
      <c r="F272" s="9" t="n">
        <v>1</v>
      </c>
      <c r="G272" s="9" t="n">
        <v>1</v>
      </c>
      <c r="H272" s="9" t="n">
        <v>1</v>
      </c>
      <c r="I272" s="10" t="n">
        <v>45685</v>
      </c>
      <c r="J272" s="10" t="n">
        <v>45685</v>
      </c>
      <c r="K272" s="9" t="n">
        <v>20.8867</v>
      </c>
      <c r="L272" s="9" t="n">
        <v>70.40358000000001</v>
      </c>
      <c r="M272" s="9" t="inlineStr">
        <is>
          <t>https://www.google.com/maps/place/?q=place_id:ChIJFfb99p4y_TsRt15Fp6E3sDc</t>
        </is>
      </c>
    </row>
    <row r="273">
      <c r="A273" s="9" t="n">
        <v>269</v>
      </c>
      <c r="B273" s="9" t="inlineStr">
        <is>
          <t>Veraval</t>
        </is>
      </c>
      <c r="C273" s="9" t="inlineStr">
        <is>
          <t>Veraval</t>
        </is>
      </c>
      <c r="D273" s="9" t="inlineStr">
        <is>
          <t>Gujarat</t>
        </is>
      </c>
      <c r="E273" s="9" t="inlineStr">
        <is>
          <t>India</t>
        </is>
      </c>
      <c r="F273" s="9" t="n">
        <v>1</v>
      </c>
      <c r="G273" s="9" t="n">
        <v>1</v>
      </c>
      <c r="H273" s="9" t="n">
        <v>1</v>
      </c>
      <c r="I273" s="10" t="n">
        <v>45686</v>
      </c>
      <c r="J273" s="10" t="n">
        <v>45686</v>
      </c>
      <c r="K273" s="9" t="n">
        <v>20.88782</v>
      </c>
      <c r="L273" s="9" t="n">
        <v>70.40378</v>
      </c>
      <c r="M273" s="9" t="inlineStr">
        <is>
          <t>https://www.google.com/maps/place/?q=place_id:ChIJ9aTZ554y_TsRQOdq0ZDBQqs</t>
        </is>
      </c>
    </row>
    <row r="274">
      <c r="A274" s="9" t="n">
        <v>270</v>
      </c>
      <c r="B274" s="9" t="inlineStr">
        <is>
          <t>Veraval</t>
        </is>
      </c>
      <c r="C274" s="9" t="inlineStr">
        <is>
          <t>Veraval</t>
        </is>
      </c>
      <c r="D274" s="9" t="inlineStr">
        <is>
          <t>Gujarat</t>
        </is>
      </c>
      <c r="E274" s="9" t="inlineStr">
        <is>
          <t>India</t>
        </is>
      </c>
      <c r="F274" s="9" t="n">
        <v>1</v>
      </c>
      <c r="G274" s="9" t="n">
        <v>1</v>
      </c>
      <c r="H274" s="9" t="n">
        <v>1</v>
      </c>
      <c r="I274" s="10" t="n">
        <v>45686</v>
      </c>
      <c r="J274" s="10" t="n">
        <v>45686</v>
      </c>
      <c r="K274" s="9" t="n">
        <v>20.88984</v>
      </c>
      <c r="L274" s="9" t="n">
        <v>70.40713</v>
      </c>
      <c r="M274" s="9" t="inlineStr">
        <is>
          <t>https://www.google.com/maps/place/?q=place_id:ChIJ58Pz-4sz_TsRuVu_Ixtxluc</t>
        </is>
      </c>
    </row>
    <row r="275">
      <c r="A275" s="9" t="n">
        <v>271</v>
      </c>
      <c r="B275" s="9" t="inlineStr">
        <is>
          <t>Greater Noida</t>
        </is>
      </c>
      <c r="C275" s="9" t="inlineStr">
        <is>
          <t>Faridabad</t>
        </is>
      </c>
      <c r="D275" s="9" t="inlineStr">
        <is>
          <t>Haryana</t>
        </is>
      </c>
      <c r="E275" s="9" t="inlineStr">
        <is>
          <t>India</t>
        </is>
      </c>
      <c r="F275" s="9" t="n">
        <v>1</v>
      </c>
      <c r="G275" s="9" t="n">
        <v>1</v>
      </c>
      <c r="H275" s="9" t="n">
        <v>1</v>
      </c>
      <c r="I275" s="10" t="n">
        <v>45009</v>
      </c>
      <c r="J275" s="10" t="n">
        <v>45009</v>
      </c>
      <c r="K275" s="9" t="n">
        <v>28.46177</v>
      </c>
      <c r="L275" s="9" t="n">
        <v>77.50053</v>
      </c>
      <c r="M275" s="9" t="inlineStr">
        <is>
          <t>https://www.google.com/maps/place/?q=place_id:ChIJ3-PXWtnBDDkR81iFSG8hBdI</t>
        </is>
      </c>
    </row>
    <row r="276">
      <c r="A276" s="9" t="n">
        <v>272</v>
      </c>
      <c r="B276" s="9" t="inlineStr">
        <is>
          <t>Gharaunda</t>
        </is>
      </c>
      <c r="C276" s="9" t="inlineStr">
        <is>
          <t>Gharaunda</t>
        </is>
      </c>
      <c r="D276" s="9" t="inlineStr">
        <is>
          <t>Haryana</t>
        </is>
      </c>
      <c r="E276" s="9" t="inlineStr">
        <is>
          <t>India</t>
        </is>
      </c>
      <c r="F276" s="9" t="n">
        <v>1</v>
      </c>
      <c r="G276" s="9" t="n">
        <v>1</v>
      </c>
      <c r="H276" s="9" t="n">
        <v>1</v>
      </c>
      <c r="I276" s="10" t="n">
        <v>44865</v>
      </c>
      <c r="J276" s="10" t="n">
        <v>44865</v>
      </c>
      <c r="K276" s="9" t="n">
        <v>29.58102</v>
      </c>
      <c r="L276" s="9" t="n">
        <v>76.9783</v>
      </c>
      <c r="M276" s="9" t="inlineStr">
        <is>
          <t>https://www.google.com/maps/place/?q=place_id:ChIJCSpq9Kp3DjkRurL_iujov9s</t>
        </is>
      </c>
    </row>
    <row r="277">
      <c r="A277" s="9" t="n">
        <v>273</v>
      </c>
      <c r="B277" s="9" t="inlineStr">
        <is>
          <t>Samalka</t>
        </is>
      </c>
      <c r="C277" s="9" t="inlineStr">
        <is>
          <t>Gurugram</t>
        </is>
      </c>
      <c r="D277" s="9" t="inlineStr">
        <is>
          <t>Haryana</t>
        </is>
      </c>
      <c r="E277" s="9" t="inlineStr">
        <is>
          <t>India</t>
        </is>
      </c>
      <c r="F277" s="9" t="n">
        <v>26</v>
      </c>
      <c r="G277" s="9" t="n">
        <v>24</v>
      </c>
      <c r="H277" s="9" t="n">
        <v>20</v>
      </c>
      <c r="I277" s="10" t="n">
        <v>43531</v>
      </c>
      <c r="J277" s="10" t="n">
        <v>46185</v>
      </c>
      <c r="K277" s="9" t="n">
        <v>28.55614</v>
      </c>
      <c r="L277" s="9" t="n">
        <v>77.09996</v>
      </c>
      <c r="M277" s="9" t="inlineStr">
        <is>
          <t>https://www.google.com/maps/place/?q=place_id:ChIJiS0q_IUbDTkRne1DLBh2874</t>
        </is>
      </c>
    </row>
    <row r="278">
      <c r="A278" s="9" t="n">
        <v>274</v>
      </c>
      <c r="B278" s="9" t="inlineStr">
        <is>
          <t>Kapas Herd</t>
        </is>
      </c>
      <c r="C278" s="9" t="inlineStr">
        <is>
          <t>Gurugram</t>
        </is>
      </c>
      <c r="D278" s="9" t="inlineStr">
        <is>
          <t>Haryana</t>
        </is>
      </c>
      <c r="E278" s="9" t="inlineStr">
        <is>
          <t>India</t>
        </is>
      </c>
      <c r="F278" s="9" t="n">
        <v>1</v>
      </c>
      <c r="G278" s="9" t="n">
        <v>1</v>
      </c>
      <c r="H278" s="9" t="n">
        <v>1</v>
      </c>
      <c r="I278" s="10" t="n">
        <v>43763</v>
      </c>
      <c r="J278" s="10" t="n">
        <v>43763</v>
      </c>
      <c r="K278" s="9" t="n">
        <v>28.48267</v>
      </c>
      <c r="L278" s="9" t="n">
        <v>77.074</v>
      </c>
      <c r="M278" s="9" t="inlineStr">
        <is>
          <t>https://www.google.com/maps/place/?q=place_id:ChIJbR1D9xkZDTkRlM9JIvrGsi8</t>
        </is>
      </c>
    </row>
    <row r="279">
      <c r="A279" s="9" t="n">
        <v>275</v>
      </c>
      <c r="B279" s="9" t="inlineStr">
        <is>
          <t>Manesar</t>
        </is>
      </c>
      <c r="C279" s="9" t="inlineStr">
        <is>
          <t>Gurugram</t>
        </is>
      </c>
      <c r="D279" s="9" t="inlineStr">
        <is>
          <t>Haryana</t>
        </is>
      </c>
      <c r="E279" s="9" t="inlineStr">
        <is>
          <t>India</t>
        </is>
      </c>
      <c r="F279" s="9" t="n">
        <v>1</v>
      </c>
      <c r="G279" s="9" t="n">
        <v>1</v>
      </c>
      <c r="H279" s="9" t="n">
        <v>1</v>
      </c>
      <c r="I279" s="10" t="n">
        <v>44492</v>
      </c>
      <c r="J279" s="10" t="n">
        <v>44492</v>
      </c>
      <c r="K279" s="9" t="n">
        <v>28.31908</v>
      </c>
      <c r="L279" s="9" t="n">
        <v>76.89409000000001</v>
      </c>
      <c r="M279" s="9" t="inlineStr">
        <is>
          <t>https://www.google.com/maps/place/?q=place_id:ChIJuwIs1tk_DTkR_RrgMQ7nLtg</t>
        </is>
      </c>
    </row>
    <row r="280">
      <c r="A280" s="9" t="n">
        <v>276</v>
      </c>
      <c r="B280" s="9" t="inlineStr">
        <is>
          <t>Manesar</t>
        </is>
      </c>
      <c r="C280" s="9" t="inlineStr">
        <is>
          <t>Gurugram</t>
        </is>
      </c>
      <c r="D280" s="9" t="inlineStr">
        <is>
          <t>Haryana</t>
        </is>
      </c>
      <c r="E280" s="9" t="inlineStr">
        <is>
          <t>India</t>
        </is>
      </c>
      <c r="F280" s="9" t="n">
        <v>1</v>
      </c>
      <c r="G280" s="9" t="n">
        <v>1</v>
      </c>
      <c r="H280" s="9" t="n">
        <v>1</v>
      </c>
      <c r="I280" s="10" t="n">
        <v>44492</v>
      </c>
      <c r="J280" s="10" t="n">
        <v>44492</v>
      </c>
      <c r="K280" s="9" t="n">
        <v>28.32558</v>
      </c>
      <c r="L280" s="9" t="n">
        <v>76.88994</v>
      </c>
      <c r="M280" s="9" t="inlineStr">
        <is>
          <t>https://www.google.com/maps/place/?q=place_id:ChIJG5ah5xs_DTkR7gf0x8RBJOk</t>
        </is>
      </c>
    </row>
    <row r="281">
      <c r="A281" s="9" t="n">
        <v>277</v>
      </c>
      <c r="B281" s="9" t="inlineStr">
        <is>
          <t>Aya Nagar</t>
        </is>
      </c>
      <c r="C281" s="9" t="inlineStr">
        <is>
          <t>Gurugram</t>
        </is>
      </c>
      <c r="D281" s="9" t="inlineStr">
        <is>
          <t>Haryana</t>
        </is>
      </c>
      <c r="E281" s="9" t="inlineStr">
        <is>
          <t>India</t>
        </is>
      </c>
      <c r="F281" s="9" t="n">
        <v>1</v>
      </c>
      <c r="G281" s="9" t="n">
        <v>2</v>
      </c>
      <c r="H281" s="9" t="n">
        <v>1</v>
      </c>
      <c r="I281" s="10" t="n">
        <v>44493</v>
      </c>
      <c r="J281" s="10" t="n">
        <v>44494</v>
      </c>
      <c r="K281" s="9" t="n">
        <v>28.46194</v>
      </c>
      <c r="L281" s="9" t="n">
        <v>77.09041000000001</v>
      </c>
      <c r="M281" s="9" t="inlineStr">
        <is>
          <t>https://www.google.com/maps/place/?q=place_id:ChIJXzeQT2EZDTkREVUV4DeI1jA</t>
        </is>
      </c>
    </row>
    <row r="282">
      <c r="A282" s="9" t="n">
        <v>278</v>
      </c>
      <c r="B282" s="9" t="inlineStr">
        <is>
          <t>Badshahpur</t>
        </is>
      </c>
      <c r="C282" s="9" t="inlineStr">
        <is>
          <t>Gurugram</t>
        </is>
      </c>
      <c r="D282" s="9" t="inlineStr">
        <is>
          <t>Haryana</t>
        </is>
      </c>
      <c r="E282" s="9" t="inlineStr">
        <is>
          <t>India</t>
        </is>
      </c>
      <c r="F282" s="9" t="n">
        <v>1</v>
      </c>
      <c r="G282" s="9" t="n">
        <v>1</v>
      </c>
      <c r="H282" s="9" t="n">
        <v>1</v>
      </c>
      <c r="I282" s="10" t="n">
        <v>44494</v>
      </c>
      <c r="J282" s="10" t="n">
        <v>44494</v>
      </c>
      <c r="K282" s="9" t="n">
        <v>28.37906</v>
      </c>
      <c r="L282" s="9" t="n">
        <v>77.05521</v>
      </c>
      <c r="M282" s="9" t="inlineStr">
        <is>
          <t>https://www.google.com/maps/place/?q=place_id:ChIJByYly4YiDTkR7B9lAzFVVMY</t>
        </is>
      </c>
    </row>
    <row r="283">
      <c r="A283" s="9" t="n">
        <v>279</v>
      </c>
      <c r="B283" s="9" t="inlineStr">
        <is>
          <t>Manesar</t>
        </is>
      </c>
      <c r="C283" s="9" t="inlineStr">
        <is>
          <t>Gurugram</t>
        </is>
      </c>
      <c r="D283" s="9" t="inlineStr">
        <is>
          <t>Haryana</t>
        </is>
      </c>
      <c r="E283" s="9" t="inlineStr">
        <is>
          <t>India</t>
        </is>
      </c>
      <c r="F283" s="9" t="n">
        <v>1</v>
      </c>
      <c r="G283" s="9" t="n">
        <v>1</v>
      </c>
      <c r="H283" s="9" t="n">
        <v>1</v>
      </c>
      <c r="I283" s="10" t="n">
        <v>44865</v>
      </c>
      <c r="J283" s="10" t="n">
        <v>44865</v>
      </c>
      <c r="K283" s="9" t="n">
        <v>28.32835</v>
      </c>
      <c r="L283" s="9" t="n">
        <v>76.88731</v>
      </c>
      <c r="M283" s="9" t="inlineStr">
        <is>
          <t>https://www.google.com/maps/place/?q=place_id:ChIJn3Yj0vM_DTkRcoGdiR-xjms</t>
        </is>
      </c>
    </row>
    <row r="284">
      <c r="A284" s="9" t="n">
        <v>280</v>
      </c>
      <c r="B284" s="9" t="inlineStr">
        <is>
          <t>Kapas Herd</t>
        </is>
      </c>
      <c r="C284" s="9" t="inlineStr">
        <is>
          <t>Gurugram</t>
        </is>
      </c>
      <c r="D284" s="9" t="inlineStr">
        <is>
          <t>Haryana</t>
        </is>
      </c>
      <c r="E284" s="9" t="inlineStr">
        <is>
          <t>India</t>
        </is>
      </c>
      <c r="F284" s="9" t="n">
        <v>1</v>
      </c>
      <c r="G284" s="9" t="n">
        <v>1</v>
      </c>
      <c r="H284" s="9" t="n">
        <v>1</v>
      </c>
      <c r="I284" s="10" t="n">
        <v>45583</v>
      </c>
      <c r="J284" s="10" t="n">
        <v>45583</v>
      </c>
      <c r="K284" s="9" t="n">
        <v>28.5111</v>
      </c>
      <c r="L284" s="9" t="n">
        <v>77.09246</v>
      </c>
      <c r="M284" s="9" t="inlineStr">
        <is>
          <t>https://www.google.com/maps/place/?q=place_id:ChIJOeGC8VAZDTkRO7hHEPm88Yg</t>
        </is>
      </c>
    </row>
    <row r="285">
      <c r="A285" s="9" t="n">
        <v>281</v>
      </c>
      <c r="B285" s="9" t="inlineStr">
        <is>
          <t>Karnal</t>
        </is>
      </c>
      <c r="C285" s="9" t="inlineStr">
        <is>
          <t>Karnal</t>
        </is>
      </c>
      <c r="D285" s="9" t="inlineStr">
        <is>
          <t>Haryana</t>
        </is>
      </c>
      <c r="E285" s="9" t="inlineStr">
        <is>
          <t>India</t>
        </is>
      </c>
      <c r="F285" s="9" t="n">
        <v>1</v>
      </c>
      <c r="G285" s="9" t="n">
        <v>1</v>
      </c>
      <c r="H285" s="9" t="n">
        <v>1</v>
      </c>
      <c r="I285" s="10" t="n">
        <v>44866</v>
      </c>
      <c r="J285" s="10" t="n">
        <v>44866</v>
      </c>
      <c r="K285" s="9" t="n">
        <v>29.69376</v>
      </c>
      <c r="L285" s="9" t="n">
        <v>77.00602000000001</v>
      </c>
      <c r="M285" s="9" t="inlineStr">
        <is>
          <t>https://www.google.com/maps/place/?q=place_id:ChIJvYeOv9hxDjkRjGBxbvvNlt8</t>
        </is>
      </c>
    </row>
    <row r="286">
      <c r="A286" s="9" t="n">
        <v>282</v>
      </c>
      <c r="B286" s="9" t="inlineStr">
        <is>
          <t>Nilokheri</t>
        </is>
      </c>
      <c r="C286" s="9" t="inlineStr">
        <is>
          <t>Nilokheri</t>
        </is>
      </c>
      <c r="D286" s="9" t="inlineStr">
        <is>
          <t>Haryana</t>
        </is>
      </c>
      <c r="E286" s="9" t="inlineStr">
        <is>
          <t>India</t>
        </is>
      </c>
      <c r="F286" s="9" t="n">
        <v>1</v>
      </c>
      <c r="G286" s="9" t="n">
        <v>1</v>
      </c>
      <c r="H286" s="9" t="n">
        <v>1</v>
      </c>
      <c r="I286" s="10" t="n">
        <v>44493</v>
      </c>
      <c r="J286" s="10" t="n">
        <v>44493</v>
      </c>
      <c r="K286" s="9" t="n">
        <v>29.9133</v>
      </c>
      <c r="L286" s="9" t="n">
        <v>76.91057000000001</v>
      </c>
      <c r="M286" s="9" t="inlineStr">
        <is>
          <t>https://www.google.com/maps/place/?q=place_id:ChIJkVs-loNBDjkRm2fAA1eQwbM</t>
        </is>
      </c>
    </row>
    <row r="287">
      <c r="A287" s="9" t="n">
        <v>283</v>
      </c>
      <c r="B287" s="9" t="inlineStr">
        <is>
          <t>Thanesar</t>
        </is>
      </c>
      <c r="C287" s="9" t="inlineStr">
        <is>
          <t>Thanesar</t>
        </is>
      </c>
      <c r="D287" s="9" t="inlineStr">
        <is>
          <t>Haryana</t>
        </is>
      </c>
      <c r="E287" s="9" t="inlineStr">
        <is>
          <t>India</t>
        </is>
      </c>
      <c r="F287" s="9" t="n">
        <v>7</v>
      </c>
      <c r="G287" s="9" t="n">
        <v>4</v>
      </c>
      <c r="H287" s="9" t="n">
        <v>2</v>
      </c>
      <c r="I287" s="10" t="n">
        <v>44492</v>
      </c>
      <c r="J287" s="10" t="n">
        <v>44866</v>
      </c>
      <c r="K287" s="9" t="n">
        <v>29.97417</v>
      </c>
      <c r="L287" s="9" t="n">
        <v>76.86682</v>
      </c>
      <c r="M287" s="9" t="inlineStr">
        <is>
          <t>https://www.google.com/maps/place/?q=place_id:ChIJB7UAwoZHDjkRzbTuBzgHwiI</t>
        </is>
      </c>
    </row>
    <row r="288">
      <c r="A288" s="9" t="n">
        <v>284</v>
      </c>
      <c r="B288" s="9" t="inlineStr">
        <is>
          <t>Thanesar</t>
        </is>
      </c>
      <c r="C288" s="9" t="inlineStr">
        <is>
          <t>Thanesar</t>
        </is>
      </c>
      <c r="D288" s="9" t="inlineStr">
        <is>
          <t>Haryana</t>
        </is>
      </c>
      <c r="E288" s="9" t="inlineStr">
        <is>
          <t>India</t>
        </is>
      </c>
      <c r="F288" s="9" t="n">
        <v>4</v>
      </c>
      <c r="G288" s="9" t="n">
        <v>2</v>
      </c>
      <c r="H288" s="9" t="n">
        <v>1</v>
      </c>
      <c r="I288" s="10" t="n">
        <v>43656</v>
      </c>
      <c r="J288" s="10" t="n">
        <v>43657</v>
      </c>
      <c r="K288" s="9" t="n">
        <v>29.97286</v>
      </c>
      <c r="L288" s="9" t="n">
        <v>76.83078</v>
      </c>
      <c r="M288" s="9" t="inlineStr">
        <is>
          <t>https://www.google.com/maps/place/?q=place_id:ChIJ-5NCul5HDjkRlGs0bZh1GUI</t>
        </is>
      </c>
    </row>
    <row r="289">
      <c r="A289" s="9" t="n">
        <v>285</v>
      </c>
      <c r="B289" s="9" t="inlineStr">
        <is>
          <t>Thanesar</t>
        </is>
      </c>
      <c r="C289" s="9" t="inlineStr">
        <is>
          <t>Thanesar</t>
        </is>
      </c>
      <c r="D289" s="9" t="inlineStr">
        <is>
          <t>Haryana</t>
        </is>
      </c>
      <c r="E289" s="9" t="inlineStr">
        <is>
          <t>India</t>
        </is>
      </c>
      <c r="F289" s="9" t="n">
        <v>3</v>
      </c>
      <c r="G289" s="9" t="n">
        <v>3</v>
      </c>
      <c r="H289" s="9" t="n">
        <v>2</v>
      </c>
      <c r="I289" s="10" t="n">
        <v>43656</v>
      </c>
      <c r="J289" s="10" t="n">
        <v>44866</v>
      </c>
      <c r="K289" s="9" t="n">
        <v>29.96196</v>
      </c>
      <c r="L289" s="9" t="n">
        <v>76.78458999999999</v>
      </c>
      <c r="M289" s="9" t="inlineStr">
        <is>
          <t>https://www.google.com/maps/place/?q=place_id:ChIJRanq49k4DjkRxopfP_2RUNQ</t>
        </is>
      </c>
    </row>
    <row r="290">
      <c r="A290" s="9" t="n">
        <v>286</v>
      </c>
      <c r="B290" s="9" t="inlineStr">
        <is>
          <t>Thanesar</t>
        </is>
      </c>
      <c r="C290" s="9" t="inlineStr">
        <is>
          <t>Thanesar</t>
        </is>
      </c>
      <c r="D290" s="9" t="inlineStr">
        <is>
          <t>Haryana</t>
        </is>
      </c>
      <c r="E290" s="9" t="inlineStr">
        <is>
          <t>India</t>
        </is>
      </c>
      <c r="F290" s="9" t="n">
        <v>2</v>
      </c>
      <c r="G290" s="9" t="n">
        <v>2</v>
      </c>
      <c r="H290" s="9" t="n">
        <v>2</v>
      </c>
      <c r="I290" s="10" t="n">
        <v>44493</v>
      </c>
      <c r="J290" s="10" t="n">
        <v>44865</v>
      </c>
      <c r="K290" s="9" t="n">
        <v>29.96205</v>
      </c>
      <c r="L290" s="9" t="n">
        <v>76.77212</v>
      </c>
      <c r="M290" s="9" t="inlineStr">
        <is>
          <t>https://www.google.com/maps/place/?q=place_id:ChIJAVEDjTg5DjkRZ4L1l6Y_-2g</t>
        </is>
      </c>
    </row>
    <row r="291">
      <c r="A291" s="9" t="n">
        <v>287</v>
      </c>
      <c r="B291" s="9" t="inlineStr">
        <is>
          <t>Thanesar</t>
        </is>
      </c>
      <c r="C291" s="9" t="inlineStr">
        <is>
          <t>Thanesar</t>
        </is>
      </c>
      <c r="D291" s="9" t="inlineStr">
        <is>
          <t>Haryana</t>
        </is>
      </c>
      <c r="E291" s="9" t="inlineStr">
        <is>
          <t>India</t>
        </is>
      </c>
      <c r="F291" s="9" t="n">
        <v>1</v>
      </c>
      <c r="G291" s="9" t="n">
        <v>1</v>
      </c>
      <c r="H291" s="9" t="n">
        <v>1</v>
      </c>
      <c r="I291" s="10" t="n">
        <v>43657</v>
      </c>
      <c r="J291" s="10" t="n">
        <v>43657</v>
      </c>
      <c r="K291" s="9" t="n">
        <v>29.96299</v>
      </c>
      <c r="L291" s="9" t="n">
        <v>76.82774000000001</v>
      </c>
      <c r="M291" s="9" t="inlineStr">
        <is>
          <t>https://www.google.com/maps/place/?q=place_id:ChIJk_qRS1ZHDjkRSg4lFh--6Ow</t>
        </is>
      </c>
    </row>
    <row r="292">
      <c r="A292" s="9" t="n">
        <v>288</v>
      </c>
      <c r="B292" s="9" t="inlineStr">
        <is>
          <t>Thanesar</t>
        </is>
      </c>
      <c r="C292" s="9" t="inlineStr">
        <is>
          <t>Thanesar</t>
        </is>
      </c>
      <c r="D292" s="9" t="inlineStr">
        <is>
          <t>Haryana</t>
        </is>
      </c>
      <c r="E292" s="9" t="inlineStr">
        <is>
          <t>India</t>
        </is>
      </c>
      <c r="F292" s="9" t="n">
        <v>1</v>
      </c>
      <c r="G292" s="9" t="n">
        <v>1</v>
      </c>
      <c r="H292" s="9" t="n">
        <v>1</v>
      </c>
      <c r="I292" s="10" t="n">
        <v>43657</v>
      </c>
      <c r="J292" s="10" t="n">
        <v>43657</v>
      </c>
      <c r="K292" s="9" t="n">
        <v>29.96336</v>
      </c>
      <c r="L292" s="9" t="n">
        <v>76.83609</v>
      </c>
      <c r="M292" s="9" t="inlineStr">
        <is>
          <t>https://www.google.com/maps/place/?q=place_id:ChIJl6f9x1FHDjkRiaAfYYOsBdc</t>
        </is>
      </c>
    </row>
    <row r="293">
      <c r="A293" s="9" t="n">
        <v>289</v>
      </c>
      <c r="B293" s="9" t="inlineStr">
        <is>
          <t>Thanesar</t>
        </is>
      </c>
      <c r="C293" s="9" t="inlineStr">
        <is>
          <t>Thanesar</t>
        </is>
      </c>
      <c r="D293" s="9" t="inlineStr">
        <is>
          <t>Haryana</t>
        </is>
      </c>
      <c r="E293" s="9" t="inlineStr">
        <is>
          <t>India</t>
        </is>
      </c>
      <c r="F293" s="9" t="n">
        <v>1</v>
      </c>
      <c r="G293" s="9" t="n">
        <v>1</v>
      </c>
      <c r="H293" s="9" t="n">
        <v>1</v>
      </c>
      <c r="I293" s="10" t="n">
        <v>43657</v>
      </c>
      <c r="J293" s="10" t="n">
        <v>43657</v>
      </c>
      <c r="K293" s="9" t="n">
        <v>29.96893</v>
      </c>
      <c r="L293" s="9" t="n">
        <v>76.85114</v>
      </c>
      <c r="M293" s="9" t="inlineStr">
        <is>
          <t>https://www.google.com/maps/place/?q=place_id:ChIJqfqeJThHDjkRrSuxEC6PvgM</t>
        </is>
      </c>
    </row>
    <row r="294">
      <c r="A294" s="9" t="n">
        <v>290</v>
      </c>
      <c r="B294" s="9" t="inlineStr">
        <is>
          <t>Thanesar</t>
        </is>
      </c>
      <c r="C294" s="9" t="inlineStr">
        <is>
          <t>Thanesar</t>
        </is>
      </c>
      <c r="D294" s="9" t="inlineStr">
        <is>
          <t>Haryana</t>
        </is>
      </c>
      <c r="E294" s="9" t="inlineStr">
        <is>
          <t>India</t>
        </is>
      </c>
      <c r="F294" s="9" t="n">
        <v>1</v>
      </c>
      <c r="G294" s="9" t="n">
        <v>1</v>
      </c>
      <c r="H294" s="9" t="n">
        <v>1</v>
      </c>
      <c r="I294" s="10" t="n">
        <v>43657</v>
      </c>
      <c r="J294" s="10" t="n">
        <v>43657</v>
      </c>
      <c r="K294" s="9" t="n">
        <v>29.96176</v>
      </c>
      <c r="L294" s="9" t="n">
        <v>76.77088000000001</v>
      </c>
      <c r="M294" s="9" t="inlineStr">
        <is>
          <t>https://www.google.com/maps/place/?q=place_id:ChIJDVf7dCU5DjkR6oEeqY21btk</t>
        </is>
      </c>
    </row>
    <row r="295">
      <c r="A295" s="9" t="n">
        <v>291</v>
      </c>
      <c r="B295" s="9" t="inlineStr">
        <is>
          <t>Thanesar</t>
        </is>
      </c>
      <c r="C295" s="9" t="inlineStr">
        <is>
          <t>Thanesar</t>
        </is>
      </c>
      <c r="D295" s="9" t="inlineStr">
        <is>
          <t>Haryana</t>
        </is>
      </c>
      <c r="E295" s="9" t="inlineStr">
        <is>
          <t>India</t>
        </is>
      </c>
      <c r="F295" s="9" t="n">
        <v>1</v>
      </c>
      <c r="G295" s="9" t="n">
        <v>1</v>
      </c>
      <c r="H295" s="9" t="n">
        <v>1</v>
      </c>
      <c r="I295" s="10" t="n">
        <v>43657</v>
      </c>
      <c r="J295" s="10" t="n">
        <v>43657</v>
      </c>
      <c r="K295" s="9" t="n">
        <v>29.9654</v>
      </c>
      <c r="L295" s="9" t="n">
        <v>76.834</v>
      </c>
      <c r="M295" s="9" t="inlineStr">
        <is>
          <t>https://www.google.com/maps/place/?q=place_id:ChIJA6IP81BHDjkREr_SqinPWEA</t>
        </is>
      </c>
    </row>
    <row r="296">
      <c r="A296" s="9" t="n">
        <v>292</v>
      </c>
      <c r="B296" s="9" t="inlineStr">
        <is>
          <t>Thanesar</t>
        </is>
      </c>
      <c r="C296" s="9" t="inlineStr">
        <is>
          <t>Thanesar</t>
        </is>
      </c>
      <c r="D296" s="9" t="inlineStr">
        <is>
          <t>Haryana</t>
        </is>
      </c>
      <c r="E296" s="9" t="inlineStr">
        <is>
          <t>India</t>
        </is>
      </c>
      <c r="F296" s="9" t="n">
        <v>1</v>
      </c>
      <c r="G296" s="9" t="n">
        <v>1</v>
      </c>
      <c r="H296" s="9" t="n">
        <v>1</v>
      </c>
      <c r="I296" s="10" t="n">
        <v>44492</v>
      </c>
      <c r="J296" s="10" t="n">
        <v>44492</v>
      </c>
      <c r="K296" s="9" t="n">
        <v>29.96147</v>
      </c>
      <c r="L296" s="9" t="n">
        <v>76.77106999999999</v>
      </c>
      <c r="M296" s="9" t="inlineStr">
        <is>
          <t>https://www.google.com/maps/place/?q=place_id:ChIJb7gzdCU5DjkRRRDcLaRS_Q0</t>
        </is>
      </c>
    </row>
    <row r="297">
      <c r="A297" s="9" t="n">
        <v>293</v>
      </c>
      <c r="B297" s="9" t="inlineStr">
        <is>
          <t>Thanesar</t>
        </is>
      </c>
      <c r="C297" s="9" t="inlineStr">
        <is>
          <t>Thanesar</t>
        </is>
      </c>
      <c r="D297" s="9" t="inlineStr">
        <is>
          <t>Haryana</t>
        </is>
      </c>
      <c r="E297" s="9" t="inlineStr">
        <is>
          <t>India</t>
        </is>
      </c>
      <c r="F297" s="9" t="n">
        <v>1</v>
      </c>
      <c r="G297" s="9" t="n">
        <v>2</v>
      </c>
      <c r="H297" s="9" t="n">
        <v>1</v>
      </c>
      <c r="I297" s="10" t="n">
        <v>44492</v>
      </c>
      <c r="J297" s="10" t="n">
        <v>44493</v>
      </c>
      <c r="K297" s="9" t="n">
        <v>29.97295</v>
      </c>
      <c r="L297" s="9" t="n">
        <v>76.86844000000001</v>
      </c>
      <c r="M297" s="9" t="inlineStr">
        <is>
          <t>https://www.google.com/maps/place/?q=place_id:ChIJOUR6VyZHDjkRkrwfIyKLTl0</t>
        </is>
      </c>
    </row>
    <row r="298">
      <c r="A298" s="9" t="n">
        <v>294</v>
      </c>
      <c r="B298" s="9" t="inlineStr">
        <is>
          <t>Thanesar</t>
        </is>
      </c>
      <c r="C298" s="9" t="inlineStr">
        <is>
          <t>Thanesar</t>
        </is>
      </c>
      <c r="D298" s="9" t="inlineStr">
        <is>
          <t>Haryana</t>
        </is>
      </c>
      <c r="E298" s="9" t="inlineStr">
        <is>
          <t>India</t>
        </is>
      </c>
      <c r="F298" s="9" t="n">
        <v>1</v>
      </c>
      <c r="G298" s="9" t="n">
        <v>1</v>
      </c>
      <c r="H298" s="9" t="n">
        <v>1</v>
      </c>
      <c r="I298" s="10" t="n">
        <v>44493</v>
      </c>
      <c r="J298" s="10" t="n">
        <v>44493</v>
      </c>
      <c r="K298" s="9" t="n">
        <v>29.96136</v>
      </c>
      <c r="L298" s="9" t="n">
        <v>76.82855000000001</v>
      </c>
      <c r="M298" s="9" t="inlineStr">
        <is>
          <t>https://www.google.com/maps/place/?q=place_id:ChIJL6JHE1ZHDjkRLrWe5di8dqg</t>
        </is>
      </c>
    </row>
    <row r="299">
      <c r="A299" s="9" t="n">
        <v>295</v>
      </c>
      <c r="B299" s="9" t="inlineStr">
        <is>
          <t>Thanesar</t>
        </is>
      </c>
      <c r="C299" s="9" t="inlineStr">
        <is>
          <t>Thanesar</t>
        </is>
      </c>
      <c r="D299" s="9" t="inlineStr">
        <is>
          <t>Haryana</t>
        </is>
      </c>
      <c r="E299" s="9" t="inlineStr">
        <is>
          <t>India</t>
        </is>
      </c>
      <c r="F299" s="9" t="n">
        <v>1</v>
      </c>
      <c r="G299" s="9" t="n">
        <v>1</v>
      </c>
      <c r="H299" s="9" t="n">
        <v>1</v>
      </c>
      <c r="I299" s="10" t="n">
        <v>44865</v>
      </c>
      <c r="J299" s="10" t="n">
        <v>44865</v>
      </c>
      <c r="K299" s="9" t="n">
        <v>29.96198</v>
      </c>
      <c r="L299" s="9" t="n">
        <v>76.82720999999999</v>
      </c>
      <c r="M299" s="9" t="inlineStr">
        <is>
          <t>https://www.google.com/maps/place/?q=place_id:ChIJN9JQidNHDjkR9UVpMPOMEjU</t>
        </is>
      </c>
    </row>
    <row r="300">
      <c r="A300" s="9" t="n">
        <v>296</v>
      </c>
      <c r="B300" s="9" t="inlineStr">
        <is>
          <t>Thanesar</t>
        </is>
      </c>
      <c r="C300" s="9" t="inlineStr">
        <is>
          <t>Thanesar</t>
        </is>
      </c>
      <c r="D300" s="9" t="inlineStr">
        <is>
          <t>Haryana</t>
        </is>
      </c>
      <c r="E300" s="9" t="inlineStr">
        <is>
          <t>India</t>
        </is>
      </c>
      <c r="F300" s="9" t="n">
        <v>1</v>
      </c>
      <c r="G300" s="9" t="n">
        <v>1</v>
      </c>
      <c r="H300" s="9" t="n">
        <v>1</v>
      </c>
      <c r="I300" s="10" t="n">
        <v>44865</v>
      </c>
      <c r="J300" s="10" t="n">
        <v>44865</v>
      </c>
      <c r="K300" s="9" t="n">
        <v>29.9796</v>
      </c>
      <c r="L300" s="9" t="n">
        <v>76.8313</v>
      </c>
      <c r="M300" s="9" t="inlineStr">
        <is>
          <t>https://www.google.com/maps/place/?q=place_id:ChIJ873zM2dHDjkRIhs3EFE7748</t>
        </is>
      </c>
    </row>
    <row r="301">
      <c r="A301" s="9" t="n">
        <v>297</v>
      </c>
      <c r="B301" s="9" t="inlineStr">
        <is>
          <t>Thanesar</t>
        </is>
      </c>
      <c r="C301" s="9" t="inlineStr">
        <is>
          <t>Thanesar</t>
        </is>
      </c>
      <c r="D301" s="9" t="inlineStr">
        <is>
          <t>Haryana</t>
        </is>
      </c>
      <c r="E301" s="9" t="inlineStr">
        <is>
          <t>India</t>
        </is>
      </c>
      <c r="F301" s="9" t="n">
        <v>1</v>
      </c>
      <c r="G301" s="9" t="n">
        <v>1</v>
      </c>
      <c r="H301" s="9" t="n">
        <v>1</v>
      </c>
      <c r="I301" s="10" t="n">
        <v>44865</v>
      </c>
      <c r="J301" s="10" t="n">
        <v>44865</v>
      </c>
      <c r="K301" s="9" t="n">
        <v>29.98143</v>
      </c>
      <c r="L301" s="9" t="n">
        <v>76.82795</v>
      </c>
      <c r="M301" s="9" t="inlineStr">
        <is>
          <t>https://www.google.com/maps/place/?q=place_id:ChIJPXFuu2FHDjkRSHV1qXOQtOA</t>
        </is>
      </c>
    </row>
    <row r="302">
      <c r="A302" s="9" t="n">
        <v>298</v>
      </c>
      <c r="B302" s="9" t="inlineStr">
        <is>
          <t>Thanesar</t>
        </is>
      </c>
      <c r="C302" s="9" t="inlineStr">
        <is>
          <t>Thanesar</t>
        </is>
      </c>
      <c r="D302" s="9" t="inlineStr">
        <is>
          <t>Haryana</t>
        </is>
      </c>
      <c r="E302" s="9" t="inlineStr">
        <is>
          <t>India</t>
        </is>
      </c>
      <c r="F302" s="9" t="n">
        <v>1</v>
      </c>
      <c r="G302" s="9" t="n">
        <v>1</v>
      </c>
      <c r="H302" s="9" t="n">
        <v>1</v>
      </c>
      <c r="I302" s="10" t="n">
        <v>44866</v>
      </c>
      <c r="J302" s="10" t="n">
        <v>44866</v>
      </c>
      <c r="K302" s="9" t="n">
        <v>29.93863</v>
      </c>
      <c r="L302" s="9" t="n">
        <v>76.81263</v>
      </c>
      <c r="M302" s="9" t="inlineStr">
        <is>
          <t>https://www.google.com/maps/place/?q=place_id:ChIJMVAb50Q_DjkRPoRPHVHy2Tk</t>
        </is>
      </c>
    </row>
    <row r="303">
      <c r="A303" s="9" t="n">
        <v>299</v>
      </c>
      <c r="B303" s="9" t="inlineStr">
        <is>
          <t>Thanesar</t>
        </is>
      </c>
      <c r="C303" s="9" t="inlineStr">
        <is>
          <t>Thanesar</t>
        </is>
      </c>
      <c r="D303" s="9" t="inlineStr">
        <is>
          <t>Haryana</t>
        </is>
      </c>
      <c r="E303" s="9" t="inlineStr">
        <is>
          <t>India</t>
        </is>
      </c>
      <c r="F303" s="9" t="n">
        <v>1</v>
      </c>
      <c r="G303" s="9" t="n">
        <v>1</v>
      </c>
      <c r="H303" s="9" t="n">
        <v>1</v>
      </c>
      <c r="I303" s="10" t="n">
        <v>44866</v>
      </c>
      <c r="J303" s="10" t="n">
        <v>44866</v>
      </c>
      <c r="K303" s="9" t="n">
        <v>29.95779</v>
      </c>
      <c r="L303" s="9" t="n">
        <v>76.83467</v>
      </c>
      <c r="M303" s="9" t="inlineStr">
        <is>
          <t>https://www.google.com/maps/place/?q=place_id:ChIJjxsQplNHDjkRiZgPzB7X8Ps</t>
        </is>
      </c>
    </row>
    <row r="304">
      <c r="A304" s="9" t="n">
        <v>300</v>
      </c>
      <c r="B304" s="9" t="inlineStr">
        <is>
          <t>Thanesar</t>
        </is>
      </c>
      <c r="C304" s="9" t="inlineStr">
        <is>
          <t>Thanesar</t>
        </is>
      </c>
      <c r="D304" s="9" t="inlineStr">
        <is>
          <t>Haryana</t>
        </is>
      </c>
      <c r="E304" s="9" t="inlineStr">
        <is>
          <t>India</t>
        </is>
      </c>
      <c r="F304" s="9" t="n">
        <v>1</v>
      </c>
      <c r="G304" s="9" t="n">
        <v>1</v>
      </c>
      <c r="H304" s="9" t="n">
        <v>1</v>
      </c>
      <c r="I304" s="10" t="n">
        <v>44866</v>
      </c>
      <c r="J304" s="10" t="n">
        <v>44866</v>
      </c>
      <c r="K304" s="9" t="n">
        <v>29.96672</v>
      </c>
      <c r="L304" s="9" t="n">
        <v>76.83588</v>
      </c>
      <c r="M304" s="9" t="inlineStr">
        <is>
          <t>https://www.google.com/maps/place/?q=place_id:ChIJ4w0Tc1BHDjkRlBuo4xvGSws</t>
        </is>
      </c>
    </row>
    <row r="305">
      <c r="A305" s="9" t="n">
        <v>301</v>
      </c>
      <c r="B305" s="9" t="inlineStr">
        <is>
          <t>Thanesar</t>
        </is>
      </c>
      <c r="C305" s="9" t="inlineStr">
        <is>
          <t>Thanesar</t>
        </is>
      </c>
      <c r="D305" s="9" t="inlineStr">
        <is>
          <t>Haryana</t>
        </is>
      </c>
      <c r="E305" s="9" t="inlineStr">
        <is>
          <t>India</t>
        </is>
      </c>
      <c r="F305" s="9" t="n">
        <v>1</v>
      </c>
      <c r="G305" s="9" t="n">
        <v>1</v>
      </c>
      <c r="H305" s="9" t="n">
        <v>1</v>
      </c>
      <c r="I305" s="10" t="n">
        <v>44866</v>
      </c>
      <c r="J305" s="10" t="n">
        <v>44866</v>
      </c>
      <c r="K305" s="9" t="n">
        <v>29.97312</v>
      </c>
      <c r="L305" s="9" t="n">
        <v>76.85644000000001</v>
      </c>
      <c r="M305" s="9" t="inlineStr">
        <is>
          <t>https://www.google.com/maps/place/?q=place_id:ChIJlwc5uTtHDjkRk1DLdJwV8eY</t>
        </is>
      </c>
    </row>
    <row r="306">
      <c r="A306" s="9" t="n">
        <v>302</v>
      </c>
      <c r="B306" s="9" t="inlineStr">
        <is>
          <t>Barki Saria</t>
        </is>
      </c>
      <c r="C306" s="9" t="inlineStr">
        <is>
          <t>Barki Saria</t>
        </is>
      </c>
      <c r="D306" s="9" t="inlineStr">
        <is>
          <t>Jharkhand</t>
        </is>
      </c>
      <c r="E306" s="9" t="inlineStr">
        <is>
          <t>India</t>
        </is>
      </c>
      <c r="F306" s="9" t="n">
        <v>1</v>
      </c>
      <c r="G306" s="9" t="n">
        <v>1</v>
      </c>
      <c r="H306" s="9" t="n">
        <v>1</v>
      </c>
      <c r="I306" s="10" t="n">
        <v>43517</v>
      </c>
      <c r="J306" s="10" t="n">
        <v>43517</v>
      </c>
      <c r="K306" s="9" t="n">
        <v>24.05538</v>
      </c>
      <c r="L306" s="9" t="n">
        <v>85.98997</v>
      </c>
      <c r="M306" s="9" t="inlineStr">
        <is>
          <t>https://www.google.com/maps/place/?q=place_id:ChIJgcpVcEgK9DkRUwj8X7Jn3MI</t>
        </is>
      </c>
    </row>
    <row r="307">
      <c r="A307" s="9" t="n">
        <v>303</v>
      </c>
      <c r="B307" s="9" t="inlineStr">
        <is>
          <t>Gomoh</t>
        </is>
      </c>
      <c r="C307" s="9" t="inlineStr">
        <is>
          <t>Gomoh</t>
        </is>
      </c>
      <c r="D307" s="9" t="inlineStr">
        <is>
          <t>Jharkhand</t>
        </is>
      </c>
      <c r="E307" s="9" t="inlineStr">
        <is>
          <t>India</t>
        </is>
      </c>
      <c r="F307" s="9" t="n">
        <v>1</v>
      </c>
      <c r="G307" s="9" t="n">
        <v>1</v>
      </c>
      <c r="H307" s="9" t="n">
        <v>1</v>
      </c>
      <c r="I307" s="10" t="n">
        <v>43517</v>
      </c>
      <c r="J307" s="10" t="n">
        <v>43517</v>
      </c>
      <c r="K307" s="9" t="n">
        <v>23.98757</v>
      </c>
      <c r="L307" s="9" t="n">
        <v>86.03738</v>
      </c>
      <c r="M307" s="9" t="inlineStr">
        <is>
          <t>https://www.google.com/maps/place/?q=place_id:ChIJC42bw0D18zkR8mcFiHFOclk</t>
        </is>
      </c>
    </row>
    <row r="308">
      <c r="A308" s="9" t="n">
        <v>304</v>
      </c>
      <c r="B308" s="9" t="inlineStr">
        <is>
          <t>Bagepalli</t>
        </is>
      </c>
      <c r="C308" s="9" t="inlineStr">
        <is>
          <t>Bagepalli</t>
        </is>
      </c>
      <c r="D308" s="9" t="inlineStr">
        <is>
          <t>Karnataka</t>
        </is>
      </c>
      <c r="E308" s="9" t="inlineStr">
        <is>
          <t>India</t>
        </is>
      </c>
      <c r="F308" s="9" t="n">
        <v>1</v>
      </c>
      <c r="G308" s="9" t="n">
        <v>1</v>
      </c>
      <c r="H308" s="9" t="n">
        <v>1</v>
      </c>
      <c r="I308" s="10" t="n">
        <v>45070</v>
      </c>
      <c r="J308" s="10" t="n">
        <v>45070</v>
      </c>
      <c r="K308" s="9" t="n">
        <v>13.83441</v>
      </c>
      <c r="L308" s="9" t="n">
        <v>77.74171</v>
      </c>
      <c r="M308" s="9" t="inlineStr">
        <is>
          <t>https://www.google.com/maps/place/?q=place_id:ChIJz0CDutWasTsRNGKQ8SeBSsY</t>
        </is>
      </c>
    </row>
    <row r="309">
      <c r="A309" s="9" t="n">
        <v>305</v>
      </c>
      <c r="B309" s="9" t="inlineStr">
        <is>
          <t>Basavakalyan</t>
        </is>
      </c>
      <c r="C309" s="9" t="inlineStr">
        <is>
          <t>Basavakalyan</t>
        </is>
      </c>
      <c r="D309" s="9" t="inlineStr">
        <is>
          <t>Karnataka</t>
        </is>
      </c>
      <c r="E309" s="9" t="inlineStr">
        <is>
          <t>India</t>
        </is>
      </c>
      <c r="F309" s="9" t="n">
        <v>1</v>
      </c>
      <c r="G309" s="9" t="n">
        <v>1</v>
      </c>
      <c r="H309" s="9" t="n">
        <v>1</v>
      </c>
      <c r="I309" s="10" t="n">
        <v>42768</v>
      </c>
      <c r="J309" s="10" t="n">
        <v>42768</v>
      </c>
      <c r="K309" s="9" t="n">
        <v>17.82861</v>
      </c>
      <c r="L309" s="9" t="n">
        <v>76.91501</v>
      </c>
      <c r="M309" s="9" t="inlineStr">
        <is>
          <t>https://www.google.com/maps/place/?q=place_id:ChIJb81Zhog5zzsRYFzhX2jxNqU</t>
        </is>
      </c>
    </row>
    <row r="310">
      <c r="A310" s="9" t="n">
        <v>306</v>
      </c>
      <c r="B310" s="9" t="inlineStr">
        <is>
          <t>Belagavi</t>
        </is>
      </c>
      <c r="C310" s="9" t="inlineStr">
        <is>
          <t>Belagavi</t>
        </is>
      </c>
      <c r="D310" s="9" t="inlineStr">
        <is>
          <t>Karnataka</t>
        </is>
      </c>
      <c r="E310" s="9" t="inlineStr">
        <is>
          <t>India</t>
        </is>
      </c>
      <c r="F310" s="9" t="n">
        <v>1</v>
      </c>
      <c r="G310" s="9" t="n">
        <v>1</v>
      </c>
      <c r="H310" s="9" t="n">
        <v>1</v>
      </c>
      <c r="I310" s="10" t="n">
        <v>42769</v>
      </c>
      <c r="J310" s="10" t="n">
        <v>42769</v>
      </c>
      <c r="K310" s="9" t="n">
        <v>15.85613</v>
      </c>
      <c r="L310" s="9" t="n">
        <v>74.51356</v>
      </c>
      <c r="M310" s="9" t="inlineStr">
        <is>
          <t>https://www.google.com/maps/place/?q=place_id:ChIJ8aeHjrxmvzsRab2NyfnLm-g</t>
        </is>
      </c>
    </row>
    <row r="311">
      <c r="A311" s="9" t="n">
        <v>307</v>
      </c>
      <c r="B311" s="9" t="inlineStr">
        <is>
          <t>Belagavi</t>
        </is>
      </c>
      <c r="C311" s="9" t="inlineStr">
        <is>
          <t>Belagavi</t>
        </is>
      </c>
      <c r="D311" s="9" t="inlineStr">
        <is>
          <t>Karnataka</t>
        </is>
      </c>
      <c r="E311" s="9" t="inlineStr">
        <is>
          <t>India</t>
        </is>
      </c>
      <c r="F311" s="9" t="n">
        <v>1</v>
      </c>
      <c r="G311" s="9" t="n">
        <v>1</v>
      </c>
      <c r="H311" s="9" t="n">
        <v>1</v>
      </c>
      <c r="I311" s="10" t="n">
        <v>42769</v>
      </c>
      <c r="J311" s="10" t="n">
        <v>42769</v>
      </c>
      <c r="K311" s="9" t="n">
        <v>15.84009</v>
      </c>
      <c r="L311" s="9" t="n">
        <v>74.50411</v>
      </c>
      <c r="M311" s="9" t="inlineStr">
        <is>
          <t>https://www.google.com/maps/place/?q=place_id:ChIJl29ZWINmvzsRMiKLySgucCU</t>
        </is>
      </c>
    </row>
    <row r="312">
      <c r="A312" s="9" t="n">
        <v>308</v>
      </c>
      <c r="B312" s="9" t="inlineStr">
        <is>
          <t>Belur</t>
        </is>
      </c>
      <c r="C312" s="9" t="inlineStr">
        <is>
          <t>Belur</t>
        </is>
      </c>
      <c r="D312" s="9" t="inlineStr">
        <is>
          <t>Karnataka</t>
        </is>
      </c>
      <c r="E312" s="9" t="inlineStr">
        <is>
          <t>India</t>
        </is>
      </c>
      <c r="F312" s="9" t="n">
        <v>2</v>
      </c>
      <c r="G312" s="9" t="n">
        <v>2</v>
      </c>
      <c r="H312" s="9" t="n">
        <v>1</v>
      </c>
      <c r="I312" s="10" t="n">
        <v>45073</v>
      </c>
      <c r="J312" s="10" t="n">
        <v>45074</v>
      </c>
      <c r="K312" s="9" t="n">
        <v>13.16847</v>
      </c>
      <c r="L312" s="9" t="n">
        <v>75.87136</v>
      </c>
      <c r="M312" s="9" t="inlineStr">
        <is>
          <t>https://www.google.com/maps/place/?q=place_id:ChIJkZqlg8HSujsRDgA8YbfqgAo</t>
        </is>
      </c>
    </row>
    <row r="313">
      <c r="A313" s="9" t="n">
        <v>309</v>
      </c>
      <c r="B313" s="9" t="inlineStr">
        <is>
          <t>Belur</t>
        </is>
      </c>
      <c r="C313" s="9" t="inlineStr">
        <is>
          <t>Belur</t>
        </is>
      </c>
      <c r="D313" s="9" t="inlineStr">
        <is>
          <t>Karnataka</t>
        </is>
      </c>
      <c r="E313" s="9" t="inlineStr">
        <is>
          <t>India</t>
        </is>
      </c>
      <c r="F313" s="9" t="n">
        <v>1</v>
      </c>
      <c r="G313" s="9" t="n">
        <v>1</v>
      </c>
      <c r="H313" s="9" t="n">
        <v>1</v>
      </c>
      <c r="I313" s="10" t="n">
        <v>45074</v>
      </c>
      <c r="J313" s="10" t="n">
        <v>45074</v>
      </c>
      <c r="K313" s="9" t="n">
        <v>13.25203</v>
      </c>
      <c r="L313" s="9" t="n">
        <v>75.85236</v>
      </c>
      <c r="M313" s="9" t="inlineStr">
        <is>
          <t>https://www.google.com/maps/place/?q=place_id:ChIJMTQkMXbRujsRaivl8U0NkdI</t>
        </is>
      </c>
    </row>
    <row r="314">
      <c r="A314" s="9" t="n">
        <v>310</v>
      </c>
      <c r="B314" s="9" t="inlineStr">
        <is>
          <t>Belur</t>
        </is>
      </c>
      <c r="C314" s="9" t="inlineStr">
        <is>
          <t>Belur</t>
        </is>
      </c>
      <c r="D314" s="9" t="inlineStr">
        <is>
          <t>Karnataka</t>
        </is>
      </c>
      <c r="E314" s="9" t="inlineStr">
        <is>
          <t>India</t>
        </is>
      </c>
      <c r="F314" s="9" t="n">
        <v>1</v>
      </c>
      <c r="G314" s="9" t="n">
        <v>1</v>
      </c>
      <c r="H314" s="9" t="n">
        <v>1</v>
      </c>
      <c r="I314" s="10" t="n">
        <v>45074</v>
      </c>
      <c r="J314" s="10" t="n">
        <v>45074</v>
      </c>
      <c r="K314" s="9" t="n">
        <v>13.16294</v>
      </c>
      <c r="L314" s="9" t="n">
        <v>75.86041</v>
      </c>
      <c r="M314" s="9" t="inlineStr">
        <is>
          <t>https://www.google.com/maps/place/?q=place_id:ChIJJQBmVEfTujsRFhwBGxFtRgk</t>
        </is>
      </c>
    </row>
    <row r="315">
      <c r="A315" s="9" t="n">
        <v>311</v>
      </c>
      <c r="B315" s="9" t="inlineStr">
        <is>
          <t>Belur</t>
        </is>
      </c>
      <c r="C315" s="9" t="inlineStr">
        <is>
          <t>Belur</t>
        </is>
      </c>
      <c r="D315" s="9" t="inlineStr">
        <is>
          <t>Karnataka</t>
        </is>
      </c>
      <c r="E315" s="9" t="inlineStr">
        <is>
          <t>India</t>
        </is>
      </c>
      <c r="F315" s="9" t="n">
        <v>1</v>
      </c>
      <c r="G315" s="9" t="n">
        <v>1</v>
      </c>
      <c r="H315" s="9" t="n">
        <v>1</v>
      </c>
      <c r="I315" s="10" t="n">
        <v>45074</v>
      </c>
      <c r="J315" s="10" t="n">
        <v>45074</v>
      </c>
      <c r="K315" s="9" t="n">
        <v>13.28353</v>
      </c>
      <c r="L315" s="9" t="n">
        <v>75.9971</v>
      </c>
      <c r="M315" s="9" t="inlineStr">
        <is>
          <t>https://www.google.com/maps/place/?q=place_id:ChIJyQsBn3VF4DsRrJrl4htgKJg</t>
        </is>
      </c>
    </row>
    <row r="316">
      <c r="A316" s="9" t="n">
        <v>312</v>
      </c>
      <c r="B316" s="9" t="inlineStr">
        <is>
          <t>Bengaluru</t>
        </is>
      </c>
      <c r="C316" s="9" t="inlineStr">
        <is>
          <t>Bengaluru</t>
        </is>
      </c>
      <c r="D316" s="9" t="inlineStr">
        <is>
          <t>Karnataka</t>
        </is>
      </c>
      <c r="E316" s="9" t="inlineStr">
        <is>
          <t>India</t>
        </is>
      </c>
      <c r="F316" s="9" t="n">
        <v>80</v>
      </c>
      <c r="G316" s="9" t="n">
        <v>58</v>
      </c>
      <c r="H316" s="9" t="n">
        <v>20</v>
      </c>
      <c r="I316" s="10" t="n">
        <v>42405</v>
      </c>
      <c r="J316" s="10" t="n">
        <v>46214</v>
      </c>
      <c r="K316" s="9" t="n">
        <v>13.00966</v>
      </c>
      <c r="L316" s="9" t="n">
        <v>77.55113</v>
      </c>
      <c r="M316" s="9" t="inlineStr">
        <is>
          <t>https://www.google.com/maps/place/?q=place_id:ChIJBw42C-09rjsRs7KmQUqyf3o</t>
        </is>
      </c>
    </row>
    <row r="317">
      <c r="A317" s="9" t="n">
        <v>313</v>
      </c>
      <c r="B317" s="9" t="inlineStr">
        <is>
          <t>Bengaluru</t>
        </is>
      </c>
      <c r="C317" s="9" t="inlineStr">
        <is>
          <t>Bengaluru</t>
        </is>
      </c>
      <c r="D317" s="9" t="inlineStr">
        <is>
          <t>Karnataka</t>
        </is>
      </c>
      <c r="E317" s="9" t="inlineStr">
        <is>
          <t>India</t>
        </is>
      </c>
      <c r="F317" s="9" t="n">
        <v>52</v>
      </c>
      <c r="G317" s="9" t="n">
        <v>79</v>
      </c>
      <c r="H317" s="9" t="n">
        <v>9</v>
      </c>
      <c r="I317" s="10" t="n">
        <v>44295</v>
      </c>
      <c r="J317" s="10" t="n">
        <v>45300</v>
      </c>
      <c r="K317" s="9" t="n">
        <v>12.89714</v>
      </c>
      <c r="L317" s="9" t="n">
        <v>77.56706</v>
      </c>
      <c r="M317" s="9" t="inlineStr">
        <is>
          <t>https://www.google.com/maps/place/?q=place_id:ChIJz-RGDl4VrjsRz6S32IIDi6Y</t>
        </is>
      </c>
    </row>
    <row r="318">
      <c r="A318" s="9" t="n">
        <v>314</v>
      </c>
      <c r="B318" s="9" t="inlineStr">
        <is>
          <t>Bengaluru</t>
        </is>
      </c>
      <c r="C318" s="9" t="inlineStr">
        <is>
          <t>Bengaluru</t>
        </is>
      </c>
      <c r="D318" s="9" t="inlineStr">
        <is>
          <t>Karnataka</t>
        </is>
      </c>
      <c r="E318" s="9" t="inlineStr">
        <is>
          <t>India</t>
        </is>
      </c>
      <c r="F318" s="9" t="n">
        <v>10</v>
      </c>
      <c r="G318" s="9" t="n">
        <v>9</v>
      </c>
      <c r="H318" s="9" t="n">
        <v>9</v>
      </c>
      <c r="I318" s="10" t="n">
        <v>42757</v>
      </c>
      <c r="J318" s="10" t="n">
        <v>46214</v>
      </c>
      <c r="K318" s="9" t="n">
        <v>13.02375</v>
      </c>
      <c r="L318" s="9" t="n">
        <v>77.55171</v>
      </c>
      <c r="M318" s="9" t="inlineStr">
        <is>
          <t>https://www.google.com/maps/place/?q=place_id:ChIJ_XNnaWU9rjsRPkW5Tyg9GYU</t>
        </is>
      </c>
    </row>
    <row r="319">
      <c r="A319" s="9" t="n">
        <v>315</v>
      </c>
      <c r="B319" s="9" t="inlineStr">
        <is>
          <t>Bengaluru</t>
        </is>
      </c>
      <c r="C319" s="9" t="inlineStr">
        <is>
          <t>Bengaluru</t>
        </is>
      </c>
      <c r="D319" s="9" t="inlineStr">
        <is>
          <t>Karnataka</t>
        </is>
      </c>
      <c r="E319" s="9" t="inlineStr">
        <is>
          <t>India</t>
        </is>
      </c>
      <c r="F319" s="9" t="n">
        <v>10</v>
      </c>
      <c r="G319" s="9" t="n">
        <v>8</v>
      </c>
      <c r="H319" s="9" t="n">
        <v>8</v>
      </c>
      <c r="I319" s="10" t="n">
        <v>42818</v>
      </c>
      <c r="J319" s="10" t="n">
        <v>45902</v>
      </c>
      <c r="K319" s="9" t="n">
        <v>13.00834</v>
      </c>
      <c r="L319" s="9" t="n">
        <v>77.54883</v>
      </c>
      <c r="M319" s="9" t="inlineStr">
        <is>
          <t>https://www.google.com/maps/place/?q=place_id:ChIJ6czjFp09rjsRX4p6ip6inSY</t>
        </is>
      </c>
    </row>
    <row r="320">
      <c r="A320" s="9" t="n">
        <v>316</v>
      </c>
      <c r="B320" s="9" t="inlineStr">
        <is>
          <t>Bengaluru</t>
        </is>
      </c>
      <c r="C320" s="9" t="inlineStr">
        <is>
          <t>Bengaluru</t>
        </is>
      </c>
      <c r="D320" s="9" t="inlineStr">
        <is>
          <t>Karnataka</t>
        </is>
      </c>
      <c r="E320" s="9" t="inlineStr">
        <is>
          <t>India</t>
        </is>
      </c>
      <c r="F320" s="9" t="n">
        <v>8</v>
      </c>
      <c r="G320" s="9" t="n">
        <v>7</v>
      </c>
      <c r="H320" s="9" t="n">
        <v>2</v>
      </c>
      <c r="I320" s="10" t="n">
        <v>44299</v>
      </c>
      <c r="J320" s="10" t="n">
        <v>44308</v>
      </c>
      <c r="K320" s="9" t="n">
        <v>12.9883</v>
      </c>
      <c r="L320" s="9" t="n">
        <v>77.57268999999999</v>
      </c>
      <c r="M320" s="9" t="inlineStr">
        <is>
          <t>https://www.google.com/maps/place/?q=place_id:ChIJ42Ok9N0XrjsRyGYL-4uYWkE</t>
        </is>
      </c>
    </row>
    <row r="321">
      <c r="A321" s="9" t="n">
        <v>317</v>
      </c>
      <c r="B321" s="9" t="inlineStr">
        <is>
          <t>Devanhalli</t>
        </is>
      </c>
      <c r="C321" s="9" t="inlineStr">
        <is>
          <t>Bengaluru</t>
        </is>
      </c>
      <c r="D321" s="9" t="inlineStr">
        <is>
          <t>Karnataka</t>
        </is>
      </c>
      <c r="E321" s="9" t="inlineStr">
        <is>
          <t>India</t>
        </is>
      </c>
      <c r="F321" s="9" t="n">
        <v>7</v>
      </c>
      <c r="G321" s="9" t="n">
        <v>7</v>
      </c>
      <c r="H321" s="9" t="n">
        <v>7</v>
      </c>
      <c r="I321" s="10" t="n">
        <v>44353</v>
      </c>
      <c r="J321" s="10" t="n">
        <v>46307</v>
      </c>
      <c r="K321" s="9" t="n">
        <v>13.19891</v>
      </c>
      <c r="L321" s="9" t="n">
        <v>77.70689</v>
      </c>
      <c r="M321" s="9" t="inlineStr">
        <is>
          <t>https://www.google.com/maps/place/?q=place_id:ChIJZWJEdf4crjsRjkEpoelwbCk</t>
        </is>
      </c>
    </row>
    <row r="322">
      <c r="A322" s="9" t="n">
        <v>318</v>
      </c>
      <c r="B322" s="9" t="inlineStr">
        <is>
          <t>Bengaluru</t>
        </is>
      </c>
      <c r="C322" s="9" t="inlineStr">
        <is>
          <t>Bengaluru</t>
        </is>
      </c>
      <c r="D322" s="9" t="inlineStr">
        <is>
          <t>Karnataka</t>
        </is>
      </c>
      <c r="E322" s="9" t="inlineStr">
        <is>
          <t>India</t>
        </is>
      </c>
      <c r="F322" s="9" t="n">
        <v>7</v>
      </c>
      <c r="G322" s="9" t="n">
        <v>5</v>
      </c>
      <c r="H322" s="9" t="n">
        <v>2</v>
      </c>
      <c r="I322" s="10" t="n">
        <v>46212</v>
      </c>
      <c r="J322" s="10" t="n">
        <v>46307</v>
      </c>
      <c r="K322" s="9" t="n">
        <v>12.89868</v>
      </c>
      <c r="L322" s="9" t="n">
        <v>77.56733</v>
      </c>
      <c r="M322" s="9" t="inlineStr">
        <is>
          <t>https://www.google.com/maps/place/?q=place_id:ChIJOxMXAwAVrjsRYH74I_tlnxc</t>
        </is>
      </c>
    </row>
    <row r="323">
      <c r="A323" s="9" t="n">
        <v>319</v>
      </c>
      <c r="B323" s="9" t="inlineStr">
        <is>
          <t>Bengaluru</t>
        </is>
      </c>
      <c r="C323" s="9" t="inlineStr">
        <is>
          <t>Bengaluru</t>
        </is>
      </c>
      <c r="D323" s="9" t="inlineStr">
        <is>
          <t>Karnataka</t>
        </is>
      </c>
      <c r="E323" s="9" t="inlineStr">
        <is>
          <t>India</t>
        </is>
      </c>
      <c r="F323" s="9" t="n">
        <v>6</v>
      </c>
      <c r="G323" s="9" t="n">
        <v>5</v>
      </c>
      <c r="H323" s="9" t="n">
        <v>3</v>
      </c>
      <c r="I323" s="10" t="n">
        <v>44319</v>
      </c>
      <c r="J323" s="10" t="n">
        <v>44327</v>
      </c>
      <c r="K323" s="9" t="n">
        <v>12.9988</v>
      </c>
      <c r="L323" s="9" t="n">
        <v>77.57019</v>
      </c>
      <c r="M323" s="9" t="inlineStr">
        <is>
          <t>https://www.google.com/maps/place/?q=place_id:ChIJsXqzniUWrjsRe43FykXuW48</t>
        </is>
      </c>
    </row>
    <row r="324">
      <c r="A324" s="9" t="n">
        <v>320</v>
      </c>
      <c r="B324" s="9" t="inlineStr">
        <is>
          <t>Bengaluru</t>
        </is>
      </c>
      <c r="C324" s="9" t="inlineStr">
        <is>
          <t>Bengaluru</t>
        </is>
      </c>
      <c r="D324" s="9" t="inlineStr">
        <is>
          <t>Karnataka</t>
        </is>
      </c>
      <c r="E324" s="9" t="inlineStr">
        <is>
          <t>India</t>
        </is>
      </c>
      <c r="F324" s="9" t="n">
        <v>6</v>
      </c>
      <c r="G324" s="9" t="n">
        <v>5</v>
      </c>
      <c r="H324" s="9" t="n">
        <v>5</v>
      </c>
      <c r="I324" s="10" t="n">
        <v>45128</v>
      </c>
      <c r="J324" s="10" t="n">
        <v>46212</v>
      </c>
      <c r="K324" s="9" t="n">
        <v>12.89605</v>
      </c>
      <c r="L324" s="9" t="n">
        <v>77.57016</v>
      </c>
      <c r="M324" s="9" t="inlineStr">
        <is>
          <t>https://www.google.com/maps/place/?q=place_id:ChIJezEhr10VrjsR8Kkc4v3gXeo</t>
        </is>
      </c>
    </row>
    <row r="325">
      <c r="A325" s="9" t="n">
        <v>321</v>
      </c>
      <c r="B325" s="9" t="inlineStr">
        <is>
          <t>Bengaluru</t>
        </is>
      </c>
      <c r="C325" s="9" t="inlineStr">
        <is>
          <t>Bengaluru</t>
        </is>
      </c>
      <c r="D325" s="9" t="inlineStr">
        <is>
          <t>Karnataka</t>
        </is>
      </c>
      <c r="E325" s="9" t="inlineStr">
        <is>
          <t>India</t>
        </is>
      </c>
      <c r="F325" s="9" t="n">
        <v>5</v>
      </c>
      <c r="G325" s="9" t="n">
        <v>4</v>
      </c>
      <c r="H325" s="9" t="n">
        <v>4</v>
      </c>
      <c r="I325" s="10" t="n">
        <v>42816</v>
      </c>
      <c r="J325" s="10" t="n">
        <v>46306</v>
      </c>
      <c r="K325" s="9" t="n">
        <v>12.89252</v>
      </c>
      <c r="L325" s="9" t="n">
        <v>77.5489</v>
      </c>
      <c r="M325" s="9" t="inlineStr">
        <is>
          <t>https://www.google.com/maps/place/?q=place_id:ChIJqWe8lOg_rjsRV5b3tvoqZzI</t>
        </is>
      </c>
    </row>
    <row r="326">
      <c r="A326" s="9" t="n">
        <v>322</v>
      </c>
      <c r="B326" s="9" t="inlineStr">
        <is>
          <t>Bengaluru</t>
        </is>
      </c>
      <c r="C326" s="9" t="inlineStr">
        <is>
          <t>Bengaluru</t>
        </is>
      </c>
      <c r="D326" s="9" t="inlineStr">
        <is>
          <t>Karnataka</t>
        </is>
      </c>
      <c r="E326" s="9" t="inlineStr">
        <is>
          <t>India</t>
        </is>
      </c>
      <c r="F326" s="9" t="n">
        <v>5</v>
      </c>
      <c r="G326" s="9" t="n">
        <v>5</v>
      </c>
      <c r="H326" s="9" t="n">
        <v>5</v>
      </c>
      <c r="I326" s="10" t="n">
        <v>44207</v>
      </c>
      <c r="J326" s="10" t="n">
        <v>45607</v>
      </c>
      <c r="K326" s="9" t="n">
        <v>12.97813</v>
      </c>
      <c r="L326" s="9" t="n">
        <v>77.56953</v>
      </c>
      <c r="M326" s="9" t="inlineStr">
        <is>
          <t>https://www.google.com/maps/place/?q=place_id:ChIJK6u4WxsWrjsR7gb320OEztk</t>
        </is>
      </c>
    </row>
    <row r="327">
      <c r="A327" s="9" t="n">
        <v>323</v>
      </c>
      <c r="B327" s="9" t="inlineStr">
        <is>
          <t>Bengaluru</t>
        </is>
      </c>
      <c r="C327" s="9" t="inlineStr">
        <is>
          <t>Bengaluru</t>
        </is>
      </c>
      <c r="D327" s="9" t="inlineStr">
        <is>
          <t>Karnataka</t>
        </is>
      </c>
      <c r="E327" s="9" t="inlineStr">
        <is>
          <t>India</t>
        </is>
      </c>
      <c r="F327" s="9" t="n">
        <v>5</v>
      </c>
      <c r="G327" s="9" t="n">
        <v>9</v>
      </c>
      <c r="H327" s="9" t="n">
        <v>5</v>
      </c>
      <c r="I327" s="10" t="n">
        <v>44295</v>
      </c>
      <c r="J327" s="10" t="n">
        <v>44672</v>
      </c>
      <c r="K327" s="9" t="n">
        <v>13.01175</v>
      </c>
      <c r="L327" s="9" t="n">
        <v>77.5518</v>
      </c>
      <c r="M327" s="9" t="inlineStr">
        <is>
          <t>https://www.google.com/maps/place/?q=place_id:ChIJ5bKXPXg9rjsRhTxzbFxNvDw</t>
        </is>
      </c>
    </row>
    <row r="328">
      <c r="A328" s="9" t="n">
        <v>324</v>
      </c>
      <c r="B328" s="9" t="inlineStr">
        <is>
          <t>Bengaluru</t>
        </is>
      </c>
      <c r="C328" s="9" t="inlineStr">
        <is>
          <t>Bengaluru</t>
        </is>
      </c>
      <c r="D328" s="9" t="inlineStr">
        <is>
          <t>Karnataka</t>
        </is>
      </c>
      <c r="E328" s="9" t="inlineStr">
        <is>
          <t>India</t>
        </is>
      </c>
      <c r="F328" s="9" t="n">
        <v>5</v>
      </c>
      <c r="G328" s="9" t="n">
        <v>6</v>
      </c>
      <c r="H328" s="9" t="n">
        <v>2</v>
      </c>
      <c r="I328" s="10" t="n">
        <v>45070</v>
      </c>
      <c r="J328" s="10" t="n">
        <v>45128</v>
      </c>
      <c r="K328" s="9" t="n">
        <v>13.01022</v>
      </c>
      <c r="L328" s="9" t="n">
        <v>77.55110000000001</v>
      </c>
      <c r="M328" s="9" t="inlineStr">
        <is>
          <t>https://www.google.com/maps/place/?q=place_id:ChIJeXver4I9rjsRv69mlGLE2bU</t>
        </is>
      </c>
    </row>
    <row r="329">
      <c r="A329" s="9" t="n">
        <v>325</v>
      </c>
      <c r="B329" s="9" t="inlineStr">
        <is>
          <t>Bengaluru</t>
        </is>
      </c>
      <c r="C329" s="9" t="inlineStr">
        <is>
          <t>Bengaluru</t>
        </is>
      </c>
      <c r="D329" s="9" t="inlineStr">
        <is>
          <t>Karnataka</t>
        </is>
      </c>
      <c r="E329" s="9" t="inlineStr">
        <is>
          <t>India</t>
        </is>
      </c>
      <c r="F329" s="9" t="n">
        <v>4</v>
      </c>
      <c r="G329" s="9" t="n">
        <v>2</v>
      </c>
      <c r="H329" s="9" t="n">
        <v>2</v>
      </c>
      <c r="I329" s="10" t="n">
        <v>42818</v>
      </c>
      <c r="J329" s="10" t="n">
        <v>42822</v>
      </c>
      <c r="K329" s="9" t="n">
        <v>13.01874</v>
      </c>
      <c r="L329" s="9" t="n">
        <v>77.55356999999999</v>
      </c>
      <c r="M329" s="9" t="inlineStr">
        <is>
          <t>https://www.google.com/maps/place/?q=place_id:ChIJ_8yirHs9rjsRkFnrN7KQyBg</t>
        </is>
      </c>
    </row>
    <row r="330">
      <c r="A330" s="9" t="n">
        <v>326</v>
      </c>
      <c r="B330" s="9" t="inlineStr">
        <is>
          <t>Bengaluru</t>
        </is>
      </c>
      <c r="C330" s="9" t="inlineStr">
        <is>
          <t>Bengaluru</t>
        </is>
      </c>
      <c r="D330" s="9" t="inlineStr">
        <is>
          <t>Karnataka</t>
        </is>
      </c>
      <c r="E330" s="9" t="inlineStr">
        <is>
          <t>India</t>
        </is>
      </c>
      <c r="F330" s="9" t="n">
        <v>4</v>
      </c>
      <c r="G330" s="9" t="n">
        <v>3</v>
      </c>
      <c r="H330" s="9" t="n">
        <v>1</v>
      </c>
      <c r="I330" s="10" t="n">
        <v>46304</v>
      </c>
      <c r="J330" s="10" t="n">
        <v>46306</v>
      </c>
      <c r="K330" s="9" t="n">
        <v>12.87867</v>
      </c>
      <c r="L330" s="9" t="n">
        <v>77.54505</v>
      </c>
      <c r="M330" s="9" t="inlineStr">
        <is>
          <t>https://www.google.com/maps/place/?q=place_id:ChIJJx9y4Cc_rjsR_5A0cY87g2o</t>
        </is>
      </c>
    </row>
    <row r="331">
      <c r="A331" s="9" t="n">
        <v>327</v>
      </c>
      <c r="B331" s="9" t="inlineStr">
        <is>
          <t>Yelahanka</t>
        </is>
      </c>
      <c r="C331" s="9" t="inlineStr">
        <is>
          <t>Bengaluru</t>
        </is>
      </c>
      <c r="D331" s="9" t="inlineStr">
        <is>
          <t>Karnataka</t>
        </is>
      </c>
      <c r="E331" s="9" t="inlineStr">
        <is>
          <t>India</t>
        </is>
      </c>
      <c r="F331" s="9" t="n">
        <v>3</v>
      </c>
      <c r="G331" s="9" t="n">
        <v>3</v>
      </c>
      <c r="H331" s="9" t="n">
        <v>3</v>
      </c>
      <c r="I331" s="10" t="n">
        <v>42899</v>
      </c>
      <c r="J331" s="10" t="n">
        <v>46209</v>
      </c>
      <c r="K331" s="9" t="n">
        <v>13.10498</v>
      </c>
      <c r="L331" s="9" t="n">
        <v>77.59180000000001</v>
      </c>
      <c r="M331" s="9" t="inlineStr">
        <is>
          <t>https://www.google.com/maps/place/?q=place_id:ChIJszkuj1gYrjsR0srvgwfUoNE</t>
        </is>
      </c>
    </row>
    <row r="332">
      <c r="A332" s="9" t="n">
        <v>328</v>
      </c>
      <c r="B332" s="9" t="inlineStr">
        <is>
          <t>Bengaluru</t>
        </is>
      </c>
      <c r="C332" s="9" t="inlineStr">
        <is>
          <t>Bengaluru</t>
        </is>
      </c>
      <c r="D332" s="9" t="inlineStr">
        <is>
          <t>Karnataka</t>
        </is>
      </c>
      <c r="E332" s="9" t="inlineStr">
        <is>
          <t>India</t>
        </is>
      </c>
      <c r="F332" s="9" t="n">
        <v>3</v>
      </c>
      <c r="G332" s="9" t="n">
        <v>3</v>
      </c>
      <c r="H332" s="9" t="n">
        <v>2</v>
      </c>
      <c r="I332" s="10" t="n">
        <v>43174</v>
      </c>
      <c r="J332" s="10" t="n">
        <v>43179</v>
      </c>
      <c r="K332" s="9" t="n">
        <v>13.00897</v>
      </c>
      <c r="L332" s="9" t="n">
        <v>77.55049</v>
      </c>
      <c r="M332" s="9" t="inlineStr">
        <is>
          <t>https://www.google.com/maps/place/?q=place_id:ChIJbzHbtII9rjsRQ3KDJWPcAPo</t>
        </is>
      </c>
    </row>
    <row r="333">
      <c r="A333" s="9" t="n">
        <v>329</v>
      </c>
      <c r="B333" s="9" t="inlineStr">
        <is>
          <t>Bengaluru</t>
        </is>
      </c>
      <c r="C333" s="9" t="inlineStr">
        <is>
          <t>Bengaluru</t>
        </is>
      </c>
      <c r="D333" s="9" t="inlineStr">
        <is>
          <t>Karnataka</t>
        </is>
      </c>
      <c r="E333" s="9" t="inlineStr">
        <is>
          <t>India</t>
        </is>
      </c>
      <c r="F333" s="9" t="n">
        <v>3</v>
      </c>
      <c r="G333" s="9" t="n">
        <v>3</v>
      </c>
      <c r="H333" s="9" t="n">
        <v>1</v>
      </c>
      <c r="I333" s="10" t="n">
        <v>44207</v>
      </c>
      <c r="J333" s="10" t="n">
        <v>44209</v>
      </c>
      <c r="K333" s="9" t="n">
        <v>13.01172</v>
      </c>
      <c r="L333" s="9" t="n">
        <v>77.55134</v>
      </c>
      <c r="M333" s="9" t="inlineStr">
        <is>
          <t>https://www.google.com/maps/place/?q=place_id:ChIJnVyqF3g9rjsR0wNchFnfLH8</t>
        </is>
      </c>
    </row>
    <row r="334">
      <c r="A334" s="9" t="n">
        <v>330</v>
      </c>
      <c r="B334" s="9" t="inlineStr">
        <is>
          <t>Bengaluru</t>
        </is>
      </c>
      <c r="C334" s="9" t="inlineStr">
        <is>
          <t>Bengaluru</t>
        </is>
      </c>
      <c r="D334" s="9" t="inlineStr">
        <is>
          <t>Karnataka</t>
        </is>
      </c>
      <c r="E334" s="9" t="inlineStr">
        <is>
          <t>India</t>
        </is>
      </c>
      <c r="F334" s="9" t="n">
        <v>3</v>
      </c>
      <c r="G334" s="9" t="n">
        <v>2</v>
      </c>
      <c r="H334" s="9" t="n">
        <v>1</v>
      </c>
      <c r="I334" s="10" t="n">
        <v>44312</v>
      </c>
      <c r="J334" s="10" t="n">
        <v>44314</v>
      </c>
      <c r="K334" s="9" t="n">
        <v>12.90303</v>
      </c>
      <c r="L334" s="9" t="n">
        <v>77.57371999999999</v>
      </c>
      <c r="M334" s="9" t="inlineStr">
        <is>
          <t>https://www.google.com/maps/place/?q=place_id:ChIJC7jIpmgVrjsReO5VpeS3rB8</t>
        </is>
      </c>
    </row>
    <row r="335">
      <c r="A335" s="9" t="n">
        <v>331</v>
      </c>
      <c r="B335" s="9" t="inlineStr">
        <is>
          <t>Bengaluru</t>
        </is>
      </c>
      <c r="C335" s="9" t="inlineStr">
        <is>
          <t>Bengaluru</t>
        </is>
      </c>
      <c r="D335" s="9" t="inlineStr">
        <is>
          <t>Karnataka</t>
        </is>
      </c>
      <c r="E335" s="9" t="inlineStr">
        <is>
          <t>India</t>
        </is>
      </c>
      <c r="F335" s="9" t="n">
        <v>3</v>
      </c>
      <c r="G335" s="9" t="n">
        <v>3</v>
      </c>
      <c r="H335" s="9" t="n">
        <v>2</v>
      </c>
      <c r="I335" s="10" t="n">
        <v>44317</v>
      </c>
      <c r="J335" s="10" t="n">
        <v>44321</v>
      </c>
      <c r="K335" s="9" t="n">
        <v>12.91778</v>
      </c>
      <c r="L335" s="9" t="n">
        <v>77.57066</v>
      </c>
      <c r="M335" s="9" t="inlineStr">
        <is>
          <t>https://www.google.com/maps/place/?q=place_id:ChIJ_cxFqnkVrjsRmiJpStZ5X0Y</t>
        </is>
      </c>
    </row>
    <row r="336">
      <c r="A336" s="9" t="n">
        <v>332</v>
      </c>
      <c r="B336" s="9" t="inlineStr">
        <is>
          <t>Bengaluru</t>
        </is>
      </c>
      <c r="C336" s="9" t="inlineStr">
        <is>
          <t>Bengaluru</t>
        </is>
      </c>
      <c r="D336" s="9" t="inlineStr">
        <is>
          <t>Karnataka</t>
        </is>
      </c>
      <c r="E336" s="9" t="inlineStr">
        <is>
          <t>India</t>
        </is>
      </c>
      <c r="F336" s="9" t="n">
        <v>3</v>
      </c>
      <c r="G336" s="9" t="n">
        <v>3</v>
      </c>
      <c r="H336" s="9" t="n">
        <v>2</v>
      </c>
      <c r="I336" s="10" t="n">
        <v>44320</v>
      </c>
      <c r="J336" s="10" t="n">
        <v>44325</v>
      </c>
      <c r="K336" s="9" t="n">
        <v>12.99872</v>
      </c>
      <c r="L336" s="9" t="n">
        <v>77.56999999999999</v>
      </c>
      <c r="M336" s="9" t="inlineStr">
        <is>
          <t>https://www.google.com/maps/place/?q=place_id:ChIJM8wMmSUWrjsRFedJCH71RW4</t>
        </is>
      </c>
    </row>
    <row r="337">
      <c r="A337" s="9" t="n">
        <v>333</v>
      </c>
      <c r="B337" s="9" t="inlineStr">
        <is>
          <t>Bengaluru</t>
        </is>
      </c>
      <c r="C337" s="9" t="inlineStr">
        <is>
          <t>Bengaluru</t>
        </is>
      </c>
      <c r="D337" s="9" t="inlineStr">
        <is>
          <t>Karnataka</t>
        </is>
      </c>
      <c r="E337" s="9" t="inlineStr">
        <is>
          <t>India</t>
        </is>
      </c>
      <c r="F337" s="9" t="n">
        <v>3</v>
      </c>
      <c r="G337" s="9" t="n">
        <v>2</v>
      </c>
      <c r="H337" s="9" t="n">
        <v>1</v>
      </c>
      <c r="I337" s="10" t="n">
        <v>45125</v>
      </c>
      <c r="J337" s="10" t="n">
        <v>45126</v>
      </c>
      <c r="K337" s="9" t="n">
        <v>13.00986</v>
      </c>
      <c r="L337" s="9" t="n">
        <v>77.55329999999999</v>
      </c>
      <c r="M337" s="9" t="inlineStr">
        <is>
          <t>https://www.google.com/maps/place/?q=place_id:ChIJ7RzTgXg9rjsRj89vy-WrZ1g</t>
        </is>
      </c>
    </row>
    <row r="338">
      <c r="A338" s="9" t="n">
        <v>334</v>
      </c>
      <c r="B338" s="9" t="inlineStr">
        <is>
          <t>Bengaluru</t>
        </is>
      </c>
      <c r="C338" s="9" t="inlineStr">
        <is>
          <t>Bengaluru</t>
        </is>
      </c>
      <c r="D338" s="9" t="inlineStr">
        <is>
          <t>Karnataka</t>
        </is>
      </c>
      <c r="E338" s="9" t="inlineStr">
        <is>
          <t>India</t>
        </is>
      </c>
      <c r="F338" s="9" t="n">
        <v>2</v>
      </c>
      <c r="G338" s="9" t="n">
        <v>3</v>
      </c>
      <c r="H338" s="9" t="n">
        <v>2</v>
      </c>
      <c r="I338" s="10" t="n">
        <v>42899</v>
      </c>
      <c r="J338" s="10" t="n">
        <v>45126</v>
      </c>
      <c r="K338" s="9" t="n">
        <v>13.00934</v>
      </c>
      <c r="L338" s="9" t="n">
        <v>77.55132</v>
      </c>
      <c r="M338" s="9" t="inlineStr">
        <is>
          <t>https://www.google.com/maps/place/?q=place_id:ChIJZ91TdO09rjsRT_7bJCra_vY</t>
        </is>
      </c>
    </row>
    <row r="339">
      <c r="A339" s="9" t="n">
        <v>335</v>
      </c>
      <c r="B339" s="9" t="inlineStr">
        <is>
          <t>Bengaluru</t>
        </is>
      </c>
      <c r="C339" s="9" t="inlineStr">
        <is>
          <t>Bengaluru</t>
        </is>
      </c>
      <c r="D339" s="9" t="inlineStr">
        <is>
          <t>Karnataka</t>
        </is>
      </c>
      <c r="E339" s="9" t="inlineStr">
        <is>
          <t>India</t>
        </is>
      </c>
      <c r="F339" s="9" t="n">
        <v>2</v>
      </c>
      <c r="G339" s="9" t="n">
        <v>2</v>
      </c>
      <c r="H339" s="9" t="n">
        <v>2</v>
      </c>
      <c r="I339" s="10" t="n">
        <v>44296</v>
      </c>
      <c r="J339" s="10" t="n">
        <v>44303</v>
      </c>
      <c r="K339" s="9" t="n">
        <v>12.906</v>
      </c>
      <c r="L339" s="9" t="n">
        <v>77.58669</v>
      </c>
      <c r="M339" s="9" t="inlineStr">
        <is>
          <t>https://www.google.com/maps/place/?q=place_id:ChIJLfLPbBMVrjsRY_kr6lc9Frs</t>
        </is>
      </c>
    </row>
    <row r="340">
      <c r="A340" s="9" t="n">
        <v>336</v>
      </c>
      <c r="B340" s="9" t="inlineStr">
        <is>
          <t>Bengaluru</t>
        </is>
      </c>
      <c r="C340" s="9" t="inlineStr">
        <is>
          <t>Bengaluru</t>
        </is>
      </c>
      <c r="D340" s="9" t="inlineStr">
        <is>
          <t>Karnataka</t>
        </is>
      </c>
      <c r="E340" s="9" t="inlineStr">
        <is>
          <t>India</t>
        </is>
      </c>
      <c r="F340" s="9" t="n">
        <v>2</v>
      </c>
      <c r="G340" s="9" t="n">
        <v>2</v>
      </c>
      <c r="H340" s="9" t="n">
        <v>2</v>
      </c>
      <c r="I340" s="10" t="n">
        <v>44299</v>
      </c>
      <c r="J340" s="10" t="n">
        <v>44331</v>
      </c>
      <c r="K340" s="9" t="n">
        <v>12.90051</v>
      </c>
      <c r="L340" s="9" t="n">
        <v>77.57044</v>
      </c>
      <c r="M340" s="9" t="inlineStr">
        <is>
          <t>https://www.google.com/maps/place/?q=place_id:ChIJvbCjB2cVrjsRFh50hn1eKYg</t>
        </is>
      </c>
    </row>
    <row r="341">
      <c r="A341" s="9" t="n">
        <v>337</v>
      </c>
      <c r="B341" s="9" t="inlineStr">
        <is>
          <t>Bengaluru</t>
        </is>
      </c>
      <c r="C341" s="9" t="inlineStr">
        <is>
          <t>Bengaluru</t>
        </is>
      </c>
      <c r="D341" s="9" t="inlineStr">
        <is>
          <t>Karnataka</t>
        </is>
      </c>
      <c r="E341" s="9" t="inlineStr">
        <is>
          <t>India</t>
        </is>
      </c>
      <c r="F341" s="9" t="n">
        <v>2</v>
      </c>
      <c r="G341" s="9" t="n">
        <v>2</v>
      </c>
      <c r="H341" s="9" t="n">
        <v>2</v>
      </c>
      <c r="I341" s="10" t="n">
        <v>44300</v>
      </c>
      <c r="J341" s="10" t="n">
        <v>44962</v>
      </c>
      <c r="K341" s="9" t="n">
        <v>13.00569</v>
      </c>
      <c r="L341" s="9" t="n">
        <v>77.58062</v>
      </c>
      <c r="M341" s="9" t="inlineStr">
        <is>
          <t>https://www.google.com/maps/place/?q=place_id:ChIJm1G1mDYWrjsRvmk1hrhV21Y</t>
        </is>
      </c>
    </row>
    <row r="342">
      <c r="A342" s="9" t="n">
        <v>338</v>
      </c>
      <c r="B342" s="9" t="inlineStr">
        <is>
          <t>Bengaluru</t>
        </is>
      </c>
      <c r="C342" s="9" t="inlineStr">
        <is>
          <t>Bengaluru</t>
        </is>
      </c>
      <c r="D342" s="9" t="inlineStr">
        <is>
          <t>Karnataka</t>
        </is>
      </c>
      <c r="E342" s="9" t="inlineStr">
        <is>
          <t>India</t>
        </is>
      </c>
      <c r="F342" s="9" t="n">
        <v>2</v>
      </c>
      <c r="G342" s="9" t="n">
        <v>2</v>
      </c>
      <c r="H342" s="9" t="n">
        <v>1</v>
      </c>
      <c r="I342" s="10" t="n">
        <v>44301</v>
      </c>
      <c r="J342" s="10" t="n">
        <v>44302</v>
      </c>
      <c r="K342" s="9" t="n">
        <v>13.00693</v>
      </c>
      <c r="L342" s="9" t="n">
        <v>77.57124</v>
      </c>
      <c r="M342" s="9" t="inlineStr">
        <is>
          <t>https://www.google.com/maps/place/?q=place_id:ChIJ8eadsy0WrjsRZ8WwtoHVu1w</t>
        </is>
      </c>
    </row>
    <row r="343">
      <c r="A343" s="9" t="n">
        <v>339</v>
      </c>
      <c r="B343" s="9" t="inlineStr">
        <is>
          <t>Bengaluru</t>
        </is>
      </c>
      <c r="C343" s="9" t="inlineStr">
        <is>
          <t>Bengaluru</t>
        </is>
      </c>
      <c r="D343" s="9" t="inlineStr">
        <is>
          <t>Karnataka</t>
        </is>
      </c>
      <c r="E343" s="9" t="inlineStr">
        <is>
          <t>India</t>
        </is>
      </c>
      <c r="F343" s="9" t="n">
        <v>2</v>
      </c>
      <c r="G343" s="9" t="n">
        <v>2</v>
      </c>
      <c r="H343" s="9" t="n">
        <v>1</v>
      </c>
      <c r="I343" s="10" t="n">
        <v>44312</v>
      </c>
      <c r="J343" s="10" t="n">
        <v>44313</v>
      </c>
      <c r="K343" s="9" t="n">
        <v>12.89703</v>
      </c>
      <c r="L343" s="9" t="n">
        <v>77.56724</v>
      </c>
      <c r="M343" s="9" t="inlineStr">
        <is>
          <t>https://www.google.com/maps/place/?q=place_id:ChIJ_S6dDl4VrjsRf6PtHhjqIr4</t>
        </is>
      </c>
    </row>
    <row r="344">
      <c r="A344" s="9" t="n">
        <v>340</v>
      </c>
      <c r="B344" s="9" t="inlineStr">
        <is>
          <t>Bengaluru</t>
        </is>
      </c>
      <c r="C344" s="9" t="inlineStr">
        <is>
          <t>Bengaluru</t>
        </is>
      </c>
      <c r="D344" s="9" t="inlineStr">
        <is>
          <t>Karnataka</t>
        </is>
      </c>
      <c r="E344" s="9" t="inlineStr">
        <is>
          <t>India</t>
        </is>
      </c>
      <c r="F344" s="9" t="n">
        <v>2</v>
      </c>
      <c r="G344" s="9" t="n">
        <v>1</v>
      </c>
      <c r="H344" s="9" t="n">
        <v>1</v>
      </c>
      <c r="I344" s="10" t="n">
        <v>44331</v>
      </c>
      <c r="J344" s="10" t="n">
        <v>44331</v>
      </c>
      <c r="K344" s="9" t="n">
        <v>12.9029</v>
      </c>
      <c r="L344" s="9" t="n">
        <v>77.57308</v>
      </c>
      <c r="M344" s="9" t="inlineStr">
        <is>
          <t>https://www.google.com/maps/place/?q=place_id:ChIJr9maEmYVrjsRw2TmO-mp2NI</t>
        </is>
      </c>
    </row>
    <row r="345">
      <c r="A345" s="9" t="n">
        <v>341</v>
      </c>
      <c r="B345" s="9" t="inlineStr">
        <is>
          <t>Bengaluru</t>
        </is>
      </c>
      <c r="C345" s="9" t="inlineStr">
        <is>
          <t>Bengaluru</t>
        </is>
      </c>
      <c r="D345" s="9" t="inlineStr">
        <is>
          <t>Karnataka</t>
        </is>
      </c>
      <c r="E345" s="9" t="inlineStr">
        <is>
          <t>India</t>
        </is>
      </c>
      <c r="F345" s="9" t="n">
        <v>2</v>
      </c>
      <c r="G345" s="9" t="n">
        <v>2</v>
      </c>
      <c r="H345" s="9" t="n">
        <v>2</v>
      </c>
      <c r="I345" s="10" t="n">
        <v>44398</v>
      </c>
      <c r="J345" s="10" t="n">
        <v>45416</v>
      </c>
      <c r="K345" s="9" t="n">
        <v>13.02407</v>
      </c>
      <c r="L345" s="9" t="n">
        <v>77.55113</v>
      </c>
      <c r="M345" s="9" t="inlineStr">
        <is>
          <t>https://www.google.com/maps/place/?q=place_id:ChIJqffBImU9rjsRTexWYmj7_4M</t>
        </is>
      </c>
    </row>
    <row r="346">
      <c r="A346" s="9" t="n">
        <v>342</v>
      </c>
      <c r="B346" s="9" t="inlineStr">
        <is>
          <t>Bengaluru</t>
        </is>
      </c>
      <c r="C346" s="9" t="inlineStr">
        <is>
          <t>Bengaluru</t>
        </is>
      </c>
      <c r="D346" s="9" t="inlineStr">
        <is>
          <t>Karnataka</t>
        </is>
      </c>
      <c r="E346" s="9" t="inlineStr">
        <is>
          <t>India</t>
        </is>
      </c>
      <c r="F346" s="9" t="n">
        <v>2</v>
      </c>
      <c r="G346" s="9" t="n">
        <v>2</v>
      </c>
      <c r="H346" s="9" t="n">
        <v>2</v>
      </c>
      <c r="I346" s="10" t="n">
        <v>44407</v>
      </c>
      <c r="J346" s="10" t="n">
        <v>44676</v>
      </c>
      <c r="K346" s="9" t="n">
        <v>13.01014</v>
      </c>
      <c r="L346" s="9" t="n">
        <v>77.55109</v>
      </c>
      <c r="M346" s="9" t="inlineStr">
        <is>
          <t>https://www.google.com/maps/place/?q=place_id:ChIJy9InqYI9rjsRUgYtTeoW7Tk</t>
        </is>
      </c>
    </row>
    <row r="347">
      <c r="A347" s="9" t="n">
        <v>343</v>
      </c>
      <c r="B347" s="9" t="inlineStr">
        <is>
          <t>Bengaluru</t>
        </is>
      </c>
      <c r="C347" s="9" t="inlineStr">
        <is>
          <t>Bengaluru</t>
        </is>
      </c>
      <c r="D347" s="9" t="inlineStr">
        <is>
          <t>Karnataka</t>
        </is>
      </c>
      <c r="E347" s="9" t="inlineStr">
        <is>
          <t>India</t>
        </is>
      </c>
      <c r="F347" s="9" t="n">
        <v>2</v>
      </c>
      <c r="G347" s="9" t="n">
        <v>3</v>
      </c>
      <c r="H347" s="9" t="n">
        <v>2</v>
      </c>
      <c r="I347" s="10" t="n">
        <v>44676</v>
      </c>
      <c r="J347" s="10" t="n">
        <v>44753</v>
      </c>
      <c r="K347" s="9" t="n">
        <v>12.98242</v>
      </c>
      <c r="L347" s="9" t="n">
        <v>77.57608999999999</v>
      </c>
      <c r="M347" s="9" t="inlineStr">
        <is>
          <t>https://www.google.com/maps/place/?q=place_id:ChIJqdW2w0sXrjsRYCxLUQOosBg</t>
        </is>
      </c>
    </row>
    <row r="348">
      <c r="A348" s="9" t="n">
        <v>344</v>
      </c>
      <c r="B348" s="9" t="inlineStr">
        <is>
          <t>Anekal</t>
        </is>
      </c>
      <c r="C348" s="9" t="inlineStr">
        <is>
          <t>Bengaluru</t>
        </is>
      </c>
      <c r="D348" s="9" t="inlineStr">
        <is>
          <t>Karnataka</t>
        </is>
      </c>
      <c r="E348" s="9" t="inlineStr">
        <is>
          <t>India</t>
        </is>
      </c>
      <c r="F348" s="9" t="n">
        <v>2</v>
      </c>
      <c r="G348" s="9" t="n">
        <v>12</v>
      </c>
      <c r="H348" s="9" t="n">
        <v>2</v>
      </c>
      <c r="I348" s="10" t="n">
        <v>44917</v>
      </c>
      <c r="J348" s="10" t="n">
        <v>45292</v>
      </c>
      <c r="K348" s="9" t="n">
        <v>12.75701</v>
      </c>
      <c r="L348" s="9" t="n">
        <v>77.62649999999999</v>
      </c>
      <c r="M348" s="9" t="inlineStr">
        <is>
          <t>https://www.google.com/maps/place/?q=place_id:ChIJMS1s5xZprjsR-zMt_88BmrY</t>
        </is>
      </c>
    </row>
    <row r="349">
      <c r="A349" s="9" t="n">
        <v>345</v>
      </c>
      <c r="B349" s="9" t="inlineStr">
        <is>
          <t>Bengaluru</t>
        </is>
      </c>
      <c r="C349" s="9" t="inlineStr">
        <is>
          <t>Bengaluru</t>
        </is>
      </c>
      <c r="D349" s="9" t="inlineStr">
        <is>
          <t>Karnataka</t>
        </is>
      </c>
      <c r="E349" s="9" t="inlineStr">
        <is>
          <t>India</t>
        </is>
      </c>
      <c r="F349" s="9" t="n">
        <v>2</v>
      </c>
      <c r="G349" s="9" t="n">
        <v>2</v>
      </c>
      <c r="H349" s="9" t="n">
        <v>2</v>
      </c>
      <c r="I349" s="10" t="n">
        <v>44922</v>
      </c>
      <c r="J349" s="10" t="n">
        <v>45413</v>
      </c>
      <c r="K349" s="9" t="n">
        <v>12.89913</v>
      </c>
      <c r="L349" s="9" t="n">
        <v>77.56740000000001</v>
      </c>
      <c r="M349" s="9" t="inlineStr">
        <is>
          <t>https://www.google.com/maps/place/?q=place_id:ChIJB09PNV4VrjsRnMoPW1wxHoI</t>
        </is>
      </c>
    </row>
    <row r="350">
      <c r="A350" s="9" t="n">
        <v>346</v>
      </c>
      <c r="B350" s="9" t="inlineStr">
        <is>
          <t>Bengaluru</t>
        </is>
      </c>
      <c r="C350" s="9" t="inlineStr">
        <is>
          <t>Bengaluru</t>
        </is>
      </c>
      <c r="D350" s="9" t="inlineStr">
        <is>
          <t>Karnataka</t>
        </is>
      </c>
      <c r="E350" s="9" t="inlineStr">
        <is>
          <t>India</t>
        </is>
      </c>
      <c r="F350" s="9" t="n">
        <v>2</v>
      </c>
      <c r="G350" s="9" t="n">
        <v>4</v>
      </c>
      <c r="H350" s="9" t="n">
        <v>2</v>
      </c>
      <c r="I350" s="10" t="n">
        <v>44922</v>
      </c>
      <c r="J350" s="10" t="n">
        <v>45286</v>
      </c>
      <c r="K350" s="9" t="n">
        <v>12.89677</v>
      </c>
      <c r="L350" s="9" t="n">
        <v>77.56753</v>
      </c>
      <c r="M350" s="9" t="inlineStr">
        <is>
          <t>https://www.google.com/maps/place/?q=place_id:ChIJpdzpCl4VrjsRBIi8kjZeko8</t>
        </is>
      </c>
    </row>
    <row r="351">
      <c r="A351" s="9" t="n">
        <v>347</v>
      </c>
      <c r="B351" s="9" t="inlineStr">
        <is>
          <t>Bengaluru</t>
        </is>
      </c>
      <c r="C351" s="9" t="inlineStr">
        <is>
          <t>Bengaluru</t>
        </is>
      </c>
      <c r="D351" s="9" t="inlineStr">
        <is>
          <t>Karnataka</t>
        </is>
      </c>
      <c r="E351" s="9" t="inlineStr">
        <is>
          <t>India</t>
        </is>
      </c>
      <c r="F351" s="9" t="n">
        <v>2</v>
      </c>
      <c r="G351" s="9" t="n">
        <v>2</v>
      </c>
      <c r="H351" s="9" t="n">
        <v>2</v>
      </c>
      <c r="I351" s="10" t="n">
        <v>45074</v>
      </c>
      <c r="J351" s="10" t="n">
        <v>45482</v>
      </c>
      <c r="K351" s="9" t="n">
        <v>12.98265</v>
      </c>
      <c r="L351" s="9" t="n">
        <v>77.57603</v>
      </c>
      <c r="M351" s="9" t="inlineStr">
        <is>
          <t>https://www.google.com/maps/place/?q=place_id:ChIJ2yz31RAWrjsRVuRtxjlzXwM</t>
        </is>
      </c>
    </row>
    <row r="352">
      <c r="A352" s="9" t="n">
        <v>348</v>
      </c>
      <c r="B352" s="9" t="inlineStr">
        <is>
          <t>Bengaluru</t>
        </is>
      </c>
      <c r="C352" s="9" t="inlineStr">
        <is>
          <t>Bengaluru</t>
        </is>
      </c>
      <c r="D352" s="9" t="inlineStr">
        <is>
          <t>Karnataka</t>
        </is>
      </c>
      <c r="E352" s="9" t="inlineStr">
        <is>
          <t>India</t>
        </is>
      </c>
      <c r="F352" s="9" t="n">
        <v>2</v>
      </c>
      <c r="G352" s="9" t="n">
        <v>2</v>
      </c>
      <c r="H352" s="9" t="n">
        <v>1</v>
      </c>
      <c r="I352" s="10" t="n">
        <v>45414</v>
      </c>
      <c r="J352" s="10" t="n">
        <v>45415</v>
      </c>
      <c r="K352" s="9" t="n">
        <v>12.99871</v>
      </c>
      <c r="L352" s="9" t="n">
        <v>77.55432999999999</v>
      </c>
      <c r="M352" s="9" t="inlineStr">
        <is>
          <t>https://www.google.com/maps/place/?q=place_id:ChIJ7QwTguI9rjsRjCgiVZ-WNFA</t>
        </is>
      </c>
    </row>
    <row r="353">
      <c r="A353" s="9" t="n">
        <v>349</v>
      </c>
      <c r="B353" s="9" t="inlineStr">
        <is>
          <t>Yelahanka</t>
        </is>
      </c>
      <c r="C353" s="9" t="inlineStr">
        <is>
          <t>Bengaluru</t>
        </is>
      </c>
      <c r="D353" s="9" t="inlineStr">
        <is>
          <t>Karnataka</t>
        </is>
      </c>
      <c r="E353" s="9" t="inlineStr">
        <is>
          <t>India</t>
        </is>
      </c>
      <c r="F353" s="9" t="n">
        <v>2</v>
      </c>
      <c r="G353" s="9" t="n">
        <v>2</v>
      </c>
      <c r="H353" s="9" t="n">
        <v>2</v>
      </c>
      <c r="I353" s="10" t="n">
        <v>45414</v>
      </c>
      <c r="J353" s="10" t="n">
        <v>45482</v>
      </c>
      <c r="K353" s="9" t="n">
        <v>13.05642</v>
      </c>
      <c r="L353" s="9" t="n">
        <v>77.59517</v>
      </c>
      <c r="M353" s="9" t="inlineStr">
        <is>
          <t>https://www.google.com/maps/place/?q=place_id:ChIJSXwkN4gXrjsRcSJWU2WjNII</t>
        </is>
      </c>
    </row>
    <row r="354">
      <c r="A354" s="9" t="n">
        <v>350</v>
      </c>
      <c r="B354" s="9" t="inlineStr">
        <is>
          <t>Bengaluru</t>
        </is>
      </c>
      <c r="C354" s="9" t="inlineStr">
        <is>
          <t>Bengaluru</t>
        </is>
      </c>
      <c r="D354" s="9" t="inlineStr">
        <is>
          <t>Karnataka</t>
        </is>
      </c>
      <c r="E354" s="9" t="inlineStr">
        <is>
          <t>India</t>
        </is>
      </c>
      <c r="F354" s="9" t="n">
        <v>1</v>
      </c>
      <c r="G354" s="9" t="n">
        <v>1</v>
      </c>
      <c r="H354" s="9" t="n">
        <v>1</v>
      </c>
      <c r="I354" s="10" t="n">
        <v>42491</v>
      </c>
      <c r="J354" s="10" t="n">
        <v>42491</v>
      </c>
      <c r="K354" s="9" t="n">
        <v>13.00214</v>
      </c>
      <c r="L354" s="9" t="n">
        <v>77.54911</v>
      </c>
      <c r="M354" s="9" t="inlineStr">
        <is>
          <t>https://www.google.com/maps/place/?q=place_id:ChIJxytoD7U9rjsRTbKpinu3EAQ</t>
        </is>
      </c>
    </row>
    <row r="355">
      <c r="A355" s="9" t="n">
        <v>351</v>
      </c>
      <c r="B355" s="9" t="inlineStr">
        <is>
          <t>Yelahanka</t>
        </is>
      </c>
      <c r="C355" s="9" t="inlineStr">
        <is>
          <t>Bengaluru</t>
        </is>
      </c>
      <c r="D355" s="9" t="inlineStr">
        <is>
          <t>Karnataka</t>
        </is>
      </c>
      <c r="E355" s="9" t="inlineStr">
        <is>
          <t>India</t>
        </is>
      </c>
      <c r="F355" s="9" t="n">
        <v>1</v>
      </c>
      <c r="G355" s="9" t="n">
        <v>1</v>
      </c>
      <c r="H355" s="9" t="n">
        <v>1</v>
      </c>
      <c r="I355" s="10" t="n">
        <v>42756</v>
      </c>
      <c r="J355" s="10" t="n">
        <v>42756</v>
      </c>
      <c r="K355" s="9" t="n">
        <v>13.09799</v>
      </c>
      <c r="L355" s="9" t="n">
        <v>77.59774</v>
      </c>
      <c r="M355" s="9" t="inlineStr">
        <is>
          <t>https://www.google.com/maps/place/?q=place_id:ChIJWYwhSFcYrjsRERXkVdJpJUY</t>
        </is>
      </c>
    </row>
    <row r="356">
      <c r="A356" s="9" t="n">
        <v>352</v>
      </c>
      <c r="B356" s="9" t="inlineStr">
        <is>
          <t>Bengaluru</t>
        </is>
      </c>
      <c r="C356" s="9" t="inlineStr">
        <is>
          <t>Bengaluru</t>
        </is>
      </c>
      <c r="D356" s="9" t="inlineStr">
        <is>
          <t>Karnataka</t>
        </is>
      </c>
      <c r="E356" s="9" t="inlineStr">
        <is>
          <t>India</t>
        </is>
      </c>
      <c r="F356" s="9" t="n">
        <v>1</v>
      </c>
      <c r="G356" s="9" t="n">
        <v>1</v>
      </c>
      <c r="H356" s="9" t="n">
        <v>1</v>
      </c>
      <c r="I356" s="10" t="n">
        <v>42756</v>
      </c>
      <c r="J356" s="10" t="n">
        <v>42756</v>
      </c>
      <c r="K356" s="9" t="n">
        <v>13.00814</v>
      </c>
      <c r="L356" s="9" t="n">
        <v>77.54591000000001</v>
      </c>
      <c r="M356" s="9" t="inlineStr">
        <is>
          <t>https://www.google.com/maps/place/?q=place_id:ChIJHTjzxp09rjsRYr7JJvuBF-Q</t>
        </is>
      </c>
    </row>
    <row r="357">
      <c r="A357" s="9" t="n">
        <v>353</v>
      </c>
      <c r="B357" s="9" t="inlineStr">
        <is>
          <t>Bengaluru</t>
        </is>
      </c>
      <c r="C357" s="9" t="inlineStr">
        <is>
          <t>Bengaluru</t>
        </is>
      </c>
      <c r="D357" s="9" t="inlineStr">
        <is>
          <t>Karnataka</t>
        </is>
      </c>
      <c r="E357" s="9" t="inlineStr">
        <is>
          <t>India</t>
        </is>
      </c>
      <c r="F357" s="9" t="n">
        <v>1</v>
      </c>
      <c r="G357" s="9" t="n">
        <v>1</v>
      </c>
      <c r="H357" s="9" t="n">
        <v>1</v>
      </c>
      <c r="I357" s="10" t="n">
        <v>42756</v>
      </c>
      <c r="J357" s="10" t="n">
        <v>42756</v>
      </c>
      <c r="K357" s="9" t="n">
        <v>13.00968</v>
      </c>
      <c r="L357" s="9" t="n">
        <v>77.54313999999999</v>
      </c>
      <c r="M357" s="9" t="inlineStr">
        <is>
          <t>https://www.google.com/maps/place/?q=place_id:ChIJnSSnIZ49rjsRZktZk-mThUk</t>
        </is>
      </c>
    </row>
    <row r="358">
      <c r="A358" s="9" t="n">
        <v>354</v>
      </c>
      <c r="B358" s="9" t="inlineStr">
        <is>
          <t>Bengaluru</t>
        </is>
      </c>
      <c r="C358" s="9" t="inlineStr">
        <is>
          <t>Bengaluru</t>
        </is>
      </c>
      <c r="D358" s="9" t="inlineStr">
        <is>
          <t>Karnataka</t>
        </is>
      </c>
      <c r="E358" s="9" t="inlineStr">
        <is>
          <t>India</t>
        </is>
      </c>
      <c r="F358" s="9" t="n">
        <v>1</v>
      </c>
      <c r="G358" s="9" t="n">
        <v>1</v>
      </c>
      <c r="H358" s="9" t="n">
        <v>1</v>
      </c>
      <c r="I358" s="10" t="n">
        <v>42756</v>
      </c>
      <c r="J358" s="10" t="n">
        <v>42756</v>
      </c>
      <c r="K358" s="9" t="n">
        <v>13.00589</v>
      </c>
      <c r="L358" s="9" t="n">
        <v>77.54116999999999</v>
      </c>
      <c r="M358" s="9" t="inlineStr">
        <is>
          <t>https://www.google.com/maps/place/?q=place_id:ChIJEQutEJ89rjsRQF4X7Bw_JCc</t>
        </is>
      </c>
    </row>
    <row r="359">
      <c r="A359" s="9" t="n">
        <v>355</v>
      </c>
      <c r="B359" s="9" t="inlineStr">
        <is>
          <t>Bengaluru</t>
        </is>
      </c>
      <c r="C359" s="9" t="inlineStr">
        <is>
          <t>Bengaluru</t>
        </is>
      </c>
      <c r="D359" s="9" t="inlineStr">
        <is>
          <t>Karnataka</t>
        </is>
      </c>
      <c r="E359" s="9" t="inlineStr">
        <is>
          <t>India</t>
        </is>
      </c>
      <c r="F359" s="9" t="n">
        <v>1</v>
      </c>
      <c r="G359" s="9" t="n">
        <v>1</v>
      </c>
      <c r="H359" s="9" t="n">
        <v>1</v>
      </c>
      <c r="I359" s="10" t="n">
        <v>42756</v>
      </c>
      <c r="J359" s="10" t="n">
        <v>42756</v>
      </c>
      <c r="K359" s="9" t="n">
        <v>13.00367</v>
      </c>
      <c r="L359" s="9" t="n">
        <v>77.54362</v>
      </c>
      <c r="M359" s="9" t="inlineStr">
        <is>
          <t>https://www.google.com/maps/place/?q=place_id:ChIJtct3SJk9rjsRCj3EP_AZNJE</t>
        </is>
      </c>
    </row>
    <row r="360">
      <c r="A360" s="9" t="n">
        <v>356</v>
      </c>
      <c r="B360" s="9" t="inlineStr">
        <is>
          <t>Bengaluru</t>
        </is>
      </c>
      <c r="C360" s="9" t="inlineStr">
        <is>
          <t>Bengaluru</t>
        </is>
      </c>
      <c r="D360" s="9" t="inlineStr">
        <is>
          <t>Karnataka</t>
        </is>
      </c>
      <c r="E360" s="9" t="inlineStr">
        <is>
          <t>India</t>
        </is>
      </c>
      <c r="F360" s="9" t="n">
        <v>1</v>
      </c>
      <c r="G360" s="9" t="n">
        <v>1</v>
      </c>
      <c r="H360" s="9" t="n">
        <v>1</v>
      </c>
      <c r="I360" s="10" t="n">
        <v>42756</v>
      </c>
      <c r="J360" s="10" t="n">
        <v>42756</v>
      </c>
      <c r="K360" s="9" t="n">
        <v>13.00211</v>
      </c>
      <c r="L360" s="9" t="n">
        <v>77.54432</v>
      </c>
      <c r="M360" s="9" t="inlineStr">
        <is>
          <t>https://www.google.com/maps/place/?q=place_id:ChIJVS9qe5k9rjsRYqk7ONOGtQo</t>
        </is>
      </c>
    </row>
    <row r="361">
      <c r="A361" s="9" t="n">
        <v>357</v>
      </c>
      <c r="B361" s="9" t="inlineStr">
        <is>
          <t>Bengaluru</t>
        </is>
      </c>
      <c r="C361" s="9" t="inlineStr">
        <is>
          <t>Bengaluru</t>
        </is>
      </c>
      <c r="D361" s="9" t="inlineStr">
        <is>
          <t>Karnataka</t>
        </is>
      </c>
      <c r="E361" s="9" t="inlineStr">
        <is>
          <t>India</t>
        </is>
      </c>
      <c r="F361" s="9" t="n">
        <v>1</v>
      </c>
      <c r="G361" s="9" t="n">
        <v>1</v>
      </c>
      <c r="H361" s="9" t="n">
        <v>1</v>
      </c>
      <c r="I361" s="10" t="n">
        <v>42756</v>
      </c>
      <c r="J361" s="10" t="n">
        <v>42756</v>
      </c>
      <c r="K361" s="9" t="n">
        <v>13.00394</v>
      </c>
      <c r="L361" s="9" t="n">
        <v>77.54649000000001</v>
      </c>
      <c r="M361" s="9" t="inlineStr">
        <is>
          <t>https://www.google.com/maps/place/?q=place_id:ChIJCUc4jJs9rjsRNqiDJVquhXE</t>
        </is>
      </c>
    </row>
    <row r="362">
      <c r="A362" s="9" t="n">
        <v>358</v>
      </c>
      <c r="B362" s="9" t="inlineStr">
        <is>
          <t>Yelahanka</t>
        </is>
      </c>
      <c r="C362" s="9" t="inlineStr">
        <is>
          <t>Bengaluru</t>
        </is>
      </c>
      <c r="D362" s="9" t="inlineStr">
        <is>
          <t>Karnataka</t>
        </is>
      </c>
      <c r="E362" s="9" t="inlineStr">
        <is>
          <t>India</t>
        </is>
      </c>
      <c r="F362" s="9" t="n">
        <v>1</v>
      </c>
      <c r="G362" s="9" t="n">
        <v>1</v>
      </c>
      <c r="H362" s="9" t="n">
        <v>1</v>
      </c>
      <c r="I362" s="10" t="n">
        <v>42816</v>
      </c>
      <c r="J362" s="10" t="n">
        <v>42816</v>
      </c>
      <c r="K362" s="9" t="n">
        <v>13.10083</v>
      </c>
      <c r="L362" s="9" t="n">
        <v>77.59469</v>
      </c>
      <c r="M362" s="9" t="inlineStr">
        <is>
          <t>https://www.google.com/maps/place/?q=place_id:ChIJRdedT1gYrjsR35eXqUgVdIE</t>
        </is>
      </c>
    </row>
    <row r="363">
      <c r="A363" s="9" t="n">
        <v>359</v>
      </c>
      <c r="B363" s="9" t="inlineStr">
        <is>
          <t>Bengaluru</t>
        </is>
      </c>
      <c r="C363" s="9" t="inlineStr">
        <is>
          <t>Bengaluru</t>
        </is>
      </c>
      <c r="D363" s="9" t="inlineStr">
        <is>
          <t>Karnataka</t>
        </is>
      </c>
      <c r="E363" s="9" t="inlineStr">
        <is>
          <t>India</t>
        </is>
      </c>
      <c r="F363" s="9" t="n">
        <v>1</v>
      </c>
      <c r="G363" s="9" t="n">
        <v>1</v>
      </c>
      <c r="H363" s="9" t="n">
        <v>1</v>
      </c>
      <c r="I363" s="10" t="n">
        <v>42816</v>
      </c>
      <c r="J363" s="10" t="n">
        <v>42816</v>
      </c>
      <c r="K363" s="9" t="n">
        <v>13.00587</v>
      </c>
      <c r="L363" s="9" t="n">
        <v>77.55426</v>
      </c>
      <c r="M363" s="9" t="inlineStr">
        <is>
          <t>https://www.google.com/maps/place/?q=place_id:ChIJEx84kYM9rjsRAsofjmMA_eo</t>
        </is>
      </c>
    </row>
    <row r="364">
      <c r="A364" s="9" t="n">
        <v>360</v>
      </c>
      <c r="B364" s="9" t="inlineStr">
        <is>
          <t>Hoskote</t>
        </is>
      </c>
      <c r="C364" s="9" t="inlineStr">
        <is>
          <t>Bengaluru</t>
        </is>
      </c>
      <c r="D364" s="9" t="inlineStr">
        <is>
          <t>Karnataka</t>
        </is>
      </c>
      <c r="E364" s="9" t="inlineStr">
        <is>
          <t>India</t>
        </is>
      </c>
      <c r="F364" s="9" t="n">
        <v>1</v>
      </c>
      <c r="G364" s="9" t="n">
        <v>1</v>
      </c>
      <c r="H364" s="9" t="n">
        <v>1</v>
      </c>
      <c r="I364" s="10" t="n">
        <v>42820</v>
      </c>
      <c r="J364" s="10" t="n">
        <v>42820</v>
      </c>
      <c r="K364" s="9" t="n">
        <v>13.02598</v>
      </c>
      <c r="L364" s="9" t="n">
        <v>77.7062</v>
      </c>
      <c r="M364" s="9" t="inlineStr">
        <is>
          <t>https://www.google.com/maps/place/?q=place_id:ChIJAU0Od1EQrjsRQquLivLVwlE</t>
        </is>
      </c>
    </row>
    <row r="365">
      <c r="A365" s="9" t="n">
        <v>361</v>
      </c>
      <c r="B365" s="9" t="inlineStr">
        <is>
          <t>Bengaluru</t>
        </is>
      </c>
      <c r="C365" s="9" t="inlineStr">
        <is>
          <t>Bengaluru</t>
        </is>
      </c>
      <c r="D365" s="9" t="inlineStr">
        <is>
          <t>Karnataka</t>
        </is>
      </c>
      <c r="E365" s="9" t="inlineStr">
        <is>
          <t>India</t>
        </is>
      </c>
      <c r="F365" s="9" t="n">
        <v>1</v>
      </c>
      <c r="G365" s="9" t="n">
        <v>1</v>
      </c>
      <c r="H365" s="9" t="n">
        <v>1</v>
      </c>
      <c r="I365" s="10" t="n">
        <v>42898</v>
      </c>
      <c r="J365" s="10" t="n">
        <v>42898</v>
      </c>
      <c r="K365" s="9" t="n">
        <v>12.91991</v>
      </c>
      <c r="L365" s="9" t="n">
        <v>77.64969000000001</v>
      </c>
      <c r="M365" s="9" t="inlineStr">
        <is>
          <t>https://www.google.com/maps/place/?q=place_id:ChIJ_yfCQYEUrjsRGCYn2XCms4o</t>
        </is>
      </c>
    </row>
    <row r="366">
      <c r="A366" s="9" t="n">
        <v>362</v>
      </c>
      <c r="B366" s="9" t="inlineStr">
        <is>
          <t>Bengaluru</t>
        </is>
      </c>
      <c r="C366" s="9" t="inlineStr">
        <is>
          <t>Bengaluru</t>
        </is>
      </c>
      <c r="D366" s="9" t="inlineStr">
        <is>
          <t>Karnataka</t>
        </is>
      </c>
      <c r="E366" s="9" t="inlineStr">
        <is>
          <t>India</t>
        </is>
      </c>
      <c r="F366" s="9" t="n">
        <v>1</v>
      </c>
      <c r="G366" s="9" t="n">
        <v>1</v>
      </c>
      <c r="H366" s="9" t="n">
        <v>1</v>
      </c>
      <c r="I366" s="10" t="n">
        <v>43088</v>
      </c>
      <c r="J366" s="10" t="n">
        <v>43088</v>
      </c>
      <c r="K366" s="9" t="n">
        <v>13.02447</v>
      </c>
      <c r="L366" s="9" t="n">
        <v>77.54876</v>
      </c>
      <c r="M366" s="9" t="inlineStr">
        <is>
          <t>https://www.google.com/maps/place/?q=place_id:ChIJj9VQyNE9rjsRsVrZQsVMFmM</t>
        </is>
      </c>
    </row>
    <row r="367">
      <c r="A367" s="9" t="n">
        <v>363</v>
      </c>
      <c r="B367" s="9" t="inlineStr">
        <is>
          <t>Bengaluru</t>
        </is>
      </c>
      <c r="C367" s="9" t="inlineStr">
        <is>
          <t>Bengaluru</t>
        </is>
      </c>
      <c r="D367" s="9" t="inlineStr">
        <is>
          <t>Karnataka</t>
        </is>
      </c>
      <c r="E367" s="9" t="inlineStr">
        <is>
          <t>India</t>
        </is>
      </c>
      <c r="F367" s="9" t="n">
        <v>1</v>
      </c>
      <c r="G367" s="9" t="n">
        <v>1</v>
      </c>
      <c r="H367" s="9" t="n">
        <v>1</v>
      </c>
      <c r="I367" s="10" t="n">
        <v>43180</v>
      </c>
      <c r="J367" s="10" t="n">
        <v>43180</v>
      </c>
      <c r="K367" s="9" t="n">
        <v>13.0236</v>
      </c>
      <c r="L367" s="9" t="n">
        <v>77.55186999999999</v>
      </c>
      <c r="M367" s="9" t="inlineStr">
        <is>
          <t>https://www.google.com/maps/place/?q=place_id:ChIJx_IobWU9rjsR9yN7yc3vsfw</t>
        </is>
      </c>
    </row>
    <row r="368">
      <c r="A368" s="9" t="n">
        <v>364</v>
      </c>
      <c r="B368" s="9" t="inlineStr">
        <is>
          <t>Yelahanka</t>
        </is>
      </c>
      <c r="C368" s="9" t="inlineStr">
        <is>
          <t>Bengaluru</t>
        </is>
      </c>
      <c r="D368" s="9" t="inlineStr">
        <is>
          <t>Karnataka</t>
        </is>
      </c>
      <c r="E368" s="9" t="inlineStr">
        <is>
          <t>India</t>
        </is>
      </c>
      <c r="F368" s="9" t="n">
        <v>1</v>
      </c>
      <c r="G368" s="9" t="n">
        <v>1</v>
      </c>
      <c r="H368" s="9" t="n">
        <v>1</v>
      </c>
      <c r="I368" s="10" t="n">
        <v>43180</v>
      </c>
      <c r="J368" s="10" t="n">
        <v>43180</v>
      </c>
      <c r="K368" s="9" t="n">
        <v>13.15239</v>
      </c>
      <c r="L368" s="9" t="n">
        <v>77.56896</v>
      </c>
      <c r="M368" s="9" t="inlineStr">
        <is>
          <t>https://www.google.com/maps/place/?q=place_id:ChIJdzlW4FMfrjsRNS1wERuYAhk</t>
        </is>
      </c>
    </row>
    <row r="369">
      <c r="A369" s="9" t="n">
        <v>365</v>
      </c>
      <c r="B369" s="9" t="inlineStr">
        <is>
          <t>Bengaluru</t>
        </is>
      </c>
      <c r="C369" s="9" t="inlineStr">
        <is>
          <t>Bengaluru</t>
        </is>
      </c>
      <c r="D369" s="9" t="inlineStr">
        <is>
          <t>Karnataka</t>
        </is>
      </c>
      <c r="E369" s="9" t="inlineStr">
        <is>
          <t>India</t>
        </is>
      </c>
      <c r="F369" s="9" t="n">
        <v>1</v>
      </c>
      <c r="G369" s="9" t="n">
        <v>1</v>
      </c>
      <c r="H369" s="9" t="n">
        <v>1</v>
      </c>
      <c r="I369" s="10" t="n">
        <v>44209</v>
      </c>
      <c r="J369" s="10" t="n">
        <v>44209</v>
      </c>
      <c r="K369" s="9" t="n">
        <v>12.88051</v>
      </c>
      <c r="L369" s="9" t="n">
        <v>77.6726</v>
      </c>
      <c r="M369" s="9" t="inlineStr">
        <is>
          <t>https://www.google.com/maps/place/?q=place_id:ChIJIzDJuAFtrjsRLTy12U6D4RQ</t>
        </is>
      </c>
    </row>
    <row r="370">
      <c r="A370" s="9" t="n">
        <v>366</v>
      </c>
      <c r="B370" s="9" t="inlineStr">
        <is>
          <t>Bengaluru</t>
        </is>
      </c>
      <c r="C370" s="9" t="inlineStr">
        <is>
          <t>Bengaluru</t>
        </is>
      </c>
      <c r="D370" s="9" t="inlineStr">
        <is>
          <t>Karnataka</t>
        </is>
      </c>
      <c r="E370" s="9" t="inlineStr">
        <is>
          <t>India</t>
        </is>
      </c>
      <c r="F370" s="9" t="n">
        <v>1</v>
      </c>
      <c r="G370" s="9" t="n">
        <v>1</v>
      </c>
      <c r="H370" s="9" t="n">
        <v>1</v>
      </c>
      <c r="I370" s="10" t="n">
        <v>44295</v>
      </c>
      <c r="J370" s="10" t="n">
        <v>44295</v>
      </c>
      <c r="K370" s="9" t="n">
        <v>13.01226</v>
      </c>
      <c r="L370" s="9" t="n">
        <v>77.55329999999999</v>
      </c>
      <c r="M370" s="9" t="inlineStr">
        <is>
          <t>https://www.google.com/maps/place/?q=place_id:ChIJfc8IuJo9rjsRTCjS_q6aN4U</t>
        </is>
      </c>
    </row>
    <row r="371">
      <c r="A371" s="9" t="n">
        <v>367</v>
      </c>
      <c r="B371" s="9" t="inlineStr">
        <is>
          <t>Bengaluru</t>
        </is>
      </c>
      <c r="C371" s="9" t="inlineStr">
        <is>
          <t>Bengaluru</t>
        </is>
      </c>
      <c r="D371" s="9" t="inlineStr">
        <is>
          <t>Karnataka</t>
        </is>
      </c>
      <c r="E371" s="9" t="inlineStr">
        <is>
          <t>India</t>
        </is>
      </c>
      <c r="F371" s="9" t="n">
        <v>1</v>
      </c>
      <c r="G371" s="9" t="n">
        <v>1</v>
      </c>
      <c r="H371" s="9" t="n">
        <v>1</v>
      </c>
      <c r="I371" s="10" t="n">
        <v>44296</v>
      </c>
      <c r="J371" s="10" t="n">
        <v>44296</v>
      </c>
      <c r="K371" s="9" t="n">
        <v>12.89899</v>
      </c>
      <c r="L371" s="9" t="n">
        <v>77.5581</v>
      </c>
      <c r="M371" s="9" t="inlineStr">
        <is>
          <t>https://www.google.com/maps/place/?q=place_id:ChIJR_uUON4_rjsRGVGgpeM09kM</t>
        </is>
      </c>
    </row>
    <row r="372">
      <c r="A372" s="9" t="n">
        <v>368</v>
      </c>
      <c r="B372" s="9" t="inlineStr">
        <is>
          <t>Bengaluru</t>
        </is>
      </c>
      <c r="C372" s="9" t="inlineStr">
        <is>
          <t>Bengaluru</t>
        </is>
      </c>
      <c r="D372" s="9" t="inlineStr">
        <is>
          <t>Karnataka</t>
        </is>
      </c>
      <c r="E372" s="9" t="inlineStr">
        <is>
          <t>India</t>
        </is>
      </c>
      <c r="F372" s="9" t="n">
        <v>1</v>
      </c>
      <c r="G372" s="9" t="n">
        <v>1</v>
      </c>
      <c r="H372" s="9" t="n">
        <v>1</v>
      </c>
      <c r="I372" s="10" t="n">
        <v>44298</v>
      </c>
      <c r="J372" s="10" t="n">
        <v>44298</v>
      </c>
      <c r="K372" s="9" t="n">
        <v>12.9052</v>
      </c>
      <c r="L372" s="9" t="n">
        <v>77.56285</v>
      </c>
      <c r="M372" s="9" t="inlineStr">
        <is>
          <t>https://www.google.com/maps/place/?q=place_id:ChIJDwajaGIVrjsRE87AOBq3lZQ</t>
        </is>
      </c>
    </row>
    <row r="373">
      <c r="A373" s="9" t="n">
        <v>369</v>
      </c>
      <c r="B373" s="9" t="inlineStr">
        <is>
          <t>Bengaluru</t>
        </is>
      </c>
      <c r="C373" s="9" t="inlineStr">
        <is>
          <t>Bengaluru</t>
        </is>
      </c>
      <c r="D373" s="9" t="inlineStr">
        <is>
          <t>Karnataka</t>
        </is>
      </c>
      <c r="E373" s="9" t="inlineStr">
        <is>
          <t>India</t>
        </is>
      </c>
      <c r="F373" s="9" t="n">
        <v>1</v>
      </c>
      <c r="G373" s="9" t="n">
        <v>1</v>
      </c>
      <c r="H373" s="9" t="n">
        <v>1</v>
      </c>
      <c r="I373" s="10" t="n">
        <v>44298</v>
      </c>
      <c r="J373" s="10" t="n">
        <v>44298</v>
      </c>
      <c r="K373" s="9" t="n">
        <v>12.90327</v>
      </c>
      <c r="L373" s="9" t="n">
        <v>77.56054</v>
      </c>
      <c r="M373" s="9" t="inlineStr">
        <is>
          <t>https://www.google.com/maps/place/?q=place_id:ChIJgZ6wNd8_rjsRmNaEoPgrGE4</t>
        </is>
      </c>
    </row>
    <row r="374">
      <c r="A374" s="9" t="n">
        <v>370</v>
      </c>
      <c r="B374" s="9" t="inlineStr">
        <is>
          <t>Bengaluru</t>
        </is>
      </c>
      <c r="C374" s="9" t="inlineStr">
        <is>
          <t>Bengaluru</t>
        </is>
      </c>
      <c r="D374" s="9" t="inlineStr">
        <is>
          <t>Karnataka</t>
        </is>
      </c>
      <c r="E374" s="9" t="inlineStr">
        <is>
          <t>India</t>
        </is>
      </c>
      <c r="F374" s="9" t="n">
        <v>1</v>
      </c>
      <c r="G374" s="9" t="n">
        <v>1</v>
      </c>
      <c r="H374" s="9" t="n">
        <v>1</v>
      </c>
      <c r="I374" s="10" t="n">
        <v>44298</v>
      </c>
      <c r="J374" s="10" t="n">
        <v>44298</v>
      </c>
      <c r="K374" s="9" t="n">
        <v>12.89482</v>
      </c>
      <c r="L374" s="9" t="n">
        <v>77.59862</v>
      </c>
      <c r="M374" s="9" t="inlineStr">
        <is>
          <t>https://www.google.com/maps/place/?q=place_id:ChIJEfRVcCMVrjsRJZ6qMWbCCHM</t>
        </is>
      </c>
    </row>
    <row r="375">
      <c r="A375" s="9" t="n">
        <v>371</v>
      </c>
      <c r="B375" s="9" t="inlineStr">
        <is>
          <t>Bengaluru</t>
        </is>
      </c>
      <c r="C375" s="9" t="inlineStr">
        <is>
          <t>Bengaluru</t>
        </is>
      </c>
      <c r="D375" s="9" t="inlineStr">
        <is>
          <t>Karnataka</t>
        </is>
      </c>
      <c r="E375" s="9" t="inlineStr">
        <is>
          <t>India</t>
        </is>
      </c>
      <c r="F375" s="9" t="n">
        <v>1</v>
      </c>
      <c r="G375" s="9" t="n">
        <v>1</v>
      </c>
      <c r="H375" s="9" t="n">
        <v>1</v>
      </c>
      <c r="I375" s="10" t="n">
        <v>44298</v>
      </c>
      <c r="J375" s="10" t="n">
        <v>44298</v>
      </c>
      <c r="K375" s="9" t="n">
        <v>12.90196</v>
      </c>
      <c r="L375" s="9" t="n">
        <v>77.60097</v>
      </c>
      <c r="M375" s="9" t="inlineStr">
        <is>
          <t>https://www.google.com/maps/place/?q=place_id:ChIJkeZH3RgVrjsRVOr5wVRyRAA</t>
        </is>
      </c>
    </row>
    <row r="376">
      <c r="A376" s="9" t="n">
        <v>372</v>
      </c>
      <c r="B376" s="9" t="inlineStr">
        <is>
          <t>Bengaluru</t>
        </is>
      </c>
      <c r="C376" s="9" t="inlineStr">
        <is>
          <t>Bengaluru</t>
        </is>
      </c>
      <c r="D376" s="9" t="inlineStr">
        <is>
          <t>Karnataka</t>
        </is>
      </c>
      <c r="E376" s="9" t="inlineStr">
        <is>
          <t>India</t>
        </is>
      </c>
      <c r="F376" s="9" t="n">
        <v>1</v>
      </c>
      <c r="G376" s="9" t="n">
        <v>1</v>
      </c>
      <c r="H376" s="9" t="n">
        <v>1</v>
      </c>
      <c r="I376" s="10" t="n">
        <v>44298</v>
      </c>
      <c r="J376" s="10" t="n">
        <v>44298</v>
      </c>
      <c r="K376" s="9" t="n">
        <v>12.93706</v>
      </c>
      <c r="L376" s="9" t="n">
        <v>77.58493</v>
      </c>
      <c r="M376" s="9" t="inlineStr">
        <is>
          <t>https://www.google.com/maps/place/?q=place_id:ChIJ2YBRlvMVrjsRx4aWeN8sVg4</t>
        </is>
      </c>
    </row>
    <row r="377">
      <c r="A377" s="9" t="n">
        <v>373</v>
      </c>
      <c r="B377" s="9" t="inlineStr">
        <is>
          <t>Bengaluru</t>
        </is>
      </c>
      <c r="C377" s="9" t="inlineStr">
        <is>
          <t>Bengaluru</t>
        </is>
      </c>
      <c r="D377" s="9" t="inlineStr">
        <is>
          <t>Karnataka</t>
        </is>
      </c>
      <c r="E377" s="9" t="inlineStr">
        <is>
          <t>India</t>
        </is>
      </c>
      <c r="F377" s="9" t="n">
        <v>1</v>
      </c>
      <c r="G377" s="9" t="n">
        <v>1</v>
      </c>
      <c r="H377" s="9" t="n">
        <v>1</v>
      </c>
      <c r="I377" s="10" t="n">
        <v>44298</v>
      </c>
      <c r="J377" s="10" t="n">
        <v>44298</v>
      </c>
      <c r="K377" s="9" t="n">
        <v>12.93395</v>
      </c>
      <c r="L377" s="9" t="n">
        <v>77.58597</v>
      </c>
      <c r="M377" s="9" t="inlineStr">
        <is>
          <t>https://www.google.com/maps/place/?q=place_id:ChIJcytXar0VrjsR2IMz4Ot9OCw</t>
        </is>
      </c>
    </row>
    <row r="378">
      <c r="A378" s="9" t="n">
        <v>374</v>
      </c>
      <c r="B378" s="9" t="inlineStr">
        <is>
          <t>Bengaluru</t>
        </is>
      </c>
      <c r="C378" s="9" t="inlineStr">
        <is>
          <t>Bengaluru</t>
        </is>
      </c>
      <c r="D378" s="9" t="inlineStr">
        <is>
          <t>Karnataka</t>
        </is>
      </c>
      <c r="E378" s="9" t="inlineStr">
        <is>
          <t>India</t>
        </is>
      </c>
      <c r="F378" s="9" t="n">
        <v>1</v>
      </c>
      <c r="G378" s="9" t="n">
        <v>1</v>
      </c>
      <c r="H378" s="9" t="n">
        <v>1</v>
      </c>
      <c r="I378" s="10" t="n">
        <v>44301</v>
      </c>
      <c r="J378" s="10" t="n">
        <v>44301</v>
      </c>
      <c r="K378" s="9" t="n">
        <v>12.8913</v>
      </c>
      <c r="L378" s="9" t="n">
        <v>77.59408999999999</v>
      </c>
      <c r="M378" s="9" t="inlineStr">
        <is>
          <t>https://www.google.com/maps/place/?q=place_id:ChIJk7eiBDsVrjsRrECn9QuSFr0</t>
        </is>
      </c>
    </row>
    <row r="379">
      <c r="A379" s="9" t="n">
        <v>375</v>
      </c>
      <c r="B379" s="9" t="inlineStr">
        <is>
          <t>Bengaluru</t>
        </is>
      </c>
      <c r="C379" s="9" t="inlineStr">
        <is>
          <t>Bengaluru</t>
        </is>
      </c>
      <c r="D379" s="9" t="inlineStr">
        <is>
          <t>Karnataka</t>
        </is>
      </c>
      <c r="E379" s="9" t="inlineStr">
        <is>
          <t>India</t>
        </is>
      </c>
      <c r="F379" s="9" t="n">
        <v>1</v>
      </c>
      <c r="G379" s="9" t="n">
        <v>1</v>
      </c>
      <c r="H379" s="9" t="n">
        <v>1</v>
      </c>
      <c r="I379" s="10" t="n">
        <v>44303</v>
      </c>
      <c r="J379" s="10" t="n">
        <v>44303</v>
      </c>
      <c r="K379" s="9" t="n">
        <v>12.9574</v>
      </c>
      <c r="L379" s="9" t="n">
        <v>77.56762000000001</v>
      </c>
      <c r="M379" s="9" t="inlineStr">
        <is>
          <t>https://www.google.com/maps/place/?q=place_id:ChIJLaiWLgM-rjsRhgtqdVY6QLc</t>
        </is>
      </c>
    </row>
    <row r="380">
      <c r="A380" s="9" t="n">
        <v>376</v>
      </c>
      <c r="B380" s="9" t="inlineStr">
        <is>
          <t>Bengaluru</t>
        </is>
      </c>
      <c r="C380" s="9" t="inlineStr">
        <is>
          <t>Bengaluru</t>
        </is>
      </c>
      <c r="D380" s="9" t="inlineStr">
        <is>
          <t>Karnataka</t>
        </is>
      </c>
      <c r="E380" s="9" t="inlineStr">
        <is>
          <t>India</t>
        </is>
      </c>
      <c r="F380" s="9" t="n">
        <v>1</v>
      </c>
      <c r="G380" s="9" t="n">
        <v>1</v>
      </c>
      <c r="H380" s="9" t="n">
        <v>1</v>
      </c>
      <c r="I380" s="10" t="n">
        <v>44309</v>
      </c>
      <c r="J380" s="10" t="n">
        <v>44309</v>
      </c>
      <c r="K380" s="9" t="n">
        <v>12.89479</v>
      </c>
      <c r="L380" s="9" t="n">
        <v>77.56872</v>
      </c>
      <c r="M380" s="9" t="inlineStr">
        <is>
          <t>https://www.google.com/maps/place/?q=place_id:ChIJQSKdMFwVrjsRFMjS0M76Fbs</t>
        </is>
      </c>
    </row>
    <row r="381">
      <c r="A381" s="9" t="n">
        <v>377</v>
      </c>
      <c r="B381" s="9" t="inlineStr">
        <is>
          <t>Bengaluru</t>
        </is>
      </c>
      <c r="C381" s="9" t="inlineStr">
        <is>
          <t>Bengaluru</t>
        </is>
      </c>
      <c r="D381" s="9" t="inlineStr">
        <is>
          <t>Karnataka</t>
        </is>
      </c>
      <c r="E381" s="9" t="inlineStr">
        <is>
          <t>India</t>
        </is>
      </c>
      <c r="F381" s="9" t="n">
        <v>1</v>
      </c>
      <c r="G381" s="9" t="n">
        <v>1</v>
      </c>
      <c r="H381" s="9" t="n">
        <v>1</v>
      </c>
      <c r="I381" s="10" t="n">
        <v>44313</v>
      </c>
      <c r="J381" s="10" t="n">
        <v>44313</v>
      </c>
      <c r="K381" s="9" t="n">
        <v>12.90347</v>
      </c>
      <c r="L381" s="9" t="n">
        <v>77.57361</v>
      </c>
      <c r="M381" s="9" t="inlineStr">
        <is>
          <t>https://www.google.com/maps/place/?q=place_id:ChIJ-3B4AmYVrjsR6SfCReidiPE</t>
        </is>
      </c>
    </row>
    <row r="382">
      <c r="A382" s="9" t="n">
        <v>378</v>
      </c>
      <c r="B382" s="9" t="inlineStr">
        <is>
          <t>Bengaluru</t>
        </is>
      </c>
      <c r="C382" s="9" t="inlineStr">
        <is>
          <t>Bengaluru</t>
        </is>
      </c>
      <c r="D382" s="9" t="inlineStr">
        <is>
          <t>Karnataka</t>
        </is>
      </c>
      <c r="E382" s="9" t="inlineStr">
        <is>
          <t>India</t>
        </is>
      </c>
      <c r="F382" s="9" t="n">
        <v>1</v>
      </c>
      <c r="G382" s="9" t="n">
        <v>1</v>
      </c>
      <c r="H382" s="9" t="n">
        <v>1</v>
      </c>
      <c r="I382" s="10" t="n">
        <v>44313</v>
      </c>
      <c r="J382" s="10" t="n">
        <v>44313</v>
      </c>
      <c r="K382" s="9" t="n">
        <v>12.89999</v>
      </c>
      <c r="L382" s="9" t="n">
        <v>77.57113</v>
      </c>
      <c r="M382" s="9" t="inlineStr">
        <is>
          <t>https://www.google.com/maps/place/?q=place_id:ChIJSTVuo2cVrjsRm3dhcDpIAks</t>
        </is>
      </c>
    </row>
    <row r="383">
      <c r="A383" s="9" t="n">
        <v>379</v>
      </c>
      <c r="B383" s="9" t="inlineStr">
        <is>
          <t>Bengaluru</t>
        </is>
      </c>
      <c r="C383" s="9" t="inlineStr">
        <is>
          <t>Bengaluru</t>
        </is>
      </c>
      <c r="D383" s="9" t="inlineStr">
        <is>
          <t>Karnataka</t>
        </is>
      </c>
      <c r="E383" s="9" t="inlineStr">
        <is>
          <t>India</t>
        </is>
      </c>
      <c r="F383" s="9" t="n">
        <v>1</v>
      </c>
      <c r="G383" s="9" t="n">
        <v>1</v>
      </c>
      <c r="H383" s="9" t="n">
        <v>1</v>
      </c>
      <c r="I383" s="10" t="n">
        <v>44314</v>
      </c>
      <c r="J383" s="10" t="n">
        <v>44314</v>
      </c>
      <c r="K383" s="9" t="n">
        <v>12.90413</v>
      </c>
      <c r="L383" s="9" t="n">
        <v>77.58486000000001</v>
      </c>
      <c r="M383" s="9" t="inlineStr">
        <is>
          <t>https://www.google.com/maps/place/?q=place_id:ChIJwwrWCG8VrjsRyBYYb6MSzHo</t>
        </is>
      </c>
    </row>
    <row r="384">
      <c r="A384" s="9" t="n">
        <v>380</v>
      </c>
      <c r="B384" s="9" t="inlineStr">
        <is>
          <t>Bengaluru</t>
        </is>
      </c>
      <c r="C384" s="9" t="inlineStr">
        <is>
          <t>Bengaluru</t>
        </is>
      </c>
      <c r="D384" s="9" t="inlineStr">
        <is>
          <t>Karnataka</t>
        </is>
      </c>
      <c r="E384" s="9" t="inlineStr">
        <is>
          <t>India</t>
        </is>
      </c>
      <c r="F384" s="9" t="n">
        <v>1</v>
      </c>
      <c r="G384" s="9" t="n">
        <v>1</v>
      </c>
      <c r="H384" s="9" t="n">
        <v>1</v>
      </c>
      <c r="I384" s="10" t="n">
        <v>44315</v>
      </c>
      <c r="J384" s="10" t="n">
        <v>44315</v>
      </c>
      <c r="K384" s="9" t="n">
        <v>12.90528</v>
      </c>
      <c r="L384" s="9" t="n">
        <v>77.59515</v>
      </c>
      <c r="M384" s="9" t="inlineStr">
        <is>
          <t>https://www.google.com/maps/place/?q=place_id:ChIJD9sRtRAVrjsR1EQe-36bRG0</t>
        </is>
      </c>
    </row>
    <row r="385">
      <c r="A385" s="9" t="n">
        <v>381</v>
      </c>
      <c r="B385" s="9" t="inlineStr">
        <is>
          <t>Bengaluru</t>
        </is>
      </c>
      <c r="C385" s="9" t="inlineStr">
        <is>
          <t>Bengaluru</t>
        </is>
      </c>
      <c r="D385" s="9" t="inlineStr">
        <is>
          <t>Karnataka</t>
        </is>
      </c>
      <c r="E385" s="9" t="inlineStr">
        <is>
          <t>India</t>
        </is>
      </c>
      <c r="F385" s="9" t="n">
        <v>1</v>
      </c>
      <c r="G385" s="9" t="n">
        <v>1</v>
      </c>
      <c r="H385" s="9" t="n">
        <v>1</v>
      </c>
      <c r="I385" s="10" t="n">
        <v>44319</v>
      </c>
      <c r="J385" s="10" t="n">
        <v>44319</v>
      </c>
      <c r="K385" s="9" t="n">
        <v>12.99928</v>
      </c>
      <c r="L385" s="9" t="n">
        <v>77.57132</v>
      </c>
      <c r="M385" s="9" t="inlineStr">
        <is>
          <t>https://www.google.com/maps/place/?q=place_id:ChIJyzVfZSUWrjsRS5ds1FR0MiU</t>
        </is>
      </c>
    </row>
    <row r="386">
      <c r="A386" s="9" t="n">
        <v>382</v>
      </c>
      <c r="B386" s="9" t="inlineStr">
        <is>
          <t>Bengaluru</t>
        </is>
      </c>
      <c r="C386" s="9" t="inlineStr">
        <is>
          <t>Bengaluru</t>
        </is>
      </c>
      <c r="D386" s="9" t="inlineStr">
        <is>
          <t>Karnataka</t>
        </is>
      </c>
      <c r="E386" s="9" t="inlineStr">
        <is>
          <t>India</t>
        </is>
      </c>
      <c r="F386" s="9" t="n">
        <v>1</v>
      </c>
      <c r="G386" s="9" t="n">
        <v>1</v>
      </c>
      <c r="H386" s="9" t="n">
        <v>1</v>
      </c>
      <c r="I386" s="10" t="n">
        <v>44320</v>
      </c>
      <c r="J386" s="10" t="n">
        <v>44320</v>
      </c>
      <c r="K386" s="9" t="n">
        <v>12.95694</v>
      </c>
      <c r="L386" s="9" t="n">
        <v>77.56903</v>
      </c>
      <c r="M386" s="9" t="inlineStr">
        <is>
          <t>https://www.google.com/maps/place/?q=place_id:ChIJJ3KKWOUVrjsRBPf624WpQqg</t>
        </is>
      </c>
    </row>
    <row r="387">
      <c r="A387" s="9" t="n">
        <v>383</v>
      </c>
      <c r="B387" s="9" t="inlineStr">
        <is>
          <t>Bengaluru</t>
        </is>
      </c>
      <c r="C387" s="9" t="inlineStr">
        <is>
          <t>Bengaluru</t>
        </is>
      </c>
      <c r="D387" s="9" t="inlineStr">
        <is>
          <t>Karnataka</t>
        </is>
      </c>
      <c r="E387" s="9" t="inlineStr">
        <is>
          <t>India</t>
        </is>
      </c>
      <c r="F387" s="9" t="n">
        <v>1</v>
      </c>
      <c r="G387" s="9" t="n">
        <v>1</v>
      </c>
      <c r="H387" s="9" t="n">
        <v>1</v>
      </c>
      <c r="I387" s="10" t="n">
        <v>44321</v>
      </c>
      <c r="J387" s="10" t="n">
        <v>44321</v>
      </c>
      <c r="K387" s="9" t="n">
        <v>12.95244</v>
      </c>
      <c r="L387" s="9" t="n">
        <v>77.54109</v>
      </c>
      <c r="M387" s="9" t="inlineStr">
        <is>
          <t>https://www.google.com/maps/place/?q=place_id:ChIJ1ds0kBI-rjsRl0Imh42_3JQ</t>
        </is>
      </c>
    </row>
    <row r="388">
      <c r="A388" s="9" t="n">
        <v>384</v>
      </c>
      <c r="B388" s="9" t="inlineStr">
        <is>
          <t>Bengaluru</t>
        </is>
      </c>
      <c r="C388" s="9" t="inlineStr">
        <is>
          <t>Bengaluru</t>
        </is>
      </c>
      <c r="D388" s="9" t="inlineStr">
        <is>
          <t>Karnataka</t>
        </is>
      </c>
      <c r="E388" s="9" t="inlineStr">
        <is>
          <t>India</t>
        </is>
      </c>
      <c r="F388" s="9" t="n">
        <v>1</v>
      </c>
      <c r="G388" s="9" t="n">
        <v>1</v>
      </c>
      <c r="H388" s="9" t="n">
        <v>1</v>
      </c>
      <c r="I388" s="10" t="n">
        <v>44322</v>
      </c>
      <c r="J388" s="10" t="n">
        <v>44322</v>
      </c>
      <c r="K388" s="9" t="n">
        <v>12.94437</v>
      </c>
      <c r="L388" s="9" t="n">
        <v>77.57236</v>
      </c>
      <c r="M388" s="9" t="inlineStr">
        <is>
          <t>https://www.google.com/maps/place/?q=place_id:ChIJiemxufIVrjsRFze4a8eIaMM</t>
        </is>
      </c>
    </row>
    <row r="389">
      <c r="A389" s="9" t="n">
        <v>385</v>
      </c>
      <c r="B389" s="9" t="inlineStr">
        <is>
          <t>Bengaluru</t>
        </is>
      </c>
      <c r="C389" s="9" t="inlineStr">
        <is>
          <t>Bengaluru</t>
        </is>
      </c>
      <c r="D389" s="9" t="inlineStr">
        <is>
          <t>Karnataka</t>
        </is>
      </c>
      <c r="E389" s="9" t="inlineStr">
        <is>
          <t>India</t>
        </is>
      </c>
      <c r="F389" s="9" t="n">
        <v>1</v>
      </c>
      <c r="G389" s="9" t="n">
        <v>1</v>
      </c>
      <c r="H389" s="9" t="n">
        <v>1</v>
      </c>
      <c r="I389" s="10" t="n">
        <v>44324</v>
      </c>
      <c r="J389" s="10" t="n">
        <v>44324</v>
      </c>
      <c r="K389" s="9" t="n">
        <v>13.00566</v>
      </c>
      <c r="L389" s="9" t="n">
        <v>77.56932</v>
      </c>
      <c r="M389" s="9" t="inlineStr">
        <is>
          <t>https://www.google.com/maps/place/?q=place_id:ChIJ1znC6y4WrjsRnHG7-SQMSz8</t>
        </is>
      </c>
    </row>
    <row r="390">
      <c r="A390" s="9" t="n">
        <v>386</v>
      </c>
      <c r="B390" s="9" t="inlineStr">
        <is>
          <t>Bengaluru</t>
        </is>
      </c>
      <c r="C390" s="9" t="inlineStr">
        <is>
          <t>Bengaluru</t>
        </is>
      </c>
      <c r="D390" s="9" t="inlineStr">
        <is>
          <t>Karnataka</t>
        </is>
      </c>
      <c r="E390" s="9" t="inlineStr">
        <is>
          <t>India</t>
        </is>
      </c>
      <c r="F390" s="9" t="n">
        <v>1</v>
      </c>
      <c r="G390" s="9" t="n">
        <v>1</v>
      </c>
      <c r="H390" s="9" t="n">
        <v>1</v>
      </c>
      <c r="I390" s="10" t="n">
        <v>44325</v>
      </c>
      <c r="J390" s="10" t="n">
        <v>44325</v>
      </c>
      <c r="K390" s="9" t="n">
        <v>12.94507</v>
      </c>
      <c r="L390" s="9" t="n">
        <v>77.57134000000001</v>
      </c>
      <c r="M390" s="9" t="inlineStr">
        <is>
          <t>https://www.google.com/maps/place/?q=place_id:ChIJNdCK6PIVrjsR3I4feeftf-0</t>
        </is>
      </c>
    </row>
    <row r="391">
      <c r="A391" s="9" t="n">
        <v>387</v>
      </c>
      <c r="B391" s="9" t="inlineStr">
        <is>
          <t>Bengaluru</t>
        </is>
      </c>
      <c r="C391" s="9" t="inlineStr">
        <is>
          <t>Bengaluru</t>
        </is>
      </c>
      <c r="D391" s="9" t="inlineStr">
        <is>
          <t>Karnataka</t>
        </is>
      </c>
      <c r="E391" s="9" t="inlineStr">
        <is>
          <t>India</t>
        </is>
      </c>
      <c r="F391" s="9" t="n">
        <v>1</v>
      </c>
      <c r="G391" s="9" t="n">
        <v>1</v>
      </c>
      <c r="H391" s="9" t="n">
        <v>1</v>
      </c>
      <c r="I391" s="10" t="n">
        <v>44325</v>
      </c>
      <c r="J391" s="10" t="n">
        <v>44325</v>
      </c>
      <c r="K391" s="9" t="n">
        <v>12.90621</v>
      </c>
      <c r="L391" s="9" t="n">
        <v>77.54515000000001</v>
      </c>
      <c r="M391" s="9" t="inlineStr">
        <is>
          <t>https://www.google.com/maps/place/?q=place_id:ChIJwU4P2sU_rjsROMs7PpD9pgE</t>
        </is>
      </c>
    </row>
    <row r="392">
      <c r="A392" s="9" t="n">
        <v>388</v>
      </c>
      <c r="B392" s="9" t="inlineStr">
        <is>
          <t>Bengaluru</t>
        </is>
      </c>
      <c r="C392" s="9" t="inlineStr">
        <is>
          <t>Bengaluru</t>
        </is>
      </c>
      <c r="D392" s="9" t="inlineStr">
        <is>
          <t>Karnataka</t>
        </is>
      </c>
      <c r="E392" s="9" t="inlineStr">
        <is>
          <t>India</t>
        </is>
      </c>
      <c r="F392" s="9" t="n">
        <v>1</v>
      </c>
      <c r="G392" s="9" t="n">
        <v>1</v>
      </c>
      <c r="H392" s="9" t="n">
        <v>1</v>
      </c>
      <c r="I392" s="10" t="n">
        <v>44325</v>
      </c>
      <c r="J392" s="10" t="n">
        <v>44325</v>
      </c>
      <c r="K392" s="9" t="n">
        <v>12.90062</v>
      </c>
      <c r="L392" s="9" t="n">
        <v>77.55419000000001</v>
      </c>
      <c r="M392" s="9" t="inlineStr">
        <is>
          <t>https://www.google.com/maps/place/?q=place_id:ChIJR7ytjzw_rjsR0ORrioMZanc</t>
        </is>
      </c>
    </row>
    <row r="393">
      <c r="A393" s="9" t="n">
        <v>389</v>
      </c>
      <c r="B393" s="9" t="inlineStr">
        <is>
          <t>Bengaluru</t>
        </is>
      </c>
      <c r="C393" s="9" t="inlineStr">
        <is>
          <t>Bengaluru</t>
        </is>
      </c>
      <c r="D393" s="9" t="inlineStr">
        <is>
          <t>Karnataka</t>
        </is>
      </c>
      <c r="E393" s="9" t="inlineStr">
        <is>
          <t>India</t>
        </is>
      </c>
      <c r="F393" s="9" t="n">
        <v>1</v>
      </c>
      <c r="G393" s="9" t="n">
        <v>1</v>
      </c>
      <c r="H393" s="9" t="n">
        <v>1</v>
      </c>
      <c r="I393" s="10" t="n">
        <v>44327</v>
      </c>
      <c r="J393" s="10" t="n">
        <v>44327</v>
      </c>
      <c r="K393" s="9" t="n">
        <v>12.99427</v>
      </c>
      <c r="L393" s="9" t="n">
        <v>77.54445</v>
      </c>
      <c r="M393" s="9" t="inlineStr">
        <is>
          <t>https://www.google.com/maps/place/?q=place_id:ChIJ7y80tJY9rjsRur5MYbrfBZk</t>
        </is>
      </c>
    </row>
    <row r="394">
      <c r="A394" s="9" t="n">
        <v>390</v>
      </c>
      <c r="B394" s="9" t="inlineStr">
        <is>
          <t>Bengaluru</t>
        </is>
      </c>
      <c r="C394" s="9" t="inlineStr">
        <is>
          <t>Bengaluru</t>
        </is>
      </c>
      <c r="D394" s="9" t="inlineStr">
        <is>
          <t>Karnataka</t>
        </is>
      </c>
      <c r="E394" s="9" t="inlineStr">
        <is>
          <t>India</t>
        </is>
      </c>
      <c r="F394" s="9" t="n">
        <v>1</v>
      </c>
      <c r="G394" s="9" t="n">
        <v>1</v>
      </c>
      <c r="H394" s="9" t="n">
        <v>1</v>
      </c>
      <c r="I394" s="10" t="n">
        <v>44327</v>
      </c>
      <c r="J394" s="10" t="n">
        <v>44327</v>
      </c>
      <c r="K394" s="9" t="n">
        <v>13.00175</v>
      </c>
      <c r="L394" s="9" t="n">
        <v>77.57507</v>
      </c>
      <c r="M394" s="9" t="inlineStr">
        <is>
          <t>https://www.google.com/maps/place/?q=place_id:ChIJm0txQTAWrjsRmpDgGBYFAXI</t>
        </is>
      </c>
    </row>
    <row r="395">
      <c r="A395" s="9" t="n">
        <v>391</v>
      </c>
      <c r="B395" s="9" t="inlineStr">
        <is>
          <t>Bengaluru</t>
        </is>
      </c>
      <c r="C395" s="9" t="inlineStr">
        <is>
          <t>Bengaluru</t>
        </is>
      </c>
      <c r="D395" s="9" t="inlineStr">
        <is>
          <t>Karnataka</t>
        </is>
      </c>
      <c r="E395" s="9" t="inlineStr">
        <is>
          <t>India</t>
        </is>
      </c>
      <c r="F395" s="9" t="n">
        <v>1</v>
      </c>
      <c r="G395" s="9" t="n">
        <v>1</v>
      </c>
      <c r="H395" s="9" t="n">
        <v>1</v>
      </c>
      <c r="I395" s="10" t="n">
        <v>44327</v>
      </c>
      <c r="J395" s="10" t="n">
        <v>44327</v>
      </c>
      <c r="K395" s="9" t="n">
        <v>12.99419</v>
      </c>
      <c r="L395" s="9" t="n">
        <v>77.54433</v>
      </c>
      <c r="M395" s="9" t="inlineStr">
        <is>
          <t>https://www.google.com/maps/place/?q=place_id:ChIJC2m4uJM9rjsRGMF64q5EqeE</t>
        </is>
      </c>
    </row>
    <row r="396">
      <c r="A396" s="9" t="n">
        <v>392</v>
      </c>
      <c r="B396" s="9" t="inlineStr">
        <is>
          <t>Bengaluru</t>
        </is>
      </c>
      <c r="C396" s="9" t="inlineStr">
        <is>
          <t>Bengaluru</t>
        </is>
      </c>
      <c r="D396" s="9" t="inlineStr">
        <is>
          <t>Karnataka</t>
        </is>
      </c>
      <c r="E396" s="9" t="inlineStr">
        <is>
          <t>India</t>
        </is>
      </c>
      <c r="F396" s="9" t="n">
        <v>1</v>
      </c>
      <c r="G396" s="9" t="n">
        <v>1</v>
      </c>
      <c r="H396" s="9" t="n">
        <v>1</v>
      </c>
      <c r="I396" s="10" t="n">
        <v>44327</v>
      </c>
      <c r="J396" s="10" t="n">
        <v>44327</v>
      </c>
      <c r="K396" s="9" t="n">
        <v>12.89936</v>
      </c>
      <c r="L396" s="9" t="n">
        <v>77.56997</v>
      </c>
      <c r="M396" s="9" t="inlineStr">
        <is>
          <t>https://www.google.com/maps/place/?q=place_id:ChIJyQM3cmcVrjsRoSKenE4p78c</t>
        </is>
      </c>
    </row>
    <row r="397">
      <c r="A397" s="9" t="n">
        <v>393</v>
      </c>
      <c r="B397" s="9" t="inlineStr">
        <is>
          <t>Bengaluru</t>
        </is>
      </c>
      <c r="C397" s="9" t="inlineStr">
        <is>
          <t>Bengaluru</t>
        </is>
      </c>
      <c r="D397" s="9" t="inlineStr">
        <is>
          <t>Karnataka</t>
        </is>
      </c>
      <c r="E397" s="9" t="inlineStr">
        <is>
          <t>India</t>
        </is>
      </c>
      <c r="F397" s="9" t="n">
        <v>1</v>
      </c>
      <c r="G397" s="9" t="n">
        <v>1</v>
      </c>
      <c r="H397" s="9" t="n">
        <v>1</v>
      </c>
      <c r="I397" s="10" t="n">
        <v>44329</v>
      </c>
      <c r="J397" s="10" t="n">
        <v>44329</v>
      </c>
      <c r="K397" s="9" t="n">
        <v>12.9059</v>
      </c>
      <c r="L397" s="9" t="n">
        <v>77.62756</v>
      </c>
      <c r="M397" s="9" t="inlineStr">
        <is>
          <t>https://www.google.com/maps/place/?q=place_id:ChIJl628nOsUrjsRa2PxeF8_kAY</t>
        </is>
      </c>
    </row>
    <row r="398">
      <c r="A398" s="9" t="n">
        <v>394</v>
      </c>
      <c r="B398" s="9" t="inlineStr">
        <is>
          <t>Bengaluru</t>
        </is>
      </c>
      <c r="C398" s="9" t="inlineStr">
        <is>
          <t>Bengaluru</t>
        </is>
      </c>
      <c r="D398" s="9" t="inlineStr">
        <is>
          <t>Karnataka</t>
        </is>
      </c>
      <c r="E398" s="9" t="inlineStr">
        <is>
          <t>India</t>
        </is>
      </c>
      <c r="F398" s="9" t="n">
        <v>1</v>
      </c>
      <c r="G398" s="9" t="n">
        <v>1</v>
      </c>
      <c r="H398" s="9" t="n">
        <v>1</v>
      </c>
      <c r="I398" s="10" t="n">
        <v>44346</v>
      </c>
      <c r="J398" s="10" t="n">
        <v>44346</v>
      </c>
      <c r="K398" s="9" t="n">
        <v>12.90403</v>
      </c>
      <c r="L398" s="9" t="n">
        <v>77.54387</v>
      </c>
      <c r="M398" s="9" t="inlineStr">
        <is>
          <t>https://www.google.com/maps/place/?q=place_id:ChIJO8IyUcY_rjsRqxv_PM_5C8Y</t>
        </is>
      </c>
    </row>
    <row r="399">
      <c r="A399" s="9" t="n">
        <v>395</v>
      </c>
      <c r="B399" s="9" t="inlineStr">
        <is>
          <t>Bengaluru</t>
        </is>
      </c>
      <c r="C399" s="9" t="inlineStr">
        <is>
          <t>Bengaluru</t>
        </is>
      </c>
      <c r="D399" s="9" t="inlineStr">
        <is>
          <t>Karnataka</t>
        </is>
      </c>
      <c r="E399" s="9" t="inlineStr">
        <is>
          <t>India</t>
        </is>
      </c>
      <c r="F399" s="9" t="n">
        <v>1</v>
      </c>
      <c r="G399" s="9" t="n">
        <v>1</v>
      </c>
      <c r="H399" s="9" t="n">
        <v>1</v>
      </c>
      <c r="I399" s="10" t="n">
        <v>44399</v>
      </c>
      <c r="J399" s="10" t="n">
        <v>44399</v>
      </c>
      <c r="K399" s="9" t="n">
        <v>12.91919</v>
      </c>
      <c r="L399" s="9" t="n">
        <v>77.52403</v>
      </c>
      <c r="M399" s="9" t="inlineStr">
        <is>
          <t>https://www.google.com/maps/place/?q=place_id:ChIJcaUlqYo_rjsRnRUcT50DGkY</t>
        </is>
      </c>
    </row>
    <row r="400">
      <c r="A400" s="9" t="n">
        <v>396</v>
      </c>
      <c r="B400" s="9" t="inlineStr">
        <is>
          <t>Bengaluru</t>
        </is>
      </c>
      <c r="C400" s="9" t="inlineStr">
        <is>
          <t>Bengaluru</t>
        </is>
      </c>
      <c r="D400" s="9" t="inlineStr">
        <is>
          <t>Karnataka</t>
        </is>
      </c>
      <c r="E400" s="9" t="inlineStr">
        <is>
          <t>India</t>
        </is>
      </c>
      <c r="F400" s="9" t="n">
        <v>1</v>
      </c>
      <c r="G400" s="9" t="n">
        <v>1</v>
      </c>
      <c r="H400" s="9" t="n">
        <v>1</v>
      </c>
      <c r="I400" s="10" t="n">
        <v>44399</v>
      </c>
      <c r="J400" s="10" t="n">
        <v>44399</v>
      </c>
      <c r="K400" s="9" t="n">
        <v>12.91087</v>
      </c>
      <c r="L400" s="9" t="n">
        <v>77.52085</v>
      </c>
      <c r="M400" s="9" t="inlineStr">
        <is>
          <t>https://www.google.com/maps/place/?q=place_id:ChIJXQyEc_w_rjsRKyRAeLs5Eog</t>
        </is>
      </c>
    </row>
    <row r="401">
      <c r="A401" s="9" t="n">
        <v>397</v>
      </c>
      <c r="B401" s="9" t="inlineStr">
        <is>
          <t>Bengaluru</t>
        </is>
      </c>
      <c r="C401" s="9" t="inlineStr">
        <is>
          <t>Bengaluru</t>
        </is>
      </c>
      <c r="D401" s="9" t="inlineStr">
        <is>
          <t>Karnataka</t>
        </is>
      </c>
      <c r="E401" s="9" t="inlineStr">
        <is>
          <t>India</t>
        </is>
      </c>
      <c r="F401" s="9" t="n">
        <v>1</v>
      </c>
      <c r="G401" s="9" t="n">
        <v>1</v>
      </c>
      <c r="H401" s="9" t="n">
        <v>1</v>
      </c>
      <c r="I401" s="10" t="n">
        <v>44402</v>
      </c>
      <c r="J401" s="10" t="n">
        <v>44402</v>
      </c>
      <c r="K401" s="9" t="n">
        <v>12.89938</v>
      </c>
      <c r="L401" s="9" t="n">
        <v>77.57037</v>
      </c>
      <c r="M401" s="9" t="inlineStr">
        <is>
          <t>https://www.google.com/maps/place/?q=place_id:ChIJv_tzSysVrjsRarlgfbTlTCA</t>
        </is>
      </c>
    </row>
    <row r="402">
      <c r="A402" s="9" t="n">
        <v>398</v>
      </c>
      <c r="B402" s="9" t="inlineStr">
        <is>
          <t>Bengaluru</t>
        </is>
      </c>
      <c r="C402" s="9" t="inlineStr">
        <is>
          <t>Bengaluru</t>
        </is>
      </c>
      <c r="D402" s="9" t="inlineStr">
        <is>
          <t>Karnataka</t>
        </is>
      </c>
      <c r="E402" s="9" t="inlineStr">
        <is>
          <t>India</t>
        </is>
      </c>
      <c r="F402" s="9" t="n">
        <v>1</v>
      </c>
      <c r="G402" s="9" t="n">
        <v>1</v>
      </c>
      <c r="H402" s="9" t="n">
        <v>1</v>
      </c>
      <c r="I402" s="10" t="n">
        <v>44402</v>
      </c>
      <c r="J402" s="10" t="n">
        <v>44402</v>
      </c>
      <c r="K402" s="9" t="n">
        <v>12.94335</v>
      </c>
      <c r="L402" s="9" t="n">
        <v>77.57709</v>
      </c>
      <c r="M402" s="9" t="inlineStr">
        <is>
          <t>https://www.google.com/maps/place/?q=place_id:ChIJRZARMpMVrjsRC1kfyaG51Qg</t>
        </is>
      </c>
    </row>
    <row r="403">
      <c r="A403" s="9" t="n">
        <v>399</v>
      </c>
      <c r="B403" s="9" t="inlineStr">
        <is>
          <t>Bengaluru</t>
        </is>
      </c>
      <c r="C403" s="9" t="inlineStr">
        <is>
          <t>Bengaluru</t>
        </is>
      </c>
      <c r="D403" s="9" t="inlineStr">
        <is>
          <t>Karnataka</t>
        </is>
      </c>
      <c r="E403" s="9" t="inlineStr">
        <is>
          <t>India</t>
        </is>
      </c>
      <c r="F403" s="9" t="n">
        <v>1</v>
      </c>
      <c r="G403" s="9" t="n">
        <v>1</v>
      </c>
      <c r="H403" s="9" t="n">
        <v>1</v>
      </c>
      <c r="I403" s="10" t="n">
        <v>44407</v>
      </c>
      <c r="J403" s="10" t="n">
        <v>44407</v>
      </c>
      <c r="K403" s="9" t="n">
        <v>12.97739</v>
      </c>
      <c r="L403" s="9" t="n">
        <v>77.56961</v>
      </c>
      <c r="M403" s="9" t="inlineStr">
        <is>
          <t>https://www.google.com/maps/place/?q=place_id:ChIJa3XDMhsWrjsR5MP3GkqKDTA</t>
        </is>
      </c>
    </row>
    <row r="404">
      <c r="A404" s="9" t="n">
        <v>400</v>
      </c>
      <c r="B404" s="9" t="inlineStr">
        <is>
          <t>Bengaluru</t>
        </is>
      </c>
      <c r="C404" s="9" t="inlineStr">
        <is>
          <t>Bengaluru</t>
        </is>
      </c>
      <c r="D404" s="9" t="inlineStr">
        <is>
          <t>Karnataka</t>
        </is>
      </c>
      <c r="E404" s="9" t="inlineStr">
        <is>
          <t>India</t>
        </is>
      </c>
      <c r="F404" s="9" t="n">
        <v>1</v>
      </c>
      <c r="G404" s="9" t="n">
        <v>1</v>
      </c>
      <c r="H404" s="9" t="n">
        <v>1</v>
      </c>
      <c r="I404" s="10" t="n">
        <v>44675</v>
      </c>
      <c r="J404" s="10" t="n">
        <v>44675</v>
      </c>
      <c r="K404" s="9" t="n">
        <v>12.8983</v>
      </c>
      <c r="L404" s="9" t="n">
        <v>77.55849000000001</v>
      </c>
      <c r="M404" s="9" t="inlineStr">
        <is>
          <t>https://www.google.com/maps/place/?q=place_id:ChIJq_GXK94_rjsRyaGgk_XP0DA</t>
        </is>
      </c>
    </row>
    <row r="405">
      <c r="A405" s="9" t="n">
        <v>401</v>
      </c>
      <c r="B405" s="9" t="inlineStr">
        <is>
          <t>Devanhalli</t>
        </is>
      </c>
      <c r="C405" s="9" t="inlineStr">
        <is>
          <t>Bengaluru</t>
        </is>
      </c>
      <c r="D405" s="9" t="inlineStr">
        <is>
          <t>Karnataka</t>
        </is>
      </c>
      <c r="E405" s="9" t="inlineStr">
        <is>
          <t>India</t>
        </is>
      </c>
      <c r="F405" s="9" t="n">
        <v>1</v>
      </c>
      <c r="G405" s="9" t="n">
        <v>1</v>
      </c>
      <c r="H405" s="9" t="n">
        <v>1</v>
      </c>
      <c r="I405" s="10" t="n">
        <v>44753</v>
      </c>
      <c r="J405" s="10" t="n">
        <v>44753</v>
      </c>
      <c r="K405" s="9" t="n">
        <v>13.20989</v>
      </c>
      <c r="L405" s="9" t="n">
        <v>77.67043</v>
      </c>
      <c r="M405" s="9" t="inlineStr">
        <is>
          <t>https://www.google.com/maps/place/?q=place_id:ChIJvRVoZMYdrjsRNzxjRnf0P1o</t>
        </is>
      </c>
    </row>
    <row r="406">
      <c r="A406" s="9" t="n">
        <v>402</v>
      </c>
      <c r="B406" s="9" t="inlineStr">
        <is>
          <t>Anekal</t>
        </is>
      </c>
      <c r="C406" s="9" t="inlineStr">
        <is>
          <t>Bengaluru</t>
        </is>
      </c>
      <c r="D406" s="9" t="inlineStr">
        <is>
          <t>Karnataka</t>
        </is>
      </c>
      <c r="E406" s="9" t="inlineStr">
        <is>
          <t>India</t>
        </is>
      </c>
      <c r="F406" s="9" t="n">
        <v>1</v>
      </c>
      <c r="G406" s="9" t="n">
        <v>1</v>
      </c>
      <c r="H406" s="9" t="n">
        <v>1</v>
      </c>
      <c r="I406" s="10" t="n">
        <v>44915</v>
      </c>
      <c r="J406" s="10" t="n">
        <v>44915</v>
      </c>
      <c r="K406" s="9" t="n">
        <v>12.75776</v>
      </c>
      <c r="L406" s="9" t="n">
        <v>77.62661</v>
      </c>
      <c r="M406" s="9" t="inlineStr">
        <is>
          <t>https://www.google.com/maps/place/?q=place_id:ChIJCzUdkhZprjsRR8UOp7Bv1e4</t>
        </is>
      </c>
    </row>
    <row r="407">
      <c r="A407" s="9" t="n">
        <v>403</v>
      </c>
      <c r="B407" s="9" t="inlineStr">
        <is>
          <t>Bengaluru</t>
        </is>
      </c>
      <c r="C407" s="9" t="inlineStr">
        <is>
          <t>Bengaluru</t>
        </is>
      </c>
      <c r="D407" s="9" t="inlineStr">
        <is>
          <t>Karnataka</t>
        </is>
      </c>
      <c r="E407" s="9" t="inlineStr">
        <is>
          <t>India</t>
        </is>
      </c>
      <c r="F407" s="9" t="n">
        <v>1</v>
      </c>
      <c r="G407" s="9" t="n">
        <v>1</v>
      </c>
      <c r="H407" s="9" t="n">
        <v>1</v>
      </c>
      <c r="I407" s="10" t="n">
        <v>44923</v>
      </c>
      <c r="J407" s="10" t="n">
        <v>44923</v>
      </c>
      <c r="K407" s="9" t="n">
        <v>12.98021</v>
      </c>
      <c r="L407" s="9" t="n">
        <v>77.57549</v>
      </c>
      <c r="M407" s="9" t="inlineStr">
        <is>
          <t>https://www.google.com/maps/place/?q=place_id:ChIJY6TIWRAWrjsR7NtuDGWqhsA</t>
        </is>
      </c>
    </row>
    <row r="408">
      <c r="A408" s="9" t="n">
        <v>404</v>
      </c>
      <c r="B408" s="9" t="inlineStr">
        <is>
          <t>Yelahanka</t>
        </is>
      </c>
      <c r="C408" s="9" t="inlineStr">
        <is>
          <t>Bengaluru</t>
        </is>
      </c>
      <c r="D408" s="9" t="inlineStr">
        <is>
          <t>Karnataka</t>
        </is>
      </c>
      <c r="E408" s="9" t="inlineStr">
        <is>
          <t>India</t>
        </is>
      </c>
      <c r="F408" s="9" t="n">
        <v>1</v>
      </c>
      <c r="G408" s="9" t="n">
        <v>1</v>
      </c>
      <c r="H408" s="9" t="n">
        <v>1</v>
      </c>
      <c r="I408" s="10" t="n">
        <v>44923</v>
      </c>
      <c r="J408" s="10" t="n">
        <v>44923</v>
      </c>
      <c r="K408" s="9" t="n">
        <v>13.04902</v>
      </c>
      <c r="L408" s="9" t="n">
        <v>77.59356</v>
      </c>
      <c r="M408" s="9" t="inlineStr">
        <is>
          <t>https://www.google.com/maps/place/?q=place_id:ChIJvbUh-Y4XrjsREsDI5shBa0A</t>
        </is>
      </c>
    </row>
    <row r="409">
      <c r="A409" s="9" t="n">
        <v>405</v>
      </c>
      <c r="B409" s="9" t="inlineStr">
        <is>
          <t>Bengaluru</t>
        </is>
      </c>
      <c r="C409" s="9" t="inlineStr">
        <is>
          <t>Bengaluru</t>
        </is>
      </c>
      <c r="D409" s="9" t="inlineStr">
        <is>
          <t>Karnataka</t>
        </is>
      </c>
      <c r="E409" s="9" t="inlineStr">
        <is>
          <t>India</t>
        </is>
      </c>
      <c r="F409" s="9" t="n">
        <v>1</v>
      </c>
      <c r="G409" s="9" t="n">
        <v>2</v>
      </c>
      <c r="H409" s="9" t="n">
        <v>1</v>
      </c>
      <c r="I409" s="10" t="n">
        <v>45071</v>
      </c>
      <c r="J409" s="10" t="n">
        <v>45072</v>
      </c>
      <c r="K409" s="9" t="n">
        <v>13.01022</v>
      </c>
      <c r="L409" s="9" t="n">
        <v>77.55110000000001</v>
      </c>
      <c r="M409" s="9" t="inlineStr">
        <is>
          <t>https://www.google.com/maps/place/?q=place_id:ChIJFel_Bng9rjsRkk7A6AIZlyc</t>
        </is>
      </c>
    </row>
    <row r="410">
      <c r="A410" s="9" t="n">
        <v>406</v>
      </c>
      <c r="B410" s="9" t="inlineStr">
        <is>
          <t>Bengaluru</t>
        </is>
      </c>
      <c r="C410" s="9" t="inlineStr">
        <is>
          <t>Bengaluru</t>
        </is>
      </c>
      <c r="D410" s="9" t="inlineStr">
        <is>
          <t>Karnataka</t>
        </is>
      </c>
      <c r="E410" s="9" t="inlineStr">
        <is>
          <t>India</t>
        </is>
      </c>
      <c r="F410" s="9" t="n">
        <v>1</v>
      </c>
      <c r="G410" s="9" t="n">
        <v>1</v>
      </c>
      <c r="H410" s="9" t="n">
        <v>1</v>
      </c>
      <c r="I410" s="10" t="n">
        <v>45073</v>
      </c>
      <c r="J410" s="10" t="n">
        <v>45073</v>
      </c>
      <c r="K410" s="9" t="n">
        <v>12.91276</v>
      </c>
      <c r="L410" s="9" t="n">
        <v>77.48554</v>
      </c>
      <c r="M410" s="9" t="inlineStr">
        <is>
          <t>https://www.google.com/maps/place/?q=place_id:ChIJbx3s7iY_rjsROKWWA27EEi8</t>
        </is>
      </c>
    </row>
    <row r="411">
      <c r="A411" s="9" t="n">
        <v>407</v>
      </c>
      <c r="B411" s="9" t="inlineStr">
        <is>
          <t>Bengaluru</t>
        </is>
      </c>
      <c r="C411" s="9" t="inlineStr">
        <is>
          <t>Bengaluru</t>
        </is>
      </c>
      <c r="D411" s="9" t="inlineStr">
        <is>
          <t>Karnataka</t>
        </is>
      </c>
      <c r="E411" s="9" t="inlineStr">
        <is>
          <t>India</t>
        </is>
      </c>
      <c r="F411" s="9" t="n">
        <v>1</v>
      </c>
      <c r="G411" s="9" t="n">
        <v>1</v>
      </c>
      <c r="H411" s="9" t="n">
        <v>1</v>
      </c>
      <c r="I411" s="10" t="n">
        <v>45125</v>
      </c>
      <c r="J411" s="10" t="n">
        <v>45125</v>
      </c>
      <c r="K411" s="9" t="n">
        <v>13.0167</v>
      </c>
      <c r="L411" s="9" t="n">
        <v>77.58369999999999</v>
      </c>
      <c r="M411" s="9" t="inlineStr">
        <is>
          <t>https://www.google.com/maps/place/?q=place_id:ChIJdd_64W0XrjsR33WJ_XyRxHc</t>
        </is>
      </c>
    </row>
    <row r="412">
      <c r="A412" s="9" t="n">
        <v>408</v>
      </c>
      <c r="B412" s="9" t="inlineStr">
        <is>
          <t>Hoskote</t>
        </is>
      </c>
      <c r="C412" s="9" t="inlineStr">
        <is>
          <t>Bengaluru</t>
        </is>
      </c>
      <c r="D412" s="9" t="inlineStr">
        <is>
          <t>Karnataka</t>
        </is>
      </c>
      <c r="E412" s="9" t="inlineStr">
        <is>
          <t>India</t>
        </is>
      </c>
      <c r="F412" s="9" t="n">
        <v>1</v>
      </c>
      <c r="G412" s="9" t="n">
        <v>1</v>
      </c>
      <c r="H412" s="9" t="n">
        <v>1</v>
      </c>
      <c r="I412" s="10" t="n">
        <v>45127</v>
      </c>
      <c r="J412" s="10" t="n">
        <v>45127</v>
      </c>
      <c r="K412" s="9" t="n">
        <v>13.01259</v>
      </c>
      <c r="L412" s="9" t="n">
        <v>77.70126</v>
      </c>
      <c r="M412" s="9" t="inlineStr">
        <is>
          <t>https://www.google.com/maps/place/?q=place_id:ChIJIRBXxFERrjsRjyc2W1QHkZ8</t>
        </is>
      </c>
    </row>
    <row r="413">
      <c r="A413" s="9" t="n">
        <v>409</v>
      </c>
      <c r="B413" s="9" t="inlineStr">
        <is>
          <t>Bengaluru</t>
        </is>
      </c>
      <c r="C413" s="9" t="inlineStr">
        <is>
          <t>Bengaluru</t>
        </is>
      </c>
      <c r="D413" s="9" t="inlineStr">
        <is>
          <t>Karnataka</t>
        </is>
      </c>
      <c r="E413" s="9" t="inlineStr">
        <is>
          <t>India</t>
        </is>
      </c>
      <c r="F413" s="9" t="n">
        <v>1</v>
      </c>
      <c r="G413" s="9" t="n">
        <v>1</v>
      </c>
      <c r="H413" s="9" t="n">
        <v>1</v>
      </c>
      <c r="I413" s="10" t="n">
        <v>45127</v>
      </c>
      <c r="J413" s="10" t="n">
        <v>45127</v>
      </c>
      <c r="K413" s="9" t="n">
        <v>13.00898</v>
      </c>
      <c r="L413" s="9" t="n">
        <v>77.55146999999999</v>
      </c>
      <c r="M413" s="9" t="inlineStr">
        <is>
          <t>https://www.google.com/maps/place/?q=place_id:ChIJBw42C-09rjsR-uPekQiEUE4</t>
        </is>
      </c>
    </row>
    <row r="414">
      <c r="A414" s="9" t="n">
        <v>410</v>
      </c>
      <c r="B414" s="9" t="inlineStr">
        <is>
          <t>Bengaluru</t>
        </is>
      </c>
      <c r="C414" s="9" t="inlineStr">
        <is>
          <t>Bengaluru</t>
        </is>
      </c>
      <c r="D414" s="9" t="inlineStr">
        <is>
          <t>Karnataka</t>
        </is>
      </c>
      <c r="E414" s="9" t="inlineStr">
        <is>
          <t>India</t>
        </is>
      </c>
      <c r="F414" s="9" t="n">
        <v>1</v>
      </c>
      <c r="G414" s="9" t="n">
        <v>1</v>
      </c>
      <c r="H414" s="9" t="n">
        <v>1</v>
      </c>
      <c r="I414" s="10" t="n">
        <v>45128</v>
      </c>
      <c r="J414" s="10" t="n">
        <v>45128</v>
      </c>
      <c r="K414" s="9" t="n">
        <v>13.0076</v>
      </c>
      <c r="L414" s="9" t="n">
        <v>77.5609</v>
      </c>
      <c r="M414" s="9" t="inlineStr">
        <is>
          <t>https://www.google.com/maps/place/?q=place_id:ChIJwfsoiYA9rjsR_mKZO5iK2tY</t>
        </is>
      </c>
    </row>
    <row r="415">
      <c r="A415" s="9" t="n">
        <v>411</v>
      </c>
      <c r="B415" s="9" t="inlineStr">
        <is>
          <t>Bengaluru</t>
        </is>
      </c>
      <c r="C415" s="9" t="inlineStr">
        <is>
          <t>Bengaluru</t>
        </is>
      </c>
      <c r="D415" s="9" t="inlineStr">
        <is>
          <t>Karnataka</t>
        </is>
      </c>
      <c r="E415" s="9" t="inlineStr">
        <is>
          <t>India</t>
        </is>
      </c>
      <c r="F415" s="9" t="n">
        <v>1</v>
      </c>
      <c r="G415" s="9" t="n">
        <v>1</v>
      </c>
      <c r="H415" s="9" t="n">
        <v>1</v>
      </c>
      <c r="I415" s="10" t="n">
        <v>45293</v>
      </c>
      <c r="J415" s="10" t="n">
        <v>45293</v>
      </c>
      <c r="K415" s="9" t="n">
        <v>12.89786</v>
      </c>
      <c r="L415" s="9" t="n">
        <v>77.56314</v>
      </c>
      <c r="M415" s="9" t="inlineStr">
        <is>
          <t>https://www.google.com/maps/place/?q=place_id:ChIJeYRsAUQVrjsRmtzEp7c2VX0</t>
        </is>
      </c>
    </row>
    <row r="416">
      <c r="A416" s="9" t="n">
        <v>412</v>
      </c>
      <c r="B416" s="9" t="inlineStr">
        <is>
          <t>Bengaluru</t>
        </is>
      </c>
      <c r="C416" s="9" t="inlineStr">
        <is>
          <t>Bengaluru</t>
        </is>
      </c>
      <c r="D416" s="9" t="inlineStr">
        <is>
          <t>Karnataka</t>
        </is>
      </c>
      <c r="E416" s="9" t="inlineStr">
        <is>
          <t>India</t>
        </is>
      </c>
      <c r="F416" s="9" t="n">
        <v>1</v>
      </c>
      <c r="G416" s="9" t="n">
        <v>1</v>
      </c>
      <c r="H416" s="9" t="n">
        <v>1</v>
      </c>
      <c r="I416" s="10" t="n">
        <v>45297</v>
      </c>
      <c r="J416" s="10" t="n">
        <v>45297</v>
      </c>
      <c r="K416" s="9" t="n">
        <v>12.9391</v>
      </c>
      <c r="L416" s="9" t="n">
        <v>77.52331</v>
      </c>
      <c r="M416" s="9" t="inlineStr">
        <is>
          <t>https://www.google.com/maps/place/?q=place_id:ChIJ3WYKgl4-rjsR2E20iVvdtIQ</t>
        </is>
      </c>
    </row>
    <row r="417">
      <c r="A417" s="9" t="n">
        <v>413</v>
      </c>
      <c r="B417" s="9" t="inlineStr">
        <is>
          <t>Bengaluru</t>
        </is>
      </c>
      <c r="C417" s="9" t="inlineStr">
        <is>
          <t>Bengaluru</t>
        </is>
      </c>
      <c r="D417" s="9" t="inlineStr">
        <is>
          <t>Karnataka</t>
        </is>
      </c>
      <c r="E417" s="9" t="inlineStr">
        <is>
          <t>India</t>
        </is>
      </c>
      <c r="F417" s="9" t="n">
        <v>1</v>
      </c>
      <c r="G417" s="9" t="n">
        <v>1</v>
      </c>
      <c r="H417" s="9" t="n">
        <v>1</v>
      </c>
      <c r="I417" s="10" t="n">
        <v>45297</v>
      </c>
      <c r="J417" s="10" t="n">
        <v>45297</v>
      </c>
      <c r="K417" s="9" t="n">
        <v>12.85957</v>
      </c>
      <c r="L417" s="9" t="n">
        <v>77.43111</v>
      </c>
      <c r="M417" s="9" t="inlineStr">
        <is>
          <t>https://www.google.com/maps/place/?q=place_id:ChIJ3ygFDEVHrjsRnqKotTrwJ5k</t>
        </is>
      </c>
    </row>
    <row r="418">
      <c r="A418" s="9" t="n">
        <v>414</v>
      </c>
      <c r="B418" s="9" t="inlineStr">
        <is>
          <t>Bengaluru</t>
        </is>
      </c>
      <c r="C418" s="9" t="inlineStr">
        <is>
          <t>Bengaluru</t>
        </is>
      </c>
      <c r="D418" s="9" t="inlineStr">
        <is>
          <t>Karnataka</t>
        </is>
      </c>
      <c r="E418" s="9" t="inlineStr">
        <is>
          <t>India</t>
        </is>
      </c>
      <c r="F418" s="9" t="n">
        <v>1</v>
      </c>
      <c r="G418" s="9" t="n">
        <v>1</v>
      </c>
      <c r="H418" s="9" t="n">
        <v>1</v>
      </c>
      <c r="I418" s="10" t="n">
        <v>45299</v>
      </c>
      <c r="J418" s="10" t="n">
        <v>45299</v>
      </c>
      <c r="K418" s="9" t="n">
        <v>12.90785</v>
      </c>
      <c r="L418" s="9" t="n">
        <v>77.47635</v>
      </c>
      <c r="M418" s="9" t="inlineStr">
        <is>
          <t>https://www.google.com/maps/place/?q=place_id:ChIJ1U1wr3Y_rjsROkbeYesRWD0</t>
        </is>
      </c>
    </row>
    <row r="419">
      <c r="A419" s="9" t="n">
        <v>415</v>
      </c>
      <c r="B419" s="9" t="inlineStr">
        <is>
          <t>Bengaluru</t>
        </is>
      </c>
      <c r="C419" s="9" t="inlineStr">
        <is>
          <t>Bengaluru</t>
        </is>
      </c>
      <c r="D419" s="9" t="inlineStr">
        <is>
          <t>Karnataka</t>
        </is>
      </c>
      <c r="E419" s="9" t="inlineStr">
        <is>
          <t>India</t>
        </is>
      </c>
      <c r="F419" s="9" t="n">
        <v>1</v>
      </c>
      <c r="G419" s="9" t="n">
        <v>1</v>
      </c>
      <c r="H419" s="9" t="n">
        <v>1</v>
      </c>
      <c r="I419" s="10" t="n">
        <v>45413</v>
      </c>
      <c r="J419" s="10" t="n">
        <v>45413</v>
      </c>
      <c r="K419" s="9" t="n">
        <v>12.90756</v>
      </c>
      <c r="L419" s="9" t="n">
        <v>77.57306</v>
      </c>
      <c r="M419" s="9" t="inlineStr">
        <is>
          <t>https://www.google.com/maps/place/?q=place_id:ChIJCwCOfGUVrjsRkNcI9wbOo4Q</t>
        </is>
      </c>
    </row>
    <row r="420">
      <c r="A420" s="9" t="n">
        <v>416</v>
      </c>
      <c r="B420" s="9" t="inlineStr">
        <is>
          <t>Bengaluru</t>
        </is>
      </c>
      <c r="C420" s="9" t="inlineStr">
        <is>
          <t>Bengaluru</t>
        </is>
      </c>
      <c r="D420" s="9" t="inlineStr">
        <is>
          <t>Karnataka</t>
        </is>
      </c>
      <c r="E420" s="9" t="inlineStr">
        <is>
          <t>India</t>
        </is>
      </c>
      <c r="F420" s="9" t="n">
        <v>1</v>
      </c>
      <c r="G420" s="9" t="n">
        <v>1</v>
      </c>
      <c r="H420" s="9" t="n">
        <v>1</v>
      </c>
      <c r="I420" s="10" t="n">
        <v>45482</v>
      </c>
      <c r="J420" s="10" t="n">
        <v>45482</v>
      </c>
      <c r="K420" s="9" t="n">
        <v>13.01246</v>
      </c>
      <c r="L420" s="9" t="n">
        <v>77.55311</v>
      </c>
      <c r="M420" s="9" t="inlineStr">
        <is>
          <t>https://www.google.com/maps/place/?q=place_id:ChIJ9QgmPDg9rjsRA7oKIJcY6H0</t>
        </is>
      </c>
    </row>
    <row r="421">
      <c r="A421" s="9" t="n">
        <v>417</v>
      </c>
      <c r="B421" s="9" t="inlineStr">
        <is>
          <t>Hosur</t>
        </is>
      </c>
      <c r="C421" s="9" t="inlineStr">
        <is>
          <t>Bengaluru</t>
        </is>
      </c>
      <c r="D421" s="9" t="inlineStr">
        <is>
          <t>Karnataka</t>
        </is>
      </c>
      <c r="E421" s="9" t="inlineStr">
        <is>
          <t>India</t>
        </is>
      </c>
      <c r="F421" s="9" t="n">
        <v>1</v>
      </c>
      <c r="G421" s="9" t="n">
        <v>1</v>
      </c>
      <c r="H421" s="9" t="n">
        <v>1</v>
      </c>
      <c r="I421" s="10" t="n">
        <v>45483</v>
      </c>
      <c r="J421" s="10" t="n">
        <v>45483</v>
      </c>
      <c r="K421" s="9" t="n">
        <v>12.77484</v>
      </c>
      <c r="L421" s="9" t="n">
        <v>77.78129</v>
      </c>
      <c r="M421" s="9" t="inlineStr">
        <is>
          <t>https://www.google.com/maps/place/?q=place_id:ChIJRRmFYwBxrjsRj2KfbheV0Y4</t>
        </is>
      </c>
    </row>
    <row r="422">
      <c r="A422" s="9" t="n">
        <v>418</v>
      </c>
      <c r="B422" s="9" t="inlineStr">
        <is>
          <t>Bengaluru</t>
        </is>
      </c>
      <c r="C422" s="9" t="inlineStr">
        <is>
          <t>Bengaluru</t>
        </is>
      </c>
      <c r="D422" s="9" t="inlineStr">
        <is>
          <t>Karnataka</t>
        </is>
      </c>
      <c r="E422" s="9" t="inlineStr">
        <is>
          <t>India</t>
        </is>
      </c>
      <c r="F422" s="9" t="n">
        <v>1</v>
      </c>
      <c r="G422" s="9" t="n">
        <v>1</v>
      </c>
      <c r="H422" s="9" t="n">
        <v>1</v>
      </c>
      <c r="I422" s="10" t="n">
        <v>45607</v>
      </c>
      <c r="J422" s="10" t="n">
        <v>45607</v>
      </c>
      <c r="K422" s="9" t="n">
        <v>12.91424</v>
      </c>
      <c r="L422" s="9" t="n">
        <v>77.59672</v>
      </c>
      <c r="M422" s="9" t="inlineStr">
        <is>
          <t>https://www.google.com/maps/place/?q=place_id:ChIJF__ogAUVrjsRwYiilhm1Bnk</t>
        </is>
      </c>
    </row>
    <row r="423">
      <c r="A423" s="9" t="n">
        <v>419</v>
      </c>
      <c r="B423" s="9" t="inlineStr">
        <is>
          <t>Bengaluru</t>
        </is>
      </c>
      <c r="C423" s="9" t="inlineStr">
        <is>
          <t>Bengaluru</t>
        </is>
      </c>
      <c r="D423" s="9" t="inlineStr">
        <is>
          <t>Karnataka</t>
        </is>
      </c>
      <c r="E423" s="9" t="inlineStr">
        <is>
          <t>India</t>
        </is>
      </c>
      <c r="F423" s="9" t="n">
        <v>1</v>
      </c>
      <c r="G423" s="9" t="n">
        <v>1</v>
      </c>
      <c r="H423" s="9" t="n">
        <v>1</v>
      </c>
      <c r="I423" s="10" t="n">
        <v>45607</v>
      </c>
      <c r="J423" s="10" t="n">
        <v>45607</v>
      </c>
      <c r="K423" s="9" t="n">
        <v>12.89899</v>
      </c>
      <c r="L423" s="9" t="n">
        <v>77.5671</v>
      </c>
      <c r="M423" s="9" t="inlineStr">
        <is>
          <t>https://www.google.com/maps/place/?q=place_id:ChIJy_KoBh4VrjsRkCwWlRuo7QQ</t>
        </is>
      </c>
    </row>
    <row r="424">
      <c r="A424" s="9" t="n">
        <v>420</v>
      </c>
      <c r="B424" s="9" t="inlineStr">
        <is>
          <t>Bengaluru</t>
        </is>
      </c>
      <c r="C424" s="9" t="inlineStr">
        <is>
          <t>Bengaluru</t>
        </is>
      </c>
      <c r="D424" s="9" t="inlineStr">
        <is>
          <t>Karnataka</t>
        </is>
      </c>
      <c r="E424" s="9" t="inlineStr">
        <is>
          <t>India</t>
        </is>
      </c>
      <c r="F424" s="9" t="n">
        <v>1</v>
      </c>
      <c r="G424" s="9" t="n">
        <v>1</v>
      </c>
      <c r="H424" s="9" t="n">
        <v>1</v>
      </c>
      <c r="I424" s="10" t="n">
        <v>45902</v>
      </c>
      <c r="J424" s="10" t="n">
        <v>45902</v>
      </c>
      <c r="K424" s="9" t="n">
        <v>12.89852</v>
      </c>
      <c r="L424" s="9" t="n">
        <v>77.56735</v>
      </c>
      <c r="M424" s="9" t="inlineStr">
        <is>
          <t>https://www.google.com/maps/place/?q=place_id:ChIJg3CDHV0VrjsRHR20wVZY9_Q</t>
        </is>
      </c>
    </row>
    <row r="425">
      <c r="A425" s="9" t="n">
        <v>421</v>
      </c>
      <c r="B425" s="9" t="inlineStr">
        <is>
          <t>Bengaluru</t>
        </is>
      </c>
      <c r="C425" s="9" t="inlineStr">
        <is>
          <t>Bengaluru</t>
        </is>
      </c>
      <c r="D425" s="9" t="inlineStr">
        <is>
          <t>Karnataka</t>
        </is>
      </c>
      <c r="E425" s="9" t="inlineStr">
        <is>
          <t>India</t>
        </is>
      </c>
      <c r="F425" s="9" t="n">
        <v>1</v>
      </c>
      <c r="G425" s="9" t="n">
        <v>1</v>
      </c>
      <c r="H425" s="9" t="n">
        <v>1</v>
      </c>
      <c r="I425" s="10" t="n">
        <v>46172</v>
      </c>
      <c r="J425" s="10" t="n">
        <v>46172</v>
      </c>
      <c r="K425" s="9" t="n">
        <v>13.00136</v>
      </c>
      <c r="L425" s="9" t="n">
        <v>77.61821999999999</v>
      </c>
      <c r="M425" s="9" t="inlineStr">
        <is>
          <t>https://www.google.com/maps/place/?q=place_id:ChIJ68tucvAWrjsRd0-3D4Ysygc</t>
        </is>
      </c>
    </row>
    <row r="426">
      <c r="A426" s="9" t="n">
        <v>422</v>
      </c>
      <c r="B426" s="9" t="inlineStr">
        <is>
          <t>Bengaluru</t>
        </is>
      </c>
      <c r="C426" s="9" t="inlineStr">
        <is>
          <t>Bengaluru</t>
        </is>
      </c>
      <c r="D426" s="9" t="inlineStr">
        <is>
          <t>Karnataka</t>
        </is>
      </c>
      <c r="E426" s="9" t="inlineStr">
        <is>
          <t>India</t>
        </is>
      </c>
      <c r="F426" s="9" t="n">
        <v>1</v>
      </c>
      <c r="G426" s="9" t="n">
        <v>1</v>
      </c>
      <c r="H426" s="9" t="n">
        <v>1</v>
      </c>
      <c r="I426" s="10" t="n">
        <v>46212</v>
      </c>
      <c r="J426" s="10" t="n">
        <v>46212</v>
      </c>
      <c r="K426" s="9" t="n">
        <v>12.88891</v>
      </c>
      <c r="L426" s="9" t="n">
        <v>77.56278</v>
      </c>
      <c r="M426" s="9" t="inlineStr">
        <is>
          <t>https://www.google.com/maps/place/?q=place_id:ChIJG1zkZFgVrjsRVMu8W6Vku88</t>
        </is>
      </c>
    </row>
    <row r="427">
      <c r="A427" s="9" t="n">
        <v>423</v>
      </c>
      <c r="B427" s="9" t="inlineStr">
        <is>
          <t>Bengaluru</t>
        </is>
      </c>
      <c r="C427" s="9" t="inlineStr">
        <is>
          <t>Bengaluru</t>
        </is>
      </c>
      <c r="D427" s="9" t="inlineStr">
        <is>
          <t>Karnataka</t>
        </is>
      </c>
      <c r="E427" s="9" t="inlineStr">
        <is>
          <t>India</t>
        </is>
      </c>
      <c r="F427" s="9" t="n">
        <v>1</v>
      </c>
      <c r="G427" s="9" t="n">
        <v>1</v>
      </c>
      <c r="H427" s="9" t="n">
        <v>1</v>
      </c>
      <c r="I427" s="10" t="n">
        <v>46212</v>
      </c>
      <c r="J427" s="10" t="n">
        <v>46212</v>
      </c>
      <c r="K427" s="9" t="n">
        <v>12.90483</v>
      </c>
      <c r="L427" s="9" t="n">
        <v>77.48976</v>
      </c>
      <c r="M427" s="9" t="inlineStr">
        <is>
          <t>https://www.google.com/maps/place/?q=place_id:ChIJv29I2jw_rjsRFfriyNzbQ8Y</t>
        </is>
      </c>
    </row>
    <row r="428">
      <c r="A428" s="9" t="n">
        <v>424</v>
      </c>
      <c r="B428" s="9" t="inlineStr">
        <is>
          <t>Nelamangala</t>
        </is>
      </c>
      <c r="C428" s="9" t="inlineStr">
        <is>
          <t>Bengaluru</t>
        </is>
      </c>
      <c r="D428" s="9" t="inlineStr">
        <is>
          <t>Karnataka</t>
        </is>
      </c>
      <c r="E428" s="9" t="inlineStr">
        <is>
          <t>India</t>
        </is>
      </c>
      <c r="F428" s="9" t="n">
        <v>1</v>
      </c>
      <c r="G428" s="9" t="n">
        <v>1</v>
      </c>
      <c r="H428" s="9" t="n">
        <v>1</v>
      </c>
      <c r="I428" s="10" t="n">
        <v>46299</v>
      </c>
      <c r="J428" s="10" t="n">
        <v>46299</v>
      </c>
      <c r="K428" s="9" t="n">
        <v>13.06808</v>
      </c>
      <c r="L428" s="9" t="n">
        <v>77.36066</v>
      </c>
      <c r="M428" s="9" t="inlineStr">
        <is>
          <t>https://www.google.com/maps/place/?q=place_id:ChIJRdCvVusvrjsRXHOBKWqLvHU</t>
        </is>
      </c>
    </row>
    <row r="429">
      <c r="A429" s="9" t="n">
        <v>425</v>
      </c>
      <c r="B429" s="9" t="inlineStr">
        <is>
          <t>Bengaluru</t>
        </is>
      </c>
      <c r="C429" s="9" t="inlineStr">
        <is>
          <t>Bengaluru</t>
        </is>
      </c>
      <c r="D429" s="9" t="inlineStr">
        <is>
          <t>Karnataka</t>
        </is>
      </c>
      <c r="E429" s="9" t="inlineStr">
        <is>
          <t>India</t>
        </is>
      </c>
      <c r="F429" s="9" t="n">
        <v>1</v>
      </c>
      <c r="G429" s="9" t="n">
        <v>1</v>
      </c>
      <c r="H429" s="9" t="n">
        <v>1</v>
      </c>
      <c r="I429" s="10" t="n">
        <v>46304</v>
      </c>
      <c r="J429" s="10" t="n">
        <v>46304</v>
      </c>
      <c r="K429" s="9" t="n">
        <v>12.89069</v>
      </c>
      <c r="L429" s="9" t="n">
        <v>77.56345</v>
      </c>
      <c r="M429" s="9" t="inlineStr">
        <is>
          <t>https://www.google.com/maps/place/?q=place_id:ChIJuTSmSQQVrjsRYYsmzCbTBp4</t>
        </is>
      </c>
    </row>
    <row r="430">
      <c r="A430" s="9" t="n">
        <v>426</v>
      </c>
      <c r="B430" s="9" t="inlineStr">
        <is>
          <t>Bengaluru</t>
        </is>
      </c>
      <c r="C430" s="9" t="inlineStr">
        <is>
          <t>Bengaluru</t>
        </is>
      </c>
      <c r="D430" s="9" t="inlineStr">
        <is>
          <t>Karnataka</t>
        </is>
      </c>
      <c r="E430" s="9" t="inlineStr">
        <is>
          <t>India</t>
        </is>
      </c>
      <c r="F430" s="9" t="n">
        <v>1</v>
      </c>
      <c r="G430" s="9" t="n">
        <v>1</v>
      </c>
      <c r="H430" s="9" t="n">
        <v>1</v>
      </c>
      <c r="I430" s="10" t="n">
        <v>46305</v>
      </c>
      <c r="J430" s="10" t="n">
        <v>46305</v>
      </c>
      <c r="K430" s="9" t="n">
        <v>12.90908</v>
      </c>
      <c r="L430" s="9" t="n">
        <v>77.5346</v>
      </c>
      <c r="M430" s="9" t="inlineStr">
        <is>
          <t>https://www.google.com/maps/place/?q=place_id:ChIJERBTRdk_rjsRvHMGZvuqQkQ</t>
        </is>
      </c>
    </row>
    <row r="431">
      <c r="A431" s="9" t="n">
        <v>427</v>
      </c>
      <c r="B431" s="9" t="inlineStr">
        <is>
          <t>Byndoor</t>
        </is>
      </c>
      <c r="C431" s="9" t="inlineStr">
        <is>
          <t>Byndoor</t>
        </is>
      </c>
      <c r="D431" s="9" t="inlineStr">
        <is>
          <t>Karnataka</t>
        </is>
      </c>
      <c r="E431" s="9" t="inlineStr">
        <is>
          <t>India</t>
        </is>
      </c>
      <c r="F431" s="9" t="n">
        <v>1</v>
      </c>
      <c r="G431" s="9" t="n">
        <v>1</v>
      </c>
      <c r="H431" s="9" t="n">
        <v>1</v>
      </c>
      <c r="I431" s="10" t="n">
        <v>42812</v>
      </c>
      <c r="J431" s="10" t="n">
        <v>42812</v>
      </c>
      <c r="K431" s="9" t="n">
        <v>13.8264</v>
      </c>
      <c r="L431" s="9" t="n">
        <v>74.63363</v>
      </c>
      <c r="M431" s="9" t="inlineStr">
        <is>
          <t>https://www.google.com/maps/place/?q=place_id:ChIJqdD_fE5gvDsRzlwdQqSMpV0</t>
        </is>
      </c>
    </row>
    <row r="432">
      <c r="A432" s="9" t="n">
        <v>428</v>
      </c>
      <c r="B432" s="9" t="inlineStr">
        <is>
          <t>Byndoor</t>
        </is>
      </c>
      <c r="C432" s="9" t="inlineStr">
        <is>
          <t>Byndoor</t>
        </is>
      </c>
      <c r="D432" s="9" t="inlineStr">
        <is>
          <t>Karnataka</t>
        </is>
      </c>
      <c r="E432" s="9" t="inlineStr">
        <is>
          <t>India</t>
        </is>
      </c>
      <c r="F432" s="9" t="n">
        <v>1</v>
      </c>
      <c r="G432" s="9" t="n">
        <v>1</v>
      </c>
      <c r="H432" s="9" t="n">
        <v>1</v>
      </c>
      <c r="I432" s="10" t="n">
        <v>46300</v>
      </c>
      <c r="J432" s="10" t="n">
        <v>46300</v>
      </c>
      <c r="K432" s="9" t="n">
        <v>13.8637</v>
      </c>
      <c r="L432" s="9" t="n">
        <v>74.81448</v>
      </c>
      <c r="M432" s="9" t="inlineStr">
        <is>
          <t>https://www.google.com/maps/place/?q=place_id:ChIJrSdugOZ8vDsRYy1blVmssbU</t>
        </is>
      </c>
    </row>
    <row r="433">
      <c r="A433" s="9" t="n">
        <v>429</v>
      </c>
      <c r="B433" s="9" t="inlineStr">
        <is>
          <t>Channapatna</t>
        </is>
      </c>
      <c r="C433" s="9" t="inlineStr">
        <is>
          <t>Channapatna</t>
        </is>
      </c>
      <c r="D433" s="9" t="inlineStr">
        <is>
          <t>Karnataka</t>
        </is>
      </c>
      <c r="E433" s="9" t="inlineStr">
        <is>
          <t>India</t>
        </is>
      </c>
      <c r="F433" s="9" t="n">
        <v>2</v>
      </c>
      <c r="G433" s="9" t="n">
        <v>2</v>
      </c>
      <c r="H433" s="9" t="n">
        <v>2</v>
      </c>
      <c r="I433" s="10" t="n">
        <v>42907</v>
      </c>
      <c r="J433" s="10" t="n">
        <v>45297</v>
      </c>
      <c r="K433" s="9" t="n">
        <v>12.64716</v>
      </c>
      <c r="L433" s="9" t="n">
        <v>77.17963</v>
      </c>
      <c r="M433" s="9" t="inlineStr">
        <is>
          <t>https://www.google.com/maps/place/?q=place_id:ChIJwf73QTytrzsR9bbM71v4k6w</t>
        </is>
      </c>
    </row>
    <row r="434">
      <c r="A434" s="9" t="n">
        <v>430</v>
      </c>
      <c r="B434" s="9" t="inlineStr">
        <is>
          <t>Channapatna</t>
        </is>
      </c>
      <c r="C434" s="9" t="inlineStr">
        <is>
          <t>Channapatna</t>
        </is>
      </c>
      <c r="D434" s="9" t="inlineStr">
        <is>
          <t>Karnataka</t>
        </is>
      </c>
      <c r="E434" s="9" t="inlineStr">
        <is>
          <t>India</t>
        </is>
      </c>
      <c r="F434" s="9" t="n">
        <v>1</v>
      </c>
      <c r="G434" s="9" t="n">
        <v>1</v>
      </c>
      <c r="H434" s="9" t="n">
        <v>1</v>
      </c>
      <c r="I434" s="10" t="n">
        <v>42907</v>
      </c>
      <c r="J434" s="10" t="n">
        <v>42907</v>
      </c>
      <c r="K434" s="9" t="n">
        <v>12.68733</v>
      </c>
      <c r="L434" s="9" t="n">
        <v>77.23462000000001</v>
      </c>
      <c r="M434" s="9" t="inlineStr">
        <is>
          <t>https://www.google.com/maps/place/?q=place_id:ChIJSRYH1XtNrjsR790anhJnPW8</t>
        </is>
      </c>
    </row>
    <row r="435">
      <c r="A435" s="9" t="n">
        <v>431</v>
      </c>
      <c r="B435" s="9" t="inlineStr">
        <is>
          <t>Channapatna</t>
        </is>
      </c>
      <c r="C435" s="9" t="inlineStr">
        <is>
          <t>Channapatna</t>
        </is>
      </c>
      <c r="D435" s="9" t="inlineStr">
        <is>
          <t>Karnataka</t>
        </is>
      </c>
      <c r="E435" s="9" t="inlineStr">
        <is>
          <t>India</t>
        </is>
      </c>
      <c r="F435" s="9" t="n">
        <v>1</v>
      </c>
      <c r="G435" s="9" t="n">
        <v>1</v>
      </c>
      <c r="H435" s="9" t="n">
        <v>1</v>
      </c>
      <c r="I435" s="10" t="n">
        <v>45073</v>
      </c>
      <c r="J435" s="10" t="n">
        <v>45073</v>
      </c>
      <c r="K435" s="9" t="n">
        <v>12.63882</v>
      </c>
      <c r="L435" s="9" t="n">
        <v>77.14268</v>
      </c>
      <c r="M435" s="9" t="inlineStr">
        <is>
          <t>https://www.google.com/maps/place/?q=place_id:ChIJBQAAVbCtrzsR47k7qp8fyE4</t>
        </is>
      </c>
    </row>
    <row r="436">
      <c r="A436" s="9" t="n">
        <v>432</v>
      </c>
      <c r="B436" s="9" t="inlineStr">
        <is>
          <t>Channarayapatna</t>
        </is>
      </c>
      <c r="C436" s="9" t="inlineStr">
        <is>
          <t>Channarayapatna</t>
        </is>
      </c>
      <c r="D436" s="9" t="inlineStr">
        <is>
          <t>Karnataka</t>
        </is>
      </c>
      <c r="E436" s="9" t="inlineStr">
        <is>
          <t>India</t>
        </is>
      </c>
      <c r="F436" s="9" t="n">
        <v>1</v>
      </c>
      <c r="G436" s="9" t="n">
        <v>1</v>
      </c>
      <c r="H436" s="9" t="n">
        <v>1</v>
      </c>
      <c r="I436" s="10" t="n">
        <v>45073</v>
      </c>
      <c r="J436" s="10" t="n">
        <v>45073</v>
      </c>
      <c r="K436" s="9" t="n">
        <v>12.89887</v>
      </c>
      <c r="L436" s="9" t="n">
        <v>76.39152</v>
      </c>
      <c r="M436" s="9" t="inlineStr">
        <is>
          <t>https://www.google.com/maps/place/?q=place_id:ChIJkRIERWFfpTsRB0swGHPgkU8</t>
        </is>
      </c>
    </row>
    <row r="437">
      <c r="A437" s="9" t="n">
        <v>433</v>
      </c>
      <c r="B437" s="9" t="inlineStr">
        <is>
          <t>Closepet</t>
        </is>
      </c>
      <c r="C437" s="9" t="inlineStr">
        <is>
          <t>Closepet</t>
        </is>
      </c>
      <c r="D437" s="9" t="inlineStr">
        <is>
          <t>Karnataka</t>
        </is>
      </c>
      <c r="E437" s="9" t="inlineStr">
        <is>
          <t>India</t>
        </is>
      </c>
      <c r="F437" s="9" t="n">
        <v>1</v>
      </c>
      <c r="G437" s="9" t="n">
        <v>1</v>
      </c>
      <c r="H437" s="9" t="n">
        <v>1</v>
      </c>
      <c r="I437" s="10" t="n">
        <v>44321</v>
      </c>
      <c r="J437" s="10" t="n">
        <v>44321</v>
      </c>
      <c r="K437" s="9" t="n">
        <v>12.74685</v>
      </c>
      <c r="L437" s="9" t="n">
        <v>77.31487</v>
      </c>
      <c r="M437" s="9" t="inlineStr">
        <is>
          <t>https://www.google.com/maps/place/?q=place_id:ChIJo4nT8-tOrjsRPrn-tKRLdU0</t>
        </is>
      </c>
    </row>
    <row r="438">
      <c r="A438" s="9" t="n">
        <v>434</v>
      </c>
      <c r="B438" s="9" t="inlineStr">
        <is>
          <t>Closepet</t>
        </is>
      </c>
      <c r="C438" s="9" t="inlineStr">
        <is>
          <t>Closepet</t>
        </is>
      </c>
      <c r="D438" s="9" t="inlineStr">
        <is>
          <t>Karnataka</t>
        </is>
      </c>
      <c r="E438" s="9" t="inlineStr">
        <is>
          <t>India</t>
        </is>
      </c>
      <c r="F438" s="9" t="n">
        <v>1</v>
      </c>
      <c r="G438" s="9" t="n">
        <v>1</v>
      </c>
      <c r="H438" s="9" t="n">
        <v>1</v>
      </c>
      <c r="I438" s="10" t="n">
        <v>44321</v>
      </c>
      <c r="J438" s="10" t="n">
        <v>44321</v>
      </c>
      <c r="K438" s="9" t="n">
        <v>12.73889</v>
      </c>
      <c r="L438" s="9" t="n">
        <v>77.30509000000001</v>
      </c>
      <c r="M438" s="9" t="inlineStr">
        <is>
          <t>https://www.google.com/maps/place/?q=place_id:ChIJgc6n-I1OrjsR4JLBEqLix3E</t>
        </is>
      </c>
    </row>
    <row r="439">
      <c r="A439" s="9" t="n">
        <v>435</v>
      </c>
      <c r="B439" s="9" t="inlineStr">
        <is>
          <t>Devanhalli</t>
        </is>
      </c>
      <c r="C439" s="9" t="inlineStr">
        <is>
          <t>Devanhalli</t>
        </is>
      </c>
      <c r="D439" s="9" t="inlineStr">
        <is>
          <t>Karnataka</t>
        </is>
      </c>
      <c r="E439" s="9" t="inlineStr">
        <is>
          <t>India</t>
        </is>
      </c>
      <c r="F439" s="9" t="n">
        <v>2</v>
      </c>
      <c r="G439" s="9" t="n">
        <v>2</v>
      </c>
      <c r="H439" s="9" t="n">
        <v>2</v>
      </c>
      <c r="I439" s="10" t="n">
        <v>44677</v>
      </c>
      <c r="J439" s="10" t="n">
        <v>45075</v>
      </c>
      <c r="K439" s="9" t="n">
        <v>13.22759</v>
      </c>
      <c r="L439" s="9" t="n">
        <v>77.68872</v>
      </c>
      <c r="M439" s="9" t="inlineStr">
        <is>
          <t>https://www.google.com/maps/place/?q=place_id:ChIJEw_RoJkdrjsRe3ZTtqcEDLs</t>
        </is>
      </c>
    </row>
    <row r="440">
      <c r="A440" s="9" t="n">
        <v>436</v>
      </c>
      <c r="B440" s="9" t="inlineStr">
        <is>
          <t>Gadag-Betageri</t>
        </is>
      </c>
      <c r="C440" s="9" t="inlineStr">
        <is>
          <t>Gadag-Betageri</t>
        </is>
      </c>
      <c r="D440" s="9" t="inlineStr">
        <is>
          <t>Karnataka</t>
        </is>
      </c>
      <c r="E440" s="9" t="inlineStr">
        <is>
          <t>India</t>
        </is>
      </c>
      <c r="F440" s="9" t="n">
        <v>1</v>
      </c>
      <c r="G440" s="9" t="n">
        <v>1</v>
      </c>
      <c r="H440" s="9" t="n">
        <v>1</v>
      </c>
      <c r="I440" s="10" t="n">
        <v>42771</v>
      </c>
      <c r="J440" s="10" t="n">
        <v>42771</v>
      </c>
      <c r="K440" s="9" t="n">
        <v>15.42301</v>
      </c>
      <c r="L440" s="9" t="n">
        <v>75.52846</v>
      </c>
      <c r="M440" s="9" t="inlineStr">
        <is>
          <t>https://www.google.com/maps/place/?q=place_id:ChIJn945yjT7uDsRO9bolK98Ml8</t>
        </is>
      </c>
    </row>
    <row r="441">
      <c r="A441" s="9" t="n">
        <v>437</v>
      </c>
      <c r="B441" s="9" t="inlineStr">
        <is>
          <t>Gangawati</t>
        </is>
      </c>
      <c r="C441" s="9" t="inlineStr">
        <is>
          <t>Gangawati</t>
        </is>
      </c>
      <c r="D441" s="9" t="inlineStr">
        <is>
          <t>Karnataka</t>
        </is>
      </c>
      <c r="E441" s="9" t="inlineStr">
        <is>
          <t>India</t>
        </is>
      </c>
      <c r="F441" s="9" t="n">
        <v>2</v>
      </c>
      <c r="G441" s="9" t="n">
        <v>2</v>
      </c>
      <c r="H441" s="9" t="n">
        <v>1</v>
      </c>
      <c r="I441" s="10" t="n">
        <v>42812</v>
      </c>
      <c r="J441" s="10" t="n">
        <v>42814</v>
      </c>
      <c r="K441" s="9" t="n">
        <v>15.44285</v>
      </c>
      <c r="L441" s="9" t="n">
        <v>76.50409000000001</v>
      </c>
      <c r="M441" s="9" t="inlineStr">
        <is>
          <t>https://www.google.com/maps/place/?q=place_id:ChIJO8ttPyeBtzsR3VqS_Qz_75Y</t>
        </is>
      </c>
    </row>
    <row r="442">
      <c r="A442" s="9" t="n">
        <v>438</v>
      </c>
      <c r="B442" s="9" t="inlineStr">
        <is>
          <t>Gangawati</t>
        </is>
      </c>
      <c r="C442" s="9" t="inlineStr">
        <is>
          <t>Gangawati</t>
        </is>
      </c>
      <c r="D442" s="9" t="inlineStr">
        <is>
          <t>Karnataka</t>
        </is>
      </c>
      <c r="E442" s="9" t="inlineStr">
        <is>
          <t>India</t>
        </is>
      </c>
      <c r="F442" s="9" t="n">
        <v>1</v>
      </c>
      <c r="G442" s="9" t="n">
        <v>1</v>
      </c>
      <c r="H442" s="9" t="n">
        <v>1</v>
      </c>
      <c r="I442" s="10" t="n">
        <v>42771</v>
      </c>
      <c r="J442" s="10" t="n">
        <v>42771</v>
      </c>
      <c r="K442" s="9" t="n">
        <v>15.42522</v>
      </c>
      <c r="L442" s="9" t="n">
        <v>76.53152</v>
      </c>
      <c r="M442" s="9" t="inlineStr">
        <is>
          <t>https://www.google.com/maps/place/?q=place_id:ChIJRxdJ9nGBtzsRX7_qlYBHkqs</t>
        </is>
      </c>
    </row>
    <row r="443">
      <c r="A443" s="9" t="n">
        <v>439</v>
      </c>
      <c r="B443" s="9" t="inlineStr">
        <is>
          <t>Gangolli</t>
        </is>
      </c>
      <c r="C443" s="9" t="inlineStr">
        <is>
          <t>Gangolli</t>
        </is>
      </c>
      <c r="D443" s="9" t="inlineStr">
        <is>
          <t>Karnataka</t>
        </is>
      </c>
      <c r="E443" s="9" t="inlineStr">
        <is>
          <t>India</t>
        </is>
      </c>
      <c r="F443" s="9" t="n">
        <v>1</v>
      </c>
      <c r="G443" s="9" t="n">
        <v>1</v>
      </c>
      <c r="H443" s="9" t="n">
        <v>1</v>
      </c>
      <c r="I443" s="10" t="n">
        <v>46300</v>
      </c>
      <c r="J443" s="10" t="n">
        <v>46300</v>
      </c>
      <c r="K443" s="9" t="n">
        <v>13.74294</v>
      </c>
      <c r="L443" s="9" t="n">
        <v>74.776</v>
      </c>
      <c r="M443" s="9" t="inlineStr">
        <is>
          <t>https://www.google.com/maps/place/?q=place_id:ChIJL5xUYVCJvDsRbQsFCxgzdO0</t>
        </is>
      </c>
    </row>
    <row r="444">
      <c r="A444" s="9" t="n">
        <v>440</v>
      </c>
      <c r="B444" s="9" t="inlineStr">
        <is>
          <t>Gokarna</t>
        </is>
      </c>
      <c r="C444" s="9" t="inlineStr">
        <is>
          <t>Gokarna</t>
        </is>
      </c>
      <c r="D444" s="9" t="inlineStr">
        <is>
          <t>Karnataka</t>
        </is>
      </c>
      <c r="E444" s="9" t="inlineStr">
        <is>
          <t>India</t>
        </is>
      </c>
      <c r="F444" s="9" t="n">
        <v>1</v>
      </c>
      <c r="G444" s="9" t="n">
        <v>1</v>
      </c>
      <c r="H444" s="9" t="n">
        <v>1</v>
      </c>
      <c r="I444" s="10" t="n">
        <v>46301</v>
      </c>
      <c r="J444" s="10" t="n">
        <v>46301</v>
      </c>
      <c r="K444" s="9" t="n">
        <v>14.54619</v>
      </c>
      <c r="L444" s="9" t="n">
        <v>74.31922</v>
      </c>
      <c r="M444" s="9" t="inlineStr">
        <is>
          <t>https://www.google.com/maps/place/?q=place_id:ChIJmasXvtODvjsRkdyU0jLx3vc</t>
        </is>
      </c>
    </row>
    <row r="445">
      <c r="A445" s="9" t="n">
        <v>441</v>
      </c>
      <c r="B445" s="9" t="inlineStr">
        <is>
          <t>Gokarna</t>
        </is>
      </c>
      <c r="C445" s="9" t="inlineStr">
        <is>
          <t>Gokarna</t>
        </is>
      </c>
      <c r="D445" s="9" t="inlineStr">
        <is>
          <t>Karnataka</t>
        </is>
      </c>
      <c r="E445" s="9" t="inlineStr">
        <is>
          <t>India</t>
        </is>
      </c>
      <c r="F445" s="9" t="n">
        <v>1</v>
      </c>
      <c r="G445" s="9" t="n">
        <v>1</v>
      </c>
      <c r="H445" s="9" t="n">
        <v>1</v>
      </c>
      <c r="I445" s="10" t="n">
        <v>46301</v>
      </c>
      <c r="J445" s="10" t="n">
        <v>46301</v>
      </c>
      <c r="K445" s="9" t="n">
        <v>14.54354</v>
      </c>
      <c r="L445" s="9" t="n">
        <v>74.31641999999999</v>
      </c>
      <c r="M445" s="9" t="inlineStr">
        <is>
          <t>https://www.google.com/maps/place/?q=place_id:ChIJI1ZTzSyCvjsR1uVkl2WIapQ</t>
        </is>
      </c>
    </row>
    <row r="446">
      <c r="A446" s="9" t="n">
        <v>442</v>
      </c>
      <c r="B446" s="9" t="inlineStr">
        <is>
          <t>Gokarna</t>
        </is>
      </c>
      <c r="C446" s="9" t="inlineStr">
        <is>
          <t>Gokarna</t>
        </is>
      </c>
      <c r="D446" s="9" t="inlineStr">
        <is>
          <t>Karnataka</t>
        </is>
      </c>
      <c r="E446" s="9" t="inlineStr">
        <is>
          <t>India</t>
        </is>
      </c>
      <c r="F446" s="9" t="n">
        <v>1</v>
      </c>
      <c r="G446" s="9" t="n">
        <v>1</v>
      </c>
      <c r="H446" s="9" t="n">
        <v>1</v>
      </c>
      <c r="I446" s="10" t="n">
        <v>46301</v>
      </c>
      <c r="J446" s="10" t="n">
        <v>46301</v>
      </c>
      <c r="K446" s="9" t="n">
        <v>14.5759</v>
      </c>
      <c r="L446" s="9" t="n">
        <v>74.3835</v>
      </c>
      <c r="M446" s="9" t="inlineStr">
        <is>
          <t>https://www.google.com/maps/place/?q=place_id:ChIJw33GFUKDvjsRFdxzfXpjTm0</t>
        </is>
      </c>
    </row>
    <row r="447">
      <c r="A447" s="9" t="n">
        <v>443</v>
      </c>
      <c r="B447" s="9" t="inlineStr">
        <is>
          <t>Hubli</t>
        </is>
      </c>
      <c r="C447" s="9" t="inlineStr">
        <is>
          <t>Hubli</t>
        </is>
      </c>
      <c r="D447" s="9" t="inlineStr">
        <is>
          <t>Karnataka</t>
        </is>
      </c>
      <c r="E447" s="9" t="inlineStr">
        <is>
          <t>India</t>
        </is>
      </c>
      <c r="F447" s="9" t="n">
        <v>2</v>
      </c>
      <c r="G447" s="9" t="n">
        <v>1</v>
      </c>
      <c r="H447" s="9" t="n">
        <v>1</v>
      </c>
      <c r="I447" s="10" t="n">
        <v>42770</v>
      </c>
      <c r="J447" s="10" t="n">
        <v>42770</v>
      </c>
      <c r="K447" s="9" t="n">
        <v>15.4047</v>
      </c>
      <c r="L447" s="9" t="n">
        <v>75.069</v>
      </c>
      <c r="M447" s="9" t="inlineStr">
        <is>
          <t>https://www.google.com/maps/place/?q=place_id:ChIJ1URoF3DNuDsR9VZ0vWSF0sg</t>
        </is>
      </c>
    </row>
    <row r="448">
      <c r="A448" s="9" t="n">
        <v>444</v>
      </c>
      <c r="B448" s="9" t="inlineStr">
        <is>
          <t>Hubli</t>
        </is>
      </c>
      <c r="C448" s="9" t="inlineStr">
        <is>
          <t>Hubli</t>
        </is>
      </c>
      <c r="D448" s="9" t="inlineStr">
        <is>
          <t>Karnataka</t>
        </is>
      </c>
      <c r="E448" s="9" t="inlineStr">
        <is>
          <t>India</t>
        </is>
      </c>
      <c r="F448" s="9" t="n">
        <v>2</v>
      </c>
      <c r="G448" s="9" t="n">
        <v>1</v>
      </c>
      <c r="H448" s="9" t="n">
        <v>1</v>
      </c>
      <c r="I448" s="10" t="n">
        <v>42770</v>
      </c>
      <c r="J448" s="10" t="n">
        <v>42770</v>
      </c>
      <c r="K448" s="9" t="n">
        <v>15.40468</v>
      </c>
      <c r="L448" s="9" t="n">
        <v>75.06949</v>
      </c>
      <c r="M448" s="9" t="inlineStr">
        <is>
          <t>https://www.google.com/maps/place/?q=place_id:ChIJLTihznvRuDsRZua3mP37C6Q</t>
        </is>
      </c>
    </row>
    <row r="449">
      <c r="A449" s="9" t="n">
        <v>445</v>
      </c>
      <c r="B449" s="9" t="inlineStr">
        <is>
          <t>Hubli</t>
        </is>
      </c>
      <c r="C449" s="9" t="inlineStr">
        <is>
          <t>Hubli</t>
        </is>
      </c>
      <c r="D449" s="9" t="inlineStr">
        <is>
          <t>Karnataka</t>
        </is>
      </c>
      <c r="E449" s="9" t="inlineStr">
        <is>
          <t>India</t>
        </is>
      </c>
      <c r="F449" s="9" t="n">
        <v>1</v>
      </c>
      <c r="G449" s="9" t="n">
        <v>1</v>
      </c>
      <c r="H449" s="9" t="n">
        <v>1</v>
      </c>
      <c r="I449" s="10" t="n">
        <v>42770</v>
      </c>
      <c r="J449" s="10" t="n">
        <v>42770</v>
      </c>
      <c r="K449" s="9" t="n">
        <v>15.40852</v>
      </c>
      <c r="L449" s="9" t="n">
        <v>75.06672</v>
      </c>
      <c r="M449" s="9" t="inlineStr">
        <is>
          <t>https://www.google.com/maps/place/?q=place_id:ChIJZ09NKn_RuDsRA8929u-vgLc</t>
        </is>
      </c>
    </row>
    <row r="450">
      <c r="A450" s="9" t="n">
        <v>446</v>
      </c>
      <c r="B450" s="9" t="inlineStr">
        <is>
          <t>Hubli</t>
        </is>
      </c>
      <c r="C450" s="9" t="inlineStr">
        <is>
          <t>Hubli</t>
        </is>
      </c>
      <c r="D450" s="9" t="inlineStr">
        <is>
          <t>Karnataka</t>
        </is>
      </c>
      <c r="E450" s="9" t="inlineStr">
        <is>
          <t>India</t>
        </is>
      </c>
      <c r="F450" s="9" t="n">
        <v>1</v>
      </c>
      <c r="G450" s="9" t="n">
        <v>1</v>
      </c>
      <c r="H450" s="9" t="n">
        <v>1</v>
      </c>
      <c r="I450" s="10" t="n">
        <v>42770</v>
      </c>
      <c r="J450" s="10" t="n">
        <v>42770</v>
      </c>
      <c r="K450" s="9" t="n">
        <v>15.44619</v>
      </c>
      <c r="L450" s="9" t="n">
        <v>75.00335</v>
      </c>
      <c r="M450" s="9" t="inlineStr">
        <is>
          <t>https://www.google.com/maps/place/?q=place_id:ChIJbzuXr4TSuDsR0wxvScktDrc</t>
        </is>
      </c>
    </row>
    <row r="451">
      <c r="A451" s="9" t="n">
        <v>447</v>
      </c>
      <c r="B451" s="9" t="inlineStr">
        <is>
          <t>Hubli</t>
        </is>
      </c>
      <c r="C451" s="9" t="inlineStr">
        <is>
          <t>Hubli</t>
        </is>
      </c>
      <c r="D451" s="9" t="inlineStr">
        <is>
          <t>Karnataka</t>
        </is>
      </c>
      <c r="E451" s="9" t="inlineStr">
        <is>
          <t>India</t>
        </is>
      </c>
      <c r="F451" s="9" t="n">
        <v>1</v>
      </c>
      <c r="G451" s="9" t="n">
        <v>1</v>
      </c>
      <c r="H451" s="9" t="n">
        <v>1</v>
      </c>
      <c r="I451" s="10" t="n">
        <v>42770</v>
      </c>
      <c r="J451" s="10" t="n">
        <v>42770</v>
      </c>
      <c r="K451" s="9" t="n">
        <v>15.40362</v>
      </c>
      <c r="L451" s="9" t="n">
        <v>75.06868</v>
      </c>
      <c r="M451" s="9" t="inlineStr">
        <is>
          <t>https://www.google.com/maps/place/?q=place_id:ChIJifTyvHvRuDsRLvB8Jv4XkqQ</t>
        </is>
      </c>
    </row>
    <row r="452">
      <c r="A452" s="9" t="n">
        <v>448</v>
      </c>
      <c r="B452" s="9" t="inlineStr">
        <is>
          <t>Hubli</t>
        </is>
      </c>
      <c r="C452" s="9" t="inlineStr">
        <is>
          <t>Hubli</t>
        </is>
      </c>
      <c r="D452" s="9" t="inlineStr">
        <is>
          <t>Karnataka</t>
        </is>
      </c>
      <c r="E452" s="9" t="inlineStr">
        <is>
          <t>India</t>
        </is>
      </c>
      <c r="F452" s="9" t="n">
        <v>1</v>
      </c>
      <c r="G452" s="9" t="n">
        <v>1</v>
      </c>
      <c r="H452" s="9" t="n">
        <v>1</v>
      </c>
      <c r="I452" s="10" t="n">
        <v>42770</v>
      </c>
      <c r="J452" s="10" t="n">
        <v>42770</v>
      </c>
      <c r="K452" s="9" t="n">
        <v>15.34317</v>
      </c>
      <c r="L452" s="9" t="n">
        <v>75.14294</v>
      </c>
      <c r="M452" s="9" t="inlineStr">
        <is>
          <t>https://www.google.com/maps/place/?q=place_id:ChIJb751HWbXuDsRyJv5YNlYNtI</t>
        </is>
      </c>
    </row>
    <row r="453">
      <c r="A453" s="9" t="n">
        <v>449</v>
      </c>
      <c r="B453" s="9" t="inlineStr">
        <is>
          <t>Hubli</t>
        </is>
      </c>
      <c r="C453" s="9" t="inlineStr">
        <is>
          <t>Hubli</t>
        </is>
      </c>
      <c r="D453" s="9" t="inlineStr">
        <is>
          <t>Karnataka</t>
        </is>
      </c>
      <c r="E453" s="9" t="inlineStr">
        <is>
          <t>India</t>
        </is>
      </c>
      <c r="F453" s="9" t="n">
        <v>1</v>
      </c>
      <c r="G453" s="9" t="n">
        <v>1</v>
      </c>
      <c r="H453" s="9" t="n">
        <v>1</v>
      </c>
      <c r="I453" s="10" t="n">
        <v>42770</v>
      </c>
      <c r="J453" s="10" t="n">
        <v>42770</v>
      </c>
      <c r="K453" s="9" t="n">
        <v>15.35021</v>
      </c>
      <c r="L453" s="9" t="n">
        <v>75.14552999999999</v>
      </c>
      <c r="M453" s="9" t="inlineStr">
        <is>
          <t>https://www.google.com/maps/place/?q=place_id:ChIJVa6eCF3XuDsRCfeHowepp6A</t>
        </is>
      </c>
    </row>
    <row r="454">
      <c r="A454" s="9" t="n">
        <v>450</v>
      </c>
      <c r="B454" s="9" t="inlineStr">
        <is>
          <t>Hubli</t>
        </is>
      </c>
      <c r="C454" s="9" t="inlineStr">
        <is>
          <t>Hubli</t>
        </is>
      </c>
      <c r="D454" s="9" t="inlineStr">
        <is>
          <t>Karnataka</t>
        </is>
      </c>
      <c r="E454" s="9" t="inlineStr">
        <is>
          <t>India</t>
        </is>
      </c>
      <c r="F454" s="9" t="n">
        <v>1</v>
      </c>
      <c r="G454" s="9" t="n">
        <v>1</v>
      </c>
      <c r="H454" s="9" t="n">
        <v>1</v>
      </c>
      <c r="I454" s="10" t="n">
        <v>42770</v>
      </c>
      <c r="J454" s="10" t="n">
        <v>42770</v>
      </c>
      <c r="K454" s="9" t="n">
        <v>15.34939</v>
      </c>
      <c r="L454" s="9" t="n">
        <v>75.13869</v>
      </c>
      <c r="M454" s="9" t="inlineStr">
        <is>
          <t>https://www.google.com/maps/place/?q=place_id:ChIJO9MoQULXuDsRCiAqETwwx7g</t>
        </is>
      </c>
    </row>
    <row r="455">
      <c r="A455" s="9" t="n">
        <v>451</v>
      </c>
      <c r="B455" s="9" t="inlineStr">
        <is>
          <t>Hubli</t>
        </is>
      </c>
      <c r="C455" s="9" t="inlineStr">
        <is>
          <t>Hubli</t>
        </is>
      </c>
      <c r="D455" s="9" t="inlineStr">
        <is>
          <t>Karnataka</t>
        </is>
      </c>
      <c r="E455" s="9" t="inlineStr">
        <is>
          <t>India</t>
        </is>
      </c>
      <c r="F455" s="9" t="n">
        <v>1</v>
      </c>
      <c r="G455" s="9" t="n">
        <v>1</v>
      </c>
      <c r="H455" s="9" t="n">
        <v>1</v>
      </c>
      <c r="I455" s="10" t="n">
        <v>42770</v>
      </c>
      <c r="J455" s="10" t="n">
        <v>42770</v>
      </c>
      <c r="K455" s="9" t="n">
        <v>15.35022</v>
      </c>
      <c r="L455" s="9" t="n">
        <v>75.13768</v>
      </c>
      <c r="M455" s="9" t="inlineStr">
        <is>
          <t>https://www.google.com/maps/place/?q=place_id:ChIJ-a_cLULXuDsR2gsJ3rAqwN4</t>
        </is>
      </c>
    </row>
    <row r="456">
      <c r="A456" s="9" t="n">
        <v>452</v>
      </c>
      <c r="B456" s="9" t="inlineStr">
        <is>
          <t>Hubli</t>
        </is>
      </c>
      <c r="C456" s="9" t="inlineStr">
        <is>
          <t>Hubli</t>
        </is>
      </c>
      <c r="D456" s="9" t="inlineStr">
        <is>
          <t>Karnataka</t>
        </is>
      </c>
      <c r="E456" s="9" t="inlineStr">
        <is>
          <t>India</t>
        </is>
      </c>
      <c r="F456" s="9" t="n">
        <v>1</v>
      </c>
      <c r="G456" s="9" t="n">
        <v>1</v>
      </c>
      <c r="H456" s="9" t="n">
        <v>1</v>
      </c>
      <c r="I456" s="10" t="n">
        <v>42770</v>
      </c>
      <c r="J456" s="10" t="n">
        <v>42770</v>
      </c>
      <c r="K456" s="9" t="n">
        <v>15.35109</v>
      </c>
      <c r="L456" s="9" t="n">
        <v>75.13292</v>
      </c>
      <c r="M456" s="9" t="inlineStr">
        <is>
          <t>https://www.google.com/maps/place/?q=place_id:ChIJ74sD7EDXuDsRYhvnStlUHR8</t>
        </is>
      </c>
    </row>
    <row r="457">
      <c r="A457" s="9" t="n">
        <v>453</v>
      </c>
      <c r="B457" s="9" t="inlineStr">
        <is>
          <t>Kalghatgi</t>
        </is>
      </c>
      <c r="C457" s="9" t="inlineStr">
        <is>
          <t>Hubli</t>
        </is>
      </c>
      <c r="D457" s="9" t="inlineStr">
        <is>
          <t>Karnataka</t>
        </is>
      </c>
      <c r="E457" s="9" t="inlineStr">
        <is>
          <t>India</t>
        </is>
      </c>
      <c r="F457" s="9" t="n">
        <v>1</v>
      </c>
      <c r="G457" s="9" t="n">
        <v>1</v>
      </c>
      <c r="H457" s="9" t="n">
        <v>1</v>
      </c>
      <c r="I457" s="10" t="n">
        <v>46301</v>
      </c>
      <c r="J457" s="10" t="n">
        <v>46301</v>
      </c>
      <c r="K457" s="9" t="n">
        <v>15.15844</v>
      </c>
      <c r="L457" s="9" t="n">
        <v>74.95784999999999</v>
      </c>
      <c r="M457" s="9" t="inlineStr">
        <is>
          <t>https://www.google.com/maps/place/?q=place_id:ChIJD0qlYbHTvjsRQFBMNqPWs9c</t>
        </is>
      </c>
    </row>
    <row r="458">
      <c r="A458" s="9" t="n">
        <v>454</v>
      </c>
      <c r="B458" s="9" t="inlineStr">
        <is>
          <t>Hubli</t>
        </is>
      </c>
      <c r="C458" s="9" t="inlineStr">
        <is>
          <t>Hubli</t>
        </is>
      </c>
      <c r="D458" s="9" t="inlineStr">
        <is>
          <t>Karnataka</t>
        </is>
      </c>
      <c r="E458" s="9" t="inlineStr">
        <is>
          <t>India</t>
        </is>
      </c>
      <c r="F458" s="9" t="n">
        <v>1</v>
      </c>
      <c r="G458" s="9" t="n">
        <v>1</v>
      </c>
      <c r="H458" s="9" t="n">
        <v>1</v>
      </c>
      <c r="I458" s="10" t="n">
        <v>46301</v>
      </c>
      <c r="J458" s="10" t="n">
        <v>46301</v>
      </c>
      <c r="K458" s="9" t="n">
        <v>15.35252</v>
      </c>
      <c r="L458" s="9" t="n">
        <v>75.13484</v>
      </c>
      <c r="M458" s="9" t="inlineStr">
        <is>
          <t>https://www.google.com/maps/place/?q=place_id:ChIJewMXqnjXuDsRJU9ppXcUEl8</t>
        </is>
      </c>
    </row>
    <row r="459">
      <c r="A459" s="9" t="n">
        <v>455</v>
      </c>
      <c r="B459" s="9" t="inlineStr">
        <is>
          <t>Kolar</t>
        </is>
      </c>
      <c r="C459" s="9" t="inlineStr">
        <is>
          <t>Kolar</t>
        </is>
      </c>
      <c r="D459" s="9" t="inlineStr">
        <is>
          <t>Karnataka</t>
        </is>
      </c>
      <c r="E459" s="9" t="inlineStr">
        <is>
          <t>India</t>
        </is>
      </c>
      <c r="F459" s="9" t="n">
        <v>1</v>
      </c>
      <c r="G459" s="9" t="n">
        <v>1</v>
      </c>
      <c r="H459" s="9" t="n">
        <v>1</v>
      </c>
      <c r="I459" s="10" t="n">
        <v>44402</v>
      </c>
      <c r="J459" s="10" t="n">
        <v>44402</v>
      </c>
      <c r="K459" s="9" t="n">
        <v>13.13907</v>
      </c>
      <c r="L459" s="9" t="n">
        <v>78.20910000000001</v>
      </c>
      <c r="M459" s="9" t="inlineStr">
        <is>
          <t>https://www.google.com/maps/place/?q=place_id:ChIJx-BGSdHzrTsRAYZnzcECOeE</t>
        </is>
      </c>
    </row>
    <row r="460">
      <c r="A460" s="9" t="n">
        <v>456</v>
      </c>
      <c r="B460" s="9" t="inlineStr">
        <is>
          <t>Krishnarajpet</t>
        </is>
      </c>
      <c r="C460" s="9" t="inlineStr">
        <is>
          <t>Krishnarajpet</t>
        </is>
      </c>
      <c r="D460" s="9" t="inlineStr">
        <is>
          <t>Karnataka</t>
        </is>
      </c>
      <c r="E460" s="9" t="inlineStr">
        <is>
          <t>India</t>
        </is>
      </c>
      <c r="F460" s="9" t="n">
        <v>2</v>
      </c>
      <c r="G460" s="9" t="n">
        <v>1</v>
      </c>
      <c r="H460" s="9" t="n">
        <v>1</v>
      </c>
      <c r="I460" s="10" t="n">
        <v>45299</v>
      </c>
      <c r="J460" s="10" t="n">
        <v>45299</v>
      </c>
      <c r="K460" s="9" t="n">
        <v>12.66021</v>
      </c>
      <c r="L460" s="9" t="n">
        <v>76.64765</v>
      </c>
      <c r="M460" s="9" t="inlineStr">
        <is>
          <t>https://www.google.com/maps/place/?q=place_id:ChIJlboIuwSQrzsR-41sTBASsXI</t>
        </is>
      </c>
    </row>
    <row r="461">
      <c r="A461" s="9" t="n">
        <v>457</v>
      </c>
      <c r="B461" s="9" t="inlineStr">
        <is>
          <t>Krishnarajpet</t>
        </is>
      </c>
      <c r="C461" s="9" t="inlineStr">
        <is>
          <t>Krishnarajpet</t>
        </is>
      </c>
      <c r="D461" s="9" t="inlineStr">
        <is>
          <t>Karnataka</t>
        </is>
      </c>
      <c r="E461" s="9" t="inlineStr">
        <is>
          <t>India</t>
        </is>
      </c>
      <c r="F461" s="9" t="n">
        <v>1</v>
      </c>
      <c r="G461" s="9" t="n">
        <v>1</v>
      </c>
      <c r="H461" s="9" t="n">
        <v>1</v>
      </c>
      <c r="I461" s="10" t="n">
        <v>45073</v>
      </c>
      <c r="J461" s="10" t="n">
        <v>45073</v>
      </c>
      <c r="K461" s="9" t="n">
        <v>12.65981</v>
      </c>
      <c r="L461" s="9" t="n">
        <v>76.64849</v>
      </c>
      <c r="M461" s="9" t="inlineStr">
        <is>
          <t>https://www.google.com/maps/place/?q=place_id:ChIJ28Pf-tKRrzsR5KLr9oWj_5w</t>
        </is>
      </c>
    </row>
    <row r="462">
      <c r="A462" s="9" t="n">
        <v>458</v>
      </c>
      <c r="B462" s="9" t="inlineStr">
        <is>
          <t>Krishnarajpet</t>
        </is>
      </c>
      <c r="C462" s="9" t="inlineStr">
        <is>
          <t>Krishnarajpet</t>
        </is>
      </c>
      <c r="D462" s="9" t="inlineStr">
        <is>
          <t>Karnataka</t>
        </is>
      </c>
      <c r="E462" s="9" t="inlineStr">
        <is>
          <t>India</t>
        </is>
      </c>
      <c r="F462" s="9" t="n">
        <v>1</v>
      </c>
      <c r="G462" s="9" t="n">
        <v>1</v>
      </c>
      <c r="H462" s="9" t="n">
        <v>1</v>
      </c>
      <c r="I462" s="10" t="n">
        <v>45073</v>
      </c>
      <c r="J462" s="10" t="n">
        <v>45073</v>
      </c>
      <c r="K462" s="9" t="n">
        <v>12.66491</v>
      </c>
      <c r="L462" s="9" t="n">
        <v>76.64973999999999</v>
      </c>
      <c r="M462" s="9" t="inlineStr">
        <is>
          <t>https://www.google.com/maps/place/?q=place_id:ChIJO-6ZshuQrzsRToupSwg6xV8</t>
        </is>
      </c>
    </row>
    <row r="463">
      <c r="A463" s="9" t="n">
        <v>459</v>
      </c>
      <c r="B463" s="9" t="inlineStr">
        <is>
          <t>Krishnarajpet</t>
        </is>
      </c>
      <c r="C463" s="9" t="inlineStr">
        <is>
          <t>Krishnarajpet</t>
        </is>
      </c>
      <c r="D463" s="9" t="inlineStr">
        <is>
          <t>Karnataka</t>
        </is>
      </c>
      <c r="E463" s="9" t="inlineStr">
        <is>
          <t>India</t>
        </is>
      </c>
      <c r="F463" s="9" t="n">
        <v>1</v>
      </c>
      <c r="G463" s="9" t="n">
        <v>1</v>
      </c>
      <c r="H463" s="9" t="n">
        <v>1</v>
      </c>
      <c r="I463" s="10" t="n">
        <v>45299</v>
      </c>
      <c r="J463" s="10" t="n">
        <v>45299</v>
      </c>
      <c r="K463" s="9" t="n">
        <v>12.66622</v>
      </c>
      <c r="L463" s="9" t="n">
        <v>76.65213</v>
      </c>
      <c r="M463" s="9" t="inlineStr">
        <is>
          <t>https://www.google.com/maps/place/?q=place_id:ChIJuy9oNgWQrzsRu9caKfga0HI</t>
        </is>
      </c>
    </row>
    <row r="464">
      <c r="A464" s="9" t="n">
        <v>460</v>
      </c>
      <c r="B464" s="9" t="inlineStr">
        <is>
          <t>Kumta</t>
        </is>
      </c>
      <c r="C464" s="9" t="inlineStr">
        <is>
          <t>Kumta</t>
        </is>
      </c>
      <c r="D464" s="9" t="inlineStr">
        <is>
          <t>Karnataka</t>
        </is>
      </c>
      <c r="E464" s="9" t="inlineStr">
        <is>
          <t>India</t>
        </is>
      </c>
      <c r="F464" s="9" t="n">
        <v>1</v>
      </c>
      <c r="G464" s="9" t="n">
        <v>1</v>
      </c>
      <c r="H464" s="9" t="n">
        <v>1</v>
      </c>
      <c r="I464" s="10" t="n">
        <v>46301</v>
      </c>
      <c r="J464" s="10" t="n">
        <v>46301</v>
      </c>
      <c r="K464" s="9" t="n">
        <v>14.43371</v>
      </c>
      <c r="L464" s="9" t="n">
        <v>74.4254</v>
      </c>
      <c r="M464" s="9" t="inlineStr">
        <is>
          <t>https://www.google.com/maps/place/?q=place_id:ChIJ2dUMshUmvDsR8xcnw_w3njQ</t>
        </is>
      </c>
    </row>
    <row r="465">
      <c r="A465" s="9" t="n">
        <v>461</v>
      </c>
      <c r="B465" s="9" t="inlineStr">
        <is>
          <t>Kundapura</t>
        </is>
      </c>
      <c r="C465" s="9" t="inlineStr">
        <is>
          <t>Kundapura</t>
        </is>
      </c>
      <c r="D465" s="9" t="inlineStr">
        <is>
          <t>Karnataka</t>
        </is>
      </c>
      <c r="E465" s="9" t="inlineStr">
        <is>
          <t>India</t>
        </is>
      </c>
      <c r="F465" s="9" t="n">
        <v>1</v>
      </c>
      <c r="G465" s="9" t="n">
        <v>1</v>
      </c>
      <c r="H465" s="9" t="n">
        <v>1</v>
      </c>
      <c r="I465" s="10" t="n">
        <v>46300</v>
      </c>
      <c r="J465" s="10" t="n">
        <v>46300</v>
      </c>
      <c r="K465" s="9" t="n">
        <v>13.49874</v>
      </c>
      <c r="L465" s="9" t="n">
        <v>74.7115</v>
      </c>
      <c r="M465" s="9" t="inlineStr">
        <is>
          <t>https://www.google.com/maps/place/?q=place_id:ChIJI3RuIu2WvDsRPDzP51yeSPE</t>
        </is>
      </c>
    </row>
    <row r="466">
      <c r="A466" s="9" t="n">
        <v>462</v>
      </c>
      <c r="B466" s="9" t="inlineStr">
        <is>
          <t>Maddur</t>
        </is>
      </c>
      <c r="C466" s="9" t="inlineStr">
        <is>
          <t>Maddur</t>
        </is>
      </c>
      <c r="D466" s="9" t="inlineStr">
        <is>
          <t>Karnataka</t>
        </is>
      </c>
      <c r="E466" s="9" t="inlineStr">
        <is>
          <t>India</t>
        </is>
      </c>
      <c r="F466" s="9" t="n">
        <v>1</v>
      </c>
      <c r="G466" s="9" t="n">
        <v>1</v>
      </c>
      <c r="H466" s="9" t="n">
        <v>1</v>
      </c>
      <c r="I466" s="10" t="n">
        <v>45297</v>
      </c>
      <c r="J466" s="10" t="n">
        <v>45297</v>
      </c>
      <c r="K466" s="9" t="n">
        <v>12.59027</v>
      </c>
      <c r="L466" s="9" t="n">
        <v>77.04776</v>
      </c>
      <c r="M466" s="9" t="inlineStr">
        <is>
          <t>https://www.google.com/maps/place/?q=place_id:ChIJZ_uanS-vrzsRlj6wzmxtg5M</t>
        </is>
      </c>
    </row>
    <row r="467">
      <c r="A467" s="9" t="n">
        <v>463</v>
      </c>
      <c r="B467" s="9" t="inlineStr">
        <is>
          <t>Malpe</t>
        </is>
      </c>
      <c r="C467" s="9" t="inlineStr">
        <is>
          <t>Malpe</t>
        </is>
      </c>
      <c r="D467" s="9" t="inlineStr">
        <is>
          <t>Karnataka</t>
        </is>
      </c>
      <c r="E467" s="9" t="inlineStr">
        <is>
          <t>India</t>
        </is>
      </c>
      <c r="F467" s="9" t="n">
        <v>2</v>
      </c>
      <c r="G467" s="9" t="n">
        <v>1</v>
      </c>
      <c r="H467" s="9" t="n">
        <v>1</v>
      </c>
      <c r="I467" s="10" t="n">
        <v>42812</v>
      </c>
      <c r="J467" s="10" t="n">
        <v>42812</v>
      </c>
      <c r="K467" s="9" t="n">
        <v>13.36061</v>
      </c>
      <c r="L467" s="9" t="n">
        <v>74.70338</v>
      </c>
      <c r="M467" s="9" t="inlineStr">
        <is>
          <t>https://www.google.com/maps/place/?q=place_id:ChIJzS3kGw68vDsR5_jtKyZ0kpk</t>
        </is>
      </c>
    </row>
    <row r="468">
      <c r="A468" s="9" t="n">
        <v>464</v>
      </c>
      <c r="B468" s="9" t="inlineStr">
        <is>
          <t>Malpe</t>
        </is>
      </c>
      <c r="C468" s="9" t="inlineStr">
        <is>
          <t>Malpe</t>
        </is>
      </c>
      <c r="D468" s="9" t="inlineStr">
        <is>
          <t>Karnataka</t>
        </is>
      </c>
      <c r="E468" s="9" t="inlineStr">
        <is>
          <t>India</t>
        </is>
      </c>
      <c r="F468" s="9" t="n">
        <v>2</v>
      </c>
      <c r="G468" s="9" t="n">
        <v>2</v>
      </c>
      <c r="H468" s="9" t="n">
        <v>2</v>
      </c>
      <c r="I468" s="10" t="n">
        <v>43148</v>
      </c>
      <c r="J468" s="10" t="n">
        <v>46301</v>
      </c>
      <c r="K468" s="9" t="n">
        <v>13.36137</v>
      </c>
      <c r="L468" s="9" t="n">
        <v>74.70301000000001</v>
      </c>
      <c r="M468" s="9" t="inlineStr">
        <is>
          <t>https://www.google.com/maps/place/?q=place_id:ChIJ-91w5xG8vDsR3P63oR3_GNU</t>
        </is>
      </c>
    </row>
    <row r="469">
      <c r="A469" s="9" t="n">
        <v>465</v>
      </c>
      <c r="B469" s="9" t="inlineStr">
        <is>
          <t>Malpe</t>
        </is>
      </c>
      <c r="C469" s="9" t="inlineStr">
        <is>
          <t>Malpe</t>
        </is>
      </c>
      <c r="D469" s="9" t="inlineStr">
        <is>
          <t>Karnataka</t>
        </is>
      </c>
      <c r="E469" s="9" t="inlineStr">
        <is>
          <t>India</t>
        </is>
      </c>
      <c r="F469" s="9" t="n">
        <v>1</v>
      </c>
      <c r="G469" s="9" t="n">
        <v>1</v>
      </c>
      <c r="H469" s="9" t="n">
        <v>1</v>
      </c>
      <c r="I469" s="10" t="n">
        <v>42812</v>
      </c>
      <c r="J469" s="10" t="n">
        <v>42812</v>
      </c>
      <c r="K469" s="9" t="n">
        <v>13.36044</v>
      </c>
      <c r="L469" s="9" t="n">
        <v>74.69772</v>
      </c>
      <c r="M469" s="9" t="inlineStr">
        <is>
          <t>https://www.google.com/maps/place/?q=place_id:ChIJ4T0duhq8vDsR-lBUoKzRx_I</t>
        </is>
      </c>
    </row>
    <row r="470">
      <c r="A470" s="9" t="n">
        <v>466</v>
      </c>
      <c r="B470" s="9" t="inlineStr">
        <is>
          <t>Malpe</t>
        </is>
      </c>
      <c r="C470" s="9" t="inlineStr">
        <is>
          <t>Malpe</t>
        </is>
      </c>
      <c r="D470" s="9" t="inlineStr">
        <is>
          <t>Karnataka</t>
        </is>
      </c>
      <c r="E470" s="9" t="inlineStr">
        <is>
          <t>India</t>
        </is>
      </c>
      <c r="F470" s="9" t="n">
        <v>1</v>
      </c>
      <c r="G470" s="9" t="n">
        <v>1</v>
      </c>
      <c r="H470" s="9" t="n">
        <v>1</v>
      </c>
      <c r="I470" s="10" t="n">
        <v>43148</v>
      </c>
      <c r="J470" s="10" t="n">
        <v>43148</v>
      </c>
      <c r="K470" s="9" t="n">
        <v>13.36028</v>
      </c>
      <c r="L470" s="9" t="n">
        <v>74.699</v>
      </c>
      <c r="M470" s="9" t="inlineStr">
        <is>
          <t>https://www.google.com/maps/place/?q=place_id:ChIJV0HIXsE9rjsRoBiKgaPKxlY</t>
        </is>
      </c>
    </row>
    <row r="471">
      <c r="A471" s="9" t="n">
        <v>467</v>
      </c>
      <c r="B471" s="9" t="inlineStr">
        <is>
          <t>Mandya</t>
        </is>
      </c>
      <c r="C471" s="9" t="inlineStr">
        <is>
          <t>Mandya</t>
        </is>
      </c>
      <c r="D471" s="9" t="inlineStr">
        <is>
          <t>Karnataka</t>
        </is>
      </c>
      <c r="E471" s="9" t="inlineStr">
        <is>
          <t>India</t>
        </is>
      </c>
      <c r="F471" s="9" t="n">
        <v>1</v>
      </c>
      <c r="G471" s="9" t="n">
        <v>1</v>
      </c>
      <c r="H471" s="9" t="n">
        <v>1</v>
      </c>
      <c r="I471" s="10" t="n">
        <v>44321</v>
      </c>
      <c r="J471" s="10" t="n">
        <v>44321</v>
      </c>
      <c r="K471" s="9" t="n">
        <v>12.54622</v>
      </c>
      <c r="L471" s="9" t="n">
        <v>76.93272</v>
      </c>
      <c r="M471" s="9" t="inlineStr">
        <is>
          <t>https://www.google.com/maps/place/?q=place_id:ChIJ50yZKsSmrzsRqpU3OYmrJxs</t>
        </is>
      </c>
    </row>
    <row r="472">
      <c r="A472" s="9" t="n">
        <v>468</v>
      </c>
      <c r="B472" s="9" t="inlineStr">
        <is>
          <t>Mangalore</t>
        </is>
      </c>
      <c r="C472" s="9" t="inlineStr">
        <is>
          <t>Mangalore</t>
        </is>
      </c>
      <c r="D472" s="9" t="inlineStr">
        <is>
          <t>Karnataka</t>
        </is>
      </c>
      <c r="E472" s="9" t="inlineStr">
        <is>
          <t>India</t>
        </is>
      </c>
      <c r="F472" s="9" t="n">
        <v>1</v>
      </c>
      <c r="G472" s="9" t="n">
        <v>1</v>
      </c>
      <c r="H472" s="9" t="n">
        <v>1</v>
      </c>
      <c r="I472" s="10" t="n">
        <v>46299</v>
      </c>
      <c r="J472" s="10" t="n">
        <v>46299</v>
      </c>
      <c r="K472" s="9" t="n">
        <v>12.87575</v>
      </c>
      <c r="L472" s="9" t="n">
        <v>74.84341999999999</v>
      </c>
      <c r="M472" s="9" t="inlineStr">
        <is>
          <t>https://www.google.com/maps/place/?q=place_id:ChIJGWZEYH1bozsRqVPQdGDHDLk</t>
        </is>
      </c>
    </row>
    <row r="473">
      <c r="A473" s="9" t="n">
        <v>469</v>
      </c>
      <c r="B473" s="9" t="inlineStr">
        <is>
          <t>Mangalore</t>
        </is>
      </c>
      <c r="C473" s="9" t="inlineStr">
        <is>
          <t>Mangalore</t>
        </is>
      </c>
      <c r="D473" s="9" t="inlineStr">
        <is>
          <t>Karnataka</t>
        </is>
      </c>
      <c r="E473" s="9" t="inlineStr">
        <is>
          <t>India</t>
        </is>
      </c>
      <c r="F473" s="9" t="n">
        <v>1</v>
      </c>
      <c r="G473" s="9" t="n">
        <v>1</v>
      </c>
      <c r="H473" s="9" t="n">
        <v>1</v>
      </c>
      <c r="I473" s="10" t="n">
        <v>46299</v>
      </c>
      <c r="J473" s="10" t="n">
        <v>46299</v>
      </c>
      <c r="K473" s="9" t="n">
        <v>12.87747</v>
      </c>
      <c r="L473" s="9" t="n">
        <v>74.8387</v>
      </c>
      <c r="M473" s="9" t="inlineStr">
        <is>
          <t>https://www.google.com/maps/place/?q=place_id:ChIJ1Yn29TdaozsR7ui1wgZrt9U</t>
        </is>
      </c>
    </row>
    <row r="474">
      <c r="A474" s="9" t="n">
        <v>470</v>
      </c>
      <c r="B474" s="9" t="inlineStr">
        <is>
          <t>Manipal</t>
        </is>
      </c>
      <c r="C474" s="9" t="inlineStr">
        <is>
          <t>Manipal</t>
        </is>
      </c>
      <c r="D474" s="9" t="inlineStr">
        <is>
          <t>Karnataka</t>
        </is>
      </c>
      <c r="E474" s="9" t="inlineStr">
        <is>
          <t>India</t>
        </is>
      </c>
      <c r="F474" s="9" t="n">
        <v>3</v>
      </c>
      <c r="G474" s="9" t="n">
        <v>3</v>
      </c>
      <c r="H474" s="9" t="n">
        <v>1</v>
      </c>
      <c r="I474" s="10" t="n">
        <v>46299</v>
      </c>
      <c r="J474" s="10" t="n">
        <v>46301</v>
      </c>
      <c r="K474" s="9" t="n">
        <v>13.34583</v>
      </c>
      <c r="L474" s="9" t="n">
        <v>74.78046999999999</v>
      </c>
      <c r="M474" s="9" t="inlineStr">
        <is>
          <t>https://www.google.com/maps/place/?q=place_id:ChIJOZTCQo-7vDsRmCgCYkcAXd0</t>
        </is>
      </c>
    </row>
    <row r="475">
      <c r="A475" s="9" t="n">
        <v>471</v>
      </c>
      <c r="B475" s="9" t="inlineStr">
        <is>
          <t>Mulbagal</t>
        </is>
      </c>
      <c r="C475" s="9" t="inlineStr">
        <is>
          <t>Mulbagal</t>
        </is>
      </c>
      <c r="D475" s="9" t="inlineStr">
        <is>
          <t>Karnataka</t>
        </is>
      </c>
      <c r="E475" s="9" t="inlineStr">
        <is>
          <t>India</t>
        </is>
      </c>
      <c r="F475" s="9" t="n">
        <v>1</v>
      </c>
      <c r="G475" s="9" t="n">
        <v>1</v>
      </c>
      <c r="H475" s="9" t="n">
        <v>1</v>
      </c>
      <c r="I475" s="10" t="n">
        <v>44402</v>
      </c>
      <c r="J475" s="10" t="n">
        <v>44402</v>
      </c>
      <c r="K475" s="9" t="n">
        <v>13.14859</v>
      </c>
      <c r="L475" s="9" t="n">
        <v>78.29047</v>
      </c>
      <c r="M475" s="9" t="inlineStr">
        <is>
          <t>https://www.google.com/maps/place/?q=place_id:ChIJV8yCKPTzrTsR1rMNrTGIj6s</t>
        </is>
      </c>
    </row>
    <row r="476">
      <c r="A476" s="9" t="n">
        <v>472</v>
      </c>
      <c r="B476" s="9" t="inlineStr">
        <is>
          <t>Murudeshwara</t>
        </is>
      </c>
      <c r="C476" s="9" t="inlineStr">
        <is>
          <t>Murudeshwara</t>
        </is>
      </c>
      <c r="D476" s="9" t="inlineStr">
        <is>
          <t>Karnataka</t>
        </is>
      </c>
      <c r="E476" s="9" t="inlineStr">
        <is>
          <t>India</t>
        </is>
      </c>
      <c r="F476" s="9" t="n">
        <v>1</v>
      </c>
      <c r="G476" s="9" t="n">
        <v>1</v>
      </c>
      <c r="H476" s="9" t="n">
        <v>1</v>
      </c>
      <c r="I476" s="10" t="n">
        <v>46301</v>
      </c>
      <c r="J476" s="10" t="n">
        <v>46301</v>
      </c>
      <c r="K476" s="9" t="n">
        <v>14.09371</v>
      </c>
      <c r="L476" s="9" t="n">
        <v>74.48477</v>
      </c>
      <c r="M476" s="9" t="inlineStr">
        <is>
          <t>https://www.google.com/maps/place/?q=place_id:ChIJUX4v-w5BvDsR5G7Jw5CEVMA</t>
        </is>
      </c>
    </row>
    <row r="477">
      <c r="A477" s="9" t="n">
        <v>473</v>
      </c>
      <c r="B477" s="9" t="inlineStr">
        <is>
          <t>Murudeshwara</t>
        </is>
      </c>
      <c r="C477" s="9" t="inlineStr">
        <is>
          <t>Murudeshwara</t>
        </is>
      </c>
      <c r="D477" s="9" t="inlineStr">
        <is>
          <t>Karnataka</t>
        </is>
      </c>
      <c r="E477" s="9" t="inlineStr">
        <is>
          <t>India</t>
        </is>
      </c>
      <c r="F477" s="9" t="n">
        <v>1</v>
      </c>
      <c r="G477" s="9" t="n">
        <v>1</v>
      </c>
      <c r="H477" s="9" t="n">
        <v>1</v>
      </c>
      <c r="I477" s="10" t="n">
        <v>46301</v>
      </c>
      <c r="J477" s="10" t="n">
        <v>46301</v>
      </c>
      <c r="K477" s="9" t="n">
        <v>14.18379</v>
      </c>
      <c r="L477" s="9" t="n">
        <v>74.48605000000001</v>
      </c>
      <c r="M477" s="9" t="inlineStr">
        <is>
          <t>https://www.google.com/maps/place/?q=place_id:ChIJY9SUXNo4vDsRXNuYpaCd5P4</t>
        </is>
      </c>
    </row>
    <row r="478">
      <c r="A478" s="9" t="n">
        <v>474</v>
      </c>
      <c r="B478" s="9" t="inlineStr">
        <is>
          <t>Mysore</t>
        </is>
      </c>
      <c r="C478" s="9" t="inlineStr">
        <is>
          <t>Mysore</t>
        </is>
      </c>
      <c r="D478" s="9" t="inlineStr">
        <is>
          <t>Karnataka</t>
        </is>
      </c>
      <c r="E478" s="9" t="inlineStr">
        <is>
          <t>India</t>
        </is>
      </c>
      <c r="F478" s="9" t="n">
        <v>3</v>
      </c>
      <c r="G478" s="9" t="n">
        <v>2</v>
      </c>
      <c r="H478" s="9" t="n">
        <v>1</v>
      </c>
      <c r="I478" s="10" t="n">
        <v>45297</v>
      </c>
      <c r="J478" s="10" t="n">
        <v>45299</v>
      </c>
      <c r="K478" s="9" t="n">
        <v>12.28552</v>
      </c>
      <c r="L478" s="9" t="n">
        <v>76.63409</v>
      </c>
      <c r="M478" s="9" t="inlineStr">
        <is>
          <t>https://www.google.com/maps/place/?q=place_id:ChIJXbSrmqVlrzsR7Eou1oRaD6o</t>
        </is>
      </c>
    </row>
    <row r="479">
      <c r="A479" s="9" t="n">
        <v>475</v>
      </c>
      <c r="B479" s="9" t="inlineStr">
        <is>
          <t>Mysore</t>
        </is>
      </c>
      <c r="C479" s="9" t="inlineStr">
        <is>
          <t>Mysore</t>
        </is>
      </c>
      <c r="D479" s="9" t="inlineStr">
        <is>
          <t>Karnataka</t>
        </is>
      </c>
      <c r="E479" s="9" t="inlineStr">
        <is>
          <t>India</t>
        </is>
      </c>
      <c r="F479" s="9" t="n">
        <v>2</v>
      </c>
      <c r="G479" s="9" t="n">
        <v>3</v>
      </c>
      <c r="H479" s="9" t="n">
        <v>1</v>
      </c>
      <c r="I479" s="10" t="n">
        <v>45297</v>
      </c>
      <c r="J479" s="10" t="n">
        <v>45299</v>
      </c>
      <c r="K479" s="9" t="n">
        <v>12.28164</v>
      </c>
      <c r="L479" s="9" t="n">
        <v>76.64286</v>
      </c>
      <c r="M479" s="9" t="inlineStr">
        <is>
          <t>https://www.google.com/maps/place/?q=place_id:ChIJUWopQ_hvrzsRDHKaKVcdJP0</t>
        </is>
      </c>
    </row>
    <row r="480">
      <c r="A480" s="9" t="n">
        <v>476</v>
      </c>
      <c r="B480" s="9" t="inlineStr">
        <is>
          <t>Shrirangapattana</t>
        </is>
      </c>
      <c r="C480" s="9" t="inlineStr">
        <is>
          <t>Mysore</t>
        </is>
      </c>
      <c r="D480" s="9" t="inlineStr">
        <is>
          <t>Karnataka</t>
        </is>
      </c>
      <c r="E480" s="9" t="inlineStr">
        <is>
          <t>India</t>
        </is>
      </c>
      <c r="F480" s="9" t="n">
        <v>1</v>
      </c>
      <c r="G480" s="9" t="n">
        <v>1</v>
      </c>
      <c r="H480" s="9" t="n">
        <v>1</v>
      </c>
      <c r="I480" s="10" t="n">
        <v>45073</v>
      </c>
      <c r="J480" s="10" t="n">
        <v>45073</v>
      </c>
      <c r="K480" s="9" t="n">
        <v>12.39678</v>
      </c>
      <c r="L480" s="9" t="n">
        <v>76.76029</v>
      </c>
      <c r="M480" s="9" t="inlineStr">
        <is>
          <t>https://www.google.com/maps/place/?q=place_id:ChIJXdmocHJ0rzsRRjpa35Kh07A</t>
        </is>
      </c>
    </row>
    <row r="481">
      <c r="A481" s="9" t="n">
        <v>477</v>
      </c>
      <c r="B481" s="9" t="inlineStr">
        <is>
          <t>Mysore</t>
        </is>
      </c>
      <c r="C481" s="9" t="inlineStr">
        <is>
          <t>Mysore</t>
        </is>
      </c>
      <c r="D481" s="9" t="inlineStr">
        <is>
          <t>Karnataka</t>
        </is>
      </c>
      <c r="E481" s="9" t="inlineStr">
        <is>
          <t>India</t>
        </is>
      </c>
      <c r="F481" s="9" t="n">
        <v>1</v>
      </c>
      <c r="G481" s="9" t="n">
        <v>1</v>
      </c>
      <c r="H481" s="9" t="n">
        <v>1</v>
      </c>
      <c r="I481" s="10" t="n">
        <v>45297</v>
      </c>
      <c r="J481" s="10" t="n">
        <v>45297</v>
      </c>
      <c r="K481" s="9" t="n">
        <v>12.2815</v>
      </c>
      <c r="L481" s="9" t="n">
        <v>76.64306000000001</v>
      </c>
      <c r="M481" s="9" t="inlineStr">
        <is>
          <t>https://www.google.com/maps/place/?q=place_id:ChIJ_8A7XfhvrzsRSAFDChtWyXY</t>
        </is>
      </c>
    </row>
    <row r="482">
      <c r="A482" s="9" t="n">
        <v>478</v>
      </c>
      <c r="B482" s="9" t="inlineStr">
        <is>
          <t>Mysore</t>
        </is>
      </c>
      <c r="C482" s="9" t="inlineStr">
        <is>
          <t>Mysore</t>
        </is>
      </c>
      <c r="D482" s="9" t="inlineStr">
        <is>
          <t>Karnataka</t>
        </is>
      </c>
      <c r="E482" s="9" t="inlineStr">
        <is>
          <t>India</t>
        </is>
      </c>
      <c r="F482" s="9" t="n">
        <v>1</v>
      </c>
      <c r="G482" s="9" t="n">
        <v>1</v>
      </c>
      <c r="H482" s="9" t="n">
        <v>1</v>
      </c>
      <c r="I482" s="10" t="n">
        <v>45297</v>
      </c>
      <c r="J482" s="10" t="n">
        <v>45297</v>
      </c>
      <c r="K482" s="9" t="n">
        <v>12.30516</v>
      </c>
      <c r="L482" s="9" t="n">
        <v>76.65517</v>
      </c>
      <c r="M482" s="9" t="inlineStr">
        <is>
          <t>https://www.google.com/maps/place/?q=place_id:ChIJ-aH5AxFwrzsRDdokoeK6f8M</t>
        </is>
      </c>
    </row>
    <row r="483">
      <c r="A483" s="9" t="n">
        <v>479</v>
      </c>
      <c r="B483" s="9" t="inlineStr">
        <is>
          <t>Shrirangapattana</t>
        </is>
      </c>
      <c r="C483" s="9" t="inlineStr">
        <is>
          <t>Mysore</t>
        </is>
      </c>
      <c r="D483" s="9" t="inlineStr">
        <is>
          <t>Karnataka</t>
        </is>
      </c>
      <c r="E483" s="9" t="inlineStr">
        <is>
          <t>India</t>
        </is>
      </c>
      <c r="F483" s="9" t="n">
        <v>1</v>
      </c>
      <c r="G483" s="9" t="n">
        <v>1</v>
      </c>
      <c r="H483" s="9" t="n">
        <v>1</v>
      </c>
      <c r="I483" s="10" t="n">
        <v>45298</v>
      </c>
      <c r="J483" s="10" t="n">
        <v>45298</v>
      </c>
      <c r="K483" s="9" t="n">
        <v>12.41804</v>
      </c>
      <c r="L483" s="9" t="n">
        <v>76.67121</v>
      </c>
      <c r="M483" s="9" t="inlineStr">
        <is>
          <t>https://www.google.com/maps/place/?q=place_id:ChIJj_TVYw53rzsRzfwGwRYYtmw</t>
        </is>
      </c>
    </row>
    <row r="484">
      <c r="A484" s="9" t="n">
        <v>480</v>
      </c>
      <c r="B484" s="9" t="inlineStr">
        <is>
          <t>Shrirangapattana</t>
        </is>
      </c>
      <c r="C484" s="9" t="inlineStr">
        <is>
          <t>Mysore</t>
        </is>
      </c>
      <c r="D484" s="9" t="inlineStr">
        <is>
          <t>Karnataka</t>
        </is>
      </c>
      <c r="E484" s="9" t="inlineStr">
        <is>
          <t>India</t>
        </is>
      </c>
      <c r="F484" s="9" t="n">
        <v>1</v>
      </c>
      <c r="G484" s="9" t="n">
        <v>1</v>
      </c>
      <c r="H484" s="9" t="n">
        <v>1</v>
      </c>
      <c r="I484" s="10" t="n">
        <v>45298</v>
      </c>
      <c r="J484" s="10" t="n">
        <v>45298</v>
      </c>
      <c r="K484" s="9" t="n">
        <v>12.4249</v>
      </c>
      <c r="L484" s="9" t="n">
        <v>76.67907</v>
      </c>
      <c r="M484" s="9" t="inlineStr">
        <is>
          <t>https://www.google.com/maps/place/?q=place_id:ChIJDxt7Dwd3rzsRZ-ffymK-Nas</t>
        </is>
      </c>
    </row>
    <row r="485">
      <c r="A485" s="9" t="n">
        <v>481</v>
      </c>
      <c r="B485" s="9" t="inlineStr">
        <is>
          <t>Shrirangapattana</t>
        </is>
      </c>
      <c r="C485" s="9" t="inlineStr">
        <is>
          <t>Mysore</t>
        </is>
      </c>
      <c r="D485" s="9" t="inlineStr">
        <is>
          <t>Karnataka</t>
        </is>
      </c>
      <c r="E485" s="9" t="inlineStr">
        <is>
          <t>India</t>
        </is>
      </c>
      <c r="F485" s="9" t="n">
        <v>1</v>
      </c>
      <c r="G485" s="9" t="n">
        <v>1</v>
      </c>
      <c r="H485" s="9" t="n">
        <v>1</v>
      </c>
      <c r="I485" s="10" t="n">
        <v>45298</v>
      </c>
      <c r="J485" s="10" t="n">
        <v>45298</v>
      </c>
      <c r="K485" s="9" t="n">
        <v>12.4252</v>
      </c>
      <c r="L485" s="9" t="n">
        <v>76.72024</v>
      </c>
      <c r="M485" s="9" t="inlineStr">
        <is>
          <t>https://www.google.com/maps/place/?q=place_id:ChIJqxRm8Yx2rzsRxqGVJZa08qY</t>
        </is>
      </c>
    </row>
    <row r="486">
      <c r="A486" s="9" t="n">
        <v>482</v>
      </c>
      <c r="B486" s="9" t="inlineStr">
        <is>
          <t>Bannur</t>
        </is>
      </c>
      <c r="C486" s="9" t="inlineStr">
        <is>
          <t>Mysore</t>
        </is>
      </c>
      <c r="D486" s="9" t="inlineStr">
        <is>
          <t>Karnataka</t>
        </is>
      </c>
      <c r="E486" s="9" t="inlineStr">
        <is>
          <t>India</t>
        </is>
      </c>
      <c r="F486" s="9" t="n">
        <v>1</v>
      </c>
      <c r="G486" s="9" t="n">
        <v>1</v>
      </c>
      <c r="H486" s="9" t="n">
        <v>1</v>
      </c>
      <c r="I486" s="10" t="n">
        <v>45298</v>
      </c>
      <c r="J486" s="10" t="n">
        <v>45298</v>
      </c>
      <c r="K486" s="9" t="n">
        <v>12.2758</v>
      </c>
      <c r="L486" s="9" t="n">
        <v>76.88218000000001</v>
      </c>
      <c r="M486" s="9" t="inlineStr">
        <is>
          <t>https://www.google.com/maps/place/?q=place_id:ChIJ_4Hz2lwSrzsR8XY1-e_ph3w</t>
        </is>
      </c>
    </row>
    <row r="487">
      <c r="A487" s="9" t="n">
        <v>483</v>
      </c>
      <c r="B487" s="9" t="inlineStr">
        <is>
          <t>Mysore</t>
        </is>
      </c>
      <c r="C487" s="9" t="inlineStr">
        <is>
          <t>Mysore</t>
        </is>
      </c>
      <c r="D487" s="9" t="inlineStr">
        <is>
          <t>Karnataka</t>
        </is>
      </c>
      <c r="E487" s="9" t="inlineStr">
        <is>
          <t>India</t>
        </is>
      </c>
      <c r="F487" s="9" t="n">
        <v>1</v>
      </c>
      <c r="G487" s="9" t="n">
        <v>1</v>
      </c>
      <c r="H487" s="9" t="n">
        <v>1</v>
      </c>
      <c r="I487" s="10" t="n">
        <v>45298</v>
      </c>
      <c r="J487" s="10" t="n">
        <v>45298</v>
      </c>
      <c r="K487" s="9" t="n">
        <v>12.30021</v>
      </c>
      <c r="L487" s="9" t="n">
        <v>76.65554</v>
      </c>
      <c r="M487" s="9" t="inlineStr">
        <is>
          <t>https://www.google.com/maps/place/?q=place_id:ChIJRwj7-BpwrzsR87A0ZSglISQ</t>
        </is>
      </c>
    </row>
    <row r="488">
      <c r="A488" s="9" t="n">
        <v>484</v>
      </c>
      <c r="B488" s="9" t="inlineStr">
        <is>
          <t>Udupi</t>
        </is>
      </c>
      <c r="C488" s="9" t="inlineStr">
        <is>
          <t>Udupi</t>
        </is>
      </c>
      <c r="D488" s="9" t="inlineStr">
        <is>
          <t>Karnataka</t>
        </is>
      </c>
      <c r="E488" s="9" t="inlineStr">
        <is>
          <t>India</t>
        </is>
      </c>
      <c r="F488" s="9" t="n">
        <v>7</v>
      </c>
      <c r="G488" s="9" t="n">
        <v>4</v>
      </c>
      <c r="H488" s="9" t="n">
        <v>3</v>
      </c>
      <c r="I488" s="10" t="n">
        <v>42812</v>
      </c>
      <c r="J488" s="10" t="n">
        <v>46299</v>
      </c>
      <c r="K488" s="9" t="n">
        <v>13.34117</v>
      </c>
      <c r="L488" s="9" t="n">
        <v>74.75203999999999</v>
      </c>
      <c r="M488" s="9" t="inlineStr">
        <is>
          <t>https://www.google.com/maps/place/?q=place_id:ChIJ8WhL-6G7vDsRLmGC0YfatfY</t>
        </is>
      </c>
    </row>
    <row r="489">
      <c r="A489" s="9" t="n">
        <v>485</v>
      </c>
      <c r="B489" s="9" t="inlineStr">
        <is>
          <t>Udupi</t>
        </is>
      </c>
      <c r="C489" s="9" t="inlineStr">
        <is>
          <t>Udupi</t>
        </is>
      </c>
      <c r="D489" s="9" t="inlineStr">
        <is>
          <t>Karnataka</t>
        </is>
      </c>
      <c r="E489" s="9" t="inlineStr">
        <is>
          <t>India</t>
        </is>
      </c>
      <c r="F489" s="9" t="n">
        <v>6</v>
      </c>
      <c r="G489" s="9" t="n">
        <v>3</v>
      </c>
      <c r="H489" s="9" t="n">
        <v>2</v>
      </c>
      <c r="I489" s="10" t="n">
        <v>42812</v>
      </c>
      <c r="J489" s="10" t="n">
        <v>43148</v>
      </c>
      <c r="K489" s="9" t="n">
        <v>13.34329</v>
      </c>
      <c r="L489" s="9" t="n">
        <v>74.75391999999999</v>
      </c>
      <c r="M489" s="9" t="inlineStr">
        <is>
          <t>https://www.google.com/maps/place/?q=place_id:ChIJhdu3S2a7vDsRo_vg4ToSjhA</t>
        </is>
      </c>
    </row>
    <row r="490">
      <c r="A490" s="9" t="n">
        <v>486</v>
      </c>
      <c r="B490" s="9" t="inlineStr">
        <is>
          <t>Udupi</t>
        </is>
      </c>
      <c r="C490" s="9" t="inlineStr">
        <is>
          <t>Udupi</t>
        </is>
      </c>
      <c r="D490" s="9" t="inlineStr">
        <is>
          <t>Karnataka</t>
        </is>
      </c>
      <c r="E490" s="9" t="inlineStr">
        <is>
          <t>India</t>
        </is>
      </c>
      <c r="F490" s="9" t="n">
        <v>1</v>
      </c>
      <c r="G490" s="9" t="n">
        <v>1</v>
      </c>
      <c r="H490" s="9" t="n">
        <v>1</v>
      </c>
      <c r="I490" s="10" t="n">
        <v>42812</v>
      </c>
      <c r="J490" s="10" t="n">
        <v>42812</v>
      </c>
      <c r="K490" s="9" t="n">
        <v>13.3424</v>
      </c>
      <c r="L490" s="9" t="n">
        <v>74.75304</v>
      </c>
      <c r="M490" s="9" t="inlineStr">
        <is>
          <t>https://www.google.com/maps/place/?q=place_id:ChIJe9e8PGa7vDsRljdrICyN6vs</t>
        </is>
      </c>
    </row>
    <row r="491">
      <c r="A491" s="9" t="n">
        <v>487</v>
      </c>
      <c r="B491" s="9" t="inlineStr">
        <is>
          <t>Udupi</t>
        </is>
      </c>
      <c r="C491" s="9" t="inlineStr">
        <is>
          <t>Udupi</t>
        </is>
      </c>
      <c r="D491" s="9" t="inlineStr">
        <is>
          <t>Karnataka</t>
        </is>
      </c>
      <c r="E491" s="9" t="inlineStr">
        <is>
          <t>India</t>
        </is>
      </c>
      <c r="F491" s="9" t="n">
        <v>1</v>
      </c>
      <c r="G491" s="9" t="n">
        <v>1</v>
      </c>
      <c r="H491" s="9" t="n">
        <v>1</v>
      </c>
      <c r="I491" s="10" t="n">
        <v>43148</v>
      </c>
      <c r="J491" s="10" t="n">
        <v>43148</v>
      </c>
      <c r="K491" s="9" t="n">
        <v>13.34366</v>
      </c>
      <c r="L491" s="9" t="n">
        <v>74.74769999999999</v>
      </c>
      <c r="M491" s="9" t="inlineStr">
        <is>
          <t>https://www.google.com/maps/place/?q=place_id:ChIJXzWJBGW7vDsRWuGH04PziAk</t>
        </is>
      </c>
    </row>
    <row r="492">
      <c r="A492" s="9" t="n">
        <v>488</v>
      </c>
      <c r="B492" s="9" t="inlineStr">
        <is>
          <t>Udupi</t>
        </is>
      </c>
      <c r="C492" s="9" t="inlineStr">
        <is>
          <t>Udupi</t>
        </is>
      </c>
      <c r="D492" s="9" t="inlineStr">
        <is>
          <t>Karnataka</t>
        </is>
      </c>
      <c r="E492" s="9" t="inlineStr">
        <is>
          <t>India</t>
        </is>
      </c>
      <c r="F492" s="9" t="n">
        <v>1</v>
      </c>
      <c r="G492" s="9" t="n">
        <v>1</v>
      </c>
      <c r="H492" s="9" t="n">
        <v>1</v>
      </c>
      <c r="I492" s="10" t="n">
        <v>46299</v>
      </c>
      <c r="J492" s="10" t="n">
        <v>46299</v>
      </c>
      <c r="K492" s="9" t="n">
        <v>13.27139</v>
      </c>
      <c r="L492" s="9" t="n">
        <v>74.79226</v>
      </c>
      <c r="M492" s="9" t="inlineStr">
        <is>
          <t>https://www.google.com/maps/place/?q=place_id:ChIJTTr1qVClvDsRwBZ7s0LWWr8</t>
        </is>
      </c>
    </row>
    <row r="493">
      <c r="A493" s="9" t="n">
        <v>489</v>
      </c>
      <c r="B493" s="9" t="inlineStr">
        <is>
          <t>Udupi</t>
        </is>
      </c>
      <c r="C493" s="9" t="inlineStr">
        <is>
          <t>Udupi</t>
        </is>
      </c>
      <c r="D493" s="9" t="inlineStr">
        <is>
          <t>Karnataka</t>
        </is>
      </c>
      <c r="E493" s="9" t="inlineStr">
        <is>
          <t>India</t>
        </is>
      </c>
      <c r="F493" s="9" t="n">
        <v>1</v>
      </c>
      <c r="G493" s="9" t="n">
        <v>1</v>
      </c>
      <c r="H493" s="9" t="n">
        <v>1</v>
      </c>
      <c r="I493" s="10" t="n">
        <v>46301</v>
      </c>
      <c r="J493" s="10" t="n">
        <v>46301</v>
      </c>
      <c r="K493" s="9" t="n">
        <v>13.34575</v>
      </c>
      <c r="L493" s="9" t="n">
        <v>74.75426</v>
      </c>
      <c r="M493" s="9" t="inlineStr">
        <is>
          <t>https://www.google.com/maps/place/?q=place_id:ChIJjZe5OAq7vDsRwZMZHQZKUOk</t>
        </is>
      </c>
    </row>
    <row r="494">
      <c r="A494" s="9" t="n">
        <v>490</v>
      </c>
      <c r="B494" s="9" t="inlineStr">
        <is>
          <t>Yellapur</t>
        </is>
      </c>
      <c r="C494" s="9" t="inlineStr">
        <is>
          <t>Yellapur</t>
        </is>
      </c>
      <c r="D494" s="9" t="inlineStr">
        <is>
          <t>Karnataka</t>
        </is>
      </c>
      <c r="E494" s="9" t="inlineStr">
        <is>
          <t>India</t>
        </is>
      </c>
      <c r="F494" s="9" t="n">
        <v>1</v>
      </c>
      <c r="G494" s="9" t="n">
        <v>1</v>
      </c>
      <c r="H494" s="9" t="n">
        <v>1</v>
      </c>
      <c r="I494" s="10" t="n">
        <v>42813</v>
      </c>
      <c r="J494" s="10" t="n">
        <v>42813</v>
      </c>
      <c r="K494" s="9" t="n">
        <v>14.9608</v>
      </c>
      <c r="L494" s="9" t="n">
        <v>74.70761</v>
      </c>
      <c r="M494" s="9" t="inlineStr">
        <is>
          <t>https://www.google.com/maps/place/?q=place_id:ChIJ_eN2zL3GvjsRrT5KHzv2_UQ</t>
        </is>
      </c>
    </row>
    <row r="495">
      <c r="A495" s="9" t="n">
        <v>491</v>
      </c>
      <c r="B495" s="9" t="inlineStr">
        <is>
          <t>Guruvayur</t>
        </is>
      </c>
      <c r="C495" s="9" t="inlineStr">
        <is>
          <t>Guruvayur</t>
        </is>
      </c>
      <c r="D495" s="9" t="inlineStr">
        <is>
          <t>Kerala</t>
        </is>
      </c>
      <c r="E495" s="9" t="inlineStr">
        <is>
          <t>India</t>
        </is>
      </c>
      <c r="F495" s="9" t="n">
        <v>1</v>
      </c>
      <c r="G495" s="9" t="n">
        <v>1</v>
      </c>
      <c r="H495" s="9" t="n">
        <v>1</v>
      </c>
      <c r="I495" s="10" t="n">
        <v>43149</v>
      </c>
      <c r="J495" s="10" t="n">
        <v>43149</v>
      </c>
      <c r="K495" s="9" t="n">
        <v>10.5956</v>
      </c>
      <c r="L495" s="9" t="n">
        <v>76.03613</v>
      </c>
      <c r="M495" s="9" t="inlineStr">
        <is>
          <t>https://www.google.com/maps/place/?q=place_id:ChIJKYlc8mCUpzsRhFWaeZSbSc0</t>
        </is>
      </c>
    </row>
    <row r="496">
      <c r="A496" s="9" t="n">
        <v>492</v>
      </c>
      <c r="B496" s="9" t="inlineStr">
        <is>
          <t>Kanayannur</t>
        </is>
      </c>
      <c r="C496" s="9" t="inlineStr">
        <is>
          <t>Kanayannur</t>
        </is>
      </c>
      <c r="D496" s="9" t="inlineStr">
        <is>
          <t>Kerala</t>
        </is>
      </c>
      <c r="E496" s="9" t="inlineStr">
        <is>
          <t>India</t>
        </is>
      </c>
      <c r="F496" s="9" t="n">
        <v>1</v>
      </c>
      <c r="G496" s="9" t="n">
        <v>1</v>
      </c>
      <c r="H496" s="9" t="n">
        <v>1</v>
      </c>
      <c r="I496" s="10" t="n">
        <v>43150</v>
      </c>
      <c r="J496" s="10" t="n">
        <v>43150</v>
      </c>
      <c r="K496" s="9" t="n">
        <v>9.99166</v>
      </c>
      <c r="L496" s="9" t="n">
        <v>76.28652</v>
      </c>
      <c r="M496" s="9" t="inlineStr">
        <is>
          <t>https://www.google.com/maps/place/?q=place_id:ChIJV1MGs0MNCDsRALW583mJVqU</t>
        </is>
      </c>
    </row>
    <row r="497">
      <c r="A497" s="9" t="n">
        <v>493</v>
      </c>
      <c r="B497" s="9" t="inlineStr">
        <is>
          <t>Kollam</t>
        </is>
      </c>
      <c r="C497" s="9" t="inlineStr">
        <is>
          <t>Kollam</t>
        </is>
      </c>
      <c r="D497" s="9" t="inlineStr">
        <is>
          <t>Kerala</t>
        </is>
      </c>
      <c r="E497" s="9" t="inlineStr">
        <is>
          <t>India</t>
        </is>
      </c>
      <c r="F497" s="9" t="n">
        <v>1</v>
      </c>
      <c r="G497" s="9" t="n">
        <v>1</v>
      </c>
      <c r="H497" s="9" t="n">
        <v>1</v>
      </c>
      <c r="I497" s="10" t="n">
        <v>43150</v>
      </c>
      <c r="J497" s="10" t="n">
        <v>43150</v>
      </c>
      <c r="K497" s="9" t="n">
        <v>8.88598</v>
      </c>
      <c r="L497" s="9" t="n">
        <v>76.59513</v>
      </c>
      <c r="M497" s="9" t="inlineStr">
        <is>
          <t>https://www.google.com/maps/place/?q=place_id:ChIJS8lvPfb8BTsRfBicz_I-A_8</t>
        </is>
      </c>
    </row>
    <row r="498">
      <c r="A498" s="9" t="n">
        <v>494</v>
      </c>
      <c r="B498" s="9" t="inlineStr">
        <is>
          <t>Kozhikode</t>
        </is>
      </c>
      <c r="C498" s="9" t="inlineStr">
        <is>
          <t>Kozhikode</t>
        </is>
      </c>
      <c r="D498" s="9" t="inlineStr">
        <is>
          <t>Kerala</t>
        </is>
      </c>
      <c r="E498" s="9" t="inlineStr">
        <is>
          <t>India</t>
        </is>
      </c>
      <c r="F498" s="9" t="n">
        <v>1</v>
      </c>
      <c r="G498" s="9" t="n">
        <v>1</v>
      </c>
      <c r="H498" s="9" t="n">
        <v>1</v>
      </c>
      <c r="I498" s="10" t="n">
        <v>43149</v>
      </c>
      <c r="J498" s="10" t="n">
        <v>43149</v>
      </c>
      <c r="K498" s="9" t="n">
        <v>11.24641</v>
      </c>
      <c r="L498" s="9" t="n">
        <v>75.78061</v>
      </c>
      <c r="M498" s="9" t="inlineStr">
        <is>
          <t>https://www.google.com/maps/place/?q=place_id:ChIJvexOLD5ZpjsROinZLqEiIas</t>
        </is>
      </c>
    </row>
    <row r="499">
      <c r="A499" s="9" t="n">
        <v>495</v>
      </c>
      <c r="B499" s="9" t="inlineStr">
        <is>
          <t>Kunnamkulam</t>
        </is>
      </c>
      <c r="C499" s="9" t="inlineStr">
        <is>
          <t>Kunnamkulam</t>
        </is>
      </c>
      <c r="D499" s="9" t="inlineStr">
        <is>
          <t>Kerala</t>
        </is>
      </c>
      <c r="E499" s="9" t="inlineStr">
        <is>
          <t>India</t>
        </is>
      </c>
      <c r="F499" s="9" t="n">
        <v>1</v>
      </c>
      <c r="G499" s="9" t="n">
        <v>1</v>
      </c>
      <c r="H499" s="9" t="n">
        <v>1</v>
      </c>
      <c r="I499" s="10" t="n">
        <v>43149</v>
      </c>
      <c r="J499" s="10" t="n">
        <v>43149</v>
      </c>
      <c r="K499" s="9" t="n">
        <v>10.61119</v>
      </c>
      <c r="L499" s="9" t="n">
        <v>76.13370999999999</v>
      </c>
      <c r="M499" s="9" t="inlineStr">
        <is>
          <t>https://www.google.com/maps/place/?q=place_id:ChIJY8RHuafrpzsRYSLjDVSiW-k</t>
        </is>
      </c>
    </row>
    <row r="500">
      <c r="A500" s="9" t="n">
        <v>496</v>
      </c>
      <c r="B500" s="9" t="inlineStr">
        <is>
          <t>Shoranur</t>
        </is>
      </c>
      <c r="C500" s="9" t="inlineStr">
        <is>
          <t>Shoranur</t>
        </is>
      </c>
      <c r="D500" s="9" t="inlineStr">
        <is>
          <t>Kerala</t>
        </is>
      </c>
      <c r="E500" s="9" t="inlineStr">
        <is>
          <t>India</t>
        </is>
      </c>
      <c r="F500" s="9" t="n">
        <v>1</v>
      </c>
      <c r="G500" s="9" t="n">
        <v>1</v>
      </c>
      <c r="H500" s="9" t="n">
        <v>1</v>
      </c>
      <c r="I500" s="10" t="n">
        <v>43149</v>
      </c>
      <c r="J500" s="10" t="n">
        <v>43149</v>
      </c>
      <c r="K500" s="9" t="n">
        <v>10.78297</v>
      </c>
      <c r="L500" s="9" t="n">
        <v>76.18425999999999</v>
      </c>
      <c r="M500" s="9" t="inlineStr">
        <is>
          <t>https://www.google.com/maps/place/?q=place_id:ChIJicEPKyLEpzsRumOXE0sJRvM</t>
        </is>
      </c>
    </row>
    <row r="501">
      <c r="A501" s="9" t="n">
        <v>497</v>
      </c>
      <c r="B501" s="9" t="inlineStr">
        <is>
          <t>Thiruvananthapuram</t>
        </is>
      </c>
      <c r="C501" s="9" t="inlineStr">
        <is>
          <t>Thiruvananthapuram</t>
        </is>
      </c>
      <c r="D501" s="9" t="inlineStr">
        <is>
          <t>Kerala</t>
        </is>
      </c>
      <c r="E501" s="9" t="inlineStr">
        <is>
          <t>India</t>
        </is>
      </c>
      <c r="F501" s="9" t="n">
        <v>2</v>
      </c>
      <c r="G501" s="9" t="n">
        <v>1</v>
      </c>
      <c r="H501" s="9" t="n">
        <v>1</v>
      </c>
      <c r="I501" s="10" t="n">
        <v>43150</v>
      </c>
      <c r="J501" s="10" t="n">
        <v>43150</v>
      </c>
      <c r="K501" s="9" t="n">
        <v>8.48105</v>
      </c>
      <c r="L501" s="9" t="n">
        <v>76.94199999999999</v>
      </c>
      <c r="M501" s="9" t="inlineStr">
        <is>
          <t>https://www.google.com/maps/place/?q=place_id:ChIJ8ekeuAq7BTsRHkHQmxbfx8w</t>
        </is>
      </c>
    </row>
    <row r="502">
      <c r="A502" s="9" t="n">
        <v>498</v>
      </c>
      <c r="B502" s="9" t="inlineStr">
        <is>
          <t>Thiruvananthapuram</t>
        </is>
      </c>
      <c r="C502" s="9" t="inlineStr">
        <is>
          <t>Thiruvananthapuram</t>
        </is>
      </c>
      <c r="D502" s="9" t="inlineStr">
        <is>
          <t>Kerala</t>
        </is>
      </c>
      <c r="E502" s="9" t="inlineStr">
        <is>
          <t>India</t>
        </is>
      </c>
      <c r="F502" s="9" t="n">
        <v>1</v>
      </c>
      <c r="G502" s="9" t="n">
        <v>1</v>
      </c>
      <c r="H502" s="9" t="n">
        <v>1</v>
      </c>
      <c r="I502" s="10" t="n">
        <v>43150</v>
      </c>
      <c r="J502" s="10" t="n">
        <v>43150</v>
      </c>
      <c r="K502" s="9" t="n">
        <v>8.5098</v>
      </c>
      <c r="L502" s="9" t="n">
        <v>76.89711</v>
      </c>
      <c r="M502" s="9" t="inlineStr">
        <is>
          <t>https://www.google.com/maps/place/?q=place_id:ChIJaae-Rha8BTsRHdu7LUI5D1Q</t>
        </is>
      </c>
    </row>
    <row r="503">
      <c r="A503" s="9" t="n">
        <v>499</v>
      </c>
      <c r="B503" s="9" t="inlineStr">
        <is>
          <t>Thiruvananthapuram</t>
        </is>
      </c>
      <c r="C503" s="9" t="inlineStr">
        <is>
          <t>Thiruvananthapuram</t>
        </is>
      </c>
      <c r="D503" s="9" t="inlineStr">
        <is>
          <t>Kerala</t>
        </is>
      </c>
      <c r="E503" s="9" t="inlineStr">
        <is>
          <t>India</t>
        </is>
      </c>
      <c r="F503" s="9" t="n">
        <v>1</v>
      </c>
      <c r="G503" s="9" t="n">
        <v>1</v>
      </c>
      <c r="H503" s="9" t="n">
        <v>1</v>
      </c>
      <c r="I503" s="10" t="n">
        <v>43150</v>
      </c>
      <c r="J503" s="10" t="n">
        <v>43150</v>
      </c>
      <c r="K503" s="9" t="n">
        <v>8.48278</v>
      </c>
      <c r="L503" s="9" t="n">
        <v>76.94359</v>
      </c>
      <c r="M503" s="9" t="inlineStr">
        <is>
          <t>https://www.google.com/maps/place/?q=place_id:ChIJNR3otwm7BTsR9x46IbftLx0</t>
        </is>
      </c>
    </row>
    <row r="504">
      <c r="A504" s="9" t="n">
        <v>500</v>
      </c>
      <c r="B504" s="9" t="inlineStr">
        <is>
          <t>Thiruvananthapuram</t>
        </is>
      </c>
      <c r="C504" s="9" t="inlineStr">
        <is>
          <t>Thiruvananthapuram</t>
        </is>
      </c>
      <c r="D504" s="9" t="inlineStr">
        <is>
          <t>Kerala</t>
        </is>
      </c>
      <c r="E504" s="9" t="inlineStr">
        <is>
          <t>India</t>
        </is>
      </c>
      <c r="F504" s="9" t="n">
        <v>1</v>
      </c>
      <c r="G504" s="9" t="n">
        <v>1</v>
      </c>
      <c r="H504" s="9" t="n">
        <v>1</v>
      </c>
      <c r="I504" s="10" t="n">
        <v>43150</v>
      </c>
      <c r="J504" s="10" t="n">
        <v>43150</v>
      </c>
      <c r="K504" s="9" t="n">
        <v>8.48682</v>
      </c>
      <c r="L504" s="9" t="n">
        <v>76.95215</v>
      </c>
      <c r="M504" s="9" t="inlineStr">
        <is>
          <t>https://www.google.com/maps/place/?q=place_id:ChIJET78Paa7BTsRqWbvGd0UF7Y</t>
        </is>
      </c>
    </row>
    <row r="505">
      <c r="A505" s="9" t="n">
        <v>501</v>
      </c>
      <c r="B505" s="9" t="inlineStr">
        <is>
          <t>Thrissur</t>
        </is>
      </c>
      <c r="C505" s="9" t="inlineStr">
        <is>
          <t>Thrissur</t>
        </is>
      </c>
      <c r="D505" s="9" t="inlineStr">
        <is>
          <t>Kerala</t>
        </is>
      </c>
      <c r="E505" s="9" t="inlineStr">
        <is>
          <t>India</t>
        </is>
      </c>
      <c r="F505" s="9" t="n">
        <v>1</v>
      </c>
      <c r="G505" s="9" t="n">
        <v>1</v>
      </c>
      <c r="H505" s="9" t="n">
        <v>1</v>
      </c>
      <c r="I505" s="10" t="n">
        <v>43149</v>
      </c>
      <c r="J505" s="10" t="n">
        <v>43149</v>
      </c>
      <c r="K505" s="9" t="n">
        <v>10.51408</v>
      </c>
      <c r="L505" s="9" t="n">
        <v>76.20765</v>
      </c>
      <c r="M505" s="9" t="inlineStr">
        <is>
          <t>https://www.google.com/maps/place/?q=place_id:ChIJu115LznupzsRPYlR0Ra5sqs</t>
        </is>
      </c>
    </row>
    <row r="506">
      <c r="A506" s="9" t="n">
        <v>502</v>
      </c>
      <c r="B506" s="9" t="inlineStr">
        <is>
          <t>Tirur</t>
        </is>
      </c>
      <c r="C506" s="9" t="inlineStr">
        <is>
          <t>Tirur</t>
        </is>
      </c>
      <c r="D506" s="9" t="inlineStr">
        <is>
          <t>Kerala</t>
        </is>
      </c>
      <c r="E506" s="9" t="inlineStr">
        <is>
          <t>India</t>
        </is>
      </c>
      <c r="F506" s="9" t="n">
        <v>1</v>
      </c>
      <c r="G506" s="9" t="n">
        <v>1</v>
      </c>
      <c r="H506" s="9" t="n">
        <v>1</v>
      </c>
      <c r="I506" s="10" t="n">
        <v>43149</v>
      </c>
      <c r="J506" s="10" t="n">
        <v>43149</v>
      </c>
      <c r="K506" s="9" t="n">
        <v>10.86372</v>
      </c>
      <c r="L506" s="9" t="n">
        <v>75.98172</v>
      </c>
      <c r="M506" s="9" t="inlineStr">
        <is>
          <t>https://www.google.com/maps/place/?q=place_id:ChIJKwwHp8iwpzsRg-QHNOQb7R0</t>
        </is>
      </c>
    </row>
    <row r="507">
      <c r="A507" s="9" t="n">
        <v>503</v>
      </c>
      <c r="B507" s="9" t="inlineStr">
        <is>
          <t>Bhopal</t>
        </is>
      </c>
      <c r="C507" s="9" t="inlineStr">
        <is>
          <t>Bhopal</t>
        </is>
      </c>
      <c r="D507" s="9" t="inlineStr">
        <is>
          <t>Madhya Pradesh</t>
        </is>
      </c>
      <c r="E507" s="9" t="inlineStr">
        <is>
          <t>India</t>
        </is>
      </c>
      <c r="F507" s="9" t="n">
        <v>3</v>
      </c>
      <c r="G507" s="9" t="n">
        <v>3</v>
      </c>
      <c r="H507" s="9" t="n">
        <v>3</v>
      </c>
      <c r="I507" s="10" t="n">
        <v>43001</v>
      </c>
      <c r="J507" s="10" t="n">
        <v>43423</v>
      </c>
      <c r="K507" s="9" t="n">
        <v>23.26669</v>
      </c>
      <c r="L507" s="9" t="n">
        <v>77.41318</v>
      </c>
      <c r="M507" s="9" t="inlineStr">
        <is>
          <t>https://www.google.com/maps/place/?q=place_id:ChIJ66zpYDBofDkRZTKlrG7z0e8</t>
        </is>
      </c>
    </row>
    <row r="508">
      <c r="A508" s="9" t="n">
        <v>504</v>
      </c>
      <c r="B508" s="9" t="inlineStr">
        <is>
          <t>Gwalior</t>
        </is>
      </c>
      <c r="C508" s="9" t="inlineStr">
        <is>
          <t>Gwalior</t>
        </is>
      </c>
      <c r="D508" s="9" t="inlineStr">
        <is>
          <t>Madhya Pradesh</t>
        </is>
      </c>
      <c r="E508" s="9" t="inlineStr">
        <is>
          <t>India</t>
        </is>
      </c>
      <c r="F508" s="9" t="n">
        <v>1</v>
      </c>
      <c r="G508" s="9" t="n">
        <v>1</v>
      </c>
      <c r="H508" s="9" t="n">
        <v>1</v>
      </c>
      <c r="I508" s="10" t="n">
        <v>44751</v>
      </c>
      <c r="J508" s="10" t="n">
        <v>44751</v>
      </c>
      <c r="K508" s="9" t="n">
        <v>26.14676</v>
      </c>
      <c r="L508" s="9" t="n">
        <v>78.18725999999999</v>
      </c>
      <c r="M508" s="9" t="inlineStr">
        <is>
          <t>https://www.google.com/maps/place/?q=place_id:ChIJ3asyRZbEdjkRHeKh7PTElJk</t>
        </is>
      </c>
    </row>
    <row r="509">
      <c r="A509" s="9" t="n">
        <v>505</v>
      </c>
      <c r="B509" s="9" t="inlineStr">
        <is>
          <t>Itarsi</t>
        </is>
      </c>
      <c r="C509" s="9" t="inlineStr">
        <is>
          <t>Itarsi</t>
        </is>
      </c>
      <c r="D509" s="9" t="inlineStr">
        <is>
          <t>Madhya Pradesh</t>
        </is>
      </c>
      <c r="E509" s="9" t="inlineStr">
        <is>
          <t>India</t>
        </is>
      </c>
      <c r="F509" s="9" t="n">
        <v>2</v>
      </c>
      <c r="G509" s="9" t="n">
        <v>2</v>
      </c>
      <c r="H509" s="9" t="n">
        <v>2</v>
      </c>
      <c r="I509" s="10" t="n">
        <v>43460</v>
      </c>
      <c r="J509" s="10" t="n">
        <v>44752</v>
      </c>
      <c r="K509" s="9" t="n">
        <v>22.60795</v>
      </c>
      <c r="L509" s="9" t="n">
        <v>77.76658999999999</v>
      </c>
      <c r="M509" s="9" t="inlineStr">
        <is>
          <t>https://www.google.com/maps/place/?q=place_id:ChIJwxiY3r3cfTkRBnQzV_xEOU0</t>
        </is>
      </c>
    </row>
    <row r="510">
      <c r="A510" s="9" t="n">
        <v>506</v>
      </c>
      <c r="B510" s="9" t="inlineStr">
        <is>
          <t>Jabalpur</t>
        </is>
      </c>
      <c r="C510" s="9" t="inlineStr">
        <is>
          <t>Jabalpur</t>
        </is>
      </c>
      <c r="D510" s="9" t="inlineStr">
        <is>
          <t>Madhya Pradesh</t>
        </is>
      </c>
      <c r="E510" s="9" t="inlineStr">
        <is>
          <t>India</t>
        </is>
      </c>
      <c r="F510" s="9" t="n">
        <v>1</v>
      </c>
      <c r="G510" s="9" t="n">
        <v>1</v>
      </c>
      <c r="H510" s="9" t="n">
        <v>1</v>
      </c>
      <c r="I510" s="10" t="n">
        <v>43460</v>
      </c>
      <c r="J510" s="10" t="n">
        <v>43460</v>
      </c>
      <c r="K510" s="9" t="n">
        <v>23.16555</v>
      </c>
      <c r="L510" s="9" t="n">
        <v>79.95058</v>
      </c>
      <c r="M510" s="9" t="inlineStr">
        <is>
          <t>https://www.google.com/maps/place/?q=place_id:ChIJq37EeXCugTkRAbv3XiSryiw</t>
        </is>
      </c>
    </row>
    <row r="511">
      <c r="A511" s="9" t="n">
        <v>507</v>
      </c>
      <c r="B511" s="9" t="inlineStr">
        <is>
          <t>Khandwa</t>
        </is>
      </c>
      <c r="C511" s="9" t="inlineStr">
        <is>
          <t>Khandwa</t>
        </is>
      </c>
      <c r="D511" s="9" t="inlineStr">
        <is>
          <t>Madhya Pradesh</t>
        </is>
      </c>
      <c r="E511" s="9" t="inlineStr">
        <is>
          <t>India</t>
        </is>
      </c>
      <c r="F511" s="9" t="n">
        <v>1</v>
      </c>
      <c r="G511" s="9" t="n">
        <v>1</v>
      </c>
      <c r="H511" s="9" t="n">
        <v>1</v>
      </c>
      <c r="I511" s="10" t="n">
        <v>44752</v>
      </c>
      <c r="J511" s="10" t="n">
        <v>44752</v>
      </c>
      <c r="K511" s="9" t="n">
        <v>21.82349</v>
      </c>
      <c r="L511" s="9" t="n">
        <v>76.35279</v>
      </c>
      <c r="M511" s="9" t="inlineStr">
        <is>
          <t>https://www.google.com/maps/place/?q=place_id:ChIJFevpZGUb2DsRZCatd4ajcmA</t>
        </is>
      </c>
    </row>
    <row r="512">
      <c r="A512" s="9" t="n">
        <v>508</v>
      </c>
      <c r="B512" s="9" t="inlineStr">
        <is>
          <t>Pandhurna</t>
        </is>
      </c>
      <c r="C512" s="9" t="inlineStr">
        <is>
          <t>Pandhurna</t>
        </is>
      </c>
      <c r="D512" s="9" t="inlineStr">
        <is>
          <t>Madhya Pradesh</t>
        </is>
      </c>
      <c r="E512" s="9" t="inlineStr">
        <is>
          <t>India</t>
        </is>
      </c>
      <c r="F512" s="9" t="n">
        <v>1</v>
      </c>
      <c r="G512" s="9" t="n">
        <v>1</v>
      </c>
      <c r="H512" s="9" t="n">
        <v>1</v>
      </c>
      <c r="I512" s="10" t="n">
        <v>43486</v>
      </c>
      <c r="J512" s="10" t="n">
        <v>43486</v>
      </c>
      <c r="K512" s="9" t="n">
        <v>21.58951</v>
      </c>
      <c r="L512" s="9" t="n">
        <v>78.52656</v>
      </c>
      <c r="M512" s="9" t="inlineStr">
        <is>
          <t>https://www.google.com/maps/place/?q=place_id:ChIJCbtu-_mu1TsRLE-kGj9z8Ow</t>
        </is>
      </c>
    </row>
    <row r="513">
      <c r="A513" s="9" t="n">
        <v>509</v>
      </c>
      <c r="B513" s="9" t="inlineStr">
        <is>
          <t>Sohagpur</t>
        </is>
      </c>
      <c r="C513" s="9" t="inlineStr">
        <is>
          <t>Sohagpur</t>
        </is>
      </c>
      <c r="D513" s="9" t="inlineStr">
        <is>
          <t>Madhya Pradesh</t>
        </is>
      </c>
      <c r="E513" s="9" t="inlineStr">
        <is>
          <t>India</t>
        </is>
      </c>
      <c r="F513" s="9" t="n">
        <v>1</v>
      </c>
      <c r="G513" s="9" t="n">
        <v>1</v>
      </c>
      <c r="H513" s="9" t="n">
        <v>1</v>
      </c>
      <c r="I513" s="10" t="n">
        <v>43460</v>
      </c>
      <c r="J513" s="10" t="n">
        <v>43460</v>
      </c>
      <c r="K513" s="9" t="n">
        <v>22.75361</v>
      </c>
      <c r="L513" s="9" t="n">
        <v>78.35617000000001</v>
      </c>
      <c r="M513" s="9" t="inlineStr">
        <is>
          <t>https://www.google.com/maps/place/?q=place_id:ChIJw_KZNjdDfjkRYIXps4YnGcM</t>
        </is>
      </c>
    </row>
    <row r="514">
      <c r="A514" s="9" t="n">
        <v>510</v>
      </c>
      <c r="B514" s="9" t="inlineStr">
        <is>
          <t>Sohagpur</t>
        </is>
      </c>
      <c r="C514" s="9" t="inlineStr">
        <is>
          <t>Sohagpur</t>
        </is>
      </c>
      <c r="D514" s="9" t="inlineStr">
        <is>
          <t>Madhya Pradesh</t>
        </is>
      </c>
      <c r="E514" s="9" t="inlineStr">
        <is>
          <t>India</t>
        </is>
      </c>
      <c r="F514" s="9" t="n">
        <v>1</v>
      </c>
      <c r="G514" s="9" t="n">
        <v>1</v>
      </c>
      <c r="H514" s="9" t="n">
        <v>1</v>
      </c>
      <c r="I514" s="10" t="n">
        <v>43460</v>
      </c>
      <c r="J514" s="10" t="n">
        <v>43460</v>
      </c>
      <c r="K514" s="9" t="n">
        <v>22.45663</v>
      </c>
      <c r="L514" s="9" t="n">
        <v>78.12157000000001</v>
      </c>
      <c r="M514" s="9" t="inlineStr">
        <is>
          <t>https://www.google.com/maps/place/?q=place_id:ChIJSQq3P7bYfTkR2BTdp8sO0tM</t>
        </is>
      </c>
    </row>
    <row r="515">
      <c r="A515" s="9" t="n">
        <v>511</v>
      </c>
      <c r="B515" s="9" t="inlineStr">
        <is>
          <t>Ballarpur</t>
        </is>
      </c>
      <c r="C515" s="9" t="inlineStr">
        <is>
          <t>Ballarpur</t>
        </is>
      </c>
      <c r="D515" s="9" t="inlineStr">
        <is>
          <t>Maharashtra</t>
        </is>
      </c>
      <c r="E515" s="9" t="inlineStr">
        <is>
          <t>India</t>
        </is>
      </c>
      <c r="F515" s="9" t="n">
        <v>4</v>
      </c>
      <c r="G515" s="9" t="n">
        <v>4</v>
      </c>
      <c r="H515" s="9" t="n">
        <v>4</v>
      </c>
      <c r="I515" s="10" t="n">
        <v>43361</v>
      </c>
      <c r="J515" s="10" t="n">
        <v>43516</v>
      </c>
      <c r="K515" s="9" t="n">
        <v>19.84993</v>
      </c>
      <c r="L515" s="9" t="n">
        <v>79.34779</v>
      </c>
      <c r="M515" s="9" t="inlineStr">
        <is>
          <t>https://www.google.com/maps/place/?q=place_id:ChIJnyYwx-3S0jsRnBNG9e6lafU</t>
        </is>
      </c>
    </row>
    <row r="516">
      <c r="A516" s="9" t="n">
        <v>512</v>
      </c>
      <c r="B516" s="9" t="inlineStr">
        <is>
          <t>Virar</t>
        </is>
      </c>
      <c r="C516" s="9" t="inlineStr">
        <is>
          <t>Bhayandar</t>
        </is>
      </c>
      <c r="D516" s="9" t="inlineStr">
        <is>
          <t>Maharashtra</t>
        </is>
      </c>
      <c r="E516" s="9" t="inlineStr">
        <is>
          <t>India</t>
        </is>
      </c>
      <c r="F516" s="9" t="n">
        <v>1</v>
      </c>
      <c r="G516" s="9" t="n">
        <v>1</v>
      </c>
      <c r="H516" s="9" t="n">
        <v>1</v>
      </c>
      <c r="I516" s="10" t="n">
        <v>42935</v>
      </c>
      <c r="J516" s="10" t="n">
        <v>42935</v>
      </c>
      <c r="K516" s="9" t="n">
        <v>19.45498</v>
      </c>
      <c r="L516" s="9" t="n">
        <v>72.81195</v>
      </c>
      <c r="M516" s="9" t="inlineStr">
        <is>
          <t>https://www.google.com/maps/place/?q=place_id:ChIJqZv7ToSp5zsRzxhWMr-_wCM</t>
        </is>
      </c>
    </row>
    <row r="517">
      <c r="A517" s="9" t="n">
        <v>513</v>
      </c>
      <c r="B517" s="9" t="inlineStr">
        <is>
          <t>Virar</t>
        </is>
      </c>
      <c r="C517" s="9" t="inlineStr">
        <is>
          <t>Bhayandar</t>
        </is>
      </c>
      <c r="D517" s="9" t="inlineStr">
        <is>
          <t>Maharashtra</t>
        </is>
      </c>
      <c r="E517" s="9" t="inlineStr">
        <is>
          <t>India</t>
        </is>
      </c>
      <c r="F517" s="9" t="n">
        <v>1</v>
      </c>
      <c r="G517" s="9" t="n">
        <v>1</v>
      </c>
      <c r="H517" s="9" t="n">
        <v>1</v>
      </c>
      <c r="I517" s="10" t="n">
        <v>42935</v>
      </c>
      <c r="J517" s="10" t="n">
        <v>42935</v>
      </c>
      <c r="K517" s="9" t="n">
        <v>19.38244</v>
      </c>
      <c r="L517" s="9" t="n">
        <v>72.83215</v>
      </c>
      <c r="M517" s="9" t="inlineStr">
        <is>
          <t>https://www.google.com/maps/place/?q=place_id:ChIJ5ypMlMGu5zsR3HtK5UTpMD8</t>
        </is>
      </c>
    </row>
    <row r="518">
      <c r="A518" s="9" t="n">
        <v>514</v>
      </c>
      <c r="B518" s="9" t="inlineStr">
        <is>
          <t>Powai</t>
        </is>
      </c>
      <c r="C518" s="9" t="inlineStr">
        <is>
          <t>Borivli</t>
        </is>
      </c>
      <c r="D518" s="9" t="inlineStr">
        <is>
          <t>Maharashtra</t>
        </is>
      </c>
      <c r="E518" s="9" t="inlineStr">
        <is>
          <t>India</t>
        </is>
      </c>
      <c r="F518" s="9" t="n">
        <v>1</v>
      </c>
      <c r="G518" s="9" t="n">
        <v>1</v>
      </c>
      <c r="H518" s="9" t="n">
        <v>1</v>
      </c>
      <c r="I518" s="10" t="n">
        <v>45487</v>
      </c>
      <c r="J518" s="10" t="n">
        <v>45487</v>
      </c>
      <c r="K518" s="9" t="n">
        <v>19.15198</v>
      </c>
      <c r="L518" s="9" t="n">
        <v>72.83013</v>
      </c>
      <c r="M518" s="9" t="inlineStr">
        <is>
          <t>https://www.google.com/maps/place/?q=place_id:ChIJj7hmxZO35zsR1CZ_V8JTaUU</t>
        </is>
      </c>
    </row>
    <row r="519">
      <c r="A519" s="9" t="n">
        <v>515</v>
      </c>
      <c r="B519" s="9" t="inlineStr">
        <is>
          <t>Powai</t>
        </is>
      </c>
      <c r="C519" s="9" t="inlineStr">
        <is>
          <t>Borivli</t>
        </is>
      </c>
      <c r="D519" s="9" t="inlineStr">
        <is>
          <t>Maharashtra</t>
        </is>
      </c>
      <c r="E519" s="9" t="inlineStr">
        <is>
          <t>India</t>
        </is>
      </c>
      <c r="F519" s="9" t="n">
        <v>1</v>
      </c>
      <c r="G519" s="9" t="n">
        <v>1</v>
      </c>
      <c r="H519" s="9" t="n">
        <v>1</v>
      </c>
      <c r="I519" s="10" t="n">
        <v>45487</v>
      </c>
      <c r="J519" s="10" t="n">
        <v>45487</v>
      </c>
      <c r="K519" s="9" t="n">
        <v>19.15148</v>
      </c>
      <c r="L519" s="9" t="n">
        <v>72.83437000000001</v>
      </c>
      <c r="M519" s="9" t="inlineStr">
        <is>
          <t>https://www.google.com/maps/place/?q=place_id:ChIJ-3LsM0e25zsR6cpKf0Rc4-8</t>
        </is>
      </c>
    </row>
    <row r="520">
      <c r="A520" s="9" t="n">
        <v>516</v>
      </c>
      <c r="B520" s="9" t="inlineStr">
        <is>
          <t>Dharmabad</t>
        </is>
      </c>
      <c r="C520" s="9" t="inlineStr">
        <is>
          <t>Dharmabad</t>
        </is>
      </c>
      <c r="D520" s="9" t="inlineStr">
        <is>
          <t>Maharashtra</t>
        </is>
      </c>
      <c r="E520" s="9" t="inlineStr">
        <is>
          <t>India</t>
        </is>
      </c>
      <c r="F520" s="9" t="n">
        <v>1</v>
      </c>
      <c r="G520" s="9" t="n">
        <v>1</v>
      </c>
      <c r="H520" s="9" t="n">
        <v>1</v>
      </c>
      <c r="I520" s="10" t="n">
        <v>44753</v>
      </c>
      <c r="J520" s="10" t="n">
        <v>44753</v>
      </c>
      <c r="K520" s="9" t="n">
        <v>18.94394</v>
      </c>
      <c r="L520" s="9" t="n">
        <v>77.73923000000001</v>
      </c>
      <c r="M520" s="9" t="inlineStr">
        <is>
          <t>https://www.google.com/maps/place/?q=place_id:ChIJidj8HCIQzjsRkhVvNfdEmVE</t>
        </is>
      </c>
    </row>
    <row r="521">
      <c r="A521" s="9" t="n">
        <v>517</v>
      </c>
      <c r="B521" s="9" t="inlineStr">
        <is>
          <t>Gondia</t>
        </is>
      </c>
      <c r="C521" s="9" t="inlineStr">
        <is>
          <t>Gondia</t>
        </is>
      </c>
      <c r="D521" s="9" t="inlineStr">
        <is>
          <t>Maharashtra</t>
        </is>
      </c>
      <c r="E521" s="9" t="inlineStr">
        <is>
          <t>India</t>
        </is>
      </c>
      <c r="F521" s="9" t="n">
        <v>1</v>
      </c>
      <c r="G521" s="9" t="n">
        <v>1</v>
      </c>
      <c r="H521" s="9" t="n">
        <v>1</v>
      </c>
      <c r="I521" s="10" t="n">
        <v>43516</v>
      </c>
      <c r="J521" s="10" t="n">
        <v>43516</v>
      </c>
      <c r="K521" s="9" t="n">
        <v>21.46173</v>
      </c>
      <c r="L521" s="9" t="n">
        <v>80.1926</v>
      </c>
      <c r="M521" s="9" t="inlineStr">
        <is>
          <t>https://www.google.com/maps/place/?q=place_id:ChIJVy7KC62uKzoRZ6KeTbduRuk</t>
        </is>
      </c>
    </row>
    <row r="522">
      <c r="A522" s="9" t="n">
        <v>518</v>
      </c>
      <c r="B522" s="9" t="inlineStr">
        <is>
          <t>Kalyan</t>
        </is>
      </c>
      <c r="C522" s="9" t="inlineStr">
        <is>
          <t>Kalyan</t>
        </is>
      </c>
      <c r="D522" s="9" t="inlineStr">
        <is>
          <t>Maharashtra</t>
        </is>
      </c>
      <c r="E522" s="9" t="inlineStr">
        <is>
          <t>India</t>
        </is>
      </c>
      <c r="F522" s="9" t="n">
        <v>1</v>
      </c>
      <c r="G522" s="9" t="n">
        <v>1</v>
      </c>
      <c r="H522" s="9" t="n">
        <v>1</v>
      </c>
      <c r="I522" s="10" t="n">
        <v>42935</v>
      </c>
      <c r="J522" s="10" t="n">
        <v>42935</v>
      </c>
      <c r="K522" s="9" t="n">
        <v>19.23541</v>
      </c>
      <c r="L522" s="9" t="n">
        <v>73.13102000000001</v>
      </c>
      <c r="M522" s="9" t="inlineStr">
        <is>
          <t>https://www.google.com/maps/place/?q=place_id:ChIJWbPd8M2V5zsRfungrnchD_c</t>
        </is>
      </c>
    </row>
    <row r="523">
      <c r="A523" s="9" t="n">
        <v>519</v>
      </c>
      <c r="B523" s="9" t="inlineStr">
        <is>
          <t>Mumbai</t>
        </is>
      </c>
      <c r="C523" s="9" t="inlineStr">
        <is>
          <t>Mumbai</t>
        </is>
      </c>
      <c r="D523" s="9" t="inlineStr">
        <is>
          <t>Maharashtra</t>
        </is>
      </c>
      <c r="E523" s="9" t="inlineStr">
        <is>
          <t>India</t>
        </is>
      </c>
      <c r="F523" s="9" t="n">
        <v>6</v>
      </c>
      <c r="G523" s="9" t="n">
        <v>5</v>
      </c>
      <c r="H523" s="9" t="n">
        <v>4</v>
      </c>
      <c r="I523" s="10" t="n">
        <v>43617</v>
      </c>
      <c r="J523" s="10" t="n">
        <v>45930</v>
      </c>
      <c r="K523" s="9" t="n">
        <v>19.09022</v>
      </c>
      <c r="L523" s="9" t="n">
        <v>72.86281</v>
      </c>
      <c r="M523" s="9" t="inlineStr">
        <is>
          <t>https://www.google.com/maps/place/?q=place_id:ChIJRym9mVDI5zsRrqh0xGAazB4</t>
        </is>
      </c>
    </row>
    <row r="524">
      <c r="A524" s="9" t="n">
        <v>520</v>
      </c>
      <c r="B524" s="9" t="inlineStr">
        <is>
          <t>Mumbai</t>
        </is>
      </c>
      <c r="C524" s="9" t="inlineStr">
        <is>
          <t>Mumbai</t>
        </is>
      </c>
      <c r="D524" s="9" t="inlineStr">
        <is>
          <t>Maharashtra</t>
        </is>
      </c>
      <c r="E524" s="9" t="inlineStr">
        <is>
          <t>India</t>
        </is>
      </c>
      <c r="F524" s="9" t="n">
        <v>4</v>
      </c>
      <c r="G524" s="9" t="n">
        <v>4</v>
      </c>
      <c r="H524" s="9" t="n">
        <v>3</v>
      </c>
      <c r="I524" s="10" t="n">
        <v>42123</v>
      </c>
      <c r="J524" s="10" t="n">
        <v>45930</v>
      </c>
      <c r="K524" s="9" t="n">
        <v>19.11302</v>
      </c>
      <c r="L524" s="9" t="n">
        <v>72.82658000000001</v>
      </c>
      <c r="M524" s="9" t="inlineStr">
        <is>
          <t>https://www.google.com/maps/place/?q=place_id:ChIJLzY0POjJ5zsRSA6DT53G1wY</t>
        </is>
      </c>
    </row>
    <row r="525">
      <c r="A525" s="9" t="n">
        <v>521</v>
      </c>
      <c r="B525" s="9" t="inlineStr">
        <is>
          <t>Mumbai</t>
        </is>
      </c>
      <c r="C525" s="9" t="inlineStr">
        <is>
          <t>Mumbai</t>
        </is>
      </c>
      <c r="D525" s="9" t="inlineStr">
        <is>
          <t>Maharashtra</t>
        </is>
      </c>
      <c r="E525" s="9" t="inlineStr">
        <is>
          <t>India</t>
        </is>
      </c>
      <c r="F525" s="9" t="n">
        <v>2</v>
      </c>
      <c r="G525" s="9" t="n">
        <v>2</v>
      </c>
      <c r="H525" s="9" t="n">
        <v>2</v>
      </c>
      <c r="I525" s="10" t="n">
        <v>42118</v>
      </c>
      <c r="J525" s="10" t="n">
        <v>42930</v>
      </c>
      <c r="K525" s="9" t="n">
        <v>18.96963</v>
      </c>
      <c r="L525" s="9" t="n">
        <v>72.81931</v>
      </c>
      <c r="M525" s="9" t="inlineStr">
        <is>
          <t>https://www.google.com/maps/place/?q=place_id:ChIJvWUwiW7O5zsRUhbzPs3reZg</t>
        </is>
      </c>
    </row>
    <row r="526">
      <c r="A526" s="9" t="n">
        <v>522</v>
      </c>
      <c r="B526" s="9" t="inlineStr">
        <is>
          <t>Uran</t>
        </is>
      </c>
      <c r="C526" s="9" t="inlineStr">
        <is>
          <t>Mumbai</t>
        </is>
      </c>
      <c r="D526" s="9" t="inlineStr">
        <is>
          <t>Maharashtra</t>
        </is>
      </c>
      <c r="E526" s="9" t="inlineStr">
        <is>
          <t>India</t>
        </is>
      </c>
      <c r="F526" s="9" t="n">
        <v>1</v>
      </c>
      <c r="G526" s="9" t="n">
        <v>1</v>
      </c>
      <c r="H526" s="9" t="n">
        <v>1</v>
      </c>
      <c r="I526" s="10" t="n">
        <v>42118</v>
      </c>
      <c r="J526" s="10" t="n">
        <v>42118</v>
      </c>
      <c r="K526" s="9" t="n">
        <v>18.94107</v>
      </c>
      <c r="L526" s="9" t="n">
        <v>72.82782</v>
      </c>
      <c r="M526" s="9" t="inlineStr">
        <is>
          <t>https://www.google.com/maps/place/?q=place_id:ChIJkwIlDeDR5zsRkVBOhODKuv4</t>
        </is>
      </c>
    </row>
    <row r="527">
      <c r="A527" s="9" t="n">
        <v>523</v>
      </c>
      <c r="B527" s="9" t="inlineStr">
        <is>
          <t>Mumbai</t>
        </is>
      </c>
      <c r="C527" s="9" t="inlineStr">
        <is>
          <t>Mumbai</t>
        </is>
      </c>
      <c r="D527" s="9" t="inlineStr">
        <is>
          <t>Maharashtra</t>
        </is>
      </c>
      <c r="E527" s="9" t="inlineStr">
        <is>
          <t>India</t>
        </is>
      </c>
      <c r="F527" s="9" t="n">
        <v>1</v>
      </c>
      <c r="G527" s="9" t="n">
        <v>1</v>
      </c>
      <c r="H527" s="9" t="n">
        <v>1</v>
      </c>
      <c r="I527" s="10" t="n">
        <v>42929</v>
      </c>
      <c r="J527" s="10" t="n">
        <v>42929</v>
      </c>
      <c r="K527" s="9" t="n">
        <v>19.01804</v>
      </c>
      <c r="L527" s="9" t="n">
        <v>72.84362</v>
      </c>
      <c r="M527" s="9" t="inlineStr">
        <is>
          <t>https://www.google.com/maps/place/?q=place_id:ChIJCwutcdzO5zsR_OaUwR9amHQ</t>
        </is>
      </c>
    </row>
    <row r="528">
      <c r="A528" s="9" t="n">
        <v>524</v>
      </c>
      <c r="B528" s="9" t="inlineStr">
        <is>
          <t>Mumbai</t>
        </is>
      </c>
      <c r="C528" s="9" t="inlineStr">
        <is>
          <t>Mumbai</t>
        </is>
      </c>
      <c r="D528" s="9" t="inlineStr">
        <is>
          <t>Maharashtra</t>
        </is>
      </c>
      <c r="E528" s="9" t="inlineStr">
        <is>
          <t>India</t>
        </is>
      </c>
      <c r="F528" s="9" t="n">
        <v>1</v>
      </c>
      <c r="G528" s="9" t="n">
        <v>1</v>
      </c>
      <c r="H528" s="9" t="n">
        <v>1</v>
      </c>
      <c r="I528" s="10" t="n">
        <v>45487</v>
      </c>
      <c r="J528" s="10" t="n">
        <v>45487</v>
      </c>
      <c r="K528" s="9" t="n">
        <v>19.01699</v>
      </c>
      <c r="L528" s="9" t="n">
        <v>72.8304</v>
      </c>
      <c r="M528" s="9" t="inlineStr">
        <is>
          <t>https://www.google.com/maps/place/?q=place_id:ChIJw-tR2MDO5zsRKWNSFGmHYcw</t>
        </is>
      </c>
    </row>
    <row r="529">
      <c r="A529" s="9" t="n">
        <v>525</v>
      </c>
      <c r="B529" s="9" t="inlineStr">
        <is>
          <t>Mumbai</t>
        </is>
      </c>
      <c r="C529" s="9" t="inlineStr">
        <is>
          <t>Mumbai</t>
        </is>
      </c>
      <c r="D529" s="9" t="inlineStr">
        <is>
          <t>Maharashtra</t>
        </is>
      </c>
      <c r="E529" s="9" t="inlineStr">
        <is>
          <t>India</t>
        </is>
      </c>
      <c r="F529" s="9" t="n">
        <v>1</v>
      </c>
      <c r="G529" s="9" t="n">
        <v>1</v>
      </c>
      <c r="H529" s="9" t="n">
        <v>1</v>
      </c>
      <c r="I529" s="10" t="n">
        <v>45487</v>
      </c>
      <c r="J529" s="10" t="n">
        <v>45487</v>
      </c>
      <c r="K529" s="9" t="n">
        <v>19.01245</v>
      </c>
      <c r="L529" s="9" t="n">
        <v>72.82678</v>
      </c>
      <c r="M529" s="9" t="inlineStr">
        <is>
          <t>https://www.google.com/maps/place/?q=place_id:ChIJY3845f7rvzsR84QkYq7E8L4</t>
        </is>
      </c>
    </row>
    <row r="530">
      <c r="A530" s="9" t="n">
        <v>526</v>
      </c>
      <c r="B530" s="9" t="inlineStr">
        <is>
          <t>Mumbai</t>
        </is>
      </c>
      <c r="C530" s="9" t="inlineStr">
        <is>
          <t>Mumbai</t>
        </is>
      </c>
      <c r="D530" s="9" t="inlineStr">
        <is>
          <t>Maharashtra</t>
        </is>
      </c>
      <c r="E530" s="9" t="inlineStr">
        <is>
          <t>India</t>
        </is>
      </c>
      <c r="F530" s="9" t="n">
        <v>1</v>
      </c>
      <c r="G530" s="9" t="n">
        <v>1</v>
      </c>
      <c r="H530" s="9" t="n">
        <v>1</v>
      </c>
      <c r="I530" s="10" t="n">
        <v>45487</v>
      </c>
      <c r="J530" s="10" t="n">
        <v>45487</v>
      </c>
      <c r="K530" s="9" t="n">
        <v>19.10769</v>
      </c>
      <c r="L530" s="9" t="n">
        <v>72.83969</v>
      </c>
      <c r="M530" s="9" t="inlineStr">
        <is>
          <t>https://www.google.com/maps/place/?q=place_id:ChIJP8d6JcbJ5zsRyKjRCEHzsXA</t>
        </is>
      </c>
    </row>
    <row r="531">
      <c r="A531" s="9" t="n">
        <v>527</v>
      </c>
      <c r="B531" s="9" t="inlineStr">
        <is>
          <t>Nagpur</t>
        </is>
      </c>
      <c r="C531" s="9" t="inlineStr">
        <is>
          <t>Nagpur</t>
        </is>
      </c>
      <c r="D531" s="9" t="inlineStr">
        <is>
          <t>Maharashtra</t>
        </is>
      </c>
      <c r="E531" s="9" t="inlineStr">
        <is>
          <t>India</t>
        </is>
      </c>
      <c r="F531" s="9" t="n">
        <v>8</v>
      </c>
      <c r="G531" s="9" t="n">
        <v>8</v>
      </c>
      <c r="H531" s="9" t="n">
        <v>8</v>
      </c>
      <c r="I531" s="10" t="n">
        <v>42981</v>
      </c>
      <c r="J531" s="10" t="n">
        <v>43496</v>
      </c>
      <c r="K531" s="9" t="n">
        <v>21.15231</v>
      </c>
      <c r="L531" s="9" t="n">
        <v>79.08822000000001</v>
      </c>
      <c r="M531" s="9" t="inlineStr">
        <is>
          <t>https://www.google.com/maps/place/?q=place_id:ChIJaRQkRcLA1DsRPJTE3LI_AII</t>
        </is>
      </c>
    </row>
    <row r="532">
      <c r="A532" s="9" t="n">
        <v>528</v>
      </c>
      <c r="B532" s="9" t="inlineStr">
        <is>
          <t>Kamthi</t>
        </is>
      </c>
      <c r="C532" s="9" t="inlineStr">
        <is>
          <t>Nagpur</t>
        </is>
      </c>
      <c r="D532" s="9" t="inlineStr">
        <is>
          <t>Maharashtra</t>
        </is>
      </c>
      <c r="E532" s="9" t="inlineStr">
        <is>
          <t>India</t>
        </is>
      </c>
      <c r="F532" s="9" t="n">
        <v>1</v>
      </c>
      <c r="G532" s="9" t="n">
        <v>1</v>
      </c>
      <c r="H532" s="9" t="n">
        <v>1</v>
      </c>
      <c r="I532" s="10" t="n">
        <v>42993</v>
      </c>
      <c r="J532" s="10" t="n">
        <v>42993</v>
      </c>
      <c r="K532" s="9" t="n">
        <v>21.22703</v>
      </c>
      <c r="L532" s="9" t="n">
        <v>79.20008</v>
      </c>
      <c r="M532" s="9" t="inlineStr">
        <is>
          <t>https://www.google.com/maps/place/?q=place_id:ChIJN67zVFTP1DsRvQcPFIIP0OU</t>
        </is>
      </c>
    </row>
    <row r="533">
      <c r="A533" s="9" t="n">
        <v>529</v>
      </c>
      <c r="B533" s="9" t="inlineStr">
        <is>
          <t>Nanded</t>
        </is>
      </c>
      <c r="C533" s="9" t="inlineStr">
        <is>
          <t>Nanded</t>
        </is>
      </c>
      <c r="D533" s="9" t="inlineStr">
        <is>
          <t>Maharashtra</t>
        </is>
      </c>
      <c r="E533" s="9" t="inlineStr">
        <is>
          <t>India</t>
        </is>
      </c>
      <c r="F533" s="9" t="n">
        <v>1</v>
      </c>
      <c r="G533" s="9" t="n">
        <v>1</v>
      </c>
      <c r="H533" s="9" t="n">
        <v>1</v>
      </c>
      <c r="I533" s="10" t="n">
        <v>44753</v>
      </c>
      <c r="J533" s="10" t="n">
        <v>44753</v>
      </c>
      <c r="K533" s="9" t="n">
        <v>19.16023</v>
      </c>
      <c r="L533" s="9" t="n">
        <v>77.31017</v>
      </c>
      <c r="M533" s="9" t="inlineStr">
        <is>
          <t>https://www.google.com/maps/place/?q=place_id:ChIJaTorskLW0TsRiXCgu-Q3kTg</t>
        </is>
      </c>
    </row>
    <row r="534">
      <c r="A534" s="9" t="n">
        <v>530</v>
      </c>
      <c r="B534" s="9" t="inlineStr">
        <is>
          <t>Mudkhed</t>
        </is>
      </c>
      <c r="C534" s="9" t="inlineStr">
        <is>
          <t>Nanded</t>
        </is>
      </c>
      <c r="D534" s="9" t="inlineStr">
        <is>
          <t>Maharashtra</t>
        </is>
      </c>
      <c r="E534" s="9" t="inlineStr">
        <is>
          <t>India</t>
        </is>
      </c>
      <c r="F534" s="9" t="n">
        <v>1</v>
      </c>
      <c r="G534" s="9" t="n">
        <v>1</v>
      </c>
      <c r="H534" s="9" t="n">
        <v>1</v>
      </c>
      <c r="I534" s="10" t="n">
        <v>44753</v>
      </c>
      <c r="J534" s="10" t="n">
        <v>44753</v>
      </c>
      <c r="K534" s="9" t="n">
        <v>19.10834</v>
      </c>
      <c r="L534" s="9" t="n">
        <v>77.54432</v>
      </c>
      <c r="M534" s="9" t="inlineStr">
        <is>
          <t>https://www.google.com/maps/place/?q=place_id:ChIJ5Txf8zkgzjsRk0khMr20XM8</t>
        </is>
      </c>
    </row>
    <row r="535">
      <c r="A535" s="9" t="n">
        <v>531</v>
      </c>
      <c r="B535" s="9" t="inlineStr">
        <is>
          <t>Panvel</t>
        </is>
      </c>
      <c r="C535" s="9" t="inlineStr">
        <is>
          <t>Navi Mumbai</t>
        </is>
      </c>
      <c r="D535" s="9" t="inlineStr">
        <is>
          <t>Maharashtra</t>
        </is>
      </c>
      <c r="E535" s="9" t="inlineStr">
        <is>
          <t>India</t>
        </is>
      </c>
      <c r="F535" s="9" t="n">
        <v>1</v>
      </c>
      <c r="G535" s="9" t="n">
        <v>1</v>
      </c>
      <c r="H535" s="9" t="n">
        <v>1</v>
      </c>
      <c r="I535" s="10" t="n">
        <v>42929</v>
      </c>
      <c r="J535" s="10" t="n">
        <v>42929</v>
      </c>
      <c r="K535" s="9" t="n">
        <v>18.99089</v>
      </c>
      <c r="L535" s="9" t="n">
        <v>73.12074</v>
      </c>
      <c r="M535" s="9" t="inlineStr">
        <is>
          <t>https://www.google.com/maps/place/?q=place_id:ChIJ31ORXGjo5zsRCo0ybAmmuHM</t>
        </is>
      </c>
    </row>
    <row r="536">
      <c r="A536" s="9" t="n">
        <v>532</v>
      </c>
      <c r="B536" s="9" t="inlineStr">
        <is>
          <t>Pandharpur</t>
        </is>
      </c>
      <c r="C536" s="9" t="inlineStr">
        <is>
          <t>Pandharpur</t>
        </is>
      </c>
      <c r="D536" s="9" t="inlineStr">
        <is>
          <t>Maharashtra</t>
        </is>
      </c>
      <c r="E536" s="9" t="inlineStr">
        <is>
          <t>India</t>
        </is>
      </c>
      <c r="F536" s="9" t="n">
        <v>2</v>
      </c>
      <c r="G536" s="9" t="n">
        <v>2</v>
      </c>
      <c r="H536" s="9" t="n">
        <v>1</v>
      </c>
      <c r="I536" s="10" t="n">
        <v>42768</v>
      </c>
      <c r="J536" s="10" t="n">
        <v>42769</v>
      </c>
      <c r="K536" s="9" t="n">
        <v>17.67748</v>
      </c>
      <c r="L536" s="9" t="n">
        <v>75.33454</v>
      </c>
      <c r="M536" s="9" t="inlineStr">
        <is>
          <t>https://www.google.com/maps/place/?q=place_id:ChIJGbluxQMYxDsRSuwL1enFi0I</t>
        </is>
      </c>
    </row>
    <row r="537">
      <c r="A537" s="9" t="n">
        <v>533</v>
      </c>
      <c r="B537" s="9" t="inlineStr">
        <is>
          <t>Pandharpur</t>
        </is>
      </c>
      <c r="C537" s="9" t="inlineStr">
        <is>
          <t>Pandharpur</t>
        </is>
      </c>
      <c r="D537" s="9" t="inlineStr">
        <is>
          <t>Maharashtra</t>
        </is>
      </c>
      <c r="E537" s="9" t="inlineStr">
        <is>
          <t>India</t>
        </is>
      </c>
      <c r="F537" s="9" t="n">
        <v>1</v>
      </c>
      <c r="G537" s="9" t="n">
        <v>1</v>
      </c>
      <c r="H537" s="9" t="n">
        <v>1</v>
      </c>
      <c r="I537" s="10" t="n">
        <v>42768</v>
      </c>
      <c r="J537" s="10" t="n">
        <v>42768</v>
      </c>
      <c r="K537" s="9" t="n">
        <v>17.67755</v>
      </c>
      <c r="L537" s="9" t="n">
        <v>75.33538</v>
      </c>
      <c r="M537" s="9" t="inlineStr">
        <is>
          <t>https://www.google.com/maps/place/?q=place_id:ChIJCdBugiTBwjsRIz15iETDEOw</t>
        </is>
      </c>
    </row>
    <row r="538">
      <c r="A538" s="9" t="n">
        <v>534</v>
      </c>
      <c r="B538" s="9" t="inlineStr">
        <is>
          <t>Pandharpur</t>
        </is>
      </c>
      <c r="C538" s="9" t="inlineStr">
        <is>
          <t>Pandharpur</t>
        </is>
      </c>
      <c r="D538" s="9" t="inlineStr">
        <is>
          <t>Maharashtra</t>
        </is>
      </c>
      <c r="E538" s="9" t="inlineStr">
        <is>
          <t>India</t>
        </is>
      </c>
      <c r="F538" s="9" t="n">
        <v>1</v>
      </c>
      <c r="G538" s="9" t="n">
        <v>1</v>
      </c>
      <c r="H538" s="9" t="n">
        <v>1</v>
      </c>
      <c r="I538" s="10" t="n">
        <v>42769</v>
      </c>
      <c r="J538" s="10" t="n">
        <v>42769</v>
      </c>
      <c r="K538" s="9" t="n">
        <v>17.68182</v>
      </c>
      <c r="L538" s="9" t="n">
        <v>75.34162999999999</v>
      </c>
      <c r="M538" s="9" t="inlineStr">
        <is>
          <t>https://www.google.com/maps/place/?q=place_id:ChIJpaV6U1U9xDsRiSaXEZLieP0</t>
        </is>
      </c>
    </row>
    <row r="539">
      <c r="A539" s="9" t="n">
        <v>535</v>
      </c>
      <c r="B539" s="9" t="inlineStr">
        <is>
          <t>Purna</t>
        </is>
      </c>
      <c r="C539" s="9" t="inlineStr">
        <is>
          <t>Purna</t>
        </is>
      </c>
      <c r="D539" s="9" t="inlineStr">
        <is>
          <t>Maharashtra</t>
        </is>
      </c>
      <c r="E539" s="9" t="inlineStr">
        <is>
          <t>India</t>
        </is>
      </c>
      <c r="F539" s="9" t="n">
        <v>1</v>
      </c>
      <c r="G539" s="9" t="n">
        <v>2</v>
      </c>
      <c r="H539" s="9" t="n">
        <v>1</v>
      </c>
      <c r="I539" s="10" t="n">
        <v>44752</v>
      </c>
      <c r="J539" s="10" t="n">
        <v>44753</v>
      </c>
      <c r="K539" s="9" t="n">
        <v>19.18097</v>
      </c>
      <c r="L539" s="9" t="n">
        <v>77.02575</v>
      </c>
      <c r="M539" s="9" t="inlineStr">
        <is>
          <t>https://www.google.com/maps/place/?q=place_id:ChIJk5QpZ7wo0DsRAPj7g2o8hY8</t>
        </is>
      </c>
    </row>
    <row r="540">
      <c r="A540" s="9" t="n">
        <v>536</v>
      </c>
      <c r="B540" s="9" t="inlineStr">
        <is>
          <t>Sholapur</t>
        </is>
      </c>
      <c r="C540" s="9" t="inlineStr">
        <is>
          <t>Sholapur</t>
        </is>
      </c>
      <c r="D540" s="9" t="inlineStr">
        <is>
          <t>Maharashtra</t>
        </is>
      </c>
      <c r="E540" s="9" t="inlineStr">
        <is>
          <t>India</t>
        </is>
      </c>
      <c r="F540" s="9" t="n">
        <v>1</v>
      </c>
      <c r="G540" s="9" t="n">
        <v>1</v>
      </c>
      <c r="H540" s="9" t="n">
        <v>1</v>
      </c>
      <c r="I540" s="10" t="n">
        <v>42936</v>
      </c>
      <c r="J540" s="10" t="n">
        <v>42936</v>
      </c>
      <c r="K540" s="9" t="n">
        <v>17.66442</v>
      </c>
      <c r="L540" s="9" t="n">
        <v>75.89297000000001</v>
      </c>
      <c r="M540" s="9" t="inlineStr">
        <is>
          <t>https://www.google.com/maps/place/?q=place_id:ChIJgUlJUJvQxTsRxc9X7dtpT0U</t>
        </is>
      </c>
    </row>
    <row r="541">
      <c r="A541" s="9" t="n">
        <v>537</v>
      </c>
      <c r="B541" s="9" t="inlineStr">
        <is>
          <t>Balasore</t>
        </is>
      </c>
      <c r="C541" s="9" t="inlineStr">
        <is>
          <t>Balasore</t>
        </is>
      </c>
      <c r="D541" s="9" t="inlineStr">
        <is>
          <t>Odisha</t>
        </is>
      </c>
      <c r="E541" s="9" t="inlineStr">
        <is>
          <t>India</t>
        </is>
      </c>
      <c r="F541" s="9" t="n">
        <v>1</v>
      </c>
      <c r="G541" s="9" t="n">
        <v>1</v>
      </c>
      <c r="H541" s="9" t="n">
        <v>1</v>
      </c>
      <c r="I541" s="10" t="n">
        <v>43393</v>
      </c>
      <c r="J541" s="10" t="n">
        <v>43393</v>
      </c>
      <c r="K541" s="9" t="n">
        <v>21.50109</v>
      </c>
      <c r="L541" s="9" t="n">
        <v>86.92010000000001</v>
      </c>
      <c r="M541" s="9" t="inlineStr">
        <is>
          <t>https://www.google.com/maps/place/?q=place_id:ChIJZ_lCKZ_1HDoRqQVswRHiTsU</t>
        </is>
      </c>
    </row>
    <row r="542">
      <c r="A542" s="9" t="n">
        <v>538</v>
      </c>
      <c r="B542" s="9" t="inlineStr">
        <is>
          <t>Bhubaneswar</t>
        </is>
      </c>
      <c r="C542" s="9" t="inlineStr">
        <is>
          <t>Bhubaneswar</t>
        </is>
      </c>
      <c r="D542" s="9" t="inlineStr">
        <is>
          <t>Odisha</t>
        </is>
      </c>
      <c r="E542" s="9" t="inlineStr">
        <is>
          <t>India</t>
        </is>
      </c>
      <c r="F542" s="9" t="n">
        <v>7</v>
      </c>
      <c r="G542" s="9" t="n">
        <v>5</v>
      </c>
      <c r="H542" s="9" t="n">
        <v>2</v>
      </c>
      <c r="I542" s="10" t="n">
        <v>43386</v>
      </c>
      <c r="J542" s="10" t="n">
        <v>43859</v>
      </c>
      <c r="K542" s="9" t="n">
        <v>20.28908</v>
      </c>
      <c r="L542" s="9" t="n">
        <v>85.81332</v>
      </c>
      <c r="M542" s="9" t="inlineStr">
        <is>
          <t>https://www.google.com/maps/place/?q=place_id:ChIJAQAAQM0JGToRin-K86EhiYo</t>
        </is>
      </c>
    </row>
    <row r="543">
      <c r="A543" s="9" t="n">
        <v>539</v>
      </c>
      <c r="B543" s="9" t="inlineStr">
        <is>
          <t>Bhubaneswar</t>
        </is>
      </c>
      <c r="C543" s="9" t="inlineStr">
        <is>
          <t>Bhubaneswar</t>
        </is>
      </c>
      <c r="D543" s="9" t="inlineStr">
        <is>
          <t>Odisha</t>
        </is>
      </c>
      <c r="E543" s="9" t="inlineStr">
        <is>
          <t>India</t>
        </is>
      </c>
      <c r="F543" s="9" t="n">
        <v>6</v>
      </c>
      <c r="G543" s="9" t="n">
        <v>5</v>
      </c>
      <c r="H543" s="9" t="n">
        <v>3</v>
      </c>
      <c r="I543" s="10" t="n">
        <v>43854</v>
      </c>
      <c r="J543" s="10" t="n">
        <v>44911</v>
      </c>
      <c r="K543" s="9" t="n">
        <v>20.25068</v>
      </c>
      <c r="L543" s="9" t="n">
        <v>85.81453</v>
      </c>
      <c r="M543" s="9" t="inlineStr">
        <is>
          <t>https://www.google.com/maps/place/?q=place_id:ChIJjXVMAw-nGToRUzV7Vt1OQ9o</t>
        </is>
      </c>
    </row>
    <row r="544">
      <c r="A544" s="9" t="n">
        <v>540</v>
      </c>
      <c r="B544" s="9" t="inlineStr">
        <is>
          <t>Bhubaneswar</t>
        </is>
      </c>
      <c r="C544" s="9" t="inlineStr">
        <is>
          <t>Bhubaneswar</t>
        </is>
      </c>
      <c r="D544" s="9" t="inlineStr">
        <is>
          <t>Odisha</t>
        </is>
      </c>
      <c r="E544" s="9" t="inlineStr">
        <is>
          <t>India</t>
        </is>
      </c>
      <c r="F544" s="9" t="n">
        <v>4</v>
      </c>
      <c r="G544" s="9" t="n">
        <v>2</v>
      </c>
      <c r="H544" s="9" t="n">
        <v>1</v>
      </c>
      <c r="I544" s="10" t="n">
        <v>43856</v>
      </c>
      <c r="J544" s="10" t="n">
        <v>43857</v>
      </c>
      <c r="K544" s="9" t="n">
        <v>20.30336</v>
      </c>
      <c r="L544" s="9" t="n">
        <v>85.82307</v>
      </c>
      <c r="M544" s="9" t="inlineStr">
        <is>
          <t>https://www.google.com/maps/place/?q=place_id:ChIJy36dy8AJGToRaJsg0XveefQ</t>
        </is>
      </c>
    </row>
    <row r="545">
      <c r="A545" s="9" t="n">
        <v>541</v>
      </c>
      <c r="B545" s="9" t="inlineStr">
        <is>
          <t>Bhubaneswar</t>
        </is>
      </c>
      <c r="C545" s="9" t="inlineStr">
        <is>
          <t>Bhubaneswar</t>
        </is>
      </c>
      <c r="D545" s="9" t="inlineStr">
        <is>
          <t>Odisha</t>
        </is>
      </c>
      <c r="E545" s="9" t="inlineStr">
        <is>
          <t>India</t>
        </is>
      </c>
      <c r="F545" s="9" t="n">
        <v>3</v>
      </c>
      <c r="G545" s="9" t="n">
        <v>2</v>
      </c>
      <c r="H545" s="9" t="n">
        <v>2</v>
      </c>
      <c r="I545" s="10" t="n">
        <v>43386</v>
      </c>
      <c r="J545" s="10" t="n">
        <v>43394</v>
      </c>
      <c r="K545" s="9" t="n">
        <v>20.26676</v>
      </c>
      <c r="L545" s="9" t="n">
        <v>85.84341999999999</v>
      </c>
      <c r="M545" s="9" t="inlineStr">
        <is>
          <t>https://www.google.com/maps/place/?q=place_id:ChIJ6y2kgE6nGToRNcVr8AtzqS8</t>
        </is>
      </c>
    </row>
    <row r="546">
      <c r="A546" s="9" t="n">
        <v>542</v>
      </c>
      <c r="B546" s="9" t="inlineStr">
        <is>
          <t>Bhubaneswar</t>
        </is>
      </c>
      <c r="C546" s="9" t="inlineStr">
        <is>
          <t>Bhubaneswar</t>
        </is>
      </c>
      <c r="D546" s="9" t="inlineStr">
        <is>
          <t>Odisha</t>
        </is>
      </c>
      <c r="E546" s="9" t="inlineStr">
        <is>
          <t>India</t>
        </is>
      </c>
      <c r="F546" s="9" t="n">
        <v>3</v>
      </c>
      <c r="G546" s="9" t="n">
        <v>3</v>
      </c>
      <c r="H546" s="9" t="n">
        <v>3</v>
      </c>
      <c r="I546" s="10" t="n">
        <v>43386</v>
      </c>
      <c r="J546" s="10" t="n">
        <v>44909</v>
      </c>
      <c r="K546" s="9" t="n">
        <v>20.23825</v>
      </c>
      <c r="L546" s="9" t="n">
        <v>85.83403</v>
      </c>
      <c r="M546" s="9" t="inlineStr">
        <is>
          <t>https://www.google.com/maps/place/?q=place_id:ChIJB8j_yCanGToRzaJWlPhFKCE</t>
        </is>
      </c>
    </row>
    <row r="547">
      <c r="A547" s="9" t="n">
        <v>543</v>
      </c>
      <c r="B547" s="9" t="inlineStr">
        <is>
          <t>Bhubaneswar</t>
        </is>
      </c>
      <c r="C547" s="9" t="inlineStr">
        <is>
          <t>Bhubaneswar</t>
        </is>
      </c>
      <c r="D547" s="9" t="inlineStr">
        <is>
          <t>Odisha</t>
        </is>
      </c>
      <c r="E547" s="9" t="inlineStr">
        <is>
          <t>India</t>
        </is>
      </c>
      <c r="F547" s="9" t="n">
        <v>2</v>
      </c>
      <c r="G547" s="9" t="n">
        <v>1</v>
      </c>
      <c r="H547" s="9" t="n">
        <v>1</v>
      </c>
      <c r="I547" s="10" t="n">
        <v>43854</v>
      </c>
      <c r="J547" s="10" t="n">
        <v>43854</v>
      </c>
      <c r="K547" s="9" t="n">
        <v>20.28586</v>
      </c>
      <c r="L547" s="9" t="n">
        <v>85.82853</v>
      </c>
      <c r="M547" s="9" t="inlineStr">
        <is>
          <t>https://www.google.com/maps/place/?q=place_id:ChIJsTOhmOAJGToR8U6EkxYrTz0</t>
        </is>
      </c>
    </row>
    <row r="548">
      <c r="A548" s="9" t="n">
        <v>544</v>
      </c>
      <c r="B548" s="9" t="inlineStr">
        <is>
          <t>Pipili</t>
        </is>
      </c>
      <c r="C548" s="9" t="inlineStr">
        <is>
          <t>Bhubaneswar</t>
        </is>
      </c>
      <c r="D548" s="9" t="inlineStr">
        <is>
          <t>Odisha</t>
        </is>
      </c>
      <c r="E548" s="9" t="inlineStr">
        <is>
          <t>India</t>
        </is>
      </c>
      <c r="F548" s="9" t="n">
        <v>2</v>
      </c>
      <c r="G548" s="9" t="n">
        <v>2</v>
      </c>
      <c r="H548" s="9" t="n">
        <v>2</v>
      </c>
      <c r="I548" s="10" t="n">
        <v>43856</v>
      </c>
      <c r="J548" s="10" t="n">
        <v>44911</v>
      </c>
      <c r="K548" s="9" t="n">
        <v>20.00888</v>
      </c>
      <c r="L548" s="9" t="n">
        <v>85.81377999999999</v>
      </c>
      <c r="M548" s="9" t="inlineStr">
        <is>
          <t>https://www.google.com/maps/place/?q=place_id:ChIJRUaTmUi7GToR7oFAit7pAak</t>
        </is>
      </c>
    </row>
    <row r="549">
      <c r="A549" s="9" t="n">
        <v>545</v>
      </c>
      <c r="B549" s="9" t="inlineStr">
        <is>
          <t>Jatani</t>
        </is>
      </c>
      <c r="C549" s="9" t="inlineStr">
        <is>
          <t>Bhubaneswar</t>
        </is>
      </c>
      <c r="D549" s="9" t="inlineStr">
        <is>
          <t>Odisha</t>
        </is>
      </c>
      <c r="E549" s="9" t="inlineStr">
        <is>
          <t>India</t>
        </is>
      </c>
      <c r="F549" s="9" t="n">
        <v>1</v>
      </c>
      <c r="G549" s="9" t="n">
        <v>1</v>
      </c>
      <c r="H549" s="9" t="n">
        <v>1</v>
      </c>
      <c r="I549" s="10" t="n">
        <v>43386</v>
      </c>
      <c r="J549" s="10" t="n">
        <v>43386</v>
      </c>
      <c r="K549" s="9" t="n">
        <v>20.15338</v>
      </c>
      <c r="L549" s="9" t="n">
        <v>85.70859</v>
      </c>
      <c r="M549" s="9" t="inlineStr">
        <is>
          <t>https://www.google.com/maps/place/?q=place_id:ChIJhYmpweuuGToR2eh6wZRiAAQ</t>
        </is>
      </c>
    </row>
    <row r="550">
      <c r="A550" s="9" t="n">
        <v>546</v>
      </c>
      <c r="B550" s="9" t="inlineStr">
        <is>
          <t>Bhubaneswar</t>
        </is>
      </c>
      <c r="C550" s="9" t="inlineStr">
        <is>
          <t>Bhubaneswar</t>
        </is>
      </c>
      <c r="D550" s="9" t="inlineStr">
        <is>
          <t>Odisha</t>
        </is>
      </c>
      <c r="E550" s="9" t="inlineStr">
        <is>
          <t>India</t>
        </is>
      </c>
      <c r="F550" s="9" t="n">
        <v>1</v>
      </c>
      <c r="G550" s="9" t="n">
        <v>1</v>
      </c>
      <c r="H550" s="9" t="n">
        <v>1</v>
      </c>
      <c r="I550" s="10" t="n">
        <v>43854</v>
      </c>
      <c r="J550" s="10" t="n">
        <v>43854</v>
      </c>
      <c r="K550" s="9" t="n">
        <v>20.30407</v>
      </c>
      <c r="L550" s="9" t="n">
        <v>85.82314</v>
      </c>
      <c r="M550" s="9" t="inlineStr">
        <is>
          <t>https://www.google.com/maps/place/?q=place_id:ChIJza2YoLgJGToRra_0CPdhuZk</t>
        </is>
      </c>
    </row>
    <row r="551">
      <c r="A551" s="9" t="n">
        <v>547</v>
      </c>
      <c r="B551" s="9" t="inlineStr">
        <is>
          <t>Bhubaneswar</t>
        </is>
      </c>
      <c r="C551" s="9" t="inlineStr">
        <is>
          <t>Bhubaneswar</t>
        </is>
      </c>
      <c r="D551" s="9" t="inlineStr">
        <is>
          <t>Odisha</t>
        </is>
      </c>
      <c r="E551" s="9" t="inlineStr">
        <is>
          <t>India</t>
        </is>
      </c>
      <c r="F551" s="9" t="n">
        <v>1</v>
      </c>
      <c r="G551" s="9" t="n">
        <v>1</v>
      </c>
      <c r="H551" s="9" t="n">
        <v>1</v>
      </c>
      <c r="I551" s="10" t="n">
        <v>43854</v>
      </c>
      <c r="J551" s="10" t="n">
        <v>43854</v>
      </c>
      <c r="K551" s="9" t="n">
        <v>20.29717</v>
      </c>
      <c r="L551" s="9" t="n">
        <v>85.82904000000001</v>
      </c>
      <c r="M551" s="9" t="inlineStr">
        <is>
          <t>https://www.google.com/maps/place/?q=place_id:ChIJfdTHxekJGToRa2bpKSQAfv0</t>
        </is>
      </c>
    </row>
    <row r="552">
      <c r="A552" s="9" t="n">
        <v>548</v>
      </c>
      <c r="B552" s="9" t="inlineStr">
        <is>
          <t>Bhubaneswar</t>
        </is>
      </c>
      <c r="C552" s="9" t="inlineStr">
        <is>
          <t>Bhubaneswar</t>
        </is>
      </c>
      <c r="D552" s="9" t="inlineStr">
        <is>
          <t>Odisha</t>
        </is>
      </c>
      <c r="E552" s="9" t="inlineStr">
        <is>
          <t>India</t>
        </is>
      </c>
      <c r="F552" s="9" t="n">
        <v>1</v>
      </c>
      <c r="G552" s="9" t="n">
        <v>1</v>
      </c>
      <c r="H552" s="9" t="n">
        <v>1</v>
      </c>
      <c r="I552" s="10" t="n">
        <v>43854</v>
      </c>
      <c r="J552" s="10" t="n">
        <v>43854</v>
      </c>
      <c r="K552" s="9" t="n">
        <v>20.27172</v>
      </c>
      <c r="L552" s="9" t="n">
        <v>85.79333</v>
      </c>
      <c r="M552" s="9" t="inlineStr">
        <is>
          <t>https://www.google.com/maps/place/?q=place_id:ChIJKbpjOJWnGToRng2UPtTfA9o</t>
        </is>
      </c>
    </row>
    <row r="553">
      <c r="A553" s="9" t="n">
        <v>549</v>
      </c>
      <c r="B553" s="9" t="inlineStr">
        <is>
          <t>Bhubaneswar</t>
        </is>
      </c>
      <c r="C553" s="9" t="inlineStr">
        <is>
          <t>Bhubaneswar</t>
        </is>
      </c>
      <c r="D553" s="9" t="inlineStr">
        <is>
          <t>Odisha</t>
        </is>
      </c>
      <c r="E553" s="9" t="inlineStr">
        <is>
          <t>India</t>
        </is>
      </c>
      <c r="F553" s="9" t="n">
        <v>1</v>
      </c>
      <c r="G553" s="9" t="n">
        <v>1</v>
      </c>
      <c r="H553" s="9" t="n">
        <v>1</v>
      </c>
      <c r="I553" s="10" t="n">
        <v>43854</v>
      </c>
      <c r="J553" s="10" t="n">
        <v>43854</v>
      </c>
      <c r="K553" s="9" t="n">
        <v>20.29637</v>
      </c>
      <c r="L553" s="9" t="n">
        <v>85.82841000000001</v>
      </c>
      <c r="M553" s="9" t="inlineStr">
        <is>
          <t>https://www.google.com/maps/place/?q=place_id:ChIJKUKW1OkJGToRBSlvE7dHozI</t>
        </is>
      </c>
    </row>
    <row r="554">
      <c r="A554" s="9" t="n">
        <v>550</v>
      </c>
      <c r="B554" s="9" t="inlineStr">
        <is>
          <t>Bhubaneswar</t>
        </is>
      </c>
      <c r="C554" s="9" t="inlineStr">
        <is>
          <t>Bhubaneswar</t>
        </is>
      </c>
      <c r="D554" s="9" t="inlineStr">
        <is>
          <t>Odisha</t>
        </is>
      </c>
      <c r="E554" s="9" t="inlineStr">
        <is>
          <t>India</t>
        </is>
      </c>
      <c r="F554" s="9" t="n">
        <v>1</v>
      </c>
      <c r="G554" s="9" t="n">
        <v>1</v>
      </c>
      <c r="H554" s="9" t="n">
        <v>1</v>
      </c>
      <c r="I554" s="10" t="n">
        <v>43856</v>
      </c>
      <c r="J554" s="10" t="n">
        <v>43856</v>
      </c>
      <c r="K554" s="9" t="n">
        <v>20.26444</v>
      </c>
      <c r="L554" s="9" t="n">
        <v>85.83223</v>
      </c>
      <c r="M554" s="9" t="inlineStr">
        <is>
          <t>https://www.google.com/maps/place/?q=place_id:ChIJQzaM6EOnGToR2dZTyI793Ac</t>
        </is>
      </c>
    </row>
    <row r="555">
      <c r="A555" s="9" t="n">
        <v>551</v>
      </c>
      <c r="B555" s="9" t="inlineStr">
        <is>
          <t>Bhubaneswar</t>
        </is>
      </c>
      <c r="C555" s="9" t="inlineStr">
        <is>
          <t>Bhubaneswar</t>
        </is>
      </c>
      <c r="D555" s="9" t="inlineStr">
        <is>
          <t>Odisha</t>
        </is>
      </c>
      <c r="E555" s="9" t="inlineStr">
        <is>
          <t>India</t>
        </is>
      </c>
      <c r="F555" s="9" t="n">
        <v>1</v>
      </c>
      <c r="G555" s="9" t="n">
        <v>1</v>
      </c>
      <c r="H555" s="9" t="n">
        <v>1</v>
      </c>
      <c r="I555" s="10" t="n">
        <v>43856</v>
      </c>
      <c r="J555" s="10" t="n">
        <v>43856</v>
      </c>
      <c r="K555" s="9" t="n">
        <v>20.2998</v>
      </c>
      <c r="L555" s="9" t="n">
        <v>85.82325</v>
      </c>
      <c r="M555" s="9" t="inlineStr">
        <is>
          <t>https://www.google.com/maps/place/?q=place_id:ChIJf0RrUsEJGToRENGG9CUYohA</t>
        </is>
      </c>
    </row>
    <row r="556">
      <c r="A556" s="9" t="n">
        <v>552</v>
      </c>
      <c r="B556" s="9" t="inlineStr">
        <is>
          <t>Bhubaneswar</t>
        </is>
      </c>
      <c r="C556" s="9" t="inlineStr">
        <is>
          <t>Bhubaneswar</t>
        </is>
      </c>
      <c r="D556" s="9" t="inlineStr">
        <is>
          <t>Odisha</t>
        </is>
      </c>
      <c r="E556" s="9" t="inlineStr">
        <is>
          <t>India</t>
        </is>
      </c>
      <c r="F556" s="9" t="n">
        <v>1</v>
      </c>
      <c r="G556" s="9" t="n">
        <v>1</v>
      </c>
      <c r="H556" s="9" t="n">
        <v>1</v>
      </c>
      <c r="I556" s="10" t="n">
        <v>43856</v>
      </c>
      <c r="J556" s="10" t="n">
        <v>43856</v>
      </c>
      <c r="K556" s="9" t="n">
        <v>20.24089</v>
      </c>
      <c r="L556" s="9" t="n">
        <v>85.83577</v>
      </c>
      <c r="M556" s="9" t="inlineStr">
        <is>
          <t>https://www.google.com/maps/place/?q=place_id:ChIJN-ExLSSnGToR4XGUD3ZDtqc</t>
        </is>
      </c>
    </row>
    <row r="557">
      <c r="A557" s="9" t="n">
        <v>553</v>
      </c>
      <c r="B557" s="9" t="inlineStr">
        <is>
          <t>Nimaparha</t>
        </is>
      </c>
      <c r="C557" s="9" t="inlineStr">
        <is>
          <t>Bhubaneswar</t>
        </is>
      </c>
      <c r="D557" s="9" t="inlineStr">
        <is>
          <t>Odisha</t>
        </is>
      </c>
      <c r="E557" s="9" t="inlineStr">
        <is>
          <t>India</t>
        </is>
      </c>
      <c r="F557" s="9" t="n">
        <v>1</v>
      </c>
      <c r="G557" s="9" t="n">
        <v>1</v>
      </c>
      <c r="H557" s="9" t="n">
        <v>1</v>
      </c>
      <c r="I557" s="10" t="n">
        <v>43857</v>
      </c>
      <c r="J557" s="10" t="n">
        <v>43857</v>
      </c>
      <c r="K557" s="9" t="n">
        <v>20.06148</v>
      </c>
      <c r="L557" s="9" t="n">
        <v>86.0016</v>
      </c>
      <c r="M557" s="9" t="inlineStr">
        <is>
          <t>https://www.google.com/maps/place/?q=place_id:ChIJywYP2y2XGToRFiK_gn36h98</t>
        </is>
      </c>
    </row>
    <row r="558">
      <c r="A558" s="9" t="n">
        <v>554</v>
      </c>
      <c r="B558" s="9" t="inlineStr">
        <is>
          <t>Bhubaneswar</t>
        </is>
      </c>
      <c r="C558" s="9" t="inlineStr">
        <is>
          <t>Bhubaneswar</t>
        </is>
      </c>
      <c r="D558" s="9" t="inlineStr">
        <is>
          <t>Odisha</t>
        </is>
      </c>
      <c r="E558" s="9" t="inlineStr">
        <is>
          <t>India</t>
        </is>
      </c>
      <c r="F558" s="9" t="n">
        <v>1</v>
      </c>
      <c r="G558" s="9" t="n">
        <v>1</v>
      </c>
      <c r="H558" s="9" t="n">
        <v>1</v>
      </c>
      <c r="I558" s="10" t="n">
        <v>43859</v>
      </c>
      <c r="J558" s="10" t="n">
        <v>43859</v>
      </c>
      <c r="K558" s="9" t="n">
        <v>20.2955</v>
      </c>
      <c r="L558" s="9" t="n">
        <v>85.81247999999999</v>
      </c>
      <c r="M558" s="9" t="inlineStr">
        <is>
          <t>https://www.google.com/maps/place/?q=place_id:ChIJq6qqvs0JGToRtRAWMvCUx6E</t>
        </is>
      </c>
    </row>
    <row r="559">
      <c r="A559" s="9" t="n">
        <v>555</v>
      </c>
      <c r="B559" s="9" t="inlineStr">
        <is>
          <t>Nimaparha</t>
        </is>
      </c>
      <c r="C559" s="9" t="inlineStr">
        <is>
          <t>Bhubaneswar</t>
        </is>
      </c>
      <c r="D559" s="9" t="inlineStr">
        <is>
          <t>Odisha</t>
        </is>
      </c>
      <c r="E559" s="9" t="inlineStr">
        <is>
          <t>India</t>
        </is>
      </c>
      <c r="F559" s="9" t="n">
        <v>1</v>
      </c>
      <c r="G559" s="9" t="n">
        <v>1</v>
      </c>
      <c r="H559" s="9" t="n">
        <v>1</v>
      </c>
      <c r="I559" s="10" t="n">
        <v>44909</v>
      </c>
      <c r="J559" s="10" t="n">
        <v>44909</v>
      </c>
      <c r="K559" s="9" t="n">
        <v>20.06503</v>
      </c>
      <c r="L559" s="9" t="n">
        <v>85.99681</v>
      </c>
      <c r="M559" s="9" t="inlineStr">
        <is>
          <t>https://www.google.com/maps/place/?q=place_id:ChIJvU-jADyXGToRG-x8h5REdsI</t>
        </is>
      </c>
    </row>
    <row r="560">
      <c r="A560" s="9" t="n">
        <v>556</v>
      </c>
      <c r="B560" s="9" t="inlineStr">
        <is>
          <t>Bhubaneswar</t>
        </is>
      </c>
      <c r="C560" s="9" t="inlineStr">
        <is>
          <t>Bhubaneswar</t>
        </is>
      </c>
      <c r="D560" s="9" t="inlineStr">
        <is>
          <t>Odisha</t>
        </is>
      </c>
      <c r="E560" s="9" t="inlineStr">
        <is>
          <t>India</t>
        </is>
      </c>
      <c r="F560" s="9" t="n">
        <v>1</v>
      </c>
      <c r="G560" s="9" t="n">
        <v>1</v>
      </c>
      <c r="H560" s="9" t="n">
        <v>1</v>
      </c>
      <c r="I560" s="10" t="n">
        <v>44911</v>
      </c>
      <c r="J560" s="10" t="n">
        <v>44911</v>
      </c>
      <c r="K560" s="9" t="n">
        <v>20.27446</v>
      </c>
      <c r="L560" s="9" t="n">
        <v>85.8154</v>
      </c>
      <c r="M560" s="9" t="inlineStr">
        <is>
          <t>https://www.google.com/maps/place/?q=place_id:ChIJkz_IaQ-nGToRdEEMAnP-h88</t>
        </is>
      </c>
    </row>
    <row r="561">
      <c r="A561" s="9" t="n">
        <v>557</v>
      </c>
      <c r="B561" s="9" t="inlineStr">
        <is>
          <t>Brahmapur</t>
        </is>
      </c>
      <c r="C561" s="9" t="inlineStr">
        <is>
          <t>Brahmapur</t>
        </is>
      </c>
      <c r="D561" s="9" t="inlineStr">
        <is>
          <t>Odisha</t>
        </is>
      </c>
      <c r="E561" s="9" t="inlineStr">
        <is>
          <t>India</t>
        </is>
      </c>
      <c r="F561" s="9" t="n">
        <v>1</v>
      </c>
      <c r="G561" s="9" t="n">
        <v>1</v>
      </c>
      <c r="H561" s="9" t="n">
        <v>1</v>
      </c>
      <c r="I561" s="10" t="n">
        <v>43394</v>
      </c>
      <c r="J561" s="10" t="n">
        <v>43394</v>
      </c>
      <c r="K561" s="9" t="n">
        <v>19.2964</v>
      </c>
      <c r="L561" s="9" t="n">
        <v>84.79703000000001</v>
      </c>
      <c r="M561" s="9" t="inlineStr">
        <is>
          <t>https://www.google.com/maps/place/?q=place_id:ChIJ7SlHHJlaPToRBz-GcH_Nahk</t>
        </is>
      </c>
    </row>
    <row r="562">
      <c r="A562" s="9" t="n">
        <v>558</v>
      </c>
      <c r="B562" s="9" t="inlineStr">
        <is>
          <t>Cuttack</t>
        </is>
      </c>
      <c r="C562" s="9" t="inlineStr">
        <is>
          <t>Cuttack</t>
        </is>
      </c>
      <c r="D562" s="9" t="inlineStr">
        <is>
          <t>Odisha</t>
        </is>
      </c>
      <c r="E562" s="9" t="inlineStr">
        <is>
          <t>India</t>
        </is>
      </c>
      <c r="F562" s="9" t="n">
        <v>1</v>
      </c>
      <c r="G562" s="9" t="n">
        <v>1</v>
      </c>
      <c r="H562" s="9" t="n">
        <v>1</v>
      </c>
      <c r="I562" s="10" t="n">
        <v>43388</v>
      </c>
      <c r="J562" s="10" t="n">
        <v>43388</v>
      </c>
      <c r="K562" s="9" t="n">
        <v>20.46549</v>
      </c>
      <c r="L562" s="9" t="n">
        <v>85.90075</v>
      </c>
      <c r="M562" s="9" t="inlineStr">
        <is>
          <t>https://www.google.com/maps/place/?q=place_id:ChIJuUZZLmUNGToRgh4f0ssH01g</t>
        </is>
      </c>
    </row>
    <row r="563">
      <c r="A563" s="9" t="n">
        <v>559</v>
      </c>
      <c r="B563" s="9" t="inlineStr">
        <is>
          <t>Jajpur</t>
        </is>
      </c>
      <c r="C563" s="9" t="inlineStr">
        <is>
          <t>Jajpur</t>
        </is>
      </c>
      <c r="D563" s="9" t="inlineStr">
        <is>
          <t>Odisha</t>
        </is>
      </c>
      <c r="E563" s="9" t="inlineStr">
        <is>
          <t>India</t>
        </is>
      </c>
      <c r="F563" s="9" t="n">
        <v>1</v>
      </c>
      <c r="G563" s="9" t="n">
        <v>1</v>
      </c>
      <c r="H563" s="9" t="n">
        <v>1</v>
      </c>
      <c r="I563" s="10" t="n">
        <v>43859</v>
      </c>
      <c r="J563" s="10" t="n">
        <v>43859</v>
      </c>
      <c r="K563" s="9" t="n">
        <v>20.83367</v>
      </c>
      <c r="L563" s="9" t="n">
        <v>86.33814</v>
      </c>
      <c r="M563" s="9" t="inlineStr">
        <is>
          <t>https://www.google.com/maps/place/?q=place_id:ChIJyZ2l5p3kGzoRQ5nAXtLEIB0</t>
        </is>
      </c>
    </row>
    <row r="564">
      <c r="A564" s="9" t="n">
        <v>560</v>
      </c>
      <c r="B564" s="9" t="inlineStr">
        <is>
          <t>Jajpur</t>
        </is>
      </c>
      <c r="C564" s="9" t="inlineStr">
        <is>
          <t>Jajpur</t>
        </is>
      </c>
      <c r="D564" s="9" t="inlineStr">
        <is>
          <t>Odisha</t>
        </is>
      </c>
      <c r="E564" s="9" t="inlineStr">
        <is>
          <t>India</t>
        </is>
      </c>
      <c r="F564" s="9" t="n">
        <v>1</v>
      </c>
      <c r="G564" s="9" t="n">
        <v>1</v>
      </c>
      <c r="H564" s="9" t="n">
        <v>1</v>
      </c>
      <c r="I564" s="10" t="n">
        <v>43859</v>
      </c>
      <c r="J564" s="10" t="n">
        <v>43859</v>
      </c>
      <c r="K564" s="9" t="n">
        <v>20.85837</v>
      </c>
      <c r="L564" s="9" t="n">
        <v>86.33562000000001</v>
      </c>
      <c r="M564" s="9" t="inlineStr">
        <is>
          <t>https://www.google.com/maps/place/?q=place_id:ChIJ91mtzlXjGzoRhhhOjE3E_0c</t>
        </is>
      </c>
    </row>
    <row r="565">
      <c r="A565" s="9" t="n">
        <v>561</v>
      </c>
      <c r="B565" s="9" t="inlineStr">
        <is>
          <t>Jaleshwar</t>
        </is>
      </c>
      <c r="C565" s="9" t="inlineStr">
        <is>
          <t>Jaleshwar</t>
        </is>
      </c>
      <c r="D565" s="9" t="inlineStr">
        <is>
          <t>Odisha</t>
        </is>
      </c>
      <c r="E565" s="9" t="inlineStr">
        <is>
          <t>India</t>
        </is>
      </c>
      <c r="F565" s="9" t="n">
        <v>1</v>
      </c>
      <c r="G565" s="9" t="n">
        <v>1</v>
      </c>
      <c r="H565" s="9" t="n">
        <v>1</v>
      </c>
      <c r="I565" s="10" t="n">
        <v>43393</v>
      </c>
      <c r="J565" s="10" t="n">
        <v>43393</v>
      </c>
      <c r="K565" s="9" t="n">
        <v>21.69678</v>
      </c>
      <c r="L565" s="9" t="n">
        <v>87.05992999999999</v>
      </c>
      <c r="M565" s="9" t="inlineStr">
        <is>
          <t>https://www.google.com/maps/place/?q=place_id:ChIJ9_vbUNLkHDoRbcH8HkR_ssk</t>
        </is>
      </c>
    </row>
    <row r="566">
      <c r="A566" s="9" t="n">
        <v>562</v>
      </c>
      <c r="B566" s="9" t="inlineStr">
        <is>
          <t>Konarka</t>
        </is>
      </c>
      <c r="C566" s="9" t="inlineStr">
        <is>
          <t>Konarka</t>
        </is>
      </c>
      <c r="D566" s="9" t="inlineStr">
        <is>
          <t>Odisha</t>
        </is>
      </c>
      <c r="E566" s="9" t="inlineStr">
        <is>
          <t>India</t>
        </is>
      </c>
      <c r="F566" s="9" t="n">
        <v>2</v>
      </c>
      <c r="G566" s="9" t="n">
        <v>2</v>
      </c>
      <c r="H566" s="9" t="n">
        <v>2</v>
      </c>
      <c r="I566" s="10" t="n">
        <v>43857</v>
      </c>
      <c r="J566" s="10" t="n">
        <v>44909</v>
      </c>
      <c r="K566" s="9" t="n">
        <v>19.8876</v>
      </c>
      <c r="L566" s="9" t="n">
        <v>86.09453999999999</v>
      </c>
      <c r="M566" s="9" t="inlineStr">
        <is>
          <t>https://www.google.com/maps/place/?q=place_id:ChIJv5uBl6DyGToRRzIeOcqDme0</t>
        </is>
      </c>
    </row>
    <row r="567">
      <c r="A567" s="9" t="n">
        <v>563</v>
      </c>
      <c r="B567" s="9" t="inlineStr">
        <is>
          <t>Konarka</t>
        </is>
      </c>
      <c r="C567" s="9" t="inlineStr">
        <is>
          <t>Konarka</t>
        </is>
      </c>
      <c r="D567" s="9" t="inlineStr">
        <is>
          <t>Odisha</t>
        </is>
      </c>
      <c r="E567" s="9" t="inlineStr">
        <is>
          <t>India</t>
        </is>
      </c>
      <c r="F567" s="9" t="n">
        <v>1</v>
      </c>
      <c r="G567" s="9" t="n">
        <v>1</v>
      </c>
      <c r="H567" s="9" t="n">
        <v>1</v>
      </c>
      <c r="I567" s="10" t="n">
        <v>43857</v>
      </c>
      <c r="J567" s="10" t="n">
        <v>43857</v>
      </c>
      <c r="K567" s="9" t="n">
        <v>19.88738</v>
      </c>
      <c r="L567" s="9" t="n">
        <v>86.10016</v>
      </c>
      <c r="M567" s="9" t="inlineStr">
        <is>
          <t>https://www.google.com/maps/place/?q=place_id:ChIJgZC5uKPyGToRcR6B5RdcWOY</t>
        </is>
      </c>
    </row>
    <row r="568">
      <c r="A568" s="9" t="n">
        <v>564</v>
      </c>
      <c r="B568" s="9" t="inlineStr">
        <is>
          <t>Puri</t>
        </is>
      </c>
      <c r="C568" s="9" t="inlineStr">
        <is>
          <t>Puri</t>
        </is>
      </c>
      <c r="D568" s="9" t="inlineStr">
        <is>
          <t>Odisha</t>
        </is>
      </c>
      <c r="E568" s="9" t="inlineStr">
        <is>
          <t>India</t>
        </is>
      </c>
      <c r="F568" s="9" t="n">
        <v>8</v>
      </c>
      <c r="G568" s="9" t="n">
        <v>5</v>
      </c>
      <c r="H568" s="9" t="n">
        <v>2</v>
      </c>
      <c r="I568" s="10" t="n">
        <v>43386</v>
      </c>
      <c r="J568" s="10" t="n">
        <v>43859</v>
      </c>
      <c r="K568" s="9" t="n">
        <v>19.81177</v>
      </c>
      <c r="L568" s="9" t="n">
        <v>85.8267</v>
      </c>
      <c r="M568" s="9" t="inlineStr">
        <is>
          <t>https://www.google.com/maps/place/?q=place_id:ChIJl301s5jGGToR1LzzC7PbF10</t>
        </is>
      </c>
    </row>
    <row r="569">
      <c r="A569" s="9" t="n">
        <v>565</v>
      </c>
      <c r="B569" s="9" t="inlineStr">
        <is>
          <t>Puri</t>
        </is>
      </c>
      <c r="C569" s="9" t="inlineStr">
        <is>
          <t>Puri</t>
        </is>
      </c>
      <c r="D569" s="9" t="inlineStr">
        <is>
          <t>Odisha</t>
        </is>
      </c>
      <c r="E569" s="9" t="inlineStr">
        <is>
          <t>India</t>
        </is>
      </c>
      <c r="F569" s="9" t="n">
        <v>6</v>
      </c>
      <c r="G569" s="9" t="n">
        <v>4</v>
      </c>
      <c r="H569" s="9" t="n">
        <v>2</v>
      </c>
      <c r="I569" s="10" t="n">
        <v>43386</v>
      </c>
      <c r="J569" s="10" t="n">
        <v>43855</v>
      </c>
      <c r="K569" s="9" t="n">
        <v>19.80825</v>
      </c>
      <c r="L569" s="9" t="n">
        <v>85.82225</v>
      </c>
      <c r="M569" s="9" t="inlineStr">
        <is>
          <t>https://www.google.com/maps/place/?q=place_id:ChIJ73hz0Z3GGToRZaNsODPxG6o</t>
        </is>
      </c>
    </row>
    <row r="570">
      <c r="A570" s="9" t="n">
        <v>566</v>
      </c>
      <c r="B570" s="9" t="inlineStr">
        <is>
          <t>Puri</t>
        </is>
      </c>
      <c r="C570" s="9" t="inlineStr">
        <is>
          <t>Puri</t>
        </is>
      </c>
      <c r="D570" s="9" t="inlineStr">
        <is>
          <t>Odisha</t>
        </is>
      </c>
      <c r="E570" s="9" t="inlineStr">
        <is>
          <t>India</t>
        </is>
      </c>
      <c r="F570" s="9" t="n">
        <v>5</v>
      </c>
      <c r="G570" s="9" t="n">
        <v>5</v>
      </c>
      <c r="H570" s="9" t="n">
        <v>3</v>
      </c>
      <c r="I570" s="10" t="n">
        <v>43387</v>
      </c>
      <c r="J570" s="10" t="n">
        <v>44910</v>
      </c>
      <c r="K570" s="9" t="n">
        <v>19.80494</v>
      </c>
      <c r="L570" s="9" t="n">
        <v>85.81793999999999</v>
      </c>
      <c r="M570" s="9" t="inlineStr">
        <is>
          <t>https://www.google.com/maps/place/?q=place_id:ChIJr4bjv7jGGToRSH2cY4QsBY8</t>
        </is>
      </c>
    </row>
    <row r="571">
      <c r="A571" s="9" t="n">
        <v>567</v>
      </c>
      <c r="B571" s="9" t="inlineStr">
        <is>
          <t>Puri</t>
        </is>
      </c>
      <c r="C571" s="9" t="inlineStr">
        <is>
          <t>Puri</t>
        </is>
      </c>
      <c r="D571" s="9" t="inlineStr">
        <is>
          <t>Odisha</t>
        </is>
      </c>
      <c r="E571" s="9" t="inlineStr">
        <is>
          <t>India</t>
        </is>
      </c>
      <c r="F571" s="9" t="n">
        <v>5</v>
      </c>
      <c r="G571" s="9" t="n">
        <v>6</v>
      </c>
      <c r="H571" s="9" t="n">
        <v>2</v>
      </c>
      <c r="I571" s="10" t="n">
        <v>43854</v>
      </c>
      <c r="J571" s="10" t="n">
        <v>44911</v>
      </c>
      <c r="K571" s="9" t="n">
        <v>19.80737</v>
      </c>
      <c r="L571" s="9" t="n">
        <v>85.82174999999999</v>
      </c>
      <c r="M571" s="9" t="inlineStr">
        <is>
          <t>https://www.google.com/maps/place/?q=place_id:ChIJP6WOv53GGToR4m7jjgNmx6Q</t>
        </is>
      </c>
    </row>
    <row r="572">
      <c r="A572" s="9" t="n">
        <v>568</v>
      </c>
      <c r="B572" s="9" t="inlineStr">
        <is>
          <t>Puri</t>
        </is>
      </c>
      <c r="C572" s="9" t="inlineStr">
        <is>
          <t>Puri</t>
        </is>
      </c>
      <c r="D572" s="9" t="inlineStr">
        <is>
          <t>Odisha</t>
        </is>
      </c>
      <c r="E572" s="9" t="inlineStr">
        <is>
          <t>India</t>
        </is>
      </c>
      <c r="F572" s="9" t="n">
        <v>4</v>
      </c>
      <c r="G572" s="9" t="n">
        <v>4</v>
      </c>
      <c r="H572" s="9" t="n">
        <v>2</v>
      </c>
      <c r="I572" s="10" t="n">
        <v>43854</v>
      </c>
      <c r="J572" s="10" t="n">
        <v>43859</v>
      </c>
      <c r="K572" s="9" t="n">
        <v>19.83928</v>
      </c>
      <c r="L572" s="9" t="n">
        <v>85.89224</v>
      </c>
      <c r="M572" s="9" t="inlineStr">
        <is>
          <t>https://www.google.com/maps/place/?q=place_id:ChIJGwHVWk6nGToRx-8gb0cLtuM</t>
        </is>
      </c>
    </row>
    <row r="573">
      <c r="A573" s="9" t="n">
        <v>569</v>
      </c>
      <c r="B573" s="9" t="inlineStr">
        <is>
          <t>Puri</t>
        </is>
      </c>
      <c r="C573" s="9" t="inlineStr">
        <is>
          <t>Puri</t>
        </is>
      </c>
      <c r="D573" s="9" t="inlineStr">
        <is>
          <t>Odisha</t>
        </is>
      </c>
      <c r="E573" s="9" t="inlineStr">
        <is>
          <t>India</t>
        </is>
      </c>
      <c r="F573" s="9" t="n">
        <v>2</v>
      </c>
      <c r="G573" s="9" t="n">
        <v>2</v>
      </c>
      <c r="H573" s="9" t="n">
        <v>2</v>
      </c>
      <c r="I573" s="10" t="n">
        <v>43388</v>
      </c>
      <c r="J573" s="10" t="n">
        <v>43859</v>
      </c>
      <c r="K573" s="9" t="n">
        <v>19.94836</v>
      </c>
      <c r="L573" s="9" t="n">
        <v>85.80880000000001</v>
      </c>
      <c r="M573" s="9" t="inlineStr">
        <is>
          <t>https://www.google.com/maps/place/?q=place_id:ChIJtTYiHwC5GToRqxKZ4bZ9_PU</t>
        </is>
      </c>
    </row>
    <row r="574">
      <c r="A574" s="9" t="n">
        <v>570</v>
      </c>
      <c r="B574" s="9" t="inlineStr">
        <is>
          <t>Puri</t>
        </is>
      </c>
      <c r="C574" s="9" t="inlineStr">
        <is>
          <t>Puri</t>
        </is>
      </c>
      <c r="D574" s="9" t="inlineStr">
        <is>
          <t>Odisha</t>
        </is>
      </c>
      <c r="E574" s="9" t="inlineStr">
        <is>
          <t>India</t>
        </is>
      </c>
      <c r="F574" s="9" t="n">
        <v>2</v>
      </c>
      <c r="G574" s="9" t="n">
        <v>2</v>
      </c>
      <c r="H574" s="9" t="n">
        <v>2</v>
      </c>
      <c r="I574" s="10" t="n">
        <v>43858</v>
      </c>
      <c r="J574" s="10" t="n">
        <v>44911</v>
      </c>
      <c r="K574" s="9" t="n">
        <v>19.79796</v>
      </c>
      <c r="L574" s="9" t="n">
        <v>85.65079</v>
      </c>
      <c r="M574" s="9" t="inlineStr">
        <is>
          <t>https://www.google.com/maps/place/?q=place_id:ChIJa3IyeQLNGToRMNl5Ym7Nf-8</t>
        </is>
      </c>
    </row>
    <row r="575">
      <c r="A575" s="9" t="n">
        <v>571</v>
      </c>
      <c r="B575" s="9" t="inlineStr">
        <is>
          <t>Puri</t>
        </is>
      </c>
      <c r="C575" s="9" t="inlineStr">
        <is>
          <t>Puri</t>
        </is>
      </c>
      <c r="D575" s="9" t="inlineStr">
        <is>
          <t>Odisha</t>
        </is>
      </c>
      <c r="E575" s="9" t="inlineStr">
        <is>
          <t>India</t>
        </is>
      </c>
      <c r="F575" s="9" t="n">
        <v>2</v>
      </c>
      <c r="G575" s="9" t="n">
        <v>2</v>
      </c>
      <c r="H575" s="9" t="n">
        <v>2</v>
      </c>
      <c r="I575" s="10" t="n">
        <v>43859</v>
      </c>
      <c r="J575" s="10" t="n">
        <v>44911</v>
      </c>
      <c r="K575" s="9" t="n">
        <v>19.9484</v>
      </c>
      <c r="L575" s="9" t="n">
        <v>85.80875</v>
      </c>
      <c r="M575" s="9" t="inlineStr">
        <is>
          <t>https://www.google.com/maps/place/?q=place_id:ChIJVSiQQqXGGToR9vcCegwRg5w</t>
        </is>
      </c>
    </row>
    <row r="576">
      <c r="A576" s="9" t="n">
        <v>572</v>
      </c>
      <c r="B576" s="9" t="inlineStr">
        <is>
          <t>Puri</t>
        </is>
      </c>
      <c r="C576" s="9" t="inlineStr">
        <is>
          <t>Puri</t>
        </is>
      </c>
      <c r="D576" s="9" t="inlineStr">
        <is>
          <t>Odisha</t>
        </is>
      </c>
      <c r="E576" s="9" t="inlineStr">
        <is>
          <t>India</t>
        </is>
      </c>
      <c r="F576" s="9" t="n">
        <v>1</v>
      </c>
      <c r="G576" s="9" t="n">
        <v>1</v>
      </c>
      <c r="H576" s="9" t="n">
        <v>1</v>
      </c>
      <c r="I576" s="10" t="n">
        <v>43387</v>
      </c>
      <c r="J576" s="10" t="n">
        <v>43387</v>
      </c>
      <c r="K576" s="9" t="n">
        <v>19.79974</v>
      </c>
      <c r="L576" s="9" t="n">
        <v>85.82004999999999</v>
      </c>
      <c r="M576" s="9" t="inlineStr">
        <is>
          <t>https://www.google.com/maps/place/?q=place_id:ChIJ5Tkj1iXEGToR-bjo2Q4uhoo</t>
        </is>
      </c>
    </row>
    <row r="577">
      <c r="A577" s="9" t="n">
        <v>573</v>
      </c>
      <c r="B577" s="9" t="inlineStr">
        <is>
          <t>Puri</t>
        </is>
      </c>
      <c r="C577" s="9" t="inlineStr">
        <is>
          <t>Puri</t>
        </is>
      </c>
      <c r="D577" s="9" t="inlineStr">
        <is>
          <t>Odisha</t>
        </is>
      </c>
      <c r="E577" s="9" t="inlineStr">
        <is>
          <t>India</t>
        </is>
      </c>
      <c r="F577" s="9" t="n">
        <v>1</v>
      </c>
      <c r="G577" s="9" t="n">
        <v>1</v>
      </c>
      <c r="H577" s="9" t="n">
        <v>1</v>
      </c>
      <c r="I577" s="10" t="n">
        <v>43387</v>
      </c>
      <c r="J577" s="10" t="n">
        <v>43387</v>
      </c>
      <c r="K577" s="9" t="n">
        <v>19.81668</v>
      </c>
      <c r="L577" s="9" t="n">
        <v>85.83981</v>
      </c>
      <c r="M577" s="9" t="inlineStr">
        <is>
          <t>https://www.google.com/maps/place/?q=place_id:ChIJJeZjv6_GGToRUEDBIXBWhos</t>
        </is>
      </c>
    </row>
    <row r="578">
      <c r="A578" s="9" t="n">
        <v>574</v>
      </c>
      <c r="B578" s="9" t="inlineStr">
        <is>
          <t>Puri</t>
        </is>
      </c>
      <c r="C578" s="9" t="inlineStr">
        <is>
          <t>Puri</t>
        </is>
      </c>
      <c r="D578" s="9" t="inlineStr">
        <is>
          <t>Odisha</t>
        </is>
      </c>
      <c r="E578" s="9" t="inlineStr">
        <is>
          <t>India</t>
        </is>
      </c>
      <c r="F578" s="9" t="n">
        <v>1</v>
      </c>
      <c r="G578" s="9" t="n">
        <v>1</v>
      </c>
      <c r="H578" s="9" t="n">
        <v>1</v>
      </c>
      <c r="I578" s="10" t="n">
        <v>43388</v>
      </c>
      <c r="J578" s="10" t="n">
        <v>43388</v>
      </c>
      <c r="K578" s="9" t="n">
        <v>19.79486</v>
      </c>
      <c r="L578" s="9" t="n">
        <v>85.65018999999999</v>
      </c>
      <c r="M578" s="9" t="inlineStr">
        <is>
          <t>https://www.google.com/maps/place/?q=place_id:ChIJa-Bjw3vMGToRqagcr8_dtmQ</t>
        </is>
      </c>
    </row>
    <row r="579">
      <c r="A579" s="9" t="n">
        <v>575</v>
      </c>
      <c r="B579" s="9" t="inlineStr">
        <is>
          <t>Puri</t>
        </is>
      </c>
      <c r="C579" s="9" t="inlineStr">
        <is>
          <t>Puri</t>
        </is>
      </c>
      <c r="D579" s="9" t="inlineStr">
        <is>
          <t>Odisha</t>
        </is>
      </c>
      <c r="E579" s="9" t="inlineStr">
        <is>
          <t>India</t>
        </is>
      </c>
      <c r="F579" s="9" t="n">
        <v>1</v>
      </c>
      <c r="G579" s="9" t="n">
        <v>1</v>
      </c>
      <c r="H579" s="9" t="n">
        <v>1</v>
      </c>
      <c r="I579" s="10" t="n">
        <v>43388</v>
      </c>
      <c r="J579" s="10" t="n">
        <v>43388</v>
      </c>
      <c r="K579" s="9" t="n">
        <v>19.82082</v>
      </c>
      <c r="L579" s="9" t="n">
        <v>85.83775</v>
      </c>
      <c r="M579" s="9" t="inlineStr">
        <is>
          <t>https://www.google.com/maps/place/?q=place_id:ChIJwd7Vh7rGGToR6iCaaIaV2wQ</t>
        </is>
      </c>
    </row>
    <row r="580">
      <c r="A580" s="9" t="n">
        <v>576</v>
      </c>
      <c r="B580" s="9" t="inlineStr">
        <is>
          <t>Puri</t>
        </is>
      </c>
      <c r="C580" s="9" t="inlineStr">
        <is>
          <t>Puri</t>
        </is>
      </c>
      <c r="D580" s="9" t="inlineStr">
        <is>
          <t>Odisha</t>
        </is>
      </c>
      <c r="E580" s="9" t="inlineStr">
        <is>
          <t>India</t>
        </is>
      </c>
      <c r="F580" s="9" t="n">
        <v>1</v>
      </c>
      <c r="G580" s="9" t="n">
        <v>1</v>
      </c>
      <c r="H580" s="9" t="n">
        <v>1</v>
      </c>
      <c r="I580" s="10" t="n">
        <v>43388</v>
      </c>
      <c r="J580" s="10" t="n">
        <v>43388</v>
      </c>
      <c r="K580" s="9" t="n">
        <v>19.80774</v>
      </c>
      <c r="L580" s="9" t="n">
        <v>85.83803</v>
      </c>
      <c r="M580" s="9" t="inlineStr">
        <is>
          <t>https://www.google.com/maps/place/?q=place_id:ChIJiR6f26fGGToRf7QKktbqwVk</t>
        </is>
      </c>
    </row>
    <row r="581">
      <c r="A581" s="9" t="n">
        <v>577</v>
      </c>
      <c r="B581" s="9" t="inlineStr">
        <is>
          <t>Puri</t>
        </is>
      </c>
      <c r="C581" s="9" t="inlineStr">
        <is>
          <t>Puri</t>
        </is>
      </c>
      <c r="D581" s="9" t="inlineStr">
        <is>
          <t>Odisha</t>
        </is>
      </c>
      <c r="E581" s="9" t="inlineStr">
        <is>
          <t>India</t>
        </is>
      </c>
      <c r="F581" s="9" t="n">
        <v>1</v>
      </c>
      <c r="G581" s="9" t="n">
        <v>1</v>
      </c>
      <c r="H581" s="9" t="n">
        <v>1</v>
      </c>
      <c r="I581" s="10" t="n">
        <v>43855</v>
      </c>
      <c r="J581" s="10" t="n">
        <v>43855</v>
      </c>
      <c r="K581" s="9" t="n">
        <v>19.80783</v>
      </c>
      <c r="L581" s="9" t="n">
        <v>85.82222</v>
      </c>
      <c r="M581" s="9" t="inlineStr">
        <is>
          <t>https://www.google.com/maps/place/?q=place_id:ChIJNwIf0cLFGToRRXnvf4W_K5E</t>
        </is>
      </c>
    </row>
    <row r="582">
      <c r="A582" s="9" t="n">
        <v>578</v>
      </c>
      <c r="B582" s="9" t="inlineStr">
        <is>
          <t>Puri</t>
        </is>
      </c>
      <c r="C582" s="9" t="inlineStr">
        <is>
          <t>Puri</t>
        </is>
      </c>
      <c r="D582" s="9" t="inlineStr">
        <is>
          <t>Odisha</t>
        </is>
      </c>
      <c r="E582" s="9" t="inlineStr">
        <is>
          <t>India</t>
        </is>
      </c>
      <c r="F582" s="9" t="n">
        <v>1</v>
      </c>
      <c r="G582" s="9" t="n">
        <v>1</v>
      </c>
      <c r="H582" s="9" t="n">
        <v>1</v>
      </c>
      <c r="I582" s="10" t="n">
        <v>43858</v>
      </c>
      <c r="J582" s="10" t="n">
        <v>43858</v>
      </c>
      <c r="K582" s="9" t="n">
        <v>19.79048</v>
      </c>
      <c r="L582" s="9" t="n">
        <v>85.79892</v>
      </c>
      <c r="M582" s="9" t="inlineStr">
        <is>
          <t>https://www.google.com/maps/place/?q=place_id:ChIJEXy9oM_FGToR_rH3DIODOyc</t>
        </is>
      </c>
    </row>
    <row r="583">
      <c r="A583" s="9" t="n">
        <v>579</v>
      </c>
      <c r="B583" s="9" t="inlineStr">
        <is>
          <t>Puri</t>
        </is>
      </c>
      <c r="C583" s="9" t="inlineStr">
        <is>
          <t>Puri</t>
        </is>
      </c>
      <c r="D583" s="9" t="inlineStr">
        <is>
          <t>Odisha</t>
        </is>
      </c>
      <c r="E583" s="9" t="inlineStr">
        <is>
          <t>India</t>
        </is>
      </c>
      <c r="F583" s="9" t="n">
        <v>1</v>
      </c>
      <c r="G583" s="9" t="n">
        <v>1</v>
      </c>
      <c r="H583" s="9" t="n">
        <v>1</v>
      </c>
      <c r="I583" s="10" t="n">
        <v>43858</v>
      </c>
      <c r="J583" s="10" t="n">
        <v>43858</v>
      </c>
      <c r="K583" s="9" t="n">
        <v>19.78863</v>
      </c>
      <c r="L583" s="9" t="n">
        <v>85.80651</v>
      </c>
      <c r="M583" s="9" t="inlineStr">
        <is>
          <t>https://www.google.com/maps/place/?q=place_id:ChIJ7bagj2LFGToRcaeKUiL6SUI</t>
        </is>
      </c>
    </row>
    <row r="584">
      <c r="A584" s="9" t="n">
        <v>580</v>
      </c>
      <c r="B584" s="9" t="inlineStr">
        <is>
          <t>Puri</t>
        </is>
      </c>
      <c r="C584" s="9" t="inlineStr">
        <is>
          <t>Puri</t>
        </is>
      </c>
      <c r="D584" s="9" t="inlineStr">
        <is>
          <t>Odisha</t>
        </is>
      </c>
      <c r="E584" s="9" t="inlineStr">
        <is>
          <t>India</t>
        </is>
      </c>
      <c r="F584" s="9" t="n">
        <v>1</v>
      </c>
      <c r="G584" s="9" t="n">
        <v>1</v>
      </c>
      <c r="H584" s="9" t="n">
        <v>1</v>
      </c>
      <c r="I584" s="10" t="n">
        <v>43858</v>
      </c>
      <c r="J584" s="10" t="n">
        <v>43858</v>
      </c>
      <c r="K584" s="9" t="n">
        <v>19.81774</v>
      </c>
      <c r="L584" s="9" t="n">
        <v>85.81025</v>
      </c>
      <c r="M584" s="9" t="inlineStr">
        <is>
          <t>https://www.google.com/maps/place/?q=place_id:ChIJ6xJt66HHGToRmxrx5anZFNI</t>
        </is>
      </c>
    </row>
    <row r="585">
      <c r="A585" s="9" t="n">
        <v>581</v>
      </c>
      <c r="B585" s="9" t="inlineStr">
        <is>
          <t>Puri</t>
        </is>
      </c>
      <c r="C585" s="9" t="inlineStr">
        <is>
          <t>Puri</t>
        </is>
      </c>
      <c r="D585" s="9" t="inlineStr">
        <is>
          <t>Odisha</t>
        </is>
      </c>
      <c r="E585" s="9" t="inlineStr">
        <is>
          <t>India</t>
        </is>
      </c>
      <c r="F585" s="9" t="n">
        <v>1</v>
      </c>
      <c r="G585" s="9" t="n">
        <v>1</v>
      </c>
      <c r="H585" s="9" t="n">
        <v>1</v>
      </c>
      <c r="I585" s="10" t="n">
        <v>43858</v>
      </c>
      <c r="J585" s="10" t="n">
        <v>43858</v>
      </c>
      <c r="K585" s="9" t="n">
        <v>19.80944</v>
      </c>
      <c r="L585" s="9" t="n">
        <v>85.82374</v>
      </c>
      <c r="M585" s="9" t="inlineStr">
        <is>
          <t>https://www.google.com/maps/place/?q=place_id:ChIJ-aJIjp7GGToRNnoBfIolk1Q</t>
        </is>
      </c>
    </row>
    <row r="586">
      <c r="A586" s="9" t="n">
        <v>582</v>
      </c>
      <c r="B586" s="9" t="inlineStr">
        <is>
          <t>Puri</t>
        </is>
      </c>
      <c r="C586" s="9" t="inlineStr">
        <is>
          <t>Puri</t>
        </is>
      </c>
      <c r="D586" s="9" t="inlineStr">
        <is>
          <t>Odisha</t>
        </is>
      </c>
      <c r="E586" s="9" t="inlineStr">
        <is>
          <t>India</t>
        </is>
      </c>
      <c r="F586" s="9" t="n">
        <v>1</v>
      </c>
      <c r="G586" s="9" t="n">
        <v>1</v>
      </c>
      <c r="H586" s="9" t="n">
        <v>1</v>
      </c>
      <c r="I586" s="10" t="n">
        <v>43858</v>
      </c>
      <c r="J586" s="10" t="n">
        <v>43858</v>
      </c>
      <c r="K586" s="9" t="n">
        <v>19.81151</v>
      </c>
      <c r="L586" s="9" t="n">
        <v>85.82758</v>
      </c>
      <c r="M586" s="9" t="inlineStr">
        <is>
          <t>https://www.google.com/maps/place/?q=place_id:ChIJd5kXTZ_GGToRrQ3OrDcr91E</t>
        </is>
      </c>
    </row>
    <row r="587">
      <c r="A587" s="9" t="n">
        <v>583</v>
      </c>
      <c r="B587" s="9" t="inlineStr">
        <is>
          <t>Puri</t>
        </is>
      </c>
      <c r="C587" s="9" t="inlineStr">
        <is>
          <t>Puri</t>
        </is>
      </c>
      <c r="D587" s="9" t="inlineStr">
        <is>
          <t>Odisha</t>
        </is>
      </c>
      <c r="E587" s="9" t="inlineStr">
        <is>
          <t>India</t>
        </is>
      </c>
      <c r="F587" s="9" t="n">
        <v>1</v>
      </c>
      <c r="G587" s="9" t="n">
        <v>1</v>
      </c>
      <c r="H587" s="9" t="n">
        <v>1</v>
      </c>
      <c r="I587" s="10" t="n">
        <v>44909</v>
      </c>
      <c r="J587" s="10" t="n">
        <v>44909</v>
      </c>
      <c r="K587" s="9" t="n">
        <v>19.81031</v>
      </c>
      <c r="L587" s="9" t="n">
        <v>85.82492000000001</v>
      </c>
      <c r="M587" s="9" t="inlineStr">
        <is>
          <t>https://www.google.com/maps/place/?q=place_id:ChIJ7_JyTfbHGToRjU_aCW1CRqQ</t>
        </is>
      </c>
    </row>
    <row r="588">
      <c r="A588" s="9" t="n">
        <v>584</v>
      </c>
      <c r="B588" s="9" t="inlineStr">
        <is>
          <t>Puri</t>
        </is>
      </c>
      <c r="C588" s="9" t="inlineStr">
        <is>
          <t>Puri</t>
        </is>
      </c>
      <c r="D588" s="9" t="inlineStr">
        <is>
          <t>Odisha</t>
        </is>
      </c>
      <c r="E588" s="9" t="inlineStr">
        <is>
          <t>India</t>
        </is>
      </c>
      <c r="F588" s="9" t="n">
        <v>1</v>
      </c>
      <c r="G588" s="9" t="n">
        <v>1</v>
      </c>
      <c r="H588" s="9" t="n">
        <v>1</v>
      </c>
      <c r="I588" s="10" t="n">
        <v>44910</v>
      </c>
      <c r="J588" s="10" t="n">
        <v>44910</v>
      </c>
      <c r="K588" s="9" t="n">
        <v>19.79336</v>
      </c>
      <c r="L588" s="9" t="n">
        <v>85.81533</v>
      </c>
      <c r="M588" s="9" t="inlineStr">
        <is>
          <t>https://www.google.com/maps/place/?q=place_id:ChIJg2mq1DHEGToRf4QP3iSXFrA</t>
        </is>
      </c>
    </row>
    <row r="589">
      <c r="A589" s="9" t="n">
        <v>585</v>
      </c>
      <c r="B589" s="9" t="inlineStr">
        <is>
          <t>Puri</t>
        </is>
      </c>
      <c r="C589" s="9" t="inlineStr">
        <is>
          <t>Puri</t>
        </is>
      </c>
      <c r="D589" s="9" t="inlineStr">
        <is>
          <t>Odisha</t>
        </is>
      </c>
      <c r="E589" s="9" t="inlineStr">
        <is>
          <t>India</t>
        </is>
      </c>
      <c r="F589" s="9" t="n">
        <v>1</v>
      </c>
      <c r="G589" s="9" t="n">
        <v>1</v>
      </c>
      <c r="H589" s="9" t="n">
        <v>1</v>
      </c>
      <c r="I589" s="10" t="n">
        <v>44910</v>
      </c>
      <c r="J589" s="10" t="n">
        <v>44910</v>
      </c>
      <c r="K589" s="9" t="n">
        <v>19.79458</v>
      </c>
      <c r="L589" s="9" t="n">
        <v>85.82286000000001</v>
      </c>
      <c r="M589" s="9" t="inlineStr">
        <is>
          <t>https://www.google.com/maps/place/?q=place_id:ChIJt-EM-NXFGToRH5b0XbFBZFc</t>
        </is>
      </c>
    </row>
    <row r="590">
      <c r="A590" s="9" t="n">
        <v>586</v>
      </c>
      <c r="B590" s="9" t="inlineStr">
        <is>
          <t>Puri</t>
        </is>
      </c>
      <c r="C590" s="9" t="inlineStr">
        <is>
          <t>Puri</t>
        </is>
      </c>
      <c r="D590" s="9" t="inlineStr">
        <is>
          <t>Odisha</t>
        </is>
      </c>
      <c r="E590" s="9" t="inlineStr">
        <is>
          <t>India</t>
        </is>
      </c>
      <c r="F590" s="9" t="n">
        <v>1</v>
      </c>
      <c r="G590" s="9" t="n">
        <v>1</v>
      </c>
      <c r="H590" s="9" t="n">
        <v>1</v>
      </c>
      <c r="I590" s="10" t="n">
        <v>44910</v>
      </c>
      <c r="J590" s="10" t="n">
        <v>44910</v>
      </c>
      <c r="K590" s="9" t="n">
        <v>19.81763</v>
      </c>
      <c r="L590" s="9" t="n">
        <v>85.83958</v>
      </c>
      <c r="M590" s="9" t="inlineStr">
        <is>
          <t>https://www.google.com/maps/place/?q=place_id:ChIJC90856_GGToRvQ9Id7iglb8</t>
        </is>
      </c>
    </row>
    <row r="591">
      <c r="A591" s="9" t="n">
        <v>587</v>
      </c>
      <c r="B591" s="9" t="inlineStr">
        <is>
          <t>Puri</t>
        </is>
      </c>
      <c r="C591" s="9" t="inlineStr">
        <is>
          <t>Puri</t>
        </is>
      </c>
      <c r="D591" s="9" t="inlineStr">
        <is>
          <t>Odisha</t>
        </is>
      </c>
      <c r="E591" s="9" t="inlineStr">
        <is>
          <t>India</t>
        </is>
      </c>
      <c r="F591" s="9" t="n">
        <v>1</v>
      </c>
      <c r="G591" s="9" t="n">
        <v>1</v>
      </c>
      <c r="H591" s="9" t="n">
        <v>1</v>
      </c>
      <c r="I591" s="10" t="n">
        <v>44911</v>
      </c>
      <c r="J591" s="10" t="n">
        <v>44911</v>
      </c>
      <c r="K591" s="9" t="n">
        <v>19.81407</v>
      </c>
      <c r="L591" s="9" t="n">
        <v>85.83329999999999</v>
      </c>
      <c r="M591" s="9" t="inlineStr">
        <is>
          <t>https://www.google.com/maps/place/?q=place_id:ChIJ_z3bd6TGGToR7URbEq2Llyg</t>
        </is>
      </c>
    </row>
    <row r="592">
      <c r="A592" s="9" t="n">
        <v>588</v>
      </c>
      <c r="B592" s="9" t="inlineStr">
        <is>
          <t>Puri</t>
        </is>
      </c>
      <c r="C592" s="9" t="inlineStr">
        <is>
          <t>Puri</t>
        </is>
      </c>
      <c r="D592" s="9" t="inlineStr">
        <is>
          <t>Odisha</t>
        </is>
      </c>
      <c r="E592" s="9" t="inlineStr">
        <is>
          <t>India</t>
        </is>
      </c>
      <c r="F592" s="9" t="n">
        <v>1</v>
      </c>
      <c r="G592" s="9" t="n">
        <v>1</v>
      </c>
      <c r="H592" s="9" t="n">
        <v>1</v>
      </c>
      <c r="I592" s="10" t="n">
        <v>44911</v>
      </c>
      <c r="J592" s="10" t="n">
        <v>44911</v>
      </c>
      <c r="K592" s="9" t="n">
        <v>19.81362</v>
      </c>
      <c r="L592" s="9" t="n">
        <v>85.82463</v>
      </c>
      <c r="M592" s="9" t="inlineStr">
        <is>
          <t>https://www.google.com/maps/place/?q=place_id:ChIJxdwkGpnGGToRKEijnQVdMfs</t>
        </is>
      </c>
    </row>
    <row r="593">
      <c r="A593" s="9" t="n">
        <v>589</v>
      </c>
      <c r="B593" s="9" t="inlineStr">
        <is>
          <t>Remuna</t>
        </is>
      </c>
      <c r="C593" s="9" t="inlineStr">
        <is>
          <t>Remuna</t>
        </is>
      </c>
      <c r="D593" s="9" t="inlineStr">
        <is>
          <t>Odisha</t>
        </is>
      </c>
      <c r="E593" s="9" t="inlineStr">
        <is>
          <t>India</t>
        </is>
      </c>
      <c r="F593" s="9" t="n">
        <v>1</v>
      </c>
      <c r="G593" s="9" t="n">
        <v>1</v>
      </c>
      <c r="H593" s="9" t="n">
        <v>1</v>
      </c>
      <c r="I593" s="10" t="n">
        <v>43393</v>
      </c>
      <c r="J593" s="10" t="n">
        <v>43393</v>
      </c>
      <c r="K593" s="9" t="n">
        <v>21.53788</v>
      </c>
      <c r="L593" s="9" t="n">
        <v>86.87981000000001</v>
      </c>
      <c r="M593" s="9" t="inlineStr">
        <is>
          <t>https://www.google.com/maps/place/?q=place_id:ChIJu1gmrTVfHDoRO3U4HMPDn4M</t>
        </is>
      </c>
    </row>
    <row r="594">
      <c r="A594" s="9" t="n">
        <v>590</v>
      </c>
      <c r="B594" s="9" t="inlineStr">
        <is>
          <t>Remuna</t>
        </is>
      </c>
      <c r="C594" s="9" t="inlineStr">
        <is>
          <t>Remuna</t>
        </is>
      </c>
      <c r="D594" s="9" t="inlineStr">
        <is>
          <t>Odisha</t>
        </is>
      </c>
      <c r="E594" s="9" t="inlineStr">
        <is>
          <t>India</t>
        </is>
      </c>
      <c r="F594" s="9" t="n">
        <v>1</v>
      </c>
      <c r="G594" s="9" t="n">
        <v>1</v>
      </c>
      <c r="H594" s="9" t="n">
        <v>1</v>
      </c>
      <c r="I594" s="10" t="n">
        <v>43393</v>
      </c>
      <c r="J594" s="10" t="n">
        <v>43393</v>
      </c>
      <c r="K594" s="9" t="n">
        <v>21.53316</v>
      </c>
      <c r="L594" s="9" t="n">
        <v>86.87849</v>
      </c>
      <c r="M594" s="9" t="inlineStr">
        <is>
          <t>https://www.google.com/maps/place/?q=place_id:ChIJJQlh5zZfHDoRAAAAAAAAAAA</t>
        </is>
      </c>
    </row>
    <row r="595">
      <c r="A595" s="9" t="n">
        <v>591</v>
      </c>
      <c r="B595" s="9" t="inlineStr">
        <is>
          <t>Rourkela</t>
        </is>
      </c>
      <c r="C595" s="9" t="inlineStr">
        <is>
          <t>Rourkela</t>
        </is>
      </c>
      <c r="D595" s="9" t="inlineStr">
        <is>
          <t>Odisha</t>
        </is>
      </c>
      <c r="E595" s="9" t="inlineStr">
        <is>
          <t>India</t>
        </is>
      </c>
      <c r="F595" s="9" t="n">
        <v>1</v>
      </c>
      <c r="G595" s="9" t="n">
        <v>1</v>
      </c>
      <c r="H595" s="9" t="n">
        <v>1</v>
      </c>
      <c r="I595" s="10" t="n">
        <v>43517</v>
      </c>
      <c r="J595" s="10" t="n">
        <v>43517</v>
      </c>
      <c r="K595" s="9" t="n">
        <v>22.22766</v>
      </c>
      <c r="L595" s="9" t="n">
        <v>84.86301</v>
      </c>
      <c r="M595" s="9" t="inlineStr">
        <is>
          <t>https://www.google.com/maps/place/?q=place_id:ChIJdXZw7MkeIDoR3LXfMGoK9Cw</t>
        </is>
      </c>
    </row>
    <row r="596">
      <c r="A596" s="9" t="n">
        <v>592</v>
      </c>
      <c r="B596" s="9" t="inlineStr">
        <is>
          <t>Bharatpur</t>
        </is>
      </c>
      <c r="C596" s="9" t="inlineStr">
        <is>
          <t>Bharatpur</t>
        </is>
      </c>
      <c r="D596" s="9" t="inlineStr">
        <is>
          <t>Rajasthan</t>
        </is>
      </c>
      <c r="E596" s="9" t="inlineStr">
        <is>
          <t>India</t>
        </is>
      </c>
      <c r="F596" s="9" t="n">
        <v>2</v>
      </c>
      <c r="G596" s="9" t="n">
        <v>2</v>
      </c>
      <c r="H596" s="9" t="n">
        <v>2</v>
      </c>
      <c r="I596" s="10" t="n">
        <v>43009</v>
      </c>
      <c r="J596" s="10" t="n">
        <v>44488</v>
      </c>
      <c r="K596" s="9" t="n">
        <v>27.34953</v>
      </c>
      <c r="L596" s="9" t="n">
        <v>77.57317999999999</v>
      </c>
      <c r="M596" s="9" t="inlineStr">
        <is>
          <t>https://www.google.com/maps/place/?q=place_id:ChIJJ57y_vGfczkRFtrm4iXS4DM</t>
        </is>
      </c>
    </row>
    <row r="597">
      <c r="A597" s="9" t="n">
        <v>593</v>
      </c>
      <c r="B597" s="9" t="inlineStr">
        <is>
          <t>Bharatpur</t>
        </is>
      </c>
      <c r="C597" s="9" t="inlineStr">
        <is>
          <t>Bharatpur</t>
        </is>
      </c>
      <c r="D597" s="9" t="inlineStr">
        <is>
          <t>Rajasthan</t>
        </is>
      </c>
      <c r="E597" s="9" t="inlineStr">
        <is>
          <t>India</t>
        </is>
      </c>
      <c r="F597" s="9" t="n">
        <v>1</v>
      </c>
      <c r="G597" s="9" t="n">
        <v>1</v>
      </c>
      <c r="H597" s="9" t="n">
        <v>1</v>
      </c>
      <c r="I597" s="10" t="n">
        <v>42992</v>
      </c>
      <c r="J597" s="10" t="n">
        <v>42992</v>
      </c>
      <c r="K597" s="9" t="n">
        <v>27.21145</v>
      </c>
      <c r="L597" s="9" t="n">
        <v>77.47984</v>
      </c>
      <c r="M597" s="9" t="inlineStr">
        <is>
          <t>https://www.google.com/maps/place/?q=place_id:ChIJW3hQW3qjczkRGcuOwha73FM</t>
        </is>
      </c>
    </row>
    <row r="598">
      <c r="A598" s="9" t="n">
        <v>594</v>
      </c>
      <c r="B598" s="9" t="inlineStr">
        <is>
          <t>Bharatpur</t>
        </is>
      </c>
      <c r="C598" s="9" t="inlineStr">
        <is>
          <t>Bharatpur</t>
        </is>
      </c>
      <c r="D598" s="9" t="inlineStr">
        <is>
          <t>Rajasthan</t>
        </is>
      </c>
      <c r="E598" s="9" t="inlineStr">
        <is>
          <t>India</t>
        </is>
      </c>
      <c r="F598" s="9" t="n">
        <v>1</v>
      </c>
      <c r="G598" s="9" t="n">
        <v>1</v>
      </c>
      <c r="H598" s="9" t="n">
        <v>1</v>
      </c>
      <c r="I598" s="10" t="n">
        <v>43007</v>
      </c>
      <c r="J598" s="10" t="n">
        <v>43007</v>
      </c>
      <c r="K598" s="9" t="n">
        <v>27.28166</v>
      </c>
      <c r="L598" s="9" t="n">
        <v>77.52070000000001</v>
      </c>
      <c r="M598" s="9" t="inlineStr">
        <is>
          <t>https://www.google.com/maps/place/?q=place_id:ChIJ7wVXt5yhczkR2tblmMHfu3g</t>
        </is>
      </c>
    </row>
    <row r="599">
      <c r="A599" s="9" t="n">
        <v>595</v>
      </c>
      <c r="B599" s="9" t="inlineStr">
        <is>
          <t>Bharatpur</t>
        </is>
      </c>
      <c r="C599" s="9" t="inlineStr">
        <is>
          <t>Bharatpur</t>
        </is>
      </c>
      <c r="D599" s="9" t="inlineStr">
        <is>
          <t>Rajasthan</t>
        </is>
      </c>
      <c r="E599" s="9" t="inlineStr">
        <is>
          <t>India</t>
        </is>
      </c>
      <c r="F599" s="9" t="n">
        <v>1</v>
      </c>
      <c r="G599" s="9" t="n">
        <v>1</v>
      </c>
      <c r="H599" s="9" t="n">
        <v>1</v>
      </c>
      <c r="I599" s="10" t="n">
        <v>43009</v>
      </c>
      <c r="J599" s="10" t="n">
        <v>43009</v>
      </c>
      <c r="K599" s="9" t="n">
        <v>27.17848</v>
      </c>
      <c r="L599" s="9" t="n">
        <v>77.41685</v>
      </c>
      <c r="M599" s="9" t="inlineStr">
        <is>
          <t>https://www.google.com/maps/place/?q=place_id:ChIJo354XS-lczkRiWSx4eRnnwc</t>
        </is>
      </c>
    </row>
    <row r="600">
      <c r="A600" s="9" t="n">
        <v>596</v>
      </c>
      <c r="B600" s="9" t="inlineStr">
        <is>
          <t>Dausa</t>
        </is>
      </c>
      <c r="C600" s="9" t="inlineStr">
        <is>
          <t>Dausa</t>
        </is>
      </c>
      <c r="D600" s="9" t="inlineStr">
        <is>
          <t>Rajasthan</t>
        </is>
      </c>
      <c r="E600" s="9" t="inlineStr">
        <is>
          <t>India</t>
        </is>
      </c>
      <c r="F600" s="9" t="n">
        <v>1</v>
      </c>
      <c r="G600" s="9" t="n">
        <v>1</v>
      </c>
      <c r="H600" s="9" t="n">
        <v>1</v>
      </c>
      <c r="I600" s="10" t="n">
        <v>43009</v>
      </c>
      <c r="J600" s="10" t="n">
        <v>43009</v>
      </c>
      <c r="K600" s="9" t="n">
        <v>26.90777</v>
      </c>
      <c r="L600" s="9" t="n">
        <v>76.38199</v>
      </c>
      <c r="M600" s="9" t="inlineStr">
        <is>
          <t>https://www.google.com/maps/place/?q=place_id:ChIJO0WI5EGLbTkRrxPXmHnRS3g</t>
        </is>
      </c>
    </row>
    <row r="601">
      <c r="A601" s="9" t="n">
        <v>597</v>
      </c>
      <c r="B601" s="9" t="inlineStr">
        <is>
          <t>Dungarpur</t>
        </is>
      </c>
      <c r="C601" s="9" t="inlineStr">
        <is>
          <t>Dungarpur</t>
        </is>
      </c>
      <c r="D601" s="9" t="inlineStr">
        <is>
          <t>Rajasthan</t>
        </is>
      </c>
      <c r="E601" s="9" t="inlineStr">
        <is>
          <t>India</t>
        </is>
      </c>
      <c r="F601" s="9" t="n">
        <v>1</v>
      </c>
      <c r="G601" s="9" t="n">
        <v>1</v>
      </c>
      <c r="H601" s="9" t="n">
        <v>1</v>
      </c>
      <c r="I601" s="10" t="n">
        <v>43874</v>
      </c>
      <c r="J601" s="10" t="n">
        <v>43874</v>
      </c>
      <c r="K601" s="9" t="n">
        <v>24.19108</v>
      </c>
      <c r="L601" s="9" t="n">
        <v>73.69958</v>
      </c>
      <c r="M601" s="9" t="inlineStr">
        <is>
          <t>https://www.google.com/maps/place/?q=place_id:ChIJ2x4kDIiaZzkRO49T6advKhQ</t>
        </is>
      </c>
    </row>
    <row r="602">
      <c r="A602" s="9" t="n">
        <v>598</v>
      </c>
      <c r="B602" s="9" t="inlineStr">
        <is>
          <t>Jaipur</t>
        </is>
      </c>
      <c r="C602" s="9" t="inlineStr">
        <is>
          <t>Jaipur</t>
        </is>
      </c>
      <c r="D602" s="9" t="inlineStr">
        <is>
          <t>Rajasthan</t>
        </is>
      </c>
      <c r="E602" s="9" t="inlineStr">
        <is>
          <t>India</t>
        </is>
      </c>
      <c r="F602" s="9" t="n">
        <v>19</v>
      </c>
      <c r="G602" s="9" t="n">
        <v>16</v>
      </c>
      <c r="H602" s="9" t="n">
        <v>4</v>
      </c>
      <c r="I602" s="10" t="n">
        <v>42983</v>
      </c>
      <c r="J602" s="10" t="n">
        <v>44488</v>
      </c>
      <c r="K602" s="9" t="n">
        <v>26.80431</v>
      </c>
      <c r="L602" s="9" t="n">
        <v>75.85608999999999</v>
      </c>
      <c r="M602" s="9" t="inlineStr">
        <is>
          <t>https://www.google.com/maps/place/?q=place_id:ChIJq6qqqh62bTkRytpPjF0AIuo</t>
        </is>
      </c>
    </row>
    <row r="603">
      <c r="A603" s="9" t="n">
        <v>599</v>
      </c>
      <c r="B603" s="9" t="inlineStr">
        <is>
          <t>Jaipur</t>
        </is>
      </c>
      <c r="C603" s="9" t="inlineStr">
        <is>
          <t>Jaipur</t>
        </is>
      </c>
      <c r="D603" s="9" t="inlineStr">
        <is>
          <t>Rajasthan</t>
        </is>
      </c>
      <c r="E603" s="9" t="inlineStr">
        <is>
          <t>India</t>
        </is>
      </c>
      <c r="F603" s="9" t="n">
        <v>6</v>
      </c>
      <c r="G603" s="9" t="n">
        <v>6</v>
      </c>
      <c r="H603" s="9" t="n">
        <v>3</v>
      </c>
      <c r="I603" s="10" t="n">
        <v>42985</v>
      </c>
      <c r="J603" s="10" t="n">
        <v>43008</v>
      </c>
      <c r="K603" s="9" t="n">
        <v>26.80438</v>
      </c>
      <c r="L603" s="9" t="n">
        <v>75.85596</v>
      </c>
      <c r="M603" s="9" t="inlineStr">
        <is>
          <t>https://www.google.com/maps/place/?q=place_id:ChIJUf57eUvIbTkRoef1PIBMoik</t>
        </is>
      </c>
    </row>
    <row r="604">
      <c r="A604" s="9" t="n">
        <v>600</v>
      </c>
      <c r="B604" s="9" t="inlineStr">
        <is>
          <t>Jaipur</t>
        </is>
      </c>
      <c r="C604" s="9" t="inlineStr">
        <is>
          <t>Jaipur</t>
        </is>
      </c>
      <c r="D604" s="9" t="inlineStr">
        <is>
          <t>Rajasthan</t>
        </is>
      </c>
      <c r="E604" s="9" t="inlineStr">
        <is>
          <t>India</t>
        </is>
      </c>
      <c r="F604" s="9" t="n">
        <v>4</v>
      </c>
      <c r="G604" s="9" t="n">
        <v>4</v>
      </c>
      <c r="H604" s="9" t="n">
        <v>3</v>
      </c>
      <c r="I604" s="10" t="n">
        <v>42992</v>
      </c>
      <c r="J604" s="10" t="n">
        <v>44487</v>
      </c>
      <c r="K604" s="9" t="n">
        <v>26.93</v>
      </c>
      <c r="L604" s="9" t="n">
        <v>75.82472</v>
      </c>
      <c r="M604" s="9" t="inlineStr">
        <is>
          <t>https://www.google.com/maps/place/?q=place_id:ChIJseuwKkmxbTkRBW83y7v7Hto</t>
        </is>
      </c>
    </row>
    <row r="605">
      <c r="A605" s="9" t="n">
        <v>601</v>
      </c>
      <c r="B605" s="9" t="inlineStr">
        <is>
          <t>Basi</t>
        </is>
      </c>
      <c r="C605" s="9" t="inlineStr">
        <is>
          <t>Jaipur</t>
        </is>
      </c>
      <c r="D605" s="9" t="inlineStr">
        <is>
          <t>Rajasthan</t>
        </is>
      </c>
      <c r="E605" s="9" t="inlineStr">
        <is>
          <t>India</t>
        </is>
      </c>
      <c r="F605" s="9" t="n">
        <v>3</v>
      </c>
      <c r="G605" s="9" t="n">
        <v>3</v>
      </c>
      <c r="H605" s="9" t="n">
        <v>3</v>
      </c>
      <c r="I605" s="10" t="n">
        <v>42989</v>
      </c>
      <c r="J605" s="10" t="n">
        <v>44487</v>
      </c>
      <c r="K605" s="9" t="n">
        <v>26.82691</v>
      </c>
      <c r="L605" s="9" t="n">
        <v>75.94446000000001</v>
      </c>
      <c r="M605" s="9" t="inlineStr">
        <is>
          <t>https://www.google.com/maps/place/?q=place_id:ChIJIfobpJ3HbTkR_AER3UFCxPQ</t>
        </is>
      </c>
    </row>
    <row r="606">
      <c r="A606" s="9" t="n">
        <v>602</v>
      </c>
      <c r="B606" s="9" t="inlineStr">
        <is>
          <t>Jaipur</t>
        </is>
      </c>
      <c r="C606" s="9" t="inlineStr">
        <is>
          <t>Jaipur</t>
        </is>
      </c>
      <c r="D606" s="9" t="inlineStr">
        <is>
          <t>Rajasthan</t>
        </is>
      </c>
      <c r="E606" s="9" t="inlineStr">
        <is>
          <t>India</t>
        </is>
      </c>
      <c r="F606" s="9" t="n">
        <v>3</v>
      </c>
      <c r="G606" s="9" t="n">
        <v>2</v>
      </c>
      <c r="H606" s="9" t="n">
        <v>2</v>
      </c>
      <c r="I606" s="10" t="n">
        <v>42990</v>
      </c>
      <c r="J606" s="10" t="n">
        <v>43009</v>
      </c>
      <c r="K606" s="9" t="n">
        <v>26.80697</v>
      </c>
      <c r="L606" s="9" t="n">
        <v>75.85713</v>
      </c>
      <c r="M606" s="9" t="inlineStr">
        <is>
          <t>https://www.google.com/maps/place/?q=place_id:ChIJR0sUTUrIbTkR-BMClG95ob8</t>
        </is>
      </c>
    </row>
    <row r="607">
      <c r="A607" s="9" t="n">
        <v>603</v>
      </c>
      <c r="B607" s="9" t="inlineStr">
        <is>
          <t>Jaipur</t>
        </is>
      </c>
      <c r="C607" s="9" t="inlineStr">
        <is>
          <t>Jaipur</t>
        </is>
      </c>
      <c r="D607" s="9" t="inlineStr">
        <is>
          <t>Rajasthan</t>
        </is>
      </c>
      <c r="E607" s="9" t="inlineStr">
        <is>
          <t>India</t>
        </is>
      </c>
      <c r="F607" s="9" t="n">
        <v>3</v>
      </c>
      <c r="G607" s="9" t="n">
        <v>3</v>
      </c>
      <c r="H607" s="9" t="n">
        <v>3</v>
      </c>
      <c r="I607" s="10" t="n">
        <v>43007</v>
      </c>
      <c r="J607" s="10" t="n">
        <v>44487</v>
      </c>
      <c r="K607" s="9" t="n">
        <v>26.92945</v>
      </c>
      <c r="L607" s="9" t="n">
        <v>75.81413999999999</v>
      </c>
      <c r="M607" s="9" t="inlineStr">
        <is>
          <t>https://www.google.com/maps/place/?q=place_id:ChIJ0QsCIVGxbTkRb_qRPRoA2Ck</t>
        </is>
      </c>
    </row>
    <row r="608">
      <c r="A608" s="9" t="n">
        <v>604</v>
      </c>
      <c r="B608" s="9" t="inlineStr">
        <is>
          <t>Jaipur</t>
        </is>
      </c>
      <c r="C608" s="9" t="inlineStr">
        <is>
          <t>Jaipur</t>
        </is>
      </c>
      <c r="D608" s="9" t="inlineStr">
        <is>
          <t>Rajasthan</t>
        </is>
      </c>
      <c r="E608" s="9" t="inlineStr">
        <is>
          <t>India</t>
        </is>
      </c>
      <c r="F608" s="9" t="n">
        <v>2</v>
      </c>
      <c r="G608" s="9" t="n">
        <v>2</v>
      </c>
      <c r="H608" s="9" t="n">
        <v>2</v>
      </c>
      <c r="I608" s="10" t="n">
        <v>43007</v>
      </c>
      <c r="J608" s="10" t="n">
        <v>44395</v>
      </c>
      <c r="K608" s="9" t="n">
        <v>26.8548</v>
      </c>
      <c r="L608" s="9" t="n">
        <v>75.82505999999999</v>
      </c>
      <c r="M608" s="9" t="inlineStr">
        <is>
          <t>https://www.google.com/maps/place/?q=place_id:ChIJEWhwbWu2bTkRxObszYIrd80</t>
        </is>
      </c>
    </row>
    <row r="609">
      <c r="A609" s="9" t="n">
        <v>605</v>
      </c>
      <c r="B609" s="9" t="inlineStr">
        <is>
          <t>Jaipur</t>
        </is>
      </c>
      <c r="C609" s="9" t="inlineStr">
        <is>
          <t>Jaipur</t>
        </is>
      </c>
      <c r="D609" s="9" t="inlineStr">
        <is>
          <t>Rajasthan</t>
        </is>
      </c>
      <c r="E609" s="9" t="inlineStr">
        <is>
          <t>India</t>
        </is>
      </c>
      <c r="F609" s="9" t="n">
        <v>2</v>
      </c>
      <c r="G609" s="9" t="n">
        <v>2</v>
      </c>
      <c r="H609" s="9" t="n">
        <v>2</v>
      </c>
      <c r="I609" s="10" t="n">
        <v>44395</v>
      </c>
      <c r="J609" s="10" t="n">
        <v>44487</v>
      </c>
      <c r="K609" s="9" t="n">
        <v>26.92405</v>
      </c>
      <c r="L609" s="9" t="n">
        <v>75.82271</v>
      </c>
      <c r="M609" s="9" t="inlineStr">
        <is>
          <t>https://www.google.com/maps/place/?q=place_id:ChIJCSKP80yxbTkRAKT8rQW0iOw</t>
        </is>
      </c>
    </row>
    <row r="610">
      <c r="A610" s="9" t="n">
        <v>606</v>
      </c>
      <c r="B610" s="9" t="inlineStr">
        <is>
          <t>Jaipur</t>
        </is>
      </c>
      <c r="C610" s="9" t="inlineStr">
        <is>
          <t>Jaipur</t>
        </is>
      </c>
      <c r="D610" s="9" t="inlineStr">
        <is>
          <t>Rajasthan</t>
        </is>
      </c>
      <c r="E610" s="9" t="inlineStr">
        <is>
          <t>India</t>
        </is>
      </c>
      <c r="F610" s="9" t="n">
        <v>2</v>
      </c>
      <c r="G610" s="9" t="n">
        <v>2</v>
      </c>
      <c r="H610" s="9" t="n">
        <v>2</v>
      </c>
      <c r="I610" s="10" t="n">
        <v>44395</v>
      </c>
      <c r="J610" s="10" t="n">
        <v>44486</v>
      </c>
      <c r="K610" s="9" t="n">
        <v>26.82894</v>
      </c>
      <c r="L610" s="9" t="n">
        <v>75.80562</v>
      </c>
      <c r="M610" s="9" t="inlineStr">
        <is>
          <t>https://www.google.com/maps/place/?q=place_id:ChIJGXfwUfizbTkRIcHXzAUkPMA</t>
        </is>
      </c>
    </row>
    <row r="611">
      <c r="A611" s="9" t="n">
        <v>607</v>
      </c>
      <c r="B611" s="9" t="inlineStr">
        <is>
          <t>Jaipur</t>
        </is>
      </c>
      <c r="C611" s="9" t="inlineStr">
        <is>
          <t>Jaipur</t>
        </is>
      </c>
      <c r="D611" s="9" t="inlineStr">
        <is>
          <t>Rajasthan</t>
        </is>
      </c>
      <c r="E611" s="9" t="inlineStr">
        <is>
          <t>India</t>
        </is>
      </c>
      <c r="F611" s="9" t="n">
        <v>2</v>
      </c>
      <c r="G611" s="9" t="n">
        <v>1</v>
      </c>
      <c r="H611" s="9" t="n">
        <v>1</v>
      </c>
      <c r="I611" s="10" t="n">
        <v>44486</v>
      </c>
      <c r="J611" s="10" t="n">
        <v>44486</v>
      </c>
      <c r="K611" s="9" t="n">
        <v>26.98549</v>
      </c>
      <c r="L611" s="9" t="n">
        <v>75.85135</v>
      </c>
      <c r="M611" s="9" t="inlineStr">
        <is>
          <t>https://www.google.com/maps/place/?q=place_id:ChIJ-w3Sy1qwbTkRK34UR2ffIWI</t>
        </is>
      </c>
    </row>
    <row r="612">
      <c r="A612" s="9" t="n">
        <v>608</v>
      </c>
      <c r="B612" s="9" t="inlineStr">
        <is>
          <t>Jaipur</t>
        </is>
      </c>
      <c r="C612" s="9" t="inlineStr">
        <is>
          <t>Jaipur</t>
        </is>
      </c>
      <c r="D612" s="9" t="inlineStr">
        <is>
          <t>Rajasthan</t>
        </is>
      </c>
      <c r="E612" s="9" t="inlineStr">
        <is>
          <t>India</t>
        </is>
      </c>
      <c r="F612" s="9" t="n">
        <v>1</v>
      </c>
      <c r="G612" s="9" t="n">
        <v>1</v>
      </c>
      <c r="H612" s="9" t="n">
        <v>1</v>
      </c>
      <c r="I612" s="10" t="n">
        <v>42983</v>
      </c>
      <c r="J612" s="10" t="n">
        <v>42983</v>
      </c>
      <c r="K612" s="9" t="n">
        <v>26.87334</v>
      </c>
      <c r="L612" s="9" t="n">
        <v>75.79885</v>
      </c>
      <c r="M612" s="9" t="inlineStr">
        <is>
          <t>https://www.google.com/maps/place/?q=place_id:ChIJE_f4yyy0bTkRqcBSE9E_Z0g</t>
        </is>
      </c>
    </row>
    <row r="613">
      <c r="A613" s="9" t="n">
        <v>609</v>
      </c>
      <c r="B613" s="9" t="inlineStr">
        <is>
          <t>Jaipur</t>
        </is>
      </c>
      <c r="C613" s="9" t="inlineStr">
        <is>
          <t>Jaipur</t>
        </is>
      </c>
      <c r="D613" s="9" t="inlineStr">
        <is>
          <t>Rajasthan</t>
        </is>
      </c>
      <c r="E613" s="9" t="inlineStr">
        <is>
          <t>India</t>
        </is>
      </c>
      <c r="F613" s="9" t="n">
        <v>1</v>
      </c>
      <c r="G613" s="9" t="n">
        <v>1</v>
      </c>
      <c r="H613" s="9" t="n">
        <v>1</v>
      </c>
      <c r="I613" s="10" t="n">
        <v>42989</v>
      </c>
      <c r="J613" s="10" t="n">
        <v>42989</v>
      </c>
      <c r="K613" s="9" t="n">
        <v>26.81006</v>
      </c>
      <c r="L613" s="9" t="n">
        <v>75.84706</v>
      </c>
      <c r="M613" s="9" t="inlineStr">
        <is>
          <t>https://www.google.com/maps/place/?q=place_id:ChIJJxEc88nJbTkR3DWhfsgPDqM</t>
        </is>
      </c>
    </row>
    <row r="614">
      <c r="A614" s="9" t="n">
        <v>610</v>
      </c>
      <c r="B614" s="9" t="inlineStr">
        <is>
          <t>Jaipur</t>
        </is>
      </c>
      <c r="C614" s="9" t="inlineStr">
        <is>
          <t>Jaipur</t>
        </is>
      </c>
      <c r="D614" s="9" t="inlineStr">
        <is>
          <t>Rajasthan</t>
        </is>
      </c>
      <c r="E614" s="9" t="inlineStr">
        <is>
          <t>India</t>
        </is>
      </c>
      <c r="F614" s="9" t="n">
        <v>1</v>
      </c>
      <c r="G614" s="9" t="n">
        <v>1</v>
      </c>
      <c r="H614" s="9" t="n">
        <v>1</v>
      </c>
      <c r="I614" s="10" t="n">
        <v>42991</v>
      </c>
      <c r="J614" s="10" t="n">
        <v>42991</v>
      </c>
      <c r="K614" s="9" t="n">
        <v>26.95202</v>
      </c>
      <c r="L614" s="9" t="n">
        <v>75.82626999999999</v>
      </c>
      <c r="M614" s="9" t="inlineStr">
        <is>
          <t>https://www.google.com/maps/place/?q=place_id:ChIJnUKjaWyxbTkRvcVoI52J36I</t>
        </is>
      </c>
    </row>
    <row r="615">
      <c r="A615" s="9" t="n">
        <v>611</v>
      </c>
      <c r="B615" s="9" t="inlineStr">
        <is>
          <t>Jaipur</t>
        </is>
      </c>
      <c r="C615" s="9" t="inlineStr">
        <is>
          <t>Jaipur</t>
        </is>
      </c>
      <c r="D615" s="9" t="inlineStr">
        <is>
          <t>Rajasthan</t>
        </is>
      </c>
      <c r="E615" s="9" t="inlineStr">
        <is>
          <t>India</t>
        </is>
      </c>
      <c r="F615" s="9" t="n">
        <v>1</v>
      </c>
      <c r="G615" s="9" t="n">
        <v>1</v>
      </c>
      <c r="H615" s="9" t="n">
        <v>1</v>
      </c>
      <c r="I615" s="10" t="n">
        <v>42992</v>
      </c>
      <c r="J615" s="10" t="n">
        <v>42992</v>
      </c>
      <c r="K615" s="9" t="n">
        <v>26.9159</v>
      </c>
      <c r="L615" s="9" t="n">
        <v>75.8248</v>
      </c>
      <c r="M615" s="9" t="inlineStr">
        <is>
          <t>https://www.google.com/maps/place/?q=place_id:ChIJ8Xylrra2bTkRuv9mEnc-YMQ</t>
        </is>
      </c>
    </row>
    <row r="616">
      <c r="A616" s="9" t="n">
        <v>612</v>
      </c>
      <c r="B616" s="9" t="inlineStr">
        <is>
          <t>Jaipur</t>
        </is>
      </c>
      <c r="C616" s="9" t="inlineStr">
        <is>
          <t>Jaipur</t>
        </is>
      </c>
      <c r="D616" s="9" t="inlineStr">
        <is>
          <t>Rajasthan</t>
        </is>
      </c>
      <c r="E616" s="9" t="inlineStr">
        <is>
          <t>India</t>
        </is>
      </c>
      <c r="F616" s="9" t="n">
        <v>1</v>
      </c>
      <c r="G616" s="9" t="n">
        <v>1</v>
      </c>
      <c r="H616" s="9" t="n">
        <v>1</v>
      </c>
      <c r="I616" s="10" t="n">
        <v>42992</v>
      </c>
      <c r="J616" s="10" t="n">
        <v>42992</v>
      </c>
      <c r="K616" s="9" t="n">
        <v>26.92319</v>
      </c>
      <c r="L616" s="9" t="n">
        <v>75.8013</v>
      </c>
      <c r="M616" s="9" t="inlineStr">
        <is>
          <t>https://www.google.com/maps/place/?q=place_id:ChIJpZEGTPmzbTkRCce-O2t5PFo</t>
        </is>
      </c>
    </row>
    <row r="617">
      <c r="A617" s="9" t="n">
        <v>613</v>
      </c>
      <c r="B617" s="9" t="inlineStr">
        <is>
          <t>Basi</t>
        </is>
      </c>
      <c r="C617" s="9" t="inlineStr">
        <is>
          <t>Jaipur</t>
        </is>
      </c>
      <c r="D617" s="9" t="inlineStr">
        <is>
          <t>Rajasthan</t>
        </is>
      </c>
      <c r="E617" s="9" t="inlineStr">
        <is>
          <t>India</t>
        </is>
      </c>
      <c r="F617" s="9" t="n">
        <v>1</v>
      </c>
      <c r="G617" s="9" t="n">
        <v>1</v>
      </c>
      <c r="H617" s="9" t="n">
        <v>1</v>
      </c>
      <c r="I617" s="10" t="n">
        <v>43007</v>
      </c>
      <c r="J617" s="10" t="n">
        <v>43007</v>
      </c>
      <c r="K617" s="9" t="n">
        <v>26.86341</v>
      </c>
      <c r="L617" s="9" t="n">
        <v>75.976</v>
      </c>
      <c r="M617" s="9" t="inlineStr">
        <is>
          <t>https://www.google.com/maps/place/?q=place_id:ChIJQUcOSbm4bTkRCMbKXWaxF04</t>
        </is>
      </c>
    </row>
    <row r="618">
      <c r="A618" s="9" t="n">
        <v>614</v>
      </c>
      <c r="B618" s="9" t="inlineStr">
        <is>
          <t>Jaipur</t>
        </is>
      </c>
      <c r="C618" s="9" t="inlineStr">
        <is>
          <t>Jaipur</t>
        </is>
      </c>
      <c r="D618" s="9" t="inlineStr">
        <is>
          <t>Rajasthan</t>
        </is>
      </c>
      <c r="E618" s="9" t="inlineStr">
        <is>
          <t>India</t>
        </is>
      </c>
      <c r="F618" s="9" t="n">
        <v>1</v>
      </c>
      <c r="G618" s="9" t="n">
        <v>1</v>
      </c>
      <c r="H618" s="9" t="n">
        <v>1</v>
      </c>
      <c r="I618" s="10" t="n">
        <v>43007</v>
      </c>
      <c r="J618" s="10" t="n">
        <v>43007</v>
      </c>
      <c r="K618" s="9" t="n">
        <v>26.92704</v>
      </c>
      <c r="L618" s="9" t="n">
        <v>75.81981</v>
      </c>
      <c r="M618" s="9" t="inlineStr">
        <is>
          <t>https://www.google.com/maps/place/?q=place_id:ChIJETyHCk6xbTkRm7HlKEhvsWM</t>
        </is>
      </c>
    </row>
    <row r="619">
      <c r="A619" s="9" t="n">
        <v>615</v>
      </c>
      <c r="B619" s="9" t="inlineStr">
        <is>
          <t>Jaipur</t>
        </is>
      </c>
      <c r="C619" s="9" t="inlineStr">
        <is>
          <t>Jaipur</t>
        </is>
      </c>
      <c r="D619" s="9" t="inlineStr">
        <is>
          <t>Rajasthan</t>
        </is>
      </c>
      <c r="E619" s="9" t="inlineStr">
        <is>
          <t>India</t>
        </is>
      </c>
      <c r="F619" s="9" t="n">
        <v>1</v>
      </c>
      <c r="G619" s="9" t="n">
        <v>1</v>
      </c>
      <c r="H619" s="9" t="n">
        <v>1</v>
      </c>
      <c r="I619" s="10" t="n">
        <v>44394</v>
      </c>
      <c r="J619" s="10" t="n">
        <v>44394</v>
      </c>
      <c r="K619" s="9" t="n">
        <v>26.9634</v>
      </c>
      <c r="L619" s="9" t="n">
        <v>75.84833999999999</v>
      </c>
      <c r="M619" s="9" t="inlineStr">
        <is>
          <t>https://www.google.com/maps/place/?q=place_id:ChIJ8275CASxbTkRI6y7FoiCOhk</t>
        </is>
      </c>
    </row>
    <row r="620">
      <c r="A620" s="9" t="n">
        <v>616</v>
      </c>
      <c r="B620" s="9" t="inlineStr">
        <is>
          <t>Jaipur</t>
        </is>
      </c>
      <c r="C620" s="9" t="inlineStr">
        <is>
          <t>Jaipur</t>
        </is>
      </c>
      <c r="D620" s="9" t="inlineStr">
        <is>
          <t>Rajasthan</t>
        </is>
      </c>
      <c r="E620" s="9" t="inlineStr">
        <is>
          <t>India</t>
        </is>
      </c>
      <c r="F620" s="9" t="n">
        <v>1</v>
      </c>
      <c r="G620" s="9" t="n">
        <v>1</v>
      </c>
      <c r="H620" s="9" t="n">
        <v>1</v>
      </c>
      <c r="I620" s="10" t="n">
        <v>44395</v>
      </c>
      <c r="J620" s="10" t="n">
        <v>44395</v>
      </c>
      <c r="K620" s="9" t="n">
        <v>26.92123</v>
      </c>
      <c r="L620" s="9" t="n">
        <v>75.82216</v>
      </c>
      <c r="M620" s="9" t="inlineStr">
        <is>
          <t>https://www.google.com/maps/place/?q=place_id:ChIJda0wLLO2bTkRc3FVR8w45JE</t>
        </is>
      </c>
    </row>
    <row r="621">
      <c r="A621" s="9" t="n">
        <v>617</v>
      </c>
      <c r="B621" s="9" t="inlineStr">
        <is>
          <t>Jaipur</t>
        </is>
      </c>
      <c r="C621" s="9" t="inlineStr">
        <is>
          <t>Jaipur</t>
        </is>
      </c>
      <c r="D621" s="9" t="inlineStr">
        <is>
          <t>Rajasthan</t>
        </is>
      </c>
      <c r="E621" s="9" t="inlineStr">
        <is>
          <t>India</t>
        </is>
      </c>
      <c r="F621" s="9" t="n">
        <v>1</v>
      </c>
      <c r="G621" s="9" t="n">
        <v>1</v>
      </c>
      <c r="H621" s="9" t="n">
        <v>1</v>
      </c>
      <c r="I621" s="10" t="n">
        <v>44395</v>
      </c>
      <c r="J621" s="10" t="n">
        <v>44395</v>
      </c>
      <c r="K621" s="9" t="n">
        <v>26.99111</v>
      </c>
      <c r="L621" s="9" t="n">
        <v>75.85123</v>
      </c>
      <c r="M621" s="9" t="inlineStr">
        <is>
          <t>https://www.google.com/maps/place/?q=place_id:ChIJ94NTG7WxbTkRcBL55cQFS98</t>
        </is>
      </c>
    </row>
    <row r="622">
      <c r="A622" s="9" t="n">
        <v>618</v>
      </c>
      <c r="B622" s="9" t="inlineStr">
        <is>
          <t>Jaipur</t>
        </is>
      </c>
      <c r="C622" s="9" t="inlineStr">
        <is>
          <t>Jaipur</t>
        </is>
      </c>
      <c r="D622" s="9" t="inlineStr">
        <is>
          <t>Rajasthan</t>
        </is>
      </c>
      <c r="E622" s="9" t="inlineStr">
        <is>
          <t>India</t>
        </is>
      </c>
      <c r="F622" s="9" t="n">
        <v>1</v>
      </c>
      <c r="G622" s="9" t="n">
        <v>1</v>
      </c>
      <c r="H622" s="9" t="n">
        <v>1</v>
      </c>
      <c r="I622" s="10" t="n">
        <v>44395</v>
      </c>
      <c r="J622" s="10" t="n">
        <v>44395</v>
      </c>
      <c r="K622" s="9" t="n">
        <v>26.95836</v>
      </c>
      <c r="L622" s="9" t="n">
        <v>75.84350999999999</v>
      </c>
      <c r="M622" s="9" t="inlineStr">
        <is>
          <t>https://www.google.com/maps/place/?q=place_id:ChIJW757zRqxbTkRTtZjA7vI0yc</t>
        </is>
      </c>
    </row>
    <row r="623">
      <c r="A623" s="9" t="n">
        <v>619</v>
      </c>
      <c r="B623" s="9" t="inlineStr">
        <is>
          <t>Jaipur</t>
        </is>
      </c>
      <c r="C623" s="9" t="inlineStr">
        <is>
          <t>Jaipur</t>
        </is>
      </c>
      <c r="D623" s="9" t="inlineStr">
        <is>
          <t>Rajasthan</t>
        </is>
      </c>
      <c r="E623" s="9" t="inlineStr">
        <is>
          <t>India</t>
        </is>
      </c>
      <c r="F623" s="9" t="n">
        <v>1</v>
      </c>
      <c r="G623" s="9" t="n">
        <v>1</v>
      </c>
      <c r="H623" s="9" t="n">
        <v>1</v>
      </c>
      <c r="I623" s="10" t="n">
        <v>44484</v>
      </c>
      <c r="J623" s="10" t="n">
        <v>44484</v>
      </c>
      <c r="K623" s="9" t="n">
        <v>26.91959</v>
      </c>
      <c r="L623" s="9" t="n">
        <v>75.78796</v>
      </c>
      <c r="M623" s="9" t="inlineStr">
        <is>
          <t>https://www.google.com/maps/place/?q=place_id:ChIJAVdVrvWzbTkRocGuhc3m88o</t>
        </is>
      </c>
    </row>
    <row r="624">
      <c r="A624" s="9" t="n">
        <v>620</v>
      </c>
      <c r="B624" s="9" t="inlineStr">
        <is>
          <t>Jaipur</t>
        </is>
      </c>
      <c r="C624" s="9" t="inlineStr">
        <is>
          <t>Jaipur</t>
        </is>
      </c>
      <c r="D624" s="9" t="inlineStr">
        <is>
          <t>Rajasthan</t>
        </is>
      </c>
      <c r="E624" s="9" t="inlineStr">
        <is>
          <t>India</t>
        </is>
      </c>
      <c r="F624" s="9" t="n">
        <v>1</v>
      </c>
      <c r="G624" s="9" t="n">
        <v>1</v>
      </c>
      <c r="H624" s="9" t="n">
        <v>1</v>
      </c>
      <c r="I624" s="10" t="n">
        <v>44487</v>
      </c>
      <c r="J624" s="10" t="n">
        <v>44487</v>
      </c>
      <c r="K624" s="9" t="n">
        <v>26.9172</v>
      </c>
      <c r="L624" s="9" t="n">
        <v>75.85825</v>
      </c>
      <c r="M624" s="9" t="inlineStr">
        <is>
          <t>https://www.google.com/maps/place/?q=place_id:ChIJ4dpHPSm3bTkRL6697rELJa8</t>
        </is>
      </c>
    </row>
    <row r="625">
      <c r="A625" s="9" t="n">
        <v>621</v>
      </c>
      <c r="B625" s="9" t="inlineStr">
        <is>
          <t>Jaipur</t>
        </is>
      </c>
      <c r="C625" s="9" t="inlineStr">
        <is>
          <t>Jaipur</t>
        </is>
      </c>
      <c r="D625" s="9" t="inlineStr">
        <is>
          <t>Rajasthan</t>
        </is>
      </c>
      <c r="E625" s="9" t="inlineStr">
        <is>
          <t>India</t>
        </is>
      </c>
      <c r="F625" s="9" t="n">
        <v>1</v>
      </c>
      <c r="G625" s="9" t="n">
        <v>1</v>
      </c>
      <c r="H625" s="9" t="n">
        <v>1</v>
      </c>
      <c r="I625" s="10" t="n">
        <v>44487</v>
      </c>
      <c r="J625" s="10" t="n">
        <v>44487</v>
      </c>
      <c r="K625" s="9" t="n">
        <v>26.92394</v>
      </c>
      <c r="L625" s="9" t="n">
        <v>75.82674</v>
      </c>
      <c r="M625" s="9" t="inlineStr">
        <is>
          <t>https://www.google.com/maps/place/?q=place_id:ChIJpQvTG0uxbTkRDLLMHlNdDoY</t>
        </is>
      </c>
    </row>
    <row r="626">
      <c r="A626" s="9" t="n">
        <v>622</v>
      </c>
      <c r="B626" s="9" t="inlineStr">
        <is>
          <t>Basi</t>
        </is>
      </c>
      <c r="C626" s="9" t="inlineStr">
        <is>
          <t>Jaipur</t>
        </is>
      </c>
      <c r="D626" s="9" t="inlineStr">
        <is>
          <t>Rajasthan</t>
        </is>
      </c>
      <c r="E626" s="9" t="inlineStr">
        <is>
          <t>India</t>
        </is>
      </c>
      <c r="F626" s="9" t="n">
        <v>1</v>
      </c>
      <c r="G626" s="9" t="n">
        <v>1</v>
      </c>
      <c r="H626" s="9" t="n">
        <v>1</v>
      </c>
      <c r="I626" s="10" t="n">
        <v>44488</v>
      </c>
      <c r="J626" s="10" t="n">
        <v>44488</v>
      </c>
      <c r="K626" s="9" t="n">
        <v>26.8742</v>
      </c>
      <c r="L626" s="9" t="n">
        <v>75.94919</v>
      </c>
      <c r="M626" s="9" t="inlineStr">
        <is>
          <t>https://www.google.com/maps/place/?q=place_id:ChIJlxwfAfe4bTkRgwhPbmSsQVw</t>
        </is>
      </c>
    </row>
    <row r="627">
      <c r="A627" s="9" t="n">
        <v>623</v>
      </c>
      <c r="B627" s="9" t="inlineStr">
        <is>
          <t>Kaman</t>
        </is>
      </c>
      <c r="C627" s="9" t="inlineStr">
        <is>
          <t>Kaman</t>
        </is>
      </c>
      <c r="D627" s="9" t="inlineStr">
        <is>
          <t>Rajasthan</t>
        </is>
      </c>
      <c r="E627" s="9" t="inlineStr">
        <is>
          <t>India</t>
        </is>
      </c>
      <c r="F627" s="9" t="n">
        <v>2</v>
      </c>
      <c r="G627" s="9" t="n">
        <v>2</v>
      </c>
      <c r="H627" s="9" t="n">
        <v>2</v>
      </c>
      <c r="I627" s="10" t="n">
        <v>43004</v>
      </c>
      <c r="J627" s="10" t="n">
        <v>43759</v>
      </c>
      <c r="K627" s="9" t="n">
        <v>27.65004</v>
      </c>
      <c r="L627" s="9" t="n">
        <v>77.37338</v>
      </c>
      <c r="M627" s="9" t="inlineStr">
        <is>
          <t>https://www.google.com/maps/place/?q=place_id:ChIJJ24kDd4ZczkRGt0gPHU3i8s</t>
        </is>
      </c>
    </row>
    <row r="628">
      <c r="A628" s="9" t="n">
        <v>624</v>
      </c>
      <c r="B628" s="9" t="inlineStr">
        <is>
          <t>Kaman</t>
        </is>
      </c>
      <c r="C628" s="9" t="inlineStr">
        <is>
          <t>Kaman</t>
        </is>
      </c>
      <c r="D628" s="9" t="inlineStr">
        <is>
          <t>Rajasthan</t>
        </is>
      </c>
      <c r="E628" s="9" t="inlineStr">
        <is>
          <t>India</t>
        </is>
      </c>
      <c r="F628" s="9" t="n">
        <v>2</v>
      </c>
      <c r="G628" s="9" t="n">
        <v>1</v>
      </c>
      <c r="H628" s="9" t="n">
        <v>1</v>
      </c>
      <c r="I628" s="10" t="n">
        <v>44390</v>
      </c>
      <c r="J628" s="10" t="n">
        <v>44390</v>
      </c>
      <c r="K628" s="9" t="n">
        <v>27.65001</v>
      </c>
      <c r="L628" s="9" t="n">
        <v>77.37335</v>
      </c>
      <c r="M628" s="9" t="inlineStr">
        <is>
          <t>https://www.google.com/maps/place/?q=place_id:ChIJa_QiP_MZczkRHkRfTdVeOkg</t>
        </is>
      </c>
    </row>
    <row r="629">
      <c r="A629" s="9" t="n">
        <v>625</v>
      </c>
      <c r="B629" s="9" t="inlineStr">
        <is>
          <t>Kaman</t>
        </is>
      </c>
      <c r="C629" s="9" t="inlineStr">
        <is>
          <t>Kaman</t>
        </is>
      </c>
      <c r="D629" s="9" t="inlineStr">
        <is>
          <t>Rajasthan</t>
        </is>
      </c>
      <c r="E629" s="9" t="inlineStr">
        <is>
          <t>India</t>
        </is>
      </c>
      <c r="F629" s="9" t="n">
        <v>2</v>
      </c>
      <c r="G629" s="9" t="n">
        <v>1</v>
      </c>
      <c r="H629" s="9" t="n">
        <v>1</v>
      </c>
      <c r="I629" s="10" t="n">
        <v>44863</v>
      </c>
      <c r="J629" s="10" t="n">
        <v>44863</v>
      </c>
      <c r="K629" s="9" t="n">
        <v>27.65462</v>
      </c>
      <c r="L629" s="9" t="n">
        <v>77.38061999999999</v>
      </c>
      <c r="M629" s="9" t="inlineStr">
        <is>
          <t>https://www.google.com/maps/place/?q=place_id:ChIJPV-7ibMXczkRlgZvuTEyF6M</t>
        </is>
      </c>
    </row>
    <row r="630">
      <c r="A630" s="9" t="n">
        <v>626</v>
      </c>
      <c r="B630" s="9" t="inlineStr">
        <is>
          <t>Kaman</t>
        </is>
      </c>
      <c r="C630" s="9" t="inlineStr">
        <is>
          <t>Kaman</t>
        </is>
      </c>
      <c r="D630" s="9" t="inlineStr">
        <is>
          <t>Rajasthan</t>
        </is>
      </c>
      <c r="E630" s="9" t="inlineStr">
        <is>
          <t>India</t>
        </is>
      </c>
      <c r="F630" s="9" t="n">
        <v>1</v>
      </c>
      <c r="G630" s="9" t="n">
        <v>1</v>
      </c>
      <c r="H630" s="9" t="n">
        <v>1</v>
      </c>
      <c r="I630" s="10" t="n">
        <v>44390</v>
      </c>
      <c r="J630" s="10" t="n">
        <v>44390</v>
      </c>
      <c r="K630" s="9" t="n">
        <v>27.65545</v>
      </c>
      <c r="L630" s="9" t="n">
        <v>77.38087</v>
      </c>
      <c r="M630" s="9" t="inlineStr">
        <is>
          <t>https://www.google.com/maps/place/?q=place_id:ChIJSUWp0HgXczkRdG7y7CC_f0o</t>
        </is>
      </c>
    </row>
    <row r="631">
      <c r="A631" s="9" t="n">
        <v>627</v>
      </c>
      <c r="B631" s="9" t="inlineStr">
        <is>
          <t>Kaman</t>
        </is>
      </c>
      <c r="C631" s="9" t="inlineStr">
        <is>
          <t>Kaman</t>
        </is>
      </c>
      <c r="D631" s="9" t="inlineStr">
        <is>
          <t>Rajasthan</t>
        </is>
      </c>
      <c r="E631" s="9" t="inlineStr">
        <is>
          <t>India</t>
        </is>
      </c>
      <c r="F631" s="9" t="n">
        <v>1</v>
      </c>
      <c r="G631" s="9" t="n">
        <v>1</v>
      </c>
      <c r="H631" s="9" t="n">
        <v>1</v>
      </c>
      <c r="I631" s="10" t="n">
        <v>45581</v>
      </c>
      <c r="J631" s="10" t="n">
        <v>45581</v>
      </c>
      <c r="K631" s="9" t="n">
        <v>27.64931</v>
      </c>
      <c r="L631" s="9" t="n">
        <v>77.27576999999999</v>
      </c>
      <c r="M631" s="9" t="inlineStr">
        <is>
          <t>https://www.google.com/maps/place/?q=place_id:ChIJn2npkc8eczkRxneX2OC02QA</t>
        </is>
      </c>
    </row>
    <row r="632">
      <c r="A632" s="9" t="n">
        <v>628</v>
      </c>
      <c r="B632" s="9" t="inlineStr">
        <is>
          <t>Kaman</t>
        </is>
      </c>
      <c r="C632" s="9" t="inlineStr">
        <is>
          <t>Kaman</t>
        </is>
      </c>
      <c r="D632" s="9" t="inlineStr">
        <is>
          <t>Rajasthan</t>
        </is>
      </c>
      <c r="E632" s="9" t="inlineStr">
        <is>
          <t>India</t>
        </is>
      </c>
      <c r="F632" s="9" t="n">
        <v>1</v>
      </c>
      <c r="G632" s="9" t="n">
        <v>1</v>
      </c>
      <c r="H632" s="9" t="n">
        <v>1</v>
      </c>
      <c r="I632" s="10" t="n">
        <v>45581</v>
      </c>
      <c r="J632" s="10" t="n">
        <v>45581</v>
      </c>
      <c r="K632" s="9" t="n">
        <v>27.64186</v>
      </c>
      <c r="L632" s="9" t="n">
        <v>77.27518999999999</v>
      </c>
      <c r="M632" s="9" t="inlineStr">
        <is>
          <t>https://www.google.com/maps/place/?q=place_id:ChIJEQpMeMgeczkRyyUZbdy_fQw</t>
        </is>
      </c>
    </row>
    <row r="633">
      <c r="A633" s="9" t="n">
        <v>629</v>
      </c>
      <c r="B633" s="9" t="inlineStr">
        <is>
          <t>Kaman</t>
        </is>
      </c>
      <c r="C633" s="9" t="inlineStr">
        <is>
          <t>Kaman</t>
        </is>
      </c>
      <c r="D633" s="9" t="inlineStr">
        <is>
          <t>Rajasthan</t>
        </is>
      </c>
      <c r="E633" s="9" t="inlineStr">
        <is>
          <t>India</t>
        </is>
      </c>
      <c r="F633" s="9" t="n">
        <v>1</v>
      </c>
      <c r="G633" s="9" t="n">
        <v>1</v>
      </c>
      <c r="H633" s="9" t="n">
        <v>1</v>
      </c>
      <c r="I633" s="10" t="n">
        <v>45581</v>
      </c>
      <c r="J633" s="10" t="n">
        <v>45581</v>
      </c>
      <c r="K633" s="9" t="n">
        <v>27.676</v>
      </c>
      <c r="L633" s="9" t="n">
        <v>77.2659</v>
      </c>
      <c r="M633" s="9" t="inlineStr">
        <is>
          <t>https://www.google.com/maps/place/?q=place_id:ChIJ6XPvBj0fczkRRcsR263PKv4</t>
        </is>
      </c>
    </row>
    <row r="634">
      <c r="A634" s="9" t="n">
        <v>630</v>
      </c>
      <c r="B634" s="9" t="inlineStr">
        <is>
          <t>Kaman</t>
        </is>
      </c>
      <c r="C634" s="9" t="inlineStr">
        <is>
          <t>Kaman</t>
        </is>
      </c>
      <c r="D634" s="9" t="inlineStr">
        <is>
          <t>Rajasthan</t>
        </is>
      </c>
      <c r="E634" s="9" t="inlineStr">
        <is>
          <t>India</t>
        </is>
      </c>
      <c r="F634" s="9" t="n">
        <v>1</v>
      </c>
      <c r="G634" s="9" t="n">
        <v>1</v>
      </c>
      <c r="H634" s="9" t="n">
        <v>1</v>
      </c>
      <c r="I634" s="10" t="n">
        <v>45581</v>
      </c>
      <c r="J634" s="10" t="n">
        <v>45581</v>
      </c>
      <c r="K634" s="9" t="n">
        <v>27.64852</v>
      </c>
      <c r="L634" s="9" t="n">
        <v>77.27275</v>
      </c>
      <c r="M634" s="9" t="inlineStr">
        <is>
          <t>https://www.google.com/maps/place/?q=place_id:ChIJQZwtAMUeczkRBF9CTFGhIUI</t>
        </is>
      </c>
    </row>
    <row r="635">
      <c r="A635" s="9" t="n">
        <v>631</v>
      </c>
      <c r="B635" s="9" t="inlineStr">
        <is>
          <t>Kaman</t>
        </is>
      </c>
      <c r="C635" s="9" t="inlineStr">
        <is>
          <t>Kaman</t>
        </is>
      </c>
      <c r="D635" s="9" t="inlineStr">
        <is>
          <t>Rajasthan</t>
        </is>
      </c>
      <c r="E635" s="9" t="inlineStr">
        <is>
          <t>India</t>
        </is>
      </c>
      <c r="F635" s="9" t="n">
        <v>1</v>
      </c>
      <c r="G635" s="9" t="n">
        <v>1</v>
      </c>
      <c r="H635" s="9" t="n">
        <v>1</v>
      </c>
      <c r="I635" s="10" t="n">
        <v>45581</v>
      </c>
      <c r="J635" s="10" t="n">
        <v>45581</v>
      </c>
      <c r="K635" s="9" t="n">
        <v>27.64762</v>
      </c>
      <c r="L635" s="9" t="n">
        <v>77.2604</v>
      </c>
      <c r="M635" s="9" t="inlineStr">
        <is>
          <t>https://www.google.com/maps/place/?q=place_id:ChIJvVRj9-geczkR4_HTFo5EikM</t>
        </is>
      </c>
    </row>
    <row r="636">
      <c r="A636" s="9" t="n">
        <v>632</v>
      </c>
      <c r="B636" s="9" t="inlineStr">
        <is>
          <t>Karauli</t>
        </is>
      </c>
      <c r="C636" s="9" t="inlineStr">
        <is>
          <t>Karauli</t>
        </is>
      </c>
      <c r="D636" s="9" t="inlineStr">
        <is>
          <t>Rajasthan</t>
        </is>
      </c>
      <c r="E636" s="9" t="inlineStr">
        <is>
          <t>India</t>
        </is>
      </c>
      <c r="F636" s="9" t="n">
        <v>2</v>
      </c>
      <c r="G636" s="9" t="n">
        <v>2</v>
      </c>
      <c r="H636" s="9" t="n">
        <v>2</v>
      </c>
      <c r="I636" s="10" t="n">
        <v>43007</v>
      </c>
      <c r="J636" s="10" t="n">
        <v>44394</v>
      </c>
      <c r="K636" s="9" t="n">
        <v>26.50561</v>
      </c>
      <c r="L636" s="9" t="n">
        <v>77.02495999999999</v>
      </c>
      <c r="M636" s="9" t="inlineStr">
        <is>
          <t>https://www.google.com/maps/place/?q=place_id:ChIJcfcrMxaGcTkRx_kCBTRyIdY</t>
        </is>
      </c>
    </row>
    <row r="637">
      <c r="A637" s="9" t="n">
        <v>633</v>
      </c>
      <c r="B637" s="9" t="inlineStr">
        <is>
          <t>Karauli</t>
        </is>
      </c>
      <c r="C637" s="9" t="inlineStr">
        <is>
          <t>Karauli</t>
        </is>
      </c>
      <c r="D637" s="9" t="inlineStr">
        <is>
          <t>Rajasthan</t>
        </is>
      </c>
      <c r="E637" s="9" t="inlineStr">
        <is>
          <t>India</t>
        </is>
      </c>
      <c r="F637" s="9" t="n">
        <v>1</v>
      </c>
      <c r="G637" s="9" t="n">
        <v>1</v>
      </c>
      <c r="H637" s="9" t="n">
        <v>1</v>
      </c>
      <c r="I637" s="10" t="n">
        <v>43007</v>
      </c>
      <c r="J637" s="10" t="n">
        <v>43007</v>
      </c>
      <c r="K637" s="9" t="n">
        <v>26.49502</v>
      </c>
      <c r="L637" s="9" t="n">
        <v>77.02941</v>
      </c>
      <c r="M637" s="9" t="inlineStr">
        <is>
          <t>https://www.google.com/maps/place/?q=place_id:ChIJX_32iw2GcTkRz72GcGIHAlA</t>
        </is>
      </c>
    </row>
    <row r="638">
      <c r="A638" s="9" t="n">
        <v>634</v>
      </c>
      <c r="B638" s="9" t="inlineStr">
        <is>
          <t>Karauli</t>
        </is>
      </c>
      <c r="C638" s="9" t="inlineStr">
        <is>
          <t>Karauli</t>
        </is>
      </c>
      <c r="D638" s="9" t="inlineStr">
        <is>
          <t>Rajasthan</t>
        </is>
      </c>
      <c r="E638" s="9" t="inlineStr">
        <is>
          <t>India</t>
        </is>
      </c>
      <c r="F638" s="9" t="n">
        <v>1</v>
      </c>
      <c r="G638" s="9" t="n">
        <v>1</v>
      </c>
      <c r="H638" s="9" t="n">
        <v>1</v>
      </c>
      <c r="I638" s="10" t="n">
        <v>44394</v>
      </c>
      <c r="J638" s="10" t="n">
        <v>44394</v>
      </c>
      <c r="K638" s="9" t="n">
        <v>26.509</v>
      </c>
      <c r="L638" s="9" t="n">
        <v>77.02606</v>
      </c>
      <c r="M638" s="9" t="inlineStr">
        <is>
          <t>https://www.google.com/maps/place/?q=place_id:ChIJHzZRtj2GcTkRW9MjHGhuCPc</t>
        </is>
      </c>
    </row>
    <row r="639">
      <c r="A639" s="9" t="n">
        <v>635</v>
      </c>
      <c r="B639" s="9" t="inlineStr">
        <is>
          <t>Karauli</t>
        </is>
      </c>
      <c r="C639" s="9" t="inlineStr">
        <is>
          <t>Karauli</t>
        </is>
      </c>
      <c r="D639" s="9" t="inlineStr">
        <is>
          <t>Rajasthan</t>
        </is>
      </c>
      <c r="E639" s="9" t="inlineStr">
        <is>
          <t>India</t>
        </is>
      </c>
      <c r="F639" s="9" t="n">
        <v>1</v>
      </c>
      <c r="G639" s="9" t="n">
        <v>1</v>
      </c>
      <c r="H639" s="9" t="n">
        <v>1</v>
      </c>
      <c r="I639" s="10" t="n">
        <v>44394</v>
      </c>
      <c r="J639" s="10" t="n">
        <v>44394</v>
      </c>
      <c r="K639" s="9" t="n">
        <v>26.49808</v>
      </c>
      <c r="L639" s="9" t="n">
        <v>77.02764000000001</v>
      </c>
      <c r="M639" s="9" t="inlineStr">
        <is>
          <t>https://www.google.com/maps/place/?q=place_id:ChIJTb9U1ROGcTkRb-QQA-aai74</t>
        </is>
      </c>
    </row>
    <row r="640">
      <c r="A640" s="9" t="n">
        <v>636</v>
      </c>
      <c r="B640" s="9" t="inlineStr">
        <is>
          <t>Nathdwara</t>
        </is>
      </c>
      <c r="C640" s="9" t="inlineStr">
        <is>
          <t>Nathdwara</t>
        </is>
      </c>
      <c r="D640" s="9" t="inlineStr">
        <is>
          <t>Rajasthan</t>
        </is>
      </c>
      <c r="E640" s="9" t="inlineStr">
        <is>
          <t>India</t>
        </is>
      </c>
      <c r="F640" s="9" t="n">
        <v>4</v>
      </c>
      <c r="G640" s="9" t="n">
        <v>4</v>
      </c>
      <c r="H640" s="9" t="n">
        <v>2</v>
      </c>
      <c r="I640" s="10" t="n">
        <v>43843</v>
      </c>
      <c r="J640" s="10" t="n">
        <v>43874</v>
      </c>
      <c r="K640" s="9" t="n">
        <v>24.89551</v>
      </c>
      <c r="L640" s="9" t="n">
        <v>73.79859</v>
      </c>
      <c r="M640" s="9" t="inlineStr">
        <is>
          <t>https://www.google.com/maps/place/?q=place_id:ChIJydlxcu0NaDkRTavgbQj4uXk</t>
        </is>
      </c>
    </row>
    <row r="641">
      <c r="A641" s="9" t="n">
        <v>637</v>
      </c>
      <c r="B641" s="9" t="inlineStr">
        <is>
          <t>Nathdwara</t>
        </is>
      </c>
      <c r="C641" s="9" t="inlineStr">
        <is>
          <t>Nathdwara</t>
        </is>
      </c>
      <c r="D641" s="9" t="inlineStr">
        <is>
          <t>Rajasthan</t>
        </is>
      </c>
      <c r="E641" s="9" t="inlineStr">
        <is>
          <t>India</t>
        </is>
      </c>
      <c r="F641" s="9" t="n">
        <v>3</v>
      </c>
      <c r="G641" s="9" t="n">
        <v>2</v>
      </c>
      <c r="H641" s="9" t="n">
        <v>1</v>
      </c>
      <c r="I641" s="10" t="n">
        <v>43844</v>
      </c>
      <c r="J641" s="10" t="n">
        <v>43845</v>
      </c>
      <c r="K641" s="9" t="n">
        <v>24.91637</v>
      </c>
      <c r="L641" s="9" t="n">
        <v>73.81359</v>
      </c>
      <c r="M641" s="9" t="inlineStr">
        <is>
          <t>https://www.google.com/maps/place/?q=place_id:ChIJp8fncBkNaDkRm3ZZ141lols</t>
        </is>
      </c>
    </row>
    <row r="642">
      <c r="A642" s="9" t="n">
        <v>638</v>
      </c>
      <c r="B642" s="9" t="inlineStr">
        <is>
          <t>Nathdwara</t>
        </is>
      </c>
      <c r="C642" s="9" t="inlineStr">
        <is>
          <t>Nathdwara</t>
        </is>
      </c>
      <c r="D642" s="9" t="inlineStr">
        <is>
          <t>Rajasthan</t>
        </is>
      </c>
      <c r="E642" s="9" t="inlineStr">
        <is>
          <t>India</t>
        </is>
      </c>
      <c r="F642" s="9" t="n">
        <v>2</v>
      </c>
      <c r="G642" s="9" t="n">
        <v>2</v>
      </c>
      <c r="H642" s="9" t="n">
        <v>2</v>
      </c>
      <c r="I642" s="10" t="n">
        <v>43845</v>
      </c>
      <c r="J642" s="10" t="n">
        <v>43874</v>
      </c>
      <c r="K642" s="9" t="n">
        <v>24.92843</v>
      </c>
      <c r="L642" s="9" t="n">
        <v>73.81610999999999</v>
      </c>
      <c r="M642" s="9" t="inlineStr">
        <is>
          <t>https://www.google.com/maps/place/?q=place_id:ChIJs7lRgYfvZzkRyIULsDqzK0U</t>
        </is>
      </c>
    </row>
    <row r="643">
      <c r="A643" s="9" t="n">
        <v>639</v>
      </c>
      <c r="B643" s="9" t="inlineStr">
        <is>
          <t>Nathdwara</t>
        </is>
      </c>
      <c r="C643" s="9" t="inlineStr">
        <is>
          <t>Nathdwara</t>
        </is>
      </c>
      <c r="D643" s="9" t="inlineStr">
        <is>
          <t>Rajasthan</t>
        </is>
      </c>
      <c r="E643" s="9" t="inlineStr">
        <is>
          <t>India</t>
        </is>
      </c>
      <c r="F643" s="9" t="n">
        <v>1</v>
      </c>
      <c r="G643" s="9" t="n">
        <v>1</v>
      </c>
      <c r="H643" s="9" t="n">
        <v>1</v>
      </c>
      <c r="I643" s="10" t="n">
        <v>43844</v>
      </c>
      <c r="J643" s="10" t="n">
        <v>43844</v>
      </c>
      <c r="K643" s="9" t="n">
        <v>24.91911</v>
      </c>
      <c r="L643" s="9" t="n">
        <v>73.80607000000001</v>
      </c>
      <c r="M643" s="9" t="inlineStr">
        <is>
          <t>https://www.google.com/maps/place/?q=place_id:ChIJIxcWCBANaDkRu1rhllrpr1s</t>
        </is>
      </c>
    </row>
    <row r="644">
      <c r="A644" s="9" t="n">
        <v>640</v>
      </c>
      <c r="B644" s="9" t="inlineStr">
        <is>
          <t>Nathdwara</t>
        </is>
      </c>
      <c r="C644" s="9" t="inlineStr">
        <is>
          <t>Nathdwara</t>
        </is>
      </c>
      <c r="D644" s="9" t="inlineStr">
        <is>
          <t>Rajasthan</t>
        </is>
      </c>
      <c r="E644" s="9" t="inlineStr">
        <is>
          <t>India</t>
        </is>
      </c>
      <c r="F644" s="9" t="n">
        <v>1</v>
      </c>
      <c r="G644" s="9" t="n">
        <v>1</v>
      </c>
      <c r="H644" s="9" t="n">
        <v>1</v>
      </c>
      <c r="I644" s="10" t="n">
        <v>43844</v>
      </c>
      <c r="J644" s="10" t="n">
        <v>43844</v>
      </c>
      <c r="K644" s="9" t="n">
        <v>24.92601</v>
      </c>
      <c r="L644" s="9" t="n">
        <v>73.8175</v>
      </c>
      <c r="M644" s="9" t="inlineStr">
        <is>
          <t>https://www.google.com/maps/place/?q=place_id:ChIJNWT94hUNaDkREd5ADaMO-co</t>
        </is>
      </c>
    </row>
    <row r="645">
      <c r="A645" s="9" t="n">
        <v>641</v>
      </c>
      <c r="B645" s="9" t="inlineStr">
        <is>
          <t>Nathdwara</t>
        </is>
      </c>
      <c r="C645" s="9" t="inlineStr">
        <is>
          <t>Nathdwara</t>
        </is>
      </c>
      <c r="D645" s="9" t="inlineStr">
        <is>
          <t>Rajasthan</t>
        </is>
      </c>
      <c r="E645" s="9" t="inlineStr">
        <is>
          <t>India</t>
        </is>
      </c>
      <c r="F645" s="9" t="n">
        <v>1</v>
      </c>
      <c r="G645" s="9" t="n">
        <v>1</v>
      </c>
      <c r="H645" s="9" t="n">
        <v>1</v>
      </c>
      <c r="I645" s="10" t="n">
        <v>43845</v>
      </c>
      <c r="J645" s="10" t="n">
        <v>43845</v>
      </c>
      <c r="K645" s="9" t="n">
        <v>24.79982</v>
      </c>
      <c r="L645" s="9" t="n">
        <v>73.76087</v>
      </c>
      <c r="M645" s="9" t="inlineStr">
        <is>
          <t>https://www.google.com/maps/place/?q=place_id:ChIJNb5zFTAKaDkRDnGY1mhkyhs</t>
        </is>
      </c>
    </row>
    <row r="646">
      <c r="A646" s="9" t="n">
        <v>642</v>
      </c>
      <c r="B646" s="9" t="inlineStr">
        <is>
          <t>Nathdwara</t>
        </is>
      </c>
      <c r="C646" s="9" t="inlineStr">
        <is>
          <t>Nathdwara</t>
        </is>
      </c>
      <c r="D646" s="9" t="inlineStr">
        <is>
          <t>Rajasthan</t>
        </is>
      </c>
      <c r="E646" s="9" t="inlineStr">
        <is>
          <t>India</t>
        </is>
      </c>
      <c r="F646" s="9" t="n">
        <v>1</v>
      </c>
      <c r="G646" s="9" t="n">
        <v>1</v>
      </c>
      <c r="H646" s="9" t="n">
        <v>1</v>
      </c>
      <c r="I646" s="10" t="n">
        <v>45251</v>
      </c>
      <c r="J646" s="10" t="n">
        <v>45251</v>
      </c>
      <c r="K646" s="9" t="n">
        <v>24.91678</v>
      </c>
      <c r="L646" s="9" t="n">
        <v>73.81616</v>
      </c>
      <c r="M646" s="9" t="inlineStr">
        <is>
          <t>https://www.google.com/maps/place/?q=place_id:ChIJi7bCzMQNaDkRqPtheGAfeb0</t>
        </is>
      </c>
    </row>
    <row r="647">
      <c r="A647" s="9" t="n">
        <v>643</v>
      </c>
      <c r="B647" s="9" t="inlineStr">
        <is>
          <t>Nathdwara</t>
        </is>
      </c>
      <c r="C647" s="9" t="inlineStr">
        <is>
          <t>Nathdwara</t>
        </is>
      </c>
      <c r="D647" s="9" t="inlineStr">
        <is>
          <t>Rajasthan</t>
        </is>
      </c>
      <c r="E647" s="9" t="inlineStr">
        <is>
          <t>India</t>
        </is>
      </c>
      <c r="F647" s="9" t="n">
        <v>1</v>
      </c>
      <c r="G647" s="9" t="n">
        <v>1</v>
      </c>
      <c r="H647" s="9" t="n">
        <v>1</v>
      </c>
      <c r="I647" s="10" t="n">
        <v>45251</v>
      </c>
      <c r="J647" s="10" t="n">
        <v>45251</v>
      </c>
      <c r="K647" s="9" t="n">
        <v>24.91819</v>
      </c>
      <c r="L647" s="9" t="n">
        <v>73.81432</v>
      </c>
      <c r="M647" s="9" t="inlineStr">
        <is>
          <t>https://www.google.com/maps/place/?q=place_id:ChIJNWM1vxkNaDkRWVYLedmyDAk</t>
        </is>
      </c>
    </row>
    <row r="648">
      <c r="A648" s="9" t="n">
        <v>644</v>
      </c>
      <c r="B648" s="9" t="inlineStr">
        <is>
          <t>Nathdwara</t>
        </is>
      </c>
      <c r="C648" s="9" t="inlineStr">
        <is>
          <t>Nathdwara</t>
        </is>
      </c>
      <c r="D648" s="9" t="inlineStr">
        <is>
          <t>Rajasthan</t>
        </is>
      </c>
      <c r="E648" s="9" t="inlineStr">
        <is>
          <t>India</t>
        </is>
      </c>
      <c r="F648" s="9" t="n">
        <v>1</v>
      </c>
      <c r="G648" s="9" t="n">
        <v>1</v>
      </c>
      <c r="H648" s="9" t="n">
        <v>1</v>
      </c>
      <c r="I648" s="10" t="n">
        <v>45251</v>
      </c>
      <c r="J648" s="10" t="n">
        <v>45251</v>
      </c>
      <c r="K648" s="9" t="n">
        <v>24.91965</v>
      </c>
      <c r="L648" s="9" t="n">
        <v>73.83268</v>
      </c>
      <c r="M648" s="9" t="inlineStr">
        <is>
          <t>https://www.google.com/maps/place/?q=place_id:ChIJq3Thk1sNaDkRhTINmwYZOjE</t>
        </is>
      </c>
    </row>
    <row r="649">
      <c r="A649" s="9" t="n">
        <v>645</v>
      </c>
      <c r="B649" s="9" t="inlineStr">
        <is>
          <t>Nathdwara</t>
        </is>
      </c>
      <c r="C649" s="9" t="inlineStr">
        <is>
          <t>Nathdwara</t>
        </is>
      </c>
      <c r="D649" s="9" t="inlineStr">
        <is>
          <t>Rajasthan</t>
        </is>
      </c>
      <c r="E649" s="9" t="inlineStr">
        <is>
          <t>India</t>
        </is>
      </c>
      <c r="F649" s="9" t="n">
        <v>1</v>
      </c>
      <c r="G649" s="9" t="n">
        <v>1</v>
      </c>
      <c r="H649" s="9" t="n">
        <v>1</v>
      </c>
      <c r="I649" s="10" t="n">
        <v>45251</v>
      </c>
      <c r="J649" s="10" t="n">
        <v>45251</v>
      </c>
      <c r="K649" s="9" t="n">
        <v>24.83839</v>
      </c>
      <c r="L649" s="9" t="n">
        <v>73.76747</v>
      </c>
      <c r="M649" s="9" t="inlineStr">
        <is>
          <t>https://www.google.com/maps/place/?q=place_id:ChIJbeeffuwLaDkRHwrhWWKSr-A</t>
        </is>
      </c>
    </row>
    <row r="650">
      <c r="A650" s="9" t="n">
        <v>646</v>
      </c>
      <c r="B650" s="9" t="inlineStr">
        <is>
          <t>Rajsamand</t>
        </is>
      </c>
      <c r="C650" s="9" t="inlineStr">
        <is>
          <t>Rajsamand</t>
        </is>
      </c>
      <c r="D650" s="9" t="inlineStr">
        <is>
          <t>Rajasthan</t>
        </is>
      </c>
      <c r="E650" s="9" t="inlineStr">
        <is>
          <t>India</t>
        </is>
      </c>
      <c r="F650" s="9" t="n">
        <v>3</v>
      </c>
      <c r="G650" s="9" t="n">
        <v>3</v>
      </c>
      <c r="H650" s="9" t="n">
        <v>3</v>
      </c>
      <c r="I650" s="10" t="n">
        <v>43845</v>
      </c>
      <c r="J650" s="10" t="n">
        <v>45251</v>
      </c>
      <c r="K650" s="9" t="n">
        <v>25.05941</v>
      </c>
      <c r="L650" s="9" t="n">
        <v>73.89189</v>
      </c>
      <c r="M650" s="9" t="inlineStr">
        <is>
          <t>https://www.google.com/maps/place/?q=place_id:ChIJaVNtC4FraDkRZiNWxD9jZCo</t>
        </is>
      </c>
    </row>
    <row r="651">
      <c r="A651" s="9" t="n">
        <v>647</v>
      </c>
      <c r="B651" s="9" t="inlineStr">
        <is>
          <t>Rajsamand</t>
        </is>
      </c>
      <c r="C651" s="9" t="inlineStr">
        <is>
          <t>Rajsamand</t>
        </is>
      </c>
      <c r="D651" s="9" t="inlineStr">
        <is>
          <t>Rajasthan</t>
        </is>
      </c>
      <c r="E651" s="9" t="inlineStr">
        <is>
          <t>India</t>
        </is>
      </c>
      <c r="F651" s="9" t="n">
        <v>2</v>
      </c>
      <c r="G651" s="9" t="n">
        <v>1</v>
      </c>
      <c r="H651" s="9" t="n">
        <v>1</v>
      </c>
      <c r="I651" s="10" t="n">
        <v>45251</v>
      </c>
      <c r="J651" s="10" t="n">
        <v>45251</v>
      </c>
      <c r="K651" s="9" t="n">
        <v>25.0557</v>
      </c>
      <c r="L651" s="9" t="n">
        <v>73.89023</v>
      </c>
      <c r="M651" s="9" t="inlineStr">
        <is>
          <t>https://www.google.com/maps/place/?q=place_id:ChIJoSpRFIBraDkRbDnWo9RI_6w</t>
        </is>
      </c>
    </row>
    <row r="652">
      <c r="A652" s="9" t="n">
        <v>648</v>
      </c>
      <c r="B652" s="9" t="inlineStr">
        <is>
          <t>Udaipur</t>
        </is>
      </c>
      <c r="C652" s="9" t="inlineStr">
        <is>
          <t>Udaipur</t>
        </is>
      </c>
      <c r="D652" s="9" t="inlineStr">
        <is>
          <t>Rajasthan</t>
        </is>
      </c>
      <c r="E652" s="9" t="inlineStr">
        <is>
          <t>India</t>
        </is>
      </c>
      <c r="F652" s="9" t="n">
        <v>2</v>
      </c>
      <c r="G652" s="9" t="n">
        <v>2</v>
      </c>
      <c r="H652" s="9" t="n">
        <v>2</v>
      </c>
      <c r="I652" s="10" t="n">
        <v>43873</v>
      </c>
      <c r="J652" s="10" t="n">
        <v>45252</v>
      </c>
      <c r="K652" s="9" t="n">
        <v>24.57965</v>
      </c>
      <c r="L652" s="9" t="n">
        <v>73.68362</v>
      </c>
      <c r="M652" s="9" t="inlineStr">
        <is>
          <t>https://www.google.com/maps/place/?q=place_id:ChIJ44SA0mXlZzkROFPFp4ABD_A</t>
        </is>
      </c>
    </row>
    <row r="653">
      <c r="A653" s="9" t="n">
        <v>649</v>
      </c>
      <c r="B653" s="9" t="inlineStr">
        <is>
          <t>Udaipur</t>
        </is>
      </c>
      <c r="C653" s="9" t="inlineStr">
        <is>
          <t>Udaipur</t>
        </is>
      </c>
      <c r="D653" s="9" t="inlineStr">
        <is>
          <t>Rajasthan</t>
        </is>
      </c>
      <c r="E653" s="9" t="inlineStr">
        <is>
          <t>India</t>
        </is>
      </c>
      <c r="F653" s="9" t="n">
        <v>1</v>
      </c>
      <c r="G653" s="9" t="n">
        <v>1</v>
      </c>
      <c r="H653" s="9" t="n">
        <v>1</v>
      </c>
      <c r="I653" s="10" t="n">
        <v>43874</v>
      </c>
      <c r="J653" s="10" t="n">
        <v>43874</v>
      </c>
      <c r="K653" s="9" t="n">
        <v>24.55337</v>
      </c>
      <c r="L653" s="9" t="n">
        <v>73.73191</v>
      </c>
      <c r="M653" s="9" t="inlineStr">
        <is>
          <t>https://www.google.com/maps/place/?q=place_id:ChIJjxbK437lZzkRa5LR3uFKQ6g</t>
        </is>
      </c>
    </row>
    <row r="654">
      <c r="A654" s="9" t="n">
        <v>650</v>
      </c>
      <c r="B654" s="9" t="inlineStr">
        <is>
          <t>Udaipur</t>
        </is>
      </c>
      <c r="C654" s="9" t="inlineStr">
        <is>
          <t>Udaipur</t>
        </is>
      </c>
      <c r="D654" s="9" t="inlineStr">
        <is>
          <t>Rajasthan</t>
        </is>
      </c>
      <c r="E654" s="9" t="inlineStr">
        <is>
          <t>India</t>
        </is>
      </c>
      <c r="F654" s="9" t="n">
        <v>1</v>
      </c>
      <c r="G654" s="9" t="n">
        <v>1</v>
      </c>
      <c r="H654" s="9" t="n">
        <v>1</v>
      </c>
      <c r="I654" s="10" t="n">
        <v>45251</v>
      </c>
      <c r="J654" s="10" t="n">
        <v>45251</v>
      </c>
      <c r="K654" s="9" t="n">
        <v>24.61988</v>
      </c>
      <c r="L654" s="9" t="n">
        <v>73.89014</v>
      </c>
      <c r="M654" s="9" t="inlineStr">
        <is>
          <t>https://www.google.com/maps/place/?q=place_id:ChIJB8U7LOfcZzkRstI0XvfTnh8</t>
        </is>
      </c>
    </row>
    <row r="655">
      <c r="A655" s="9" t="n">
        <v>651</v>
      </c>
      <c r="B655" s="9" t="inlineStr">
        <is>
          <t>Udaipur</t>
        </is>
      </c>
      <c r="C655" s="9" t="inlineStr">
        <is>
          <t>Udaipur</t>
        </is>
      </c>
      <c r="D655" s="9" t="inlineStr">
        <is>
          <t>Rajasthan</t>
        </is>
      </c>
      <c r="E655" s="9" t="inlineStr">
        <is>
          <t>India</t>
        </is>
      </c>
      <c r="F655" s="9" t="n">
        <v>1</v>
      </c>
      <c r="G655" s="9" t="n">
        <v>1</v>
      </c>
      <c r="H655" s="9" t="n">
        <v>1</v>
      </c>
      <c r="I655" s="10" t="n">
        <v>45251</v>
      </c>
      <c r="J655" s="10" t="n">
        <v>45251</v>
      </c>
      <c r="K655" s="9" t="n">
        <v>24.59156</v>
      </c>
      <c r="L655" s="9" t="n">
        <v>73.70005</v>
      </c>
      <c r="M655" s="9" t="inlineStr">
        <is>
          <t>https://www.google.com/maps/place/?q=place_id:ChIJN6QQ91nlZzkRqNDrwKbFVUQ</t>
        </is>
      </c>
    </row>
    <row r="656">
      <c r="A656" s="9" t="n">
        <v>652</v>
      </c>
      <c r="B656" s="9" t="inlineStr">
        <is>
          <t>Udaipur</t>
        </is>
      </c>
      <c r="C656" s="9" t="inlineStr">
        <is>
          <t>Udaipur</t>
        </is>
      </c>
      <c r="D656" s="9" t="inlineStr">
        <is>
          <t>Rajasthan</t>
        </is>
      </c>
      <c r="E656" s="9" t="inlineStr">
        <is>
          <t>India</t>
        </is>
      </c>
      <c r="F656" s="9" t="n">
        <v>1</v>
      </c>
      <c r="G656" s="9" t="n">
        <v>2</v>
      </c>
      <c r="H656" s="9" t="n">
        <v>1</v>
      </c>
      <c r="I656" s="10" t="n">
        <v>45251</v>
      </c>
      <c r="J656" s="10" t="n">
        <v>45252</v>
      </c>
      <c r="K656" s="9" t="n">
        <v>24.52723</v>
      </c>
      <c r="L656" s="9" t="n">
        <v>73.67896</v>
      </c>
      <c r="M656" s="9" t="inlineStr">
        <is>
          <t>https://www.google.com/maps/place/?q=place_id:ChIJ9Ts6fR3vZzkRMyrv2ROyUyM</t>
        </is>
      </c>
    </row>
    <row r="657">
      <c r="A657" s="9" t="n">
        <v>653</v>
      </c>
      <c r="B657" s="9" t="inlineStr">
        <is>
          <t>Udaipur</t>
        </is>
      </c>
      <c r="C657" s="9" t="inlineStr">
        <is>
          <t>Udaipur</t>
        </is>
      </c>
      <c r="D657" s="9" t="inlineStr">
        <is>
          <t>Rajasthan</t>
        </is>
      </c>
      <c r="E657" s="9" t="inlineStr">
        <is>
          <t>India</t>
        </is>
      </c>
      <c r="F657" s="9" t="n">
        <v>1</v>
      </c>
      <c r="G657" s="9" t="n">
        <v>1</v>
      </c>
      <c r="H657" s="9" t="n">
        <v>1</v>
      </c>
      <c r="I657" s="10" t="n">
        <v>45252</v>
      </c>
      <c r="J657" s="10" t="n">
        <v>45252</v>
      </c>
      <c r="K657" s="9" t="n">
        <v>24.57644</v>
      </c>
      <c r="L657" s="9" t="n">
        <v>73.68351</v>
      </c>
      <c r="M657" s="9" t="inlineStr">
        <is>
          <t>https://www.google.com/maps/place/?q=place_id:ChIJ1adZBmTlZzkRDqvq-navV5I</t>
        </is>
      </c>
    </row>
    <row r="658">
      <c r="A658" s="9" t="n">
        <v>654</v>
      </c>
      <c r="B658" s="9" t="inlineStr">
        <is>
          <t>Arakkonam</t>
        </is>
      </c>
      <c r="C658" s="9" t="inlineStr">
        <is>
          <t>Arakkonam</t>
        </is>
      </c>
      <c r="D658" s="9" t="inlineStr">
        <is>
          <t>Tamil Nadu</t>
        </is>
      </c>
      <c r="E658" s="9" t="inlineStr">
        <is>
          <t>India</t>
        </is>
      </c>
      <c r="F658" s="9" t="n">
        <v>1</v>
      </c>
      <c r="G658" s="9" t="n">
        <v>1</v>
      </c>
      <c r="H658" s="9" t="n">
        <v>1</v>
      </c>
      <c r="I658" s="10" t="n">
        <v>43151</v>
      </c>
      <c r="J658" s="10" t="n">
        <v>43151</v>
      </c>
      <c r="K658" s="9" t="n">
        <v>13.08178</v>
      </c>
      <c r="L658" s="9" t="n">
        <v>79.6681</v>
      </c>
      <c r="M658" s="9" t="inlineStr">
        <is>
          <t>https://www.google.com/maps/place/?q=place_id:ChIJeXwITGu8UjoRvvUnxt66egg</t>
        </is>
      </c>
    </row>
    <row r="659">
      <c r="A659" s="9" t="n">
        <v>655</v>
      </c>
      <c r="B659" s="9" t="inlineStr">
        <is>
          <t>Saint Thomas Mount</t>
        </is>
      </c>
      <c r="C659" s="9" t="inlineStr">
        <is>
          <t>Chennai</t>
        </is>
      </c>
      <c r="D659" s="9" t="inlineStr">
        <is>
          <t>Tamil Nadu</t>
        </is>
      </c>
      <c r="E659" s="9" t="inlineStr">
        <is>
          <t>India</t>
        </is>
      </c>
      <c r="F659" s="9" t="n">
        <v>10</v>
      </c>
      <c r="G659" s="9" t="n">
        <v>9</v>
      </c>
      <c r="H659" s="9" t="n">
        <v>7</v>
      </c>
      <c r="I659" s="10" t="n">
        <v>43660</v>
      </c>
      <c r="J659" s="10" t="n">
        <v>45648</v>
      </c>
      <c r="K659" s="9" t="n">
        <v>12.99396</v>
      </c>
      <c r="L659" s="9" t="n">
        <v>80.17067</v>
      </c>
      <c r="M659" s="9" t="inlineStr">
        <is>
          <t>https://www.google.com/maps/place/?q=place_id:ChIJl2OoXR9eUjoRR27ibiEvCSE</t>
        </is>
      </c>
    </row>
    <row r="660">
      <c r="A660" s="9" t="n">
        <v>656</v>
      </c>
      <c r="B660" s="9" t="inlineStr">
        <is>
          <t>Chetput</t>
        </is>
      </c>
      <c r="C660" s="9" t="inlineStr">
        <is>
          <t>Chennai</t>
        </is>
      </c>
      <c r="D660" s="9" t="inlineStr">
        <is>
          <t>Tamil Nadu</t>
        </is>
      </c>
      <c r="E660" s="9" t="inlineStr">
        <is>
          <t>India</t>
        </is>
      </c>
      <c r="F660" s="9" t="n">
        <v>3</v>
      </c>
      <c r="G660" s="9" t="n">
        <v>2</v>
      </c>
      <c r="H660" s="9" t="n">
        <v>1</v>
      </c>
      <c r="I660" s="10" t="n">
        <v>45647</v>
      </c>
      <c r="J660" s="10" t="n">
        <v>45648</v>
      </c>
      <c r="K660" s="9" t="n">
        <v>13.06233</v>
      </c>
      <c r="L660" s="9" t="n">
        <v>80.24531</v>
      </c>
      <c r="M660" s="9" t="inlineStr">
        <is>
          <t>https://www.google.com/maps/place/?q=place_id:ChIJw-__5WhmUjoRyhOvIEBwjDw</t>
        </is>
      </c>
    </row>
    <row r="661">
      <c r="A661" s="9" t="n">
        <v>657</v>
      </c>
      <c r="B661" s="9" t="inlineStr">
        <is>
          <t>Neelankarai</t>
        </is>
      </c>
      <c r="C661" s="9" t="inlineStr">
        <is>
          <t>Chennai</t>
        </is>
      </c>
      <c r="D661" s="9" t="inlineStr">
        <is>
          <t>Tamil Nadu</t>
        </is>
      </c>
      <c r="E661" s="9" t="inlineStr">
        <is>
          <t>India</t>
        </is>
      </c>
      <c r="F661" s="9" t="n">
        <v>2</v>
      </c>
      <c r="G661" s="9" t="n">
        <v>2</v>
      </c>
      <c r="H661" s="9" t="n">
        <v>2</v>
      </c>
      <c r="I661" s="10" t="n">
        <v>42294</v>
      </c>
      <c r="J661" s="10" t="n">
        <v>42619</v>
      </c>
      <c r="K661" s="9" t="n">
        <v>12.98146</v>
      </c>
      <c r="L661" s="9" t="n">
        <v>80.26673</v>
      </c>
      <c r="M661" s="9" t="inlineStr">
        <is>
          <t>https://www.google.com/maps/place/?q=place_id:ChIJVVVVXFBdUjoR5U1IHHsp7pI</t>
        </is>
      </c>
    </row>
    <row r="662">
      <c r="A662" s="9" t="n">
        <v>658</v>
      </c>
      <c r="B662" s="9" t="inlineStr">
        <is>
          <t>Chennai</t>
        </is>
      </c>
      <c r="C662" s="9" t="inlineStr">
        <is>
          <t>Chennai</t>
        </is>
      </c>
      <c r="D662" s="9" t="inlineStr">
        <is>
          <t>Tamil Nadu</t>
        </is>
      </c>
      <c r="E662" s="9" t="inlineStr">
        <is>
          <t>India</t>
        </is>
      </c>
      <c r="F662" s="9" t="n">
        <v>2</v>
      </c>
      <c r="G662" s="9" t="n">
        <v>2</v>
      </c>
      <c r="H662" s="9" t="n">
        <v>2</v>
      </c>
      <c r="I662" s="10" t="n">
        <v>42619</v>
      </c>
      <c r="J662" s="10" t="n">
        <v>43151</v>
      </c>
      <c r="K662" s="9" t="n">
        <v>13.08242</v>
      </c>
      <c r="L662" s="9" t="n">
        <v>80.27547</v>
      </c>
      <c r="M662" s="9" t="inlineStr">
        <is>
          <t>https://www.google.com/maps/place/?q=place_id:ChIJZWIhof9lUjoRFgkVYkVw7kc</t>
        </is>
      </c>
    </row>
    <row r="663">
      <c r="A663" s="9" t="n">
        <v>659</v>
      </c>
      <c r="B663" s="9" t="inlineStr">
        <is>
          <t>Tambaram</t>
        </is>
      </c>
      <c r="C663" s="9" t="inlineStr">
        <is>
          <t>Chennai</t>
        </is>
      </c>
      <c r="D663" s="9" t="inlineStr">
        <is>
          <t>Tamil Nadu</t>
        </is>
      </c>
      <c r="E663" s="9" t="inlineStr">
        <is>
          <t>India</t>
        </is>
      </c>
      <c r="F663" s="9" t="n">
        <v>1</v>
      </c>
      <c r="G663" s="9" t="n">
        <v>1</v>
      </c>
      <c r="H663" s="9" t="n">
        <v>1</v>
      </c>
      <c r="I663" s="10" t="n">
        <v>43151</v>
      </c>
      <c r="J663" s="10" t="n">
        <v>43151</v>
      </c>
      <c r="K663" s="9" t="n">
        <v>12.92113</v>
      </c>
      <c r="L663" s="9" t="n">
        <v>80.12206</v>
      </c>
      <c r="M663" s="9" t="inlineStr">
        <is>
          <t>https://www.google.com/maps/place/?q=place_id:ChIJ-8YMDxVfUjoRc7nfTqc1nKQ</t>
        </is>
      </c>
    </row>
    <row r="664">
      <c r="A664" s="9" t="n">
        <v>660</v>
      </c>
      <c r="B664" s="9" t="inlineStr">
        <is>
          <t>Saint Thomas Mount</t>
        </is>
      </c>
      <c r="C664" s="9" t="inlineStr">
        <is>
          <t>Chennai</t>
        </is>
      </c>
      <c r="D664" s="9" t="inlineStr">
        <is>
          <t>Tamil Nadu</t>
        </is>
      </c>
      <c r="E664" s="9" t="inlineStr">
        <is>
          <t>India</t>
        </is>
      </c>
      <c r="F664" s="9" t="n">
        <v>1</v>
      </c>
      <c r="G664" s="9" t="n">
        <v>1</v>
      </c>
      <c r="H664" s="9" t="n">
        <v>1</v>
      </c>
      <c r="I664" s="10" t="n">
        <v>43660</v>
      </c>
      <c r="J664" s="10" t="n">
        <v>43660</v>
      </c>
      <c r="K664" s="9" t="n">
        <v>12.99636</v>
      </c>
      <c r="L664" s="9" t="n">
        <v>80.19020999999999</v>
      </c>
      <c r="M664" s="9" t="inlineStr">
        <is>
          <t>https://www.google.com/maps/place/?q=place_id:ChIJq6qqmlRnUjoR6ExZZoVl4oY</t>
        </is>
      </c>
    </row>
    <row r="665">
      <c r="A665" s="9" t="n">
        <v>661</v>
      </c>
      <c r="B665" s="9" t="inlineStr">
        <is>
          <t>Pallavaram</t>
        </is>
      </c>
      <c r="C665" s="9" t="inlineStr">
        <is>
          <t>Chennai</t>
        </is>
      </c>
      <c r="D665" s="9" t="inlineStr">
        <is>
          <t>Tamil Nadu</t>
        </is>
      </c>
      <c r="E665" s="9" t="inlineStr">
        <is>
          <t>India</t>
        </is>
      </c>
      <c r="F665" s="9" t="n">
        <v>1</v>
      </c>
      <c r="G665" s="9" t="n">
        <v>2</v>
      </c>
      <c r="H665" s="9" t="n">
        <v>1</v>
      </c>
      <c r="I665" s="10" t="n">
        <v>44747</v>
      </c>
      <c r="J665" s="10" t="n">
        <v>44748</v>
      </c>
      <c r="K665" s="9" t="n">
        <v>12.96957</v>
      </c>
      <c r="L665" s="9" t="n">
        <v>80.14941</v>
      </c>
      <c r="M665" s="9" t="inlineStr">
        <is>
          <t>https://www.google.com/maps/place/?q=place_id:ChIJRQUjDiZfUjoRBgVNV_JeJfk</t>
        </is>
      </c>
    </row>
    <row r="666">
      <c r="A666" s="9" t="n">
        <v>662</v>
      </c>
      <c r="B666" s="9" t="inlineStr">
        <is>
          <t>Ambattur</t>
        </is>
      </c>
      <c r="C666" s="9" t="inlineStr">
        <is>
          <t>Chennai</t>
        </is>
      </c>
      <c r="D666" s="9" t="inlineStr">
        <is>
          <t>Tamil Nadu</t>
        </is>
      </c>
      <c r="E666" s="9" t="inlineStr">
        <is>
          <t>India</t>
        </is>
      </c>
      <c r="F666" s="9" t="n">
        <v>1</v>
      </c>
      <c r="G666" s="9" t="n">
        <v>1</v>
      </c>
      <c r="H666" s="9" t="n">
        <v>1</v>
      </c>
      <c r="I666" s="10" t="n">
        <v>45483</v>
      </c>
      <c r="J666" s="10" t="n">
        <v>45483</v>
      </c>
      <c r="K666" s="9" t="n">
        <v>13.07498</v>
      </c>
      <c r="L666" s="9" t="n">
        <v>80.19551</v>
      </c>
      <c r="M666" s="9" t="inlineStr">
        <is>
          <t>https://www.google.com/maps/place/?q=place_id:ChIJe7TiIalmUjoRmjgS9n55hEk</t>
        </is>
      </c>
    </row>
    <row r="667">
      <c r="A667" s="9" t="n">
        <v>663</v>
      </c>
      <c r="B667" s="9" t="inlineStr">
        <is>
          <t>Perungudi</t>
        </is>
      </c>
      <c r="C667" s="9" t="inlineStr">
        <is>
          <t>Chennai</t>
        </is>
      </c>
      <c r="D667" s="9" t="inlineStr">
        <is>
          <t>Tamil Nadu</t>
        </is>
      </c>
      <c r="E667" s="9" t="inlineStr">
        <is>
          <t>India</t>
        </is>
      </c>
      <c r="F667" s="9" t="n">
        <v>1</v>
      </c>
      <c r="G667" s="9" t="n">
        <v>1</v>
      </c>
      <c r="H667" s="9" t="n">
        <v>1</v>
      </c>
      <c r="I667" s="10" t="n">
        <v>45483</v>
      </c>
      <c r="J667" s="10" t="n">
        <v>45483</v>
      </c>
      <c r="K667" s="9" t="n">
        <v>12.98252</v>
      </c>
      <c r="L667" s="9" t="n">
        <v>80.26714</v>
      </c>
      <c r="M667" s="9" t="inlineStr">
        <is>
          <t>https://www.google.com/maps/place/?q=place_id:ChIJdb3lXVBdUjoRVgiiC8UptUM</t>
        </is>
      </c>
    </row>
    <row r="668">
      <c r="A668" s="9" t="n">
        <v>664</v>
      </c>
      <c r="B668" s="9" t="inlineStr">
        <is>
          <t>Injambakkam</t>
        </is>
      </c>
      <c r="C668" s="9" t="inlineStr">
        <is>
          <t>Chennai</t>
        </is>
      </c>
      <c r="D668" s="9" t="inlineStr">
        <is>
          <t>Tamil Nadu</t>
        </is>
      </c>
      <c r="E668" s="9" t="inlineStr">
        <is>
          <t>India</t>
        </is>
      </c>
      <c r="F668" s="9" t="n">
        <v>1</v>
      </c>
      <c r="G668" s="9" t="n">
        <v>1</v>
      </c>
      <c r="H668" s="9" t="n">
        <v>1</v>
      </c>
      <c r="I668" s="10" t="n">
        <v>45483</v>
      </c>
      <c r="J668" s="10" t="n">
        <v>45483</v>
      </c>
      <c r="K668" s="9" t="n">
        <v>12.90613</v>
      </c>
      <c r="L668" s="9" t="n">
        <v>80.24191999999999</v>
      </c>
      <c r="M668" s="9" t="inlineStr">
        <is>
          <t>https://www.google.com/maps/place/?q=place_id:ChIJN4ed2YRcUjoROzkwrDvhwHw</t>
        </is>
      </c>
    </row>
    <row r="669">
      <c r="A669" s="9" t="n">
        <v>665</v>
      </c>
      <c r="B669" s="9" t="inlineStr">
        <is>
          <t>Chetput</t>
        </is>
      </c>
      <c r="C669" s="9" t="inlineStr">
        <is>
          <t>Chennai</t>
        </is>
      </c>
      <c r="D669" s="9" t="inlineStr">
        <is>
          <t>Tamil Nadu</t>
        </is>
      </c>
      <c r="E669" s="9" t="inlineStr">
        <is>
          <t>India</t>
        </is>
      </c>
      <c r="F669" s="9" t="n">
        <v>1</v>
      </c>
      <c r="G669" s="9" t="n">
        <v>1</v>
      </c>
      <c r="H669" s="9" t="n">
        <v>1</v>
      </c>
      <c r="I669" s="10" t="n">
        <v>45647</v>
      </c>
      <c r="J669" s="10" t="n">
        <v>45647</v>
      </c>
      <c r="K669" s="9" t="n">
        <v>13.03003</v>
      </c>
      <c r="L669" s="9" t="n">
        <v>80.24182999999999</v>
      </c>
      <c r="M669" s="9" t="inlineStr">
        <is>
          <t>https://www.google.com/maps/place/?q=place_id:ChIJG5AEJwBnUjoRamdEpQjC89E</t>
        </is>
      </c>
    </row>
    <row r="670">
      <c r="A670" s="9" t="n">
        <v>666</v>
      </c>
      <c r="B670" s="9" t="inlineStr">
        <is>
          <t>Chetput</t>
        </is>
      </c>
      <c r="C670" s="9" t="inlineStr">
        <is>
          <t>Chennai</t>
        </is>
      </c>
      <c r="D670" s="9" t="inlineStr">
        <is>
          <t>Tamil Nadu</t>
        </is>
      </c>
      <c r="E670" s="9" t="inlineStr">
        <is>
          <t>India</t>
        </is>
      </c>
      <c r="F670" s="9" t="n">
        <v>1</v>
      </c>
      <c r="G670" s="9" t="n">
        <v>1</v>
      </c>
      <c r="H670" s="9" t="n">
        <v>1</v>
      </c>
      <c r="I670" s="10" t="n">
        <v>45648</v>
      </c>
      <c r="J670" s="10" t="n">
        <v>45648</v>
      </c>
      <c r="K670" s="9" t="n">
        <v>13.05928</v>
      </c>
      <c r="L670" s="9" t="n">
        <v>80.24466</v>
      </c>
      <c r="M670" s="9" t="inlineStr">
        <is>
          <t>https://www.google.com/maps/place/?q=place_id:ChIJFYBioUNnUjoRQlBoq8IVdsM</t>
        </is>
      </c>
    </row>
    <row r="671">
      <c r="A671" s="9" t="n">
        <v>667</v>
      </c>
      <c r="B671" s="9" t="inlineStr">
        <is>
          <t>Chetput</t>
        </is>
      </c>
      <c r="C671" s="9" t="inlineStr">
        <is>
          <t>Chennai</t>
        </is>
      </c>
      <c r="D671" s="9" t="inlineStr">
        <is>
          <t>Tamil Nadu</t>
        </is>
      </c>
      <c r="E671" s="9" t="inlineStr">
        <is>
          <t>India</t>
        </is>
      </c>
      <c r="F671" s="9" t="n">
        <v>1</v>
      </c>
      <c r="G671" s="9" t="n">
        <v>1</v>
      </c>
      <c r="H671" s="9" t="n">
        <v>1</v>
      </c>
      <c r="I671" s="10" t="n">
        <v>45648</v>
      </c>
      <c r="J671" s="10" t="n">
        <v>45648</v>
      </c>
      <c r="K671" s="9" t="n">
        <v>13.04654</v>
      </c>
      <c r="L671" s="9" t="n">
        <v>80.25604</v>
      </c>
      <c r="M671" s="9" t="inlineStr">
        <is>
          <t>https://www.google.com/maps/place/?q=place_id:ChIJwXc10MFnUjoRmjxyxr77-W0</t>
        </is>
      </c>
    </row>
    <row r="672">
      <c r="A672" s="9" t="n">
        <v>668</v>
      </c>
      <c r="B672" s="9" t="inlineStr">
        <is>
          <t>Dindigul</t>
        </is>
      </c>
      <c r="C672" s="9" t="inlineStr">
        <is>
          <t>Dindigul</t>
        </is>
      </c>
      <c r="D672" s="9" t="inlineStr">
        <is>
          <t>Tamil Nadu</t>
        </is>
      </c>
      <c r="E672" s="9" t="inlineStr">
        <is>
          <t>India</t>
        </is>
      </c>
      <c r="F672" s="9" t="n">
        <v>1</v>
      </c>
      <c r="G672" s="9" t="n">
        <v>1</v>
      </c>
      <c r="H672" s="9" t="n">
        <v>1</v>
      </c>
      <c r="I672" s="10" t="n">
        <v>44744</v>
      </c>
      <c r="J672" s="10" t="n">
        <v>44744</v>
      </c>
      <c r="K672" s="9" t="n">
        <v>10.35278</v>
      </c>
      <c r="L672" s="9" t="n">
        <v>77.98353</v>
      </c>
      <c r="M672" s="9" t="inlineStr">
        <is>
          <t>https://www.google.com/maps/place/?q=place_id:ChIJoR5KD06qADsRK_rDNaB93tY</t>
        </is>
      </c>
    </row>
    <row r="673">
      <c r="A673" s="9" t="n">
        <v>669</v>
      </c>
      <c r="B673" s="9" t="inlineStr">
        <is>
          <t>Kanchipuram</t>
        </is>
      </c>
      <c r="C673" s="9" t="inlineStr">
        <is>
          <t>Kanchipuram</t>
        </is>
      </c>
      <c r="D673" s="9" t="inlineStr">
        <is>
          <t>Tamil Nadu</t>
        </is>
      </c>
      <c r="E673" s="9" t="inlineStr">
        <is>
          <t>India</t>
        </is>
      </c>
      <c r="F673" s="9" t="n">
        <v>5</v>
      </c>
      <c r="G673" s="9" t="n">
        <v>3</v>
      </c>
      <c r="H673" s="9" t="n">
        <v>3</v>
      </c>
      <c r="I673" s="10" t="n">
        <v>42619</v>
      </c>
      <c r="J673" s="10" t="n">
        <v>44406</v>
      </c>
      <c r="K673" s="9" t="n">
        <v>12.81909</v>
      </c>
      <c r="L673" s="9" t="n">
        <v>79.72373</v>
      </c>
      <c r="M673" s="9" t="inlineStr">
        <is>
          <t>https://www.google.com/maps/place/?q=place_id:ChIJcZMDdpHCUjoRT6R400i7be4</t>
        </is>
      </c>
    </row>
    <row r="674">
      <c r="A674" s="9" t="n">
        <v>670</v>
      </c>
      <c r="B674" s="9" t="inlineStr">
        <is>
          <t>Kanchipuram</t>
        </is>
      </c>
      <c r="C674" s="9" t="inlineStr">
        <is>
          <t>Kanchipuram</t>
        </is>
      </c>
      <c r="D674" s="9" t="inlineStr">
        <is>
          <t>Tamil Nadu</t>
        </is>
      </c>
      <c r="E674" s="9" t="inlineStr">
        <is>
          <t>India</t>
        </is>
      </c>
      <c r="F674" s="9" t="n">
        <v>4</v>
      </c>
      <c r="G674" s="9" t="n">
        <v>2</v>
      </c>
      <c r="H674" s="9" t="n">
        <v>1</v>
      </c>
      <c r="I674" s="10" t="n">
        <v>45773</v>
      </c>
      <c r="J674" s="10" t="n">
        <v>45774</v>
      </c>
      <c r="K674" s="9" t="n">
        <v>12.82038</v>
      </c>
      <c r="L674" s="9" t="n">
        <v>79.72214</v>
      </c>
      <c r="M674" s="9" t="inlineStr">
        <is>
          <t>https://www.google.com/maps/place/?q=place_id:ChIJMcDlylbDUjoRQDutgjjiHR8</t>
        </is>
      </c>
    </row>
    <row r="675">
      <c r="A675" s="9" t="n">
        <v>671</v>
      </c>
      <c r="B675" s="9" t="inlineStr">
        <is>
          <t>Kanchipuram</t>
        </is>
      </c>
      <c r="C675" s="9" t="inlineStr">
        <is>
          <t>Kanchipuram</t>
        </is>
      </c>
      <c r="D675" s="9" t="inlineStr">
        <is>
          <t>Tamil Nadu</t>
        </is>
      </c>
      <c r="E675" s="9" t="inlineStr">
        <is>
          <t>India</t>
        </is>
      </c>
      <c r="F675" s="9" t="n">
        <v>3</v>
      </c>
      <c r="G675" s="9" t="n">
        <v>3</v>
      </c>
      <c r="H675" s="9" t="n">
        <v>3</v>
      </c>
      <c r="I675" s="10" t="n">
        <v>42295</v>
      </c>
      <c r="J675" s="10" t="n">
        <v>44406</v>
      </c>
      <c r="K675" s="9" t="n">
        <v>12.8241</v>
      </c>
      <c r="L675" s="9" t="n">
        <v>79.71237000000001</v>
      </c>
      <c r="M675" s="9" t="inlineStr">
        <is>
          <t>https://www.google.com/maps/place/?q=place_id:ChIJ_2_3KPLCUjoRX4xG1WZv9f0</t>
        </is>
      </c>
    </row>
    <row r="676">
      <c r="A676" s="9" t="n">
        <v>672</v>
      </c>
      <c r="B676" s="9" t="inlineStr">
        <is>
          <t>Kanchipuram</t>
        </is>
      </c>
      <c r="C676" s="9" t="inlineStr">
        <is>
          <t>Kanchipuram</t>
        </is>
      </c>
      <c r="D676" s="9" t="inlineStr">
        <is>
          <t>Tamil Nadu</t>
        </is>
      </c>
      <c r="E676" s="9" t="inlineStr">
        <is>
          <t>India</t>
        </is>
      </c>
      <c r="F676" s="9" t="n">
        <v>3</v>
      </c>
      <c r="G676" s="9" t="n">
        <v>2</v>
      </c>
      <c r="H676" s="9" t="n">
        <v>1</v>
      </c>
      <c r="I676" s="10" t="n">
        <v>44405</v>
      </c>
      <c r="J676" s="10" t="n">
        <v>44406</v>
      </c>
      <c r="K676" s="9" t="n">
        <v>12.82266</v>
      </c>
      <c r="L676" s="9" t="n">
        <v>79.71288</v>
      </c>
      <c r="M676" s="9" t="inlineStr">
        <is>
          <t>https://www.google.com/maps/place/?q=place_id:ChIJE5MwEvLCUjoRT8JjF9Im5E4</t>
        </is>
      </c>
    </row>
    <row r="677">
      <c r="A677" s="9" t="n">
        <v>673</v>
      </c>
      <c r="B677" s="9" t="inlineStr">
        <is>
          <t>Kanchipuram</t>
        </is>
      </c>
      <c r="C677" s="9" t="inlineStr">
        <is>
          <t>Kanchipuram</t>
        </is>
      </c>
      <c r="D677" s="9" t="inlineStr">
        <is>
          <t>Tamil Nadu</t>
        </is>
      </c>
      <c r="E677" s="9" t="inlineStr">
        <is>
          <t>India</t>
        </is>
      </c>
      <c r="F677" s="9" t="n">
        <v>2</v>
      </c>
      <c r="G677" s="9" t="n">
        <v>1</v>
      </c>
      <c r="H677" s="9" t="n">
        <v>1</v>
      </c>
      <c r="I677" s="10" t="n">
        <v>42295</v>
      </c>
      <c r="J677" s="10" t="n">
        <v>42295</v>
      </c>
      <c r="K677" s="9" t="n">
        <v>12.83593</v>
      </c>
      <c r="L677" s="9" t="n">
        <v>79.71087</v>
      </c>
      <c r="M677" s="9" t="inlineStr">
        <is>
          <t>https://www.google.com/maps/place/?q=place_id:ChIJISWsIFnCUjoRMd9hLUPELHU</t>
        </is>
      </c>
    </row>
    <row r="678">
      <c r="A678" s="9" t="n">
        <v>674</v>
      </c>
      <c r="B678" s="9" t="inlineStr">
        <is>
          <t>Kanchipuram</t>
        </is>
      </c>
      <c r="C678" s="9" t="inlineStr">
        <is>
          <t>Kanchipuram</t>
        </is>
      </c>
      <c r="D678" s="9" t="inlineStr">
        <is>
          <t>Tamil Nadu</t>
        </is>
      </c>
      <c r="E678" s="9" t="inlineStr">
        <is>
          <t>India</t>
        </is>
      </c>
      <c r="F678" s="9" t="n">
        <v>2</v>
      </c>
      <c r="G678" s="9" t="n">
        <v>2</v>
      </c>
      <c r="H678" s="9" t="n">
        <v>2</v>
      </c>
      <c r="I678" s="10" t="n">
        <v>42295</v>
      </c>
      <c r="J678" s="10" t="n">
        <v>43661</v>
      </c>
      <c r="K678" s="9" t="n">
        <v>12.84729</v>
      </c>
      <c r="L678" s="9" t="n">
        <v>79.69956000000001</v>
      </c>
      <c r="M678" s="9" t="inlineStr">
        <is>
          <t>https://www.google.com/maps/place/?q=place_id:ChIJub-FtE3CUjoRKicohQzFWac</t>
        </is>
      </c>
    </row>
    <row r="679">
      <c r="A679" s="9" t="n">
        <v>675</v>
      </c>
      <c r="B679" s="9" t="inlineStr">
        <is>
          <t>Kanchipuram</t>
        </is>
      </c>
      <c r="C679" s="9" t="inlineStr">
        <is>
          <t>Kanchipuram</t>
        </is>
      </c>
      <c r="D679" s="9" t="inlineStr">
        <is>
          <t>Tamil Nadu</t>
        </is>
      </c>
      <c r="E679" s="9" t="inlineStr">
        <is>
          <t>India</t>
        </is>
      </c>
      <c r="F679" s="9" t="n">
        <v>2</v>
      </c>
      <c r="G679" s="9" t="n">
        <v>2</v>
      </c>
      <c r="H679" s="9" t="n">
        <v>2</v>
      </c>
      <c r="I679" s="10" t="n">
        <v>42295</v>
      </c>
      <c r="J679" s="10" t="n">
        <v>43661</v>
      </c>
      <c r="K679" s="9" t="n">
        <v>12.84259</v>
      </c>
      <c r="L679" s="9" t="n">
        <v>79.70052</v>
      </c>
      <c r="M679" s="9" t="inlineStr">
        <is>
          <t>https://www.google.com/maps/place/?q=place_id:ChIJI6rS3yHDUjoREAq_ehSbXAM</t>
        </is>
      </c>
    </row>
    <row r="680">
      <c r="A680" s="9" t="n">
        <v>676</v>
      </c>
      <c r="B680" s="9" t="inlineStr">
        <is>
          <t>Kanchipuram</t>
        </is>
      </c>
      <c r="C680" s="9" t="inlineStr">
        <is>
          <t>Kanchipuram</t>
        </is>
      </c>
      <c r="D680" s="9" t="inlineStr">
        <is>
          <t>Tamil Nadu</t>
        </is>
      </c>
      <c r="E680" s="9" t="inlineStr">
        <is>
          <t>India</t>
        </is>
      </c>
      <c r="F680" s="9" t="n">
        <v>2</v>
      </c>
      <c r="G680" s="9" t="n">
        <v>2</v>
      </c>
      <c r="H680" s="9" t="n">
        <v>2</v>
      </c>
      <c r="I680" s="10" t="n">
        <v>42619</v>
      </c>
      <c r="J680" s="10" t="n">
        <v>45774</v>
      </c>
      <c r="K680" s="9" t="n">
        <v>12.83899</v>
      </c>
      <c r="L680" s="9" t="n">
        <v>79.70499</v>
      </c>
      <c r="M680" s="9" t="inlineStr">
        <is>
          <t>https://www.google.com/maps/place/?q=place_id:ChIJBVNtt1DCUjoR_kagF9ZKnYU</t>
        </is>
      </c>
    </row>
    <row r="681">
      <c r="A681" s="9" t="n">
        <v>677</v>
      </c>
      <c r="B681" s="9" t="inlineStr">
        <is>
          <t>Kanchipuram</t>
        </is>
      </c>
      <c r="C681" s="9" t="inlineStr">
        <is>
          <t>Kanchipuram</t>
        </is>
      </c>
      <c r="D681" s="9" t="inlineStr">
        <is>
          <t>Tamil Nadu</t>
        </is>
      </c>
      <c r="E681" s="9" t="inlineStr">
        <is>
          <t>India</t>
        </is>
      </c>
      <c r="F681" s="9" t="n">
        <v>2</v>
      </c>
      <c r="G681" s="9" t="n">
        <v>1</v>
      </c>
      <c r="H681" s="9" t="n">
        <v>1</v>
      </c>
      <c r="I681" s="10" t="n">
        <v>43661</v>
      </c>
      <c r="J681" s="10" t="n">
        <v>43661</v>
      </c>
      <c r="K681" s="9" t="n">
        <v>12.83756</v>
      </c>
      <c r="L681" s="9" t="n">
        <v>79.70398</v>
      </c>
      <c r="M681" s="9" t="inlineStr">
        <is>
          <t>https://www.google.com/maps/place/?q=place_id:ChIJjQmcylfCUjoRL50PaKXaUWI</t>
        </is>
      </c>
    </row>
    <row r="682">
      <c r="A682" s="9" t="n">
        <v>678</v>
      </c>
      <c r="B682" s="9" t="inlineStr">
        <is>
          <t>Kanchipuram</t>
        </is>
      </c>
      <c r="C682" s="9" t="inlineStr">
        <is>
          <t>Kanchipuram</t>
        </is>
      </c>
      <c r="D682" s="9" t="inlineStr">
        <is>
          <t>Tamil Nadu</t>
        </is>
      </c>
      <c r="E682" s="9" t="inlineStr">
        <is>
          <t>India</t>
        </is>
      </c>
      <c r="F682" s="9" t="n">
        <v>2</v>
      </c>
      <c r="G682" s="9" t="n">
        <v>2</v>
      </c>
      <c r="H682" s="9" t="n">
        <v>2</v>
      </c>
      <c r="I682" s="10" t="n">
        <v>44405</v>
      </c>
      <c r="J682" s="10" t="n">
        <v>45774</v>
      </c>
      <c r="K682" s="9" t="n">
        <v>12.84596</v>
      </c>
      <c r="L682" s="9" t="n">
        <v>79.70022</v>
      </c>
      <c r="M682" s="9" t="inlineStr">
        <is>
          <t>https://www.google.com/maps/place/?q=place_id:ChIJmU263U3CUjoRBaX11rQM2Qg</t>
        </is>
      </c>
    </row>
    <row r="683">
      <c r="A683" s="9" t="n">
        <v>679</v>
      </c>
      <c r="B683" s="9" t="inlineStr">
        <is>
          <t>Kanchipuram</t>
        </is>
      </c>
      <c r="C683" s="9" t="inlineStr">
        <is>
          <t>Kanchipuram</t>
        </is>
      </c>
      <c r="D683" s="9" t="inlineStr">
        <is>
          <t>Tamil Nadu</t>
        </is>
      </c>
      <c r="E683" s="9" t="inlineStr">
        <is>
          <t>India</t>
        </is>
      </c>
      <c r="F683" s="9" t="n">
        <v>2</v>
      </c>
      <c r="G683" s="9" t="n">
        <v>2</v>
      </c>
      <c r="H683" s="9" t="n">
        <v>2</v>
      </c>
      <c r="I683" s="10" t="n">
        <v>44405</v>
      </c>
      <c r="J683" s="10" t="n">
        <v>45774</v>
      </c>
      <c r="K683" s="9" t="n">
        <v>12.84368</v>
      </c>
      <c r="L683" s="9" t="n">
        <v>79.70761</v>
      </c>
      <c r="M683" s="9" t="inlineStr">
        <is>
          <t>https://www.google.com/maps/place/?q=place_id:ChIJL5hjsFrCUjoRTz2OsbngQHY</t>
        </is>
      </c>
    </row>
    <row r="684">
      <c r="A684" s="9" t="n">
        <v>680</v>
      </c>
      <c r="B684" s="9" t="inlineStr">
        <is>
          <t>Kanchipuram</t>
        </is>
      </c>
      <c r="C684" s="9" t="inlineStr">
        <is>
          <t>Kanchipuram</t>
        </is>
      </c>
      <c r="D684" s="9" t="inlineStr">
        <is>
          <t>Tamil Nadu</t>
        </is>
      </c>
      <c r="E684" s="9" t="inlineStr">
        <is>
          <t>India</t>
        </is>
      </c>
      <c r="F684" s="9" t="n">
        <v>2</v>
      </c>
      <c r="G684" s="9" t="n">
        <v>2</v>
      </c>
      <c r="H684" s="9" t="n">
        <v>2</v>
      </c>
      <c r="I684" s="10" t="n">
        <v>44405</v>
      </c>
      <c r="J684" s="10" t="n">
        <v>45774</v>
      </c>
      <c r="K684" s="9" t="n">
        <v>12.83711</v>
      </c>
      <c r="L684" s="9" t="n">
        <v>79.71017000000001</v>
      </c>
      <c r="M684" s="9" t="inlineStr">
        <is>
          <t>https://www.google.com/maps/place/?q=place_id:ChIJx2F_E1nCUjoRlBY8HHhx4Gs</t>
        </is>
      </c>
    </row>
    <row r="685">
      <c r="A685" s="9" t="n">
        <v>681</v>
      </c>
      <c r="B685" s="9" t="inlineStr">
        <is>
          <t>Kanchipuram</t>
        </is>
      </c>
      <c r="C685" s="9" t="inlineStr">
        <is>
          <t>Kanchipuram</t>
        </is>
      </c>
      <c r="D685" s="9" t="inlineStr">
        <is>
          <t>Tamil Nadu</t>
        </is>
      </c>
      <c r="E685" s="9" t="inlineStr">
        <is>
          <t>India</t>
        </is>
      </c>
      <c r="F685" s="9" t="n">
        <v>1</v>
      </c>
      <c r="G685" s="9" t="n">
        <v>2</v>
      </c>
      <c r="H685" s="9" t="n">
        <v>1</v>
      </c>
      <c r="I685" s="10" t="n">
        <v>42294</v>
      </c>
      <c r="J685" s="10" t="n">
        <v>42295</v>
      </c>
      <c r="K685" s="9" t="n">
        <v>12.83849</v>
      </c>
      <c r="L685" s="9" t="n">
        <v>79.71237000000001</v>
      </c>
      <c r="M685" s="9" t="inlineStr">
        <is>
          <t>https://www.google.com/maps/place/?q=place_id:ChIJRYcyR0_CUjoRIumcjXRyBZc</t>
        </is>
      </c>
    </row>
    <row r="686">
      <c r="A686" s="9" t="n">
        <v>682</v>
      </c>
      <c r="B686" s="9" t="inlineStr">
        <is>
          <t>Kanchipuram</t>
        </is>
      </c>
      <c r="C686" s="9" t="inlineStr">
        <is>
          <t>Kanchipuram</t>
        </is>
      </c>
      <c r="D686" s="9" t="inlineStr">
        <is>
          <t>Tamil Nadu</t>
        </is>
      </c>
      <c r="E686" s="9" t="inlineStr">
        <is>
          <t>India</t>
        </is>
      </c>
      <c r="F686" s="9" t="n">
        <v>1</v>
      </c>
      <c r="G686" s="9" t="n">
        <v>1</v>
      </c>
      <c r="H686" s="9" t="n">
        <v>1</v>
      </c>
      <c r="I686" s="10" t="n">
        <v>42295</v>
      </c>
      <c r="J686" s="10" t="n">
        <v>42295</v>
      </c>
      <c r="K686" s="9" t="n">
        <v>12.82385</v>
      </c>
      <c r="L686" s="9" t="n">
        <v>79.71021</v>
      </c>
      <c r="M686" s="9" t="inlineStr">
        <is>
          <t>https://www.google.com/maps/place/?q=place_id:ChIJeWdXo_HCUjoRANbKUDYgAtg</t>
        </is>
      </c>
    </row>
    <row r="687">
      <c r="A687" s="9" t="n">
        <v>683</v>
      </c>
      <c r="B687" s="9" t="inlineStr">
        <is>
          <t>Kanchipuram</t>
        </is>
      </c>
      <c r="C687" s="9" t="inlineStr">
        <is>
          <t>Kanchipuram</t>
        </is>
      </c>
      <c r="D687" s="9" t="inlineStr">
        <is>
          <t>Tamil Nadu</t>
        </is>
      </c>
      <c r="E687" s="9" t="inlineStr">
        <is>
          <t>India</t>
        </is>
      </c>
      <c r="F687" s="9" t="n">
        <v>1</v>
      </c>
      <c r="G687" s="9" t="n">
        <v>1</v>
      </c>
      <c r="H687" s="9" t="n">
        <v>1</v>
      </c>
      <c r="I687" s="10" t="n">
        <v>42295</v>
      </c>
      <c r="J687" s="10" t="n">
        <v>42295</v>
      </c>
      <c r="K687" s="9" t="n">
        <v>12.84418</v>
      </c>
      <c r="L687" s="9" t="n">
        <v>79.69946</v>
      </c>
      <c r="M687" s="9" t="inlineStr">
        <is>
          <t>https://www.google.com/maps/place/?q=place_id:ChIJOeSF9E3CUjoRhPRSwbEQ01s</t>
        </is>
      </c>
    </row>
    <row r="688">
      <c r="A688" s="9" t="n">
        <v>684</v>
      </c>
      <c r="B688" s="9" t="inlineStr">
        <is>
          <t>Kanchipuram</t>
        </is>
      </c>
      <c r="C688" s="9" t="inlineStr">
        <is>
          <t>Kanchipuram</t>
        </is>
      </c>
      <c r="D688" s="9" t="inlineStr">
        <is>
          <t>Tamil Nadu</t>
        </is>
      </c>
      <c r="E688" s="9" t="inlineStr">
        <is>
          <t>India</t>
        </is>
      </c>
      <c r="F688" s="9" t="n">
        <v>1</v>
      </c>
      <c r="G688" s="9" t="n">
        <v>1</v>
      </c>
      <c r="H688" s="9" t="n">
        <v>1</v>
      </c>
      <c r="I688" s="10" t="n">
        <v>42295</v>
      </c>
      <c r="J688" s="10" t="n">
        <v>42295</v>
      </c>
      <c r="K688" s="9" t="n">
        <v>12.8274</v>
      </c>
      <c r="L688" s="9" t="n">
        <v>79.70721</v>
      </c>
      <c r="M688" s="9" t="inlineStr">
        <is>
          <t>https://www.google.com/maps/place/?q=place_id:ChIJ1SHzXVHCUjoRTemFVs5L28c</t>
        </is>
      </c>
    </row>
    <row r="689">
      <c r="A689" s="9" t="n">
        <v>685</v>
      </c>
      <c r="B689" s="9" t="inlineStr">
        <is>
          <t>Kanchipuram</t>
        </is>
      </c>
      <c r="C689" s="9" t="inlineStr">
        <is>
          <t>Kanchipuram</t>
        </is>
      </c>
      <c r="D689" s="9" t="inlineStr">
        <is>
          <t>Tamil Nadu</t>
        </is>
      </c>
      <c r="E689" s="9" t="inlineStr">
        <is>
          <t>India</t>
        </is>
      </c>
      <c r="F689" s="9" t="n">
        <v>1</v>
      </c>
      <c r="G689" s="9" t="n">
        <v>1</v>
      </c>
      <c r="H689" s="9" t="n">
        <v>1</v>
      </c>
      <c r="I689" s="10" t="n">
        <v>42295</v>
      </c>
      <c r="J689" s="10" t="n">
        <v>42295</v>
      </c>
      <c r="K689" s="9" t="n">
        <v>12.83514</v>
      </c>
      <c r="L689" s="9" t="n">
        <v>79.7051</v>
      </c>
      <c r="M689" s="9" t="inlineStr">
        <is>
          <t>https://www.google.com/maps/place/?q=place_id:ChIJNZOKm1fCUjoRq97GpX3lbRo</t>
        </is>
      </c>
    </row>
    <row r="690">
      <c r="A690" s="9" t="n">
        <v>686</v>
      </c>
      <c r="B690" s="9" t="inlineStr">
        <is>
          <t>Kanchipuram</t>
        </is>
      </c>
      <c r="C690" s="9" t="inlineStr">
        <is>
          <t>Kanchipuram</t>
        </is>
      </c>
      <c r="D690" s="9" t="inlineStr">
        <is>
          <t>Tamil Nadu</t>
        </is>
      </c>
      <c r="E690" s="9" t="inlineStr">
        <is>
          <t>India</t>
        </is>
      </c>
      <c r="F690" s="9" t="n">
        <v>1</v>
      </c>
      <c r="G690" s="9" t="n">
        <v>1</v>
      </c>
      <c r="H690" s="9" t="n">
        <v>1</v>
      </c>
      <c r="I690" s="10" t="n">
        <v>42295</v>
      </c>
      <c r="J690" s="10" t="n">
        <v>42295</v>
      </c>
      <c r="K690" s="9" t="n">
        <v>12.87343</v>
      </c>
      <c r="L690" s="9" t="n">
        <v>79.69678999999999</v>
      </c>
      <c r="M690" s="9" t="inlineStr">
        <is>
          <t>https://www.google.com/maps/place/?q=place_id:ChIJuyr-aivCUjoRr9YVgosctE8</t>
        </is>
      </c>
    </row>
    <row r="691">
      <c r="A691" s="9" t="n">
        <v>687</v>
      </c>
      <c r="B691" s="9" t="inlineStr">
        <is>
          <t>Kanchipuram</t>
        </is>
      </c>
      <c r="C691" s="9" t="inlineStr">
        <is>
          <t>Kanchipuram</t>
        </is>
      </c>
      <c r="D691" s="9" t="inlineStr">
        <is>
          <t>Tamil Nadu</t>
        </is>
      </c>
      <c r="E691" s="9" t="inlineStr">
        <is>
          <t>India</t>
        </is>
      </c>
      <c r="F691" s="9" t="n">
        <v>1</v>
      </c>
      <c r="G691" s="9" t="n">
        <v>1</v>
      </c>
      <c r="H691" s="9" t="n">
        <v>1</v>
      </c>
      <c r="I691" s="10" t="n">
        <v>44405</v>
      </c>
      <c r="J691" s="10" t="n">
        <v>44405</v>
      </c>
      <c r="K691" s="9" t="n">
        <v>12.83728</v>
      </c>
      <c r="L691" s="9" t="n">
        <v>79.70458000000001</v>
      </c>
      <c r="M691" s="9" t="inlineStr">
        <is>
          <t>https://www.google.com/maps/place/?q=place_id:ChIJF6kqPFfCUjoRCKPzRKJMpWE</t>
        </is>
      </c>
    </row>
    <row r="692">
      <c r="A692" s="9" t="n">
        <v>688</v>
      </c>
      <c r="B692" s="9" t="inlineStr">
        <is>
          <t>Kanchipuram</t>
        </is>
      </c>
      <c r="C692" s="9" t="inlineStr">
        <is>
          <t>Kanchipuram</t>
        </is>
      </c>
      <c r="D692" s="9" t="inlineStr">
        <is>
          <t>Tamil Nadu</t>
        </is>
      </c>
      <c r="E692" s="9" t="inlineStr">
        <is>
          <t>India</t>
        </is>
      </c>
      <c r="F692" s="9" t="n">
        <v>1</v>
      </c>
      <c r="G692" s="9" t="n">
        <v>1</v>
      </c>
      <c r="H692" s="9" t="n">
        <v>1</v>
      </c>
      <c r="I692" s="10" t="n">
        <v>44405</v>
      </c>
      <c r="J692" s="10" t="n">
        <v>44405</v>
      </c>
      <c r="K692" s="9" t="n">
        <v>12.84272</v>
      </c>
      <c r="L692" s="9" t="n">
        <v>79.69695</v>
      </c>
      <c r="M692" s="9" t="inlineStr">
        <is>
          <t>https://www.google.com/maps/place/?q=place_id:ChIJf0FnsxrDUjoRzituFwFAM7o</t>
        </is>
      </c>
    </row>
    <row r="693">
      <c r="A693" s="9" t="n">
        <v>689</v>
      </c>
      <c r="B693" s="9" t="inlineStr">
        <is>
          <t>Kanchipuram</t>
        </is>
      </c>
      <c r="C693" s="9" t="inlineStr">
        <is>
          <t>Kanchipuram</t>
        </is>
      </c>
      <c r="D693" s="9" t="inlineStr">
        <is>
          <t>Tamil Nadu</t>
        </is>
      </c>
      <c r="E693" s="9" t="inlineStr">
        <is>
          <t>India</t>
        </is>
      </c>
      <c r="F693" s="9" t="n">
        <v>1</v>
      </c>
      <c r="G693" s="9" t="n">
        <v>1</v>
      </c>
      <c r="H693" s="9" t="n">
        <v>1</v>
      </c>
      <c r="I693" s="10" t="n">
        <v>44405</v>
      </c>
      <c r="J693" s="10" t="n">
        <v>44405</v>
      </c>
      <c r="K693" s="9" t="n">
        <v>12.8444</v>
      </c>
      <c r="L693" s="9" t="n">
        <v>79.70449000000001</v>
      </c>
      <c r="M693" s="9" t="inlineStr">
        <is>
          <t>https://www.google.com/maps/place/?q=place_id:ChIJuxTP3k_CUjoRUi2abLTBZwU</t>
        </is>
      </c>
    </row>
    <row r="694">
      <c r="A694" s="9" t="n">
        <v>690</v>
      </c>
      <c r="B694" s="9" t="inlineStr">
        <is>
          <t>Kanchipuram</t>
        </is>
      </c>
      <c r="C694" s="9" t="inlineStr">
        <is>
          <t>Kanchipuram</t>
        </is>
      </c>
      <c r="D694" s="9" t="inlineStr">
        <is>
          <t>Tamil Nadu</t>
        </is>
      </c>
      <c r="E694" s="9" t="inlineStr">
        <is>
          <t>India</t>
        </is>
      </c>
      <c r="F694" s="9" t="n">
        <v>1</v>
      </c>
      <c r="G694" s="9" t="n">
        <v>1</v>
      </c>
      <c r="H694" s="9" t="n">
        <v>1</v>
      </c>
      <c r="I694" s="10" t="n">
        <v>44405</v>
      </c>
      <c r="J694" s="10" t="n">
        <v>44405</v>
      </c>
      <c r="K694" s="9" t="n">
        <v>12.83768</v>
      </c>
      <c r="L694" s="9" t="n">
        <v>79.70388</v>
      </c>
      <c r="M694" s="9" t="inlineStr">
        <is>
          <t>https://www.google.com/maps/place/?q=place_id:ChIJP_vBimbDUjoR50sO4jELSbI</t>
        </is>
      </c>
    </row>
    <row r="695">
      <c r="A695" s="9" t="n">
        <v>691</v>
      </c>
      <c r="B695" s="9" t="inlineStr">
        <is>
          <t>Kanchipuram</t>
        </is>
      </c>
      <c r="C695" s="9" t="inlineStr">
        <is>
          <t>Kanchipuram</t>
        </is>
      </c>
      <c r="D695" s="9" t="inlineStr">
        <is>
          <t>Tamil Nadu</t>
        </is>
      </c>
      <c r="E695" s="9" t="inlineStr">
        <is>
          <t>India</t>
        </is>
      </c>
      <c r="F695" s="9" t="n">
        <v>1</v>
      </c>
      <c r="G695" s="9" t="n">
        <v>1</v>
      </c>
      <c r="H695" s="9" t="n">
        <v>1</v>
      </c>
      <c r="I695" s="10" t="n">
        <v>44406</v>
      </c>
      <c r="J695" s="10" t="n">
        <v>44406</v>
      </c>
      <c r="K695" s="9" t="n">
        <v>12.82412</v>
      </c>
      <c r="L695" s="9" t="n">
        <v>79.70555</v>
      </c>
      <c r="M695" s="9" t="inlineStr">
        <is>
          <t>https://www.google.com/maps/place/?q=place_id:ChIJE76X3DBhUjoR2r9gXVsccpA</t>
        </is>
      </c>
    </row>
    <row r="696">
      <c r="A696" s="9" t="n">
        <v>692</v>
      </c>
      <c r="B696" s="9" t="inlineStr">
        <is>
          <t>Kanchipuram</t>
        </is>
      </c>
      <c r="C696" s="9" t="inlineStr">
        <is>
          <t>Kanchipuram</t>
        </is>
      </c>
      <c r="D696" s="9" t="inlineStr">
        <is>
          <t>Tamil Nadu</t>
        </is>
      </c>
      <c r="E696" s="9" t="inlineStr">
        <is>
          <t>India</t>
        </is>
      </c>
      <c r="F696" s="9" t="n">
        <v>1</v>
      </c>
      <c r="G696" s="9" t="n">
        <v>1</v>
      </c>
      <c r="H696" s="9" t="n">
        <v>1</v>
      </c>
      <c r="I696" s="10" t="n">
        <v>44406</v>
      </c>
      <c r="J696" s="10" t="n">
        <v>44406</v>
      </c>
      <c r="K696" s="9" t="n">
        <v>12.84068</v>
      </c>
      <c r="L696" s="9" t="n">
        <v>79.70317</v>
      </c>
      <c r="M696" s="9" t="inlineStr">
        <is>
          <t>https://www.google.com/maps/place/?q=place_id:ChIJsQOeA1HCUjoRU-1TqgShsA4</t>
        </is>
      </c>
    </row>
    <row r="697">
      <c r="A697" s="9" t="n">
        <v>693</v>
      </c>
      <c r="B697" s="9" t="inlineStr">
        <is>
          <t>Kanchipuram</t>
        </is>
      </c>
      <c r="C697" s="9" t="inlineStr">
        <is>
          <t>Kanchipuram</t>
        </is>
      </c>
      <c r="D697" s="9" t="inlineStr">
        <is>
          <t>Tamil Nadu</t>
        </is>
      </c>
      <c r="E697" s="9" t="inlineStr">
        <is>
          <t>India</t>
        </is>
      </c>
      <c r="F697" s="9" t="n">
        <v>1</v>
      </c>
      <c r="G697" s="9" t="n">
        <v>1</v>
      </c>
      <c r="H697" s="9" t="n">
        <v>1</v>
      </c>
      <c r="I697" s="10" t="n">
        <v>44406</v>
      </c>
      <c r="J697" s="10" t="n">
        <v>44406</v>
      </c>
      <c r="K697" s="9" t="n">
        <v>12.87149</v>
      </c>
      <c r="L697" s="9" t="n">
        <v>79.64024000000001</v>
      </c>
      <c r="M697" s="9" t="inlineStr">
        <is>
          <t>https://www.google.com/maps/place/?q=place_id:ChIJ5UdDlADEUjoR2TPfPQyYPvk</t>
        </is>
      </c>
    </row>
    <row r="698">
      <c r="A698" s="9" t="n">
        <v>694</v>
      </c>
      <c r="B698" s="9" t="inlineStr">
        <is>
          <t>Kanchipuram</t>
        </is>
      </c>
      <c r="C698" s="9" t="inlineStr">
        <is>
          <t>Kanchipuram</t>
        </is>
      </c>
      <c r="D698" s="9" t="inlineStr">
        <is>
          <t>Tamil Nadu</t>
        </is>
      </c>
      <c r="E698" s="9" t="inlineStr">
        <is>
          <t>India</t>
        </is>
      </c>
      <c r="F698" s="9" t="n">
        <v>1</v>
      </c>
      <c r="G698" s="9" t="n">
        <v>1</v>
      </c>
      <c r="H698" s="9" t="n">
        <v>1</v>
      </c>
      <c r="I698" s="10" t="n">
        <v>45773</v>
      </c>
      <c r="J698" s="10" t="n">
        <v>45773</v>
      </c>
      <c r="K698" s="9" t="n">
        <v>12.81823</v>
      </c>
      <c r="L698" s="9" t="n">
        <v>79.72453</v>
      </c>
      <c r="M698" s="9" t="inlineStr">
        <is>
          <t>https://www.google.com/maps/place/?q=place_id:ChIJWcTXapHCUjoR2nqghncku6U</t>
        </is>
      </c>
    </row>
    <row r="699">
      <c r="A699" s="9" t="n">
        <v>695</v>
      </c>
      <c r="B699" s="9" t="inlineStr">
        <is>
          <t>Kanchipuram</t>
        </is>
      </c>
      <c r="C699" s="9" t="inlineStr">
        <is>
          <t>Kanchipuram</t>
        </is>
      </c>
      <c r="D699" s="9" t="inlineStr">
        <is>
          <t>Tamil Nadu</t>
        </is>
      </c>
      <c r="E699" s="9" t="inlineStr">
        <is>
          <t>India</t>
        </is>
      </c>
      <c r="F699" s="9" t="n">
        <v>1</v>
      </c>
      <c r="G699" s="9" t="n">
        <v>2</v>
      </c>
      <c r="H699" s="9" t="n">
        <v>1</v>
      </c>
      <c r="I699" s="10" t="n">
        <v>45773</v>
      </c>
      <c r="J699" s="10" t="n">
        <v>45774</v>
      </c>
      <c r="K699" s="9" t="n">
        <v>12.83299</v>
      </c>
      <c r="L699" s="9" t="n">
        <v>79.71028</v>
      </c>
      <c r="M699" s="9" t="inlineStr">
        <is>
          <t>https://www.google.com/maps/place/?q=place_id:ChIJ5QGYIPbCUjoREV0fRSf5hfU</t>
        </is>
      </c>
    </row>
    <row r="700">
      <c r="A700" s="9" t="n">
        <v>696</v>
      </c>
      <c r="B700" s="9" t="inlineStr">
        <is>
          <t>Kanchipuram</t>
        </is>
      </c>
      <c r="C700" s="9" t="inlineStr">
        <is>
          <t>Kanchipuram</t>
        </is>
      </c>
      <c r="D700" s="9" t="inlineStr">
        <is>
          <t>Tamil Nadu</t>
        </is>
      </c>
      <c r="E700" s="9" t="inlineStr">
        <is>
          <t>India</t>
        </is>
      </c>
      <c r="F700" s="9" t="n">
        <v>1</v>
      </c>
      <c r="G700" s="9" t="n">
        <v>1</v>
      </c>
      <c r="H700" s="9" t="n">
        <v>1</v>
      </c>
      <c r="I700" s="10" t="n">
        <v>45774</v>
      </c>
      <c r="J700" s="10" t="n">
        <v>45774</v>
      </c>
      <c r="K700" s="9" t="n">
        <v>12.82508</v>
      </c>
      <c r="L700" s="9" t="n">
        <v>79.70929</v>
      </c>
      <c r="M700" s="9" t="inlineStr">
        <is>
          <t>https://www.google.com/maps/place/?q=place_id:ChIJJV284vDCUjoRdxpXmlazWGg</t>
        </is>
      </c>
    </row>
    <row r="701">
      <c r="A701" s="9" t="n">
        <v>697</v>
      </c>
      <c r="B701" s="9" t="inlineStr">
        <is>
          <t>Krishnagiri</t>
        </is>
      </c>
      <c r="C701" s="9" t="inlineStr">
        <is>
          <t>Krishnagiri</t>
        </is>
      </c>
      <c r="D701" s="9" t="inlineStr">
        <is>
          <t>Tamil Nadu</t>
        </is>
      </c>
      <c r="E701" s="9" t="inlineStr">
        <is>
          <t>India</t>
        </is>
      </c>
      <c r="F701" s="9" t="n">
        <v>1</v>
      </c>
      <c r="G701" s="9" t="n">
        <v>1</v>
      </c>
      <c r="H701" s="9" t="n">
        <v>1</v>
      </c>
      <c r="I701" s="10" t="n">
        <v>44406</v>
      </c>
      <c r="J701" s="10" t="n">
        <v>44406</v>
      </c>
      <c r="K701" s="9" t="n">
        <v>12.55217</v>
      </c>
      <c r="L701" s="9" t="n">
        <v>78.19</v>
      </c>
      <c r="M701" s="9" t="inlineStr">
        <is>
          <t>https://www.google.com/maps/place/?q=place_id:ChIJV_brL7DMrTsRxww8JHyybDk</t>
        </is>
      </c>
    </row>
    <row r="702">
      <c r="A702" s="9" t="n">
        <v>698</v>
      </c>
      <c r="B702" s="9" t="inlineStr">
        <is>
          <t>Kuzhithurai</t>
        </is>
      </c>
      <c r="C702" s="9" t="inlineStr">
        <is>
          <t>Kuzhithurai</t>
        </is>
      </c>
      <c r="D702" s="9" t="inlineStr">
        <is>
          <t>Tamil Nadu</t>
        </is>
      </c>
      <c r="E702" s="9" t="inlineStr">
        <is>
          <t>India</t>
        </is>
      </c>
      <c r="F702" s="9" t="n">
        <v>1</v>
      </c>
      <c r="G702" s="9" t="n">
        <v>1</v>
      </c>
      <c r="H702" s="9" t="n">
        <v>1</v>
      </c>
      <c r="I702" s="10" t="n">
        <v>43150</v>
      </c>
      <c r="J702" s="10" t="n">
        <v>43150</v>
      </c>
      <c r="K702" s="9" t="n">
        <v>8.32971</v>
      </c>
      <c r="L702" s="9" t="n">
        <v>77.26604</v>
      </c>
      <c r="M702" s="9" t="inlineStr">
        <is>
          <t>https://www.google.com/maps/place/?q=place_id:ChIJrTn3qzdUBDsRA1xrByPkPyo</t>
        </is>
      </c>
    </row>
    <row r="703">
      <c r="A703" s="9" t="n">
        <v>699</v>
      </c>
      <c r="B703" s="9" t="inlineStr">
        <is>
          <t>Kuzhithurai</t>
        </is>
      </c>
      <c r="C703" s="9" t="inlineStr">
        <is>
          <t>Kuzhithurai</t>
        </is>
      </c>
      <c r="D703" s="9" t="inlineStr">
        <is>
          <t>Tamil Nadu</t>
        </is>
      </c>
      <c r="E703" s="9" t="inlineStr">
        <is>
          <t>India</t>
        </is>
      </c>
      <c r="F703" s="9" t="n">
        <v>1</v>
      </c>
      <c r="G703" s="9" t="n">
        <v>1</v>
      </c>
      <c r="H703" s="9" t="n">
        <v>1</v>
      </c>
      <c r="I703" s="10" t="n">
        <v>43150</v>
      </c>
      <c r="J703" s="10" t="n">
        <v>43150</v>
      </c>
      <c r="K703" s="9" t="n">
        <v>8.33535</v>
      </c>
      <c r="L703" s="9" t="n">
        <v>77.21364</v>
      </c>
      <c r="M703" s="9" t="inlineStr">
        <is>
          <t>https://www.google.com/maps/place/?q=place_id:ChIJe4Ps28NUBDsRhfM-e56NCTs</t>
        </is>
      </c>
    </row>
    <row r="704">
      <c r="A704" s="9" t="n">
        <v>700</v>
      </c>
      <c r="B704" s="9" t="inlineStr">
        <is>
          <t>Tirupparangunram</t>
        </is>
      </c>
      <c r="C704" s="9" t="inlineStr">
        <is>
          <t>Madurai</t>
        </is>
      </c>
      <c r="D704" s="9" t="inlineStr">
        <is>
          <t>Tamil Nadu</t>
        </is>
      </c>
      <c r="E704" s="9" t="inlineStr">
        <is>
          <t>India</t>
        </is>
      </c>
      <c r="F704" s="9" t="n">
        <v>2</v>
      </c>
      <c r="G704" s="9" t="n">
        <v>2</v>
      </c>
      <c r="H704" s="9" t="n">
        <v>1</v>
      </c>
      <c r="I704" s="10" t="n">
        <v>43745</v>
      </c>
      <c r="J704" s="10" t="n">
        <v>43746</v>
      </c>
      <c r="K704" s="9" t="n">
        <v>9.838229999999999</v>
      </c>
      <c r="L704" s="9" t="n">
        <v>78.08947999999999</v>
      </c>
      <c r="M704" s="9" t="inlineStr">
        <is>
          <t>https://www.google.com/maps/place/?q=place_id:ChIJFSAYuGnQADsRF3_75hRYz5A</t>
        </is>
      </c>
    </row>
    <row r="705">
      <c r="A705" s="9" t="n">
        <v>701</v>
      </c>
      <c r="B705" s="9" t="inlineStr">
        <is>
          <t>Madurai</t>
        </is>
      </c>
      <c r="C705" s="9" t="inlineStr">
        <is>
          <t>Madurai</t>
        </is>
      </c>
      <c r="D705" s="9" t="inlineStr">
        <is>
          <t>Tamil Nadu</t>
        </is>
      </c>
      <c r="E705" s="9" t="inlineStr">
        <is>
          <t>India</t>
        </is>
      </c>
      <c r="F705" s="9" t="n">
        <v>2</v>
      </c>
      <c r="G705" s="9" t="n">
        <v>2</v>
      </c>
      <c r="H705" s="9" t="n">
        <v>2</v>
      </c>
      <c r="I705" s="10" t="n">
        <v>43746</v>
      </c>
      <c r="J705" s="10" t="n">
        <v>44746</v>
      </c>
      <c r="K705" s="9" t="n">
        <v>9.919499999999999</v>
      </c>
      <c r="L705" s="9" t="n">
        <v>78.11933999999999</v>
      </c>
      <c r="M705" s="9" t="inlineStr">
        <is>
          <t>https://www.google.com/maps/place/?q=place_id:ChIJh2nkYYTFADsRA2co5RxiNPE</t>
        </is>
      </c>
    </row>
    <row r="706">
      <c r="A706" s="9" t="n">
        <v>702</v>
      </c>
      <c r="B706" s="9" t="inlineStr">
        <is>
          <t>Madurai</t>
        </is>
      </c>
      <c r="C706" s="9" t="inlineStr">
        <is>
          <t>Madurai</t>
        </is>
      </c>
      <c r="D706" s="9" t="inlineStr">
        <is>
          <t>Tamil Nadu</t>
        </is>
      </c>
      <c r="E706" s="9" t="inlineStr">
        <is>
          <t>India</t>
        </is>
      </c>
      <c r="F706" s="9" t="n">
        <v>1</v>
      </c>
      <c r="G706" s="9" t="n">
        <v>1</v>
      </c>
      <c r="H706" s="9" t="n">
        <v>1</v>
      </c>
      <c r="I706" s="10" t="n">
        <v>43745</v>
      </c>
      <c r="J706" s="10" t="n">
        <v>43745</v>
      </c>
      <c r="K706" s="9" t="n">
        <v>9.91032</v>
      </c>
      <c r="L706" s="9" t="n">
        <v>78.14051000000001</v>
      </c>
      <c r="M706" s="9" t="inlineStr">
        <is>
          <t>https://www.google.com/maps/place/?q=place_id:ChIJhw1zcgnFADsRSlEvWmV2aqg</t>
        </is>
      </c>
    </row>
    <row r="707">
      <c r="A707" s="9" t="n">
        <v>703</v>
      </c>
      <c r="B707" s="9" t="inlineStr">
        <is>
          <t>Madurai</t>
        </is>
      </c>
      <c r="C707" s="9" t="inlineStr">
        <is>
          <t>Madurai</t>
        </is>
      </c>
      <c r="D707" s="9" t="inlineStr">
        <is>
          <t>Tamil Nadu</t>
        </is>
      </c>
      <c r="E707" s="9" t="inlineStr">
        <is>
          <t>India</t>
        </is>
      </c>
      <c r="F707" s="9" t="n">
        <v>1</v>
      </c>
      <c r="G707" s="9" t="n">
        <v>1</v>
      </c>
      <c r="H707" s="9" t="n">
        <v>1</v>
      </c>
      <c r="I707" s="10" t="n">
        <v>43746</v>
      </c>
      <c r="J707" s="10" t="n">
        <v>43746</v>
      </c>
      <c r="K707" s="9" t="n">
        <v>9.91377</v>
      </c>
      <c r="L707" s="9" t="n">
        <v>78.14439</v>
      </c>
      <c r="M707" s="9" t="inlineStr">
        <is>
          <t>https://www.google.com/maps/place/?q=place_id:ChIJ6dvNAgjFADsRnv6rMNyEiSQ</t>
        </is>
      </c>
    </row>
    <row r="708">
      <c r="A708" s="9" t="n">
        <v>704</v>
      </c>
      <c r="B708" s="9" t="inlineStr">
        <is>
          <t>Madurai</t>
        </is>
      </c>
      <c r="C708" s="9" t="inlineStr">
        <is>
          <t>Madurai</t>
        </is>
      </c>
      <c r="D708" s="9" t="inlineStr">
        <is>
          <t>Tamil Nadu</t>
        </is>
      </c>
      <c r="E708" s="9" t="inlineStr">
        <is>
          <t>India</t>
        </is>
      </c>
      <c r="F708" s="9" t="n">
        <v>1</v>
      </c>
      <c r="G708" s="9" t="n">
        <v>1</v>
      </c>
      <c r="H708" s="9" t="n">
        <v>1</v>
      </c>
      <c r="I708" s="10" t="n">
        <v>44744</v>
      </c>
      <c r="J708" s="10" t="n">
        <v>44744</v>
      </c>
      <c r="K708" s="9" t="n">
        <v>9.91925</v>
      </c>
      <c r="L708" s="9" t="n">
        <v>78.1105</v>
      </c>
      <c r="M708" s="9" t="inlineStr">
        <is>
          <t>https://www.google.com/maps/place/?q=place_id:ChIJK1Cphn3PADsRNuMSiva4s1c</t>
        </is>
      </c>
    </row>
    <row r="709">
      <c r="A709" s="9" t="n">
        <v>705</v>
      </c>
      <c r="B709" s="9" t="inlineStr">
        <is>
          <t>Madurai</t>
        </is>
      </c>
      <c r="C709" s="9" t="inlineStr">
        <is>
          <t>Madurai</t>
        </is>
      </c>
      <c r="D709" s="9" t="inlineStr">
        <is>
          <t>Tamil Nadu</t>
        </is>
      </c>
      <c r="E709" s="9" t="inlineStr">
        <is>
          <t>India</t>
        </is>
      </c>
      <c r="F709" s="9" t="n">
        <v>1</v>
      </c>
      <c r="G709" s="9" t="n">
        <v>1</v>
      </c>
      <c r="H709" s="9" t="n">
        <v>1</v>
      </c>
      <c r="I709" s="10" t="n">
        <v>44746</v>
      </c>
      <c r="J709" s="10" t="n">
        <v>44746</v>
      </c>
      <c r="K709" s="9" t="n">
        <v>9.91432</v>
      </c>
      <c r="L709" s="9" t="n">
        <v>78.11378000000001</v>
      </c>
      <c r="M709" s="9" t="inlineStr">
        <is>
          <t>https://www.google.com/maps/place/?q=place_id:ChIJUZYrS4DFADsRZgiZpxfy9-o</t>
        </is>
      </c>
    </row>
    <row r="710">
      <c r="A710" s="9" t="n">
        <v>706</v>
      </c>
      <c r="B710" s="9" t="inlineStr">
        <is>
          <t>Madurai</t>
        </is>
      </c>
      <c r="C710" s="9" t="inlineStr">
        <is>
          <t>Madurai</t>
        </is>
      </c>
      <c r="D710" s="9" t="inlineStr">
        <is>
          <t>Tamil Nadu</t>
        </is>
      </c>
      <c r="E710" s="9" t="inlineStr">
        <is>
          <t>India</t>
        </is>
      </c>
      <c r="F710" s="9" t="n">
        <v>1</v>
      </c>
      <c r="G710" s="9" t="n">
        <v>1</v>
      </c>
      <c r="H710" s="9" t="n">
        <v>1</v>
      </c>
      <c r="I710" s="10" t="n">
        <v>44746</v>
      </c>
      <c r="J710" s="10" t="n">
        <v>44746</v>
      </c>
      <c r="K710" s="9" t="n">
        <v>9.92442</v>
      </c>
      <c r="L710" s="9" t="n">
        <v>78.12336999999999</v>
      </c>
      <c r="M710" s="9" t="inlineStr">
        <is>
          <t>https://www.google.com/maps/place/?q=place_id:ChIJYUt46I_FADsR2oOFHXZMnPM</t>
        </is>
      </c>
    </row>
    <row r="711">
      <c r="A711" s="9" t="n">
        <v>707</v>
      </c>
      <c r="B711" s="9" t="inlineStr">
        <is>
          <t>Madurantakam</t>
        </is>
      </c>
      <c r="C711" s="9" t="inlineStr">
        <is>
          <t>Madurantakam</t>
        </is>
      </c>
      <c r="D711" s="9" t="inlineStr">
        <is>
          <t>Tamil Nadu</t>
        </is>
      </c>
      <c r="E711" s="9" t="inlineStr">
        <is>
          <t>India</t>
        </is>
      </c>
      <c r="F711" s="9" t="n">
        <v>1</v>
      </c>
      <c r="G711" s="9" t="n">
        <v>1</v>
      </c>
      <c r="H711" s="9" t="n">
        <v>1</v>
      </c>
      <c r="I711" s="10" t="n">
        <v>44747</v>
      </c>
      <c r="J711" s="10" t="n">
        <v>44747</v>
      </c>
      <c r="K711" s="9" t="n">
        <v>12.41386</v>
      </c>
      <c r="L711" s="9" t="n">
        <v>79.82427</v>
      </c>
      <c r="M711" s="9" t="inlineStr">
        <is>
          <t>https://www.google.com/maps/place/?q=place_id:ChIJh2bz_bgXUzoRilBT0CiPEpE</t>
        </is>
      </c>
    </row>
    <row r="712">
      <c r="A712" s="9" t="n">
        <v>708</v>
      </c>
      <c r="B712" s="9" t="inlineStr">
        <is>
          <t>Rameswaram</t>
        </is>
      </c>
      <c r="C712" s="9" t="inlineStr">
        <is>
          <t>Rameswaram</t>
        </is>
      </c>
      <c r="D712" s="9" t="inlineStr">
        <is>
          <t>Tamil Nadu</t>
        </is>
      </c>
      <c r="E712" s="9" t="inlineStr">
        <is>
          <t>India</t>
        </is>
      </c>
      <c r="F712" s="9" t="n">
        <v>1</v>
      </c>
      <c r="G712" s="9" t="n">
        <v>2</v>
      </c>
      <c r="H712" s="9" t="n">
        <v>1</v>
      </c>
      <c r="I712" s="10" t="n">
        <v>43745</v>
      </c>
      <c r="J712" s="10" t="n">
        <v>43746</v>
      </c>
      <c r="K712" s="9" t="n">
        <v>9.291449999999999</v>
      </c>
      <c r="L712" s="9" t="n">
        <v>79.31723</v>
      </c>
      <c r="M712" s="9" t="inlineStr">
        <is>
          <t>https://www.google.com/maps/place/?q=place_id:ChIJy4ZYiN3jATsRhyip0OvgDhQ</t>
        </is>
      </c>
    </row>
    <row r="713">
      <c r="A713" s="9" t="n">
        <v>709</v>
      </c>
      <c r="B713" s="9" t="inlineStr">
        <is>
          <t>Rameswaram</t>
        </is>
      </c>
      <c r="C713" s="9" t="inlineStr">
        <is>
          <t>Rameswaram</t>
        </is>
      </c>
      <c r="D713" s="9" t="inlineStr">
        <is>
          <t>Tamil Nadu</t>
        </is>
      </c>
      <c r="E713" s="9" t="inlineStr">
        <is>
          <t>India</t>
        </is>
      </c>
      <c r="F713" s="9" t="n">
        <v>1</v>
      </c>
      <c r="G713" s="9" t="n">
        <v>1</v>
      </c>
      <c r="H713" s="9" t="n">
        <v>1</v>
      </c>
      <c r="I713" s="10" t="n">
        <v>43746</v>
      </c>
      <c r="J713" s="10" t="n">
        <v>43746</v>
      </c>
      <c r="K713" s="9" t="n">
        <v>9.15034</v>
      </c>
      <c r="L713" s="9" t="n">
        <v>79.44916000000001</v>
      </c>
      <c r="M713" s="9" t="inlineStr">
        <is>
          <t>https://www.google.com/maps/place/?q=place_id:ChIJKxB5GrwD_joRrolnPt3w3wA</t>
        </is>
      </c>
    </row>
    <row r="714">
      <c r="A714" s="9" t="n">
        <v>710</v>
      </c>
      <c r="B714" s="9" t="inlineStr">
        <is>
          <t>Rameswaram</t>
        </is>
      </c>
      <c r="C714" s="9" t="inlineStr">
        <is>
          <t>Rameswaram</t>
        </is>
      </c>
      <c r="D714" s="9" t="inlineStr">
        <is>
          <t>Tamil Nadu</t>
        </is>
      </c>
      <c r="E714" s="9" t="inlineStr">
        <is>
          <t>India</t>
        </is>
      </c>
      <c r="F714" s="9" t="n">
        <v>1</v>
      </c>
      <c r="G714" s="9" t="n">
        <v>1</v>
      </c>
      <c r="H714" s="9" t="n">
        <v>1</v>
      </c>
      <c r="I714" s="10" t="n">
        <v>43746</v>
      </c>
      <c r="J714" s="10" t="n">
        <v>43746</v>
      </c>
      <c r="K714" s="9" t="n">
        <v>9.2864</v>
      </c>
      <c r="L714" s="9" t="n">
        <v>79.30589000000001</v>
      </c>
      <c r="M714" s="9" t="inlineStr">
        <is>
          <t>https://www.google.com/maps/place/?q=place_id:ChIJX0OzsB7jATsRcN6kkaJqfe4</t>
        </is>
      </c>
    </row>
    <row r="715">
      <c r="A715" s="9" t="n">
        <v>711</v>
      </c>
      <c r="B715" s="9" t="inlineStr">
        <is>
          <t>Rameswaram</t>
        </is>
      </c>
      <c r="C715" s="9" t="inlineStr">
        <is>
          <t>Rameswaram</t>
        </is>
      </c>
      <c r="D715" s="9" t="inlineStr">
        <is>
          <t>Tamil Nadu</t>
        </is>
      </c>
      <c r="E715" s="9" t="inlineStr">
        <is>
          <t>India</t>
        </is>
      </c>
      <c r="F715" s="9" t="n">
        <v>1</v>
      </c>
      <c r="G715" s="9" t="n">
        <v>1</v>
      </c>
      <c r="H715" s="9" t="n">
        <v>1</v>
      </c>
      <c r="I715" s="10" t="n">
        <v>44744</v>
      </c>
      <c r="J715" s="10" t="n">
        <v>44744</v>
      </c>
      <c r="K715" s="9" t="n">
        <v>9.28585</v>
      </c>
      <c r="L715" s="9" t="n">
        <v>79.31542</v>
      </c>
      <c r="M715" s="9" t="inlineStr">
        <is>
          <t>https://www.google.com/maps/place/?q=place_id:ChIJY_2SHd3jATsRNDG7M-DIlt4</t>
        </is>
      </c>
    </row>
    <row r="716">
      <c r="A716" s="9" t="n">
        <v>712</v>
      </c>
      <c r="B716" s="9" t="inlineStr">
        <is>
          <t>Sriperumbudur</t>
        </is>
      </c>
      <c r="C716" s="9" t="inlineStr">
        <is>
          <t>Sriperumbudur</t>
        </is>
      </c>
      <c r="D716" s="9" t="inlineStr">
        <is>
          <t>Tamil Nadu</t>
        </is>
      </c>
      <c r="E716" s="9" t="inlineStr">
        <is>
          <t>India</t>
        </is>
      </c>
      <c r="F716" s="9" t="n">
        <v>1</v>
      </c>
      <c r="G716" s="9" t="n">
        <v>1</v>
      </c>
      <c r="H716" s="9" t="n">
        <v>1</v>
      </c>
      <c r="I716" s="10" t="n">
        <v>43151</v>
      </c>
      <c r="J716" s="10" t="n">
        <v>43151</v>
      </c>
      <c r="K716" s="9" t="n">
        <v>12.96815</v>
      </c>
      <c r="L716" s="9" t="n">
        <v>79.94839</v>
      </c>
      <c r="M716" s="9" t="inlineStr">
        <is>
          <t>https://www.google.com/maps/place/?q=place_id:ChIJDaJgQ8_yUjoRv2cdX-BjHDI</t>
        </is>
      </c>
    </row>
    <row r="717">
      <c r="A717" s="9" t="n">
        <v>713</v>
      </c>
      <c r="B717" s="9" t="inlineStr">
        <is>
          <t>Srivilliputhur</t>
        </is>
      </c>
      <c r="C717" s="9" t="inlineStr">
        <is>
          <t>Srivilliputhur</t>
        </is>
      </c>
      <c r="D717" s="9" t="inlineStr">
        <is>
          <t>Tamil Nadu</t>
        </is>
      </c>
      <c r="E717" s="9" t="inlineStr">
        <is>
          <t>India</t>
        </is>
      </c>
      <c r="F717" s="9" t="n">
        <v>1</v>
      </c>
      <c r="G717" s="9" t="n">
        <v>1</v>
      </c>
      <c r="H717" s="9" t="n">
        <v>1</v>
      </c>
      <c r="I717" s="10" t="n">
        <v>44746</v>
      </c>
      <c r="J717" s="10" t="n">
        <v>44746</v>
      </c>
      <c r="K717" s="9" t="n">
        <v>9.508459999999999</v>
      </c>
      <c r="L717" s="9" t="n">
        <v>77.63306</v>
      </c>
      <c r="M717" s="9" t="inlineStr">
        <is>
          <t>https://www.google.com/maps/place/?q=place_id:ChIJtf4CZ7bcBjsR0hzkPwiw_DM</t>
        </is>
      </c>
    </row>
    <row r="718">
      <c r="A718" s="9" t="n">
        <v>714</v>
      </c>
      <c r="B718" s="9" t="inlineStr">
        <is>
          <t>Thoothukudi</t>
        </is>
      </c>
      <c r="C718" s="9" t="inlineStr">
        <is>
          <t>Thoothukudi</t>
        </is>
      </c>
      <c r="D718" s="9" t="inlineStr">
        <is>
          <t>Tamil Nadu</t>
        </is>
      </c>
      <c r="E718" s="9" t="inlineStr">
        <is>
          <t>India</t>
        </is>
      </c>
      <c r="F718" s="9" t="n">
        <v>1</v>
      </c>
      <c r="G718" s="9" t="n">
        <v>1</v>
      </c>
      <c r="H718" s="9" t="n">
        <v>1</v>
      </c>
      <c r="I718" s="10" t="n">
        <v>44744</v>
      </c>
      <c r="J718" s="10" t="n">
        <v>44744</v>
      </c>
      <c r="K718" s="9" t="n">
        <v>8.877140000000001</v>
      </c>
      <c r="L718" s="9" t="n">
        <v>78.12974</v>
      </c>
      <c r="M718" s="9" t="inlineStr">
        <is>
          <t>https://www.google.com/maps/place/?q=place_id:ChIJt_FzzNzkAzsR0lqm4EJ5-80</t>
        </is>
      </c>
    </row>
    <row r="719">
      <c r="A719" s="9" t="n">
        <v>715</v>
      </c>
      <c r="B719" s="9" t="inlineStr">
        <is>
          <t>Tiruchirappalli</t>
        </is>
      </c>
      <c r="C719" s="9" t="inlineStr">
        <is>
          <t>Tiruchirappalli</t>
        </is>
      </c>
      <c r="D719" s="9" t="inlineStr">
        <is>
          <t>Tamil Nadu</t>
        </is>
      </c>
      <c r="E719" s="9" t="inlineStr">
        <is>
          <t>India</t>
        </is>
      </c>
      <c r="F719" s="9" t="n">
        <v>1</v>
      </c>
      <c r="G719" s="9" t="n">
        <v>1</v>
      </c>
      <c r="H719" s="9" t="n">
        <v>1</v>
      </c>
      <c r="I719" s="10" t="n">
        <v>44746</v>
      </c>
      <c r="J719" s="10" t="n">
        <v>44746</v>
      </c>
      <c r="K719" s="9" t="n">
        <v>10.86084</v>
      </c>
      <c r="L719" s="9" t="n">
        <v>78.69143</v>
      </c>
      <c r="M719" s="9" t="inlineStr">
        <is>
          <t>https://www.google.com/maps/place/?q=place_id:ChIJHyNR-tf1qjsR5UQ-nMkGvLw</t>
        </is>
      </c>
    </row>
    <row r="720">
      <c r="A720" s="9" t="n">
        <v>716</v>
      </c>
      <c r="B720" s="9" t="inlineStr">
        <is>
          <t>Tiruchirappalli</t>
        </is>
      </c>
      <c r="C720" s="9" t="inlineStr">
        <is>
          <t>Tiruchirappalli</t>
        </is>
      </c>
      <c r="D720" s="9" t="inlineStr">
        <is>
          <t>Tamil Nadu</t>
        </is>
      </c>
      <c r="E720" s="9" t="inlineStr">
        <is>
          <t>India</t>
        </is>
      </c>
      <c r="F720" s="9" t="n">
        <v>1</v>
      </c>
      <c r="G720" s="9" t="n">
        <v>1</v>
      </c>
      <c r="H720" s="9" t="n">
        <v>1</v>
      </c>
      <c r="I720" s="10" t="n">
        <v>44747</v>
      </c>
      <c r="J720" s="10" t="n">
        <v>44747</v>
      </c>
      <c r="K720" s="9" t="n">
        <v>10.86494</v>
      </c>
      <c r="L720" s="9" t="n">
        <v>78.68841999999999</v>
      </c>
      <c r="M720" s="9" t="inlineStr">
        <is>
          <t>https://www.google.com/maps/place/?q=place_id:ChIJ3UV8HHf2qjsRwBy8jq09AMQ</t>
        </is>
      </c>
    </row>
    <row r="721">
      <c r="A721" s="9" t="n">
        <v>717</v>
      </c>
      <c r="B721" s="9" t="inlineStr">
        <is>
          <t>Lalgudi</t>
        </is>
      </c>
      <c r="C721" s="9" t="inlineStr">
        <is>
          <t>Tiruchirappalli</t>
        </is>
      </c>
      <c r="D721" s="9" t="inlineStr">
        <is>
          <t>Tamil Nadu</t>
        </is>
      </c>
      <c r="E721" s="9" t="inlineStr">
        <is>
          <t>India</t>
        </is>
      </c>
      <c r="F721" s="9" t="n">
        <v>1</v>
      </c>
      <c r="G721" s="9" t="n">
        <v>1</v>
      </c>
      <c r="H721" s="9" t="n">
        <v>1</v>
      </c>
      <c r="I721" s="10" t="n">
        <v>44747</v>
      </c>
      <c r="J721" s="10" t="n">
        <v>44747</v>
      </c>
      <c r="K721" s="9" t="n">
        <v>10.8677</v>
      </c>
      <c r="L721" s="9" t="n">
        <v>78.88216</v>
      </c>
      <c r="M721" s="9" t="inlineStr">
        <is>
          <t>https://www.google.com/maps/place/?q=place_id:ChIJBeCHZ9XtqjsRX0Lh84DIEwM</t>
        </is>
      </c>
    </row>
    <row r="722">
      <c r="A722" s="9" t="n">
        <v>718</v>
      </c>
      <c r="B722" s="9" t="inlineStr">
        <is>
          <t>Vellore</t>
        </is>
      </c>
      <c r="C722" s="9" t="inlineStr">
        <is>
          <t>Vellore</t>
        </is>
      </c>
      <c r="D722" s="9" t="inlineStr">
        <is>
          <t>Tamil Nadu</t>
        </is>
      </c>
      <c r="E722" s="9" t="inlineStr">
        <is>
          <t>India</t>
        </is>
      </c>
      <c r="F722" s="9" t="n">
        <v>1</v>
      </c>
      <c r="G722" s="9" t="n">
        <v>1</v>
      </c>
      <c r="H722" s="9" t="n">
        <v>1</v>
      </c>
      <c r="I722" s="10" t="n">
        <v>44406</v>
      </c>
      <c r="J722" s="10" t="n">
        <v>44406</v>
      </c>
      <c r="K722" s="9" t="n">
        <v>12.87352</v>
      </c>
      <c r="L722" s="9" t="n">
        <v>79.08822000000001</v>
      </c>
      <c r="M722" s="9" t="inlineStr">
        <is>
          <t>https://www.google.com/maps/place/?q=place_id:ChIJc4Atv78-rTsRmvOCnv8DEhI</t>
        </is>
      </c>
    </row>
    <row r="723">
      <c r="A723" s="9" t="n">
        <v>719</v>
      </c>
      <c r="B723" s="9" t="inlineStr">
        <is>
          <t>Vellore</t>
        </is>
      </c>
      <c r="C723" s="9" t="inlineStr">
        <is>
          <t>Vellore</t>
        </is>
      </c>
      <c r="D723" s="9" t="inlineStr">
        <is>
          <t>Tamil Nadu</t>
        </is>
      </c>
      <c r="E723" s="9" t="inlineStr">
        <is>
          <t>India</t>
        </is>
      </c>
      <c r="F723" s="9" t="n">
        <v>1</v>
      </c>
      <c r="G723" s="9" t="n">
        <v>1</v>
      </c>
      <c r="H723" s="9" t="n">
        <v>1</v>
      </c>
      <c r="I723" s="10" t="n">
        <v>44743</v>
      </c>
      <c r="J723" s="10" t="n">
        <v>44743</v>
      </c>
      <c r="K723" s="9" t="n">
        <v>12.91071</v>
      </c>
      <c r="L723" s="9" t="n">
        <v>79.12766000000001</v>
      </c>
      <c r="M723" s="9" t="inlineStr">
        <is>
          <t>https://www.google.com/maps/place/?q=place_id:ChIJTeGCudw4rTsRsUTYdUbzNxQ</t>
        </is>
      </c>
    </row>
    <row r="724">
      <c r="A724" s="9" t="n">
        <v>720</v>
      </c>
      <c r="B724" s="9" t="inlineStr">
        <is>
          <t>Banswada</t>
        </is>
      </c>
      <c r="C724" s="9" t="inlineStr">
        <is>
          <t>Banswada</t>
        </is>
      </c>
      <c r="D724" s="9" t="inlineStr">
        <is>
          <t>Telangana</t>
        </is>
      </c>
      <c r="E724" s="9" t="inlineStr">
        <is>
          <t>India</t>
        </is>
      </c>
      <c r="F724" s="9" t="n">
        <v>1</v>
      </c>
      <c r="G724" s="9" t="n">
        <v>1</v>
      </c>
      <c r="H724" s="9" t="n">
        <v>1</v>
      </c>
      <c r="I724" s="10" t="n">
        <v>43394</v>
      </c>
      <c r="J724" s="10" t="n">
        <v>43394</v>
      </c>
      <c r="K724" s="9" t="n">
        <v>18.18126</v>
      </c>
      <c r="L724" s="9" t="n">
        <v>77.95044</v>
      </c>
      <c r="M724" s="9" t="inlineStr">
        <is>
          <t>https://www.google.com/maps/place/?q=place_id:ChIJa_O8PxvKMjoRUhP2GiXCH4U</t>
        </is>
      </c>
    </row>
    <row r="725">
      <c r="A725" s="9" t="n">
        <v>721</v>
      </c>
      <c r="B725" s="9" t="inlineStr">
        <is>
          <t>Bhadrachalam</t>
        </is>
      </c>
      <c r="C725" s="9" t="inlineStr">
        <is>
          <t>Bhadrachalam</t>
        </is>
      </c>
      <c r="D725" s="9" t="inlineStr">
        <is>
          <t>Telangana</t>
        </is>
      </c>
      <c r="E725" s="9" t="inlineStr">
        <is>
          <t>India</t>
        </is>
      </c>
      <c r="F725" s="9" t="n">
        <v>2</v>
      </c>
      <c r="G725" s="9" t="n">
        <v>1</v>
      </c>
      <c r="H725" s="9" t="n">
        <v>1</v>
      </c>
      <c r="I725" s="10" t="n">
        <v>42448</v>
      </c>
      <c r="J725" s="10" t="n">
        <v>42448</v>
      </c>
      <c r="K725" s="9" t="n">
        <v>17.66976</v>
      </c>
      <c r="L725" s="9" t="n">
        <v>80.88388</v>
      </c>
      <c r="M725" s="9" t="inlineStr">
        <is>
          <t>https://www.google.com/maps/place/?q=place_id:ChIJ-5JImrioNjoRIWCUCgozzqU</t>
        </is>
      </c>
    </row>
    <row r="726">
      <c r="A726" s="9" t="n">
        <v>722</v>
      </c>
      <c r="B726" s="9" t="inlineStr">
        <is>
          <t>Bhadrachalam</t>
        </is>
      </c>
      <c r="C726" s="9" t="inlineStr">
        <is>
          <t>Bhadrachalam</t>
        </is>
      </c>
      <c r="D726" s="9" t="inlineStr">
        <is>
          <t>Telangana</t>
        </is>
      </c>
      <c r="E726" s="9" t="inlineStr">
        <is>
          <t>India</t>
        </is>
      </c>
      <c r="F726" s="9" t="n">
        <v>1</v>
      </c>
      <c r="G726" s="9" t="n">
        <v>1</v>
      </c>
      <c r="H726" s="9" t="n">
        <v>1</v>
      </c>
      <c r="I726" s="10" t="n">
        <v>42448</v>
      </c>
      <c r="J726" s="10" t="n">
        <v>42448</v>
      </c>
      <c r="K726" s="9" t="n">
        <v>17.66675</v>
      </c>
      <c r="L726" s="9" t="n">
        <v>80.88261</v>
      </c>
      <c r="M726" s="9" t="inlineStr">
        <is>
          <t>https://www.google.com/maps/place/?q=place_id:ChIJ8y9sXMmoNjoRBuLufDhupsw</t>
        </is>
      </c>
    </row>
    <row r="727">
      <c r="A727" s="9" t="n">
        <v>723</v>
      </c>
      <c r="B727" s="9" t="inlineStr">
        <is>
          <t>Bhadrachalam</t>
        </is>
      </c>
      <c r="C727" s="9" t="inlineStr">
        <is>
          <t>Bhadrachalam</t>
        </is>
      </c>
      <c r="D727" s="9" t="inlineStr">
        <is>
          <t>Telangana</t>
        </is>
      </c>
      <c r="E727" s="9" t="inlineStr">
        <is>
          <t>India</t>
        </is>
      </c>
      <c r="F727" s="9" t="n">
        <v>1</v>
      </c>
      <c r="G727" s="9" t="n">
        <v>1</v>
      </c>
      <c r="H727" s="9" t="n">
        <v>1</v>
      </c>
      <c r="I727" s="10" t="n">
        <v>42448</v>
      </c>
      <c r="J727" s="10" t="n">
        <v>42448</v>
      </c>
      <c r="K727" s="9" t="n">
        <v>17.66631</v>
      </c>
      <c r="L727" s="9" t="n">
        <v>80.88158</v>
      </c>
      <c r="M727" s="9" t="inlineStr">
        <is>
          <t>https://www.google.com/maps/place/?q=place_id:ChIJedjnzr6oNjoRWnaaerNhSZs</t>
        </is>
      </c>
    </row>
    <row r="728">
      <c r="A728" s="9" t="n">
        <v>724</v>
      </c>
      <c r="B728" s="9" t="inlineStr">
        <is>
          <t>Bhongir</t>
        </is>
      </c>
      <c r="C728" s="9" t="inlineStr">
        <is>
          <t>Bhongir</t>
        </is>
      </c>
      <c r="D728" s="9" t="inlineStr">
        <is>
          <t>Telangana</t>
        </is>
      </c>
      <c r="E728" s="9" t="inlineStr">
        <is>
          <t>India</t>
        </is>
      </c>
      <c r="F728" s="9" t="n">
        <v>3</v>
      </c>
      <c r="G728" s="9" t="n">
        <v>3</v>
      </c>
      <c r="H728" s="9" t="n">
        <v>3</v>
      </c>
      <c r="I728" s="10" t="n">
        <v>42478</v>
      </c>
      <c r="J728" s="10" t="n">
        <v>44650</v>
      </c>
      <c r="K728" s="9" t="n">
        <v>17.58891</v>
      </c>
      <c r="L728" s="9" t="n">
        <v>78.94434</v>
      </c>
      <c r="M728" s="9" t="inlineStr">
        <is>
          <t>https://www.google.com/maps/place/?q=place_id:ChIJzcxmAWNmyzsRwkgMpnEeuSQ</t>
        </is>
      </c>
    </row>
    <row r="729">
      <c r="A729" s="9" t="n">
        <v>725</v>
      </c>
      <c r="B729" s="9" t="inlineStr">
        <is>
          <t>Bhongir</t>
        </is>
      </c>
      <c r="C729" s="9" t="inlineStr">
        <is>
          <t>Bhongir</t>
        </is>
      </c>
      <c r="D729" s="9" t="inlineStr">
        <is>
          <t>Telangana</t>
        </is>
      </c>
      <c r="E729" s="9" t="inlineStr">
        <is>
          <t>India</t>
        </is>
      </c>
      <c r="F729" s="9" t="n">
        <v>1</v>
      </c>
      <c r="G729" s="9" t="n">
        <v>1</v>
      </c>
      <c r="H729" s="9" t="n">
        <v>1</v>
      </c>
      <c r="I729" s="10" t="n">
        <v>43395</v>
      </c>
      <c r="J729" s="10" t="n">
        <v>43395</v>
      </c>
      <c r="K729" s="9" t="n">
        <v>17.48388</v>
      </c>
      <c r="L729" s="9" t="n">
        <v>78.86803</v>
      </c>
      <c r="M729" s="9" t="inlineStr">
        <is>
          <t>https://www.google.com/maps/place/?q=place_id:ChIJp4gwk0VuyzsRzMWxKDYtg2g</t>
        </is>
      </c>
    </row>
    <row r="730">
      <c r="A730" s="9" t="n">
        <v>726</v>
      </c>
      <c r="B730" s="9" t="inlineStr">
        <is>
          <t>Bhongir</t>
        </is>
      </c>
      <c r="C730" s="9" t="inlineStr">
        <is>
          <t>Bhongir</t>
        </is>
      </c>
      <c r="D730" s="9" t="inlineStr">
        <is>
          <t>Telangana</t>
        </is>
      </c>
      <c r="E730" s="9" t="inlineStr">
        <is>
          <t>India</t>
        </is>
      </c>
      <c r="F730" s="9" t="n">
        <v>1</v>
      </c>
      <c r="G730" s="9" t="n">
        <v>1</v>
      </c>
      <c r="H730" s="9" t="n">
        <v>1</v>
      </c>
      <c r="I730" s="10" t="n">
        <v>43777</v>
      </c>
      <c r="J730" s="10" t="n">
        <v>43777</v>
      </c>
      <c r="K730" s="9" t="n">
        <v>17.59241</v>
      </c>
      <c r="L730" s="9" t="n">
        <v>78.94253999999999</v>
      </c>
      <c r="M730" s="9" t="inlineStr">
        <is>
          <t>https://www.google.com/maps/place/?q=place_id:ChIJaRCL9GJmyzsRtAyLiAquoII</t>
        </is>
      </c>
    </row>
    <row r="731">
      <c r="A731" s="9" t="n">
        <v>727</v>
      </c>
      <c r="B731" s="9" t="inlineStr">
        <is>
          <t>Bhongir</t>
        </is>
      </c>
      <c r="C731" s="9" t="inlineStr">
        <is>
          <t>Bhongir</t>
        </is>
      </c>
      <c r="D731" s="9" t="inlineStr">
        <is>
          <t>Telangana</t>
        </is>
      </c>
      <c r="E731" s="9" t="inlineStr">
        <is>
          <t>India</t>
        </is>
      </c>
      <c r="F731" s="9" t="n">
        <v>1</v>
      </c>
      <c r="G731" s="9" t="n">
        <v>1</v>
      </c>
      <c r="H731" s="9" t="n">
        <v>1</v>
      </c>
      <c r="I731" s="10" t="n">
        <v>44650</v>
      </c>
      <c r="J731" s="10" t="n">
        <v>44650</v>
      </c>
      <c r="K731" s="9" t="n">
        <v>17.59764</v>
      </c>
      <c r="L731" s="9" t="n">
        <v>78.94145</v>
      </c>
      <c r="M731" s="9" t="inlineStr">
        <is>
          <t>https://www.google.com/maps/place/?q=place_id:ChIJM_sn7ZdnyzsRTlgFzME6frY</t>
        </is>
      </c>
    </row>
    <row r="732">
      <c r="A732" s="9" t="n">
        <v>728</v>
      </c>
      <c r="B732" s="9" t="inlineStr">
        <is>
          <t>Bhongir</t>
        </is>
      </c>
      <c r="C732" s="9" t="inlineStr">
        <is>
          <t>Bhongir</t>
        </is>
      </c>
      <c r="D732" s="9" t="inlineStr">
        <is>
          <t>Telangana</t>
        </is>
      </c>
      <c r="E732" s="9" t="inlineStr">
        <is>
          <t>India</t>
        </is>
      </c>
      <c r="F732" s="9" t="n">
        <v>1</v>
      </c>
      <c r="G732" s="9" t="n">
        <v>1</v>
      </c>
      <c r="H732" s="9" t="n">
        <v>1</v>
      </c>
      <c r="I732" s="10" t="n">
        <v>45116</v>
      </c>
      <c r="J732" s="10" t="n">
        <v>45116</v>
      </c>
      <c r="K732" s="9" t="n">
        <v>17.2329</v>
      </c>
      <c r="L732" s="9" t="n">
        <v>78.96052</v>
      </c>
      <c r="M732" s="9" t="inlineStr">
        <is>
          <t>https://www.google.com/maps/place/?q=place_id:ChIJDbdjcOUWyzsRzmLs5RphwqU</t>
        </is>
      </c>
    </row>
    <row r="733">
      <c r="A733" s="9" t="n">
        <v>729</v>
      </c>
      <c r="B733" s="9" t="inlineStr">
        <is>
          <t>Farrukhnagar</t>
        </is>
      </c>
      <c r="C733" s="9" t="inlineStr">
        <is>
          <t>Farrukhnagar</t>
        </is>
      </c>
      <c r="D733" s="9" t="inlineStr">
        <is>
          <t>Telangana</t>
        </is>
      </c>
      <c r="E733" s="9" t="inlineStr">
        <is>
          <t>India</t>
        </is>
      </c>
      <c r="F733" s="9" t="n">
        <v>2</v>
      </c>
      <c r="G733" s="9" t="n">
        <v>2</v>
      </c>
      <c r="H733" s="9" t="n">
        <v>2</v>
      </c>
      <c r="I733" s="10" t="n">
        <v>45001</v>
      </c>
      <c r="J733" s="10" t="n">
        <v>45045</v>
      </c>
      <c r="K733" s="9" t="n">
        <v>17.03544</v>
      </c>
      <c r="L733" s="9" t="n">
        <v>78.44981</v>
      </c>
      <c r="M733" s="9" t="inlineStr">
        <is>
          <t>https://www.google.com/maps/place/?q=place_id:ChIJV7v-fD6yyzsR-VT97sqGnDM</t>
        </is>
      </c>
    </row>
    <row r="734">
      <c r="A734" s="9" t="n">
        <v>730</v>
      </c>
      <c r="B734" s="9" t="inlineStr">
        <is>
          <t>Farrukhnagar</t>
        </is>
      </c>
      <c r="C734" s="9" t="inlineStr">
        <is>
          <t>Farrukhnagar</t>
        </is>
      </c>
      <c r="D734" s="9" t="inlineStr">
        <is>
          <t>Telangana</t>
        </is>
      </c>
      <c r="E734" s="9" t="inlineStr">
        <is>
          <t>India</t>
        </is>
      </c>
      <c r="F734" s="9" t="n">
        <v>1</v>
      </c>
      <c r="G734" s="9" t="n">
        <v>1</v>
      </c>
      <c r="H734" s="9" t="n">
        <v>1</v>
      </c>
      <c r="I734" s="10" t="n">
        <v>42913</v>
      </c>
      <c r="J734" s="10" t="n">
        <v>42913</v>
      </c>
      <c r="K734" s="9" t="n">
        <v>16.99627</v>
      </c>
      <c r="L734" s="9" t="n">
        <v>78.1923</v>
      </c>
      <c r="M734" s="9" t="inlineStr">
        <is>
          <t>https://www.google.com/maps/place/?q=place_id:ChIJxTAO63zMyzsRIU5MBLiIxZ8</t>
        </is>
      </c>
    </row>
    <row r="735">
      <c r="A735" s="9" t="n">
        <v>731</v>
      </c>
      <c r="B735" s="9" t="inlineStr">
        <is>
          <t>Farrukhnagar</t>
        </is>
      </c>
      <c r="C735" s="9" t="inlineStr">
        <is>
          <t>Farrukhnagar</t>
        </is>
      </c>
      <c r="D735" s="9" t="inlineStr">
        <is>
          <t>Telangana</t>
        </is>
      </c>
      <c r="E735" s="9" t="inlineStr">
        <is>
          <t>India</t>
        </is>
      </c>
      <c r="F735" s="9" t="n">
        <v>1</v>
      </c>
      <c r="G735" s="9" t="n">
        <v>1</v>
      </c>
      <c r="H735" s="9" t="n">
        <v>1</v>
      </c>
      <c r="I735" s="10" t="n">
        <v>44204</v>
      </c>
      <c r="J735" s="10" t="n">
        <v>44204</v>
      </c>
      <c r="K735" s="9" t="n">
        <v>17.01081</v>
      </c>
      <c r="L735" s="9" t="n">
        <v>78.19474</v>
      </c>
      <c r="M735" s="9" t="inlineStr">
        <is>
          <t>https://www.google.com/maps/place/?q=place_id:ChIJ84MTBvLNyzsRiAwcqDPEdoU</t>
        </is>
      </c>
    </row>
    <row r="736">
      <c r="A736" s="9" t="n">
        <v>732</v>
      </c>
      <c r="B736" s="9" t="inlineStr">
        <is>
          <t>Farrukhnagar</t>
        </is>
      </c>
      <c r="C736" s="9" t="inlineStr">
        <is>
          <t>Farrukhnagar</t>
        </is>
      </c>
      <c r="D736" s="9" t="inlineStr">
        <is>
          <t>Telangana</t>
        </is>
      </c>
      <c r="E736" s="9" t="inlineStr">
        <is>
          <t>India</t>
        </is>
      </c>
      <c r="F736" s="9" t="n">
        <v>1</v>
      </c>
      <c r="G736" s="9" t="n">
        <v>1</v>
      </c>
      <c r="H736" s="9" t="n">
        <v>1</v>
      </c>
      <c r="I736" s="10" t="n">
        <v>45045</v>
      </c>
      <c r="J736" s="10" t="n">
        <v>45045</v>
      </c>
      <c r="K736" s="9" t="n">
        <v>17.03794</v>
      </c>
      <c r="L736" s="9" t="n">
        <v>78.45144000000001</v>
      </c>
      <c r="M736" s="9" t="inlineStr">
        <is>
          <t>https://www.google.com/maps/place/?q=place_id:ChIJvyFakT2yyzsRT5We61hSrIU</t>
        </is>
      </c>
    </row>
    <row r="737">
      <c r="A737" s="9" t="n">
        <v>733</v>
      </c>
      <c r="B737" s="9" t="inlineStr">
        <is>
          <t>Farrukhnagar</t>
        </is>
      </c>
      <c r="C737" s="9" t="inlineStr">
        <is>
          <t>Farrukhnagar</t>
        </is>
      </c>
      <c r="D737" s="9" t="inlineStr">
        <is>
          <t>Telangana</t>
        </is>
      </c>
      <c r="E737" s="9" t="inlineStr">
        <is>
          <t>India</t>
        </is>
      </c>
      <c r="F737" s="9" t="n">
        <v>1</v>
      </c>
      <c r="G737" s="9" t="n">
        <v>1</v>
      </c>
      <c r="H737" s="9" t="n">
        <v>1</v>
      </c>
      <c r="I737" s="10" t="n">
        <v>45781</v>
      </c>
      <c r="J737" s="10" t="n">
        <v>45781</v>
      </c>
      <c r="K737" s="9" t="n">
        <v>17.07143</v>
      </c>
      <c r="L737" s="9" t="n">
        <v>78.22206</v>
      </c>
      <c r="M737" s="9" t="inlineStr">
        <is>
          <t>https://www.google.com/maps/place/?q=place_id:ChIJbTH4JizJyzsR_N4emOlaYjU</t>
        </is>
      </c>
    </row>
    <row r="738">
      <c r="A738" s="9" t="n">
        <v>734</v>
      </c>
      <c r="B738" s="9" t="inlineStr">
        <is>
          <t>Hyderabad</t>
        </is>
      </c>
      <c r="C738" s="9" t="inlineStr">
        <is>
          <t>Hyderabad</t>
        </is>
      </c>
      <c r="D738" s="9" t="inlineStr">
        <is>
          <t>Telangana</t>
        </is>
      </c>
      <c r="E738" s="9" t="inlineStr">
        <is>
          <t>India</t>
        </is>
      </c>
      <c r="F738" s="9" t="n">
        <v>533</v>
      </c>
      <c r="G738" s="9" t="n">
        <v>1409</v>
      </c>
      <c r="H738" s="9" t="n">
        <v>146</v>
      </c>
      <c r="I738" s="10" t="n">
        <v>42068</v>
      </c>
      <c r="J738" s="10" t="n">
        <v>46298</v>
      </c>
      <c r="K738" s="9" t="n">
        <v>17.4106</v>
      </c>
      <c r="L738" s="9" t="n">
        <v>78.43017999999999</v>
      </c>
      <c r="M738" s="9" t="inlineStr">
        <is>
          <t>https://www.google.com/maps/place/?q=place_id:ChIJPWKxiCeXyzsRnmRcr9D_MAM</t>
        </is>
      </c>
    </row>
    <row r="739">
      <c r="A739" s="9" t="n">
        <v>735</v>
      </c>
      <c r="B739" s="9" t="inlineStr">
        <is>
          <t>Hyderabad</t>
        </is>
      </c>
      <c r="C739" s="9" t="inlineStr">
        <is>
          <t>Hyderabad</t>
        </is>
      </c>
      <c r="D739" s="9" t="inlineStr">
        <is>
          <t>Telangana</t>
        </is>
      </c>
      <c r="E739" s="9" t="inlineStr">
        <is>
          <t>India</t>
        </is>
      </c>
      <c r="F739" s="9" t="n">
        <v>292</v>
      </c>
      <c r="G739" s="9" t="n">
        <v>369</v>
      </c>
      <c r="H739" s="9" t="n">
        <v>79</v>
      </c>
      <c r="I739" s="10" t="n">
        <v>42439</v>
      </c>
      <c r="J739" s="10" t="n">
        <v>43592</v>
      </c>
      <c r="K739" s="9" t="n">
        <v>17.40982</v>
      </c>
      <c r="L739" s="9" t="n">
        <v>78.42928999999999</v>
      </c>
      <c r="M739" s="9" t="inlineStr">
        <is>
          <t>https://www.google.com/maps/place/?q=place_id:ChIJDxtFgdiWyzsRPv9PB4r8miw</t>
        </is>
      </c>
    </row>
    <row r="740">
      <c r="A740" s="9" t="n">
        <v>736</v>
      </c>
      <c r="B740" s="9" t="inlineStr">
        <is>
          <t>Hyderabad</t>
        </is>
      </c>
      <c r="C740" s="9" t="inlineStr">
        <is>
          <t>Hyderabad</t>
        </is>
      </c>
      <c r="D740" s="9" t="inlineStr">
        <is>
          <t>Telangana</t>
        </is>
      </c>
      <c r="E740" s="9" t="inlineStr">
        <is>
          <t>India</t>
        </is>
      </c>
      <c r="F740" s="9" t="n">
        <v>115</v>
      </c>
      <c r="G740" s="9" t="n">
        <v>319</v>
      </c>
      <c r="H740" s="9" t="n">
        <v>20</v>
      </c>
      <c r="I740" s="10" t="n">
        <v>44643</v>
      </c>
      <c r="J740" s="10" t="n">
        <v>45412</v>
      </c>
      <c r="K740" s="9" t="n">
        <v>17.41068</v>
      </c>
      <c r="L740" s="9" t="n">
        <v>78.43006</v>
      </c>
      <c r="M740" s="9" t="inlineStr">
        <is>
          <t>https://www.google.com/maps/place/?q=place_id:ChIJ--VPjyeXyzsRAAAAAAAAAAA</t>
        </is>
      </c>
    </row>
    <row r="741">
      <c r="A741" s="9" t="n">
        <v>737</v>
      </c>
      <c r="B741" s="9" t="inlineStr">
        <is>
          <t>Hyderabad</t>
        </is>
      </c>
      <c r="C741" s="9" t="inlineStr">
        <is>
          <t>Hyderabad</t>
        </is>
      </c>
      <c r="D741" s="9" t="inlineStr">
        <is>
          <t>Telangana</t>
        </is>
      </c>
      <c r="E741" s="9" t="inlineStr">
        <is>
          <t>India</t>
        </is>
      </c>
      <c r="F741" s="9" t="n">
        <v>101</v>
      </c>
      <c r="G741" s="9" t="n">
        <v>101</v>
      </c>
      <c r="H741" s="9" t="n">
        <v>88</v>
      </c>
      <c r="I741" s="10" t="n">
        <v>42712</v>
      </c>
      <c r="J741" s="10" t="n">
        <v>46307</v>
      </c>
      <c r="K741" s="9" t="n">
        <v>17.24028</v>
      </c>
      <c r="L741" s="9" t="n">
        <v>78.42936</v>
      </c>
      <c r="M741" s="9" t="inlineStr">
        <is>
          <t>https://www.google.com/maps/place/?q=place_id:ChIJRRvZsX-7yzsRUajqM-wpIFM</t>
        </is>
      </c>
    </row>
    <row r="742">
      <c r="A742" s="9" t="n">
        <v>738</v>
      </c>
      <c r="B742" s="9" t="inlineStr">
        <is>
          <t>Hyderabad</t>
        </is>
      </c>
      <c r="C742" s="9" t="inlineStr">
        <is>
          <t>Hyderabad</t>
        </is>
      </c>
      <c r="D742" s="9" t="inlineStr">
        <is>
          <t>Telangana</t>
        </is>
      </c>
      <c r="E742" s="9" t="inlineStr">
        <is>
          <t>India</t>
        </is>
      </c>
      <c r="F742" s="9" t="n">
        <v>61</v>
      </c>
      <c r="G742" s="9" t="n">
        <v>35</v>
      </c>
      <c r="H742" s="9" t="n">
        <v>23</v>
      </c>
      <c r="I742" s="10" t="n">
        <v>42593</v>
      </c>
      <c r="J742" s="10" t="n">
        <v>45395</v>
      </c>
      <c r="K742" s="9" t="n">
        <v>17.41077</v>
      </c>
      <c r="L742" s="9" t="n">
        <v>78.44983999999999</v>
      </c>
      <c r="M742" s="9" t="inlineStr">
        <is>
          <t>https://www.google.com/maps/place/?q=place_id:ChIJF5hj_DiXyzsRn7P0sjf5hkE</t>
        </is>
      </c>
    </row>
    <row r="743">
      <c r="A743" s="9" t="n">
        <v>739</v>
      </c>
      <c r="B743" s="9" t="inlineStr">
        <is>
          <t>Serilingampalle</t>
        </is>
      </c>
      <c r="C743" s="9" t="inlineStr">
        <is>
          <t>Hyderabad</t>
        </is>
      </c>
      <c r="D743" s="9" t="inlineStr">
        <is>
          <t>Telangana</t>
        </is>
      </c>
      <c r="E743" s="9" t="inlineStr">
        <is>
          <t>India</t>
        </is>
      </c>
      <c r="F743" s="9" t="n">
        <v>36</v>
      </c>
      <c r="G743" s="9" t="n">
        <v>34</v>
      </c>
      <c r="H743" s="9" t="n">
        <v>29</v>
      </c>
      <c r="I743" s="10" t="n">
        <v>42187</v>
      </c>
      <c r="J743" s="10" t="n">
        <v>46308</v>
      </c>
      <c r="K743" s="9" t="n">
        <v>17.39884</v>
      </c>
      <c r="L743" s="9" t="n">
        <v>78.34089</v>
      </c>
      <c r="M743" s="9" t="inlineStr">
        <is>
          <t>https://www.google.com/maps/place/?q=place_id:ChIJ79MoV2CUyzsRVepfj7Atjzs</t>
        </is>
      </c>
    </row>
    <row r="744">
      <c r="A744" s="9" t="n">
        <v>740</v>
      </c>
      <c r="B744" s="9" t="inlineStr">
        <is>
          <t>Malkajgiri</t>
        </is>
      </c>
      <c r="C744" s="9" t="inlineStr">
        <is>
          <t>Hyderabad</t>
        </is>
      </c>
      <c r="D744" s="9" t="inlineStr">
        <is>
          <t>Telangana</t>
        </is>
      </c>
      <c r="E744" s="9" t="inlineStr">
        <is>
          <t>India</t>
        </is>
      </c>
      <c r="F744" s="9" t="n">
        <v>25</v>
      </c>
      <c r="G744" s="9" t="n">
        <v>26</v>
      </c>
      <c r="H744" s="9" t="n">
        <v>25</v>
      </c>
      <c r="I744" s="10" t="n">
        <v>42575</v>
      </c>
      <c r="J744" s="10" t="n">
        <v>45775</v>
      </c>
      <c r="K744" s="9" t="n">
        <v>17.43375</v>
      </c>
      <c r="L744" s="9" t="n">
        <v>78.50157</v>
      </c>
      <c r="M744" s="9" t="inlineStr">
        <is>
          <t>https://www.google.com/maps/place/?q=place_id:ChIJt8fpPSGayzsRqpXqJU94fJU</t>
        </is>
      </c>
    </row>
    <row r="745">
      <c r="A745" s="9" t="n">
        <v>741</v>
      </c>
      <c r="B745" s="9" t="inlineStr">
        <is>
          <t>Hyderabad</t>
        </is>
      </c>
      <c r="C745" s="9" t="inlineStr">
        <is>
          <t>Hyderabad</t>
        </is>
      </c>
      <c r="D745" s="9" t="inlineStr">
        <is>
          <t>Telangana</t>
        </is>
      </c>
      <c r="E745" s="9" t="inlineStr">
        <is>
          <t>India</t>
        </is>
      </c>
      <c r="F745" s="9" t="n">
        <v>19</v>
      </c>
      <c r="G745" s="9" t="n">
        <v>98</v>
      </c>
      <c r="H745" s="9" t="n">
        <v>6</v>
      </c>
      <c r="I745" s="10" t="n">
        <v>46164</v>
      </c>
      <c r="J745" s="10" t="n">
        <v>46315</v>
      </c>
      <c r="K745" s="9" t="n">
        <v>17.40987</v>
      </c>
      <c r="L745" s="9" t="n">
        <v>78.42936</v>
      </c>
      <c r="M745" s="9" t="inlineStr">
        <is>
          <t>https://www.google.com/maps/place/?q=place_id:ChIJ_78gPieXyzsRphwjHFKq1oY</t>
        </is>
      </c>
    </row>
    <row r="746">
      <c r="A746" s="9" t="n">
        <v>742</v>
      </c>
      <c r="B746" s="9" t="inlineStr">
        <is>
          <t>Gaddi Annaram</t>
        </is>
      </c>
      <c r="C746" s="9" t="inlineStr">
        <is>
          <t>Hyderabad</t>
        </is>
      </c>
      <c r="D746" s="9" t="inlineStr">
        <is>
          <t>Telangana</t>
        </is>
      </c>
      <c r="E746" s="9" t="inlineStr">
        <is>
          <t>India</t>
        </is>
      </c>
      <c r="F746" s="9" t="n">
        <v>14</v>
      </c>
      <c r="G746" s="9" t="n">
        <v>14</v>
      </c>
      <c r="H746" s="9" t="n">
        <v>14</v>
      </c>
      <c r="I746" s="10" t="n">
        <v>42617</v>
      </c>
      <c r="J746" s="10" t="n">
        <v>46208</v>
      </c>
      <c r="K746" s="9" t="n">
        <v>17.38933</v>
      </c>
      <c r="L746" s="9" t="n">
        <v>78.49923</v>
      </c>
      <c r="M746" s="9" t="inlineStr">
        <is>
          <t>https://www.google.com/maps/place/?q=place_id:ChIJ1-n2AciZyzsRzU_VcuO_ufc</t>
        </is>
      </c>
    </row>
    <row r="747">
      <c r="A747" s="9" t="n">
        <v>743</v>
      </c>
      <c r="B747" s="9" t="inlineStr">
        <is>
          <t>Hyderabad</t>
        </is>
      </c>
      <c r="C747" s="9" t="inlineStr">
        <is>
          <t>Hyderabad</t>
        </is>
      </c>
      <c r="D747" s="9" t="inlineStr">
        <is>
          <t>Telangana</t>
        </is>
      </c>
      <c r="E747" s="9" t="inlineStr">
        <is>
          <t>India</t>
        </is>
      </c>
      <c r="F747" s="9" t="n">
        <v>12</v>
      </c>
      <c r="G747" s="9" t="n">
        <v>53</v>
      </c>
      <c r="H747" s="9" t="n">
        <v>9</v>
      </c>
      <c r="I747" s="10" t="n">
        <v>44871</v>
      </c>
      <c r="J747" s="10" t="n">
        <v>45742</v>
      </c>
      <c r="K747" s="9" t="n">
        <v>17.40989</v>
      </c>
      <c r="L747" s="9" t="n">
        <v>78.42937000000001</v>
      </c>
      <c r="M747" s="9" t="inlineStr">
        <is>
          <t>https://www.google.com/maps/place/?q=place_id:ChIJZahSntmWyzsRmzZAeoo1E0Q</t>
        </is>
      </c>
    </row>
    <row r="748">
      <c r="A748" s="9" t="n">
        <v>744</v>
      </c>
      <c r="B748" s="9" t="inlineStr">
        <is>
          <t>Serilingampalle</t>
        </is>
      </c>
      <c r="C748" s="9" t="inlineStr">
        <is>
          <t>Hyderabad</t>
        </is>
      </c>
      <c r="D748" s="9" t="inlineStr">
        <is>
          <t>Telangana</t>
        </is>
      </c>
      <c r="E748" s="9" t="inlineStr">
        <is>
          <t>India</t>
        </is>
      </c>
      <c r="F748" s="9" t="n">
        <v>11</v>
      </c>
      <c r="G748" s="9" t="n">
        <v>11</v>
      </c>
      <c r="H748" s="9" t="n">
        <v>11</v>
      </c>
      <c r="I748" s="10" t="n">
        <v>44169</v>
      </c>
      <c r="J748" s="10" t="n">
        <v>45535</v>
      </c>
      <c r="K748" s="9" t="n">
        <v>17.39947</v>
      </c>
      <c r="L748" s="9" t="n">
        <v>78.34251</v>
      </c>
      <c r="M748" s="9" t="inlineStr">
        <is>
          <t>https://www.google.com/maps/place/?q=place_id:ChIJaVVVhVuRyzsRIf1x1aLvoZc</t>
        </is>
      </c>
    </row>
    <row r="749">
      <c r="A749" s="9" t="n">
        <v>745</v>
      </c>
      <c r="B749" s="9" t="inlineStr">
        <is>
          <t>Hyderabad</t>
        </is>
      </c>
      <c r="C749" s="9" t="inlineStr">
        <is>
          <t>Hyderabad</t>
        </is>
      </c>
      <c r="D749" s="9" t="inlineStr">
        <is>
          <t>Telangana</t>
        </is>
      </c>
      <c r="E749" s="9" t="inlineStr">
        <is>
          <t>India</t>
        </is>
      </c>
      <c r="F749" s="9" t="n">
        <v>10</v>
      </c>
      <c r="G749" s="9" t="n">
        <v>9</v>
      </c>
      <c r="H749" s="9" t="n">
        <v>7</v>
      </c>
      <c r="I749" s="10" t="n">
        <v>42844</v>
      </c>
      <c r="J749" s="10" t="n">
        <v>42954</v>
      </c>
      <c r="K749" s="9" t="n">
        <v>17.38462</v>
      </c>
      <c r="L749" s="9" t="n">
        <v>78.47875000000001</v>
      </c>
      <c r="M749" s="9" t="inlineStr">
        <is>
          <t>https://www.google.com/maps/place/?q=place_id:ChIJG4Lch82ZyzsRzly6OuJcvUg</t>
        </is>
      </c>
    </row>
    <row r="750">
      <c r="A750" s="9" t="n">
        <v>746</v>
      </c>
      <c r="B750" s="9" t="inlineStr">
        <is>
          <t>Hyderabad</t>
        </is>
      </c>
      <c r="C750" s="9" t="inlineStr">
        <is>
          <t>Hyderabad</t>
        </is>
      </c>
      <c r="D750" s="9" t="inlineStr">
        <is>
          <t>Telangana</t>
        </is>
      </c>
      <c r="E750" s="9" t="inlineStr">
        <is>
          <t>India</t>
        </is>
      </c>
      <c r="F750" s="9" t="n">
        <v>10</v>
      </c>
      <c r="G750" s="9" t="n">
        <v>34</v>
      </c>
      <c r="H750" s="9" t="n">
        <v>2</v>
      </c>
      <c r="I750" s="10" t="n">
        <v>45129</v>
      </c>
      <c r="J750" s="10" t="n">
        <v>45209</v>
      </c>
      <c r="K750" s="9" t="n">
        <v>17.4115</v>
      </c>
      <c r="L750" s="9" t="n">
        <v>78.43174</v>
      </c>
      <c r="M750" s="9" t="inlineStr">
        <is>
          <t>https://www.google.com/maps/place/?q=place_id:ChIJUxhBbluXyzsRfpw9MSaz3_8</t>
        </is>
      </c>
    </row>
    <row r="751">
      <c r="A751" s="9" t="n">
        <v>747</v>
      </c>
      <c r="B751" s="9" t="inlineStr">
        <is>
          <t>Hyderabad</t>
        </is>
      </c>
      <c r="C751" s="9" t="inlineStr">
        <is>
          <t>Hyderabad</t>
        </is>
      </c>
      <c r="D751" s="9" t="inlineStr">
        <is>
          <t>Telangana</t>
        </is>
      </c>
      <c r="E751" s="9" t="inlineStr">
        <is>
          <t>India</t>
        </is>
      </c>
      <c r="F751" s="9" t="n">
        <v>9</v>
      </c>
      <c r="G751" s="9" t="n">
        <v>9</v>
      </c>
      <c r="H751" s="9" t="n">
        <v>9</v>
      </c>
      <c r="I751" s="10" t="n">
        <v>42066</v>
      </c>
      <c r="J751" s="10" t="n">
        <v>42916</v>
      </c>
      <c r="K751" s="9" t="n">
        <v>17.39618</v>
      </c>
      <c r="L751" s="9" t="n">
        <v>78.47732999999999</v>
      </c>
      <c r="M751" s="9" t="inlineStr">
        <is>
          <t>https://www.google.com/maps/place/?q=place_id:ChIJWary5diZyzsRBsruwWGcxZk</t>
        </is>
      </c>
    </row>
    <row r="752">
      <c r="A752" s="9" t="n">
        <v>748</v>
      </c>
      <c r="B752" s="9" t="inlineStr">
        <is>
          <t>Kukatpally</t>
        </is>
      </c>
      <c r="C752" s="9" t="inlineStr">
        <is>
          <t>Hyderabad</t>
        </is>
      </c>
      <c r="D752" s="9" t="inlineStr">
        <is>
          <t>Telangana</t>
        </is>
      </c>
      <c r="E752" s="9" t="inlineStr">
        <is>
          <t>India</t>
        </is>
      </c>
      <c r="F752" s="9" t="n">
        <v>9</v>
      </c>
      <c r="G752" s="9" t="n">
        <v>9</v>
      </c>
      <c r="H752" s="9" t="n">
        <v>7</v>
      </c>
      <c r="I752" s="10" t="n">
        <v>42689</v>
      </c>
      <c r="J752" s="10" t="n">
        <v>45603</v>
      </c>
      <c r="K752" s="9" t="n">
        <v>17.4296</v>
      </c>
      <c r="L752" s="9" t="n">
        <v>78.40958000000001</v>
      </c>
      <c r="M752" s="9" t="inlineStr">
        <is>
          <t>https://www.google.com/maps/place/?q=place_id:ChIJVbAKxdeZyzsRzOolWx1Hp0s</t>
        </is>
      </c>
    </row>
    <row r="753">
      <c r="A753" s="9" t="n">
        <v>749</v>
      </c>
      <c r="B753" s="9" t="inlineStr">
        <is>
          <t>Hyderabad</t>
        </is>
      </c>
      <c r="C753" s="9" t="inlineStr">
        <is>
          <t>Hyderabad</t>
        </is>
      </c>
      <c r="D753" s="9" t="inlineStr">
        <is>
          <t>Telangana</t>
        </is>
      </c>
      <c r="E753" s="9" t="inlineStr">
        <is>
          <t>India</t>
        </is>
      </c>
      <c r="F753" s="9" t="n">
        <v>9</v>
      </c>
      <c r="G753" s="9" t="n">
        <v>9</v>
      </c>
      <c r="H753" s="9" t="n">
        <v>3</v>
      </c>
      <c r="I753" s="10" t="n">
        <v>42692</v>
      </c>
      <c r="J753" s="10" t="n">
        <v>43099</v>
      </c>
      <c r="K753" s="9" t="n">
        <v>17.37572</v>
      </c>
      <c r="L753" s="9" t="n">
        <v>78.47498</v>
      </c>
      <c r="M753" s="9" t="inlineStr">
        <is>
          <t>https://www.google.com/maps/place/?q=place_id:ChIJG4Lch82ZyzsRcvNXdxYOE48</t>
        </is>
      </c>
    </row>
    <row r="754">
      <c r="A754" s="9" t="n">
        <v>750</v>
      </c>
      <c r="B754" s="9" t="inlineStr">
        <is>
          <t>Hyderabad</t>
        </is>
      </c>
      <c r="C754" s="9" t="inlineStr">
        <is>
          <t>Hyderabad</t>
        </is>
      </c>
      <c r="D754" s="9" t="inlineStr">
        <is>
          <t>Telangana</t>
        </is>
      </c>
      <c r="E754" s="9" t="inlineStr">
        <is>
          <t>India</t>
        </is>
      </c>
      <c r="F754" s="9" t="n">
        <v>9</v>
      </c>
      <c r="G754" s="9" t="n">
        <v>6</v>
      </c>
      <c r="H754" s="9" t="n">
        <v>4</v>
      </c>
      <c r="I754" s="10" t="n">
        <v>42949</v>
      </c>
      <c r="J754" s="10" t="n">
        <v>44267</v>
      </c>
      <c r="K754" s="9" t="n">
        <v>17.41132</v>
      </c>
      <c r="L754" s="9" t="n">
        <v>78.43559</v>
      </c>
      <c r="M754" s="9" t="inlineStr">
        <is>
          <t>https://www.google.com/maps/place/?q=place_id:ChIJq3h22SWXyzsRVETnYnA0sd4</t>
        </is>
      </c>
    </row>
    <row r="755">
      <c r="A755" s="9" t="n">
        <v>751</v>
      </c>
      <c r="B755" s="9" t="inlineStr">
        <is>
          <t>Hyderabad</t>
        </is>
      </c>
      <c r="C755" s="9" t="inlineStr">
        <is>
          <t>Hyderabad</t>
        </is>
      </c>
      <c r="D755" s="9" t="inlineStr">
        <is>
          <t>Telangana</t>
        </is>
      </c>
      <c r="E755" s="9" t="inlineStr">
        <is>
          <t>India</t>
        </is>
      </c>
      <c r="F755" s="9" t="n">
        <v>9</v>
      </c>
      <c r="G755" s="9" t="n">
        <v>31</v>
      </c>
      <c r="H755" s="9" t="n">
        <v>2</v>
      </c>
      <c r="I755" s="10" t="n">
        <v>43449</v>
      </c>
      <c r="J755" s="10" t="n">
        <v>45192</v>
      </c>
      <c r="K755" s="9" t="n">
        <v>17.40951</v>
      </c>
      <c r="L755" s="9" t="n">
        <v>78.42968</v>
      </c>
      <c r="M755" s="9" t="inlineStr">
        <is>
          <t>https://www.google.com/maps/place/?q=place_id:ChIJa7KigtiWyzsRPZukkhtb470</t>
        </is>
      </c>
    </row>
    <row r="756">
      <c r="A756" s="9" t="n">
        <v>752</v>
      </c>
      <c r="B756" s="9" t="inlineStr">
        <is>
          <t>Patancheru</t>
        </is>
      </c>
      <c r="C756" s="9" t="inlineStr">
        <is>
          <t>Hyderabad</t>
        </is>
      </c>
      <c r="D756" s="9" t="inlineStr">
        <is>
          <t>Telangana</t>
        </is>
      </c>
      <c r="E756" s="9" t="inlineStr">
        <is>
          <t>India</t>
        </is>
      </c>
      <c r="F756" s="9" t="n">
        <v>8</v>
      </c>
      <c r="G756" s="9" t="n">
        <v>8</v>
      </c>
      <c r="H756" s="9" t="n">
        <v>7</v>
      </c>
      <c r="I756" s="10" t="n">
        <v>42694</v>
      </c>
      <c r="J756" s="10" t="n">
        <v>42967</v>
      </c>
      <c r="K756" s="9" t="n">
        <v>17.53545</v>
      </c>
      <c r="L756" s="9" t="n">
        <v>78.2714</v>
      </c>
      <c r="M756" s="9" t="inlineStr">
        <is>
          <t>https://www.google.com/maps/place/?q=place_id:ChIJTd-IyMHyyzsRgiWGc6YLTJI</t>
        </is>
      </c>
    </row>
    <row r="757">
      <c r="A757" s="9" t="n">
        <v>753</v>
      </c>
      <c r="B757" s="9" t="inlineStr">
        <is>
          <t>Hyderabad</t>
        </is>
      </c>
      <c r="C757" s="9" t="inlineStr">
        <is>
          <t>Hyderabad</t>
        </is>
      </c>
      <c r="D757" s="9" t="inlineStr">
        <is>
          <t>Telangana</t>
        </is>
      </c>
      <c r="E757" s="9" t="inlineStr">
        <is>
          <t>India</t>
        </is>
      </c>
      <c r="F757" s="9" t="n">
        <v>8</v>
      </c>
      <c r="G757" s="9" t="n">
        <v>3</v>
      </c>
      <c r="H757" s="9" t="n">
        <v>1</v>
      </c>
      <c r="I757" s="10" t="n">
        <v>43037</v>
      </c>
      <c r="J757" s="10" t="n">
        <v>43039</v>
      </c>
      <c r="K757" s="9" t="n">
        <v>17.41136</v>
      </c>
      <c r="L757" s="9" t="n">
        <v>78.43563</v>
      </c>
      <c r="M757" s="9" t="inlineStr">
        <is>
          <t>https://www.google.com/maps/place/?q=place_id:ChIJDWym2SWXyzsRTEts4c7zrq0</t>
        </is>
      </c>
    </row>
    <row r="758">
      <c r="A758" s="9" t="n">
        <v>754</v>
      </c>
      <c r="B758" s="9" t="inlineStr">
        <is>
          <t>Hyderabad</t>
        </is>
      </c>
      <c r="C758" s="9" t="inlineStr">
        <is>
          <t>Hyderabad</t>
        </is>
      </c>
      <c r="D758" s="9" t="inlineStr">
        <is>
          <t>Telangana</t>
        </is>
      </c>
      <c r="E758" s="9" t="inlineStr">
        <is>
          <t>India</t>
        </is>
      </c>
      <c r="F758" s="9" t="n">
        <v>8</v>
      </c>
      <c r="G758" s="9" t="n">
        <v>8</v>
      </c>
      <c r="H758" s="9" t="n">
        <v>6</v>
      </c>
      <c r="I758" s="10" t="n">
        <v>43326</v>
      </c>
      <c r="J758" s="10" t="n">
        <v>45941</v>
      </c>
      <c r="K758" s="9" t="n">
        <v>17.41533</v>
      </c>
      <c r="L758" s="9" t="n">
        <v>78.41276000000001</v>
      </c>
      <c r="M758" s="9" t="inlineStr">
        <is>
          <t>https://www.google.com/maps/place/?q=place_id:ChIJNyplNGaXyzsRv9XdgLqPd-s</t>
        </is>
      </c>
    </row>
    <row r="759">
      <c r="A759" s="9" t="n">
        <v>755</v>
      </c>
      <c r="B759" s="9" t="inlineStr">
        <is>
          <t>Hyderabad</t>
        </is>
      </c>
      <c r="C759" s="9" t="inlineStr">
        <is>
          <t>Hyderabad</t>
        </is>
      </c>
      <c r="D759" s="9" t="inlineStr">
        <is>
          <t>Telangana</t>
        </is>
      </c>
      <c r="E759" s="9" t="inlineStr">
        <is>
          <t>India</t>
        </is>
      </c>
      <c r="F759" s="9" t="n">
        <v>7</v>
      </c>
      <c r="G759" s="9" t="n">
        <v>7</v>
      </c>
      <c r="H759" s="9" t="n">
        <v>7</v>
      </c>
      <c r="I759" s="10" t="n">
        <v>42199</v>
      </c>
      <c r="J759" s="10" t="n">
        <v>45805</v>
      </c>
      <c r="K759" s="9" t="n">
        <v>17.42001</v>
      </c>
      <c r="L759" s="9" t="n">
        <v>78.42305</v>
      </c>
      <c r="M759" s="9" t="inlineStr">
        <is>
          <t>https://www.google.com/maps/place/?q=place_id:ChIJZe78QtKWyzsRA7_hetcQNG4</t>
        </is>
      </c>
    </row>
    <row r="760">
      <c r="A760" s="9" t="n">
        <v>756</v>
      </c>
      <c r="B760" s="9" t="inlineStr">
        <is>
          <t>Hyderabad</t>
        </is>
      </c>
      <c r="C760" s="9" t="inlineStr">
        <is>
          <t>Hyderabad</t>
        </is>
      </c>
      <c r="D760" s="9" t="inlineStr">
        <is>
          <t>Telangana</t>
        </is>
      </c>
      <c r="E760" s="9" t="inlineStr">
        <is>
          <t>India</t>
        </is>
      </c>
      <c r="F760" s="9" t="n">
        <v>7</v>
      </c>
      <c r="G760" s="9" t="n">
        <v>7</v>
      </c>
      <c r="H760" s="9" t="n">
        <v>6</v>
      </c>
      <c r="I760" s="10" t="n">
        <v>42683</v>
      </c>
      <c r="J760" s="10" t="n">
        <v>44903</v>
      </c>
      <c r="K760" s="9" t="n">
        <v>17.40064</v>
      </c>
      <c r="L760" s="9" t="n">
        <v>78.47481999999999</v>
      </c>
      <c r="M760" s="9" t="inlineStr">
        <is>
          <t>https://www.google.com/maps/place/?q=place_id:ChIJs8sP12GXyzsRyoqNS3ylvLI</t>
        </is>
      </c>
    </row>
    <row r="761">
      <c r="A761" s="9" t="n">
        <v>757</v>
      </c>
      <c r="B761" s="9" t="inlineStr">
        <is>
          <t>Hyderabad</t>
        </is>
      </c>
      <c r="C761" s="9" t="inlineStr">
        <is>
          <t>Hyderabad</t>
        </is>
      </c>
      <c r="D761" s="9" t="inlineStr">
        <is>
          <t>Telangana</t>
        </is>
      </c>
      <c r="E761" s="9" t="inlineStr">
        <is>
          <t>India</t>
        </is>
      </c>
      <c r="F761" s="9" t="n">
        <v>7</v>
      </c>
      <c r="G761" s="9" t="n">
        <v>4</v>
      </c>
      <c r="H761" s="9" t="n">
        <v>4</v>
      </c>
      <c r="I761" s="10" t="n">
        <v>42690</v>
      </c>
      <c r="J761" s="10" t="n">
        <v>44876</v>
      </c>
      <c r="K761" s="9" t="n">
        <v>17.41206</v>
      </c>
      <c r="L761" s="9" t="n">
        <v>78.48604</v>
      </c>
      <c r="M761" s="9" t="inlineStr">
        <is>
          <t>https://www.google.com/maps/place/?q=place_id:ChIJ2frP8uWZyzsRRyhKxSxt4sw</t>
        </is>
      </c>
    </row>
    <row r="762">
      <c r="A762" s="9" t="n">
        <v>758</v>
      </c>
      <c r="B762" s="9" t="inlineStr">
        <is>
          <t>Hyderabad</t>
        </is>
      </c>
      <c r="C762" s="9" t="inlineStr">
        <is>
          <t>Hyderabad</t>
        </is>
      </c>
      <c r="D762" s="9" t="inlineStr">
        <is>
          <t>Telangana</t>
        </is>
      </c>
      <c r="E762" s="9" t="inlineStr">
        <is>
          <t>India</t>
        </is>
      </c>
      <c r="F762" s="9" t="n">
        <v>7</v>
      </c>
      <c r="G762" s="9" t="n">
        <v>7</v>
      </c>
      <c r="H762" s="9" t="n">
        <v>7</v>
      </c>
      <c r="I762" s="10" t="n">
        <v>42692</v>
      </c>
      <c r="J762" s="10" t="n">
        <v>44649</v>
      </c>
      <c r="K762" s="9" t="n">
        <v>17.38848</v>
      </c>
      <c r="L762" s="9" t="n">
        <v>78.47505</v>
      </c>
      <c r="M762" s="9" t="inlineStr">
        <is>
          <t>https://www.google.com/maps/place/?q=place_id:ChIJTQA5in2XyzsR9ZafROqnP-w</t>
        </is>
      </c>
    </row>
    <row r="763">
      <c r="A763" s="9" t="n">
        <v>759</v>
      </c>
      <c r="B763" s="9" t="inlineStr">
        <is>
          <t>Hyderabad</t>
        </is>
      </c>
      <c r="C763" s="9" t="inlineStr">
        <is>
          <t>Hyderabad</t>
        </is>
      </c>
      <c r="D763" s="9" t="inlineStr">
        <is>
          <t>Telangana</t>
        </is>
      </c>
      <c r="E763" s="9" t="inlineStr">
        <is>
          <t>India</t>
        </is>
      </c>
      <c r="F763" s="9" t="n">
        <v>7</v>
      </c>
      <c r="G763" s="9" t="n">
        <v>7</v>
      </c>
      <c r="H763" s="9" t="n">
        <v>7</v>
      </c>
      <c r="I763" s="10" t="n">
        <v>44218</v>
      </c>
      <c r="J763" s="10" t="n">
        <v>46003</v>
      </c>
      <c r="K763" s="9" t="n">
        <v>17.41569</v>
      </c>
      <c r="L763" s="9" t="n">
        <v>78.44244999999999</v>
      </c>
      <c r="M763" s="9" t="inlineStr">
        <is>
          <t>https://www.google.com/maps/place/?q=place_id:ChIJ0zFFWzCXyzsR-B3-22pe3iQ</t>
        </is>
      </c>
    </row>
    <row r="764">
      <c r="A764" s="9" t="n">
        <v>760</v>
      </c>
      <c r="B764" s="9" t="inlineStr">
        <is>
          <t>Hyderabad</t>
        </is>
      </c>
      <c r="C764" s="9" t="inlineStr">
        <is>
          <t>Hyderabad</t>
        </is>
      </c>
      <c r="D764" s="9" t="inlineStr">
        <is>
          <t>Telangana</t>
        </is>
      </c>
      <c r="E764" s="9" t="inlineStr">
        <is>
          <t>India</t>
        </is>
      </c>
      <c r="F764" s="9" t="n">
        <v>6</v>
      </c>
      <c r="G764" s="9" t="n">
        <v>7</v>
      </c>
      <c r="H764" s="9" t="n">
        <v>3</v>
      </c>
      <c r="I764" s="10" t="n">
        <v>42246</v>
      </c>
      <c r="J764" s="10" t="n">
        <v>42271</v>
      </c>
      <c r="K764" s="9" t="n">
        <v>17.40975</v>
      </c>
      <c r="L764" s="9" t="n">
        <v>78.42943</v>
      </c>
      <c r="M764" s="9" t="inlineStr">
        <is>
          <t>https://www.google.com/maps/place/?q=place_id:ChIJJeHlg9iWyzsReBCkDWvuJgA</t>
        </is>
      </c>
    </row>
    <row r="765">
      <c r="A765" s="9" t="n">
        <v>761</v>
      </c>
      <c r="B765" s="9" t="inlineStr">
        <is>
          <t>Kukatpally</t>
        </is>
      </c>
      <c r="C765" s="9" t="inlineStr">
        <is>
          <t>Hyderabad</t>
        </is>
      </c>
      <c r="D765" s="9" t="inlineStr">
        <is>
          <t>Telangana</t>
        </is>
      </c>
      <c r="E765" s="9" t="inlineStr">
        <is>
          <t>India</t>
        </is>
      </c>
      <c r="F765" s="9" t="n">
        <v>6</v>
      </c>
      <c r="G765" s="9" t="n">
        <v>6</v>
      </c>
      <c r="H765" s="9" t="n">
        <v>6</v>
      </c>
      <c r="I765" s="10" t="n">
        <v>42523</v>
      </c>
      <c r="J765" s="10" t="n">
        <v>45053</v>
      </c>
      <c r="K765" s="9" t="n">
        <v>17.46184</v>
      </c>
      <c r="L765" s="9" t="n">
        <v>78.37094999999999</v>
      </c>
      <c r="M765" s="9" t="inlineStr">
        <is>
          <t>https://www.google.com/maps/place/?q=place_id:ChIJb60Jds6TyzsR5A4Jhp7-1rY</t>
        </is>
      </c>
    </row>
    <row r="766">
      <c r="A766" s="9" t="n">
        <v>762</v>
      </c>
      <c r="B766" s="9" t="inlineStr">
        <is>
          <t>Hyderabad</t>
        </is>
      </c>
      <c r="C766" s="9" t="inlineStr">
        <is>
          <t>Hyderabad</t>
        </is>
      </c>
      <c r="D766" s="9" t="inlineStr">
        <is>
          <t>Telangana</t>
        </is>
      </c>
      <c r="E766" s="9" t="inlineStr">
        <is>
          <t>India</t>
        </is>
      </c>
      <c r="F766" s="9" t="n">
        <v>6</v>
      </c>
      <c r="G766" s="9" t="n">
        <v>6</v>
      </c>
      <c r="H766" s="9" t="n">
        <v>6</v>
      </c>
      <c r="I766" s="10" t="n">
        <v>42981</v>
      </c>
      <c r="J766" s="10" t="n">
        <v>43423</v>
      </c>
      <c r="K766" s="9" t="n">
        <v>17.39241</v>
      </c>
      <c r="L766" s="9" t="n">
        <v>78.46758</v>
      </c>
      <c r="M766" s="9" t="inlineStr">
        <is>
          <t>https://www.google.com/maps/place/?q=place_id:ChIJLXvKzmSXyzsRuN55mRxOI-g</t>
        </is>
      </c>
    </row>
    <row r="767">
      <c r="A767" s="9" t="n">
        <v>763</v>
      </c>
      <c r="B767" s="9" t="inlineStr">
        <is>
          <t>Hyderabad</t>
        </is>
      </c>
      <c r="C767" s="9" t="inlineStr">
        <is>
          <t>Hyderabad</t>
        </is>
      </c>
      <c r="D767" s="9" t="inlineStr">
        <is>
          <t>Telangana</t>
        </is>
      </c>
      <c r="E767" s="9" t="inlineStr">
        <is>
          <t>India</t>
        </is>
      </c>
      <c r="F767" s="9" t="n">
        <v>6</v>
      </c>
      <c r="G767" s="9" t="n">
        <v>11</v>
      </c>
      <c r="H767" s="9" t="n">
        <v>4</v>
      </c>
      <c r="I767" s="10" t="n">
        <v>43594</v>
      </c>
      <c r="J767" s="10" t="n">
        <v>43780</v>
      </c>
      <c r="K767" s="9" t="n">
        <v>17.41013</v>
      </c>
      <c r="L767" s="9" t="n">
        <v>78.43053</v>
      </c>
      <c r="M767" s="9" t="inlineStr">
        <is>
          <t>https://www.google.com/maps/place/?q=place_id:ChIJI3rBdyeXyzsRNP9Mg_zt84Y</t>
        </is>
      </c>
    </row>
    <row r="768">
      <c r="A768" s="9" t="n">
        <v>764</v>
      </c>
      <c r="B768" s="9" t="inlineStr">
        <is>
          <t>Hyderabad</t>
        </is>
      </c>
      <c r="C768" s="9" t="inlineStr">
        <is>
          <t>Hyderabad</t>
        </is>
      </c>
      <c r="D768" s="9" t="inlineStr">
        <is>
          <t>Telangana</t>
        </is>
      </c>
      <c r="E768" s="9" t="inlineStr">
        <is>
          <t>India</t>
        </is>
      </c>
      <c r="F768" s="9" t="n">
        <v>6</v>
      </c>
      <c r="G768" s="9" t="n">
        <v>6</v>
      </c>
      <c r="H768" s="9" t="n">
        <v>6</v>
      </c>
      <c r="I768" s="10" t="n">
        <v>45848</v>
      </c>
      <c r="J768" s="10" t="n">
        <v>46257</v>
      </c>
      <c r="K768" s="9" t="n">
        <v>17.40861</v>
      </c>
      <c r="L768" s="9" t="n">
        <v>78.42834999999999</v>
      </c>
      <c r="M768" s="9" t="inlineStr">
        <is>
          <t>https://www.google.com/maps/place/?q=place_id:ChIJUQeosmiXyzsRqxTG7kCZqhM</t>
        </is>
      </c>
    </row>
    <row r="769">
      <c r="A769" s="9" t="n">
        <v>765</v>
      </c>
      <c r="B769" s="9" t="inlineStr">
        <is>
          <t>Hyderabad</t>
        </is>
      </c>
      <c r="C769" s="9" t="inlineStr">
        <is>
          <t>Hyderabad</t>
        </is>
      </c>
      <c r="D769" s="9" t="inlineStr">
        <is>
          <t>Telangana</t>
        </is>
      </c>
      <c r="E769" s="9" t="inlineStr">
        <is>
          <t>India</t>
        </is>
      </c>
      <c r="F769" s="9" t="n">
        <v>5</v>
      </c>
      <c r="G769" s="9" t="n">
        <v>5</v>
      </c>
      <c r="H769" s="9" t="n">
        <v>5</v>
      </c>
      <c r="I769" s="10" t="n">
        <v>42199</v>
      </c>
      <c r="J769" s="10" t="n">
        <v>45612</v>
      </c>
      <c r="K769" s="9" t="n">
        <v>17.41518</v>
      </c>
      <c r="L769" s="9" t="n">
        <v>78.42612</v>
      </c>
      <c r="M769" s="9" t="inlineStr">
        <is>
          <t>https://www.google.com/maps/place/?q=place_id:ChIJ87b4D9eWyzsR_tLXtzAAN94</t>
        </is>
      </c>
    </row>
    <row r="770">
      <c r="A770" s="9" t="n">
        <v>766</v>
      </c>
      <c r="B770" s="9" t="inlineStr">
        <is>
          <t>Kukatpally</t>
        </is>
      </c>
      <c r="C770" s="9" t="inlineStr">
        <is>
          <t>Hyderabad</t>
        </is>
      </c>
      <c r="D770" s="9" t="inlineStr">
        <is>
          <t>Telangana</t>
        </is>
      </c>
      <c r="E770" s="9" t="inlineStr">
        <is>
          <t>India</t>
        </is>
      </c>
      <c r="F770" s="9" t="n">
        <v>5</v>
      </c>
      <c r="G770" s="9" t="n">
        <v>5</v>
      </c>
      <c r="H770" s="9" t="n">
        <v>5</v>
      </c>
      <c r="I770" s="10" t="n">
        <v>42887</v>
      </c>
      <c r="J770" s="10" t="n">
        <v>43096</v>
      </c>
      <c r="K770" s="9" t="n">
        <v>17.46827</v>
      </c>
      <c r="L770" s="9" t="n">
        <v>78.43397</v>
      </c>
      <c r="M770" s="9" t="inlineStr">
        <is>
          <t>https://www.google.com/maps/place/?q=place_id:ChIJC9JU5_6QyzsRWK9d8_wZ6qY</t>
        </is>
      </c>
    </row>
    <row r="771">
      <c r="A771" s="9" t="n">
        <v>767</v>
      </c>
      <c r="B771" s="9" t="inlineStr">
        <is>
          <t>Kukatpally</t>
        </is>
      </c>
      <c r="C771" s="9" t="inlineStr">
        <is>
          <t>Hyderabad</t>
        </is>
      </c>
      <c r="D771" s="9" t="inlineStr">
        <is>
          <t>Telangana</t>
        </is>
      </c>
      <c r="E771" s="9" t="inlineStr">
        <is>
          <t>India</t>
        </is>
      </c>
      <c r="F771" s="9" t="n">
        <v>5</v>
      </c>
      <c r="G771" s="9" t="n">
        <v>5</v>
      </c>
      <c r="H771" s="9" t="n">
        <v>4</v>
      </c>
      <c r="I771" s="10" t="n">
        <v>44168</v>
      </c>
      <c r="J771" s="10" t="n">
        <v>45420</v>
      </c>
      <c r="K771" s="9" t="n">
        <v>17.42493</v>
      </c>
      <c r="L771" s="9" t="n">
        <v>78.40539</v>
      </c>
      <c r="M771" s="9" t="inlineStr">
        <is>
          <t>https://www.google.com/maps/place/?q=place_id:ChIJUXm8TVSRyzsRVQhR_GMZbCA</t>
        </is>
      </c>
    </row>
    <row r="772">
      <c r="A772" s="9" t="n">
        <v>768</v>
      </c>
      <c r="B772" s="9" t="inlineStr">
        <is>
          <t>Hyderabad</t>
        </is>
      </c>
      <c r="C772" s="9" t="inlineStr">
        <is>
          <t>Hyderabad</t>
        </is>
      </c>
      <c r="D772" s="9" t="inlineStr">
        <is>
          <t>Telangana</t>
        </is>
      </c>
      <c r="E772" s="9" t="inlineStr">
        <is>
          <t>India</t>
        </is>
      </c>
      <c r="F772" s="9" t="n">
        <v>5</v>
      </c>
      <c r="G772" s="9" t="n">
        <v>7</v>
      </c>
      <c r="H772" s="9" t="n">
        <v>4</v>
      </c>
      <c r="I772" s="10" t="n">
        <v>45069</v>
      </c>
      <c r="J772" s="10" t="n">
        <v>45117</v>
      </c>
      <c r="K772" s="9" t="n">
        <v>17.41061</v>
      </c>
      <c r="L772" s="9" t="n">
        <v>78.42894</v>
      </c>
      <c r="M772" s="9" t="inlineStr">
        <is>
          <t>https://www.google.com/maps/place/?q=place_id:ChIJ97ErZtiWyzsRRiinb0_ZqCM</t>
        </is>
      </c>
    </row>
    <row r="773">
      <c r="A773" s="9" t="n">
        <v>769</v>
      </c>
      <c r="B773" s="9" t="inlineStr">
        <is>
          <t>Hyderabad</t>
        </is>
      </c>
      <c r="C773" s="9" t="inlineStr">
        <is>
          <t>Hyderabad</t>
        </is>
      </c>
      <c r="D773" s="9" t="inlineStr">
        <is>
          <t>Telangana</t>
        </is>
      </c>
      <c r="E773" s="9" t="inlineStr">
        <is>
          <t>India</t>
        </is>
      </c>
      <c r="F773" s="9" t="n">
        <v>5</v>
      </c>
      <c r="G773" s="9" t="n">
        <v>5</v>
      </c>
      <c r="H773" s="9" t="n">
        <v>5</v>
      </c>
      <c r="I773" s="10" t="n">
        <v>45168</v>
      </c>
      <c r="J773" s="10" t="n">
        <v>45751</v>
      </c>
      <c r="K773" s="9" t="n">
        <v>17.42402</v>
      </c>
      <c r="L773" s="9" t="n">
        <v>78.4298</v>
      </c>
      <c r="M773" s="9" t="inlineStr">
        <is>
          <t>https://www.google.com/maps/place/?q=place_id:ChIJAfD8pyqXyzsRsVkFTtp5uEA</t>
        </is>
      </c>
    </row>
    <row r="774">
      <c r="A774" s="9" t="n">
        <v>770</v>
      </c>
      <c r="B774" s="9" t="inlineStr">
        <is>
          <t>Kukatpally</t>
        </is>
      </c>
      <c r="C774" s="9" t="inlineStr">
        <is>
          <t>Hyderabad</t>
        </is>
      </c>
      <c r="D774" s="9" t="inlineStr">
        <is>
          <t>Telangana</t>
        </is>
      </c>
      <c r="E774" s="9" t="inlineStr">
        <is>
          <t>India</t>
        </is>
      </c>
      <c r="F774" s="9" t="n">
        <v>5</v>
      </c>
      <c r="G774" s="9" t="n">
        <v>5</v>
      </c>
      <c r="H774" s="9" t="n">
        <v>5</v>
      </c>
      <c r="I774" s="10" t="n">
        <v>45279</v>
      </c>
      <c r="J774" s="10" t="n">
        <v>45941</v>
      </c>
      <c r="K774" s="9" t="n">
        <v>17.51082</v>
      </c>
      <c r="L774" s="9" t="n">
        <v>78.42506</v>
      </c>
      <c r="M774" s="9" t="inlineStr">
        <is>
          <t>https://www.google.com/maps/place/?q=place_id:ChIJ5ej8h5CRyzsRnv2AABpPTO8</t>
        </is>
      </c>
    </row>
    <row r="775">
      <c r="A775" s="9" t="n">
        <v>771</v>
      </c>
      <c r="B775" s="9" t="inlineStr">
        <is>
          <t>Gaddi Annaram</t>
        </is>
      </c>
      <c r="C775" s="9" t="inlineStr">
        <is>
          <t>Hyderabad</t>
        </is>
      </c>
      <c r="D775" s="9" t="inlineStr">
        <is>
          <t>Telangana</t>
        </is>
      </c>
      <c r="E775" s="9" t="inlineStr">
        <is>
          <t>India</t>
        </is>
      </c>
      <c r="F775" s="9" t="n">
        <v>4</v>
      </c>
      <c r="G775" s="9" t="n">
        <v>4</v>
      </c>
      <c r="H775" s="9" t="n">
        <v>4</v>
      </c>
      <c r="I775" s="10" t="n">
        <v>42424</v>
      </c>
      <c r="J775" s="10" t="n">
        <v>43125</v>
      </c>
      <c r="K775" s="9" t="n">
        <v>17.37415</v>
      </c>
      <c r="L775" s="9" t="n">
        <v>78.50538</v>
      </c>
      <c r="M775" s="9" t="inlineStr">
        <is>
          <t>https://www.google.com/maps/place/?q=place_id:ChIJw-MCKzSYyzsRRh9t2P2dA8k</t>
        </is>
      </c>
    </row>
    <row r="776">
      <c r="A776" s="9" t="n">
        <v>772</v>
      </c>
      <c r="B776" s="9" t="inlineStr">
        <is>
          <t>Hyderabad</t>
        </is>
      </c>
      <c r="C776" s="9" t="inlineStr">
        <is>
          <t>Hyderabad</t>
        </is>
      </c>
      <c r="D776" s="9" t="inlineStr">
        <is>
          <t>Telangana</t>
        </is>
      </c>
      <c r="E776" s="9" t="inlineStr">
        <is>
          <t>India</t>
        </is>
      </c>
      <c r="F776" s="9" t="n">
        <v>4</v>
      </c>
      <c r="G776" s="9" t="n">
        <v>3</v>
      </c>
      <c r="H776" s="9" t="n">
        <v>1</v>
      </c>
      <c r="I776" s="10" t="n">
        <v>42522</v>
      </c>
      <c r="J776" s="10" t="n">
        <v>42524</v>
      </c>
      <c r="K776" s="9" t="n">
        <v>17.40959</v>
      </c>
      <c r="L776" s="9" t="n">
        <v>78.42968999999999</v>
      </c>
      <c r="M776" s="9" t="inlineStr">
        <is>
          <t>https://www.google.com/maps/place/?q=place_id:ChIJTYGHgtiWyzsRbAUHqqhrhDQ</t>
        </is>
      </c>
    </row>
    <row r="777">
      <c r="A777" s="9" t="n">
        <v>773</v>
      </c>
      <c r="B777" s="9" t="inlineStr">
        <is>
          <t>Hyderabad</t>
        </is>
      </c>
      <c r="C777" s="9" t="inlineStr">
        <is>
          <t>Hyderabad</t>
        </is>
      </c>
      <c r="D777" s="9" t="inlineStr">
        <is>
          <t>Telangana</t>
        </is>
      </c>
      <c r="E777" s="9" t="inlineStr">
        <is>
          <t>India</t>
        </is>
      </c>
      <c r="F777" s="9" t="n">
        <v>4</v>
      </c>
      <c r="G777" s="9" t="n">
        <v>4</v>
      </c>
      <c r="H777" s="9" t="n">
        <v>4</v>
      </c>
      <c r="I777" s="10" t="n">
        <v>42524</v>
      </c>
      <c r="J777" s="10" t="n">
        <v>42725</v>
      </c>
      <c r="K777" s="9" t="n">
        <v>17.37822</v>
      </c>
      <c r="L777" s="9" t="n">
        <v>78.47624999999999</v>
      </c>
      <c r="M777" s="9" t="inlineStr">
        <is>
          <t>https://www.google.com/maps/place/?q=place_id:ChIJN7D7fCqYyzsRqwcb_xY1RjE</t>
        </is>
      </c>
    </row>
    <row r="778">
      <c r="A778" s="9" t="n">
        <v>774</v>
      </c>
      <c r="B778" s="9" t="inlineStr">
        <is>
          <t>Hyderabad</t>
        </is>
      </c>
      <c r="C778" s="9" t="inlineStr">
        <is>
          <t>Hyderabad</t>
        </is>
      </c>
      <c r="D778" s="9" t="inlineStr">
        <is>
          <t>Telangana</t>
        </is>
      </c>
      <c r="E778" s="9" t="inlineStr">
        <is>
          <t>India</t>
        </is>
      </c>
      <c r="F778" s="9" t="n">
        <v>4</v>
      </c>
      <c r="G778" s="9" t="n">
        <v>3</v>
      </c>
      <c r="H778" s="9" t="n">
        <v>3</v>
      </c>
      <c r="I778" s="10" t="n">
        <v>42530</v>
      </c>
      <c r="J778" s="10" t="n">
        <v>42941</v>
      </c>
      <c r="K778" s="9" t="n">
        <v>17.38312</v>
      </c>
      <c r="L778" s="9" t="n">
        <v>78.46711999999999</v>
      </c>
      <c r="M778" s="9" t="inlineStr">
        <is>
          <t>https://www.google.com/maps/place/?q=place_id:ChIJxaqqaoKXyzsR3nMfQYDCSbs</t>
        </is>
      </c>
    </row>
    <row r="779">
      <c r="A779" s="9" t="n">
        <v>775</v>
      </c>
      <c r="B779" s="9" t="inlineStr">
        <is>
          <t>Hyderabad</t>
        </is>
      </c>
      <c r="C779" s="9" t="inlineStr">
        <is>
          <t>Hyderabad</t>
        </is>
      </c>
      <c r="D779" s="9" t="inlineStr">
        <is>
          <t>Telangana</t>
        </is>
      </c>
      <c r="E779" s="9" t="inlineStr">
        <is>
          <t>India</t>
        </is>
      </c>
      <c r="F779" s="9" t="n">
        <v>4</v>
      </c>
      <c r="G779" s="9" t="n">
        <v>4</v>
      </c>
      <c r="H779" s="9" t="n">
        <v>4</v>
      </c>
      <c r="I779" s="10" t="n">
        <v>42591</v>
      </c>
      <c r="J779" s="10" t="n">
        <v>42747</v>
      </c>
      <c r="K779" s="9" t="n">
        <v>17.36734</v>
      </c>
      <c r="L779" s="9" t="n">
        <v>78.47042999999999</v>
      </c>
      <c r="M779" s="9" t="inlineStr">
        <is>
          <t>https://www.google.com/maps/place/?q=place_id:ChIJd9twx4iXyzsRpMQz6PDlKPY</t>
        </is>
      </c>
    </row>
    <row r="780">
      <c r="A780" s="9" t="n">
        <v>776</v>
      </c>
      <c r="B780" s="9" t="inlineStr">
        <is>
          <t>Gaddi Annaram</t>
        </is>
      </c>
      <c r="C780" s="9" t="inlineStr">
        <is>
          <t>Hyderabad</t>
        </is>
      </c>
      <c r="D780" s="9" t="inlineStr">
        <is>
          <t>Telangana</t>
        </is>
      </c>
      <c r="E780" s="9" t="inlineStr">
        <is>
          <t>India</t>
        </is>
      </c>
      <c r="F780" s="9" t="n">
        <v>4</v>
      </c>
      <c r="G780" s="9" t="n">
        <v>4</v>
      </c>
      <c r="H780" s="9" t="n">
        <v>4</v>
      </c>
      <c r="I780" s="10" t="n">
        <v>42689</v>
      </c>
      <c r="J780" s="10" t="n">
        <v>42955</v>
      </c>
      <c r="K780" s="9" t="n">
        <v>17.40672</v>
      </c>
      <c r="L780" s="9" t="n">
        <v>78.49854999999999</v>
      </c>
      <c r="M780" s="9" t="inlineStr">
        <is>
          <t>https://www.google.com/maps/place/?q=place_id:ChIJNbohR5WZyzsR5VxPFK2Gonc</t>
        </is>
      </c>
    </row>
    <row r="781">
      <c r="A781" s="9" t="n">
        <v>777</v>
      </c>
      <c r="B781" s="9" t="inlineStr">
        <is>
          <t>Malkajgiri</t>
        </is>
      </c>
      <c r="C781" s="9" t="inlineStr">
        <is>
          <t>Hyderabad</t>
        </is>
      </c>
      <c r="D781" s="9" t="inlineStr">
        <is>
          <t>Telangana</t>
        </is>
      </c>
      <c r="E781" s="9" t="inlineStr">
        <is>
          <t>India</t>
        </is>
      </c>
      <c r="F781" s="9" t="n">
        <v>4</v>
      </c>
      <c r="G781" s="9" t="n">
        <v>4</v>
      </c>
      <c r="H781" s="9" t="n">
        <v>4</v>
      </c>
      <c r="I781" s="10" t="n">
        <v>42727</v>
      </c>
      <c r="J781" s="10" t="n">
        <v>43145</v>
      </c>
      <c r="K781" s="9" t="n">
        <v>17.44169</v>
      </c>
      <c r="L781" s="9" t="n">
        <v>78.48523</v>
      </c>
      <c r="M781" s="9" t="inlineStr">
        <is>
          <t>https://www.google.com/maps/place/?q=place_id:ChIJAQDAxw-ayzsRSQqE37NKJ2U</t>
        </is>
      </c>
    </row>
    <row r="782">
      <c r="A782" s="9" t="n">
        <v>778</v>
      </c>
      <c r="B782" s="9" t="inlineStr">
        <is>
          <t>Uppal Kalan</t>
        </is>
      </c>
      <c r="C782" s="9" t="inlineStr">
        <is>
          <t>Hyderabad</t>
        </is>
      </c>
      <c r="D782" s="9" t="inlineStr">
        <is>
          <t>Telangana</t>
        </is>
      </c>
      <c r="E782" s="9" t="inlineStr">
        <is>
          <t>India</t>
        </is>
      </c>
      <c r="F782" s="9" t="n">
        <v>4</v>
      </c>
      <c r="G782" s="9" t="n">
        <v>4</v>
      </c>
      <c r="H782" s="9" t="n">
        <v>4</v>
      </c>
      <c r="I782" s="10" t="n">
        <v>42747</v>
      </c>
      <c r="J782" s="10" t="n">
        <v>42781</v>
      </c>
      <c r="K782" s="9" t="n">
        <v>17.40702</v>
      </c>
      <c r="L782" s="9" t="n">
        <v>78.58667</v>
      </c>
      <c r="M782" s="9" t="inlineStr">
        <is>
          <t>https://www.google.com/maps/place/?q=place_id:ChIJs2XsSySXyzsRXlkuAVw5fKI</t>
        </is>
      </c>
    </row>
    <row r="783">
      <c r="A783" s="9" t="n">
        <v>779</v>
      </c>
      <c r="B783" s="9" t="inlineStr">
        <is>
          <t>Hyderabad</t>
        </is>
      </c>
      <c r="C783" s="9" t="inlineStr">
        <is>
          <t>Hyderabad</t>
        </is>
      </c>
      <c r="D783" s="9" t="inlineStr">
        <is>
          <t>Telangana</t>
        </is>
      </c>
      <c r="E783" s="9" t="inlineStr">
        <is>
          <t>India</t>
        </is>
      </c>
      <c r="F783" s="9" t="n">
        <v>4</v>
      </c>
      <c r="G783" s="9" t="n">
        <v>4</v>
      </c>
      <c r="H783" s="9" t="n">
        <v>3</v>
      </c>
      <c r="I783" s="10" t="n">
        <v>43147</v>
      </c>
      <c r="J783" s="10" t="n">
        <v>44200</v>
      </c>
      <c r="K783" s="9" t="n">
        <v>17.41273</v>
      </c>
      <c r="L783" s="9" t="n">
        <v>78.43178</v>
      </c>
      <c r="M783" s="9" t="inlineStr">
        <is>
          <t>https://www.google.com/maps/place/?q=place_id:ChIJE7L2nS-XyzsRWtXnI6NqeRA</t>
        </is>
      </c>
    </row>
    <row r="784">
      <c r="A784" s="9" t="n">
        <v>780</v>
      </c>
      <c r="B784" s="9" t="inlineStr">
        <is>
          <t>Serilingampalle</t>
        </is>
      </c>
      <c r="C784" s="9" t="inlineStr">
        <is>
          <t>Hyderabad</t>
        </is>
      </c>
      <c r="D784" s="9" t="inlineStr">
        <is>
          <t>Telangana</t>
        </is>
      </c>
      <c r="E784" s="9" t="inlineStr">
        <is>
          <t>India</t>
        </is>
      </c>
      <c r="F784" s="9" t="n">
        <v>4</v>
      </c>
      <c r="G784" s="9" t="n">
        <v>3</v>
      </c>
      <c r="H784" s="9" t="n">
        <v>3</v>
      </c>
      <c r="I784" s="10" t="n">
        <v>43443</v>
      </c>
      <c r="J784" s="10" t="n">
        <v>44199</v>
      </c>
      <c r="K784" s="9" t="n">
        <v>17.39038</v>
      </c>
      <c r="L784" s="9" t="n">
        <v>78.33920000000001</v>
      </c>
      <c r="M784" s="9" t="inlineStr">
        <is>
          <t>https://www.google.com/maps/place/?q=place_id:ChIJdxpwMV-UyzsRHu8K3_9kVXY</t>
        </is>
      </c>
    </row>
    <row r="785">
      <c r="A785" s="9" t="n">
        <v>781</v>
      </c>
      <c r="B785" s="9" t="inlineStr">
        <is>
          <t>Gaddi Annaram</t>
        </is>
      </c>
      <c r="C785" s="9" t="inlineStr">
        <is>
          <t>Hyderabad</t>
        </is>
      </c>
      <c r="D785" s="9" t="inlineStr">
        <is>
          <t>Telangana</t>
        </is>
      </c>
      <c r="E785" s="9" t="inlineStr">
        <is>
          <t>India</t>
        </is>
      </c>
      <c r="F785" s="9" t="n">
        <v>4</v>
      </c>
      <c r="G785" s="9" t="n">
        <v>2</v>
      </c>
      <c r="H785" s="9" t="n">
        <v>1</v>
      </c>
      <c r="I785" s="10" t="n">
        <v>43673</v>
      </c>
      <c r="J785" s="10" t="n">
        <v>43674</v>
      </c>
      <c r="K785" s="9" t="n">
        <v>17.38968</v>
      </c>
      <c r="L785" s="9" t="n">
        <v>78.4975</v>
      </c>
      <c r="M785" s="9" t="inlineStr">
        <is>
          <t>https://www.google.com/maps/place/?q=place_id:ChIJG89N2cmZyzsRqkm1qjlUMck</t>
        </is>
      </c>
    </row>
    <row r="786">
      <c r="A786" s="9" t="n">
        <v>782</v>
      </c>
      <c r="B786" s="9" t="inlineStr">
        <is>
          <t>Malkajgiri</t>
        </is>
      </c>
      <c r="C786" s="9" t="inlineStr">
        <is>
          <t>Hyderabad</t>
        </is>
      </c>
      <c r="D786" s="9" t="inlineStr">
        <is>
          <t>Telangana</t>
        </is>
      </c>
      <c r="E786" s="9" t="inlineStr">
        <is>
          <t>India</t>
        </is>
      </c>
      <c r="F786" s="9" t="n">
        <v>4</v>
      </c>
      <c r="G786" s="9" t="n">
        <v>4</v>
      </c>
      <c r="H786" s="9" t="n">
        <v>4</v>
      </c>
      <c r="I786" s="10" t="n">
        <v>43804</v>
      </c>
      <c r="J786" s="10" t="n">
        <v>45422</v>
      </c>
      <c r="K786" s="9" t="n">
        <v>17.43061</v>
      </c>
      <c r="L786" s="9" t="n">
        <v>78.48856000000001</v>
      </c>
      <c r="M786" s="9" t="inlineStr">
        <is>
          <t>https://www.google.com/maps/place/?q=place_id:ChIJA1rlU1WQyzsRORYAURDBJ28</t>
        </is>
      </c>
    </row>
    <row r="787">
      <c r="A787" s="9" t="n">
        <v>783</v>
      </c>
      <c r="B787" s="9" t="inlineStr">
        <is>
          <t>Gaddi Annaram</t>
        </is>
      </c>
      <c r="C787" s="9" t="inlineStr">
        <is>
          <t>Hyderabad</t>
        </is>
      </c>
      <c r="D787" s="9" t="inlineStr">
        <is>
          <t>Telangana</t>
        </is>
      </c>
      <c r="E787" s="9" t="inlineStr">
        <is>
          <t>India</t>
        </is>
      </c>
      <c r="F787" s="9" t="n">
        <v>4</v>
      </c>
      <c r="G787" s="9" t="n">
        <v>4</v>
      </c>
      <c r="H787" s="9" t="n">
        <v>4</v>
      </c>
      <c r="I787" s="10" t="n">
        <v>44199</v>
      </c>
      <c r="J787" s="10" t="n">
        <v>45395</v>
      </c>
      <c r="K787" s="9" t="n">
        <v>17.37166</v>
      </c>
      <c r="L787" s="9" t="n">
        <v>78.50796</v>
      </c>
      <c r="M787" s="9" t="inlineStr">
        <is>
          <t>https://www.google.com/maps/place/?q=place_id:ChIJTRarTROZyzsR9Dj5bpqdmok</t>
        </is>
      </c>
    </row>
    <row r="788">
      <c r="A788" s="9" t="n">
        <v>784</v>
      </c>
      <c r="B788" s="9" t="inlineStr">
        <is>
          <t>Kukatpally</t>
        </is>
      </c>
      <c r="C788" s="9" t="inlineStr">
        <is>
          <t>Hyderabad</t>
        </is>
      </c>
      <c r="D788" s="9" t="inlineStr">
        <is>
          <t>Telangana</t>
        </is>
      </c>
      <c r="E788" s="9" t="inlineStr">
        <is>
          <t>India</t>
        </is>
      </c>
      <c r="F788" s="9" t="n">
        <v>4</v>
      </c>
      <c r="G788" s="9" t="n">
        <v>4</v>
      </c>
      <c r="H788" s="9" t="n">
        <v>4</v>
      </c>
      <c r="I788" s="10" t="n">
        <v>44215</v>
      </c>
      <c r="J788" s="10" t="n">
        <v>45013</v>
      </c>
      <c r="K788" s="9" t="n">
        <v>17.43918</v>
      </c>
      <c r="L788" s="9" t="n">
        <v>78.37537</v>
      </c>
      <c r="M788" s="9" t="inlineStr">
        <is>
          <t>https://www.google.com/maps/place/?q=place_id:ChIJZW8f87iTyzsRfyMe8cQSby4</t>
        </is>
      </c>
    </row>
    <row r="789">
      <c r="A789" s="9" t="n">
        <v>785</v>
      </c>
      <c r="B789" s="9" t="inlineStr">
        <is>
          <t>Hyderabad</t>
        </is>
      </c>
      <c r="C789" s="9" t="inlineStr">
        <is>
          <t>Hyderabad</t>
        </is>
      </c>
      <c r="D789" s="9" t="inlineStr">
        <is>
          <t>Telangana</t>
        </is>
      </c>
      <c r="E789" s="9" t="inlineStr">
        <is>
          <t>India</t>
        </is>
      </c>
      <c r="F789" s="9" t="n">
        <v>4</v>
      </c>
      <c r="G789" s="9" t="n">
        <v>7</v>
      </c>
      <c r="H789" s="9" t="n">
        <v>4</v>
      </c>
      <c r="I789" s="10" t="n">
        <v>45075</v>
      </c>
      <c r="J789" s="10" t="n">
        <v>45110</v>
      </c>
      <c r="K789" s="9" t="n">
        <v>17.41216</v>
      </c>
      <c r="L789" s="9" t="n">
        <v>78.43040999999999</v>
      </c>
      <c r="M789" s="9" t="inlineStr">
        <is>
          <t>https://www.google.com/maps/place/?q=place_id:ChIJR5Am7ieXyzsRZW2xa2RnEbY</t>
        </is>
      </c>
    </row>
    <row r="790">
      <c r="A790" s="9" t="n">
        <v>786</v>
      </c>
      <c r="B790" s="9" t="inlineStr">
        <is>
          <t>Hyderabad</t>
        </is>
      </c>
      <c r="C790" s="9" t="inlineStr">
        <is>
          <t>Hyderabad</t>
        </is>
      </c>
      <c r="D790" s="9" t="inlineStr">
        <is>
          <t>Telangana</t>
        </is>
      </c>
      <c r="E790" s="9" t="inlineStr">
        <is>
          <t>India</t>
        </is>
      </c>
      <c r="F790" s="9" t="n">
        <v>3</v>
      </c>
      <c r="G790" s="9" t="n">
        <v>3</v>
      </c>
      <c r="H790" s="9" t="n">
        <v>3</v>
      </c>
      <c r="I790" s="10" t="n">
        <v>42373</v>
      </c>
      <c r="J790" s="10" t="n">
        <v>43123</v>
      </c>
      <c r="K790" s="9" t="n">
        <v>17.42998</v>
      </c>
      <c r="L790" s="9" t="n">
        <v>78.42843999999999</v>
      </c>
      <c r="M790" s="9" t="inlineStr">
        <is>
          <t>https://www.google.com/maps/place/?q=place_id:ChIJrWwrcSiRyzsRgUwfKkdHrls</t>
        </is>
      </c>
    </row>
    <row r="791">
      <c r="A791" s="9" t="n">
        <v>787</v>
      </c>
      <c r="B791" s="9" t="inlineStr">
        <is>
          <t>Hyderabad</t>
        </is>
      </c>
      <c r="C791" s="9" t="inlineStr">
        <is>
          <t>Hyderabad</t>
        </is>
      </c>
      <c r="D791" s="9" t="inlineStr">
        <is>
          <t>Telangana</t>
        </is>
      </c>
      <c r="E791" s="9" t="inlineStr">
        <is>
          <t>India</t>
        </is>
      </c>
      <c r="F791" s="9" t="n">
        <v>3</v>
      </c>
      <c r="G791" s="9" t="n">
        <v>3</v>
      </c>
      <c r="H791" s="9" t="n">
        <v>2</v>
      </c>
      <c r="I791" s="10" t="n">
        <v>42423</v>
      </c>
      <c r="J791" s="10" t="n">
        <v>42479</v>
      </c>
      <c r="K791" s="9" t="n">
        <v>17.4085</v>
      </c>
      <c r="L791" s="9" t="n">
        <v>78.42946000000001</v>
      </c>
      <c r="M791" s="9" t="inlineStr">
        <is>
          <t>https://www.google.com/maps/place/?q=place_id:ChIJDeZn71qRyzsRuOznsWCeuLw</t>
        </is>
      </c>
    </row>
    <row r="792">
      <c r="A792" s="9" t="n">
        <v>788</v>
      </c>
      <c r="B792" s="9" t="inlineStr">
        <is>
          <t>Hyderabad</t>
        </is>
      </c>
      <c r="C792" s="9" t="inlineStr">
        <is>
          <t>Hyderabad</t>
        </is>
      </c>
      <c r="D792" s="9" t="inlineStr">
        <is>
          <t>Telangana</t>
        </is>
      </c>
      <c r="E792" s="9" t="inlineStr">
        <is>
          <t>India</t>
        </is>
      </c>
      <c r="F792" s="9" t="n">
        <v>3</v>
      </c>
      <c r="G792" s="9" t="n">
        <v>3</v>
      </c>
      <c r="H792" s="9" t="n">
        <v>3</v>
      </c>
      <c r="I792" s="10" t="n">
        <v>42536</v>
      </c>
      <c r="J792" s="10" t="n">
        <v>42957</v>
      </c>
      <c r="K792" s="9" t="n">
        <v>17.41312</v>
      </c>
      <c r="L792" s="9" t="n">
        <v>78.44523</v>
      </c>
      <c r="M792" s="9" t="inlineStr">
        <is>
          <t>https://www.google.com/maps/place/?q=place_id:ChIJUacRbTqXyzsRoUtkIAeJPHk</t>
        </is>
      </c>
    </row>
    <row r="793">
      <c r="A793" s="9" t="n">
        <v>789</v>
      </c>
      <c r="B793" s="9" t="inlineStr">
        <is>
          <t>Serilingampalle</t>
        </is>
      </c>
      <c r="C793" s="9" t="inlineStr">
        <is>
          <t>Hyderabad</t>
        </is>
      </c>
      <c r="D793" s="9" t="inlineStr">
        <is>
          <t>Telangana</t>
        </is>
      </c>
      <c r="E793" s="9" t="inlineStr">
        <is>
          <t>India</t>
        </is>
      </c>
      <c r="F793" s="9" t="n">
        <v>3</v>
      </c>
      <c r="G793" s="9" t="n">
        <v>3</v>
      </c>
      <c r="H793" s="9" t="n">
        <v>3</v>
      </c>
      <c r="I793" s="10" t="n">
        <v>42589</v>
      </c>
      <c r="J793" s="10" t="n">
        <v>42876</v>
      </c>
      <c r="K793" s="9" t="n">
        <v>17.48204</v>
      </c>
      <c r="L793" s="9" t="n">
        <v>78.31937000000001</v>
      </c>
      <c r="M793" s="9" t="inlineStr">
        <is>
          <t>https://www.google.com/maps/place/?q=place_id:ChIJGTY-w-uSyzsRIfbWs0DgtUI</t>
        </is>
      </c>
    </row>
    <row r="794">
      <c r="A794" s="9" t="n">
        <v>790</v>
      </c>
      <c r="B794" s="9" t="inlineStr">
        <is>
          <t>Serilingampalle</t>
        </is>
      </c>
      <c r="C794" s="9" t="inlineStr">
        <is>
          <t>Hyderabad</t>
        </is>
      </c>
      <c r="D794" s="9" t="inlineStr">
        <is>
          <t>Telangana</t>
        </is>
      </c>
      <c r="E794" s="9" t="inlineStr">
        <is>
          <t>India</t>
        </is>
      </c>
      <c r="F794" s="9" t="n">
        <v>3</v>
      </c>
      <c r="G794" s="9" t="n">
        <v>3</v>
      </c>
      <c r="H794" s="9" t="n">
        <v>3</v>
      </c>
      <c r="I794" s="10" t="n">
        <v>42671</v>
      </c>
      <c r="J794" s="10" t="n">
        <v>42995</v>
      </c>
      <c r="K794" s="9" t="n">
        <v>17.48299</v>
      </c>
      <c r="L794" s="9" t="n">
        <v>78.31686999999999</v>
      </c>
      <c r="M794" s="9" t="inlineStr">
        <is>
          <t>https://www.google.com/maps/place/?q=place_id:ChIJWYxrC-qSyzsRJRQT5yN2EgM</t>
        </is>
      </c>
    </row>
    <row r="795">
      <c r="A795" s="9" t="n">
        <v>791</v>
      </c>
      <c r="B795" s="9" t="inlineStr">
        <is>
          <t>Hyderabad</t>
        </is>
      </c>
      <c r="C795" s="9" t="inlineStr">
        <is>
          <t>Hyderabad</t>
        </is>
      </c>
      <c r="D795" s="9" t="inlineStr">
        <is>
          <t>Telangana</t>
        </is>
      </c>
      <c r="E795" s="9" t="inlineStr">
        <is>
          <t>India</t>
        </is>
      </c>
      <c r="F795" s="9" t="n">
        <v>3</v>
      </c>
      <c r="G795" s="9" t="n">
        <v>3</v>
      </c>
      <c r="H795" s="9" t="n">
        <v>3</v>
      </c>
      <c r="I795" s="10" t="n">
        <v>42689</v>
      </c>
      <c r="J795" s="10" t="n">
        <v>42747</v>
      </c>
      <c r="K795" s="9" t="n">
        <v>17.3777</v>
      </c>
      <c r="L795" s="9" t="n">
        <v>78.47526000000001</v>
      </c>
      <c r="M795" s="9" t="inlineStr">
        <is>
          <t>https://www.google.com/maps/place/?q=place_id:ChIJ____6yqYyzsR2QudEGqoE-s</t>
        </is>
      </c>
    </row>
    <row r="796">
      <c r="A796" s="9" t="n">
        <v>792</v>
      </c>
      <c r="B796" s="9" t="inlineStr">
        <is>
          <t>Hyderabad</t>
        </is>
      </c>
      <c r="C796" s="9" t="inlineStr">
        <is>
          <t>Hyderabad</t>
        </is>
      </c>
      <c r="D796" s="9" t="inlineStr">
        <is>
          <t>Telangana</t>
        </is>
      </c>
      <c r="E796" s="9" t="inlineStr">
        <is>
          <t>India</t>
        </is>
      </c>
      <c r="F796" s="9" t="n">
        <v>3</v>
      </c>
      <c r="G796" s="9" t="n">
        <v>3</v>
      </c>
      <c r="H796" s="9" t="n">
        <v>3</v>
      </c>
      <c r="I796" s="10" t="n">
        <v>42692</v>
      </c>
      <c r="J796" s="10" t="n">
        <v>42916</v>
      </c>
      <c r="K796" s="9" t="n">
        <v>17.40337</v>
      </c>
      <c r="L796" s="9" t="n">
        <v>78.46523999999999</v>
      </c>
      <c r="M796" s="9" t="inlineStr">
        <is>
          <t>https://www.google.com/maps/place/?q=place_id:ChIJKzuximeXyzsRVF_8yYBh47s</t>
        </is>
      </c>
    </row>
    <row r="797">
      <c r="A797" s="9" t="n">
        <v>793</v>
      </c>
      <c r="B797" s="9" t="inlineStr">
        <is>
          <t>Patancheru</t>
        </is>
      </c>
      <c r="C797" s="9" t="inlineStr">
        <is>
          <t>Hyderabad</t>
        </is>
      </c>
      <c r="D797" s="9" t="inlineStr">
        <is>
          <t>Telangana</t>
        </is>
      </c>
      <c r="E797" s="9" t="inlineStr">
        <is>
          <t>India</t>
        </is>
      </c>
      <c r="F797" s="9" t="n">
        <v>3</v>
      </c>
      <c r="G797" s="9" t="n">
        <v>4</v>
      </c>
      <c r="H797" s="9" t="n">
        <v>3</v>
      </c>
      <c r="I797" s="10" t="n">
        <v>42700</v>
      </c>
      <c r="J797" s="10" t="n">
        <v>43133</v>
      </c>
      <c r="K797" s="9" t="n">
        <v>17.52881</v>
      </c>
      <c r="L797" s="9" t="n">
        <v>78.26408000000001</v>
      </c>
      <c r="M797" s="9" t="inlineStr">
        <is>
          <t>https://www.google.com/maps/place/?q=place_id:ChIJWdchepPyyzsRGf_g1URlR2k</t>
        </is>
      </c>
    </row>
    <row r="798">
      <c r="A798" s="9" t="n">
        <v>794</v>
      </c>
      <c r="B798" s="9" t="inlineStr">
        <is>
          <t>Kukatpally</t>
        </is>
      </c>
      <c r="C798" s="9" t="inlineStr">
        <is>
          <t>Hyderabad</t>
        </is>
      </c>
      <c r="D798" s="9" t="inlineStr">
        <is>
          <t>Telangana</t>
        </is>
      </c>
      <c r="E798" s="9" t="inlineStr">
        <is>
          <t>India</t>
        </is>
      </c>
      <c r="F798" s="9" t="n">
        <v>3</v>
      </c>
      <c r="G798" s="9" t="n">
        <v>3</v>
      </c>
      <c r="H798" s="9" t="n">
        <v>3</v>
      </c>
      <c r="I798" s="10" t="n">
        <v>42714</v>
      </c>
      <c r="J798" s="10" t="n">
        <v>42860</v>
      </c>
      <c r="K798" s="9" t="n">
        <v>17.48326</v>
      </c>
      <c r="L798" s="9" t="n">
        <v>78.39003</v>
      </c>
      <c r="M798" s="9" t="inlineStr">
        <is>
          <t>https://www.google.com/maps/place/?q=place_id:ChIJ5S8z0WGXyzsRPgI0K8rHzHA</t>
        </is>
      </c>
    </row>
    <row r="799">
      <c r="A799" s="9" t="n">
        <v>795</v>
      </c>
      <c r="B799" s="9" t="inlineStr">
        <is>
          <t>Hyderabad</t>
        </is>
      </c>
      <c r="C799" s="9" t="inlineStr">
        <is>
          <t>Hyderabad</t>
        </is>
      </c>
      <c r="D799" s="9" t="inlineStr">
        <is>
          <t>Telangana</t>
        </is>
      </c>
      <c r="E799" s="9" t="inlineStr">
        <is>
          <t>India</t>
        </is>
      </c>
      <c r="F799" s="9" t="n">
        <v>3</v>
      </c>
      <c r="G799" s="9" t="n">
        <v>3</v>
      </c>
      <c r="H799" s="9" t="n">
        <v>2</v>
      </c>
      <c r="I799" s="10" t="n">
        <v>42725</v>
      </c>
      <c r="J799" s="10" t="n">
        <v>42896</v>
      </c>
      <c r="K799" s="9" t="n">
        <v>17.40418</v>
      </c>
      <c r="L799" s="9" t="n">
        <v>78.47623</v>
      </c>
      <c r="M799" s="9" t="inlineStr">
        <is>
          <t>https://www.google.com/maps/place/?q=place_id:ChIJ____P32XyzsR5Eed1rK8qzA</t>
        </is>
      </c>
    </row>
    <row r="800">
      <c r="A800" s="9" t="n">
        <v>796</v>
      </c>
      <c r="B800" s="9" t="inlineStr">
        <is>
          <t>Hyderabad</t>
        </is>
      </c>
      <c r="C800" s="9" t="inlineStr">
        <is>
          <t>Hyderabad</t>
        </is>
      </c>
      <c r="D800" s="9" t="inlineStr">
        <is>
          <t>Telangana</t>
        </is>
      </c>
      <c r="E800" s="9" t="inlineStr">
        <is>
          <t>India</t>
        </is>
      </c>
      <c r="F800" s="9" t="n">
        <v>3</v>
      </c>
      <c r="G800" s="9" t="n">
        <v>3</v>
      </c>
      <c r="H800" s="9" t="n">
        <v>3</v>
      </c>
      <c r="I800" s="10" t="n">
        <v>42727</v>
      </c>
      <c r="J800" s="10" t="n">
        <v>42845</v>
      </c>
      <c r="K800" s="9" t="n">
        <v>17.42963</v>
      </c>
      <c r="L800" s="9" t="n">
        <v>78.45605999999999</v>
      </c>
      <c r="M800" s="9" t="inlineStr">
        <is>
          <t>https://www.google.com/maps/place/?q=place_id:ChIJgTVw_rSQyzsRXYiOl-_e4GM</t>
        </is>
      </c>
    </row>
    <row r="801">
      <c r="A801" s="9" t="n">
        <v>797</v>
      </c>
      <c r="B801" s="9" t="inlineStr">
        <is>
          <t>Hyderabad</t>
        </is>
      </c>
      <c r="C801" s="9" t="inlineStr">
        <is>
          <t>Hyderabad</t>
        </is>
      </c>
      <c r="D801" s="9" t="inlineStr">
        <is>
          <t>Telangana</t>
        </is>
      </c>
      <c r="E801" s="9" t="inlineStr">
        <is>
          <t>India</t>
        </is>
      </c>
      <c r="F801" s="9" t="n">
        <v>3</v>
      </c>
      <c r="G801" s="9" t="n">
        <v>3</v>
      </c>
      <c r="H801" s="9" t="n">
        <v>3</v>
      </c>
      <c r="I801" s="10" t="n">
        <v>42825</v>
      </c>
      <c r="J801" s="10" t="n">
        <v>43678</v>
      </c>
      <c r="K801" s="9" t="n">
        <v>17.41361</v>
      </c>
      <c r="L801" s="9" t="n">
        <v>78.42068999999999</v>
      </c>
      <c r="M801" s="9" t="inlineStr">
        <is>
          <t>https://www.google.com/maps/place/?q=place_id:ChIJV_DfhtCWyzsR8uhYYNm5cI8</t>
        </is>
      </c>
    </row>
    <row r="802">
      <c r="A802" s="9" t="n">
        <v>798</v>
      </c>
      <c r="B802" s="9" t="inlineStr">
        <is>
          <t>Kukatpally</t>
        </is>
      </c>
      <c r="C802" s="9" t="inlineStr">
        <is>
          <t>Hyderabad</t>
        </is>
      </c>
      <c r="D802" s="9" t="inlineStr">
        <is>
          <t>Telangana</t>
        </is>
      </c>
      <c r="E802" s="9" t="inlineStr">
        <is>
          <t>India</t>
        </is>
      </c>
      <c r="F802" s="9" t="n">
        <v>3</v>
      </c>
      <c r="G802" s="9" t="n">
        <v>3</v>
      </c>
      <c r="H802" s="9" t="n">
        <v>3</v>
      </c>
      <c r="I802" s="10" t="n">
        <v>42855</v>
      </c>
      <c r="J802" s="10" t="n">
        <v>44235</v>
      </c>
      <c r="K802" s="9" t="n">
        <v>17.43072</v>
      </c>
      <c r="L802" s="9" t="n">
        <v>78.40212</v>
      </c>
      <c r="M802" s="9" t="inlineStr">
        <is>
          <t>https://www.google.com/maps/place/?q=place_id:ChIJMwooOkmRyzsR66gGRD9GsLM</t>
        </is>
      </c>
    </row>
    <row r="803">
      <c r="A803" s="9" t="n">
        <v>799</v>
      </c>
      <c r="B803" s="9" t="inlineStr">
        <is>
          <t>Malkajgiri</t>
        </is>
      </c>
      <c r="C803" s="9" t="inlineStr">
        <is>
          <t>Hyderabad</t>
        </is>
      </c>
      <c r="D803" s="9" t="inlineStr">
        <is>
          <t>Telangana</t>
        </is>
      </c>
      <c r="E803" s="9" t="inlineStr">
        <is>
          <t>India</t>
        </is>
      </c>
      <c r="F803" s="9" t="n">
        <v>3</v>
      </c>
      <c r="G803" s="9" t="n">
        <v>3</v>
      </c>
      <c r="H803" s="9" t="n">
        <v>3</v>
      </c>
      <c r="I803" s="10" t="n">
        <v>42861</v>
      </c>
      <c r="J803" s="10" t="n">
        <v>42950</v>
      </c>
      <c r="K803" s="9" t="n">
        <v>17.43047</v>
      </c>
      <c r="L803" s="9" t="n">
        <v>78.48865000000001</v>
      </c>
      <c r="M803" s="9" t="inlineStr">
        <is>
          <t>https://www.google.com/maps/place/?q=place_id:ChIJ_wo5uMGQyzsRwcteCvCuWfE</t>
        </is>
      </c>
    </row>
    <row r="804">
      <c r="A804" s="9" t="n">
        <v>800</v>
      </c>
      <c r="B804" s="9" t="inlineStr">
        <is>
          <t>Hyderabad</t>
        </is>
      </c>
      <c r="C804" s="9" t="inlineStr">
        <is>
          <t>Hyderabad</t>
        </is>
      </c>
      <c r="D804" s="9" t="inlineStr">
        <is>
          <t>Telangana</t>
        </is>
      </c>
      <c r="E804" s="9" t="inlineStr">
        <is>
          <t>India</t>
        </is>
      </c>
      <c r="F804" s="9" t="n">
        <v>3</v>
      </c>
      <c r="G804" s="9" t="n">
        <v>2</v>
      </c>
      <c r="H804" s="9" t="n">
        <v>2</v>
      </c>
      <c r="I804" s="10" t="n">
        <v>42942</v>
      </c>
      <c r="J804" s="10" t="n">
        <v>42954</v>
      </c>
      <c r="K804" s="9" t="n">
        <v>17.38356</v>
      </c>
      <c r="L804" s="9" t="n">
        <v>78.46593</v>
      </c>
      <c r="M804" s="9" t="inlineStr">
        <is>
          <t>https://www.google.com/maps/place/?q=place_id:ChIJG4Lch82ZyzsR2-omKxbpgDI</t>
        </is>
      </c>
    </row>
    <row r="805">
      <c r="A805" s="9" t="n">
        <v>801</v>
      </c>
      <c r="B805" s="9" t="inlineStr">
        <is>
          <t>Hyderabad</t>
        </is>
      </c>
      <c r="C805" s="9" t="inlineStr">
        <is>
          <t>Hyderabad</t>
        </is>
      </c>
      <c r="D805" s="9" t="inlineStr">
        <is>
          <t>Telangana</t>
        </is>
      </c>
      <c r="E805" s="9" t="inlineStr">
        <is>
          <t>India</t>
        </is>
      </c>
      <c r="F805" s="9" t="n">
        <v>3</v>
      </c>
      <c r="G805" s="9" t="n">
        <v>3</v>
      </c>
      <c r="H805" s="9" t="n">
        <v>3</v>
      </c>
      <c r="I805" s="10" t="n">
        <v>42942</v>
      </c>
      <c r="J805" s="10" t="n">
        <v>43145</v>
      </c>
      <c r="K805" s="9" t="n">
        <v>17.36743</v>
      </c>
      <c r="L805" s="9" t="n">
        <v>78.47493</v>
      </c>
      <c r="M805" s="9" t="inlineStr">
        <is>
          <t>https://www.google.com/maps/place/?q=place_id:ChIJ_1QNIYiXyzsRk3FGwyYKJGA</t>
        </is>
      </c>
    </row>
    <row r="806">
      <c r="A806" s="9" t="n">
        <v>802</v>
      </c>
      <c r="B806" s="9" t="inlineStr">
        <is>
          <t>Hyderabad</t>
        </is>
      </c>
      <c r="C806" s="9" t="inlineStr">
        <is>
          <t>Hyderabad</t>
        </is>
      </c>
      <c r="D806" s="9" t="inlineStr">
        <is>
          <t>Telangana</t>
        </is>
      </c>
      <c r="E806" s="9" t="inlineStr">
        <is>
          <t>India</t>
        </is>
      </c>
      <c r="F806" s="9" t="n">
        <v>3</v>
      </c>
      <c r="G806" s="9" t="n">
        <v>3</v>
      </c>
      <c r="H806" s="9" t="n">
        <v>3</v>
      </c>
      <c r="I806" s="10" t="n">
        <v>42952</v>
      </c>
      <c r="J806" s="10" t="n">
        <v>44761</v>
      </c>
      <c r="K806" s="9" t="n">
        <v>17.39352</v>
      </c>
      <c r="L806" s="9" t="n">
        <v>78.47635</v>
      </c>
      <c r="M806" s="9" t="inlineStr">
        <is>
          <t>https://www.google.com/maps/place/?q=place_id:ChIJ____P32XyzsRUJBoQXLU8Vk</t>
        </is>
      </c>
    </row>
    <row r="807">
      <c r="A807" s="9" t="n">
        <v>803</v>
      </c>
      <c r="B807" s="9" t="inlineStr">
        <is>
          <t>Hyderabad</t>
        </is>
      </c>
      <c r="C807" s="9" t="inlineStr">
        <is>
          <t>Hyderabad</t>
        </is>
      </c>
      <c r="D807" s="9" t="inlineStr">
        <is>
          <t>Telangana</t>
        </is>
      </c>
      <c r="E807" s="9" t="inlineStr">
        <is>
          <t>India</t>
        </is>
      </c>
      <c r="F807" s="9" t="n">
        <v>3</v>
      </c>
      <c r="G807" s="9" t="n">
        <v>3</v>
      </c>
      <c r="H807" s="9" t="n">
        <v>3</v>
      </c>
      <c r="I807" s="10" t="n">
        <v>42953</v>
      </c>
      <c r="J807" s="10" t="n">
        <v>43352</v>
      </c>
      <c r="K807" s="9" t="n">
        <v>17.40963</v>
      </c>
      <c r="L807" s="9" t="n">
        <v>78.42361</v>
      </c>
      <c r="M807" s="9" t="inlineStr">
        <is>
          <t>https://www.google.com/maps/place/?q=place_id:ChIJrWuG09uWyzsRi-WjeS1mHkE</t>
        </is>
      </c>
    </row>
    <row r="808">
      <c r="A808" s="9" t="n">
        <v>804</v>
      </c>
      <c r="B808" s="9" t="inlineStr">
        <is>
          <t>Hyderabad</t>
        </is>
      </c>
      <c r="C808" s="9" t="inlineStr">
        <is>
          <t>Hyderabad</t>
        </is>
      </c>
      <c r="D808" s="9" t="inlineStr">
        <is>
          <t>Telangana</t>
        </is>
      </c>
      <c r="E808" s="9" t="inlineStr">
        <is>
          <t>India</t>
        </is>
      </c>
      <c r="F808" s="9" t="n">
        <v>3</v>
      </c>
      <c r="G808" s="9" t="n">
        <v>3</v>
      </c>
      <c r="H808" s="9" t="n">
        <v>3</v>
      </c>
      <c r="I808" s="10" t="n">
        <v>43143</v>
      </c>
      <c r="J808" s="10" t="n">
        <v>43182</v>
      </c>
      <c r="K808" s="9" t="n">
        <v>17.40871</v>
      </c>
      <c r="L808" s="9" t="n">
        <v>78.42193</v>
      </c>
      <c r="M808" s="9" t="inlineStr">
        <is>
          <t>https://www.google.com/maps/place/?q=place_id:ChIJffI2u9uWyzsR0-s5BDUe8K8</t>
        </is>
      </c>
    </row>
    <row r="809">
      <c r="A809" s="9" t="n">
        <v>805</v>
      </c>
      <c r="B809" s="9" t="inlineStr">
        <is>
          <t>Hyderabad</t>
        </is>
      </c>
      <c r="C809" s="9" t="inlineStr">
        <is>
          <t>Hyderabad</t>
        </is>
      </c>
      <c r="D809" s="9" t="inlineStr">
        <is>
          <t>Telangana</t>
        </is>
      </c>
      <c r="E809" s="9" t="inlineStr">
        <is>
          <t>India</t>
        </is>
      </c>
      <c r="F809" s="9" t="n">
        <v>3</v>
      </c>
      <c r="G809" s="9" t="n">
        <v>2</v>
      </c>
      <c r="H809" s="9" t="n">
        <v>2</v>
      </c>
      <c r="I809" s="10" t="n">
        <v>43327</v>
      </c>
      <c r="J809" s="10" t="n">
        <v>43330</v>
      </c>
      <c r="K809" s="9" t="n">
        <v>17.4153</v>
      </c>
      <c r="L809" s="9" t="n">
        <v>78.41004</v>
      </c>
      <c r="M809" s="9" t="inlineStr">
        <is>
          <t>https://www.google.com/maps/place/?q=place_id:ChIJLflAzxGayzsRDIvgnLEXhR8</t>
        </is>
      </c>
    </row>
    <row r="810">
      <c r="A810" s="9" t="n">
        <v>806</v>
      </c>
      <c r="B810" s="9" t="inlineStr">
        <is>
          <t>Hyderabad</t>
        </is>
      </c>
      <c r="C810" s="9" t="inlineStr">
        <is>
          <t>Hyderabad</t>
        </is>
      </c>
      <c r="D810" s="9" t="inlineStr">
        <is>
          <t>Telangana</t>
        </is>
      </c>
      <c r="E810" s="9" t="inlineStr">
        <is>
          <t>India</t>
        </is>
      </c>
      <c r="F810" s="9" t="n">
        <v>3</v>
      </c>
      <c r="G810" s="9" t="n">
        <v>5</v>
      </c>
      <c r="H810" s="9" t="n">
        <v>2</v>
      </c>
      <c r="I810" s="10" t="n">
        <v>43415</v>
      </c>
      <c r="J810" s="10" t="n">
        <v>43453</v>
      </c>
      <c r="K810" s="9" t="n">
        <v>17.41024</v>
      </c>
      <c r="L810" s="9" t="n">
        <v>78.43131</v>
      </c>
      <c r="M810" s="9" t="inlineStr">
        <is>
          <t>https://www.google.com/maps/place/?q=place_id:ChIJyRmACieXyzsRKuY9t2e_zRg</t>
        </is>
      </c>
    </row>
    <row r="811">
      <c r="A811" s="9" t="n">
        <v>807</v>
      </c>
      <c r="B811" s="9" t="inlineStr">
        <is>
          <t>Hyderabad</t>
        </is>
      </c>
      <c r="C811" s="9" t="inlineStr">
        <is>
          <t>Hyderabad</t>
        </is>
      </c>
      <c r="D811" s="9" t="inlineStr">
        <is>
          <t>Telangana</t>
        </is>
      </c>
      <c r="E811" s="9" t="inlineStr">
        <is>
          <t>India</t>
        </is>
      </c>
      <c r="F811" s="9" t="n">
        <v>3</v>
      </c>
      <c r="G811" s="9" t="n">
        <v>3</v>
      </c>
      <c r="H811" s="9" t="n">
        <v>3</v>
      </c>
      <c r="I811" s="10" t="n">
        <v>43468</v>
      </c>
      <c r="J811" s="10" t="n">
        <v>43791</v>
      </c>
      <c r="K811" s="9" t="n">
        <v>17.40904</v>
      </c>
      <c r="L811" s="9" t="n">
        <v>78.42888000000001</v>
      </c>
      <c r="M811" s="9" t="inlineStr">
        <is>
          <t>https://www.google.com/maps/place/?q=place_id:ChIJ5XKtUh2XyzsRkWvbL2QR2KI</t>
        </is>
      </c>
    </row>
    <row r="812">
      <c r="A812" s="9" t="n">
        <v>808</v>
      </c>
      <c r="B812" s="9" t="inlineStr">
        <is>
          <t>Hyderabad</t>
        </is>
      </c>
      <c r="C812" s="9" t="inlineStr">
        <is>
          <t>Hyderabad</t>
        </is>
      </c>
      <c r="D812" s="9" t="inlineStr">
        <is>
          <t>Telangana</t>
        </is>
      </c>
      <c r="E812" s="9" t="inlineStr">
        <is>
          <t>India</t>
        </is>
      </c>
      <c r="F812" s="9" t="n">
        <v>3</v>
      </c>
      <c r="G812" s="9" t="n">
        <v>3</v>
      </c>
      <c r="H812" s="9" t="n">
        <v>2</v>
      </c>
      <c r="I812" s="10" t="n">
        <v>43571</v>
      </c>
      <c r="J812" s="10" t="n">
        <v>43595</v>
      </c>
      <c r="K812" s="9" t="n">
        <v>17.41307</v>
      </c>
      <c r="L812" s="9" t="n">
        <v>78.42367</v>
      </c>
      <c r="M812" s="9" t="inlineStr">
        <is>
          <t>https://www.google.com/maps/place/?q=place_id:ChIJs8H-q9CWyzsR8uHBbxLF66s</t>
        </is>
      </c>
    </row>
    <row r="813">
      <c r="A813" s="9" t="n">
        <v>809</v>
      </c>
      <c r="B813" s="9" t="inlineStr">
        <is>
          <t>Hyderabad</t>
        </is>
      </c>
      <c r="C813" s="9" t="inlineStr">
        <is>
          <t>Hyderabad</t>
        </is>
      </c>
      <c r="D813" s="9" t="inlineStr">
        <is>
          <t>Telangana</t>
        </is>
      </c>
      <c r="E813" s="9" t="inlineStr">
        <is>
          <t>India</t>
        </is>
      </c>
      <c r="F813" s="9" t="n">
        <v>3</v>
      </c>
      <c r="G813" s="9" t="n">
        <v>6</v>
      </c>
      <c r="H813" s="9" t="n">
        <v>3</v>
      </c>
      <c r="I813" s="10" t="n">
        <v>44059</v>
      </c>
      <c r="J813" s="10" t="n">
        <v>45163</v>
      </c>
      <c r="K813" s="9" t="n">
        <v>17.41106</v>
      </c>
      <c r="L813" s="9" t="n">
        <v>78.42971</v>
      </c>
      <c r="M813" s="9" t="inlineStr">
        <is>
          <t>https://www.google.com/maps/place/?q=place_id:ChIJP88qdtiWyzsRyncRsKVxdc0</t>
        </is>
      </c>
    </row>
    <row r="814">
      <c r="A814" s="9" t="n">
        <v>810</v>
      </c>
      <c r="B814" s="9" t="inlineStr">
        <is>
          <t>Kukatpally</t>
        </is>
      </c>
      <c r="C814" s="9" t="inlineStr">
        <is>
          <t>Hyderabad</t>
        </is>
      </c>
      <c r="D814" s="9" t="inlineStr">
        <is>
          <t>Telangana</t>
        </is>
      </c>
      <c r="E814" s="9" t="inlineStr">
        <is>
          <t>India</t>
        </is>
      </c>
      <c r="F814" s="9" t="n">
        <v>3</v>
      </c>
      <c r="G814" s="9" t="n">
        <v>2</v>
      </c>
      <c r="H814" s="9" t="n">
        <v>2</v>
      </c>
      <c r="I814" s="10" t="n">
        <v>44141</v>
      </c>
      <c r="J814" s="10" t="n">
        <v>44144</v>
      </c>
      <c r="K814" s="9" t="n">
        <v>17.42141</v>
      </c>
      <c r="L814" s="9" t="n">
        <v>78.40098999999999</v>
      </c>
      <c r="M814" s="9" t="inlineStr">
        <is>
          <t>https://www.google.com/maps/place/?q=place_id:ChIJNSraYLOWyzsRUAm6KGvbprg</t>
        </is>
      </c>
    </row>
    <row r="815">
      <c r="A815" s="9" t="n">
        <v>811</v>
      </c>
      <c r="B815" s="9" t="inlineStr">
        <is>
          <t>Hyderabad</t>
        </is>
      </c>
      <c r="C815" s="9" t="inlineStr">
        <is>
          <t>Hyderabad</t>
        </is>
      </c>
      <c r="D815" s="9" t="inlineStr">
        <is>
          <t>Telangana</t>
        </is>
      </c>
      <c r="E815" s="9" t="inlineStr">
        <is>
          <t>India</t>
        </is>
      </c>
      <c r="F815" s="9" t="n">
        <v>3</v>
      </c>
      <c r="G815" s="9" t="n">
        <v>5</v>
      </c>
      <c r="H815" s="9" t="n">
        <v>3</v>
      </c>
      <c r="I815" s="10" t="n">
        <v>44295</v>
      </c>
      <c r="J815" s="10" t="n">
        <v>45068</v>
      </c>
      <c r="K815" s="9" t="n">
        <v>17.41</v>
      </c>
      <c r="L815" s="9" t="n">
        <v>78.4294</v>
      </c>
      <c r="M815" s="9" t="inlineStr">
        <is>
          <t>https://www.google.com/maps/place/?q=place_id:ChIJ9ZjPgNiWyzsRKJ1VceXJX1Y</t>
        </is>
      </c>
    </row>
    <row r="816">
      <c r="A816" s="9" t="n">
        <v>812</v>
      </c>
      <c r="B816" s="9" t="inlineStr">
        <is>
          <t>Kukatpally</t>
        </is>
      </c>
      <c r="C816" s="9" t="inlineStr">
        <is>
          <t>Hyderabad</t>
        </is>
      </c>
      <c r="D816" s="9" t="inlineStr">
        <is>
          <t>Telangana</t>
        </is>
      </c>
      <c r="E816" s="9" t="inlineStr">
        <is>
          <t>India</t>
        </is>
      </c>
      <c r="F816" s="9" t="n">
        <v>3</v>
      </c>
      <c r="G816" s="9" t="n">
        <v>3</v>
      </c>
      <c r="H816" s="9" t="n">
        <v>3</v>
      </c>
      <c r="I816" s="10" t="n">
        <v>44519</v>
      </c>
      <c r="J816" s="10" t="n">
        <v>44649</v>
      </c>
      <c r="K816" s="9" t="n">
        <v>17.50483</v>
      </c>
      <c r="L816" s="9" t="n">
        <v>78.39277</v>
      </c>
      <c r="M816" s="9" t="inlineStr">
        <is>
          <t>https://www.google.com/maps/place/?q=place_id:ChIJp_tEeAeRyzsR1vukZ9EEex8</t>
        </is>
      </c>
    </row>
    <row r="817">
      <c r="A817" s="9" t="n">
        <v>813</v>
      </c>
      <c r="B817" s="9" t="inlineStr">
        <is>
          <t>Kukatpally</t>
        </is>
      </c>
      <c r="C817" s="9" t="inlineStr">
        <is>
          <t>Hyderabad</t>
        </is>
      </c>
      <c r="D817" s="9" t="inlineStr">
        <is>
          <t>Telangana</t>
        </is>
      </c>
      <c r="E817" s="9" t="inlineStr">
        <is>
          <t>India</t>
        </is>
      </c>
      <c r="F817" s="9" t="n">
        <v>3</v>
      </c>
      <c r="G817" s="9" t="n">
        <v>3</v>
      </c>
      <c r="H817" s="9" t="n">
        <v>3</v>
      </c>
      <c r="I817" s="10" t="n">
        <v>44956</v>
      </c>
      <c r="J817" s="10" t="n">
        <v>45534</v>
      </c>
      <c r="K817" s="9" t="n">
        <v>17.43391</v>
      </c>
      <c r="L817" s="9" t="n">
        <v>78.37881</v>
      </c>
      <c r="M817" s="9" t="inlineStr">
        <is>
          <t>https://www.google.com/maps/place/?q=place_id:ChIJDwtBGL2TyzsRzlgYieo_fo0</t>
        </is>
      </c>
    </row>
    <row r="818">
      <c r="A818" s="9" t="n">
        <v>814</v>
      </c>
      <c r="B818" s="9" t="inlineStr">
        <is>
          <t>Kukatpally</t>
        </is>
      </c>
      <c r="C818" s="9" t="inlineStr">
        <is>
          <t>Hyderabad</t>
        </is>
      </c>
      <c r="D818" s="9" t="inlineStr">
        <is>
          <t>Telangana</t>
        </is>
      </c>
      <c r="E818" s="9" t="inlineStr">
        <is>
          <t>India</t>
        </is>
      </c>
      <c r="F818" s="9" t="n">
        <v>3</v>
      </c>
      <c r="G818" s="9" t="n">
        <v>3</v>
      </c>
      <c r="H818" s="9" t="n">
        <v>2</v>
      </c>
      <c r="I818" s="10" t="n">
        <v>44977</v>
      </c>
      <c r="J818" s="10" t="n">
        <v>45000</v>
      </c>
      <c r="K818" s="9" t="n">
        <v>17.43773</v>
      </c>
      <c r="L818" s="9" t="n">
        <v>78.40102</v>
      </c>
      <c r="M818" s="9" t="inlineStr">
        <is>
          <t>https://www.google.com/maps/place/?q=place_id:ChIJExFsK0SRyzsRoGhvX7tY3sM</t>
        </is>
      </c>
    </row>
    <row r="819">
      <c r="A819" s="9" t="n">
        <v>815</v>
      </c>
      <c r="B819" s="9" t="inlineStr">
        <is>
          <t>Kukatpally</t>
        </is>
      </c>
      <c r="C819" s="9" t="inlineStr">
        <is>
          <t>Hyderabad</t>
        </is>
      </c>
      <c r="D819" s="9" t="inlineStr">
        <is>
          <t>Telangana</t>
        </is>
      </c>
      <c r="E819" s="9" t="inlineStr">
        <is>
          <t>India</t>
        </is>
      </c>
      <c r="F819" s="9" t="n">
        <v>3</v>
      </c>
      <c r="G819" s="9" t="n">
        <v>3</v>
      </c>
      <c r="H819" s="9" t="n">
        <v>3</v>
      </c>
      <c r="I819" s="10" t="n">
        <v>44986</v>
      </c>
      <c r="J819" s="10" t="n">
        <v>45044</v>
      </c>
      <c r="K819" s="9" t="n">
        <v>17.43423</v>
      </c>
      <c r="L819" s="9" t="n">
        <v>78.37515</v>
      </c>
      <c r="M819" s="9" t="inlineStr">
        <is>
          <t>https://www.google.com/maps/place/?q=place_id:ChIJNTcem4STyzsRuDig7ys9RHk</t>
        </is>
      </c>
    </row>
    <row r="820">
      <c r="A820" s="9" t="n">
        <v>816</v>
      </c>
      <c r="B820" s="9" t="inlineStr">
        <is>
          <t>Serilingampalle</t>
        </is>
      </c>
      <c r="C820" s="9" t="inlineStr">
        <is>
          <t>Hyderabad</t>
        </is>
      </c>
      <c r="D820" s="9" t="inlineStr">
        <is>
          <t>Telangana</t>
        </is>
      </c>
      <c r="E820" s="9" t="inlineStr">
        <is>
          <t>India</t>
        </is>
      </c>
      <c r="F820" s="9" t="n">
        <v>3</v>
      </c>
      <c r="G820" s="9" t="n">
        <v>3</v>
      </c>
      <c r="H820" s="9" t="n">
        <v>1</v>
      </c>
      <c r="I820" s="10" t="n">
        <v>45052</v>
      </c>
      <c r="J820" s="10" t="n">
        <v>45054</v>
      </c>
      <c r="K820" s="9" t="n">
        <v>17.38809</v>
      </c>
      <c r="L820" s="9" t="n">
        <v>78.34175999999999</v>
      </c>
      <c r="M820" s="9" t="inlineStr">
        <is>
          <t>https://www.google.com/maps/place/?q=place_id:ChIJUVb5SGCUyzsRymUq4EkVW4U</t>
        </is>
      </c>
    </row>
    <row r="821">
      <c r="A821" s="9" t="n">
        <v>817</v>
      </c>
      <c r="B821" s="9" t="inlineStr">
        <is>
          <t>Serilingampalle</t>
        </is>
      </c>
      <c r="C821" s="9" t="inlineStr">
        <is>
          <t>Hyderabad</t>
        </is>
      </c>
      <c r="D821" s="9" t="inlineStr">
        <is>
          <t>Telangana</t>
        </is>
      </c>
      <c r="E821" s="9" t="inlineStr">
        <is>
          <t>India</t>
        </is>
      </c>
      <c r="F821" s="9" t="n">
        <v>3</v>
      </c>
      <c r="G821" s="9" t="n">
        <v>3</v>
      </c>
      <c r="H821" s="9" t="n">
        <v>3</v>
      </c>
      <c r="I821" s="10" t="n">
        <v>45192</v>
      </c>
      <c r="J821" s="10" t="n">
        <v>45957</v>
      </c>
      <c r="K821" s="9" t="n">
        <v>17.39761</v>
      </c>
      <c r="L821" s="9" t="n">
        <v>78.34084</v>
      </c>
      <c r="M821" s="9" t="inlineStr">
        <is>
          <t>https://www.google.com/maps/place/?q=place_id:ChIJW7ZCZAOVyzsRArq37AQaBM4</t>
        </is>
      </c>
    </row>
    <row r="822">
      <c r="A822" s="9" t="n">
        <v>818</v>
      </c>
      <c r="B822" s="9" t="inlineStr">
        <is>
          <t>Hyderabad</t>
        </is>
      </c>
      <c r="C822" s="9" t="inlineStr">
        <is>
          <t>Hyderabad</t>
        </is>
      </c>
      <c r="D822" s="9" t="inlineStr">
        <is>
          <t>Telangana</t>
        </is>
      </c>
      <c r="E822" s="9" t="inlineStr">
        <is>
          <t>India</t>
        </is>
      </c>
      <c r="F822" s="9" t="n">
        <v>3</v>
      </c>
      <c r="G822" s="9" t="n">
        <v>3</v>
      </c>
      <c r="H822" s="9" t="n">
        <v>3</v>
      </c>
      <c r="I822" s="10" t="n">
        <v>45386</v>
      </c>
      <c r="J822" s="10" t="n">
        <v>45400</v>
      </c>
      <c r="K822" s="9" t="n">
        <v>17.40986</v>
      </c>
      <c r="L822" s="9" t="n">
        <v>78.42935</v>
      </c>
      <c r="M822" s="9" t="inlineStr">
        <is>
          <t>https://www.google.com/maps/place/?q=place_id:ChIJ725Hn7qXyzsRnZWLpG0RHWc</t>
        </is>
      </c>
    </row>
    <row r="823">
      <c r="A823" s="9" t="n">
        <v>819</v>
      </c>
      <c r="B823" s="9" t="inlineStr">
        <is>
          <t>Serilingampalle</t>
        </is>
      </c>
      <c r="C823" s="9" t="inlineStr">
        <is>
          <t>Hyderabad</t>
        </is>
      </c>
      <c r="D823" s="9" t="inlineStr">
        <is>
          <t>Telangana</t>
        </is>
      </c>
      <c r="E823" s="9" t="inlineStr">
        <is>
          <t>India</t>
        </is>
      </c>
      <c r="F823" s="9" t="n">
        <v>3</v>
      </c>
      <c r="G823" s="9" t="n">
        <v>3</v>
      </c>
      <c r="H823" s="9" t="n">
        <v>3</v>
      </c>
      <c r="I823" s="10" t="n">
        <v>45522</v>
      </c>
      <c r="J823" s="10" t="n">
        <v>45816</v>
      </c>
      <c r="K823" s="9" t="n">
        <v>17.39683</v>
      </c>
      <c r="L823" s="9" t="n">
        <v>78.34029</v>
      </c>
      <c r="M823" s="9" t="inlineStr">
        <is>
          <t>https://www.google.com/maps/place/?q=place_id:ChIJLbd4HrSVyzsRMA8jRV_sCN4</t>
        </is>
      </c>
    </row>
    <row r="824">
      <c r="A824" s="9" t="n">
        <v>820</v>
      </c>
      <c r="B824" s="9" t="inlineStr">
        <is>
          <t>Hyderabad</t>
        </is>
      </c>
      <c r="C824" s="9" t="inlineStr">
        <is>
          <t>Hyderabad</t>
        </is>
      </c>
      <c r="D824" s="9" t="inlineStr">
        <is>
          <t>Telangana</t>
        </is>
      </c>
      <c r="E824" s="9" t="inlineStr">
        <is>
          <t>India</t>
        </is>
      </c>
      <c r="F824" s="9" t="n">
        <v>3</v>
      </c>
      <c r="G824" s="9" t="n">
        <v>27</v>
      </c>
      <c r="H824" s="9" t="n">
        <v>2</v>
      </c>
      <c r="I824" s="10" t="n">
        <v>45750</v>
      </c>
      <c r="J824" s="10" t="n">
        <v>45816</v>
      </c>
      <c r="K824" s="9" t="n">
        <v>17.40908</v>
      </c>
      <c r="L824" s="9" t="n">
        <v>78.43132</v>
      </c>
      <c r="M824" s="9" t="inlineStr">
        <is>
          <t>https://www.google.com/maps/place/?q=place_id:ChIJaXOGt_aXyzsRCTwbOsxN-ls</t>
        </is>
      </c>
    </row>
    <row r="825">
      <c r="A825" s="9" t="n">
        <v>821</v>
      </c>
      <c r="B825" s="9" t="inlineStr">
        <is>
          <t>Hyderabad</t>
        </is>
      </c>
      <c r="C825" s="9" t="inlineStr">
        <is>
          <t>Hyderabad</t>
        </is>
      </c>
      <c r="D825" s="9" t="inlineStr">
        <is>
          <t>Telangana</t>
        </is>
      </c>
      <c r="E825" s="9" t="inlineStr">
        <is>
          <t>India</t>
        </is>
      </c>
      <c r="F825" s="9" t="n">
        <v>2</v>
      </c>
      <c r="G825" s="9" t="n">
        <v>2</v>
      </c>
      <c r="H825" s="9" t="n">
        <v>2</v>
      </c>
      <c r="I825" s="10" t="n">
        <v>42066</v>
      </c>
      <c r="J825" s="10" t="n">
        <v>42565</v>
      </c>
      <c r="K825" s="9" t="n">
        <v>17.41183</v>
      </c>
      <c r="L825" s="9" t="n">
        <v>78.45487</v>
      </c>
      <c r="M825" s="9" t="inlineStr">
        <is>
          <t>https://www.google.com/maps/place/?q=place_id:ChIJyeknGUeXyzsRthjO79K-XUs</t>
        </is>
      </c>
    </row>
    <row r="826">
      <c r="A826" s="9" t="n">
        <v>822</v>
      </c>
      <c r="B826" s="9" t="inlineStr">
        <is>
          <t>Hyderabad</t>
        </is>
      </c>
      <c r="C826" s="9" t="inlineStr">
        <is>
          <t>Hyderabad</t>
        </is>
      </c>
      <c r="D826" s="9" t="inlineStr">
        <is>
          <t>Telangana</t>
        </is>
      </c>
      <c r="E826" s="9" t="inlineStr">
        <is>
          <t>India</t>
        </is>
      </c>
      <c r="F826" s="9" t="n">
        <v>2</v>
      </c>
      <c r="G826" s="9" t="n">
        <v>2</v>
      </c>
      <c r="H826" s="9" t="n">
        <v>2</v>
      </c>
      <c r="I826" s="10" t="n">
        <v>42199</v>
      </c>
      <c r="J826" s="10" t="n">
        <v>44465</v>
      </c>
      <c r="K826" s="9" t="n">
        <v>17.40624</v>
      </c>
      <c r="L826" s="9" t="n">
        <v>78.46906</v>
      </c>
      <c r="M826" s="9" t="inlineStr">
        <is>
          <t>https://www.google.com/maps/place/?q=place_id:ChIJBcAk0V2XyzsRjing1vqfQ1k</t>
        </is>
      </c>
    </row>
    <row r="827">
      <c r="A827" s="9" t="n">
        <v>823</v>
      </c>
      <c r="B827" s="9" t="inlineStr">
        <is>
          <t>Malkajgiri</t>
        </is>
      </c>
      <c r="C827" s="9" t="inlineStr">
        <is>
          <t>Hyderabad</t>
        </is>
      </c>
      <c r="D827" s="9" t="inlineStr">
        <is>
          <t>Telangana</t>
        </is>
      </c>
      <c r="E827" s="9" t="inlineStr">
        <is>
          <t>India</t>
        </is>
      </c>
      <c r="F827" s="9" t="n">
        <v>2</v>
      </c>
      <c r="G827" s="9" t="n">
        <v>2</v>
      </c>
      <c r="H827" s="9" t="n">
        <v>2</v>
      </c>
      <c r="I827" s="10" t="n">
        <v>42402</v>
      </c>
      <c r="J827" s="10" t="n">
        <v>42426</v>
      </c>
      <c r="K827" s="9" t="n">
        <v>17.45651</v>
      </c>
      <c r="L827" s="9" t="n">
        <v>78.49936</v>
      </c>
      <c r="M827" s="9" t="inlineStr">
        <is>
          <t>https://www.google.com/maps/place/?q=place_id:ChIJb0MaFUOayzsRjKWurrsMWcE</t>
        </is>
      </c>
    </row>
    <row r="828">
      <c r="A828" s="9" t="n">
        <v>824</v>
      </c>
      <c r="B828" s="9" t="inlineStr">
        <is>
          <t>Hyderabad</t>
        </is>
      </c>
      <c r="C828" s="9" t="inlineStr">
        <is>
          <t>Hyderabad</t>
        </is>
      </c>
      <c r="D828" s="9" t="inlineStr">
        <is>
          <t>Telangana</t>
        </is>
      </c>
      <c r="E828" s="9" t="inlineStr">
        <is>
          <t>India</t>
        </is>
      </c>
      <c r="F828" s="9" t="n">
        <v>2</v>
      </c>
      <c r="G828" s="9" t="n">
        <v>2</v>
      </c>
      <c r="H828" s="9" t="n">
        <v>1</v>
      </c>
      <c r="I828" s="10" t="n">
        <v>42423</v>
      </c>
      <c r="J828" s="10" t="n">
        <v>42424</v>
      </c>
      <c r="K828" s="9" t="n">
        <v>17.40977</v>
      </c>
      <c r="L828" s="9" t="n">
        <v>78.42943</v>
      </c>
      <c r="M828" s="9" t="inlineStr">
        <is>
          <t>https://www.google.com/maps/place/?q=place_id:ChIJAwtIgdiWyzsRZpndwH61Gfo</t>
        </is>
      </c>
    </row>
    <row r="829">
      <c r="A829" s="9" t="n">
        <v>825</v>
      </c>
      <c r="B829" s="9" t="inlineStr">
        <is>
          <t>Malkajgiri</t>
        </is>
      </c>
      <c r="C829" s="9" t="inlineStr">
        <is>
          <t>Hyderabad</t>
        </is>
      </c>
      <c r="D829" s="9" t="inlineStr">
        <is>
          <t>Telangana</t>
        </is>
      </c>
      <c r="E829" s="9" t="inlineStr">
        <is>
          <t>India</t>
        </is>
      </c>
      <c r="F829" s="9" t="n">
        <v>2</v>
      </c>
      <c r="G829" s="9" t="n">
        <v>2</v>
      </c>
      <c r="H829" s="9" t="n">
        <v>2</v>
      </c>
      <c r="I829" s="10" t="n">
        <v>42478</v>
      </c>
      <c r="J829" s="10" t="n">
        <v>42575</v>
      </c>
      <c r="K829" s="9" t="n">
        <v>17.44377</v>
      </c>
      <c r="L829" s="9" t="n">
        <v>78.49563999999999</v>
      </c>
      <c r="M829" s="9" t="inlineStr">
        <is>
          <t>https://www.google.com/maps/place/?q=place_id:ChIJmzdpUBaayzsR-tSRB_JWmD0</t>
        </is>
      </c>
    </row>
    <row r="830">
      <c r="A830" s="9" t="n">
        <v>826</v>
      </c>
      <c r="B830" s="9" t="inlineStr">
        <is>
          <t>Hyderabad</t>
        </is>
      </c>
      <c r="C830" s="9" t="inlineStr">
        <is>
          <t>Hyderabad</t>
        </is>
      </c>
      <c r="D830" s="9" t="inlineStr">
        <is>
          <t>Telangana</t>
        </is>
      </c>
      <c r="E830" s="9" t="inlineStr">
        <is>
          <t>India</t>
        </is>
      </c>
      <c r="F830" s="9" t="n">
        <v>2</v>
      </c>
      <c r="G830" s="9" t="n">
        <v>2</v>
      </c>
      <c r="H830" s="9" t="n">
        <v>2</v>
      </c>
      <c r="I830" s="10" t="n">
        <v>42479</v>
      </c>
      <c r="J830" s="10" t="n">
        <v>42509</v>
      </c>
      <c r="K830" s="9" t="n">
        <v>17.40967</v>
      </c>
      <c r="L830" s="9" t="n">
        <v>78.4297</v>
      </c>
      <c r="M830" s="9" t="inlineStr">
        <is>
          <t>https://www.google.com/maps/place/?q=place_id:ChIJD_ZxgtiWyzsRSwB9rxn9Uik</t>
        </is>
      </c>
    </row>
    <row r="831">
      <c r="A831" s="9" t="n">
        <v>827</v>
      </c>
      <c r="B831" s="9" t="inlineStr">
        <is>
          <t>Malkajgiri</t>
        </is>
      </c>
      <c r="C831" s="9" t="inlineStr">
        <is>
          <t>Hyderabad</t>
        </is>
      </c>
      <c r="D831" s="9" t="inlineStr">
        <is>
          <t>Telangana</t>
        </is>
      </c>
      <c r="E831" s="9" t="inlineStr">
        <is>
          <t>India</t>
        </is>
      </c>
      <c r="F831" s="9" t="n">
        <v>2</v>
      </c>
      <c r="G831" s="9" t="n">
        <v>2</v>
      </c>
      <c r="H831" s="9" t="n">
        <v>1</v>
      </c>
      <c r="I831" s="10" t="n">
        <v>42522</v>
      </c>
      <c r="J831" s="10" t="n">
        <v>42524</v>
      </c>
      <c r="K831" s="9" t="n">
        <v>17.43368</v>
      </c>
      <c r="L831" s="9" t="n">
        <v>78.48827</v>
      </c>
      <c r="M831" s="9" t="inlineStr">
        <is>
          <t>https://www.google.com/maps/place/?q=place_id:ChIJB-GVnhyayzsRvRS_FIsybC0</t>
        </is>
      </c>
    </row>
    <row r="832">
      <c r="A832" s="9" t="n">
        <v>828</v>
      </c>
      <c r="B832" s="9" t="inlineStr">
        <is>
          <t>Kukatpally</t>
        </is>
      </c>
      <c r="C832" s="9" t="inlineStr">
        <is>
          <t>Hyderabad</t>
        </is>
      </c>
      <c r="D832" s="9" t="inlineStr">
        <is>
          <t>Telangana</t>
        </is>
      </c>
      <c r="E832" s="9" t="inlineStr">
        <is>
          <t>India</t>
        </is>
      </c>
      <c r="F832" s="9" t="n">
        <v>2</v>
      </c>
      <c r="G832" s="9" t="n">
        <v>2</v>
      </c>
      <c r="H832" s="9" t="n">
        <v>2</v>
      </c>
      <c r="I832" s="10" t="n">
        <v>42523</v>
      </c>
      <c r="J832" s="10" t="n">
        <v>43502</v>
      </c>
      <c r="K832" s="9" t="n">
        <v>17.45051</v>
      </c>
      <c r="L832" s="9" t="n">
        <v>78.38086</v>
      </c>
      <c r="M832" s="9" t="inlineStr">
        <is>
          <t>https://www.google.com/maps/place/?q=place_id:ChIJ1_D22d6TyzsRYwvVAF0e2aM</t>
        </is>
      </c>
    </row>
    <row r="833">
      <c r="A833" s="9" t="n">
        <v>829</v>
      </c>
      <c r="B833" s="9" t="inlineStr">
        <is>
          <t>Malkajgiri</t>
        </is>
      </c>
      <c r="C833" s="9" t="inlineStr">
        <is>
          <t>Hyderabad</t>
        </is>
      </c>
      <c r="D833" s="9" t="inlineStr">
        <is>
          <t>Telangana</t>
        </is>
      </c>
      <c r="E833" s="9" t="inlineStr">
        <is>
          <t>India</t>
        </is>
      </c>
      <c r="F833" s="9" t="n">
        <v>2</v>
      </c>
      <c r="G833" s="9" t="n">
        <v>2</v>
      </c>
      <c r="H833" s="9" t="n">
        <v>2</v>
      </c>
      <c r="I833" s="10" t="n">
        <v>42524</v>
      </c>
      <c r="J833" s="10" t="n">
        <v>42733</v>
      </c>
      <c r="K833" s="9" t="n">
        <v>17.44146</v>
      </c>
      <c r="L833" s="9" t="n">
        <v>78.48989</v>
      </c>
      <c r="M833" s="9" t="inlineStr">
        <is>
          <t>https://www.google.com/maps/place/?q=place_id:ChIJG4Lch82ZyzsR9xa8H81ig7o</t>
        </is>
      </c>
    </row>
    <row r="834">
      <c r="A834" s="9" t="n">
        <v>830</v>
      </c>
      <c r="B834" s="9" t="inlineStr">
        <is>
          <t>Hyderabad</t>
        </is>
      </c>
      <c r="C834" s="9" t="inlineStr">
        <is>
          <t>Hyderabad</t>
        </is>
      </c>
      <c r="D834" s="9" t="inlineStr">
        <is>
          <t>Telangana</t>
        </is>
      </c>
      <c r="E834" s="9" t="inlineStr">
        <is>
          <t>India</t>
        </is>
      </c>
      <c r="F834" s="9" t="n">
        <v>2</v>
      </c>
      <c r="G834" s="9" t="n">
        <v>2</v>
      </c>
      <c r="H834" s="9" t="n">
        <v>2</v>
      </c>
      <c r="I834" s="10" t="n">
        <v>42563</v>
      </c>
      <c r="J834" s="10" t="n">
        <v>42878</v>
      </c>
      <c r="K834" s="9" t="n">
        <v>17.37647</v>
      </c>
      <c r="L834" s="9" t="n">
        <v>78.47134</v>
      </c>
      <c r="M834" s="9" t="inlineStr">
        <is>
          <t>https://www.google.com/maps/place/?q=place_id:ChIJlZK8FoGXyzsRne-GRyDlAJ4</t>
        </is>
      </c>
    </row>
    <row r="835">
      <c r="A835" s="9" t="n">
        <v>831</v>
      </c>
      <c r="B835" s="9" t="inlineStr">
        <is>
          <t>Hyderabad</t>
        </is>
      </c>
      <c r="C835" s="9" t="inlineStr">
        <is>
          <t>Hyderabad</t>
        </is>
      </c>
      <c r="D835" s="9" t="inlineStr">
        <is>
          <t>Telangana</t>
        </is>
      </c>
      <c r="E835" s="9" t="inlineStr">
        <is>
          <t>India</t>
        </is>
      </c>
      <c r="F835" s="9" t="n">
        <v>2</v>
      </c>
      <c r="G835" s="9" t="n">
        <v>2</v>
      </c>
      <c r="H835" s="9" t="n">
        <v>2</v>
      </c>
      <c r="I835" s="10" t="n">
        <v>42584</v>
      </c>
      <c r="J835" s="10" t="n">
        <v>42937</v>
      </c>
      <c r="K835" s="9" t="n">
        <v>17.42827</v>
      </c>
      <c r="L835" s="9" t="n">
        <v>78.44291</v>
      </c>
      <c r="M835" s="9" t="inlineStr">
        <is>
          <t>https://www.google.com/maps/place/?q=place_id:ChIJ198Id82QyzsR85a2qHorSHc</t>
        </is>
      </c>
    </row>
    <row r="836">
      <c r="A836" s="9" t="n">
        <v>832</v>
      </c>
      <c r="B836" s="9" t="inlineStr">
        <is>
          <t>Hyderabad</t>
        </is>
      </c>
      <c r="C836" s="9" t="inlineStr">
        <is>
          <t>Hyderabad</t>
        </is>
      </c>
      <c r="D836" s="9" t="inlineStr">
        <is>
          <t>Telangana</t>
        </is>
      </c>
      <c r="E836" s="9" t="inlineStr">
        <is>
          <t>India</t>
        </is>
      </c>
      <c r="F836" s="9" t="n">
        <v>2</v>
      </c>
      <c r="G836" s="9" t="n">
        <v>2</v>
      </c>
      <c r="H836" s="9" t="n">
        <v>1</v>
      </c>
      <c r="I836" s="10" t="n">
        <v>42591</v>
      </c>
      <c r="J836" s="10" t="n">
        <v>42592</v>
      </c>
      <c r="K836" s="9" t="n">
        <v>17.37212</v>
      </c>
      <c r="L836" s="9" t="n">
        <v>78.46911</v>
      </c>
      <c r="M836" s="9" t="inlineStr">
        <is>
          <t>https://www.google.com/maps/place/?q=place_id:ChIJO57tLoSXyzsR7dhA-_sLhw4</t>
        </is>
      </c>
    </row>
    <row r="837">
      <c r="A837" s="9" t="n">
        <v>833</v>
      </c>
      <c r="B837" s="9" t="inlineStr">
        <is>
          <t>Hyderabad</t>
        </is>
      </c>
      <c r="C837" s="9" t="inlineStr">
        <is>
          <t>Hyderabad</t>
        </is>
      </c>
      <c r="D837" s="9" t="inlineStr">
        <is>
          <t>Telangana</t>
        </is>
      </c>
      <c r="E837" s="9" t="inlineStr">
        <is>
          <t>India</t>
        </is>
      </c>
      <c r="F837" s="9" t="n">
        <v>2</v>
      </c>
      <c r="G837" s="9" t="n">
        <v>2</v>
      </c>
      <c r="H837" s="9" t="n">
        <v>2</v>
      </c>
      <c r="I837" s="10" t="n">
        <v>42591</v>
      </c>
      <c r="J837" s="10" t="n">
        <v>42941</v>
      </c>
      <c r="K837" s="9" t="n">
        <v>17.36859</v>
      </c>
      <c r="L837" s="9" t="n">
        <v>78.46962000000001</v>
      </c>
      <c r="M837" s="9" t="inlineStr">
        <is>
          <t>https://www.google.com/maps/place/?q=place_id:ChIJeydLeoiXyzsR6ki1Hhup_SY</t>
        </is>
      </c>
    </row>
    <row r="838">
      <c r="A838" s="9" t="n">
        <v>834</v>
      </c>
      <c r="B838" s="9" t="inlineStr">
        <is>
          <t>Malkajgiri</t>
        </is>
      </c>
      <c r="C838" s="9" t="inlineStr">
        <is>
          <t>Hyderabad</t>
        </is>
      </c>
      <c r="D838" s="9" t="inlineStr">
        <is>
          <t>Telangana</t>
        </is>
      </c>
      <c r="E838" s="9" t="inlineStr">
        <is>
          <t>India</t>
        </is>
      </c>
      <c r="F838" s="9" t="n">
        <v>2</v>
      </c>
      <c r="G838" s="9" t="n">
        <v>2</v>
      </c>
      <c r="H838" s="9" t="n">
        <v>2</v>
      </c>
      <c r="I838" s="10" t="n">
        <v>42681</v>
      </c>
      <c r="J838" s="10" t="n">
        <v>42762</v>
      </c>
      <c r="K838" s="9" t="n">
        <v>17.47511</v>
      </c>
      <c r="L838" s="9" t="n">
        <v>78.50919</v>
      </c>
      <c r="M838" s="9" t="inlineStr">
        <is>
          <t>https://www.google.com/maps/place/?q=place_id:ChIJf4MimleayzsRcG4t_s58s-4</t>
        </is>
      </c>
    </row>
    <row r="839">
      <c r="A839" s="9" t="n">
        <v>835</v>
      </c>
      <c r="B839" s="9" t="inlineStr">
        <is>
          <t>Hyderabad</t>
        </is>
      </c>
      <c r="C839" s="9" t="inlineStr">
        <is>
          <t>Hyderabad</t>
        </is>
      </c>
      <c r="D839" s="9" t="inlineStr">
        <is>
          <t>Telangana</t>
        </is>
      </c>
      <c r="E839" s="9" t="inlineStr">
        <is>
          <t>India</t>
        </is>
      </c>
      <c r="F839" s="9" t="n">
        <v>2</v>
      </c>
      <c r="G839" s="9" t="n">
        <v>2</v>
      </c>
      <c r="H839" s="9" t="n">
        <v>2</v>
      </c>
      <c r="I839" s="10" t="n">
        <v>42683</v>
      </c>
      <c r="J839" s="10" t="n">
        <v>42831</v>
      </c>
      <c r="K839" s="9" t="n">
        <v>17.36574</v>
      </c>
      <c r="L839" s="9" t="n">
        <v>78.47526999999999</v>
      </c>
      <c r="M839" s="9" t="inlineStr">
        <is>
          <t>https://www.google.com/maps/place/?q=place_id:ChIJJzWUfSeYyzsRSaVmzxzRzK4</t>
        </is>
      </c>
    </row>
    <row r="840">
      <c r="A840" s="9" t="n">
        <v>836</v>
      </c>
      <c r="B840" s="9" t="inlineStr">
        <is>
          <t>Hyderabad</t>
        </is>
      </c>
      <c r="C840" s="9" t="inlineStr">
        <is>
          <t>Hyderabad</t>
        </is>
      </c>
      <c r="D840" s="9" t="inlineStr">
        <is>
          <t>Telangana</t>
        </is>
      </c>
      <c r="E840" s="9" t="inlineStr">
        <is>
          <t>India</t>
        </is>
      </c>
      <c r="F840" s="9" t="n">
        <v>2</v>
      </c>
      <c r="G840" s="9" t="n">
        <v>2</v>
      </c>
      <c r="H840" s="9" t="n">
        <v>2</v>
      </c>
      <c r="I840" s="10" t="n">
        <v>42699</v>
      </c>
      <c r="J840" s="10" t="n">
        <v>43154</v>
      </c>
      <c r="K840" s="9" t="n">
        <v>17.33478</v>
      </c>
      <c r="L840" s="9" t="n">
        <v>78.44280999999999</v>
      </c>
      <c r="M840" s="9" t="inlineStr">
        <is>
          <t>https://www.google.com/maps/place/?q=place_id:ChIJy6lHSdiXyzsRjsTSe4sZQiE</t>
        </is>
      </c>
    </row>
    <row r="841">
      <c r="A841" s="9" t="n">
        <v>837</v>
      </c>
      <c r="B841" s="9" t="inlineStr">
        <is>
          <t>Hyderabad</t>
        </is>
      </c>
      <c r="C841" s="9" t="inlineStr">
        <is>
          <t>Hyderabad</t>
        </is>
      </c>
      <c r="D841" s="9" t="inlineStr">
        <is>
          <t>Telangana</t>
        </is>
      </c>
      <c r="E841" s="9" t="inlineStr">
        <is>
          <t>India</t>
        </is>
      </c>
      <c r="F841" s="9" t="n">
        <v>2</v>
      </c>
      <c r="G841" s="9" t="n">
        <v>2</v>
      </c>
      <c r="H841" s="9" t="n">
        <v>2</v>
      </c>
      <c r="I841" s="10" t="n">
        <v>42702</v>
      </c>
      <c r="J841" s="10" t="n">
        <v>42710</v>
      </c>
      <c r="K841" s="9" t="n">
        <v>17.40906</v>
      </c>
      <c r="L841" s="9" t="n">
        <v>78.43307</v>
      </c>
      <c r="M841" s="9" t="inlineStr">
        <is>
          <t>https://www.google.com/maps/place/?q=place_id:ChIJ57MD5yaXyzsRUk1UiucuiwE</t>
        </is>
      </c>
    </row>
    <row r="842">
      <c r="A842" s="9" t="n">
        <v>838</v>
      </c>
      <c r="B842" s="9" t="inlineStr">
        <is>
          <t>Hyderabad</t>
        </is>
      </c>
      <c r="C842" s="9" t="inlineStr">
        <is>
          <t>Hyderabad</t>
        </is>
      </c>
      <c r="D842" s="9" t="inlineStr">
        <is>
          <t>Telangana</t>
        </is>
      </c>
      <c r="E842" s="9" t="inlineStr">
        <is>
          <t>India</t>
        </is>
      </c>
      <c r="F842" s="9" t="n">
        <v>2</v>
      </c>
      <c r="G842" s="9" t="n">
        <v>2</v>
      </c>
      <c r="H842" s="9" t="n">
        <v>2</v>
      </c>
      <c r="I842" s="10" t="n">
        <v>42702</v>
      </c>
      <c r="J842" s="10" t="n">
        <v>42892</v>
      </c>
      <c r="K842" s="9" t="n">
        <v>17.33476</v>
      </c>
      <c r="L842" s="9" t="n">
        <v>78.44285000000001</v>
      </c>
      <c r="M842" s="9" t="inlineStr">
        <is>
          <t>https://www.google.com/maps/place/?q=place_id:ChIJDfY0SdiXyzsRtjv_iFQBe4k</t>
        </is>
      </c>
    </row>
    <row r="843">
      <c r="A843" s="9" t="n">
        <v>839</v>
      </c>
      <c r="B843" s="9" t="inlineStr">
        <is>
          <t>Kukatpally</t>
        </is>
      </c>
      <c r="C843" s="9" t="inlineStr">
        <is>
          <t>Hyderabad</t>
        </is>
      </c>
      <c r="D843" s="9" t="inlineStr">
        <is>
          <t>Telangana</t>
        </is>
      </c>
      <c r="E843" s="9" t="inlineStr">
        <is>
          <t>India</t>
        </is>
      </c>
      <c r="F843" s="9" t="n">
        <v>2</v>
      </c>
      <c r="G843" s="9" t="n">
        <v>2</v>
      </c>
      <c r="H843" s="9" t="n">
        <v>2</v>
      </c>
      <c r="I843" s="10" t="n">
        <v>42710</v>
      </c>
      <c r="J843" s="10" t="n">
        <v>42747</v>
      </c>
      <c r="K843" s="9" t="n">
        <v>17.42449</v>
      </c>
      <c r="L843" s="9" t="n">
        <v>78.40568</v>
      </c>
      <c r="M843" s="9" t="inlineStr">
        <is>
          <t>https://www.google.com/maps/place/?q=place_id:ChIJ33QXv0qRyzsRCceo-jOJGHs</t>
        </is>
      </c>
    </row>
    <row r="844">
      <c r="A844" s="9" t="n">
        <v>840</v>
      </c>
      <c r="B844" s="9" t="inlineStr">
        <is>
          <t>Hyderabad</t>
        </is>
      </c>
      <c r="C844" s="9" t="inlineStr">
        <is>
          <t>Hyderabad</t>
        </is>
      </c>
      <c r="D844" s="9" t="inlineStr">
        <is>
          <t>Telangana</t>
        </is>
      </c>
      <c r="E844" s="9" t="inlineStr">
        <is>
          <t>India</t>
        </is>
      </c>
      <c r="F844" s="9" t="n">
        <v>2</v>
      </c>
      <c r="G844" s="9" t="n">
        <v>2</v>
      </c>
      <c r="H844" s="9" t="n">
        <v>2</v>
      </c>
      <c r="I844" s="10" t="n">
        <v>42710</v>
      </c>
      <c r="J844" s="10" t="n">
        <v>44246</v>
      </c>
      <c r="K844" s="9" t="n">
        <v>17.42359</v>
      </c>
      <c r="L844" s="9" t="n">
        <v>78.41191000000001</v>
      </c>
      <c r="M844" s="9" t="inlineStr">
        <is>
          <t>https://www.google.com/maps/place/?q=place_id:ChIJoZKjUsuWyzsR8T9GTT4Nxmk</t>
        </is>
      </c>
    </row>
    <row r="845">
      <c r="A845" s="9" t="n">
        <v>841</v>
      </c>
      <c r="B845" s="9" t="inlineStr">
        <is>
          <t>Hyderabad</t>
        </is>
      </c>
      <c r="C845" s="9" t="inlineStr">
        <is>
          <t>Hyderabad</t>
        </is>
      </c>
      <c r="D845" s="9" t="inlineStr">
        <is>
          <t>Telangana</t>
        </is>
      </c>
      <c r="E845" s="9" t="inlineStr">
        <is>
          <t>India</t>
        </is>
      </c>
      <c r="F845" s="9" t="n">
        <v>2</v>
      </c>
      <c r="G845" s="9" t="n">
        <v>2</v>
      </c>
      <c r="H845" s="9" t="n">
        <v>2</v>
      </c>
      <c r="I845" s="10" t="n">
        <v>42725</v>
      </c>
      <c r="J845" s="10" t="n">
        <v>42747</v>
      </c>
      <c r="K845" s="9" t="n">
        <v>17.42215</v>
      </c>
      <c r="L845" s="9" t="n">
        <v>78.41101</v>
      </c>
      <c r="M845" s="9" t="inlineStr">
        <is>
          <t>https://www.google.com/maps/place/?q=place_id:ChIJXdG7D8uWyzsRQskyr-I6AQQ</t>
        </is>
      </c>
    </row>
    <row r="846">
      <c r="A846" s="9" t="n">
        <v>842</v>
      </c>
      <c r="B846" s="9" t="inlineStr">
        <is>
          <t>Kukatpally</t>
        </is>
      </c>
      <c r="C846" s="9" t="inlineStr">
        <is>
          <t>Hyderabad</t>
        </is>
      </c>
      <c r="D846" s="9" t="inlineStr">
        <is>
          <t>Telangana</t>
        </is>
      </c>
      <c r="E846" s="9" t="inlineStr">
        <is>
          <t>India</t>
        </is>
      </c>
      <c r="F846" s="9" t="n">
        <v>2</v>
      </c>
      <c r="G846" s="9" t="n">
        <v>2</v>
      </c>
      <c r="H846" s="9" t="n">
        <v>2</v>
      </c>
      <c r="I846" s="10" t="n">
        <v>42733</v>
      </c>
      <c r="J846" s="10" t="n">
        <v>42860</v>
      </c>
      <c r="K846" s="9" t="n">
        <v>17.42509</v>
      </c>
      <c r="L846" s="9" t="n">
        <v>78.40466000000001</v>
      </c>
      <c r="M846" s="9" t="inlineStr">
        <is>
          <t>https://www.google.com/maps/place/?q=place_id:ChIJYUnT5UqRyzsRLqv5korIx88</t>
        </is>
      </c>
    </row>
    <row r="847">
      <c r="A847" s="9" t="n">
        <v>843</v>
      </c>
      <c r="B847" s="9" t="inlineStr">
        <is>
          <t>Hyderabad</t>
        </is>
      </c>
      <c r="C847" s="9" t="inlineStr">
        <is>
          <t>Hyderabad</t>
        </is>
      </c>
      <c r="D847" s="9" t="inlineStr">
        <is>
          <t>Telangana</t>
        </is>
      </c>
      <c r="E847" s="9" t="inlineStr">
        <is>
          <t>India</t>
        </is>
      </c>
      <c r="F847" s="9" t="n">
        <v>2</v>
      </c>
      <c r="G847" s="9" t="n">
        <v>2</v>
      </c>
      <c r="H847" s="9" t="n">
        <v>2</v>
      </c>
      <c r="I847" s="10" t="n">
        <v>42740</v>
      </c>
      <c r="J847" s="10" t="n">
        <v>43384</v>
      </c>
      <c r="K847" s="9" t="n">
        <v>17.42044</v>
      </c>
      <c r="L847" s="9" t="n">
        <v>78.41145</v>
      </c>
      <c r="M847" s="9" t="inlineStr">
        <is>
          <t>https://www.google.com/maps/place/?q=place_id:ChIJVbnY_aOQyzsRbXEPA7o3r44</t>
        </is>
      </c>
    </row>
    <row r="848">
      <c r="A848" s="9" t="n">
        <v>844</v>
      </c>
      <c r="B848" s="9" t="inlineStr">
        <is>
          <t>Kukatpally</t>
        </is>
      </c>
      <c r="C848" s="9" t="inlineStr">
        <is>
          <t>Hyderabad</t>
        </is>
      </c>
      <c r="D848" s="9" t="inlineStr">
        <is>
          <t>Telangana</t>
        </is>
      </c>
      <c r="E848" s="9" t="inlineStr">
        <is>
          <t>India</t>
        </is>
      </c>
      <c r="F848" s="9" t="n">
        <v>2</v>
      </c>
      <c r="G848" s="9" t="n">
        <v>2</v>
      </c>
      <c r="H848" s="9" t="n">
        <v>2</v>
      </c>
      <c r="I848" s="10" t="n">
        <v>42746</v>
      </c>
      <c r="J848" s="10" t="n">
        <v>42936</v>
      </c>
      <c r="K848" s="9" t="n">
        <v>17.43161</v>
      </c>
      <c r="L848" s="9" t="n">
        <v>78.42224</v>
      </c>
      <c r="M848" s="9" t="inlineStr">
        <is>
          <t>https://www.google.com/maps/place/?q=place_id:ChIJTS-O7C6RyzsRlGSrZF_cVP8</t>
        </is>
      </c>
    </row>
    <row r="849">
      <c r="A849" s="9" t="n">
        <v>845</v>
      </c>
      <c r="B849" s="9" t="inlineStr">
        <is>
          <t>Kukatpally</t>
        </is>
      </c>
      <c r="C849" s="9" t="inlineStr">
        <is>
          <t>Hyderabad</t>
        </is>
      </c>
      <c r="D849" s="9" t="inlineStr">
        <is>
          <t>Telangana</t>
        </is>
      </c>
      <c r="E849" s="9" t="inlineStr">
        <is>
          <t>India</t>
        </is>
      </c>
      <c r="F849" s="9" t="n">
        <v>2</v>
      </c>
      <c r="G849" s="9" t="n">
        <v>1</v>
      </c>
      <c r="H849" s="9" t="n">
        <v>1</v>
      </c>
      <c r="I849" s="10" t="n">
        <v>42757</v>
      </c>
      <c r="J849" s="10" t="n">
        <v>42757</v>
      </c>
      <c r="K849" s="9" t="n">
        <v>17.44033</v>
      </c>
      <c r="L849" s="9" t="n">
        <v>78.44253999999999</v>
      </c>
      <c r="M849" s="9" t="inlineStr">
        <is>
          <t>https://www.google.com/maps/place/?q=place_id:ChIJK5dyw8SQyzsRRSj4-5J-yEg</t>
        </is>
      </c>
    </row>
    <row r="850">
      <c r="A850" s="9" t="n">
        <v>846</v>
      </c>
      <c r="B850" s="9" t="inlineStr">
        <is>
          <t>Kukatpally</t>
        </is>
      </c>
      <c r="C850" s="9" t="inlineStr">
        <is>
          <t>Hyderabad</t>
        </is>
      </c>
      <c r="D850" s="9" t="inlineStr">
        <is>
          <t>Telangana</t>
        </is>
      </c>
      <c r="E850" s="9" t="inlineStr">
        <is>
          <t>India</t>
        </is>
      </c>
      <c r="F850" s="9" t="n">
        <v>2</v>
      </c>
      <c r="G850" s="9" t="n">
        <v>2</v>
      </c>
      <c r="H850" s="9" t="n">
        <v>2</v>
      </c>
      <c r="I850" s="10" t="n">
        <v>42803</v>
      </c>
      <c r="J850" s="10" t="n">
        <v>42811</v>
      </c>
      <c r="K850" s="9" t="n">
        <v>17.49654</v>
      </c>
      <c r="L850" s="9" t="n">
        <v>78.37302</v>
      </c>
      <c r="M850" s="9" t="inlineStr">
        <is>
          <t>https://www.google.com/maps/place/?q=place_id:ChIJ1TM4IhCSyzsRgwdbfta2aJ0</t>
        </is>
      </c>
    </row>
    <row r="851">
      <c r="A851" s="9" t="n">
        <v>847</v>
      </c>
      <c r="B851" s="9" t="inlineStr">
        <is>
          <t>Sriramnagar</t>
        </is>
      </c>
      <c r="C851" s="9" t="inlineStr">
        <is>
          <t>Hyderabad</t>
        </is>
      </c>
      <c r="D851" s="9" t="inlineStr">
        <is>
          <t>Telangana</t>
        </is>
      </c>
      <c r="E851" s="9" t="inlineStr">
        <is>
          <t>India</t>
        </is>
      </c>
      <c r="F851" s="9" t="n">
        <v>2</v>
      </c>
      <c r="G851" s="9" t="n">
        <v>2</v>
      </c>
      <c r="H851" s="9" t="n">
        <v>2</v>
      </c>
      <c r="I851" s="10" t="n">
        <v>42811</v>
      </c>
      <c r="J851" s="10" t="n">
        <v>42909</v>
      </c>
      <c r="K851" s="9" t="n">
        <v>17.24904</v>
      </c>
      <c r="L851" s="9" t="n">
        <v>78.37381000000001</v>
      </c>
      <c r="M851" s="9" t="inlineStr">
        <is>
          <t>https://www.google.com/maps/place/?q=place_id:ChIJ9YTIJKW-yzsRjN1XRsjPJ1k</t>
        </is>
      </c>
    </row>
    <row r="852">
      <c r="A852" s="9" t="n">
        <v>848</v>
      </c>
      <c r="B852" s="9" t="inlineStr">
        <is>
          <t>Serilingampalle</t>
        </is>
      </c>
      <c r="C852" s="9" t="inlineStr">
        <is>
          <t>Hyderabad</t>
        </is>
      </c>
      <c r="D852" s="9" t="inlineStr">
        <is>
          <t>Telangana</t>
        </is>
      </c>
      <c r="E852" s="9" t="inlineStr">
        <is>
          <t>India</t>
        </is>
      </c>
      <c r="F852" s="9" t="n">
        <v>2</v>
      </c>
      <c r="G852" s="9" t="n">
        <v>2</v>
      </c>
      <c r="H852" s="9" t="n">
        <v>2</v>
      </c>
      <c r="I852" s="10" t="n">
        <v>42812</v>
      </c>
      <c r="J852" s="10" t="n">
        <v>44261</v>
      </c>
      <c r="K852" s="9" t="n">
        <v>17.49218</v>
      </c>
      <c r="L852" s="9" t="n">
        <v>78.33633</v>
      </c>
      <c r="M852" s="9" t="inlineStr">
        <is>
          <t>https://www.google.com/maps/place/?q=place_id:ChIJp1Hmk2CSyzsRzrjElmpHDT0</t>
        </is>
      </c>
    </row>
    <row r="853">
      <c r="A853" s="9" t="n">
        <v>849</v>
      </c>
      <c r="B853" s="9" t="inlineStr">
        <is>
          <t>Patancheru</t>
        </is>
      </c>
      <c r="C853" s="9" t="inlineStr">
        <is>
          <t>Hyderabad</t>
        </is>
      </c>
      <c r="D853" s="9" t="inlineStr">
        <is>
          <t>Telangana</t>
        </is>
      </c>
      <c r="E853" s="9" t="inlineStr">
        <is>
          <t>India</t>
        </is>
      </c>
      <c r="F853" s="9" t="n">
        <v>2</v>
      </c>
      <c r="G853" s="9" t="n">
        <v>1</v>
      </c>
      <c r="H853" s="9" t="n">
        <v>1</v>
      </c>
      <c r="I853" s="10" t="n">
        <v>42830</v>
      </c>
      <c r="J853" s="10" t="n">
        <v>42830</v>
      </c>
      <c r="K853" s="9" t="n">
        <v>17.52932</v>
      </c>
      <c r="L853" s="9" t="n">
        <v>78.26267</v>
      </c>
      <c r="M853" s="9" t="inlineStr">
        <is>
          <t>https://www.google.com/maps/place/?q=place_id:ChIJkcSaEJPyyzsRYI021yV7W6Q</t>
        </is>
      </c>
    </row>
    <row r="854">
      <c r="A854" s="9" t="n">
        <v>850</v>
      </c>
      <c r="B854" s="9" t="inlineStr">
        <is>
          <t>Hyderabad</t>
        </is>
      </c>
      <c r="C854" s="9" t="inlineStr">
        <is>
          <t>Hyderabad</t>
        </is>
      </c>
      <c r="D854" s="9" t="inlineStr">
        <is>
          <t>Telangana</t>
        </is>
      </c>
      <c r="E854" s="9" t="inlineStr">
        <is>
          <t>India</t>
        </is>
      </c>
      <c r="F854" s="9" t="n">
        <v>2</v>
      </c>
      <c r="G854" s="9" t="n">
        <v>2</v>
      </c>
      <c r="H854" s="9" t="n">
        <v>2</v>
      </c>
      <c r="I854" s="10" t="n">
        <v>42831</v>
      </c>
      <c r="J854" s="10" t="n">
        <v>42846</v>
      </c>
      <c r="K854" s="9" t="n">
        <v>17.39669</v>
      </c>
      <c r="L854" s="9" t="n">
        <v>78.47541</v>
      </c>
      <c r="M854" s="9" t="inlineStr">
        <is>
          <t>https://www.google.com/maps/place/?q=place_id:ChIJM6aEphSSyzsR3Alz6eCHApo</t>
        </is>
      </c>
    </row>
    <row r="855">
      <c r="A855" s="9" t="n">
        <v>851</v>
      </c>
      <c r="B855" s="9" t="inlineStr">
        <is>
          <t>Hyderabad</t>
        </is>
      </c>
      <c r="C855" s="9" t="inlineStr">
        <is>
          <t>Hyderabad</t>
        </is>
      </c>
      <c r="D855" s="9" t="inlineStr">
        <is>
          <t>Telangana</t>
        </is>
      </c>
      <c r="E855" s="9" t="inlineStr">
        <is>
          <t>India</t>
        </is>
      </c>
      <c r="F855" s="9" t="n">
        <v>2</v>
      </c>
      <c r="G855" s="9" t="n">
        <v>2</v>
      </c>
      <c r="H855" s="9" t="n">
        <v>2</v>
      </c>
      <c r="I855" s="10" t="n">
        <v>42845</v>
      </c>
      <c r="J855" s="10" t="n">
        <v>42851</v>
      </c>
      <c r="K855" s="9" t="n">
        <v>17.38099</v>
      </c>
      <c r="L855" s="9" t="n">
        <v>78.49012999999999</v>
      </c>
      <c r="M855" s="9" t="inlineStr">
        <is>
          <t>https://www.google.com/maps/place/?q=place_id:ChIJG4Lch82ZyzsRMfyJ-mQF-sY</t>
        </is>
      </c>
    </row>
    <row r="856">
      <c r="A856" s="9" t="n">
        <v>852</v>
      </c>
      <c r="B856" s="9" t="inlineStr">
        <is>
          <t>Hyderabad</t>
        </is>
      </c>
      <c r="C856" s="9" t="inlineStr">
        <is>
          <t>Hyderabad</t>
        </is>
      </c>
      <c r="D856" s="9" t="inlineStr">
        <is>
          <t>Telangana</t>
        </is>
      </c>
      <c r="E856" s="9" t="inlineStr">
        <is>
          <t>India</t>
        </is>
      </c>
      <c r="F856" s="9" t="n">
        <v>2</v>
      </c>
      <c r="G856" s="9" t="n">
        <v>2</v>
      </c>
      <c r="H856" s="9" t="n">
        <v>2</v>
      </c>
      <c r="I856" s="10" t="n">
        <v>42851</v>
      </c>
      <c r="J856" s="10" t="n">
        <v>42878</v>
      </c>
      <c r="K856" s="9" t="n">
        <v>17.38379</v>
      </c>
      <c r="L856" s="9" t="n">
        <v>78.46454</v>
      </c>
      <c r="M856" s="9" t="inlineStr">
        <is>
          <t>https://www.google.com/maps/place/?q=place_id:ChIJwTV5e3eXyzsRPRJluZ7dP_4</t>
        </is>
      </c>
    </row>
    <row r="857">
      <c r="A857" s="9" t="n">
        <v>853</v>
      </c>
      <c r="B857" s="9" t="inlineStr">
        <is>
          <t>Hyderabad</t>
        </is>
      </c>
      <c r="C857" s="9" t="inlineStr">
        <is>
          <t>Hyderabad</t>
        </is>
      </c>
      <c r="D857" s="9" t="inlineStr">
        <is>
          <t>Telangana</t>
        </is>
      </c>
      <c r="E857" s="9" t="inlineStr">
        <is>
          <t>India</t>
        </is>
      </c>
      <c r="F857" s="9" t="n">
        <v>2</v>
      </c>
      <c r="G857" s="9" t="n">
        <v>2</v>
      </c>
      <c r="H857" s="9" t="n">
        <v>2</v>
      </c>
      <c r="I857" s="10" t="n">
        <v>42851</v>
      </c>
      <c r="J857" s="10" t="n">
        <v>42957</v>
      </c>
      <c r="K857" s="9" t="n">
        <v>17.40558</v>
      </c>
      <c r="L857" s="9" t="n">
        <v>78.47642999999999</v>
      </c>
      <c r="M857" s="9" t="inlineStr">
        <is>
          <t>https://www.google.com/maps/place/?q=place_id:ChIJLWrBbOCZyzsRGTqhyLRrWoE</t>
        </is>
      </c>
    </row>
    <row r="858">
      <c r="A858" s="9" t="n">
        <v>854</v>
      </c>
      <c r="B858" s="9" t="inlineStr">
        <is>
          <t>Malkajgiri</t>
        </is>
      </c>
      <c r="C858" s="9" t="inlineStr">
        <is>
          <t>Hyderabad</t>
        </is>
      </c>
      <c r="D858" s="9" t="inlineStr">
        <is>
          <t>Telangana</t>
        </is>
      </c>
      <c r="E858" s="9" t="inlineStr">
        <is>
          <t>India</t>
        </is>
      </c>
      <c r="F858" s="9" t="n">
        <v>2</v>
      </c>
      <c r="G858" s="9" t="n">
        <v>2</v>
      </c>
      <c r="H858" s="9" t="n">
        <v>2</v>
      </c>
      <c r="I858" s="10" t="n">
        <v>42878</v>
      </c>
      <c r="J858" s="10" t="n">
        <v>42892</v>
      </c>
      <c r="K858" s="9" t="n">
        <v>17.43127</v>
      </c>
      <c r="L858" s="9" t="n">
        <v>78.4915</v>
      </c>
      <c r="M858" s="9" t="inlineStr">
        <is>
          <t>https://www.google.com/maps/place/?q=place_id:ChIJHXalMhyayzsR-DD2RzYPNNk</t>
        </is>
      </c>
    </row>
    <row r="859">
      <c r="A859" s="9" t="n">
        <v>855</v>
      </c>
      <c r="B859" s="9" t="inlineStr">
        <is>
          <t>Hyderabad</t>
        </is>
      </c>
      <c r="C859" s="9" t="inlineStr">
        <is>
          <t>Hyderabad</t>
        </is>
      </c>
      <c r="D859" s="9" t="inlineStr">
        <is>
          <t>Telangana</t>
        </is>
      </c>
      <c r="E859" s="9" t="inlineStr">
        <is>
          <t>India</t>
        </is>
      </c>
      <c r="F859" s="9" t="n">
        <v>2</v>
      </c>
      <c r="G859" s="9" t="n">
        <v>2</v>
      </c>
      <c r="H859" s="9" t="n">
        <v>2</v>
      </c>
      <c r="I859" s="10" t="n">
        <v>42878</v>
      </c>
      <c r="J859" s="10" t="n">
        <v>42896</v>
      </c>
      <c r="K859" s="9" t="n">
        <v>17.40055</v>
      </c>
      <c r="L859" s="9" t="n">
        <v>78.46523000000001</v>
      </c>
      <c r="M859" s="9" t="inlineStr">
        <is>
          <t>https://www.google.com/maps/place/?q=place_id:ChIJVVVVFWSXyzsRNqBzbNYT4OI</t>
        </is>
      </c>
    </row>
    <row r="860">
      <c r="A860" s="9" t="n">
        <v>856</v>
      </c>
      <c r="B860" s="9" t="inlineStr">
        <is>
          <t>Hyderabad</t>
        </is>
      </c>
      <c r="C860" s="9" t="inlineStr">
        <is>
          <t>Hyderabad</t>
        </is>
      </c>
      <c r="D860" s="9" t="inlineStr">
        <is>
          <t>Telangana</t>
        </is>
      </c>
      <c r="E860" s="9" t="inlineStr">
        <is>
          <t>India</t>
        </is>
      </c>
      <c r="F860" s="9" t="n">
        <v>2</v>
      </c>
      <c r="G860" s="9" t="n">
        <v>2</v>
      </c>
      <c r="H860" s="9" t="n">
        <v>2</v>
      </c>
      <c r="I860" s="10" t="n">
        <v>42942</v>
      </c>
      <c r="J860" s="10" t="n">
        <v>42949</v>
      </c>
      <c r="K860" s="9" t="n">
        <v>17.3771</v>
      </c>
      <c r="L860" s="9" t="n">
        <v>78.47539</v>
      </c>
      <c r="M860" s="9" t="inlineStr">
        <is>
          <t>https://www.google.com/maps/place/?q=place_id:ChIJ-QNFIpCZyzsR7Xvkl6D_EaU</t>
        </is>
      </c>
    </row>
    <row r="861">
      <c r="A861" s="9" t="n">
        <v>857</v>
      </c>
      <c r="B861" s="9" t="inlineStr">
        <is>
          <t>Hyderabad</t>
        </is>
      </c>
      <c r="C861" s="9" t="inlineStr">
        <is>
          <t>Hyderabad</t>
        </is>
      </c>
      <c r="D861" s="9" t="inlineStr">
        <is>
          <t>Telangana</t>
        </is>
      </c>
      <c r="E861" s="9" t="inlineStr">
        <is>
          <t>India</t>
        </is>
      </c>
      <c r="F861" s="9" t="n">
        <v>2</v>
      </c>
      <c r="G861" s="9" t="n">
        <v>2</v>
      </c>
      <c r="H861" s="9" t="n">
        <v>2</v>
      </c>
      <c r="I861" s="10" t="n">
        <v>42949</v>
      </c>
      <c r="J861" s="10" t="n">
        <v>42952</v>
      </c>
      <c r="K861" s="9" t="n">
        <v>17.40811</v>
      </c>
      <c r="L861" s="9" t="n">
        <v>78.44616000000001</v>
      </c>
      <c r="M861" s="9" t="inlineStr">
        <is>
          <t>https://www.google.com/maps/place/?q=place_id:ChIJba2fiDeXyzsRgAu7m88S-Rs</t>
        </is>
      </c>
    </row>
    <row r="862">
      <c r="A862" s="9" t="n">
        <v>858</v>
      </c>
      <c r="B862" s="9" t="inlineStr">
        <is>
          <t>Hyderabad</t>
        </is>
      </c>
      <c r="C862" s="9" t="inlineStr">
        <is>
          <t>Hyderabad</t>
        </is>
      </c>
      <c r="D862" s="9" t="inlineStr">
        <is>
          <t>Telangana</t>
        </is>
      </c>
      <c r="E862" s="9" t="inlineStr">
        <is>
          <t>India</t>
        </is>
      </c>
      <c r="F862" s="9" t="n">
        <v>2</v>
      </c>
      <c r="G862" s="9" t="n">
        <v>2</v>
      </c>
      <c r="H862" s="9" t="n">
        <v>2</v>
      </c>
      <c r="I862" s="10" t="n">
        <v>42949</v>
      </c>
      <c r="J862" s="10" t="n">
        <v>43881</v>
      </c>
      <c r="K862" s="9" t="n">
        <v>17.40873</v>
      </c>
      <c r="L862" s="9" t="n">
        <v>78.44856</v>
      </c>
      <c r="M862" s="9" t="inlineStr">
        <is>
          <t>https://www.google.com/maps/place/?q=place_id:ChIJMWsaNDmXyzsRKPb0zaXE_QU</t>
        </is>
      </c>
    </row>
    <row r="863">
      <c r="A863" s="9" t="n">
        <v>859</v>
      </c>
      <c r="B863" s="9" t="inlineStr">
        <is>
          <t>Malkajgiri</t>
        </is>
      </c>
      <c r="C863" s="9" t="inlineStr">
        <is>
          <t>Hyderabad</t>
        </is>
      </c>
      <c r="D863" s="9" t="inlineStr">
        <is>
          <t>Telangana</t>
        </is>
      </c>
      <c r="E863" s="9" t="inlineStr">
        <is>
          <t>India</t>
        </is>
      </c>
      <c r="F863" s="9" t="n">
        <v>2</v>
      </c>
      <c r="G863" s="9" t="n">
        <v>2</v>
      </c>
      <c r="H863" s="9" t="n">
        <v>2</v>
      </c>
      <c r="I863" s="10" t="n">
        <v>42950</v>
      </c>
      <c r="J863" s="10" t="n">
        <v>44198</v>
      </c>
      <c r="K863" s="9" t="n">
        <v>17.43381</v>
      </c>
      <c r="L863" s="9" t="n">
        <v>78.48862</v>
      </c>
      <c r="M863" s="9" t="inlineStr">
        <is>
          <t>https://www.google.com/maps/place/?q=place_id:ChIJG4Lch82ZyzsRezOmZoSpTok</t>
        </is>
      </c>
    </row>
    <row r="864">
      <c r="A864" s="9" t="n">
        <v>860</v>
      </c>
      <c r="B864" s="9" t="inlineStr">
        <is>
          <t>Malkajgiri</t>
        </is>
      </c>
      <c r="C864" s="9" t="inlineStr">
        <is>
          <t>Hyderabad</t>
        </is>
      </c>
      <c r="D864" s="9" t="inlineStr">
        <is>
          <t>Telangana</t>
        </is>
      </c>
      <c r="E864" s="9" t="inlineStr">
        <is>
          <t>India</t>
        </is>
      </c>
      <c r="F864" s="9" t="n">
        <v>2</v>
      </c>
      <c r="G864" s="9" t="n">
        <v>2</v>
      </c>
      <c r="H864" s="9" t="n">
        <v>2</v>
      </c>
      <c r="I864" s="10" t="n">
        <v>42951</v>
      </c>
      <c r="J864" s="10" t="n">
        <v>43131</v>
      </c>
      <c r="K864" s="9" t="n">
        <v>17.45016</v>
      </c>
      <c r="L864" s="9" t="n">
        <v>78.50473</v>
      </c>
      <c r="M864" s="9" t="inlineStr">
        <is>
          <t>https://www.google.com/maps/place/?q=place_id:ChIJcRyx3DiayzsREbNY4CO3Ymw</t>
        </is>
      </c>
    </row>
    <row r="865">
      <c r="A865" s="9" t="n">
        <v>861</v>
      </c>
      <c r="B865" s="9" t="inlineStr">
        <is>
          <t>Hyderabad</t>
        </is>
      </c>
      <c r="C865" s="9" t="inlineStr">
        <is>
          <t>Hyderabad</t>
        </is>
      </c>
      <c r="D865" s="9" t="inlineStr">
        <is>
          <t>Telangana</t>
        </is>
      </c>
      <c r="E865" s="9" t="inlineStr">
        <is>
          <t>India</t>
        </is>
      </c>
      <c r="F865" s="9" t="n">
        <v>2</v>
      </c>
      <c r="G865" s="9" t="n">
        <v>2</v>
      </c>
      <c r="H865" s="9" t="n">
        <v>2</v>
      </c>
      <c r="I865" s="10" t="n">
        <v>42952</v>
      </c>
      <c r="J865" s="10" t="n">
        <v>43123</v>
      </c>
      <c r="K865" s="9" t="n">
        <v>17.41283</v>
      </c>
      <c r="L865" s="9" t="n">
        <v>78.45367</v>
      </c>
      <c r="M865" s="9" t="inlineStr">
        <is>
          <t>https://www.google.com/maps/place/?q=place_id:ChIJO-P4lEeXyzsRLXuj6svUWtE</t>
        </is>
      </c>
    </row>
    <row r="866">
      <c r="A866" s="9" t="n">
        <v>862</v>
      </c>
      <c r="B866" s="9" t="inlineStr">
        <is>
          <t>Serilingampalle</t>
        </is>
      </c>
      <c r="C866" s="9" t="inlineStr">
        <is>
          <t>Hyderabad</t>
        </is>
      </c>
      <c r="D866" s="9" t="inlineStr">
        <is>
          <t>Telangana</t>
        </is>
      </c>
      <c r="E866" s="9" t="inlineStr">
        <is>
          <t>India</t>
        </is>
      </c>
      <c r="F866" s="9" t="n">
        <v>2</v>
      </c>
      <c r="G866" s="9" t="n">
        <v>2</v>
      </c>
      <c r="H866" s="9" t="n">
        <v>2</v>
      </c>
      <c r="I866" s="10" t="n">
        <v>43030</v>
      </c>
      <c r="J866" s="10" t="n">
        <v>43058</v>
      </c>
      <c r="K866" s="9" t="n">
        <v>17.4814</v>
      </c>
      <c r="L866" s="9" t="n">
        <v>78.32039</v>
      </c>
      <c r="M866" s="9" t="inlineStr">
        <is>
          <t>https://www.google.com/maps/place/?q=place_id:ChIJ9zLtQemSyzsRw4OmCw-ZByE</t>
        </is>
      </c>
    </row>
    <row r="867">
      <c r="A867" s="9" t="n">
        <v>863</v>
      </c>
      <c r="B867" s="9" t="inlineStr">
        <is>
          <t>Hyderabad</t>
        </is>
      </c>
      <c r="C867" s="9" t="inlineStr">
        <is>
          <t>Hyderabad</t>
        </is>
      </c>
      <c r="D867" s="9" t="inlineStr">
        <is>
          <t>Telangana</t>
        </is>
      </c>
      <c r="E867" s="9" t="inlineStr">
        <is>
          <t>India</t>
        </is>
      </c>
      <c r="F867" s="9" t="n">
        <v>2</v>
      </c>
      <c r="G867" s="9" t="n">
        <v>2</v>
      </c>
      <c r="H867" s="9" t="n">
        <v>2</v>
      </c>
      <c r="I867" s="10" t="n">
        <v>43123</v>
      </c>
      <c r="J867" s="10" t="n">
        <v>43143</v>
      </c>
      <c r="K867" s="9" t="n">
        <v>17.41054</v>
      </c>
      <c r="L867" s="9" t="n">
        <v>78.40139000000001</v>
      </c>
      <c r="M867" s="9" t="inlineStr">
        <is>
          <t>https://www.google.com/maps/place/?q=place_id:ChIJ0da597mWyzsR1LOnMWFfnko</t>
        </is>
      </c>
    </row>
    <row r="868">
      <c r="A868" s="9" t="n">
        <v>864</v>
      </c>
      <c r="B868" s="9" t="inlineStr">
        <is>
          <t>Hyderabad</t>
        </is>
      </c>
      <c r="C868" s="9" t="inlineStr">
        <is>
          <t>Hyderabad</t>
        </is>
      </c>
      <c r="D868" s="9" t="inlineStr">
        <is>
          <t>Telangana</t>
        </is>
      </c>
      <c r="E868" s="9" t="inlineStr">
        <is>
          <t>India</t>
        </is>
      </c>
      <c r="F868" s="9" t="n">
        <v>2</v>
      </c>
      <c r="G868" s="9" t="n">
        <v>2</v>
      </c>
      <c r="H868" s="9" t="n">
        <v>2</v>
      </c>
      <c r="I868" s="10" t="n">
        <v>43419</v>
      </c>
      <c r="J868" s="10" t="n">
        <v>45045</v>
      </c>
      <c r="K868" s="9" t="n">
        <v>17.3099</v>
      </c>
      <c r="L868" s="9" t="n">
        <v>78.42325</v>
      </c>
      <c r="M868" s="9" t="inlineStr">
        <is>
          <t>https://www.google.com/maps/place/?q=place_id:ChIJnc7bO5-9yzsRlMLg0PGuZOI</t>
        </is>
      </c>
    </row>
    <row r="869">
      <c r="A869" s="9" t="n">
        <v>865</v>
      </c>
      <c r="B869" s="9" t="inlineStr">
        <is>
          <t>Hyderabad</t>
        </is>
      </c>
      <c r="C869" s="9" t="inlineStr">
        <is>
          <t>Hyderabad</t>
        </is>
      </c>
      <c r="D869" s="9" t="inlineStr">
        <is>
          <t>Telangana</t>
        </is>
      </c>
      <c r="E869" s="9" t="inlineStr">
        <is>
          <t>India</t>
        </is>
      </c>
      <c r="F869" s="9" t="n">
        <v>2</v>
      </c>
      <c r="G869" s="9" t="n">
        <v>2</v>
      </c>
      <c r="H869" s="9" t="n">
        <v>2</v>
      </c>
      <c r="I869" s="10" t="n">
        <v>43485</v>
      </c>
      <c r="J869" s="10" t="n">
        <v>44931</v>
      </c>
      <c r="K869" s="9" t="n">
        <v>17.41696</v>
      </c>
      <c r="L869" s="9" t="n">
        <v>78.41042</v>
      </c>
      <c r="M869" s="9" t="inlineStr">
        <is>
          <t>https://www.google.com/maps/place/?q=place_id:ChIJkeljcMmWyzsR1MNyvxwMYmU</t>
        </is>
      </c>
    </row>
    <row r="870">
      <c r="A870" s="9" t="n">
        <v>866</v>
      </c>
      <c r="B870" s="9" t="inlineStr">
        <is>
          <t>Kukatpally</t>
        </is>
      </c>
      <c r="C870" s="9" t="inlineStr">
        <is>
          <t>Hyderabad</t>
        </is>
      </c>
      <c r="D870" s="9" t="inlineStr">
        <is>
          <t>Telangana</t>
        </is>
      </c>
      <c r="E870" s="9" t="inlineStr">
        <is>
          <t>India</t>
        </is>
      </c>
      <c r="F870" s="9" t="n">
        <v>2</v>
      </c>
      <c r="G870" s="9" t="n">
        <v>2</v>
      </c>
      <c r="H870" s="9" t="n">
        <v>2</v>
      </c>
      <c r="I870" s="10" t="n">
        <v>43549</v>
      </c>
      <c r="J870" s="10" t="n">
        <v>43552</v>
      </c>
      <c r="K870" s="9" t="n">
        <v>17.40585</v>
      </c>
      <c r="L870" s="9" t="n">
        <v>78.35439</v>
      </c>
      <c r="M870" s="9" t="inlineStr">
        <is>
          <t>https://www.google.com/maps/place/?q=place_id:ChIJlc4qlW6UyzsRNQmrs09e3nQ</t>
        </is>
      </c>
    </row>
    <row r="871">
      <c r="A871" s="9" t="n">
        <v>867</v>
      </c>
      <c r="B871" s="9" t="inlineStr">
        <is>
          <t>Hyderabad</t>
        </is>
      </c>
      <c r="C871" s="9" t="inlineStr">
        <is>
          <t>Hyderabad</t>
        </is>
      </c>
      <c r="D871" s="9" t="inlineStr">
        <is>
          <t>Telangana</t>
        </is>
      </c>
      <c r="E871" s="9" t="inlineStr">
        <is>
          <t>India</t>
        </is>
      </c>
      <c r="F871" s="9" t="n">
        <v>2</v>
      </c>
      <c r="G871" s="9" t="n">
        <v>2</v>
      </c>
      <c r="H871" s="9" t="n">
        <v>2</v>
      </c>
      <c r="I871" s="10" t="n">
        <v>43552</v>
      </c>
      <c r="J871" s="10" t="n">
        <v>43572</v>
      </c>
      <c r="K871" s="9" t="n">
        <v>17.41011</v>
      </c>
      <c r="L871" s="9" t="n">
        <v>78.43714</v>
      </c>
      <c r="M871" s="9" t="inlineStr">
        <is>
          <t>https://www.google.com/maps/place/?q=place_id:ChIJu1L_zrSXyzsRvP0L4lOwDis</t>
        </is>
      </c>
    </row>
    <row r="872">
      <c r="A872" s="9" t="n">
        <v>868</v>
      </c>
      <c r="B872" s="9" t="inlineStr">
        <is>
          <t>Hyderabad</t>
        </is>
      </c>
      <c r="C872" s="9" t="inlineStr">
        <is>
          <t>Hyderabad</t>
        </is>
      </c>
      <c r="D872" s="9" t="inlineStr">
        <is>
          <t>Telangana</t>
        </is>
      </c>
      <c r="E872" s="9" t="inlineStr">
        <is>
          <t>India</t>
        </is>
      </c>
      <c r="F872" s="9" t="n">
        <v>2</v>
      </c>
      <c r="G872" s="9" t="n">
        <v>2</v>
      </c>
      <c r="H872" s="9" t="n">
        <v>2</v>
      </c>
      <c r="I872" s="10" t="n">
        <v>43573</v>
      </c>
      <c r="J872" s="10" t="n">
        <v>44215</v>
      </c>
      <c r="K872" s="9" t="n">
        <v>17.41496</v>
      </c>
      <c r="L872" s="9" t="n">
        <v>78.39709000000001</v>
      </c>
      <c r="M872" s="9" t="inlineStr">
        <is>
          <t>https://www.google.com/maps/place/?q=place_id:ChIJcaoEtrGWyzsRh14UlY0roXM</t>
        </is>
      </c>
    </row>
    <row r="873">
      <c r="A873" s="9" t="n">
        <v>869</v>
      </c>
      <c r="B873" s="9" t="inlineStr">
        <is>
          <t>Hyderabad</t>
        </is>
      </c>
      <c r="C873" s="9" t="inlineStr">
        <is>
          <t>Hyderabad</t>
        </is>
      </c>
      <c r="D873" s="9" t="inlineStr">
        <is>
          <t>Telangana</t>
        </is>
      </c>
      <c r="E873" s="9" t="inlineStr">
        <is>
          <t>India</t>
        </is>
      </c>
      <c r="F873" s="9" t="n">
        <v>2</v>
      </c>
      <c r="G873" s="9" t="n">
        <v>2</v>
      </c>
      <c r="H873" s="9" t="n">
        <v>2</v>
      </c>
      <c r="I873" s="10" t="n">
        <v>43679</v>
      </c>
      <c r="J873" s="10" t="n">
        <v>43804</v>
      </c>
      <c r="K873" s="9" t="n">
        <v>17.41498</v>
      </c>
      <c r="L873" s="9" t="n">
        <v>78.4088</v>
      </c>
      <c r="M873" s="9" t="inlineStr">
        <is>
          <t>https://www.google.com/maps/place/?q=place_id:ChIJE_HKxMiWyzsRRtVxLkM0DtI</t>
        </is>
      </c>
    </row>
    <row r="874">
      <c r="A874" s="9" t="n">
        <v>870</v>
      </c>
      <c r="B874" s="9" t="inlineStr">
        <is>
          <t>Kukatpally</t>
        </is>
      </c>
      <c r="C874" s="9" t="inlineStr">
        <is>
          <t>Hyderabad</t>
        </is>
      </c>
      <c r="D874" s="9" t="inlineStr">
        <is>
          <t>Telangana</t>
        </is>
      </c>
      <c r="E874" s="9" t="inlineStr">
        <is>
          <t>India</t>
        </is>
      </c>
      <c r="F874" s="9" t="n">
        <v>2</v>
      </c>
      <c r="G874" s="9" t="n">
        <v>2</v>
      </c>
      <c r="H874" s="9" t="n">
        <v>2</v>
      </c>
      <c r="I874" s="10" t="n">
        <v>43767</v>
      </c>
      <c r="J874" s="10" t="n">
        <v>44200</v>
      </c>
      <c r="K874" s="9" t="n">
        <v>17.40759</v>
      </c>
      <c r="L874" s="9" t="n">
        <v>78.35397</v>
      </c>
      <c r="M874" s="9" t="inlineStr">
        <is>
          <t>https://www.google.com/maps/place/?q=place_id:ChIJ2YgsP26UyzsRGGXBgCggOgY</t>
        </is>
      </c>
    </row>
    <row r="875">
      <c r="A875" s="9" t="n">
        <v>871</v>
      </c>
      <c r="B875" s="9" t="inlineStr">
        <is>
          <t>Serilingampalle</t>
        </is>
      </c>
      <c r="C875" s="9" t="inlineStr">
        <is>
          <t>Hyderabad</t>
        </is>
      </c>
      <c r="D875" s="9" t="inlineStr">
        <is>
          <t>Telangana</t>
        </is>
      </c>
      <c r="E875" s="9" t="inlineStr">
        <is>
          <t>India</t>
        </is>
      </c>
      <c r="F875" s="9" t="n">
        <v>2</v>
      </c>
      <c r="G875" s="9" t="n">
        <v>2</v>
      </c>
      <c r="H875" s="9" t="n">
        <v>2</v>
      </c>
      <c r="I875" s="10" t="n">
        <v>43804</v>
      </c>
      <c r="J875" s="10" t="n">
        <v>44232</v>
      </c>
      <c r="K875" s="9" t="n">
        <v>17.44486</v>
      </c>
      <c r="L875" s="9" t="n">
        <v>78.34981000000001</v>
      </c>
      <c r="M875" s="9" t="inlineStr">
        <is>
          <t>https://www.google.com/maps/place/?q=place_id:ChIJK_h_8QMKzjsRlrTemJvoAp0</t>
        </is>
      </c>
    </row>
    <row r="876">
      <c r="A876" s="9" t="n">
        <v>872</v>
      </c>
      <c r="B876" s="9" t="inlineStr">
        <is>
          <t>Hyderabad</t>
        </is>
      </c>
      <c r="C876" s="9" t="inlineStr">
        <is>
          <t>Hyderabad</t>
        </is>
      </c>
      <c r="D876" s="9" t="inlineStr">
        <is>
          <t>Telangana</t>
        </is>
      </c>
      <c r="E876" s="9" t="inlineStr">
        <is>
          <t>India</t>
        </is>
      </c>
      <c r="F876" s="9" t="n">
        <v>2</v>
      </c>
      <c r="G876" s="9" t="n">
        <v>2</v>
      </c>
      <c r="H876" s="9" t="n">
        <v>2</v>
      </c>
      <c r="I876" s="10" t="n">
        <v>43813</v>
      </c>
      <c r="J876" s="10" t="n">
        <v>44583</v>
      </c>
      <c r="K876" s="9" t="n">
        <v>17.40804</v>
      </c>
      <c r="L876" s="9" t="n">
        <v>78.44972</v>
      </c>
      <c r="M876" s="9" t="inlineStr">
        <is>
          <t>https://www.google.com/maps/place/?q=place_id:ChIJB2341T6XyzsRP2GsaxWvVNg</t>
        </is>
      </c>
    </row>
    <row r="877">
      <c r="A877" s="9" t="n">
        <v>873</v>
      </c>
      <c r="B877" s="9" t="inlineStr">
        <is>
          <t>Hyderabad</t>
        </is>
      </c>
      <c r="C877" s="9" t="inlineStr">
        <is>
          <t>Hyderabad</t>
        </is>
      </c>
      <c r="D877" s="9" t="inlineStr">
        <is>
          <t>Telangana</t>
        </is>
      </c>
      <c r="E877" s="9" t="inlineStr">
        <is>
          <t>India</t>
        </is>
      </c>
      <c r="F877" s="9" t="n">
        <v>2</v>
      </c>
      <c r="G877" s="9" t="n">
        <v>2</v>
      </c>
      <c r="H877" s="9" t="n">
        <v>2</v>
      </c>
      <c r="I877" s="10" t="n">
        <v>43813</v>
      </c>
      <c r="J877" s="10" t="n">
        <v>43860</v>
      </c>
      <c r="K877" s="9" t="n">
        <v>17.409</v>
      </c>
      <c r="L877" s="9" t="n">
        <v>78.43340000000001</v>
      </c>
      <c r="M877" s="9" t="inlineStr">
        <is>
          <t>https://www.google.com/maps/place/?q=place_id:ChIJnYMYyVaXyzsR9zANqhkJEGw</t>
        </is>
      </c>
    </row>
    <row r="878">
      <c r="A878" s="9" t="n">
        <v>874</v>
      </c>
      <c r="B878" s="9" t="inlineStr">
        <is>
          <t>Malkajgiri</t>
        </is>
      </c>
      <c r="C878" s="9" t="inlineStr">
        <is>
          <t>Hyderabad</t>
        </is>
      </c>
      <c r="D878" s="9" t="inlineStr">
        <is>
          <t>Telangana</t>
        </is>
      </c>
      <c r="E878" s="9" t="inlineStr">
        <is>
          <t>India</t>
        </is>
      </c>
      <c r="F878" s="9" t="n">
        <v>2</v>
      </c>
      <c r="G878" s="9" t="n">
        <v>1</v>
      </c>
      <c r="H878" s="9" t="n">
        <v>1</v>
      </c>
      <c r="I878" s="10" t="n">
        <v>43885</v>
      </c>
      <c r="J878" s="10" t="n">
        <v>43885</v>
      </c>
      <c r="K878" s="9" t="n">
        <v>17.43685</v>
      </c>
      <c r="L878" s="9" t="n">
        <v>78.49003999999999</v>
      </c>
      <c r="M878" s="9" t="inlineStr">
        <is>
          <t>https://www.google.com/maps/place/?q=place_id:ChIJ_0SWWhiayzsRbfJIoTzsj2E</t>
        </is>
      </c>
    </row>
    <row r="879">
      <c r="A879" s="9" t="n">
        <v>875</v>
      </c>
      <c r="B879" s="9" t="inlineStr">
        <is>
          <t>Kukatpally</t>
        </is>
      </c>
      <c r="C879" s="9" t="inlineStr">
        <is>
          <t>Hyderabad</t>
        </is>
      </c>
      <c r="D879" s="9" t="inlineStr">
        <is>
          <t>Telangana</t>
        </is>
      </c>
      <c r="E879" s="9" t="inlineStr">
        <is>
          <t>India</t>
        </is>
      </c>
      <c r="F879" s="9" t="n">
        <v>2</v>
      </c>
      <c r="G879" s="9" t="n">
        <v>2</v>
      </c>
      <c r="H879" s="9" t="n">
        <v>2</v>
      </c>
      <c r="I879" s="10" t="n">
        <v>43891</v>
      </c>
      <c r="J879" s="10" t="n">
        <v>44020</v>
      </c>
      <c r="K879" s="9" t="n">
        <v>17.42509</v>
      </c>
      <c r="L879" s="9" t="n">
        <v>78.40552</v>
      </c>
      <c r="M879" s="9" t="inlineStr">
        <is>
          <t>https://www.google.com/maps/place/?q=place_id:ChIJE845v7ORyzsRfZLFZ6oAMv4</t>
        </is>
      </c>
    </row>
    <row r="880">
      <c r="A880" s="9" t="n">
        <v>876</v>
      </c>
      <c r="B880" s="9" t="inlineStr">
        <is>
          <t>Hyderabad</t>
        </is>
      </c>
      <c r="C880" s="9" t="inlineStr">
        <is>
          <t>Hyderabad</t>
        </is>
      </c>
      <c r="D880" s="9" t="inlineStr">
        <is>
          <t>Telangana</t>
        </is>
      </c>
      <c r="E880" s="9" t="inlineStr">
        <is>
          <t>India</t>
        </is>
      </c>
      <c r="F880" s="9" t="n">
        <v>2</v>
      </c>
      <c r="G880" s="9" t="n">
        <v>3</v>
      </c>
      <c r="H880" s="9" t="n">
        <v>1</v>
      </c>
      <c r="I880" s="10" t="n">
        <v>44140</v>
      </c>
      <c r="J880" s="10" t="n">
        <v>44142</v>
      </c>
      <c r="K880" s="9" t="n">
        <v>17.41495</v>
      </c>
      <c r="L880" s="9" t="n">
        <v>78.41227000000001</v>
      </c>
      <c r="M880" s="9" t="inlineStr">
        <is>
          <t>https://www.google.com/maps/place/?q=place_id:ChIJmaLn1ciWyzsR0V-9uvi4_B8</t>
        </is>
      </c>
    </row>
    <row r="881">
      <c r="A881" s="9" t="n">
        <v>877</v>
      </c>
      <c r="B881" s="9" t="inlineStr">
        <is>
          <t>Hyderabad</t>
        </is>
      </c>
      <c r="C881" s="9" t="inlineStr">
        <is>
          <t>Hyderabad</t>
        </is>
      </c>
      <c r="D881" s="9" t="inlineStr">
        <is>
          <t>Telangana</t>
        </is>
      </c>
      <c r="E881" s="9" t="inlineStr">
        <is>
          <t>India</t>
        </is>
      </c>
      <c r="F881" s="9" t="n">
        <v>2</v>
      </c>
      <c r="G881" s="9" t="n">
        <v>2</v>
      </c>
      <c r="H881" s="9" t="n">
        <v>1</v>
      </c>
      <c r="I881" s="10" t="n">
        <v>44218</v>
      </c>
      <c r="J881" s="10" t="n">
        <v>44220</v>
      </c>
      <c r="K881" s="9" t="n">
        <v>17.41314</v>
      </c>
      <c r="L881" s="9" t="n">
        <v>78.41113</v>
      </c>
      <c r="M881" s="9" t="inlineStr">
        <is>
          <t>https://www.google.com/maps/place/?q=place_id:ChIJZYgn2RiXyzsRftLL3saKwIE</t>
        </is>
      </c>
    </row>
    <row r="882">
      <c r="A882" s="9" t="n">
        <v>878</v>
      </c>
      <c r="B882" s="9" t="inlineStr">
        <is>
          <t>Hyderabad</t>
        </is>
      </c>
      <c r="C882" s="9" t="inlineStr">
        <is>
          <t>Hyderabad</t>
        </is>
      </c>
      <c r="D882" s="9" t="inlineStr">
        <is>
          <t>Telangana</t>
        </is>
      </c>
      <c r="E882" s="9" t="inlineStr">
        <is>
          <t>India</t>
        </is>
      </c>
      <c r="F882" s="9" t="n">
        <v>2</v>
      </c>
      <c r="G882" s="9" t="n">
        <v>2</v>
      </c>
      <c r="H882" s="9" t="n">
        <v>2</v>
      </c>
      <c r="I882" s="10" t="n">
        <v>44232</v>
      </c>
      <c r="J882" s="10" t="n">
        <v>44287</v>
      </c>
      <c r="K882" s="9" t="n">
        <v>17.40663</v>
      </c>
      <c r="L882" s="9" t="n">
        <v>78.43111</v>
      </c>
      <c r="M882" s="9" t="inlineStr">
        <is>
          <t>https://www.google.com/maps/place/?q=place_id:ChIJ_7H2nS-XyzsRPBqJLokbiVE</t>
        </is>
      </c>
    </row>
    <row r="883">
      <c r="A883" s="9" t="n">
        <v>879</v>
      </c>
      <c r="B883" s="9" t="inlineStr">
        <is>
          <t>Kukatpally</t>
        </is>
      </c>
      <c r="C883" s="9" t="inlineStr">
        <is>
          <t>Hyderabad</t>
        </is>
      </c>
      <c r="D883" s="9" t="inlineStr">
        <is>
          <t>Telangana</t>
        </is>
      </c>
      <c r="E883" s="9" t="inlineStr">
        <is>
          <t>India</t>
        </is>
      </c>
      <c r="F883" s="9" t="n">
        <v>2</v>
      </c>
      <c r="G883" s="9" t="n">
        <v>2</v>
      </c>
      <c r="H883" s="9" t="n">
        <v>1</v>
      </c>
      <c r="I883" s="10" t="n">
        <v>44267</v>
      </c>
      <c r="J883" s="10" t="n">
        <v>44269</v>
      </c>
      <c r="K883" s="9" t="n">
        <v>17.44336</v>
      </c>
      <c r="L883" s="9" t="n">
        <v>78.366</v>
      </c>
      <c r="M883" s="9" t="inlineStr">
        <is>
          <t>https://www.google.com/maps/place/?q=place_id:ChIJZyT5_umTyzsR1xWsZCiId4s</t>
        </is>
      </c>
    </row>
    <row r="884">
      <c r="A884" s="9" t="n">
        <v>880</v>
      </c>
      <c r="B884" s="9" t="inlineStr">
        <is>
          <t>Singapur</t>
        </is>
      </c>
      <c r="C884" s="9" t="inlineStr">
        <is>
          <t>Hyderabad</t>
        </is>
      </c>
      <c r="D884" s="9" t="inlineStr">
        <is>
          <t>Telangana</t>
        </is>
      </c>
      <c r="E884" s="9" t="inlineStr">
        <is>
          <t>India</t>
        </is>
      </c>
      <c r="F884" s="9" t="n">
        <v>2</v>
      </c>
      <c r="G884" s="9" t="n">
        <v>2</v>
      </c>
      <c r="H884" s="9" t="n">
        <v>2</v>
      </c>
      <c r="I884" s="10" t="n">
        <v>44294</v>
      </c>
      <c r="J884" s="10" t="n">
        <v>44894</v>
      </c>
      <c r="K884" s="9" t="n">
        <v>17.38811</v>
      </c>
      <c r="L884" s="9" t="n">
        <v>78.18133</v>
      </c>
      <c r="M884" s="9" t="inlineStr">
        <is>
          <t>https://www.google.com/maps/place/?q=place_id:ChIJD5uFYWrpyzsRxkxFJbLFi0g</t>
        </is>
      </c>
    </row>
    <row r="885">
      <c r="A885" s="9" t="n">
        <v>881</v>
      </c>
      <c r="B885" s="9" t="inlineStr">
        <is>
          <t>Kukatpally</t>
        </is>
      </c>
      <c r="C885" s="9" t="inlineStr">
        <is>
          <t>Hyderabad</t>
        </is>
      </c>
      <c r="D885" s="9" t="inlineStr">
        <is>
          <t>Telangana</t>
        </is>
      </c>
      <c r="E885" s="9" t="inlineStr">
        <is>
          <t>India</t>
        </is>
      </c>
      <c r="F885" s="9" t="n">
        <v>2</v>
      </c>
      <c r="G885" s="9" t="n">
        <v>2</v>
      </c>
      <c r="H885" s="9" t="n">
        <v>2</v>
      </c>
      <c r="I885" s="10" t="n">
        <v>44377</v>
      </c>
      <c r="J885" s="10" t="n">
        <v>44387</v>
      </c>
      <c r="K885" s="9" t="n">
        <v>17.45476</v>
      </c>
      <c r="L885" s="9" t="n">
        <v>78.39771</v>
      </c>
      <c r="M885" s="9" t="inlineStr">
        <is>
          <t>https://www.google.com/maps/place/?q=place_id:ChIJN67g-dORyzsRBpitfyhy--U</t>
        </is>
      </c>
    </row>
    <row r="886">
      <c r="A886" s="9" t="n">
        <v>882</v>
      </c>
      <c r="B886" s="9" t="inlineStr">
        <is>
          <t>Hyderabad</t>
        </is>
      </c>
      <c r="C886" s="9" t="inlineStr">
        <is>
          <t>Hyderabad</t>
        </is>
      </c>
      <c r="D886" s="9" t="inlineStr">
        <is>
          <t>Telangana</t>
        </is>
      </c>
      <c r="E886" s="9" t="inlineStr">
        <is>
          <t>India</t>
        </is>
      </c>
      <c r="F886" s="9" t="n">
        <v>2</v>
      </c>
      <c r="G886" s="9" t="n">
        <v>2</v>
      </c>
      <c r="H886" s="9" t="n">
        <v>2</v>
      </c>
      <c r="I886" s="10" t="n">
        <v>44455</v>
      </c>
      <c r="J886" s="10" t="n">
        <v>44459</v>
      </c>
      <c r="K886" s="9" t="n">
        <v>17.41517</v>
      </c>
      <c r="L886" s="9" t="n">
        <v>78.43373</v>
      </c>
      <c r="M886" s="9" t="inlineStr">
        <is>
          <t>https://www.google.com/maps/place/?q=place_id:ChIJ0_5o6SiXyzsRQiVCN2OTiIA</t>
        </is>
      </c>
    </row>
    <row r="887">
      <c r="A887" s="9" t="n">
        <v>883</v>
      </c>
      <c r="B887" s="9" t="inlineStr">
        <is>
          <t>Serilingampalle</t>
        </is>
      </c>
      <c r="C887" s="9" t="inlineStr">
        <is>
          <t>Hyderabad</t>
        </is>
      </c>
      <c r="D887" s="9" t="inlineStr">
        <is>
          <t>Telangana</t>
        </is>
      </c>
      <c r="E887" s="9" t="inlineStr">
        <is>
          <t>India</t>
        </is>
      </c>
      <c r="F887" s="9" t="n">
        <v>2</v>
      </c>
      <c r="G887" s="9" t="n">
        <v>2</v>
      </c>
      <c r="H887" s="9" t="n">
        <v>2</v>
      </c>
      <c r="I887" s="10" t="n">
        <v>44603</v>
      </c>
      <c r="J887" s="10" t="n">
        <v>45375</v>
      </c>
      <c r="K887" s="9" t="n">
        <v>17.41353</v>
      </c>
      <c r="L887" s="9" t="n">
        <v>78.33907000000001</v>
      </c>
      <c r="M887" s="9" t="inlineStr">
        <is>
          <t>https://www.google.com/maps/place/?q=place_id:ChIJFThmIIGUyzsRzkXd_Pgz6ns</t>
        </is>
      </c>
    </row>
    <row r="888">
      <c r="A888" s="9" t="n">
        <v>884</v>
      </c>
      <c r="B888" s="9" t="inlineStr">
        <is>
          <t>Hyderabad</t>
        </is>
      </c>
      <c r="C888" s="9" t="inlineStr">
        <is>
          <t>Hyderabad</t>
        </is>
      </c>
      <c r="D888" s="9" t="inlineStr">
        <is>
          <t>Telangana</t>
        </is>
      </c>
      <c r="E888" s="9" t="inlineStr">
        <is>
          <t>India</t>
        </is>
      </c>
      <c r="F888" s="9" t="n">
        <v>2</v>
      </c>
      <c r="G888" s="9" t="n">
        <v>2</v>
      </c>
      <c r="H888" s="9" t="n">
        <v>2</v>
      </c>
      <c r="I888" s="10" t="n">
        <v>44623</v>
      </c>
      <c r="J888" s="10" t="n">
        <v>45943</v>
      </c>
      <c r="K888" s="9" t="n">
        <v>17.41826</v>
      </c>
      <c r="L888" s="9" t="n">
        <v>78.40602</v>
      </c>
      <c r="M888" s="9" t="inlineStr">
        <is>
          <t>https://www.google.com/maps/place/?q=place_id:ChIJrfDECU2XyzsRjEZzkkMuWwo</t>
        </is>
      </c>
    </row>
    <row r="889">
      <c r="A889" s="9" t="n">
        <v>885</v>
      </c>
      <c r="B889" s="9" t="inlineStr">
        <is>
          <t>Hyderabad</t>
        </is>
      </c>
      <c r="C889" s="9" t="inlineStr">
        <is>
          <t>Hyderabad</t>
        </is>
      </c>
      <c r="D889" s="9" t="inlineStr">
        <is>
          <t>Telangana</t>
        </is>
      </c>
      <c r="E889" s="9" t="inlineStr">
        <is>
          <t>India</t>
        </is>
      </c>
      <c r="F889" s="9" t="n">
        <v>2</v>
      </c>
      <c r="G889" s="9" t="n">
        <v>2</v>
      </c>
      <c r="H889" s="9" t="n">
        <v>2</v>
      </c>
      <c r="I889" s="10" t="n">
        <v>44775</v>
      </c>
      <c r="J889" s="10" t="n">
        <v>44794</v>
      </c>
      <c r="K889" s="9" t="n">
        <v>17.41208</v>
      </c>
      <c r="L889" s="9" t="n">
        <v>78.45010000000001</v>
      </c>
      <c r="M889" s="9" t="inlineStr">
        <is>
          <t>https://www.google.com/maps/place/?q=place_id:ChIJydWgQDiXyzsRDCJbxivQEXQ</t>
        </is>
      </c>
    </row>
    <row r="890">
      <c r="A890" s="9" t="n">
        <v>886</v>
      </c>
      <c r="B890" s="9" t="inlineStr">
        <is>
          <t>Kukatpally</t>
        </is>
      </c>
      <c r="C890" s="9" t="inlineStr">
        <is>
          <t>Hyderabad</t>
        </is>
      </c>
      <c r="D890" s="9" t="inlineStr">
        <is>
          <t>Telangana</t>
        </is>
      </c>
      <c r="E890" s="9" t="inlineStr">
        <is>
          <t>India</t>
        </is>
      </c>
      <c r="F890" s="9" t="n">
        <v>2</v>
      </c>
      <c r="G890" s="9" t="n">
        <v>2</v>
      </c>
      <c r="H890" s="9" t="n">
        <v>2</v>
      </c>
      <c r="I890" s="10" t="n">
        <v>44872</v>
      </c>
      <c r="J890" s="10" t="n">
        <v>44877</v>
      </c>
      <c r="K890" s="9" t="n">
        <v>17.45698</v>
      </c>
      <c r="L890" s="9" t="n">
        <v>78.37663999999999</v>
      </c>
      <c r="M890" s="9" t="inlineStr">
        <is>
          <t>https://www.google.com/maps/place/?q=place_id:ChIJhSBVhPyTyzsRxsyBMeE4z5s</t>
        </is>
      </c>
    </row>
    <row r="891">
      <c r="A891" s="9" t="n">
        <v>887</v>
      </c>
      <c r="B891" s="9" t="inlineStr">
        <is>
          <t>Kukatpally</t>
        </is>
      </c>
      <c r="C891" s="9" t="inlineStr">
        <is>
          <t>Hyderabad</t>
        </is>
      </c>
      <c r="D891" s="9" t="inlineStr">
        <is>
          <t>Telangana</t>
        </is>
      </c>
      <c r="E891" s="9" t="inlineStr">
        <is>
          <t>India</t>
        </is>
      </c>
      <c r="F891" s="9" t="n">
        <v>2</v>
      </c>
      <c r="G891" s="9" t="n">
        <v>2</v>
      </c>
      <c r="H891" s="9" t="n">
        <v>2</v>
      </c>
      <c r="I891" s="10" t="n">
        <v>44931</v>
      </c>
      <c r="J891" s="10" t="n">
        <v>45044</v>
      </c>
      <c r="K891" s="9" t="n">
        <v>17.43455</v>
      </c>
      <c r="L891" s="9" t="n">
        <v>78.37922</v>
      </c>
      <c r="M891" s="9" t="inlineStr">
        <is>
          <t>https://www.google.com/maps/place/?q=place_id:ChIJd_ExeOOTyzsReKq6NJ1J1DI</t>
        </is>
      </c>
    </row>
    <row r="892">
      <c r="A892" s="9" t="n">
        <v>888</v>
      </c>
      <c r="B892" s="9" t="inlineStr">
        <is>
          <t>Kukatpally</t>
        </is>
      </c>
      <c r="C892" s="9" t="inlineStr">
        <is>
          <t>Hyderabad</t>
        </is>
      </c>
      <c r="D892" s="9" t="inlineStr">
        <is>
          <t>Telangana</t>
        </is>
      </c>
      <c r="E892" s="9" t="inlineStr">
        <is>
          <t>India</t>
        </is>
      </c>
      <c r="F892" s="9" t="n">
        <v>2</v>
      </c>
      <c r="G892" s="9" t="n">
        <v>2</v>
      </c>
      <c r="H892" s="9" t="n">
        <v>2</v>
      </c>
      <c r="I892" s="10" t="n">
        <v>44945</v>
      </c>
      <c r="J892" s="10" t="n">
        <v>44949</v>
      </c>
      <c r="K892" s="9" t="n">
        <v>17.48812</v>
      </c>
      <c r="L892" s="9" t="n">
        <v>78.41421</v>
      </c>
      <c r="M892" s="9" t="inlineStr">
        <is>
          <t>https://www.google.com/maps/place/?q=place_id:ChIJ96foYLmRyzsR0_eDkOw4Ix4</t>
        </is>
      </c>
    </row>
    <row r="893">
      <c r="A893" s="9" t="n">
        <v>889</v>
      </c>
      <c r="B893" s="9" t="inlineStr">
        <is>
          <t>Kukatpally</t>
        </is>
      </c>
      <c r="C893" s="9" t="inlineStr">
        <is>
          <t>Hyderabad</t>
        </is>
      </c>
      <c r="D893" s="9" t="inlineStr">
        <is>
          <t>Telangana</t>
        </is>
      </c>
      <c r="E893" s="9" t="inlineStr">
        <is>
          <t>India</t>
        </is>
      </c>
      <c r="F893" s="9" t="n">
        <v>2</v>
      </c>
      <c r="G893" s="9" t="n">
        <v>2</v>
      </c>
      <c r="H893" s="9" t="n">
        <v>2</v>
      </c>
      <c r="I893" s="10" t="n">
        <v>45033</v>
      </c>
      <c r="J893" s="10" t="n">
        <v>45603</v>
      </c>
      <c r="K893" s="9" t="n">
        <v>17.46725</v>
      </c>
      <c r="L893" s="9" t="n">
        <v>78.42985</v>
      </c>
      <c r="M893" s="9" t="inlineStr">
        <is>
          <t>https://www.google.com/maps/place/?q=place_id:ChIJxVXnIP6QyzsRHEKHi9JNR34</t>
        </is>
      </c>
    </row>
    <row r="894">
      <c r="A894" s="9" t="n">
        <v>890</v>
      </c>
      <c r="B894" s="9" t="inlineStr">
        <is>
          <t>Hyderabad</t>
        </is>
      </c>
      <c r="C894" s="9" t="inlineStr">
        <is>
          <t>Hyderabad</t>
        </is>
      </c>
      <c r="D894" s="9" t="inlineStr">
        <is>
          <t>Telangana</t>
        </is>
      </c>
      <c r="E894" s="9" t="inlineStr">
        <is>
          <t>India</t>
        </is>
      </c>
      <c r="F894" s="9" t="n">
        <v>2</v>
      </c>
      <c r="G894" s="9" t="n">
        <v>2</v>
      </c>
      <c r="H894" s="9" t="n">
        <v>2</v>
      </c>
      <c r="I894" s="10" t="n">
        <v>45053</v>
      </c>
      <c r="J894" s="10" t="n">
        <v>45135</v>
      </c>
      <c r="K894" s="9" t="n">
        <v>17.42715</v>
      </c>
      <c r="L894" s="9" t="n">
        <v>78.42246</v>
      </c>
      <c r="M894" s="9" t="inlineStr">
        <is>
          <t>https://www.google.com/maps/place/?q=place_id:ChIJUfbs7SyRyzsRbBw-27FNmlo</t>
        </is>
      </c>
    </row>
    <row r="895">
      <c r="A895" s="9" t="n">
        <v>891</v>
      </c>
      <c r="B895" s="9" t="inlineStr">
        <is>
          <t>Kukatpally</t>
        </is>
      </c>
      <c r="C895" s="9" t="inlineStr">
        <is>
          <t>Hyderabad</t>
        </is>
      </c>
      <c r="D895" s="9" t="inlineStr">
        <is>
          <t>Telangana</t>
        </is>
      </c>
      <c r="E895" s="9" t="inlineStr">
        <is>
          <t>India</t>
        </is>
      </c>
      <c r="F895" s="9" t="n">
        <v>2</v>
      </c>
      <c r="G895" s="9" t="n">
        <v>2</v>
      </c>
      <c r="H895" s="9" t="n">
        <v>2</v>
      </c>
      <c r="I895" s="10" t="n">
        <v>45140</v>
      </c>
      <c r="J895" s="10" t="n">
        <v>45373</v>
      </c>
      <c r="K895" s="9" t="n">
        <v>17.45171</v>
      </c>
      <c r="L895" s="9" t="n">
        <v>78.42227</v>
      </c>
      <c r="M895" s="9" t="inlineStr">
        <is>
          <t>https://www.google.com/maps/place/?q=place_id:ChIJWQ35ExmRyzsR40FbNHlBiGw</t>
        </is>
      </c>
    </row>
    <row r="896">
      <c r="A896" s="9" t="n">
        <v>892</v>
      </c>
      <c r="B896" s="9" t="inlineStr">
        <is>
          <t>Gaddi Annaram</t>
        </is>
      </c>
      <c r="C896" s="9" t="inlineStr">
        <is>
          <t>Hyderabad</t>
        </is>
      </c>
      <c r="D896" s="9" t="inlineStr">
        <is>
          <t>Telangana</t>
        </is>
      </c>
      <c r="E896" s="9" t="inlineStr">
        <is>
          <t>India</t>
        </is>
      </c>
      <c r="F896" s="9" t="n">
        <v>2</v>
      </c>
      <c r="G896" s="9" t="n">
        <v>2</v>
      </c>
      <c r="H896" s="9" t="n">
        <v>2</v>
      </c>
      <c r="I896" s="10" t="n">
        <v>45171</v>
      </c>
      <c r="J896" s="10" t="n">
        <v>45619</v>
      </c>
      <c r="K896" s="9" t="n">
        <v>17.37183</v>
      </c>
      <c r="L896" s="9" t="n">
        <v>78.50732000000001</v>
      </c>
      <c r="M896" s="9" t="inlineStr">
        <is>
          <t>https://www.google.com/maps/place/?q=place_id:ChIJqVRLnumZyzsRCgwpIAjcLGE</t>
        </is>
      </c>
    </row>
    <row r="897">
      <c r="A897" s="9" t="n">
        <v>893</v>
      </c>
      <c r="B897" s="9" t="inlineStr">
        <is>
          <t>Hyderabad</t>
        </is>
      </c>
      <c r="C897" s="9" t="inlineStr">
        <is>
          <t>Hyderabad</t>
        </is>
      </c>
      <c r="D897" s="9" t="inlineStr">
        <is>
          <t>Telangana</t>
        </is>
      </c>
      <c r="E897" s="9" t="inlineStr">
        <is>
          <t>India</t>
        </is>
      </c>
      <c r="F897" s="9" t="n">
        <v>2</v>
      </c>
      <c r="G897" s="9" t="n">
        <v>2</v>
      </c>
      <c r="H897" s="9" t="n">
        <v>2</v>
      </c>
      <c r="I897" s="10" t="n">
        <v>45179</v>
      </c>
      <c r="J897" s="10" t="n">
        <v>45209</v>
      </c>
      <c r="K897" s="9" t="n">
        <v>17.36838</v>
      </c>
      <c r="L897" s="9" t="n">
        <v>78.35726</v>
      </c>
      <c r="M897" s="9" t="inlineStr">
        <is>
          <t>https://www.google.com/maps/place/?q=place_id:ChIJZwT_FbSVyzsRBAFjSOLxhGc</t>
        </is>
      </c>
    </row>
    <row r="898">
      <c r="A898" s="9" t="n">
        <v>894</v>
      </c>
      <c r="B898" s="9" t="inlineStr">
        <is>
          <t>Quthbullapur</t>
        </is>
      </c>
      <c r="C898" s="9" t="inlineStr">
        <is>
          <t>Hyderabad</t>
        </is>
      </c>
      <c r="D898" s="9" t="inlineStr">
        <is>
          <t>Telangana</t>
        </is>
      </c>
      <c r="E898" s="9" t="inlineStr">
        <is>
          <t>India</t>
        </is>
      </c>
      <c r="F898" s="9" t="n">
        <v>2</v>
      </c>
      <c r="G898" s="9" t="n">
        <v>2</v>
      </c>
      <c r="H898" s="9" t="n">
        <v>2</v>
      </c>
      <c r="I898" s="10" t="n">
        <v>45184</v>
      </c>
      <c r="J898" s="10" t="n">
        <v>45400</v>
      </c>
      <c r="K898" s="9" t="n">
        <v>17.57125</v>
      </c>
      <c r="L898" s="9" t="n">
        <v>78.49717</v>
      </c>
      <c r="M898" s="9" t="inlineStr">
        <is>
          <t>https://www.google.com/maps/place/?q=place_id:ChIJS7YTnZ-FyzsROVRjr_aQ6V4</t>
        </is>
      </c>
    </row>
    <row r="899">
      <c r="A899" s="9" t="n">
        <v>895</v>
      </c>
      <c r="B899" s="9" t="inlineStr">
        <is>
          <t>Hyderabad</t>
        </is>
      </c>
      <c r="C899" s="9" t="inlineStr">
        <is>
          <t>Hyderabad</t>
        </is>
      </c>
      <c r="D899" s="9" t="inlineStr">
        <is>
          <t>Telangana</t>
        </is>
      </c>
      <c r="E899" s="9" t="inlineStr">
        <is>
          <t>India</t>
        </is>
      </c>
      <c r="F899" s="9" t="n">
        <v>2</v>
      </c>
      <c r="G899" s="9" t="n">
        <v>2</v>
      </c>
      <c r="H899" s="9" t="n">
        <v>2</v>
      </c>
      <c r="I899" s="10" t="n">
        <v>45324</v>
      </c>
      <c r="J899" s="10" t="n">
        <v>45593</v>
      </c>
      <c r="K899" s="9" t="n">
        <v>17.42632</v>
      </c>
      <c r="L899" s="9" t="n">
        <v>78.44750999999999</v>
      </c>
      <c r="M899" s="9" t="inlineStr">
        <is>
          <t>https://www.google.com/maps/place/?q=place_id:ChIJZejIT8uQyzsRRWfTllkKqg4</t>
        </is>
      </c>
    </row>
    <row r="900">
      <c r="A900" s="9" t="n">
        <v>896</v>
      </c>
      <c r="B900" s="9" t="inlineStr">
        <is>
          <t>Hyderabad</t>
        </is>
      </c>
      <c r="C900" s="9" t="inlineStr">
        <is>
          <t>Hyderabad</t>
        </is>
      </c>
      <c r="D900" s="9" t="inlineStr">
        <is>
          <t>Telangana</t>
        </is>
      </c>
      <c r="E900" s="9" t="inlineStr">
        <is>
          <t>India</t>
        </is>
      </c>
      <c r="F900" s="9" t="n">
        <v>2</v>
      </c>
      <c r="G900" s="9" t="n">
        <v>2</v>
      </c>
      <c r="H900" s="9" t="n">
        <v>2</v>
      </c>
      <c r="I900" s="10" t="n">
        <v>45394</v>
      </c>
      <c r="J900" s="10" t="n">
        <v>45623</v>
      </c>
      <c r="K900" s="9" t="n">
        <v>17.4108</v>
      </c>
      <c r="L900" s="9" t="n">
        <v>78.44983999999999</v>
      </c>
      <c r="M900" s="9" t="inlineStr">
        <is>
          <t>https://www.google.com/maps/place/?q=place_id:ChIJh4DoOMyXyzsR8eG6MMfqWQQ</t>
        </is>
      </c>
    </row>
    <row r="901">
      <c r="A901" s="9" t="n">
        <v>897</v>
      </c>
      <c r="B901" s="9" t="inlineStr">
        <is>
          <t>Kukatpally</t>
        </is>
      </c>
      <c r="C901" s="9" t="inlineStr">
        <is>
          <t>Hyderabad</t>
        </is>
      </c>
      <c r="D901" s="9" t="inlineStr">
        <is>
          <t>Telangana</t>
        </is>
      </c>
      <c r="E901" s="9" t="inlineStr">
        <is>
          <t>India</t>
        </is>
      </c>
      <c r="F901" s="9" t="n">
        <v>2</v>
      </c>
      <c r="G901" s="9" t="n">
        <v>2</v>
      </c>
      <c r="H901" s="9" t="n">
        <v>2</v>
      </c>
      <c r="I901" s="10" t="n">
        <v>45757</v>
      </c>
      <c r="J901" s="10" t="n">
        <v>45805</v>
      </c>
      <c r="K901" s="9" t="n">
        <v>17.4405</v>
      </c>
      <c r="L901" s="9" t="n">
        <v>78.41107</v>
      </c>
      <c r="M901" s="9" t="inlineStr">
        <is>
          <t>https://www.google.com/maps/place/?q=place_id:ChIJB2aoNzmRyzsRbZt8bIXbOpU</t>
        </is>
      </c>
    </row>
    <row r="902">
      <c r="A902" s="9" t="n">
        <v>898</v>
      </c>
      <c r="B902" s="9" t="inlineStr">
        <is>
          <t>Hyderabad</t>
        </is>
      </c>
      <c r="C902" s="9" t="inlineStr">
        <is>
          <t>Hyderabad</t>
        </is>
      </c>
      <c r="D902" s="9" t="inlineStr">
        <is>
          <t>Telangana</t>
        </is>
      </c>
      <c r="E902" s="9" t="inlineStr">
        <is>
          <t>India</t>
        </is>
      </c>
      <c r="F902" s="9" t="n">
        <v>2</v>
      </c>
      <c r="G902" s="9" t="n">
        <v>2</v>
      </c>
      <c r="H902" s="9" t="n">
        <v>2</v>
      </c>
      <c r="I902" s="10" t="n">
        <v>45866</v>
      </c>
      <c r="J902" s="10" t="n">
        <v>46170</v>
      </c>
      <c r="K902" s="9" t="n">
        <v>17.42122</v>
      </c>
      <c r="L902" s="9" t="n">
        <v>78.45532</v>
      </c>
      <c r="M902" s="9" t="inlineStr">
        <is>
          <t>https://www.google.com/maps/place/?q=place_id:ChIJNRzr0kuXyzsRx7OOaiTDIdA</t>
        </is>
      </c>
    </row>
    <row r="903">
      <c r="A903" s="9" t="n">
        <v>899</v>
      </c>
      <c r="B903" s="9" t="inlineStr">
        <is>
          <t>Malkajgiri</t>
        </is>
      </c>
      <c r="C903" s="9" t="inlineStr">
        <is>
          <t>Hyderabad</t>
        </is>
      </c>
      <c r="D903" s="9" t="inlineStr">
        <is>
          <t>Telangana</t>
        </is>
      </c>
      <c r="E903" s="9" t="inlineStr">
        <is>
          <t>India</t>
        </is>
      </c>
      <c r="F903" s="9" t="n">
        <v>1</v>
      </c>
      <c r="G903" s="9" t="n">
        <v>1</v>
      </c>
      <c r="H903" s="9" t="n">
        <v>1</v>
      </c>
      <c r="I903" s="10" t="n">
        <v>42054</v>
      </c>
      <c r="J903" s="10" t="n">
        <v>42054</v>
      </c>
      <c r="K903" s="9" t="n">
        <v>17.44454</v>
      </c>
      <c r="L903" s="9" t="n">
        <v>78.48521</v>
      </c>
      <c r="M903" s="9" t="inlineStr">
        <is>
          <t>https://www.google.com/maps/place/?q=place_id:ChIJsUuMEQ6ayzsRnCvkoYdnM4w</t>
        </is>
      </c>
    </row>
    <row r="904">
      <c r="A904" s="9" t="n">
        <v>900</v>
      </c>
      <c r="B904" s="9" t="inlineStr">
        <is>
          <t>Hyderabad</t>
        </is>
      </c>
      <c r="C904" s="9" t="inlineStr">
        <is>
          <t>Hyderabad</t>
        </is>
      </c>
      <c r="D904" s="9" t="inlineStr">
        <is>
          <t>Telangana</t>
        </is>
      </c>
      <c r="E904" s="9" t="inlineStr">
        <is>
          <t>India</t>
        </is>
      </c>
      <c r="F904" s="9" t="n">
        <v>1</v>
      </c>
      <c r="G904" s="9" t="n">
        <v>1</v>
      </c>
      <c r="H904" s="9" t="n">
        <v>1</v>
      </c>
      <c r="I904" s="10" t="n">
        <v>42102</v>
      </c>
      <c r="J904" s="10" t="n">
        <v>42102</v>
      </c>
      <c r="K904" s="9" t="n">
        <v>17.36639</v>
      </c>
      <c r="L904" s="9" t="n">
        <v>78.47476</v>
      </c>
      <c r="M904" s="9" t="inlineStr">
        <is>
          <t>https://www.google.com/maps/place/?q=place_id:ChIJ0SE_fieYyzsRB8z8k5Jt6mE</t>
        </is>
      </c>
    </row>
    <row r="905">
      <c r="A905" s="9" t="n">
        <v>901</v>
      </c>
      <c r="B905" s="9" t="inlineStr">
        <is>
          <t>Serilingampalle</t>
        </is>
      </c>
      <c r="C905" s="9" t="inlineStr">
        <is>
          <t>Hyderabad</t>
        </is>
      </c>
      <c r="D905" s="9" t="inlineStr">
        <is>
          <t>Telangana</t>
        </is>
      </c>
      <c r="E905" s="9" t="inlineStr">
        <is>
          <t>India</t>
        </is>
      </c>
      <c r="F905" s="9" t="n">
        <v>1</v>
      </c>
      <c r="G905" s="9" t="n">
        <v>1</v>
      </c>
      <c r="H905" s="9" t="n">
        <v>1</v>
      </c>
      <c r="I905" s="10" t="n">
        <v>42197</v>
      </c>
      <c r="J905" s="10" t="n">
        <v>42197</v>
      </c>
      <c r="K905" s="9" t="n">
        <v>17.48109</v>
      </c>
      <c r="L905" s="9" t="n">
        <v>78.32033</v>
      </c>
      <c r="M905" s="9" t="inlineStr">
        <is>
          <t>https://www.google.com/maps/place/?q=place_id:ChIJQZywQemSyzsRlCEhPu6qyI8</t>
        </is>
      </c>
    </row>
    <row r="906">
      <c r="A906" s="9" t="n">
        <v>902</v>
      </c>
      <c r="B906" s="9" t="inlineStr">
        <is>
          <t>Hyderabad</t>
        </is>
      </c>
      <c r="C906" s="9" t="inlineStr">
        <is>
          <t>Hyderabad</t>
        </is>
      </c>
      <c r="D906" s="9" t="inlineStr">
        <is>
          <t>Telangana</t>
        </is>
      </c>
      <c r="E906" s="9" t="inlineStr">
        <is>
          <t>India</t>
        </is>
      </c>
      <c r="F906" s="9" t="n">
        <v>1</v>
      </c>
      <c r="G906" s="9" t="n">
        <v>1</v>
      </c>
      <c r="H906" s="9" t="n">
        <v>1</v>
      </c>
      <c r="I906" s="10" t="n">
        <v>42251</v>
      </c>
      <c r="J906" s="10" t="n">
        <v>42251</v>
      </c>
      <c r="K906" s="9" t="n">
        <v>17.40835</v>
      </c>
      <c r="L906" s="9" t="n">
        <v>78.44629</v>
      </c>
      <c r="M906" s="9" t="inlineStr">
        <is>
          <t>https://www.google.com/maps/place/?q=place_id:ChIJMRnqBzyXyzsRINdo337BbJY</t>
        </is>
      </c>
    </row>
    <row r="907">
      <c r="A907" s="9" t="n">
        <v>903</v>
      </c>
      <c r="B907" s="9" t="inlineStr">
        <is>
          <t>Hyderabad</t>
        </is>
      </c>
      <c r="C907" s="9" t="inlineStr">
        <is>
          <t>Hyderabad</t>
        </is>
      </c>
      <c r="D907" s="9" t="inlineStr">
        <is>
          <t>Telangana</t>
        </is>
      </c>
      <c r="E907" s="9" t="inlineStr">
        <is>
          <t>India</t>
        </is>
      </c>
      <c r="F907" s="9" t="n">
        <v>1</v>
      </c>
      <c r="G907" s="9" t="n">
        <v>1</v>
      </c>
      <c r="H907" s="9" t="n">
        <v>1</v>
      </c>
      <c r="I907" s="10" t="n">
        <v>42251</v>
      </c>
      <c r="J907" s="10" t="n">
        <v>42251</v>
      </c>
      <c r="K907" s="9" t="n">
        <v>17.41143</v>
      </c>
      <c r="L907" s="9" t="n">
        <v>78.43492999999999</v>
      </c>
      <c r="M907" s="9" t="inlineStr">
        <is>
          <t>https://www.google.com/maps/place/?q=place_id:ChIJT3IRcSaXyzsR1xVVI6ZFGPo</t>
        </is>
      </c>
    </row>
    <row r="908">
      <c r="A908" s="9" t="n">
        <v>904</v>
      </c>
      <c r="B908" s="9" t="inlineStr">
        <is>
          <t>Quthbullapur</t>
        </is>
      </c>
      <c r="C908" s="9" t="inlineStr">
        <is>
          <t>Hyderabad</t>
        </is>
      </c>
      <c r="D908" s="9" t="inlineStr">
        <is>
          <t>Telangana</t>
        </is>
      </c>
      <c r="E908" s="9" t="inlineStr">
        <is>
          <t>India</t>
        </is>
      </c>
      <c r="F908" s="9" t="n">
        <v>1</v>
      </c>
      <c r="G908" s="9" t="n">
        <v>1</v>
      </c>
      <c r="H908" s="9" t="n">
        <v>1</v>
      </c>
      <c r="I908" s="10" t="n">
        <v>42262</v>
      </c>
      <c r="J908" s="10" t="n">
        <v>42262</v>
      </c>
      <c r="K908" s="9" t="n">
        <v>17.47962</v>
      </c>
      <c r="L908" s="9" t="n">
        <v>78.49420000000001</v>
      </c>
      <c r="M908" s="9" t="inlineStr">
        <is>
          <t>https://www.google.com/maps/place/?q=place_id:ChIJ8YI1louayzsRyqHsFsmElnA</t>
        </is>
      </c>
    </row>
    <row r="909">
      <c r="A909" s="9" t="n">
        <v>905</v>
      </c>
      <c r="B909" s="9" t="inlineStr">
        <is>
          <t>Serilingampalle</t>
        </is>
      </c>
      <c r="C909" s="9" t="inlineStr">
        <is>
          <t>Hyderabad</t>
        </is>
      </c>
      <c r="D909" s="9" t="inlineStr">
        <is>
          <t>Telangana</t>
        </is>
      </c>
      <c r="E909" s="9" t="inlineStr">
        <is>
          <t>India</t>
        </is>
      </c>
      <c r="F909" s="9" t="n">
        <v>1</v>
      </c>
      <c r="G909" s="9" t="n">
        <v>1</v>
      </c>
      <c r="H909" s="9" t="n">
        <v>1</v>
      </c>
      <c r="I909" s="10" t="n">
        <v>42270</v>
      </c>
      <c r="J909" s="10" t="n">
        <v>42270</v>
      </c>
      <c r="K909" s="9" t="n">
        <v>17.47944</v>
      </c>
      <c r="L909" s="9" t="n">
        <v>78.30737999999999</v>
      </c>
      <c r="M909" s="9" t="inlineStr">
        <is>
          <t>https://www.google.com/maps/place/?q=place_id:ChIJQel8XfOSyzsREDucAvGygi4</t>
        </is>
      </c>
    </row>
    <row r="910">
      <c r="A910" s="9" t="n">
        <v>906</v>
      </c>
      <c r="B910" s="9" t="inlineStr">
        <is>
          <t>Secunderabad</t>
        </is>
      </c>
      <c r="C910" s="9" t="inlineStr">
        <is>
          <t>Hyderabad</t>
        </is>
      </c>
      <c r="D910" s="9" t="inlineStr">
        <is>
          <t>Telangana</t>
        </is>
      </c>
      <c r="E910" s="9" t="inlineStr">
        <is>
          <t>India</t>
        </is>
      </c>
      <c r="F910" s="9" t="n">
        <v>1</v>
      </c>
      <c r="G910" s="9" t="n">
        <v>1</v>
      </c>
      <c r="H910" s="9" t="n">
        <v>1</v>
      </c>
      <c r="I910" s="10" t="n">
        <v>42291</v>
      </c>
      <c r="J910" s="10" t="n">
        <v>42291</v>
      </c>
      <c r="K910" s="9" t="n">
        <v>17.47661</v>
      </c>
      <c r="L910" s="9" t="n">
        <v>78.56319000000001</v>
      </c>
      <c r="M910" s="9" t="inlineStr">
        <is>
          <t>https://www.google.com/maps/place/?q=place_id:ChIJLz3jrIGbyzsRjTtjexRIRJg</t>
        </is>
      </c>
    </row>
    <row r="911">
      <c r="A911" s="9" t="n">
        <v>907</v>
      </c>
      <c r="B911" s="9" t="inlineStr">
        <is>
          <t>Secunderabad</t>
        </is>
      </c>
      <c r="C911" s="9" t="inlineStr">
        <is>
          <t>Hyderabad</t>
        </is>
      </c>
      <c r="D911" s="9" t="inlineStr">
        <is>
          <t>Telangana</t>
        </is>
      </c>
      <c r="E911" s="9" t="inlineStr">
        <is>
          <t>India</t>
        </is>
      </c>
      <c r="F911" s="9" t="n">
        <v>1</v>
      </c>
      <c r="G911" s="9" t="n">
        <v>1</v>
      </c>
      <c r="H911" s="9" t="n">
        <v>1</v>
      </c>
      <c r="I911" s="10" t="n">
        <v>42291</v>
      </c>
      <c r="J911" s="10" t="n">
        <v>42291</v>
      </c>
      <c r="K911" s="9" t="n">
        <v>17.48411</v>
      </c>
      <c r="L911" s="9" t="n">
        <v>78.56519</v>
      </c>
      <c r="M911" s="9" t="inlineStr">
        <is>
          <t>https://www.google.com/maps/place/?q=place_id:ChIJ9___e36byzsRMoNe17ibcRk</t>
        </is>
      </c>
    </row>
    <row r="912">
      <c r="A912" s="9" t="n">
        <v>908</v>
      </c>
      <c r="B912" s="9" t="inlineStr">
        <is>
          <t>Lal Bahadur Nagar</t>
        </is>
      </c>
      <c r="C912" s="9" t="inlineStr">
        <is>
          <t>Hyderabad</t>
        </is>
      </c>
      <c r="D912" s="9" t="inlineStr">
        <is>
          <t>Telangana</t>
        </is>
      </c>
      <c r="E912" s="9" t="inlineStr">
        <is>
          <t>India</t>
        </is>
      </c>
      <c r="F912" s="9" t="n">
        <v>1</v>
      </c>
      <c r="G912" s="9" t="n">
        <v>1</v>
      </c>
      <c r="H912" s="9" t="n">
        <v>1</v>
      </c>
      <c r="I912" s="10" t="n">
        <v>42293</v>
      </c>
      <c r="J912" s="10" t="n">
        <v>42293</v>
      </c>
      <c r="K912" s="9" t="n">
        <v>17.31784</v>
      </c>
      <c r="L912" s="9" t="n">
        <v>78.66437999999999</v>
      </c>
      <c r="M912" s="9" t="inlineStr">
        <is>
          <t>https://www.google.com/maps/place/?q=place_id:ChIJQeweFpkKyzsR-v-zL93m01k</t>
        </is>
      </c>
    </row>
    <row r="913">
      <c r="A913" s="9" t="n">
        <v>909</v>
      </c>
      <c r="B913" s="9" t="inlineStr">
        <is>
          <t>Lal Bahadur Nagar</t>
        </is>
      </c>
      <c r="C913" s="9" t="inlineStr">
        <is>
          <t>Hyderabad</t>
        </is>
      </c>
      <c r="D913" s="9" t="inlineStr">
        <is>
          <t>Telangana</t>
        </is>
      </c>
      <c r="E913" s="9" t="inlineStr">
        <is>
          <t>India</t>
        </is>
      </c>
      <c r="F913" s="9" t="n">
        <v>1</v>
      </c>
      <c r="G913" s="9" t="n">
        <v>1</v>
      </c>
      <c r="H913" s="9" t="n">
        <v>1</v>
      </c>
      <c r="I913" s="10" t="n">
        <v>42293</v>
      </c>
      <c r="J913" s="10" t="n">
        <v>42293</v>
      </c>
      <c r="K913" s="9" t="n">
        <v>17.33914</v>
      </c>
      <c r="L913" s="9" t="n">
        <v>78.56779</v>
      </c>
      <c r="M913" s="9" t="inlineStr">
        <is>
          <t>https://www.google.com/maps/place/?q=place_id:ChIJIfN63P-hyzsRcATVDZxfyAA</t>
        </is>
      </c>
    </row>
    <row r="914">
      <c r="A914" s="9" t="n">
        <v>910</v>
      </c>
      <c r="B914" s="9" t="inlineStr">
        <is>
          <t>Hyderabad</t>
        </is>
      </c>
      <c r="C914" s="9" t="inlineStr">
        <is>
          <t>Hyderabad</t>
        </is>
      </c>
      <c r="D914" s="9" t="inlineStr">
        <is>
          <t>Telangana</t>
        </is>
      </c>
      <c r="E914" s="9" t="inlineStr">
        <is>
          <t>India</t>
        </is>
      </c>
      <c r="F914" s="9" t="n">
        <v>1</v>
      </c>
      <c r="G914" s="9" t="n">
        <v>1</v>
      </c>
      <c r="H914" s="9" t="n">
        <v>1</v>
      </c>
      <c r="I914" s="10" t="n">
        <v>42342</v>
      </c>
      <c r="J914" s="10" t="n">
        <v>42342</v>
      </c>
      <c r="K914" s="9" t="n">
        <v>17.4162</v>
      </c>
      <c r="L914" s="9" t="n">
        <v>78.48491</v>
      </c>
      <c r="M914" s="9" t="inlineStr">
        <is>
          <t>https://www.google.com/maps/place/?q=place_id:ChIJD9vCNOWZyzsRhG06LPZWK58</t>
        </is>
      </c>
    </row>
    <row r="915">
      <c r="A915" s="9" t="n">
        <v>911</v>
      </c>
      <c r="B915" s="9" t="inlineStr">
        <is>
          <t>Uppal Kalan</t>
        </is>
      </c>
      <c r="C915" s="9" t="inlineStr">
        <is>
          <t>Hyderabad</t>
        </is>
      </c>
      <c r="D915" s="9" t="inlineStr">
        <is>
          <t>Telangana</t>
        </is>
      </c>
      <c r="E915" s="9" t="inlineStr">
        <is>
          <t>India</t>
        </is>
      </c>
      <c r="F915" s="9" t="n">
        <v>1</v>
      </c>
      <c r="G915" s="9" t="n">
        <v>1</v>
      </c>
      <c r="H915" s="9" t="n">
        <v>1</v>
      </c>
      <c r="I915" s="10" t="n">
        <v>42424</v>
      </c>
      <c r="J915" s="10" t="n">
        <v>42424</v>
      </c>
      <c r="K915" s="9" t="n">
        <v>17.41765</v>
      </c>
      <c r="L915" s="9" t="n">
        <v>78.54340000000001</v>
      </c>
      <c r="M915" s="9" t="inlineStr">
        <is>
          <t>https://www.google.com/maps/place/?q=place_id:ChIJkeV7nUKZyzsRc1t9E-N4Iss</t>
        </is>
      </c>
    </row>
    <row r="916">
      <c r="A916" s="9" t="n">
        <v>912</v>
      </c>
      <c r="B916" s="9" t="inlineStr">
        <is>
          <t>Gaddi Annaram</t>
        </is>
      </c>
      <c r="C916" s="9" t="inlineStr">
        <is>
          <t>Hyderabad</t>
        </is>
      </c>
      <c r="D916" s="9" t="inlineStr">
        <is>
          <t>Telangana</t>
        </is>
      </c>
      <c r="E916" s="9" t="inlineStr">
        <is>
          <t>India</t>
        </is>
      </c>
      <c r="F916" s="9" t="n">
        <v>1</v>
      </c>
      <c r="G916" s="9" t="n">
        <v>1</v>
      </c>
      <c r="H916" s="9" t="n">
        <v>1</v>
      </c>
      <c r="I916" s="10" t="n">
        <v>42424</v>
      </c>
      <c r="J916" s="10" t="n">
        <v>42424</v>
      </c>
      <c r="K916" s="9" t="n">
        <v>17.37599</v>
      </c>
      <c r="L916" s="9" t="n">
        <v>78.50574</v>
      </c>
      <c r="M916" s="9" t="inlineStr">
        <is>
          <t>https://www.google.com/maps/place/?q=place_id:ChIJqaqqmk6YyzsRJzYSlbzxU50</t>
        </is>
      </c>
    </row>
    <row r="917">
      <c r="A917" s="9" t="n">
        <v>913</v>
      </c>
      <c r="B917" s="9" t="inlineStr">
        <is>
          <t>Kukatpally</t>
        </is>
      </c>
      <c r="C917" s="9" t="inlineStr">
        <is>
          <t>Hyderabad</t>
        </is>
      </c>
      <c r="D917" s="9" t="inlineStr">
        <is>
          <t>Telangana</t>
        </is>
      </c>
      <c r="E917" s="9" t="inlineStr">
        <is>
          <t>India</t>
        </is>
      </c>
      <c r="F917" s="9" t="n">
        <v>1</v>
      </c>
      <c r="G917" s="9" t="n">
        <v>1</v>
      </c>
      <c r="H917" s="9" t="n">
        <v>1</v>
      </c>
      <c r="I917" s="10" t="n">
        <v>42477</v>
      </c>
      <c r="J917" s="10" t="n">
        <v>42477</v>
      </c>
      <c r="K917" s="9" t="n">
        <v>17.44706</v>
      </c>
      <c r="L917" s="9" t="n">
        <v>78.37036000000001</v>
      </c>
      <c r="M917" s="9" t="inlineStr">
        <is>
          <t>https://www.google.com/maps/place/?q=place_id:ChIJg3VUJd2TyzsRma93pd9KaHE</t>
        </is>
      </c>
    </row>
    <row r="918">
      <c r="A918" s="9" t="n">
        <v>914</v>
      </c>
      <c r="B918" s="9" t="inlineStr">
        <is>
          <t>Hyderabad</t>
        </is>
      </c>
      <c r="C918" s="9" t="inlineStr">
        <is>
          <t>Hyderabad</t>
        </is>
      </c>
      <c r="D918" s="9" t="inlineStr">
        <is>
          <t>Telangana</t>
        </is>
      </c>
      <c r="E918" s="9" t="inlineStr">
        <is>
          <t>India</t>
        </is>
      </c>
      <c r="F918" s="9" t="n">
        <v>1</v>
      </c>
      <c r="G918" s="9" t="n">
        <v>1</v>
      </c>
      <c r="H918" s="9" t="n">
        <v>1</v>
      </c>
      <c r="I918" s="10" t="n">
        <v>42477</v>
      </c>
      <c r="J918" s="10" t="n">
        <v>42477</v>
      </c>
      <c r="K918" s="9" t="n">
        <v>17.38728</v>
      </c>
      <c r="L918" s="9" t="n">
        <v>78.37391</v>
      </c>
      <c r="M918" s="9" t="inlineStr">
        <is>
          <t>https://www.google.com/maps/place/?q=place_id:ChIJT_SnRCWUyzsRtKlNVyWB0WY</t>
        </is>
      </c>
    </row>
    <row r="919">
      <c r="A919" s="9" t="n">
        <v>915</v>
      </c>
      <c r="B919" s="9" t="inlineStr">
        <is>
          <t>Kukatpally</t>
        </is>
      </c>
      <c r="C919" s="9" t="inlineStr">
        <is>
          <t>Hyderabad</t>
        </is>
      </c>
      <c r="D919" s="9" t="inlineStr">
        <is>
          <t>Telangana</t>
        </is>
      </c>
      <c r="E919" s="9" t="inlineStr">
        <is>
          <t>India</t>
        </is>
      </c>
      <c r="F919" s="9" t="n">
        <v>1</v>
      </c>
      <c r="G919" s="9" t="n">
        <v>1</v>
      </c>
      <c r="H919" s="9" t="n">
        <v>1</v>
      </c>
      <c r="I919" s="10" t="n">
        <v>42478</v>
      </c>
      <c r="J919" s="10" t="n">
        <v>42478</v>
      </c>
      <c r="K919" s="9" t="n">
        <v>17.48025</v>
      </c>
      <c r="L919" s="9" t="n">
        <v>78.38965</v>
      </c>
      <c r="M919" s="9" t="inlineStr">
        <is>
          <t>https://www.google.com/maps/place/?q=place_id:ChIJ73o2AYaRyzsRKLZxag-aNEE</t>
        </is>
      </c>
    </row>
    <row r="920">
      <c r="A920" s="9" t="n">
        <v>916</v>
      </c>
      <c r="B920" s="9" t="inlineStr">
        <is>
          <t>Uppal Kalan</t>
        </is>
      </c>
      <c r="C920" s="9" t="inlineStr">
        <is>
          <t>Hyderabad</t>
        </is>
      </c>
      <c r="D920" s="9" t="inlineStr">
        <is>
          <t>Telangana</t>
        </is>
      </c>
      <c r="E920" s="9" t="inlineStr">
        <is>
          <t>India</t>
        </is>
      </c>
      <c r="F920" s="9" t="n">
        <v>1</v>
      </c>
      <c r="G920" s="9" t="n">
        <v>1</v>
      </c>
      <c r="H920" s="9" t="n">
        <v>1</v>
      </c>
      <c r="I920" s="10" t="n">
        <v>42478</v>
      </c>
      <c r="J920" s="10" t="n">
        <v>42478</v>
      </c>
      <c r="K920" s="9" t="n">
        <v>17.40549</v>
      </c>
      <c r="L920" s="9" t="n">
        <v>78.58938000000001</v>
      </c>
      <c r="M920" s="9" t="inlineStr">
        <is>
          <t>https://www.google.com/maps/place/?q=place_id:ChIJhcgSBeqeyzsR3c8DXfLV1t4</t>
        </is>
      </c>
    </row>
    <row r="921">
      <c r="A921" s="9" t="n">
        <v>917</v>
      </c>
      <c r="B921" s="9" t="inlineStr">
        <is>
          <t>Malkajgiri</t>
        </is>
      </c>
      <c r="C921" s="9" t="inlineStr">
        <is>
          <t>Hyderabad</t>
        </is>
      </c>
      <c r="D921" s="9" t="inlineStr">
        <is>
          <t>Telangana</t>
        </is>
      </c>
      <c r="E921" s="9" t="inlineStr">
        <is>
          <t>India</t>
        </is>
      </c>
      <c r="F921" s="9" t="n">
        <v>1</v>
      </c>
      <c r="G921" s="9" t="n">
        <v>1</v>
      </c>
      <c r="H921" s="9" t="n">
        <v>1</v>
      </c>
      <c r="I921" s="10" t="n">
        <v>42522</v>
      </c>
      <c r="J921" s="10" t="n">
        <v>42522</v>
      </c>
      <c r="K921" s="9" t="n">
        <v>17.45506</v>
      </c>
      <c r="L921" s="9" t="n">
        <v>78.50404</v>
      </c>
      <c r="M921" s="9" t="inlineStr">
        <is>
          <t>https://www.google.com/maps/place/?q=place_id:ChIJJ0voKUeayzsRfdvWZI0siWc</t>
        </is>
      </c>
    </row>
    <row r="922">
      <c r="A922" s="9" t="n">
        <v>918</v>
      </c>
      <c r="B922" s="9" t="inlineStr">
        <is>
          <t>Malkajgiri</t>
        </is>
      </c>
      <c r="C922" s="9" t="inlineStr">
        <is>
          <t>Hyderabad</t>
        </is>
      </c>
      <c r="D922" s="9" t="inlineStr">
        <is>
          <t>Telangana</t>
        </is>
      </c>
      <c r="E922" s="9" t="inlineStr">
        <is>
          <t>India</t>
        </is>
      </c>
      <c r="F922" s="9" t="n">
        <v>1</v>
      </c>
      <c r="G922" s="9" t="n">
        <v>1</v>
      </c>
      <c r="H922" s="9" t="n">
        <v>1</v>
      </c>
      <c r="I922" s="10" t="n">
        <v>42522</v>
      </c>
      <c r="J922" s="10" t="n">
        <v>42522</v>
      </c>
      <c r="K922" s="9" t="n">
        <v>17.43389</v>
      </c>
      <c r="L922" s="9" t="n">
        <v>78.49668</v>
      </c>
      <c r="M922" s="9" t="inlineStr">
        <is>
          <t>https://www.google.com/maps/place/?q=place_id:ChIJRWutSx-ayzsRRtmxxz7UdjQ</t>
        </is>
      </c>
    </row>
    <row r="923">
      <c r="A923" s="9" t="n">
        <v>919</v>
      </c>
      <c r="B923" s="9" t="inlineStr">
        <is>
          <t>Hyderabad</t>
        </is>
      </c>
      <c r="C923" s="9" t="inlineStr">
        <is>
          <t>Hyderabad</t>
        </is>
      </c>
      <c r="D923" s="9" t="inlineStr">
        <is>
          <t>Telangana</t>
        </is>
      </c>
      <c r="E923" s="9" t="inlineStr">
        <is>
          <t>India</t>
        </is>
      </c>
      <c r="F923" s="9" t="n">
        <v>1</v>
      </c>
      <c r="G923" s="9" t="n">
        <v>1</v>
      </c>
      <c r="H923" s="9" t="n">
        <v>1</v>
      </c>
      <c r="I923" s="10" t="n">
        <v>42524</v>
      </c>
      <c r="J923" s="10" t="n">
        <v>42524</v>
      </c>
      <c r="K923" s="9" t="n">
        <v>17.37623</v>
      </c>
      <c r="L923" s="9" t="n">
        <v>78.47736999999999</v>
      </c>
      <c r="M923" s="9" t="inlineStr">
        <is>
          <t>https://www.google.com/maps/place/?q=place_id:ChIJ5alLNyqYyzsR3Hzq9JObGQY</t>
        </is>
      </c>
    </row>
    <row r="924">
      <c r="A924" s="9" t="n">
        <v>920</v>
      </c>
      <c r="B924" s="9" t="inlineStr">
        <is>
          <t>Hyderabad</t>
        </is>
      </c>
      <c r="C924" s="9" t="inlineStr">
        <is>
          <t>Hyderabad</t>
        </is>
      </c>
      <c r="D924" s="9" t="inlineStr">
        <is>
          <t>Telangana</t>
        </is>
      </c>
      <c r="E924" s="9" t="inlineStr">
        <is>
          <t>India</t>
        </is>
      </c>
      <c r="F924" s="9" t="n">
        <v>1</v>
      </c>
      <c r="G924" s="9" t="n">
        <v>1</v>
      </c>
      <c r="H924" s="9" t="n">
        <v>1</v>
      </c>
      <c r="I924" s="10" t="n">
        <v>42524</v>
      </c>
      <c r="J924" s="10" t="n">
        <v>42524</v>
      </c>
      <c r="K924" s="9" t="n">
        <v>17.37752</v>
      </c>
      <c r="L924" s="9" t="n">
        <v>78.47435</v>
      </c>
      <c r="M924" s="9" t="inlineStr">
        <is>
          <t>https://www.google.com/maps/place/?q=place_id:ChIJIVnDiICXyzsRJ7WrCHRaOdk</t>
        </is>
      </c>
    </row>
    <row r="925">
      <c r="A925" s="9" t="n">
        <v>921</v>
      </c>
      <c r="B925" s="9" t="inlineStr">
        <is>
          <t>Hyderabad</t>
        </is>
      </c>
      <c r="C925" s="9" t="inlineStr">
        <is>
          <t>Hyderabad</t>
        </is>
      </c>
      <c r="D925" s="9" t="inlineStr">
        <is>
          <t>Telangana</t>
        </is>
      </c>
      <c r="E925" s="9" t="inlineStr">
        <is>
          <t>India</t>
        </is>
      </c>
      <c r="F925" s="9" t="n">
        <v>1</v>
      </c>
      <c r="G925" s="9" t="n">
        <v>1</v>
      </c>
      <c r="H925" s="9" t="n">
        <v>1</v>
      </c>
      <c r="I925" s="10" t="n">
        <v>42529</v>
      </c>
      <c r="J925" s="10" t="n">
        <v>42529</v>
      </c>
      <c r="K925" s="9" t="n">
        <v>17.38773</v>
      </c>
      <c r="L925" s="9" t="n">
        <v>78.48359000000001</v>
      </c>
      <c r="M925" s="9" t="inlineStr">
        <is>
          <t>https://www.google.com/maps/place/?q=place_id:ChIJ_UaoF9KZyzsRon7xHvxqgnY</t>
        </is>
      </c>
    </row>
    <row r="926">
      <c r="A926" s="9" t="n">
        <v>922</v>
      </c>
      <c r="B926" s="9" t="inlineStr">
        <is>
          <t>Hyderabad</t>
        </is>
      </c>
      <c r="C926" s="9" t="inlineStr">
        <is>
          <t>Hyderabad</t>
        </is>
      </c>
      <c r="D926" s="9" t="inlineStr">
        <is>
          <t>Telangana</t>
        </is>
      </c>
      <c r="E926" s="9" t="inlineStr">
        <is>
          <t>India</t>
        </is>
      </c>
      <c r="F926" s="9" t="n">
        <v>1</v>
      </c>
      <c r="G926" s="9" t="n">
        <v>1</v>
      </c>
      <c r="H926" s="9" t="n">
        <v>1</v>
      </c>
      <c r="I926" s="10" t="n">
        <v>42529</v>
      </c>
      <c r="J926" s="10" t="n">
        <v>42529</v>
      </c>
      <c r="K926" s="9" t="n">
        <v>17.38781</v>
      </c>
      <c r="L926" s="9" t="n">
        <v>78.48685999999999</v>
      </c>
      <c r="M926" s="9" t="inlineStr">
        <is>
          <t>https://www.google.com/maps/place/?q=place_id:ChIJMxGdA86ZyzsRLYcF3XwNhj4</t>
        </is>
      </c>
    </row>
    <row r="927">
      <c r="A927" s="9" t="n">
        <v>923</v>
      </c>
      <c r="B927" s="9" t="inlineStr">
        <is>
          <t>Hyderabad</t>
        </is>
      </c>
      <c r="C927" s="9" t="inlineStr">
        <is>
          <t>Hyderabad</t>
        </is>
      </c>
      <c r="D927" s="9" t="inlineStr">
        <is>
          <t>Telangana</t>
        </is>
      </c>
      <c r="E927" s="9" t="inlineStr">
        <is>
          <t>India</t>
        </is>
      </c>
      <c r="F927" s="9" t="n">
        <v>1</v>
      </c>
      <c r="G927" s="9" t="n">
        <v>1</v>
      </c>
      <c r="H927" s="9" t="n">
        <v>1</v>
      </c>
      <c r="I927" s="10" t="n">
        <v>42529</v>
      </c>
      <c r="J927" s="10" t="n">
        <v>42529</v>
      </c>
      <c r="K927" s="9" t="n">
        <v>17.39322</v>
      </c>
      <c r="L927" s="9" t="n">
        <v>78.47568</v>
      </c>
      <c r="M927" s="9" t="inlineStr">
        <is>
          <t>https://www.google.com/maps/place/?q=place_id:ChIJGdYBQH2XyzsRD8fMAvxndWs</t>
        </is>
      </c>
    </row>
    <row r="928">
      <c r="A928" s="9" t="n">
        <v>924</v>
      </c>
      <c r="B928" s="9" t="inlineStr">
        <is>
          <t>Hyderabad</t>
        </is>
      </c>
      <c r="C928" s="9" t="inlineStr">
        <is>
          <t>Hyderabad</t>
        </is>
      </c>
      <c r="D928" s="9" t="inlineStr">
        <is>
          <t>Telangana</t>
        </is>
      </c>
      <c r="E928" s="9" t="inlineStr">
        <is>
          <t>India</t>
        </is>
      </c>
      <c r="F928" s="9" t="n">
        <v>1</v>
      </c>
      <c r="G928" s="9" t="n">
        <v>1</v>
      </c>
      <c r="H928" s="9" t="n">
        <v>1</v>
      </c>
      <c r="I928" s="10" t="n">
        <v>42530</v>
      </c>
      <c r="J928" s="10" t="n">
        <v>42530</v>
      </c>
      <c r="K928" s="9" t="n">
        <v>17.37712</v>
      </c>
      <c r="L928" s="9" t="n">
        <v>78.47608</v>
      </c>
      <c r="M928" s="9" t="inlineStr">
        <is>
          <t>https://www.google.com/maps/place/?q=place_id:ChIJq6qqViqYyzsRYdpn7HaD4hs</t>
        </is>
      </c>
    </row>
    <row r="929">
      <c r="A929" s="9" t="n">
        <v>925</v>
      </c>
      <c r="B929" s="9" t="inlineStr">
        <is>
          <t>Kukatpally</t>
        </is>
      </c>
      <c r="C929" s="9" t="inlineStr">
        <is>
          <t>Hyderabad</t>
        </is>
      </c>
      <c r="D929" s="9" t="inlineStr">
        <is>
          <t>Telangana</t>
        </is>
      </c>
      <c r="E929" s="9" t="inlineStr">
        <is>
          <t>India</t>
        </is>
      </c>
      <c r="F929" s="9" t="n">
        <v>1</v>
      </c>
      <c r="G929" s="9" t="n">
        <v>1</v>
      </c>
      <c r="H929" s="9" t="n">
        <v>1</v>
      </c>
      <c r="I929" s="10" t="n">
        <v>42530</v>
      </c>
      <c r="J929" s="10" t="n">
        <v>42530</v>
      </c>
      <c r="K929" s="9" t="n">
        <v>17.49091</v>
      </c>
      <c r="L929" s="9" t="n">
        <v>78.40003</v>
      </c>
      <c r="M929" s="9" t="inlineStr">
        <is>
          <t>https://www.google.com/maps/place/?q=place_id:ChIJAen2bJORyzsRwrUL83fEcnw</t>
        </is>
      </c>
    </row>
    <row r="930">
      <c r="A930" s="9" t="n">
        <v>926</v>
      </c>
      <c r="B930" s="9" t="inlineStr">
        <is>
          <t>Gaddi Annaram</t>
        </is>
      </c>
      <c r="C930" s="9" t="inlineStr">
        <is>
          <t>Hyderabad</t>
        </is>
      </c>
      <c r="D930" s="9" t="inlineStr">
        <is>
          <t>Telangana</t>
        </is>
      </c>
      <c r="E930" s="9" t="inlineStr">
        <is>
          <t>India</t>
        </is>
      </c>
      <c r="F930" s="9" t="n">
        <v>1</v>
      </c>
      <c r="G930" s="9" t="n">
        <v>1</v>
      </c>
      <c r="H930" s="9" t="n">
        <v>1</v>
      </c>
      <c r="I930" s="10" t="n">
        <v>42536</v>
      </c>
      <c r="J930" s="10" t="n">
        <v>42536</v>
      </c>
      <c r="K930" s="9" t="n">
        <v>17.37025</v>
      </c>
      <c r="L930" s="9" t="n">
        <v>78.52292</v>
      </c>
      <c r="M930" s="9" t="inlineStr">
        <is>
          <t>https://www.google.com/maps/place/?q=place_id:ChIJxU7coveYyzsRkW8hlS0PVxE</t>
        </is>
      </c>
    </row>
    <row r="931">
      <c r="A931" s="9" t="n">
        <v>927</v>
      </c>
      <c r="B931" s="9" t="inlineStr">
        <is>
          <t>Quthbullapur</t>
        </is>
      </c>
      <c r="C931" s="9" t="inlineStr">
        <is>
          <t>Hyderabad</t>
        </is>
      </c>
      <c r="D931" s="9" t="inlineStr">
        <is>
          <t>Telangana</t>
        </is>
      </c>
      <c r="E931" s="9" t="inlineStr">
        <is>
          <t>India</t>
        </is>
      </c>
      <c r="F931" s="9" t="n">
        <v>1</v>
      </c>
      <c r="G931" s="9" t="n">
        <v>1</v>
      </c>
      <c r="H931" s="9" t="n">
        <v>1</v>
      </c>
      <c r="I931" s="10" t="n">
        <v>42548</v>
      </c>
      <c r="J931" s="10" t="n">
        <v>42548</v>
      </c>
      <c r="K931" s="9" t="n">
        <v>17.45977</v>
      </c>
      <c r="L931" s="9" t="n">
        <v>78.45283000000001</v>
      </c>
      <c r="M931" s="9" t="inlineStr">
        <is>
          <t>https://www.google.com/maps/place/?q=place_id:ChIJvWSDtpKQyzsRpe4GxUoGNvs</t>
        </is>
      </c>
    </row>
    <row r="932">
      <c r="A932" s="9" t="n">
        <v>928</v>
      </c>
      <c r="B932" s="9" t="inlineStr">
        <is>
          <t>Kukatpally</t>
        </is>
      </c>
      <c r="C932" s="9" t="inlineStr">
        <is>
          <t>Hyderabad</t>
        </is>
      </c>
      <c r="D932" s="9" t="inlineStr">
        <is>
          <t>Telangana</t>
        </is>
      </c>
      <c r="E932" s="9" t="inlineStr">
        <is>
          <t>India</t>
        </is>
      </c>
      <c r="F932" s="9" t="n">
        <v>1</v>
      </c>
      <c r="G932" s="9" t="n">
        <v>1</v>
      </c>
      <c r="H932" s="9" t="n">
        <v>1</v>
      </c>
      <c r="I932" s="10" t="n">
        <v>42548</v>
      </c>
      <c r="J932" s="10" t="n">
        <v>42548</v>
      </c>
      <c r="K932" s="9" t="n">
        <v>17.45374</v>
      </c>
      <c r="L932" s="9" t="n">
        <v>78.36534</v>
      </c>
      <c r="M932" s="9" t="inlineStr">
        <is>
          <t>https://www.google.com/maps/place/?q=place_id:ChIJax1ZWYyRyzsRZVJVl2JOpjI</t>
        </is>
      </c>
    </row>
    <row r="933">
      <c r="A933" s="9" t="n">
        <v>929</v>
      </c>
      <c r="B933" s="9" t="inlineStr">
        <is>
          <t>Hyderabad</t>
        </is>
      </c>
      <c r="C933" s="9" t="inlineStr">
        <is>
          <t>Hyderabad</t>
        </is>
      </c>
      <c r="D933" s="9" t="inlineStr">
        <is>
          <t>Telangana</t>
        </is>
      </c>
      <c r="E933" s="9" t="inlineStr">
        <is>
          <t>India</t>
        </is>
      </c>
      <c r="F933" s="9" t="n">
        <v>1</v>
      </c>
      <c r="G933" s="9" t="n">
        <v>1</v>
      </c>
      <c r="H933" s="9" t="n">
        <v>1</v>
      </c>
      <c r="I933" s="10" t="n">
        <v>42550</v>
      </c>
      <c r="J933" s="10" t="n">
        <v>42550</v>
      </c>
      <c r="K933" s="9" t="n">
        <v>17.42291</v>
      </c>
      <c r="L933" s="9" t="n">
        <v>78.41096</v>
      </c>
      <c r="M933" s="9" t="inlineStr">
        <is>
          <t>https://www.google.com/maps/place/?q=place_id:ChIJVTaKTzORyzsR2JnT1ECTHqc</t>
        </is>
      </c>
    </row>
    <row r="934">
      <c r="A934" s="9" t="n">
        <v>930</v>
      </c>
      <c r="B934" s="9" t="inlineStr">
        <is>
          <t>Gaddi Annaram</t>
        </is>
      </c>
      <c r="C934" s="9" t="inlineStr">
        <is>
          <t>Hyderabad</t>
        </is>
      </c>
      <c r="D934" s="9" t="inlineStr">
        <is>
          <t>Telangana</t>
        </is>
      </c>
      <c r="E934" s="9" t="inlineStr">
        <is>
          <t>India</t>
        </is>
      </c>
      <c r="F934" s="9" t="n">
        <v>1</v>
      </c>
      <c r="G934" s="9" t="n">
        <v>1</v>
      </c>
      <c r="H934" s="9" t="n">
        <v>1</v>
      </c>
      <c r="I934" s="10" t="n">
        <v>42563</v>
      </c>
      <c r="J934" s="10" t="n">
        <v>42563</v>
      </c>
      <c r="K934" s="9" t="n">
        <v>17.38933</v>
      </c>
      <c r="L934" s="9" t="n">
        <v>78.51036999999999</v>
      </c>
      <c r="M934" s="9" t="inlineStr">
        <is>
          <t>https://www.google.com/maps/place/?q=place_id:ChIJyajSwAeZyzsRZ5AIqw-3TBU</t>
        </is>
      </c>
    </row>
    <row r="935">
      <c r="A935" s="9" t="n">
        <v>931</v>
      </c>
      <c r="B935" s="9" t="inlineStr">
        <is>
          <t>Sriramnagar</t>
        </is>
      </c>
      <c r="C935" s="9" t="inlineStr">
        <is>
          <t>Hyderabad</t>
        </is>
      </c>
      <c r="D935" s="9" t="inlineStr">
        <is>
          <t>Telangana</t>
        </is>
      </c>
      <c r="E935" s="9" t="inlineStr">
        <is>
          <t>India</t>
        </is>
      </c>
      <c r="F935" s="9" t="n">
        <v>1</v>
      </c>
      <c r="G935" s="9" t="n">
        <v>1</v>
      </c>
      <c r="H935" s="9" t="n">
        <v>1</v>
      </c>
      <c r="I935" s="10" t="n">
        <v>42564</v>
      </c>
      <c r="J935" s="10" t="n">
        <v>42564</v>
      </c>
      <c r="K935" s="9" t="n">
        <v>17.26005</v>
      </c>
      <c r="L935" s="9" t="n">
        <v>78.38589</v>
      </c>
      <c r="M935" s="9" t="inlineStr">
        <is>
          <t>https://www.google.com/maps/place/?q=place_id:ChIJWRPxPCC8yzsRnxcmDk_z0lo</t>
        </is>
      </c>
    </row>
    <row r="936">
      <c r="A936" s="9" t="n">
        <v>932</v>
      </c>
      <c r="B936" s="9" t="inlineStr">
        <is>
          <t>Hyderabad</t>
        </is>
      </c>
      <c r="C936" s="9" t="inlineStr">
        <is>
          <t>Hyderabad</t>
        </is>
      </c>
      <c r="D936" s="9" t="inlineStr">
        <is>
          <t>Telangana</t>
        </is>
      </c>
      <c r="E936" s="9" t="inlineStr">
        <is>
          <t>India</t>
        </is>
      </c>
      <c r="F936" s="9" t="n">
        <v>1</v>
      </c>
      <c r="G936" s="9" t="n">
        <v>1</v>
      </c>
      <c r="H936" s="9" t="n">
        <v>1</v>
      </c>
      <c r="I936" s="10" t="n">
        <v>42586</v>
      </c>
      <c r="J936" s="10" t="n">
        <v>42586</v>
      </c>
      <c r="K936" s="9" t="n">
        <v>17.40957</v>
      </c>
      <c r="L936" s="9" t="n">
        <v>78.42981</v>
      </c>
      <c r="M936" s="9" t="inlineStr">
        <is>
          <t>https://www.google.com/maps/place/?q=place_id:ChIJhdFyfSeXyzsRFGQH0sKooAw</t>
        </is>
      </c>
    </row>
    <row r="937">
      <c r="A937" s="9" t="n">
        <v>933</v>
      </c>
      <c r="B937" s="9" t="inlineStr">
        <is>
          <t>Serilingampalle</t>
        </is>
      </c>
      <c r="C937" s="9" t="inlineStr">
        <is>
          <t>Hyderabad</t>
        </is>
      </c>
      <c r="D937" s="9" t="inlineStr">
        <is>
          <t>Telangana</t>
        </is>
      </c>
      <c r="E937" s="9" t="inlineStr">
        <is>
          <t>India</t>
        </is>
      </c>
      <c r="F937" s="9" t="n">
        <v>1</v>
      </c>
      <c r="G937" s="9" t="n">
        <v>1</v>
      </c>
      <c r="H937" s="9" t="n">
        <v>1</v>
      </c>
      <c r="I937" s="10" t="n">
        <v>42605</v>
      </c>
      <c r="J937" s="10" t="n">
        <v>42605</v>
      </c>
      <c r="K937" s="9" t="n">
        <v>17.42009</v>
      </c>
      <c r="L937" s="9" t="n">
        <v>78.33627</v>
      </c>
      <c r="M937" s="9" t="inlineStr">
        <is>
          <t>https://www.google.com/maps/place/?q=place_id:ChIJra59Mn6TyzsRjgTuRUVCyXQ</t>
        </is>
      </c>
    </row>
    <row r="938">
      <c r="A938" s="9" t="n">
        <v>934</v>
      </c>
      <c r="B938" s="9" t="inlineStr">
        <is>
          <t>Hyderabad</t>
        </is>
      </c>
      <c r="C938" s="9" t="inlineStr">
        <is>
          <t>Hyderabad</t>
        </is>
      </c>
      <c r="D938" s="9" t="inlineStr">
        <is>
          <t>Telangana</t>
        </is>
      </c>
      <c r="E938" s="9" t="inlineStr">
        <is>
          <t>India</t>
        </is>
      </c>
      <c r="F938" s="9" t="n">
        <v>1</v>
      </c>
      <c r="G938" s="9" t="n">
        <v>1</v>
      </c>
      <c r="H938" s="9" t="n">
        <v>1</v>
      </c>
      <c r="I938" s="10" t="n">
        <v>42605</v>
      </c>
      <c r="J938" s="10" t="n">
        <v>42605</v>
      </c>
      <c r="K938" s="9" t="n">
        <v>17.40601</v>
      </c>
      <c r="L938" s="9" t="n">
        <v>78.46639999999999</v>
      </c>
      <c r="M938" s="9" t="inlineStr">
        <is>
          <t>https://www.google.com/maps/place/?q=place_id:ChIJVVVVcV2XyzsRzKO2bvKcZXI</t>
        </is>
      </c>
    </row>
    <row r="939">
      <c r="A939" s="9" t="n">
        <v>935</v>
      </c>
      <c r="B939" s="9" t="inlineStr">
        <is>
          <t>Hyderabad</t>
        </is>
      </c>
      <c r="C939" s="9" t="inlineStr">
        <is>
          <t>Hyderabad</t>
        </is>
      </c>
      <c r="D939" s="9" t="inlineStr">
        <is>
          <t>Telangana</t>
        </is>
      </c>
      <c r="E939" s="9" t="inlineStr">
        <is>
          <t>India</t>
        </is>
      </c>
      <c r="F939" s="9" t="n">
        <v>1</v>
      </c>
      <c r="G939" s="9" t="n">
        <v>1</v>
      </c>
      <c r="H939" s="9" t="n">
        <v>1</v>
      </c>
      <c r="I939" s="10" t="n">
        <v>42614</v>
      </c>
      <c r="J939" s="10" t="n">
        <v>42614</v>
      </c>
      <c r="K939" s="9" t="n">
        <v>17.38526</v>
      </c>
      <c r="L939" s="9" t="n">
        <v>78.48305000000001</v>
      </c>
      <c r="M939" s="9" t="inlineStr">
        <is>
          <t>https://www.google.com/maps/place/?q=place_id:ChIJK8oSt9OZyzsRqwDgzXMMtmk</t>
        </is>
      </c>
    </row>
    <row r="940">
      <c r="A940" s="9" t="n">
        <v>936</v>
      </c>
      <c r="B940" s="9" t="inlineStr">
        <is>
          <t>Malkajgiri</t>
        </is>
      </c>
      <c r="C940" s="9" t="inlineStr">
        <is>
          <t>Hyderabad</t>
        </is>
      </c>
      <c r="D940" s="9" t="inlineStr">
        <is>
          <t>Telangana</t>
        </is>
      </c>
      <c r="E940" s="9" t="inlineStr">
        <is>
          <t>India</t>
        </is>
      </c>
      <c r="F940" s="9" t="n">
        <v>1</v>
      </c>
      <c r="G940" s="9" t="n">
        <v>1</v>
      </c>
      <c r="H940" s="9" t="n">
        <v>1</v>
      </c>
      <c r="I940" s="10" t="n">
        <v>42683</v>
      </c>
      <c r="J940" s="10" t="n">
        <v>42683</v>
      </c>
      <c r="K940" s="9" t="n">
        <v>17.4419</v>
      </c>
      <c r="L940" s="9" t="n">
        <v>78.48535</v>
      </c>
      <c r="M940" s="9" t="inlineStr">
        <is>
          <t>https://www.google.com/maps/place/?q=place_id:ChIJb9XzyA-ayzsRF41tJg2FoL8</t>
        </is>
      </c>
    </row>
    <row r="941">
      <c r="A941" s="9" t="n">
        <v>937</v>
      </c>
      <c r="B941" s="9" t="inlineStr">
        <is>
          <t>Patancheru</t>
        </is>
      </c>
      <c r="C941" s="9" t="inlineStr">
        <is>
          <t>Hyderabad</t>
        </is>
      </c>
      <c r="D941" s="9" t="inlineStr">
        <is>
          <t>Telangana</t>
        </is>
      </c>
      <c r="E941" s="9" t="inlineStr">
        <is>
          <t>India</t>
        </is>
      </c>
      <c r="F941" s="9" t="n">
        <v>1</v>
      </c>
      <c r="G941" s="9" t="n">
        <v>1</v>
      </c>
      <c r="H941" s="9" t="n">
        <v>1</v>
      </c>
      <c r="I941" s="10" t="n">
        <v>42687</v>
      </c>
      <c r="J941" s="10" t="n">
        <v>42687</v>
      </c>
      <c r="K941" s="9" t="n">
        <v>17.54062</v>
      </c>
      <c r="L941" s="9" t="n">
        <v>78.23256000000001</v>
      </c>
      <c r="M941" s="9" t="inlineStr">
        <is>
          <t>https://www.google.com/maps/place/?q=place_id:ChIJF7t2r1zyyzsRVXGDEl5RTAM</t>
        </is>
      </c>
    </row>
    <row r="942">
      <c r="A942" s="9" t="n">
        <v>938</v>
      </c>
      <c r="B942" s="9" t="inlineStr">
        <is>
          <t>Gaddi Annaram</t>
        </is>
      </c>
      <c r="C942" s="9" t="inlineStr">
        <is>
          <t>Hyderabad</t>
        </is>
      </c>
      <c r="D942" s="9" t="inlineStr">
        <is>
          <t>Telangana</t>
        </is>
      </c>
      <c r="E942" s="9" t="inlineStr">
        <is>
          <t>India</t>
        </is>
      </c>
      <c r="F942" s="9" t="n">
        <v>1</v>
      </c>
      <c r="G942" s="9" t="n">
        <v>1</v>
      </c>
      <c r="H942" s="9" t="n">
        <v>1</v>
      </c>
      <c r="I942" s="10" t="n">
        <v>42688</v>
      </c>
      <c r="J942" s="10" t="n">
        <v>42688</v>
      </c>
      <c r="K942" s="9" t="n">
        <v>17.37581</v>
      </c>
      <c r="L942" s="9" t="n">
        <v>78.50527</v>
      </c>
      <c r="M942" s="9" t="inlineStr">
        <is>
          <t>https://www.google.com/maps/place/?q=place_id:ChIJJbEel06YyzsR91NIC9N37HI</t>
        </is>
      </c>
    </row>
    <row r="943">
      <c r="A943" s="9" t="n">
        <v>939</v>
      </c>
      <c r="B943" s="9" t="inlineStr">
        <is>
          <t>Hyderabad</t>
        </is>
      </c>
      <c r="C943" s="9" t="inlineStr">
        <is>
          <t>Hyderabad</t>
        </is>
      </c>
      <c r="D943" s="9" t="inlineStr">
        <is>
          <t>Telangana</t>
        </is>
      </c>
      <c r="E943" s="9" t="inlineStr">
        <is>
          <t>India</t>
        </is>
      </c>
      <c r="F943" s="9" t="n">
        <v>1</v>
      </c>
      <c r="G943" s="9" t="n">
        <v>1</v>
      </c>
      <c r="H943" s="9" t="n">
        <v>1</v>
      </c>
      <c r="I943" s="10" t="n">
        <v>42689</v>
      </c>
      <c r="J943" s="10" t="n">
        <v>42689</v>
      </c>
      <c r="K943" s="9" t="n">
        <v>17.37588</v>
      </c>
      <c r="L943" s="9" t="n">
        <v>78.47193</v>
      </c>
      <c r="M943" s="9" t="inlineStr">
        <is>
          <t>https://www.google.com/maps/place/?q=place_id:ChIJvVHxI4GXyzsRwwCia6sn0c4</t>
        </is>
      </c>
    </row>
    <row r="944">
      <c r="A944" s="9" t="n">
        <v>940</v>
      </c>
      <c r="B944" s="9" t="inlineStr">
        <is>
          <t>Hyderabad</t>
        </is>
      </c>
      <c r="C944" s="9" t="inlineStr">
        <is>
          <t>Hyderabad</t>
        </is>
      </c>
      <c r="D944" s="9" t="inlineStr">
        <is>
          <t>Telangana</t>
        </is>
      </c>
      <c r="E944" s="9" t="inlineStr">
        <is>
          <t>India</t>
        </is>
      </c>
      <c r="F944" s="9" t="n">
        <v>1</v>
      </c>
      <c r="G944" s="9" t="n">
        <v>1</v>
      </c>
      <c r="H944" s="9" t="n">
        <v>1</v>
      </c>
      <c r="I944" s="10" t="n">
        <v>42690</v>
      </c>
      <c r="J944" s="10" t="n">
        <v>42690</v>
      </c>
      <c r="K944" s="9" t="n">
        <v>17.4042</v>
      </c>
      <c r="L944" s="9" t="n">
        <v>78.46509</v>
      </c>
      <c r="M944" s="9" t="inlineStr">
        <is>
          <t>https://www.google.com/maps/place/?q=place_id:ChIJcRUqXV2XyzsRD4ofGObdKcI</t>
        </is>
      </c>
    </row>
    <row r="945">
      <c r="A945" s="9" t="n">
        <v>941</v>
      </c>
      <c r="B945" s="9" t="inlineStr">
        <is>
          <t>Malkajgiri</t>
        </is>
      </c>
      <c r="C945" s="9" t="inlineStr">
        <is>
          <t>Hyderabad</t>
        </is>
      </c>
      <c r="D945" s="9" t="inlineStr">
        <is>
          <t>Telangana</t>
        </is>
      </c>
      <c r="E945" s="9" t="inlineStr">
        <is>
          <t>India</t>
        </is>
      </c>
      <c r="F945" s="9" t="n">
        <v>1</v>
      </c>
      <c r="G945" s="9" t="n">
        <v>1</v>
      </c>
      <c r="H945" s="9" t="n">
        <v>1</v>
      </c>
      <c r="I945" s="10" t="n">
        <v>42697</v>
      </c>
      <c r="J945" s="10" t="n">
        <v>42697</v>
      </c>
      <c r="K945" s="9" t="n">
        <v>17.43055</v>
      </c>
      <c r="L945" s="9" t="n">
        <v>78.48860999999999</v>
      </c>
      <c r="M945" s="9" t="inlineStr">
        <is>
          <t>https://www.google.com/maps/place/?q=place_id:ChIJJ1U0Gh2ayzsRVbV0vlJGbdk</t>
        </is>
      </c>
    </row>
    <row r="946">
      <c r="A946" s="9" t="n">
        <v>942</v>
      </c>
      <c r="B946" s="9" t="inlineStr">
        <is>
          <t>Hyderabad</t>
        </is>
      </c>
      <c r="C946" s="9" t="inlineStr">
        <is>
          <t>Hyderabad</t>
        </is>
      </c>
      <c r="D946" s="9" t="inlineStr">
        <is>
          <t>Telangana</t>
        </is>
      </c>
      <c r="E946" s="9" t="inlineStr">
        <is>
          <t>India</t>
        </is>
      </c>
      <c r="F946" s="9" t="n">
        <v>1</v>
      </c>
      <c r="G946" s="9" t="n">
        <v>1</v>
      </c>
      <c r="H946" s="9" t="n">
        <v>1</v>
      </c>
      <c r="I946" s="10" t="n">
        <v>42697</v>
      </c>
      <c r="J946" s="10" t="n">
        <v>42697</v>
      </c>
      <c r="K946" s="9" t="n">
        <v>17.39505</v>
      </c>
      <c r="L946" s="9" t="n">
        <v>78.45355000000001</v>
      </c>
      <c r="M946" s="9" t="inlineStr">
        <is>
          <t>https://www.google.com/maps/place/?q=place_id:ChIJp0JzxGyXyzsRWa15q-GPJVg</t>
        </is>
      </c>
    </row>
    <row r="947">
      <c r="A947" s="9" t="n">
        <v>943</v>
      </c>
      <c r="B947" s="9" t="inlineStr">
        <is>
          <t>Hyderabad</t>
        </is>
      </c>
      <c r="C947" s="9" t="inlineStr">
        <is>
          <t>Hyderabad</t>
        </is>
      </c>
      <c r="D947" s="9" t="inlineStr">
        <is>
          <t>Telangana</t>
        </is>
      </c>
      <c r="E947" s="9" t="inlineStr">
        <is>
          <t>India</t>
        </is>
      </c>
      <c r="F947" s="9" t="n">
        <v>1</v>
      </c>
      <c r="G947" s="9" t="n">
        <v>1</v>
      </c>
      <c r="H947" s="9" t="n">
        <v>1</v>
      </c>
      <c r="I947" s="10" t="n">
        <v>42701</v>
      </c>
      <c r="J947" s="10" t="n">
        <v>42701</v>
      </c>
      <c r="K947" s="9" t="n">
        <v>17.37704</v>
      </c>
      <c r="L947" s="9" t="n">
        <v>78.47217000000001</v>
      </c>
      <c r="M947" s="9" t="inlineStr">
        <is>
          <t>https://www.google.com/maps/place/?q=place_id:ChIJq6qq-oCXyzsRSufOK2jPrnY</t>
        </is>
      </c>
    </row>
    <row r="948">
      <c r="A948" s="9" t="n">
        <v>944</v>
      </c>
      <c r="B948" s="9" t="inlineStr">
        <is>
          <t>Hyderabad</t>
        </is>
      </c>
      <c r="C948" s="9" t="inlineStr">
        <is>
          <t>Hyderabad</t>
        </is>
      </c>
      <c r="D948" s="9" t="inlineStr">
        <is>
          <t>Telangana</t>
        </is>
      </c>
      <c r="E948" s="9" t="inlineStr">
        <is>
          <t>India</t>
        </is>
      </c>
      <c r="F948" s="9" t="n">
        <v>1</v>
      </c>
      <c r="G948" s="9" t="n">
        <v>1</v>
      </c>
      <c r="H948" s="9" t="n">
        <v>1</v>
      </c>
      <c r="I948" s="10" t="n">
        <v>42702</v>
      </c>
      <c r="J948" s="10" t="n">
        <v>42702</v>
      </c>
      <c r="K948" s="9" t="n">
        <v>17.4146</v>
      </c>
      <c r="L948" s="9" t="n">
        <v>78.42606000000001</v>
      </c>
      <c r="M948" s="9" t="inlineStr">
        <is>
          <t>https://www.google.com/maps/place/?q=place_id:ChIJbVEaQSaXyzsRif_PUuAWtKQ</t>
        </is>
      </c>
    </row>
    <row r="949">
      <c r="A949" s="9" t="n">
        <v>945</v>
      </c>
      <c r="B949" s="9" t="inlineStr">
        <is>
          <t>Hyderabad</t>
        </is>
      </c>
      <c r="C949" s="9" t="inlineStr">
        <is>
          <t>Hyderabad</t>
        </is>
      </c>
      <c r="D949" s="9" t="inlineStr">
        <is>
          <t>Telangana</t>
        </is>
      </c>
      <c r="E949" s="9" t="inlineStr">
        <is>
          <t>India</t>
        </is>
      </c>
      <c r="F949" s="9" t="n">
        <v>1</v>
      </c>
      <c r="G949" s="9" t="n">
        <v>1</v>
      </c>
      <c r="H949" s="9" t="n">
        <v>1</v>
      </c>
      <c r="I949" s="10" t="n">
        <v>42706</v>
      </c>
      <c r="J949" s="10" t="n">
        <v>42706</v>
      </c>
      <c r="K949" s="9" t="n">
        <v>17.41254</v>
      </c>
      <c r="L949" s="9" t="n">
        <v>78.42234999999999</v>
      </c>
      <c r="M949" s="9" t="inlineStr">
        <is>
          <t>https://www.google.com/maps/place/?q=place_id:ChIJo7rLddqWyzsRc6uVHC1FTP4</t>
        </is>
      </c>
    </row>
    <row r="950">
      <c r="A950" s="9" t="n">
        <v>946</v>
      </c>
      <c r="B950" s="9" t="inlineStr">
        <is>
          <t>Hyderabad</t>
        </is>
      </c>
      <c r="C950" s="9" t="inlineStr">
        <is>
          <t>Hyderabad</t>
        </is>
      </c>
      <c r="D950" s="9" t="inlineStr">
        <is>
          <t>Telangana</t>
        </is>
      </c>
      <c r="E950" s="9" t="inlineStr">
        <is>
          <t>India</t>
        </is>
      </c>
      <c r="F950" s="9" t="n">
        <v>1</v>
      </c>
      <c r="G950" s="9" t="n">
        <v>1</v>
      </c>
      <c r="H950" s="9" t="n">
        <v>1</v>
      </c>
      <c r="I950" s="10" t="n">
        <v>42708</v>
      </c>
      <c r="J950" s="10" t="n">
        <v>42708</v>
      </c>
      <c r="K950" s="9" t="n">
        <v>17.41003</v>
      </c>
      <c r="L950" s="9" t="n">
        <v>78.4297</v>
      </c>
      <c r="M950" s="9" t="inlineStr">
        <is>
          <t>https://www.google.com/maps/place/?q=place_id:ChIJ9QMhgNiWyzsRbHyas-d5n9k</t>
        </is>
      </c>
    </row>
    <row r="951">
      <c r="A951" s="9" t="n">
        <v>947</v>
      </c>
      <c r="B951" s="9" t="inlineStr">
        <is>
          <t>Quthbullapur</t>
        </is>
      </c>
      <c r="C951" s="9" t="inlineStr">
        <is>
          <t>Hyderabad</t>
        </is>
      </c>
      <c r="D951" s="9" t="inlineStr">
        <is>
          <t>Telangana</t>
        </is>
      </c>
      <c r="E951" s="9" t="inlineStr">
        <is>
          <t>India</t>
        </is>
      </c>
      <c r="F951" s="9" t="n">
        <v>1</v>
      </c>
      <c r="G951" s="9" t="n">
        <v>1</v>
      </c>
      <c r="H951" s="9" t="n">
        <v>1</v>
      </c>
      <c r="I951" s="10" t="n">
        <v>42711</v>
      </c>
      <c r="J951" s="10" t="n">
        <v>42711</v>
      </c>
      <c r="K951" s="9" t="n">
        <v>17.44327</v>
      </c>
      <c r="L951" s="9" t="n">
        <v>78.46075999999999</v>
      </c>
      <c r="M951" s="9" t="inlineStr">
        <is>
          <t>https://www.google.com/maps/place/?q=place_id:ChIJa_0-m7uQyzsR75iXCHHNIX8</t>
        </is>
      </c>
    </row>
    <row r="952">
      <c r="A952" s="9" t="n">
        <v>948</v>
      </c>
      <c r="B952" s="9" t="inlineStr">
        <is>
          <t>Gaddi Annaram</t>
        </is>
      </c>
      <c r="C952" s="9" t="inlineStr">
        <is>
          <t>Hyderabad</t>
        </is>
      </c>
      <c r="D952" s="9" t="inlineStr">
        <is>
          <t>Telangana</t>
        </is>
      </c>
      <c r="E952" s="9" t="inlineStr">
        <is>
          <t>India</t>
        </is>
      </c>
      <c r="F952" s="9" t="n">
        <v>1</v>
      </c>
      <c r="G952" s="9" t="n">
        <v>1</v>
      </c>
      <c r="H952" s="9" t="n">
        <v>1</v>
      </c>
      <c r="I952" s="10" t="n">
        <v>42713</v>
      </c>
      <c r="J952" s="10" t="n">
        <v>42713</v>
      </c>
      <c r="K952" s="9" t="n">
        <v>17.37143</v>
      </c>
      <c r="L952" s="9" t="n">
        <v>78.50743</v>
      </c>
      <c r="M952" s="9" t="inlineStr">
        <is>
          <t>https://www.google.com/maps/place/?q=place_id:ChIJIX-8jk-YyzsRWeSf6X2-c6Y</t>
        </is>
      </c>
    </row>
    <row r="953">
      <c r="A953" s="9" t="n">
        <v>949</v>
      </c>
      <c r="B953" s="9" t="inlineStr">
        <is>
          <t>Kukatpally</t>
        </is>
      </c>
      <c r="C953" s="9" t="inlineStr">
        <is>
          <t>Hyderabad</t>
        </is>
      </c>
      <c r="D953" s="9" t="inlineStr">
        <is>
          <t>Telangana</t>
        </is>
      </c>
      <c r="E953" s="9" t="inlineStr">
        <is>
          <t>India</t>
        </is>
      </c>
      <c r="F953" s="9" t="n">
        <v>1</v>
      </c>
      <c r="G953" s="9" t="n">
        <v>1</v>
      </c>
      <c r="H953" s="9" t="n">
        <v>1</v>
      </c>
      <c r="I953" s="10" t="n">
        <v>42717</v>
      </c>
      <c r="J953" s="10" t="n">
        <v>42717</v>
      </c>
      <c r="K953" s="9" t="n">
        <v>17.45194</v>
      </c>
      <c r="L953" s="9" t="n">
        <v>78.43559</v>
      </c>
      <c r="M953" s="9" t="inlineStr">
        <is>
          <t>https://www.google.com/maps/place/?q=place_id:ChIJAQAAAB2RyzsRawCwDPdT4cA</t>
        </is>
      </c>
    </row>
    <row r="954">
      <c r="A954" s="9" t="n">
        <v>950</v>
      </c>
      <c r="B954" s="9" t="inlineStr">
        <is>
          <t>Hyderabad</t>
        </is>
      </c>
      <c r="C954" s="9" t="inlineStr">
        <is>
          <t>Hyderabad</t>
        </is>
      </c>
      <c r="D954" s="9" t="inlineStr">
        <is>
          <t>Telangana</t>
        </is>
      </c>
      <c r="E954" s="9" t="inlineStr">
        <is>
          <t>India</t>
        </is>
      </c>
      <c r="F954" s="9" t="n">
        <v>1</v>
      </c>
      <c r="G954" s="9" t="n">
        <v>1</v>
      </c>
      <c r="H954" s="9" t="n">
        <v>1</v>
      </c>
      <c r="I954" s="10" t="n">
        <v>42725</v>
      </c>
      <c r="J954" s="10" t="n">
        <v>42725</v>
      </c>
      <c r="K954" s="9" t="n">
        <v>17.39058</v>
      </c>
      <c r="L954" s="9" t="n">
        <v>78.4765</v>
      </c>
      <c r="M954" s="9" t="inlineStr">
        <is>
          <t>https://www.google.com/maps/place/?q=place_id:ChIJNVBQnNeZyzsRpPHwUDTVmfI</t>
        </is>
      </c>
    </row>
    <row r="955">
      <c r="A955" s="9" t="n">
        <v>951</v>
      </c>
      <c r="B955" s="9" t="inlineStr">
        <is>
          <t>Hyderabad</t>
        </is>
      </c>
      <c r="C955" s="9" t="inlineStr">
        <is>
          <t>Hyderabad</t>
        </is>
      </c>
      <c r="D955" s="9" t="inlineStr">
        <is>
          <t>Telangana</t>
        </is>
      </c>
      <c r="E955" s="9" t="inlineStr">
        <is>
          <t>India</t>
        </is>
      </c>
      <c r="F955" s="9" t="n">
        <v>1</v>
      </c>
      <c r="G955" s="9" t="n">
        <v>1</v>
      </c>
      <c r="H955" s="9" t="n">
        <v>1</v>
      </c>
      <c r="I955" s="10" t="n">
        <v>42727</v>
      </c>
      <c r="J955" s="10" t="n">
        <v>42727</v>
      </c>
      <c r="K955" s="9" t="n">
        <v>17.4147</v>
      </c>
      <c r="L955" s="9" t="n">
        <v>78.45571</v>
      </c>
      <c r="M955" s="9" t="inlineStr">
        <is>
          <t>https://www.google.com/maps/place/?q=place_id:ChIJOXc7gkiXyzsRjo-XIu3pDi4</t>
        </is>
      </c>
    </row>
    <row r="956">
      <c r="A956" s="9" t="n">
        <v>952</v>
      </c>
      <c r="B956" s="9" t="inlineStr">
        <is>
          <t>Gaddi Annaram</t>
        </is>
      </c>
      <c r="C956" s="9" t="inlineStr">
        <is>
          <t>Hyderabad</t>
        </is>
      </c>
      <c r="D956" s="9" t="inlineStr">
        <is>
          <t>Telangana</t>
        </is>
      </c>
      <c r="E956" s="9" t="inlineStr">
        <is>
          <t>India</t>
        </is>
      </c>
      <c r="F956" s="9" t="n">
        <v>1</v>
      </c>
      <c r="G956" s="9" t="n">
        <v>1</v>
      </c>
      <c r="H956" s="9" t="n">
        <v>1</v>
      </c>
      <c r="I956" s="10" t="n">
        <v>42730</v>
      </c>
      <c r="J956" s="10" t="n">
        <v>42730</v>
      </c>
      <c r="K956" s="9" t="n">
        <v>17.37447</v>
      </c>
      <c r="L956" s="9" t="n">
        <v>78.50489</v>
      </c>
      <c r="M956" s="9" t="inlineStr">
        <is>
          <t>https://www.google.com/maps/place/?q=place_id:ChIJff8t3U6YyzsR0cjehahDxMY</t>
        </is>
      </c>
    </row>
    <row r="957">
      <c r="A957" s="9" t="n">
        <v>953</v>
      </c>
      <c r="B957" s="9" t="inlineStr">
        <is>
          <t>Malkajgiri</t>
        </is>
      </c>
      <c r="C957" s="9" t="inlineStr">
        <is>
          <t>Hyderabad</t>
        </is>
      </c>
      <c r="D957" s="9" t="inlineStr">
        <is>
          <t>Telangana</t>
        </is>
      </c>
      <c r="E957" s="9" t="inlineStr">
        <is>
          <t>India</t>
        </is>
      </c>
      <c r="F957" s="9" t="n">
        <v>1</v>
      </c>
      <c r="G957" s="9" t="n">
        <v>1</v>
      </c>
      <c r="H957" s="9" t="n">
        <v>1</v>
      </c>
      <c r="I957" s="10" t="n">
        <v>42733</v>
      </c>
      <c r="J957" s="10" t="n">
        <v>42733</v>
      </c>
      <c r="K957" s="9" t="n">
        <v>17.43786</v>
      </c>
      <c r="L957" s="9" t="n">
        <v>78.48882</v>
      </c>
      <c r="M957" s="9" t="inlineStr">
        <is>
          <t>https://www.google.com/maps/place/?q=place_id:ChIJNa5_7hqayzsRGkbWaxOjOOI</t>
        </is>
      </c>
    </row>
    <row r="958">
      <c r="A958" s="9" t="n">
        <v>954</v>
      </c>
      <c r="B958" s="9" t="inlineStr">
        <is>
          <t>Hyderabad</t>
        </is>
      </c>
      <c r="C958" s="9" t="inlineStr">
        <is>
          <t>Hyderabad</t>
        </is>
      </c>
      <c r="D958" s="9" t="inlineStr">
        <is>
          <t>Telangana</t>
        </is>
      </c>
      <c r="E958" s="9" t="inlineStr">
        <is>
          <t>India</t>
        </is>
      </c>
      <c r="F958" s="9" t="n">
        <v>1</v>
      </c>
      <c r="G958" s="9" t="n">
        <v>1</v>
      </c>
      <c r="H958" s="9" t="n">
        <v>1</v>
      </c>
      <c r="I958" s="10" t="n">
        <v>42733</v>
      </c>
      <c r="J958" s="10" t="n">
        <v>42733</v>
      </c>
      <c r="K958" s="9" t="n">
        <v>17.40014</v>
      </c>
      <c r="L958" s="9" t="n">
        <v>78.47492</v>
      </c>
      <c r="M958" s="9" t="inlineStr">
        <is>
          <t>https://www.google.com/maps/place/?q=place_id:ChIJxaqqat-ZyzsRFa9fTtij9Ik</t>
        </is>
      </c>
    </row>
    <row r="959">
      <c r="A959" s="9" t="n">
        <v>955</v>
      </c>
      <c r="B959" s="9" t="inlineStr">
        <is>
          <t>Serilingampalle</t>
        </is>
      </c>
      <c r="C959" s="9" t="inlineStr">
        <is>
          <t>Hyderabad</t>
        </is>
      </c>
      <c r="D959" s="9" t="inlineStr">
        <is>
          <t>Telangana</t>
        </is>
      </c>
      <c r="E959" s="9" t="inlineStr">
        <is>
          <t>India</t>
        </is>
      </c>
      <c r="F959" s="9" t="n">
        <v>1</v>
      </c>
      <c r="G959" s="9" t="n">
        <v>1</v>
      </c>
      <c r="H959" s="9" t="n">
        <v>1</v>
      </c>
      <c r="I959" s="10" t="n">
        <v>42740</v>
      </c>
      <c r="J959" s="10" t="n">
        <v>42740</v>
      </c>
      <c r="K959" s="9" t="n">
        <v>17.49805</v>
      </c>
      <c r="L959" s="9" t="n">
        <v>78.3171</v>
      </c>
      <c r="M959" s="9" t="inlineStr">
        <is>
          <t>https://www.google.com/maps/place/?q=place_id:ChIJW5MYwpeSyzsRhEiTwOEDRIw</t>
        </is>
      </c>
    </row>
    <row r="960">
      <c r="A960" s="9" t="n">
        <v>956</v>
      </c>
      <c r="B960" s="9" t="inlineStr">
        <is>
          <t>Malkajgiri</t>
        </is>
      </c>
      <c r="C960" s="9" t="inlineStr">
        <is>
          <t>Hyderabad</t>
        </is>
      </c>
      <c r="D960" s="9" t="inlineStr">
        <is>
          <t>Telangana</t>
        </is>
      </c>
      <c r="E960" s="9" t="inlineStr">
        <is>
          <t>India</t>
        </is>
      </c>
      <c r="F960" s="9" t="n">
        <v>1</v>
      </c>
      <c r="G960" s="9" t="n">
        <v>1</v>
      </c>
      <c r="H960" s="9" t="n">
        <v>1</v>
      </c>
      <c r="I960" s="10" t="n">
        <v>42753</v>
      </c>
      <c r="J960" s="10" t="n">
        <v>42753</v>
      </c>
      <c r="K960" s="9" t="n">
        <v>17.43438</v>
      </c>
      <c r="L960" s="9" t="n">
        <v>78.50494999999999</v>
      </c>
      <c r="M960" s="9" t="inlineStr">
        <is>
          <t>https://www.google.com/maps/place/?q=place_id:ChIJt8hhoiaayzsRAL7SdKZbwJQ</t>
        </is>
      </c>
    </row>
    <row r="961">
      <c r="A961" s="9" t="n">
        <v>957</v>
      </c>
      <c r="B961" s="9" t="inlineStr">
        <is>
          <t>Kukatpally</t>
        </is>
      </c>
      <c r="C961" s="9" t="inlineStr">
        <is>
          <t>Hyderabad</t>
        </is>
      </c>
      <c r="D961" s="9" t="inlineStr">
        <is>
          <t>Telangana</t>
        </is>
      </c>
      <c r="E961" s="9" t="inlineStr">
        <is>
          <t>India</t>
        </is>
      </c>
      <c r="F961" s="9" t="n">
        <v>1</v>
      </c>
      <c r="G961" s="9" t="n">
        <v>1</v>
      </c>
      <c r="H961" s="9" t="n">
        <v>1</v>
      </c>
      <c r="I961" s="10" t="n">
        <v>42776</v>
      </c>
      <c r="J961" s="10" t="n">
        <v>42776</v>
      </c>
      <c r="K961" s="9" t="n">
        <v>17.44286</v>
      </c>
      <c r="L961" s="9" t="n">
        <v>78.35523999999999</v>
      </c>
      <c r="M961" s="9" t="inlineStr">
        <is>
          <t>https://www.google.com/maps/place/?q=place_id:ChIJJYmCD5aTyzsR4YFc6hNEaIg</t>
        </is>
      </c>
    </row>
    <row r="962">
      <c r="A962" s="9" t="n">
        <v>958</v>
      </c>
      <c r="B962" s="9" t="inlineStr">
        <is>
          <t>Hyderabad</t>
        </is>
      </c>
      <c r="C962" s="9" t="inlineStr">
        <is>
          <t>Hyderabad</t>
        </is>
      </c>
      <c r="D962" s="9" t="inlineStr">
        <is>
          <t>Telangana</t>
        </is>
      </c>
      <c r="E962" s="9" t="inlineStr">
        <is>
          <t>India</t>
        </is>
      </c>
      <c r="F962" s="9" t="n">
        <v>1</v>
      </c>
      <c r="G962" s="9" t="n">
        <v>1</v>
      </c>
      <c r="H962" s="9" t="n">
        <v>1</v>
      </c>
      <c r="I962" s="10" t="n">
        <v>42781</v>
      </c>
      <c r="J962" s="10" t="n">
        <v>42781</v>
      </c>
      <c r="K962" s="9" t="n">
        <v>17.37941</v>
      </c>
      <c r="L962" s="9" t="n">
        <v>78.47058</v>
      </c>
      <c r="M962" s="9" t="inlineStr">
        <is>
          <t>https://www.google.com/maps/place/?q=place_id:ChIJRxkK6YGXyzsR_pvzUL03dn0</t>
        </is>
      </c>
    </row>
    <row r="963">
      <c r="A963" s="9" t="n">
        <v>959</v>
      </c>
      <c r="B963" s="9" t="inlineStr">
        <is>
          <t>Hyderabad</t>
        </is>
      </c>
      <c r="C963" s="9" t="inlineStr">
        <is>
          <t>Hyderabad</t>
        </is>
      </c>
      <c r="D963" s="9" t="inlineStr">
        <is>
          <t>Telangana</t>
        </is>
      </c>
      <c r="E963" s="9" t="inlineStr">
        <is>
          <t>India</t>
        </is>
      </c>
      <c r="F963" s="9" t="n">
        <v>1</v>
      </c>
      <c r="G963" s="9" t="n">
        <v>1</v>
      </c>
      <c r="H963" s="9" t="n">
        <v>1</v>
      </c>
      <c r="I963" s="10" t="n">
        <v>42781</v>
      </c>
      <c r="J963" s="10" t="n">
        <v>42781</v>
      </c>
      <c r="K963" s="9" t="n">
        <v>17.38048</v>
      </c>
      <c r="L963" s="9" t="n">
        <v>78.47224</v>
      </c>
      <c r="M963" s="9" t="inlineStr">
        <is>
          <t>https://www.google.com/maps/place/?q=place_id:ChIJn7AW1YGXyzsRvnvEbjvMbBM</t>
        </is>
      </c>
    </row>
    <row r="964">
      <c r="A964" s="9" t="n">
        <v>960</v>
      </c>
      <c r="B964" s="9" t="inlineStr">
        <is>
          <t>Kukatpally</t>
        </is>
      </c>
      <c r="C964" s="9" t="inlineStr">
        <is>
          <t>Hyderabad</t>
        </is>
      </c>
      <c r="D964" s="9" t="inlineStr">
        <is>
          <t>Telangana</t>
        </is>
      </c>
      <c r="E964" s="9" t="inlineStr">
        <is>
          <t>India</t>
        </is>
      </c>
      <c r="F964" s="9" t="n">
        <v>1</v>
      </c>
      <c r="G964" s="9" t="n">
        <v>1</v>
      </c>
      <c r="H964" s="9" t="n">
        <v>1</v>
      </c>
      <c r="I964" s="10" t="n">
        <v>42789</v>
      </c>
      <c r="J964" s="10" t="n">
        <v>42789</v>
      </c>
      <c r="K964" s="9" t="n">
        <v>17.44988</v>
      </c>
      <c r="L964" s="9" t="n">
        <v>78.37374</v>
      </c>
      <c r="M964" s="9" t="inlineStr">
        <is>
          <t>https://www.google.com/maps/place/?q=place_id:ChIJq-cbmcSTyzsRipOXLTHXvmA</t>
        </is>
      </c>
    </row>
    <row r="965">
      <c r="A965" s="9" t="n">
        <v>961</v>
      </c>
      <c r="B965" s="9" t="inlineStr">
        <is>
          <t>Serilingampalle</t>
        </is>
      </c>
      <c r="C965" s="9" t="inlineStr">
        <is>
          <t>Hyderabad</t>
        </is>
      </c>
      <c r="D965" s="9" t="inlineStr">
        <is>
          <t>Telangana</t>
        </is>
      </c>
      <c r="E965" s="9" t="inlineStr">
        <is>
          <t>India</t>
        </is>
      </c>
      <c r="F965" s="9" t="n">
        <v>1</v>
      </c>
      <c r="G965" s="9" t="n">
        <v>1</v>
      </c>
      <c r="H965" s="9" t="n">
        <v>1</v>
      </c>
      <c r="I965" s="10" t="n">
        <v>42799</v>
      </c>
      <c r="J965" s="10" t="n">
        <v>42799</v>
      </c>
      <c r="K965" s="9" t="n">
        <v>17.50472</v>
      </c>
      <c r="L965" s="9" t="n">
        <v>78.30851</v>
      </c>
      <c r="M965" s="9" t="inlineStr">
        <is>
          <t>https://www.google.com/maps/place/?q=place_id:ChIJwWvMIqSSyzsRjmlKO-L8huM</t>
        </is>
      </c>
    </row>
    <row r="966">
      <c r="A966" s="9" t="n">
        <v>962</v>
      </c>
      <c r="B966" s="9" t="inlineStr">
        <is>
          <t>Kukatpally</t>
        </is>
      </c>
      <c r="C966" s="9" t="inlineStr">
        <is>
          <t>Hyderabad</t>
        </is>
      </c>
      <c r="D966" s="9" t="inlineStr">
        <is>
          <t>Telangana</t>
        </is>
      </c>
      <c r="E966" s="9" t="inlineStr">
        <is>
          <t>India</t>
        </is>
      </c>
      <c r="F966" s="9" t="n">
        <v>1</v>
      </c>
      <c r="G966" s="9" t="n">
        <v>1</v>
      </c>
      <c r="H966" s="9" t="n">
        <v>1</v>
      </c>
      <c r="I966" s="10" t="n">
        <v>42803</v>
      </c>
      <c r="J966" s="10" t="n">
        <v>42803</v>
      </c>
      <c r="K966" s="9" t="n">
        <v>17.49806</v>
      </c>
      <c r="L966" s="9" t="n">
        <v>78.39623</v>
      </c>
      <c r="M966" s="9" t="inlineStr">
        <is>
          <t>https://www.google.com/maps/place/?q=place_id:ChIJP7bH0--RyzsRh6vvt_z7-cE</t>
        </is>
      </c>
    </row>
    <row r="967">
      <c r="A967" s="9" t="n">
        <v>963</v>
      </c>
      <c r="B967" s="9" t="inlineStr">
        <is>
          <t>Kukatpally</t>
        </is>
      </c>
      <c r="C967" s="9" t="inlineStr">
        <is>
          <t>Hyderabad</t>
        </is>
      </c>
      <c r="D967" s="9" t="inlineStr">
        <is>
          <t>Telangana</t>
        </is>
      </c>
      <c r="E967" s="9" t="inlineStr">
        <is>
          <t>India</t>
        </is>
      </c>
      <c r="F967" s="9" t="n">
        <v>1</v>
      </c>
      <c r="G967" s="9" t="n">
        <v>1</v>
      </c>
      <c r="H967" s="9" t="n">
        <v>1</v>
      </c>
      <c r="I967" s="10" t="n">
        <v>42803</v>
      </c>
      <c r="J967" s="10" t="n">
        <v>42803</v>
      </c>
      <c r="K967" s="9" t="n">
        <v>17.47575</v>
      </c>
      <c r="L967" s="9" t="n">
        <v>78.41625999999999</v>
      </c>
      <c r="M967" s="9" t="inlineStr">
        <is>
          <t>https://www.google.com/maps/place/?q=place_id:ChIJEbV6cKaRyzsRWK-aVXjrk0A</t>
        </is>
      </c>
    </row>
    <row r="968">
      <c r="A968" s="9" t="n">
        <v>964</v>
      </c>
      <c r="B968" s="9" t="inlineStr">
        <is>
          <t>Uppal Kalan</t>
        </is>
      </c>
      <c r="C968" s="9" t="inlineStr">
        <is>
          <t>Hyderabad</t>
        </is>
      </c>
      <c r="D968" s="9" t="inlineStr">
        <is>
          <t>Telangana</t>
        </is>
      </c>
      <c r="E968" s="9" t="inlineStr">
        <is>
          <t>India</t>
        </is>
      </c>
      <c r="F968" s="9" t="n">
        <v>1</v>
      </c>
      <c r="G968" s="9" t="n">
        <v>1</v>
      </c>
      <c r="H968" s="9" t="n">
        <v>1</v>
      </c>
      <c r="I968" s="10" t="n">
        <v>42803</v>
      </c>
      <c r="J968" s="10" t="n">
        <v>42803</v>
      </c>
      <c r="K968" s="9" t="n">
        <v>17.44024</v>
      </c>
      <c r="L968" s="9" t="n">
        <v>78.56271</v>
      </c>
      <c r="M968" s="9" t="inlineStr">
        <is>
          <t>https://www.google.com/maps/place/?q=place_id:ChIJTSdTGvmbyzsRMKnK0b5A4d4</t>
        </is>
      </c>
    </row>
    <row r="969">
      <c r="A969" s="9" t="n">
        <v>965</v>
      </c>
      <c r="B969" s="9" t="inlineStr">
        <is>
          <t>Quthbullapur</t>
        </is>
      </c>
      <c r="C969" s="9" t="inlineStr">
        <is>
          <t>Hyderabad</t>
        </is>
      </c>
      <c r="D969" s="9" t="inlineStr">
        <is>
          <t>Telangana</t>
        </is>
      </c>
      <c r="E969" s="9" t="inlineStr">
        <is>
          <t>India</t>
        </is>
      </c>
      <c r="F969" s="9" t="n">
        <v>1</v>
      </c>
      <c r="G969" s="9" t="n">
        <v>1</v>
      </c>
      <c r="H969" s="9" t="n">
        <v>1</v>
      </c>
      <c r="I969" s="10" t="n">
        <v>42803</v>
      </c>
      <c r="J969" s="10" t="n">
        <v>42803</v>
      </c>
      <c r="K969" s="9" t="n">
        <v>17.4648</v>
      </c>
      <c r="L969" s="9" t="n">
        <v>78.44965999999999</v>
      </c>
      <c r="M969" s="9" t="inlineStr">
        <is>
          <t>https://www.google.com/maps/place/?q=place_id:ChIJ-Yr5CfOQyzsRe_6BhvaXGC4</t>
        </is>
      </c>
    </row>
    <row r="970">
      <c r="A970" s="9" t="n">
        <v>966</v>
      </c>
      <c r="B970" s="9" t="inlineStr">
        <is>
          <t>Kukatpally</t>
        </is>
      </c>
      <c r="C970" s="9" t="inlineStr">
        <is>
          <t>Hyderabad</t>
        </is>
      </c>
      <c r="D970" s="9" t="inlineStr">
        <is>
          <t>Telangana</t>
        </is>
      </c>
      <c r="E970" s="9" t="inlineStr">
        <is>
          <t>India</t>
        </is>
      </c>
      <c r="F970" s="9" t="n">
        <v>1</v>
      </c>
      <c r="G970" s="9" t="n">
        <v>1</v>
      </c>
      <c r="H970" s="9" t="n">
        <v>1</v>
      </c>
      <c r="I970" s="10" t="n">
        <v>42803</v>
      </c>
      <c r="J970" s="10" t="n">
        <v>42803</v>
      </c>
      <c r="K970" s="9" t="n">
        <v>17.49336</v>
      </c>
      <c r="L970" s="9" t="n">
        <v>78.39792</v>
      </c>
      <c r="M970" s="9" t="inlineStr">
        <is>
          <t>https://www.google.com/maps/place/?q=place_id:ChIJh2C4Mu2RyzsRvkZHDvvA_Y0</t>
        </is>
      </c>
    </row>
    <row r="971">
      <c r="A971" s="9" t="n">
        <v>967</v>
      </c>
      <c r="B971" s="9" t="inlineStr">
        <is>
          <t>Kukatpally</t>
        </is>
      </c>
      <c r="C971" s="9" t="inlineStr">
        <is>
          <t>Hyderabad</t>
        </is>
      </c>
      <c r="D971" s="9" t="inlineStr">
        <is>
          <t>Telangana</t>
        </is>
      </c>
      <c r="E971" s="9" t="inlineStr">
        <is>
          <t>India</t>
        </is>
      </c>
      <c r="F971" s="9" t="n">
        <v>1</v>
      </c>
      <c r="G971" s="9" t="n">
        <v>1</v>
      </c>
      <c r="H971" s="9" t="n">
        <v>1</v>
      </c>
      <c r="I971" s="10" t="n">
        <v>42803</v>
      </c>
      <c r="J971" s="10" t="n">
        <v>42803</v>
      </c>
      <c r="K971" s="9" t="n">
        <v>17.46977</v>
      </c>
      <c r="L971" s="9" t="n">
        <v>78.38531</v>
      </c>
      <c r="M971" s="9" t="inlineStr">
        <is>
          <t>https://www.google.com/maps/place/?q=place_id:ChIJRc6oEoCRyzsRmQ_dIFlCeFk</t>
        </is>
      </c>
    </row>
    <row r="972">
      <c r="A972" s="9" t="n">
        <v>968</v>
      </c>
      <c r="B972" s="9" t="inlineStr">
        <is>
          <t>Hyderabad</t>
        </is>
      </c>
      <c r="C972" s="9" t="inlineStr">
        <is>
          <t>Hyderabad</t>
        </is>
      </c>
      <c r="D972" s="9" t="inlineStr">
        <is>
          <t>Telangana</t>
        </is>
      </c>
      <c r="E972" s="9" t="inlineStr">
        <is>
          <t>India</t>
        </is>
      </c>
      <c r="F972" s="9" t="n">
        <v>1</v>
      </c>
      <c r="G972" s="9" t="n">
        <v>1</v>
      </c>
      <c r="H972" s="9" t="n">
        <v>1</v>
      </c>
      <c r="I972" s="10" t="n">
        <v>42803</v>
      </c>
      <c r="J972" s="10" t="n">
        <v>42803</v>
      </c>
      <c r="K972" s="9" t="n">
        <v>17.38558</v>
      </c>
      <c r="L972" s="9" t="n">
        <v>78.42968</v>
      </c>
      <c r="M972" s="9" t="inlineStr">
        <is>
          <t>https://www.google.com/maps/place/?q=place_id:ChIJeaOHiv2WyzsRqZbix6cRPUY</t>
        </is>
      </c>
    </row>
    <row r="973">
      <c r="A973" s="9" t="n">
        <v>969</v>
      </c>
      <c r="B973" s="9" t="inlineStr">
        <is>
          <t>Kukatpally</t>
        </is>
      </c>
      <c r="C973" s="9" t="inlineStr">
        <is>
          <t>Hyderabad</t>
        </is>
      </c>
      <c r="D973" s="9" t="inlineStr">
        <is>
          <t>Telangana</t>
        </is>
      </c>
      <c r="E973" s="9" t="inlineStr">
        <is>
          <t>India</t>
        </is>
      </c>
      <c r="F973" s="9" t="n">
        <v>1</v>
      </c>
      <c r="G973" s="9" t="n">
        <v>1</v>
      </c>
      <c r="H973" s="9" t="n">
        <v>1</v>
      </c>
      <c r="I973" s="10" t="n">
        <v>42811</v>
      </c>
      <c r="J973" s="10" t="n">
        <v>42811</v>
      </c>
      <c r="K973" s="9" t="n">
        <v>17.43763</v>
      </c>
      <c r="L973" s="9" t="n">
        <v>78.36179</v>
      </c>
      <c r="M973" s="9" t="inlineStr">
        <is>
          <t>https://www.google.com/maps/place/?q=place_id:ChIJ8x_WreyTyzsRc_IkIk-POXs</t>
        </is>
      </c>
    </row>
    <row r="974">
      <c r="A974" s="9" t="n">
        <v>970</v>
      </c>
      <c r="B974" s="9" t="inlineStr">
        <is>
          <t>Kukatpally</t>
        </is>
      </c>
      <c r="C974" s="9" t="inlineStr">
        <is>
          <t>Hyderabad</t>
        </is>
      </c>
      <c r="D974" s="9" t="inlineStr">
        <is>
          <t>Telangana</t>
        </is>
      </c>
      <c r="E974" s="9" t="inlineStr">
        <is>
          <t>India</t>
        </is>
      </c>
      <c r="F974" s="9" t="n">
        <v>1</v>
      </c>
      <c r="G974" s="9" t="n">
        <v>1</v>
      </c>
      <c r="H974" s="9" t="n">
        <v>1</v>
      </c>
      <c r="I974" s="10" t="n">
        <v>42811</v>
      </c>
      <c r="J974" s="10" t="n">
        <v>42811</v>
      </c>
      <c r="K974" s="9" t="n">
        <v>17.43879</v>
      </c>
      <c r="L974" s="9" t="n">
        <v>78.36421</v>
      </c>
      <c r="M974" s="9" t="inlineStr">
        <is>
          <t>https://www.google.com/maps/place/?q=place_id:ChIJBfbqeOuTyzsRFf8p7n-Rnmc</t>
        </is>
      </c>
    </row>
    <row r="975">
      <c r="A975" s="9" t="n">
        <v>971</v>
      </c>
      <c r="B975" s="9" t="inlineStr">
        <is>
          <t>Hyderabad</t>
        </is>
      </c>
      <c r="C975" s="9" t="inlineStr">
        <is>
          <t>Hyderabad</t>
        </is>
      </c>
      <c r="D975" s="9" t="inlineStr">
        <is>
          <t>Telangana</t>
        </is>
      </c>
      <c r="E975" s="9" t="inlineStr">
        <is>
          <t>India</t>
        </is>
      </c>
      <c r="F975" s="9" t="n">
        <v>1</v>
      </c>
      <c r="G975" s="9" t="n">
        <v>1</v>
      </c>
      <c r="H975" s="9" t="n">
        <v>1</v>
      </c>
      <c r="I975" s="10" t="n">
        <v>42814</v>
      </c>
      <c r="J975" s="10" t="n">
        <v>42814</v>
      </c>
      <c r="K975" s="9" t="n">
        <v>17.40318</v>
      </c>
      <c r="L975" s="9" t="n">
        <v>78.45598</v>
      </c>
      <c r="M975" s="9" t="inlineStr">
        <is>
          <t>https://www.google.com/maps/place/?q=place_id:ChIJq6qqthWXyzsRvOEpS-OXF4A</t>
        </is>
      </c>
    </row>
    <row r="976">
      <c r="A976" s="9" t="n">
        <v>972</v>
      </c>
      <c r="B976" s="9" t="inlineStr">
        <is>
          <t>Uppal Kalan</t>
        </is>
      </c>
      <c r="C976" s="9" t="inlineStr">
        <is>
          <t>Hyderabad</t>
        </is>
      </c>
      <c r="D976" s="9" t="inlineStr">
        <is>
          <t>Telangana</t>
        </is>
      </c>
      <c r="E976" s="9" t="inlineStr">
        <is>
          <t>India</t>
        </is>
      </c>
      <c r="F976" s="9" t="n">
        <v>1</v>
      </c>
      <c r="G976" s="9" t="n">
        <v>1</v>
      </c>
      <c r="H976" s="9" t="n">
        <v>1</v>
      </c>
      <c r="I976" s="10" t="n">
        <v>42815</v>
      </c>
      <c r="J976" s="10" t="n">
        <v>42815</v>
      </c>
      <c r="K976" s="9" t="n">
        <v>17.40794</v>
      </c>
      <c r="L976" s="9" t="n">
        <v>78.59649</v>
      </c>
      <c r="M976" s="9" t="inlineStr">
        <is>
          <t>https://www.google.com/maps/place/?q=place_id:ChIJlzy6WeyeyzsREtveIU1RVNM</t>
        </is>
      </c>
    </row>
    <row r="977">
      <c r="A977" s="9" t="n">
        <v>973</v>
      </c>
      <c r="B977" s="9" t="inlineStr">
        <is>
          <t>Uppal Kalan</t>
        </is>
      </c>
      <c r="C977" s="9" t="inlineStr">
        <is>
          <t>Hyderabad</t>
        </is>
      </c>
      <c r="D977" s="9" t="inlineStr">
        <is>
          <t>Telangana</t>
        </is>
      </c>
      <c r="E977" s="9" t="inlineStr">
        <is>
          <t>India</t>
        </is>
      </c>
      <c r="F977" s="9" t="n">
        <v>1</v>
      </c>
      <c r="G977" s="9" t="n">
        <v>1</v>
      </c>
      <c r="H977" s="9" t="n">
        <v>1</v>
      </c>
      <c r="I977" s="10" t="n">
        <v>42816</v>
      </c>
      <c r="J977" s="10" t="n">
        <v>42816</v>
      </c>
      <c r="K977" s="9" t="n">
        <v>17.40808</v>
      </c>
      <c r="L977" s="9" t="n">
        <v>78.59702</v>
      </c>
      <c r="M977" s="9" t="inlineStr">
        <is>
          <t>https://www.google.com/maps/place/?q=place_id:ChIJ_7PJU-yeyzsRb-oFw9geu1g</t>
        </is>
      </c>
    </row>
    <row r="978">
      <c r="A978" s="9" t="n">
        <v>974</v>
      </c>
      <c r="B978" s="9" t="inlineStr">
        <is>
          <t>Uppal Kalan</t>
        </is>
      </c>
      <c r="C978" s="9" t="inlineStr">
        <is>
          <t>Hyderabad</t>
        </is>
      </c>
      <c r="D978" s="9" t="inlineStr">
        <is>
          <t>Telangana</t>
        </is>
      </c>
      <c r="E978" s="9" t="inlineStr">
        <is>
          <t>India</t>
        </is>
      </c>
      <c r="F978" s="9" t="n">
        <v>1</v>
      </c>
      <c r="G978" s="9" t="n">
        <v>1</v>
      </c>
      <c r="H978" s="9" t="n">
        <v>1</v>
      </c>
      <c r="I978" s="10" t="n">
        <v>42816</v>
      </c>
      <c r="J978" s="10" t="n">
        <v>42816</v>
      </c>
      <c r="K978" s="9" t="n">
        <v>17.40801</v>
      </c>
      <c r="L978" s="9" t="n">
        <v>78.59649</v>
      </c>
      <c r="M978" s="9" t="inlineStr">
        <is>
          <t>https://www.google.com/maps/place/?q=place_id:ChIJy-yIWeyeyzsRLJUXA77YvJg</t>
        </is>
      </c>
    </row>
    <row r="979">
      <c r="A979" s="9" t="n">
        <v>975</v>
      </c>
      <c r="B979" s="9" t="inlineStr">
        <is>
          <t>Malkajgiri</t>
        </is>
      </c>
      <c r="C979" s="9" t="inlineStr">
        <is>
          <t>Hyderabad</t>
        </is>
      </c>
      <c r="D979" s="9" t="inlineStr">
        <is>
          <t>Telangana</t>
        </is>
      </c>
      <c r="E979" s="9" t="inlineStr">
        <is>
          <t>India</t>
        </is>
      </c>
      <c r="F979" s="9" t="n">
        <v>1</v>
      </c>
      <c r="G979" s="9" t="n">
        <v>1</v>
      </c>
      <c r="H979" s="9" t="n">
        <v>1</v>
      </c>
      <c r="I979" s="10" t="n">
        <v>42831</v>
      </c>
      <c r="J979" s="10" t="n">
        <v>42831</v>
      </c>
      <c r="K979" s="9" t="n">
        <v>17.4588</v>
      </c>
      <c r="L979" s="9" t="n">
        <v>78.53695999999999</v>
      </c>
      <c r="M979" s="9" t="inlineStr">
        <is>
          <t>https://www.google.com/maps/place/?q=place_id:ChIJU6jUR7mbyzsRyCk750kRgGI</t>
        </is>
      </c>
    </row>
    <row r="980">
      <c r="A980" s="9" t="n">
        <v>976</v>
      </c>
      <c r="B980" s="9" t="inlineStr">
        <is>
          <t>Malkajgiri</t>
        </is>
      </c>
      <c r="C980" s="9" t="inlineStr">
        <is>
          <t>Hyderabad</t>
        </is>
      </c>
      <c r="D980" s="9" t="inlineStr">
        <is>
          <t>Telangana</t>
        </is>
      </c>
      <c r="E980" s="9" t="inlineStr">
        <is>
          <t>India</t>
        </is>
      </c>
      <c r="F980" s="9" t="n">
        <v>1</v>
      </c>
      <c r="G980" s="9" t="n">
        <v>1</v>
      </c>
      <c r="H980" s="9" t="n">
        <v>1</v>
      </c>
      <c r="I980" s="10" t="n">
        <v>42831</v>
      </c>
      <c r="J980" s="10" t="n">
        <v>42831</v>
      </c>
      <c r="K980" s="9" t="n">
        <v>17.45535</v>
      </c>
      <c r="L980" s="9" t="n">
        <v>78.50086</v>
      </c>
      <c r="M980" s="9" t="inlineStr">
        <is>
          <t>https://www.google.com/maps/place/?q=place_id:ChIJEzuRAEGayzsRyyKhC7sZY98</t>
        </is>
      </c>
    </row>
    <row r="981">
      <c r="A981" s="9" t="n">
        <v>977</v>
      </c>
      <c r="B981" s="9" t="inlineStr">
        <is>
          <t>Serilingampalle</t>
        </is>
      </c>
      <c r="C981" s="9" t="inlineStr">
        <is>
          <t>Hyderabad</t>
        </is>
      </c>
      <c r="D981" s="9" t="inlineStr">
        <is>
          <t>Telangana</t>
        </is>
      </c>
      <c r="E981" s="9" t="inlineStr">
        <is>
          <t>India</t>
        </is>
      </c>
      <c r="F981" s="9" t="n">
        <v>1</v>
      </c>
      <c r="G981" s="9" t="n">
        <v>1</v>
      </c>
      <c r="H981" s="9" t="n">
        <v>1</v>
      </c>
      <c r="I981" s="10" t="n">
        <v>42834</v>
      </c>
      <c r="J981" s="10" t="n">
        <v>42834</v>
      </c>
      <c r="K981" s="9" t="n">
        <v>17.49191</v>
      </c>
      <c r="L981" s="9" t="n">
        <v>78.31632</v>
      </c>
      <c r="M981" s="9" t="inlineStr">
        <is>
          <t>https://www.google.com/maps/place/?q=place_id:ChIJzTMTNbGSyzsRi5y2zTl4Wq8</t>
        </is>
      </c>
    </row>
    <row r="982">
      <c r="A982" s="9" t="n">
        <v>978</v>
      </c>
      <c r="B982" s="9" t="inlineStr">
        <is>
          <t>Malkajgiri</t>
        </is>
      </c>
      <c r="C982" s="9" t="inlineStr">
        <is>
          <t>Hyderabad</t>
        </is>
      </c>
      <c r="D982" s="9" t="inlineStr">
        <is>
          <t>Telangana</t>
        </is>
      </c>
      <c r="E982" s="9" t="inlineStr">
        <is>
          <t>India</t>
        </is>
      </c>
      <c r="F982" s="9" t="n">
        <v>1</v>
      </c>
      <c r="G982" s="9" t="n">
        <v>1</v>
      </c>
      <c r="H982" s="9" t="n">
        <v>1</v>
      </c>
      <c r="I982" s="10" t="n">
        <v>42835</v>
      </c>
      <c r="J982" s="10" t="n">
        <v>42835</v>
      </c>
      <c r="K982" s="9" t="n">
        <v>17.43693</v>
      </c>
      <c r="L982" s="9" t="n">
        <v>78.48396</v>
      </c>
      <c r="M982" s="9" t="inlineStr">
        <is>
          <t>https://www.google.com/maps/place/?q=place_id:ChIJncwwAQWayzsRg2AkN8FpZBA</t>
        </is>
      </c>
    </row>
    <row r="983">
      <c r="A983" s="9" t="n">
        <v>979</v>
      </c>
      <c r="B983" s="9" t="inlineStr">
        <is>
          <t>Malkajgiri</t>
        </is>
      </c>
      <c r="C983" s="9" t="inlineStr">
        <is>
          <t>Hyderabad</t>
        </is>
      </c>
      <c r="D983" s="9" t="inlineStr">
        <is>
          <t>Telangana</t>
        </is>
      </c>
      <c r="E983" s="9" t="inlineStr">
        <is>
          <t>India</t>
        </is>
      </c>
      <c r="F983" s="9" t="n">
        <v>1</v>
      </c>
      <c r="G983" s="9" t="n">
        <v>1</v>
      </c>
      <c r="H983" s="9" t="n">
        <v>1</v>
      </c>
      <c r="I983" s="10" t="n">
        <v>42835</v>
      </c>
      <c r="J983" s="10" t="n">
        <v>42835</v>
      </c>
      <c r="K983" s="9" t="n">
        <v>17.43442</v>
      </c>
      <c r="L983" s="9" t="n">
        <v>78.48417999999999</v>
      </c>
      <c r="M983" s="9" t="inlineStr">
        <is>
          <t>https://www.google.com/maps/place/?q=place_id:ChIJf9LmSASayzsRkXG7mlaRSN4</t>
        </is>
      </c>
    </row>
    <row r="984">
      <c r="A984" s="9" t="n">
        <v>980</v>
      </c>
      <c r="B984" s="9" t="inlineStr">
        <is>
          <t>Serilingampalle</t>
        </is>
      </c>
      <c r="C984" s="9" t="inlineStr">
        <is>
          <t>Hyderabad</t>
        </is>
      </c>
      <c r="D984" s="9" t="inlineStr">
        <is>
          <t>Telangana</t>
        </is>
      </c>
      <c r="E984" s="9" t="inlineStr">
        <is>
          <t>India</t>
        </is>
      </c>
      <c r="F984" s="9" t="n">
        <v>1</v>
      </c>
      <c r="G984" s="9" t="n">
        <v>1</v>
      </c>
      <c r="H984" s="9" t="n">
        <v>1</v>
      </c>
      <c r="I984" s="10" t="n">
        <v>42841</v>
      </c>
      <c r="J984" s="10" t="n">
        <v>42841</v>
      </c>
      <c r="K984" s="9" t="n">
        <v>17.48095</v>
      </c>
      <c r="L984" s="9" t="n">
        <v>78.32023</v>
      </c>
      <c r="M984" s="9" t="inlineStr">
        <is>
          <t>https://www.google.com/maps/place/?q=place_id:ChIJ2QciQOmSyzsRDIfvtJ_ebns</t>
        </is>
      </c>
    </row>
    <row r="985">
      <c r="A985" s="9" t="n">
        <v>981</v>
      </c>
      <c r="B985" s="9" t="inlineStr">
        <is>
          <t>Kukatpally</t>
        </is>
      </c>
      <c r="C985" s="9" t="inlineStr">
        <is>
          <t>Hyderabad</t>
        </is>
      </c>
      <c r="D985" s="9" t="inlineStr">
        <is>
          <t>Telangana</t>
        </is>
      </c>
      <c r="E985" s="9" t="inlineStr">
        <is>
          <t>India</t>
        </is>
      </c>
      <c r="F985" s="9" t="n">
        <v>1</v>
      </c>
      <c r="G985" s="9" t="n">
        <v>1</v>
      </c>
      <c r="H985" s="9" t="n">
        <v>1</v>
      </c>
      <c r="I985" s="10" t="n">
        <v>42842</v>
      </c>
      <c r="J985" s="10" t="n">
        <v>42842</v>
      </c>
      <c r="K985" s="9" t="n">
        <v>17.47529</v>
      </c>
      <c r="L985" s="9" t="n">
        <v>78.42704999999999</v>
      </c>
      <c r="M985" s="9" t="inlineStr">
        <is>
          <t>https://www.google.com/maps/place/?q=place_id:ChIJN0pXC6uRyzsR8_wH2Tpc0DA</t>
        </is>
      </c>
    </row>
    <row r="986">
      <c r="A986" s="9" t="n">
        <v>982</v>
      </c>
      <c r="B986" s="9" t="inlineStr">
        <is>
          <t>Kukatpally</t>
        </is>
      </c>
      <c r="C986" s="9" t="inlineStr">
        <is>
          <t>Hyderabad</t>
        </is>
      </c>
      <c r="D986" s="9" t="inlineStr">
        <is>
          <t>Telangana</t>
        </is>
      </c>
      <c r="E986" s="9" t="inlineStr">
        <is>
          <t>India</t>
        </is>
      </c>
      <c r="F986" s="9" t="n">
        <v>1</v>
      </c>
      <c r="G986" s="9" t="n">
        <v>1</v>
      </c>
      <c r="H986" s="9" t="n">
        <v>1</v>
      </c>
      <c r="I986" s="10" t="n">
        <v>42842</v>
      </c>
      <c r="J986" s="10" t="n">
        <v>42842</v>
      </c>
      <c r="K986" s="9" t="n">
        <v>17.48412</v>
      </c>
      <c r="L986" s="9" t="n">
        <v>78.42874999999999</v>
      </c>
      <c r="M986" s="9" t="inlineStr">
        <is>
          <t>https://www.google.com/maps/place/?q=place_id:ChIJJRkYc5eQyzsR2zXX3IsVPa0</t>
        </is>
      </c>
    </row>
    <row r="987">
      <c r="A987" s="9" t="n">
        <v>983</v>
      </c>
      <c r="B987" s="9" t="inlineStr">
        <is>
          <t>Kukatpally</t>
        </is>
      </c>
      <c r="C987" s="9" t="inlineStr">
        <is>
          <t>Hyderabad</t>
        </is>
      </c>
      <c r="D987" s="9" t="inlineStr">
        <is>
          <t>Telangana</t>
        </is>
      </c>
      <c r="E987" s="9" t="inlineStr">
        <is>
          <t>India</t>
        </is>
      </c>
      <c r="F987" s="9" t="n">
        <v>1</v>
      </c>
      <c r="G987" s="9" t="n">
        <v>1</v>
      </c>
      <c r="H987" s="9" t="n">
        <v>1</v>
      </c>
      <c r="I987" s="10" t="n">
        <v>42842</v>
      </c>
      <c r="J987" s="10" t="n">
        <v>42842</v>
      </c>
      <c r="K987" s="9" t="n">
        <v>17.48526</v>
      </c>
      <c r="L987" s="9" t="n">
        <v>78.42677999999999</v>
      </c>
      <c r="M987" s="9" t="inlineStr">
        <is>
          <t>https://www.google.com/maps/place/?q=place_id:ChIJEZZsVrKRyzsRdjPgHu4cdpg</t>
        </is>
      </c>
    </row>
    <row r="988">
      <c r="A988" s="9" t="n">
        <v>984</v>
      </c>
      <c r="B988" s="9" t="inlineStr">
        <is>
          <t>Quthbullapur</t>
        </is>
      </c>
      <c r="C988" s="9" t="inlineStr">
        <is>
          <t>Hyderabad</t>
        </is>
      </c>
      <c r="D988" s="9" t="inlineStr">
        <is>
          <t>Telangana</t>
        </is>
      </c>
      <c r="E988" s="9" t="inlineStr">
        <is>
          <t>India</t>
        </is>
      </c>
      <c r="F988" s="9" t="n">
        <v>1</v>
      </c>
      <c r="G988" s="9" t="n">
        <v>1</v>
      </c>
      <c r="H988" s="9" t="n">
        <v>1</v>
      </c>
      <c r="I988" s="10" t="n">
        <v>42845</v>
      </c>
      <c r="J988" s="10" t="n">
        <v>42845</v>
      </c>
      <c r="K988" s="9" t="n">
        <v>17.48043</v>
      </c>
      <c r="L988" s="9" t="n">
        <v>78.47429</v>
      </c>
      <c r="M988" s="9" t="inlineStr">
        <is>
          <t>https://www.google.com/maps/place/?q=place_id:ChIJJfeGsHiQyzsRyn9ojqA9r64</t>
        </is>
      </c>
    </row>
    <row r="989">
      <c r="A989" s="9" t="n">
        <v>985</v>
      </c>
      <c r="B989" s="9" t="inlineStr">
        <is>
          <t>Quthbullapur</t>
        </is>
      </c>
      <c r="C989" s="9" t="inlineStr">
        <is>
          <t>Hyderabad</t>
        </is>
      </c>
      <c r="D989" s="9" t="inlineStr">
        <is>
          <t>Telangana</t>
        </is>
      </c>
      <c r="E989" s="9" t="inlineStr">
        <is>
          <t>India</t>
        </is>
      </c>
      <c r="F989" s="9" t="n">
        <v>1</v>
      </c>
      <c r="G989" s="9" t="n">
        <v>1</v>
      </c>
      <c r="H989" s="9" t="n">
        <v>1</v>
      </c>
      <c r="I989" s="10" t="n">
        <v>42845</v>
      </c>
      <c r="J989" s="10" t="n">
        <v>42845</v>
      </c>
      <c r="K989" s="9" t="n">
        <v>17.46598</v>
      </c>
      <c r="L989" s="9" t="n">
        <v>78.47614</v>
      </c>
      <c r="M989" s="9" t="inlineStr">
        <is>
          <t>https://www.google.com/maps/place/?q=place_id:ChIJ6_imwgebyzsRFgqAYCEnOlQ</t>
        </is>
      </c>
    </row>
    <row r="990">
      <c r="A990" s="9" t="n">
        <v>986</v>
      </c>
      <c r="B990" s="9" t="inlineStr">
        <is>
          <t>Quthbullapur</t>
        </is>
      </c>
      <c r="C990" s="9" t="inlineStr">
        <is>
          <t>Hyderabad</t>
        </is>
      </c>
      <c r="D990" s="9" t="inlineStr">
        <is>
          <t>Telangana</t>
        </is>
      </c>
      <c r="E990" s="9" t="inlineStr">
        <is>
          <t>India</t>
        </is>
      </c>
      <c r="F990" s="9" t="n">
        <v>1</v>
      </c>
      <c r="G990" s="9" t="n">
        <v>1</v>
      </c>
      <c r="H990" s="9" t="n">
        <v>1</v>
      </c>
      <c r="I990" s="10" t="n">
        <v>42845</v>
      </c>
      <c r="J990" s="10" t="n">
        <v>42845</v>
      </c>
      <c r="K990" s="9" t="n">
        <v>17.47823</v>
      </c>
      <c r="L990" s="9" t="n">
        <v>78.47723000000001</v>
      </c>
      <c r="M990" s="9" t="inlineStr">
        <is>
          <t>https://www.google.com/maps/place/?q=place_id:ChIJ_bTgvIGayzsR5aODyEoiH7s</t>
        </is>
      </c>
    </row>
    <row r="991">
      <c r="A991" s="9" t="n">
        <v>987</v>
      </c>
      <c r="B991" s="9" t="inlineStr">
        <is>
          <t>Hyderabad</t>
        </is>
      </c>
      <c r="C991" s="9" t="inlineStr">
        <is>
          <t>Hyderabad</t>
        </is>
      </c>
      <c r="D991" s="9" t="inlineStr">
        <is>
          <t>Telangana</t>
        </is>
      </c>
      <c r="E991" s="9" t="inlineStr">
        <is>
          <t>India</t>
        </is>
      </c>
      <c r="F991" s="9" t="n">
        <v>1</v>
      </c>
      <c r="G991" s="9" t="n">
        <v>1</v>
      </c>
      <c r="H991" s="9" t="n">
        <v>1</v>
      </c>
      <c r="I991" s="10" t="n">
        <v>42851</v>
      </c>
      <c r="J991" s="10" t="n">
        <v>42851</v>
      </c>
      <c r="K991" s="9" t="n">
        <v>17.38438</v>
      </c>
      <c r="L991" s="9" t="n">
        <v>78.48435000000001</v>
      </c>
      <c r="M991" s="9" t="inlineStr">
        <is>
          <t>https://www.google.com/maps/place/?q=place_id:ChIJ_y_HWdKZyzsRFp_S3rxJCfg</t>
        </is>
      </c>
    </row>
    <row r="992">
      <c r="A992" s="9" t="n">
        <v>988</v>
      </c>
      <c r="B992" s="9" t="inlineStr">
        <is>
          <t>Hyderabad</t>
        </is>
      </c>
      <c r="C992" s="9" t="inlineStr">
        <is>
          <t>Hyderabad</t>
        </is>
      </c>
      <c r="D992" s="9" t="inlineStr">
        <is>
          <t>Telangana</t>
        </is>
      </c>
      <c r="E992" s="9" t="inlineStr">
        <is>
          <t>India</t>
        </is>
      </c>
      <c r="F992" s="9" t="n">
        <v>1</v>
      </c>
      <c r="G992" s="9" t="n">
        <v>1</v>
      </c>
      <c r="H992" s="9" t="n">
        <v>1</v>
      </c>
      <c r="I992" s="10" t="n">
        <v>42851</v>
      </c>
      <c r="J992" s="10" t="n">
        <v>42851</v>
      </c>
      <c r="K992" s="9" t="n">
        <v>17.37812</v>
      </c>
      <c r="L992" s="9" t="n">
        <v>78.47493</v>
      </c>
      <c r="M992" s="9" t="inlineStr">
        <is>
          <t>https://www.google.com/maps/place/?q=place_id:ChIJO6fqfoCXyzsRJy7rjEawJeo</t>
        </is>
      </c>
    </row>
    <row r="993">
      <c r="A993" s="9" t="n">
        <v>989</v>
      </c>
      <c r="B993" s="9" t="inlineStr">
        <is>
          <t>Hyderabad</t>
        </is>
      </c>
      <c r="C993" s="9" t="inlineStr">
        <is>
          <t>Hyderabad</t>
        </is>
      </c>
      <c r="D993" s="9" t="inlineStr">
        <is>
          <t>Telangana</t>
        </is>
      </c>
      <c r="E993" s="9" t="inlineStr">
        <is>
          <t>India</t>
        </is>
      </c>
      <c r="F993" s="9" t="n">
        <v>1</v>
      </c>
      <c r="G993" s="9" t="n">
        <v>1</v>
      </c>
      <c r="H993" s="9" t="n">
        <v>1</v>
      </c>
      <c r="I993" s="10" t="n">
        <v>42851</v>
      </c>
      <c r="J993" s="10" t="n">
        <v>42851</v>
      </c>
      <c r="K993" s="9" t="n">
        <v>17.38217</v>
      </c>
      <c r="L993" s="9" t="n">
        <v>78.47035</v>
      </c>
      <c r="M993" s="9" t="inlineStr">
        <is>
          <t>https://www.google.com/maps/place/?q=place_id:ChIJ02jeMn-XyzsRDxgvGm9zyW4</t>
        </is>
      </c>
    </row>
    <row r="994">
      <c r="A994" s="9" t="n">
        <v>990</v>
      </c>
      <c r="B994" s="9" t="inlineStr">
        <is>
          <t>Hyderabad</t>
        </is>
      </c>
      <c r="C994" s="9" t="inlineStr">
        <is>
          <t>Hyderabad</t>
        </is>
      </c>
      <c r="D994" s="9" t="inlineStr">
        <is>
          <t>Telangana</t>
        </is>
      </c>
      <c r="E994" s="9" t="inlineStr">
        <is>
          <t>India</t>
        </is>
      </c>
      <c r="F994" s="9" t="n">
        <v>1</v>
      </c>
      <c r="G994" s="9" t="n">
        <v>1</v>
      </c>
      <c r="H994" s="9" t="n">
        <v>1</v>
      </c>
      <c r="I994" s="10" t="n">
        <v>42855</v>
      </c>
      <c r="J994" s="10" t="n">
        <v>42855</v>
      </c>
      <c r="K994" s="9" t="n">
        <v>17.40906</v>
      </c>
      <c r="L994" s="9" t="n">
        <v>78.42418000000001</v>
      </c>
      <c r="M994" s="9" t="inlineStr">
        <is>
          <t>https://www.google.com/maps/place/?q=place_id:ChIJYV7GYtmWyzsRu_GDJOdrtrc</t>
        </is>
      </c>
    </row>
    <row r="995">
      <c r="A995" s="9" t="n">
        <v>991</v>
      </c>
      <c r="B995" s="9" t="inlineStr">
        <is>
          <t>Hyderabad</t>
        </is>
      </c>
      <c r="C995" s="9" t="inlineStr">
        <is>
          <t>Hyderabad</t>
        </is>
      </c>
      <c r="D995" s="9" t="inlineStr">
        <is>
          <t>Telangana</t>
        </is>
      </c>
      <c r="E995" s="9" t="inlineStr">
        <is>
          <t>India</t>
        </is>
      </c>
      <c r="F995" s="9" t="n">
        <v>1</v>
      </c>
      <c r="G995" s="9" t="n">
        <v>1</v>
      </c>
      <c r="H995" s="9" t="n">
        <v>1</v>
      </c>
      <c r="I995" s="10" t="n">
        <v>42860</v>
      </c>
      <c r="J995" s="10" t="n">
        <v>42860</v>
      </c>
      <c r="K995" s="9" t="n">
        <v>17.42241</v>
      </c>
      <c r="L995" s="9" t="n">
        <v>78.4109</v>
      </c>
      <c r="M995" s="9" t="inlineStr">
        <is>
          <t>https://www.google.com/maps/place/?q=place_id:ChIJjXlBOcuWyzsRabiLUtbbFUQ</t>
        </is>
      </c>
    </row>
    <row r="996">
      <c r="A996" s="9" t="n">
        <v>992</v>
      </c>
      <c r="B996" s="9" t="inlineStr">
        <is>
          <t>Malkajgiri</t>
        </is>
      </c>
      <c r="C996" s="9" t="inlineStr">
        <is>
          <t>Hyderabad</t>
        </is>
      </c>
      <c r="D996" s="9" t="inlineStr">
        <is>
          <t>Telangana</t>
        </is>
      </c>
      <c r="E996" s="9" t="inlineStr">
        <is>
          <t>India</t>
        </is>
      </c>
      <c r="F996" s="9" t="n">
        <v>1</v>
      </c>
      <c r="G996" s="9" t="n">
        <v>1</v>
      </c>
      <c r="H996" s="9" t="n">
        <v>1</v>
      </c>
      <c r="I996" s="10" t="n">
        <v>42861</v>
      </c>
      <c r="J996" s="10" t="n">
        <v>42861</v>
      </c>
      <c r="K996" s="9" t="n">
        <v>17.44115</v>
      </c>
      <c r="L996" s="9" t="n">
        <v>78.49003</v>
      </c>
      <c r="M996" s="9" t="inlineStr">
        <is>
          <t>https://www.google.com/maps/place/?q=place_id:ChIJi14mkRqayzsRsxwUf5El0bU</t>
        </is>
      </c>
    </row>
    <row r="997">
      <c r="A997" s="9" t="n">
        <v>993</v>
      </c>
      <c r="B997" s="9" t="inlineStr">
        <is>
          <t>Serilingampalle</t>
        </is>
      </c>
      <c r="C997" s="9" t="inlineStr">
        <is>
          <t>Hyderabad</t>
        </is>
      </c>
      <c r="D997" s="9" t="inlineStr">
        <is>
          <t>Telangana</t>
        </is>
      </c>
      <c r="E997" s="9" t="inlineStr">
        <is>
          <t>India</t>
        </is>
      </c>
      <c r="F997" s="9" t="n">
        <v>1</v>
      </c>
      <c r="G997" s="9" t="n">
        <v>1</v>
      </c>
      <c r="H997" s="9" t="n">
        <v>1</v>
      </c>
      <c r="I997" s="10" t="n">
        <v>42874</v>
      </c>
      <c r="J997" s="10" t="n">
        <v>42874</v>
      </c>
      <c r="K997" s="9" t="n">
        <v>17.50416</v>
      </c>
      <c r="L997" s="9" t="n">
        <v>78.30816</v>
      </c>
      <c r="M997" s="9" t="inlineStr">
        <is>
          <t>https://www.google.com/maps/place/?q=place_id:ChIJ1USkOqSSyzsRHzq-Li2ETeU</t>
        </is>
      </c>
    </row>
    <row r="998">
      <c r="A998" s="9" t="n">
        <v>994</v>
      </c>
      <c r="B998" s="9" t="inlineStr">
        <is>
          <t>Malkajgiri</t>
        </is>
      </c>
      <c r="C998" s="9" t="inlineStr">
        <is>
          <t>Hyderabad</t>
        </is>
      </c>
      <c r="D998" s="9" t="inlineStr">
        <is>
          <t>Telangana</t>
        </is>
      </c>
      <c r="E998" s="9" t="inlineStr">
        <is>
          <t>India</t>
        </is>
      </c>
      <c r="F998" s="9" t="n">
        <v>1</v>
      </c>
      <c r="G998" s="9" t="n">
        <v>1</v>
      </c>
      <c r="H998" s="9" t="n">
        <v>1</v>
      </c>
      <c r="I998" s="10" t="n">
        <v>42878</v>
      </c>
      <c r="J998" s="10" t="n">
        <v>42878</v>
      </c>
      <c r="K998" s="9" t="n">
        <v>17.43692</v>
      </c>
      <c r="L998" s="9" t="n">
        <v>78.48891999999999</v>
      </c>
      <c r="M998" s="9" t="inlineStr">
        <is>
          <t>https://www.google.com/maps/place/?q=place_id:ChIJwcCI_RqayzsRtE8GVQM8XEY</t>
        </is>
      </c>
    </row>
    <row r="999">
      <c r="A999" s="9" t="n">
        <v>995</v>
      </c>
      <c r="B999" s="9" t="inlineStr">
        <is>
          <t>Malkajgiri</t>
        </is>
      </c>
      <c r="C999" s="9" t="inlineStr">
        <is>
          <t>Hyderabad</t>
        </is>
      </c>
      <c r="D999" s="9" t="inlineStr">
        <is>
          <t>Telangana</t>
        </is>
      </c>
      <c r="E999" s="9" t="inlineStr">
        <is>
          <t>India</t>
        </is>
      </c>
      <c r="F999" s="9" t="n">
        <v>1</v>
      </c>
      <c r="G999" s="9" t="n">
        <v>1</v>
      </c>
      <c r="H999" s="9" t="n">
        <v>1</v>
      </c>
      <c r="I999" s="10" t="n">
        <v>42878</v>
      </c>
      <c r="J999" s="10" t="n">
        <v>42878</v>
      </c>
      <c r="K999" s="9" t="n">
        <v>17.43236</v>
      </c>
      <c r="L999" s="9" t="n">
        <v>78.49290000000001</v>
      </c>
      <c r="M999" s="9" t="inlineStr">
        <is>
          <t>https://www.google.com/maps/place/?q=place_id:ChIJJX4j7B2ayzsRYSWA03r82DA</t>
        </is>
      </c>
    </row>
    <row r="1000">
      <c r="A1000" s="9" t="n">
        <v>996</v>
      </c>
      <c r="B1000" s="9" t="inlineStr">
        <is>
          <t>Hyderabad</t>
        </is>
      </c>
      <c r="C1000" s="9" t="inlineStr">
        <is>
          <t>Hyderabad</t>
        </is>
      </c>
      <c r="D1000" s="9" t="inlineStr">
        <is>
          <t>Telangana</t>
        </is>
      </c>
      <c r="E1000" s="9" t="inlineStr">
        <is>
          <t>India</t>
        </is>
      </c>
      <c r="F1000" s="9" t="n">
        <v>1</v>
      </c>
      <c r="G1000" s="9" t="n">
        <v>1</v>
      </c>
      <c r="H1000" s="9" t="n">
        <v>1</v>
      </c>
      <c r="I1000" s="10" t="n">
        <v>42883</v>
      </c>
      <c r="J1000" s="10" t="n">
        <v>42883</v>
      </c>
      <c r="K1000" s="9" t="n">
        <v>17.40216</v>
      </c>
      <c r="L1000" s="9" t="n">
        <v>78.3659</v>
      </c>
      <c r="M1000" s="9" t="inlineStr">
        <is>
          <t>https://www.google.com/maps/place/?q=place_id:ChIJ7bBNbhSUyzsRZloG67tu0dc</t>
        </is>
      </c>
    </row>
    <row r="1001">
      <c r="A1001" s="9" t="n">
        <v>997</v>
      </c>
      <c r="B1001" s="9" t="inlineStr">
        <is>
          <t>Hyderabad</t>
        </is>
      </c>
      <c r="C1001" s="9" t="inlineStr">
        <is>
          <t>Hyderabad</t>
        </is>
      </c>
      <c r="D1001" s="9" t="inlineStr">
        <is>
          <t>Telangana</t>
        </is>
      </c>
      <c r="E1001" s="9" t="inlineStr">
        <is>
          <t>India</t>
        </is>
      </c>
      <c r="F1001" s="9" t="n">
        <v>1</v>
      </c>
      <c r="G1001" s="9" t="n">
        <v>1</v>
      </c>
      <c r="H1001" s="9" t="n">
        <v>1</v>
      </c>
      <c r="I1001" s="10" t="n">
        <v>42883</v>
      </c>
      <c r="J1001" s="10" t="n">
        <v>42883</v>
      </c>
      <c r="K1001" s="9" t="n">
        <v>17.41059</v>
      </c>
      <c r="L1001" s="9" t="n">
        <v>78.40131</v>
      </c>
      <c r="M1001" s="9" t="inlineStr">
        <is>
          <t>https://www.google.com/maps/place/?q=place_id:ChIJt8rg97mWyzsRZXRT5UQisvw</t>
        </is>
      </c>
    </row>
    <row r="1002">
      <c r="A1002" s="9" t="n">
        <v>998</v>
      </c>
      <c r="B1002" s="9" t="inlineStr">
        <is>
          <t>Hyderabad</t>
        </is>
      </c>
      <c r="C1002" s="9" t="inlineStr">
        <is>
          <t>Hyderabad</t>
        </is>
      </c>
      <c r="D1002" s="9" t="inlineStr">
        <is>
          <t>Telangana</t>
        </is>
      </c>
      <c r="E1002" s="9" t="inlineStr">
        <is>
          <t>India</t>
        </is>
      </c>
      <c r="F1002" s="9" t="n">
        <v>1</v>
      </c>
      <c r="G1002" s="9" t="n">
        <v>1</v>
      </c>
      <c r="H1002" s="9" t="n">
        <v>1</v>
      </c>
      <c r="I1002" s="10" t="n">
        <v>42886</v>
      </c>
      <c r="J1002" s="10" t="n">
        <v>42886</v>
      </c>
      <c r="K1002" s="9" t="n">
        <v>17.3797</v>
      </c>
      <c r="L1002" s="9" t="n">
        <v>78.47555</v>
      </c>
      <c r="M1002" s="9" t="inlineStr">
        <is>
          <t>https://www.google.com/maps/place/?q=place_id:ChIJq6qqniqYyzsRG_6gmg5s8Nw</t>
        </is>
      </c>
    </row>
    <row r="1003">
      <c r="A1003" s="9" t="n">
        <v>999</v>
      </c>
      <c r="B1003" s="9" t="inlineStr">
        <is>
          <t>Malkajgiri</t>
        </is>
      </c>
      <c r="C1003" s="9" t="inlineStr">
        <is>
          <t>Hyderabad</t>
        </is>
      </c>
      <c r="D1003" s="9" t="inlineStr">
        <is>
          <t>Telangana</t>
        </is>
      </c>
      <c r="E1003" s="9" t="inlineStr">
        <is>
          <t>India</t>
        </is>
      </c>
      <c r="F1003" s="9" t="n">
        <v>1</v>
      </c>
      <c r="G1003" s="9" t="n">
        <v>1</v>
      </c>
      <c r="H1003" s="9" t="n">
        <v>1</v>
      </c>
      <c r="I1003" s="10" t="n">
        <v>42889</v>
      </c>
      <c r="J1003" s="10" t="n">
        <v>42889</v>
      </c>
      <c r="K1003" s="9" t="n">
        <v>17.47632</v>
      </c>
      <c r="L1003" s="9" t="n">
        <v>78.50752</v>
      </c>
      <c r="M1003" s="9" t="inlineStr">
        <is>
          <t>https://www.google.com/maps/place/?q=place_id:ChIJq4Ez2_eayzsRhbgK3K1seog</t>
        </is>
      </c>
    </row>
    <row r="1004">
      <c r="A1004" s="9" t="n">
        <v>1000</v>
      </c>
      <c r="B1004" s="9" t="inlineStr">
        <is>
          <t>Hyderabad</t>
        </is>
      </c>
      <c r="C1004" s="9" t="inlineStr">
        <is>
          <t>Hyderabad</t>
        </is>
      </c>
      <c r="D1004" s="9" t="inlineStr">
        <is>
          <t>Telangana</t>
        </is>
      </c>
      <c r="E1004" s="9" t="inlineStr">
        <is>
          <t>India</t>
        </is>
      </c>
      <c r="F1004" s="9" t="n">
        <v>1</v>
      </c>
      <c r="G1004" s="9" t="n">
        <v>1</v>
      </c>
      <c r="H1004" s="9" t="n">
        <v>1</v>
      </c>
      <c r="I1004" s="10" t="n">
        <v>42892</v>
      </c>
      <c r="J1004" s="10" t="n">
        <v>42892</v>
      </c>
      <c r="K1004" s="9" t="n">
        <v>17.43634</v>
      </c>
      <c r="L1004" s="9" t="n">
        <v>78.4568</v>
      </c>
      <c r="M1004" s="9" t="inlineStr">
        <is>
          <t>https://www.google.com/maps/place/?q=place_id:ChIJj3jUCLGQyzsRekC4e_LR34s</t>
        </is>
      </c>
    </row>
    <row r="1005">
      <c r="A1005" s="9" t="n">
        <v>1001</v>
      </c>
      <c r="B1005" s="9" t="inlineStr">
        <is>
          <t>Malkajgiri</t>
        </is>
      </c>
      <c r="C1005" s="9" t="inlineStr">
        <is>
          <t>Hyderabad</t>
        </is>
      </c>
      <c r="D1005" s="9" t="inlineStr">
        <is>
          <t>Telangana</t>
        </is>
      </c>
      <c r="E1005" s="9" t="inlineStr">
        <is>
          <t>India</t>
        </is>
      </c>
      <c r="F1005" s="9" t="n">
        <v>1</v>
      </c>
      <c r="G1005" s="9" t="n">
        <v>1</v>
      </c>
      <c r="H1005" s="9" t="n">
        <v>1</v>
      </c>
      <c r="I1005" s="10" t="n">
        <v>42895</v>
      </c>
      <c r="J1005" s="10" t="n">
        <v>42895</v>
      </c>
      <c r="K1005" s="9" t="n">
        <v>17.42892</v>
      </c>
      <c r="L1005" s="9" t="n">
        <v>78.48935</v>
      </c>
      <c r="M1005" s="9" t="inlineStr">
        <is>
          <t>https://www.google.com/maps/place/?q=place_id:ChIJVynThR6ayzsRB8dH22ioWlU</t>
        </is>
      </c>
    </row>
    <row r="1006">
      <c r="A1006" s="9" t="n">
        <v>1002</v>
      </c>
      <c r="B1006" s="9" t="inlineStr">
        <is>
          <t>Malkajgiri</t>
        </is>
      </c>
      <c r="C1006" s="9" t="inlineStr">
        <is>
          <t>Hyderabad</t>
        </is>
      </c>
      <c r="D1006" s="9" t="inlineStr">
        <is>
          <t>Telangana</t>
        </is>
      </c>
      <c r="E1006" s="9" t="inlineStr">
        <is>
          <t>India</t>
        </is>
      </c>
      <c r="F1006" s="9" t="n">
        <v>1</v>
      </c>
      <c r="G1006" s="9" t="n">
        <v>1</v>
      </c>
      <c r="H1006" s="9" t="n">
        <v>1</v>
      </c>
      <c r="I1006" s="10" t="n">
        <v>42895</v>
      </c>
      <c r="J1006" s="10" t="n">
        <v>42895</v>
      </c>
      <c r="K1006" s="9" t="n">
        <v>17.4315</v>
      </c>
      <c r="L1006" s="9" t="n">
        <v>78.49281000000001</v>
      </c>
      <c r="M1006" s="9" t="inlineStr">
        <is>
          <t>https://www.google.com/maps/place/?q=place_id:ChIJrTBShh6ayzsRKpPHhWRIqcE</t>
        </is>
      </c>
    </row>
    <row r="1007">
      <c r="A1007" s="9" t="n">
        <v>1003</v>
      </c>
      <c r="B1007" s="9" t="inlineStr">
        <is>
          <t>Hyderabad</t>
        </is>
      </c>
      <c r="C1007" s="9" t="inlineStr">
        <is>
          <t>Hyderabad</t>
        </is>
      </c>
      <c r="D1007" s="9" t="inlineStr">
        <is>
          <t>Telangana</t>
        </is>
      </c>
      <c r="E1007" s="9" t="inlineStr">
        <is>
          <t>India</t>
        </is>
      </c>
      <c r="F1007" s="9" t="n">
        <v>1</v>
      </c>
      <c r="G1007" s="9" t="n">
        <v>1</v>
      </c>
      <c r="H1007" s="9" t="n">
        <v>1</v>
      </c>
      <c r="I1007" s="10" t="n">
        <v>42895</v>
      </c>
      <c r="J1007" s="10" t="n">
        <v>42895</v>
      </c>
      <c r="K1007" s="9" t="n">
        <v>17.38565</v>
      </c>
      <c r="L1007" s="9" t="n">
        <v>78.48313</v>
      </c>
      <c r="M1007" s="9" t="inlineStr">
        <is>
          <t>https://www.google.com/maps/place/?q=place_id:ChIJYz-9EtSZyzsRG1Qu7j0nKvs</t>
        </is>
      </c>
    </row>
    <row r="1008">
      <c r="A1008" s="9" t="n">
        <v>1004</v>
      </c>
      <c r="B1008" s="9" t="inlineStr">
        <is>
          <t>Serilingampalle</t>
        </is>
      </c>
      <c r="C1008" s="9" t="inlineStr">
        <is>
          <t>Hyderabad</t>
        </is>
      </c>
      <c r="D1008" s="9" t="inlineStr">
        <is>
          <t>Telangana</t>
        </is>
      </c>
      <c r="E1008" s="9" t="inlineStr">
        <is>
          <t>India</t>
        </is>
      </c>
      <c r="F1008" s="9" t="n">
        <v>1</v>
      </c>
      <c r="G1008" s="9" t="n">
        <v>1</v>
      </c>
      <c r="H1008" s="9" t="n">
        <v>1</v>
      </c>
      <c r="I1008" s="10" t="n">
        <v>42896</v>
      </c>
      <c r="J1008" s="10" t="n">
        <v>42896</v>
      </c>
      <c r="K1008" s="9" t="n">
        <v>17.49082</v>
      </c>
      <c r="L1008" s="9" t="n">
        <v>78.31698</v>
      </c>
      <c r="M1008" s="9" t="inlineStr">
        <is>
          <t>https://www.google.com/maps/place/?q=place_id:ChIJA5YFdpWSyzsRjMX7NdCcJVo</t>
        </is>
      </c>
    </row>
    <row r="1009">
      <c r="A1009" s="9" t="n">
        <v>1005</v>
      </c>
      <c r="B1009" s="9" t="inlineStr">
        <is>
          <t>Kukatpally</t>
        </is>
      </c>
      <c r="C1009" s="9" t="inlineStr">
        <is>
          <t>Hyderabad</t>
        </is>
      </c>
      <c r="D1009" s="9" t="inlineStr">
        <is>
          <t>Telangana</t>
        </is>
      </c>
      <c r="E1009" s="9" t="inlineStr">
        <is>
          <t>India</t>
        </is>
      </c>
      <c r="F1009" s="9" t="n">
        <v>1</v>
      </c>
      <c r="G1009" s="9" t="n">
        <v>1</v>
      </c>
      <c r="H1009" s="9" t="n">
        <v>1</v>
      </c>
      <c r="I1009" s="10" t="n">
        <v>42915</v>
      </c>
      <c r="J1009" s="10" t="n">
        <v>42915</v>
      </c>
      <c r="K1009" s="9" t="n">
        <v>17.44853</v>
      </c>
      <c r="L1009" s="9" t="n">
        <v>78.45131000000001</v>
      </c>
      <c r="M1009" s="9" t="inlineStr">
        <is>
          <t>https://www.google.com/maps/place/?q=place_id:ChIJR7RfF8CQyzsR7irS07sbNno</t>
        </is>
      </c>
    </row>
    <row r="1010">
      <c r="A1010" s="9" t="n">
        <v>1006</v>
      </c>
      <c r="B1010" s="9" t="inlineStr">
        <is>
          <t>Hyderabad</t>
        </is>
      </c>
      <c r="C1010" s="9" t="inlineStr">
        <is>
          <t>Hyderabad</t>
        </is>
      </c>
      <c r="D1010" s="9" t="inlineStr">
        <is>
          <t>Telangana</t>
        </is>
      </c>
      <c r="E1010" s="9" t="inlineStr">
        <is>
          <t>India</t>
        </is>
      </c>
      <c r="F1010" s="9" t="n">
        <v>1</v>
      </c>
      <c r="G1010" s="9" t="n">
        <v>1</v>
      </c>
      <c r="H1010" s="9" t="n">
        <v>1</v>
      </c>
      <c r="I1010" s="10" t="n">
        <v>42916</v>
      </c>
      <c r="J1010" s="10" t="n">
        <v>42916</v>
      </c>
      <c r="K1010" s="9" t="n">
        <v>17.36722</v>
      </c>
      <c r="L1010" s="9" t="n">
        <v>78.46679</v>
      </c>
      <c r="M1010" s="9" t="inlineStr">
        <is>
          <t>https://www.google.com/maps/place/?q=place_id:ChIJe2YVl4-XyzsRXpV9wixz6DQ</t>
        </is>
      </c>
    </row>
    <row r="1011">
      <c r="A1011" s="9" t="n">
        <v>1007</v>
      </c>
      <c r="B1011" s="9" t="inlineStr">
        <is>
          <t>Hyderabad</t>
        </is>
      </c>
      <c r="C1011" s="9" t="inlineStr">
        <is>
          <t>Hyderabad</t>
        </is>
      </c>
      <c r="D1011" s="9" t="inlineStr">
        <is>
          <t>Telangana</t>
        </is>
      </c>
      <c r="E1011" s="9" t="inlineStr">
        <is>
          <t>India</t>
        </is>
      </c>
      <c r="F1011" s="9" t="n">
        <v>1</v>
      </c>
      <c r="G1011" s="9" t="n">
        <v>1</v>
      </c>
      <c r="H1011" s="9" t="n">
        <v>1</v>
      </c>
      <c r="I1011" s="10" t="n">
        <v>42927</v>
      </c>
      <c r="J1011" s="10" t="n">
        <v>42927</v>
      </c>
      <c r="K1011" s="9" t="n">
        <v>17.40894</v>
      </c>
      <c r="L1011" s="9" t="n">
        <v>78.39914</v>
      </c>
      <c r="M1011" s="9" t="inlineStr">
        <is>
          <t>https://www.google.com/maps/place/?q=place_id:ChIJWRt2_bqWyzsRtpYcXiLwmmM</t>
        </is>
      </c>
    </row>
    <row r="1012">
      <c r="A1012" s="9" t="n">
        <v>1008</v>
      </c>
      <c r="B1012" s="9" t="inlineStr">
        <is>
          <t>Hyderabad</t>
        </is>
      </c>
      <c r="C1012" s="9" t="inlineStr">
        <is>
          <t>Hyderabad</t>
        </is>
      </c>
      <c r="D1012" s="9" t="inlineStr">
        <is>
          <t>Telangana</t>
        </is>
      </c>
      <c r="E1012" s="9" t="inlineStr">
        <is>
          <t>India</t>
        </is>
      </c>
      <c r="F1012" s="9" t="n">
        <v>1</v>
      </c>
      <c r="G1012" s="9" t="n">
        <v>1</v>
      </c>
      <c r="H1012" s="9" t="n">
        <v>1</v>
      </c>
      <c r="I1012" s="10" t="n">
        <v>42929</v>
      </c>
      <c r="J1012" s="10" t="n">
        <v>42929</v>
      </c>
      <c r="K1012" s="9" t="n">
        <v>17.38748</v>
      </c>
      <c r="L1012" s="9" t="n">
        <v>78.48643</v>
      </c>
      <c r="M1012" s="9" t="inlineStr">
        <is>
          <t>https://www.google.com/maps/place/?q=place_id:ChIJcWpF_tGZyzsRJodDBlui9Ok</t>
        </is>
      </c>
    </row>
    <row r="1013">
      <c r="A1013" s="9" t="n">
        <v>1009</v>
      </c>
      <c r="B1013" s="9" t="inlineStr">
        <is>
          <t>Hyderabad</t>
        </is>
      </c>
      <c r="C1013" s="9" t="inlineStr">
        <is>
          <t>Hyderabad</t>
        </is>
      </c>
      <c r="D1013" s="9" t="inlineStr">
        <is>
          <t>Telangana</t>
        </is>
      </c>
      <c r="E1013" s="9" t="inlineStr">
        <is>
          <t>India</t>
        </is>
      </c>
      <c r="F1013" s="9" t="n">
        <v>1</v>
      </c>
      <c r="G1013" s="9" t="n">
        <v>1</v>
      </c>
      <c r="H1013" s="9" t="n">
        <v>1</v>
      </c>
      <c r="I1013" s="10" t="n">
        <v>42936</v>
      </c>
      <c r="J1013" s="10" t="n">
        <v>42936</v>
      </c>
      <c r="K1013" s="9" t="n">
        <v>17.43863</v>
      </c>
      <c r="L1013" s="9" t="n">
        <v>78.45829999999999</v>
      </c>
      <c r="M1013" s="9" t="inlineStr">
        <is>
          <t>https://www.google.com/maps/place/?q=place_id:ChIJUQM4D7qQyzsRzqOHMA1oApE</t>
        </is>
      </c>
    </row>
    <row r="1014">
      <c r="A1014" s="9" t="n">
        <v>1010</v>
      </c>
      <c r="B1014" s="9" t="inlineStr">
        <is>
          <t>Kukatpally</t>
        </is>
      </c>
      <c r="C1014" s="9" t="inlineStr">
        <is>
          <t>Hyderabad</t>
        </is>
      </c>
      <c r="D1014" s="9" t="inlineStr">
        <is>
          <t>Telangana</t>
        </is>
      </c>
      <c r="E1014" s="9" t="inlineStr">
        <is>
          <t>India</t>
        </is>
      </c>
      <c r="F1014" s="9" t="n">
        <v>1</v>
      </c>
      <c r="G1014" s="9" t="n">
        <v>1</v>
      </c>
      <c r="H1014" s="9" t="n">
        <v>1</v>
      </c>
      <c r="I1014" s="10" t="n">
        <v>42936</v>
      </c>
      <c r="J1014" s="10" t="n">
        <v>42936</v>
      </c>
      <c r="K1014" s="9" t="n">
        <v>17.48243</v>
      </c>
      <c r="L1014" s="9" t="n">
        <v>78.363</v>
      </c>
      <c r="M1014" s="9" t="inlineStr">
        <is>
          <t>https://www.google.com/maps/place/?q=place_id:ChIJ0yWb7TiSyzsR63BUsvNMzzU</t>
        </is>
      </c>
    </row>
    <row r="1015">
      <c r="A1015" s="9" t="n">
        <v>1011</v>
      </c>
      <c r="B1015" s="9" t="inlineStr">
        <is>
          <t>Hyderabad</t>
        </is>
      </c>
      <c r="C1015" s="9" t="inlineStr">
        <is>
          <t>Hyderabad</t>
        </is>
      </c>
      <c r="D1015" s="9" t="inlineStr">
        <is>
          <t>Telangana</t>
        </is>
      </c>
      <c r="E1015" s="9" t="inlineStr">
        <is>
          <t>India</t>
        </is>
      </c>
      <c r="F1015" s="9" t="n">
        <v>1</v>
      </c>
      <c r="G1015" s="9" t="n">
        <v>1</v>
      </c>
      <c r="H1015" s="9" t="n">
        <v>1</v>
      </c>
      <c r="I1015" s="10" t="n">
        <v>42942</v>
      </c>
      <c r="J1015" s="10" t="n">
        <v>42942</v>
      </c>
      <c r="K1015" s="9" t="n">
        <v>17.39551</v>
      </c>
      <c r="L1015" s="9" t="n">
        <v>78.44226</v>
      </c>
      <c r="M1015" s="9" t="inlineStr">
        <is>
          <t>https://www.google.com/maps/place/?q=place_id:ChIJqSdXuBCXyzsRTnc8-Cr3ql8</t>
        </is>
      </c>
    </row>
    <row r="1016">
      <c r="A1016" s="9" t="n">
        <v>1012</v>
      </c>
      <c r="B1016" s="9" t="inlineStr">
        <is>
          <t>Hyderabad</t>
        </is>
      </c>
      <c r="C1016" s="9" t="inlineStr">
        <is>
          <t>Hyderabad</t>
        </is>
      </c>
      <c r="D1016" s="9" t="inlineStr">
        <is>
          <t>Telangana</t>
        </is>
      </c>
      <c r="E1016" s="9" t="inlineStr">
        <is>
          <t>India</t>
        </is>
      </c>
      <c r="F1016" s="9" t="n">
        <v>1</v>
      </c>
      <c r="G1016" s="9" t="n">
        <v>1</v>
      </c>
      <c r="H1016" s="9" t="n">
        <v>1</v>
      </c>
      <c r="I1016" s="10" t="n">
        <v>42942</v>
      </c>
      <c r="J1016" s="10" t="n">
        <v>42942</v>
      </c>
      <c r="K1016" s="9" t="n">
        <v>17.37622</v>
      </c>
      <c r="L1016" s="9" t="n">
        <v>78.47515</v>
      </c>
      <c r="M1016" s="9" t="inlineStr">
        <is>
          <t>https://www.google.com/maps/place/?q=place_id:ChIJralioICXyzsRIHxxehvF-GU</t>
        </is>
      </c>
    </row>
    <row r="1017">
      <c r="A1017" s="9" t="n">
        <v>1013</v>
      </c>
      <c r="B1017" s="9" t="inlineStr">
        <is>
          <t>Quthbullapur</t>
        </is>
      </c>
      <c r="C1017" s="9" t="inlineStr">
        <is>
          <t>Hyderabad</t>
        </is>
      </c>
      <c r="D1017" s="9" t="inlineStr">
        <is>
          <t>Telangana</t>
        </is>
      </c>
      <c r="E1017" s="9" t="inlineStr">
        <is>
          <t>India</t>
        </is>
      </c>
      <c r="F1017" s="9" t="n">
        <v>1</v>
      </c>
      <c r="G1017" s="9" t="n">
        <v>1</v>
      </c>
      <c r="H1017" s="9" t="n">
        <v>1</v>
      </c>
      <c r="I1017" s="10" t="n">
        <v>42943</v>
      </c>
      <c r="J1017" s="10" t="n">
        <v>42943</v>
      </c>
      <c r="K1017" s="9" t="n">
        <v>17.49232</v>
      </c>
      <c r="L1017" s="9" t="n">
        <v>78.45337000000001</v>
      </c>
      <c r="M1017" s="9" t="inlineStr">
        <is>
          <t>https://www.google.com/maps/place/?q=place_id:ChIJ6_J4b2qQyzsR1NqmE1Fb6sc</t>
        </is>
      </c>
    </row>
    <row r="1018">
      <c r="A1018" s="9" t="n">
        <v>1014</v>
      </c>
      <c r="B1018" s="9" t="inlineStr">
        <is>
          <t>Kukatpally</t>
        </is>
      </c>
      <c r="C1018" s="9" t="inlineStr">
        <is>
          <t>Hyderabad</t>
        </is>
      </c>
      <c r="D1018" s="9" t="inlineStr">
        <is>
          <t>Telangana</t>
        </is>
      </c>
      <c r="E1018" s="9" t="inlineStr">
        <is>
          <t>India</t>
        </is>
      </c>
      <c r="F1018" s="9" t="n">
        <v>1</v>
      </c>
      <c r="G1018" s="9" t="n">
        <v>1</v>
      </c>
      <c r="H1018" s="9" t="n">
        <v>1</v>
      </c>
      <c r="I1018" s="10" t="n">
        <v>42943</v>
      </c>
      <c r="J1018" s="10" t="n">
        <v>42943</v>
      </c>
      <c r="K1018" s="9" t="n">
        <v>17.46744</v>
      </c>
      <c r="L1018" s="9" t="n">
        <v>78.44455000000001</v>
      </c>
      <c r="M1018" s="9" t="inlineStr">
        <is>
          <t>https://www.google.com/maps/place/?q=place_id:ChIJz6Of3PaQyzsRSfuAh22cY4g</t>
        </is>
      </c>
    </row>
    <row r="1019">
      <c r="A1019" s="9" t="n">
        <v>1015</v>
      </c>
      <c r="B1019" s="9" t="inlineStr">
        <is>
          <t>Kukatpally</t>
        </is>
      </c>
      <c r="C1019" s="9" t="inlineStr">
        <is>
          <t>Hyderabad</t>
        </is>
      </c>
      <c r="D1019" s="9" t="inlineStr">
        <is>
          <t>Telangana</t>
        </is>
      </c>
      <c r="E1019" s="9" t="inlineStr">
        <is>
          <t>India</t>
        </is>
      </c>
      <c r="F1019" s="9" t="n">
        <v>1</v>
      </c>
      <c r="G1019" s="9" t="n">
        <v>1</v>
      </c>
      <c r="H1019" s="9" t="n">
        <v>1</v>
      </c>
      <c r="I1019" s="10" t="n">
        <v>42944</v>
      </c>
      <c r="J1019" s="10" t="n">
        <v>42944</v>
      </c>
      <c r="K1019" s="9" t="n">
        <v>17.44015</v>
      </c>
      <c r="L1019" s="9" t="n">
        <v>78.39851</v>
      </c>
      <c r="M1019" s="9" t="inlineStr">
        <is>
          <t>https://www.google.com/maps/place/?q=place_id:ChIJ-1ZFhwyRyzsRo1PW1aM5Vdk</t>
        </is>
      </c>
    </row>
    <row r="1020">
      <c r="A1020" s="9" t="n">
        <v>1016</v>
      </c>
      <c r="B1020" s="9" t="inlineStr">
        <is>
          <t>Hyderabad</t>
        </is>
      </c>
      <c r="C1020" s="9" t="inlineStr">
        <is>
          <t>Hyderabad</t>
        </is>
      </c>
      <c r="D1020" s="9" t="inlineStr">
        <is>
          <t>Telangana</t>
        </is>
      </c>
      <c r="E1020" s="9" t="inlineStr">
        <is>
          <t>India</t>
        </is>
      </c>
      <c r="F1020" s="9" t="n">
        <v>1</v>
      </c>
      <c r="G1020" s="9" t="n">
        <v>1</v>
      </c>
      <c r="H1020" s="9" t="n">
        <v>1</v>
      </c>
      <c r="I1020" s="10" t="n">
        <v>42949</v>
      </c>
      <c r="J1020" s="10" t="n">
        <v>42949</v>
      </c>
      <c r="K1020" s="9" t="n">
        <v>17.39525</v>
      </c>
      <c r="L1020" s="9" t="n">
        <v>78.45856000000001</v>
      </c>
      <c r="M1020" s="9" t="inlineStr">
        <is>
          <t>https://www.google.com/maps/place/?q=place_id:ChIJdU1xm26XyzsRvIt-MdGvYbY</t>
        </is>
      </c>
    </row>
    <row r="1021">
      <c r="A1021" s="9" t="n">
        <v>1017</v>
      </c>
      <c r="B1021" s="9" t="inlineStr">
        <is>
          <t>Hyderabad</t>
        </is>
      </c>
      <c r="C1021" s="9" t="inlineStr">
        <is>
          <t>Hyderabad</t>
        </is>
      </c>
      <c r="D1021" s="9" t="inlineStr">
        <is>
          <t>Telangana</t>
        </is>
      </c>
      <c r="E1021" s="9" t="inlineStr">
        <is>
          <t>India</t>
        </is>
      </c>
      <c r="F1021" s="9" t="n">
        <v>1</v>
      </c>
      <c r="G1021" s="9" t="n">
        <v>1</v>
      </c>
      <c r="H1021" s="9" t="n">
        <v>1</v>
      </c>
      <c r="I1021" s="10" t="n">
        <v>42949</v>
      </c>
      <c r="J1021" s="10" t="n">
        <v>42949</v>
      </c>
      <c r="K1021" s="9" t="n">
        <v>17.38277</v>
      </c>
      <c r="L1021" s="9" t="n">
        <v>78.44817999999999</v>
      </c>
      <c r="M1021" s="9" t="inlineStr">
        <is>
          <t>https://www.google.com/maps/place/?q=place_id:ChIJcc5syAuXyzsRLWMIHcE1DSM</t>
        </is>
      </c>
    </row>
    <row r="1022">
      <c r="A1022" s="9" t="n">
        <v>1018</v>
      </c>
      <c r="B1022" s="9" t="inlineStr">
        <is>
          <t>Gaddi Annaram</t>
        </is>
      </c>
      <c r="C1022" s="9" t="inlineStr">
        <is>
          <t>Hyderabad</t>
        </is>
      </c>
      <c r="D1022" s="9" t="inlineStr">
        <is>
          <t>Telangana</t>
        </is>
      </c>
      <c r="E1022" s="9" t="inlineStr">
        <is>
          <t>India</t>
        </is>
      </c>
      <c r="F1022" s="9" t="n">
        <v>1</v>
      </c>
      <c r="G1022" s="9" t="n">
        <v>1</v>
      </c>
      <c r="H1022" s="9" t="n">
        <v>1</v>
      </c>
      <c r="I1022" s="10" t="n">
        <v>42949</v>
      </c>
      <c r="J1022" s="10" t="n">
        <v>42949</v>
      </c>
      <c r="K1022" s="9" t="n">
        <v>17.36195</v>
      </c>
      <c r="L1022" s="9" t="n">
        <v>78.52817</v>
      </c>
      <c r="M1022" s="9" t="inlineStr">
        <is>
          <t>https://www.google.com/maps/place/?q=place_id:ChIJEZBgPPOYyzsRU3St9_r1mhw</t>
        </is>
      </c>
    </row>
    <row r="1023">
      <c r="A1023" s="9" t="n">
        <v>1019</v>
      </c>
      <c r="B1023" s="9" t="inlineStr">
        <is>
          <t>Gaddi Annaram</t>
        </is>
      </c>
      <c r="C1023" s="9" t="inlineStr">
        <is>
          <t>Hyderabad</t>
        </is>
      </c>
      <c r="D1023" s="9" t="inlineStr">
        <is>
          <t>Telangana</t>
        </is>
      </c>
      <c r="E1023" s="9" t="inlineStr">
        <is>
          <t>India</t>
        </is>
      </c>
      <c r="F1023" s="9" t="n">
        <v>1</v>
      </c>
      <c r="G1023" s="9" t="n">
        <v>1</v>
      </c>
      <c r="H1023" s="9" t="n">
        <v>1</v>
      </c>
      <c r="I1023" s="10" t="n">
        <v>42949</v>
      </c>
      <c r="J1023" s="10" t="n">
        <v>42949</v>
      </c>
      <c r="K1023" s="9" t="n">
        <v>17.36473</v>
      </c>
      <c r="L1023" s="9" t="n">
        <v>78.52658</v>
      </c>
      <c r="M1023" s="9" t="inlineStr">
        <is>
          <t>https://www.google.com/maps/place/?q=place_id:ChIJpelD_fOYyzsRbe0vtF1wrP8</t>
        </is>
      </c>
    </row>
    <row r="1024">
      <c r="A1024" s="9" t="n">
        <v>1020</v>
      </c>
      <c r="B1024" s="9" t="inlineStr">
        <is>
          <t>Lal Bahadur Nagar</t>
        </is>
      </c>
      <c r="C1024" s="9" t="inlineStr">
        <is>
          <t>Hyderabad</t>
        </is>
      </c>
      <c r="D1024" s="9" t="inlineStr">
        <is>
          <t>Telangana</t>
        </is>
      </c>
      <c r="E1024" s="9" t="inlineStr">
        <is>
          <t>India</t>
        </is>
      </c>
      <c r="F1024" s="9" t="n">
        <v>1</v>
      </c>
      <c r="G1024" s="9" t="n">
        <v>1</v>
      </c>
      <c r="H1024" s="9" t="n">
        <v>1</v>
      </c>
      <c r="I1024" s="10" t="n">
        <v>42949</v>
      </c>
      <c r="J1024" s="10" t="n">
        <v>42949</v>
      </c>
      <c r="K1024" s="9" t="n">
        <v>17.35247</v>
      </c>
      <c r="L1024" s="9" t="n">
        <v>78.55243</v>
      </c>
      <c r="M1024" s="9" t="inlineStr">
        <is>
          <t>https://www.google.com/maps/place/?q=place_id:ChIJ67gr-7qYyzsRAsJ0uhjnWbs</t>
        </is>
      </c>
    </row>
    <row r="1025">
      <c r="A1025" s="9" t="n">
        <v>1021</v>
      </c>
      <c r="B1025" s="9" t="inlineStr">
        <is>
          <t>Lal Bahadur Nagar</t>
        </is>
      </c>
      <c r="C1025" s="9" t="inlineStr">
        <is>
          <t>Hyderabad</t>
        </is>
      </c>
      <c r="D1025" s="9" t="inlineStr">
        <is>
          <t>Telangana</t>
        </is>
      </c>
      <c r="E1025" s="9" t="inlineStr">
        <is>
          <t>India</t>
        </is>
      </c>
      <c r="F1025" s="9" t="n">
        <v>1</v>
      </c>
      <c r="G1025" s="9" t="n">
        <v>1</v>
      </c>
      <c r="H1025" s="9" t="n">
        <v>1</v>
      </c>
      <c r="I1025" s="10" t="n">
        <v>42949</v>
      </c>
      <c r="J1025" s="10" t="n">
        <v>42949</v>
      </c>
      <c r="K1025" s="9" t="n">
        <v>17.34968</v>
      </c>
      <c r="L1025" s="9" t="n">
        <v>78.5498</v>
      </c>
      <c r="M1025" s="9" t="inlineStr">
        <is>
          <t>https://www.google.com/maps/place/?q=place_id:ChIJZbzH-yCZyzsRk6niJCxz2Bg</t>
        </is>
      </c>
    </row>
    <row r="1026">
      <c r="A1026" s="9" t="n">
        <v>1022</v>
      </c>
      <c r="B1026" s="9" t="inlineStr">
        <is>
          <t>Hyderabad</t>
        </is>
      </c>
      <c r="C1026" s="9" t="inlineStr">
        <is>
          <t>Hyderabad</t>
        </is>
      </c>
      <c r="D1026" s="9" t="inlineStr">
        <is>
          <t>Telangana</t>
        </is>
      </c>
      <c r="E1026" s="9" t="inlineStr">
        <is>
          <t>India</t>
        </is>
      </c>
      <c r="F1026" s="9" t="n">
        <v>1</v>
      </c>
      <c r="G1026" s="9" t="n">
        <v>1</v>
      </c>
      <c r="H1026" s="9" t="n">
        <v>1</v>
      </c>
      <c r="I1026" s="10" t="n">
        <v>42950</v>
      </c>
      <c r="J1026" s="10" t="n">
        <v>42950</v>
      </c>
      <c r="K1026" s="9" t="n">
        <v>17.4048</v>
      </c>
      <c r="L1026" s="9" t="n">
        <v>78.48206999999999</v>
      </c>
      <c r="M1026" s="9" t="inlineStr">
        <is>
          <t>https://www.google.com/maps/place/?q=place_id:ChIJG2donkuZyzsRaxXhwdm4Z5M</t>
        </is>
      </c>
    </row>
    <row r="1027">
      <c r="A1027" s="9" t="n">
        <v>1023</v>
      </c>
      <c r="B1027" s="9" t="inlineStr">
        <is>
          <t>Hyderabad</t>
        </is>
      </c>
      <c r="C1027" s="9" t="inlineStr">
        <is>
          <t>Hyderabad</t>
        </is>
      </c>
      <c r="D1027" s="9" t="inlineStr">
        <is>
          <t>Telangana</t>
        </is>
      </c>
      <c r="E1027" s="9" t="inlineStr">
        <is>
          <t>India</t>
        </is>
      </c>
      <c r="F1027" s="9" t="n">
        <v>1</v>
      </c>
      <c r="G1027" s="9" t="n">
        <v>1</v>
      </c>
      <c r="H1027" s="9" t="n">
        <v>1</v>
      </c>
      <c r="I1027" s="10" t="n">
        <v>42950</v>
      </c>
      <c r="J1027" s="10" t="n">
        <v>42950</v>
      </c>
      <c r="K1027" s="9" t="n">
        <v>17.40645</v>
      </c>
      <c r="L1027" s="9" t="n">
        <v>78.47875000000001</v>
      </c>
      <c r="M1027" s="9" t="inlineStr">
        <is>
          <t>https://www.google.com/maps/place/?q=place_id:ChIJb5Sw8eCZyzsRAyyeWbBalC0</t>
        </is>
      </c>
    </row>
    <row r="1028">
      <c r="A1028" s="9" t="n">
        <v>1024</v>
      </c>
      <c r="B1028" s="9" t="inlineStr">
        <is>
          <t>Malkajgiri</t>
        </is>
      </c>
      <c r="C1028" s="9" t="inlineStr">
        <is>
          <t>Hyderabad</t>
        </is>
      </c>
      <c r="D1028" s="9" t="inlineStr">
        <is>
          <t>Telangana</t>
        </is>
      </c>
      <c r="E1028" s="9" t="inlineStr">
        <is>
          <t>India</t>
        </is>
      </c>
      <c r="F1028" s="9" t="n">
        <v>1</v>
      </c>
      <c r="G1028" s="9" t="n">
        <v>1</v>
      </c>
      <c r="H1028" s="9" t="n">
        <v>1</v>
      </c>
      <c r="I1028" s="10" t="n">
        <v>42950</v>
      </c>
      <c r="J1028" s="10" t="n">
        <v>42950</v>
      </c>
      <c r="K1028" s="9" t="n">
        <v>17.4363</v>
      </c>
      <c r="L1028" s="9" t="n">
        <v>78.49048000000001</v>
      </c>
      <c r="M1028" s="9" t="inlineStr">
        <is>
          <t>https://www.google.com/maps/place/?q=place_id:ChIJp2tStxuayzsRVr95RJOiGcc</t>
        </is>
      </c>
    </row>
    <row r="1029">
      <c r="A1029" s="9" t="n">
        <v>1025</v>
      </c>
      <c r="B1029" s="9" t="inlineStr">
        <is>
          <t>Hyderabad</t>
        </is>
      </c>
      <c r="C1029" s="9" t="inlineStr">
        <is>
          <t>Hyderabad</t>
        </is>
      </c>
      <c r="D1029" s="9" t="inlineStr">
        <is>
          <t>Telangana</t>
        </is>
      </c>
      <c r="E1029" s="9" t="inlineStr">
        <is>
          <t>India</t>
        </is>
      </c>
      <c r="F1029" s="9" t="n">
        <v>1</v>
      </c>
      <c r="G1029" s="9" t="n">
        <v>1</v>
      </c>
      <c r="H1029" s="9" t="n">
        <v>1</v>
      </c>
      <c r="I1029" s="10" t="n">
        <v>42950</v>
      </c>
      <c r="J1029" s="10" t="n">
        <v>42950</v>
      </c>
      <c r="K1029" s="9" t="n">
        <v>17.39501</v>
      </c>
      <c r="L1029" s="9" t="n">
        <v>78.45867</v>
      </c>
      <c r="M1029" s="9" t="inlineStr">
        <is>
          <t>https://www.google.com/maps/place/?q=place_id:ChIJG8HfhG6XyzsRmtTotQkyGmY</t>
        </is>
      </c>
    </row>
    <row r="1030">
      <c r="A1030" s="9" t="n">
        <v>1026</v>
      </c>
      <c r="B1030" s="9" t="inlineStr">
        <is>
          <t>Hyderabad</t>
        </is>
      </c>
      <c r="C1030" s="9" t="inlineStr">
        <is>
          <t>Hyderabad</t>
        </is>
      </c>
      <c r="D1030" s="9" t="inlineStr">
        <is>
          <t>Telangana</t>
        </is>
      </c>
      <c r="E1030" s="9" t="inlineStr">
        <is>
          <t>India</t>
        </is>
      </c>
      <c r="F1030" s="9" t="n">
        <v>1</v>
      </c>
      <c r="G1030" s="9" t="n">
        <v>1</v>
      </c>
      <c r="H1030" s="9" t="n">
        <v>1</v>
      </c>
      <c r="I1030" s="10" t="n">
        <v>42951</v>
      </c>
      <c r="J1030" s="10" t="n">
        <v>42951</v>
      </c>
      <c r="K1030" s="9" t="n">
        <v>17.37803</v>
      </c>
      <c r="L1030" s="9" t="n">
        <v>78.47623</v>
      </c>
      <c r="M1030" s="9" t="inlineStr">
        <is>
          <t>https://www.google.com/maps/place/?q=place_id:ChIJ9WOMiSqYyzsR0b0s90ULBcw</t>
        </is>
      </c>
    </row>
    <row r="1031">
      <c r="A1031" s="9" t="n">
        <v>1027</v>
      </c>
      <c r="B1031" s="9" t="inlineStr">
        <is>
          <t>Hyderabad</t>
        </is>
      </c>
      <c r="C1031" s="9" t="inlineStr">
        <is>
          <t>Hyderabad</t>
        </is>
      </c>
      <c r="D1031" s="9" t="inlineStr">
        <is>
          <t>Telangana</t>
        </is>
      </c>
      <c r="E1031" s="9" t="inlineStr">
        <is>
          <t>India</t>
        </is>
      </c>
      <c r="F1031" s="9" t="n">
        <v>1</v>
      </c>
      <c r="G1031" s="9" t="n">
        <v>1</v>
      </c>
      <c r="H1031" s="9" t="n">
        <v>1</v>
      </c>
      <c r="I1031" s="10" t="n">
        <v>42951</v>
      </c>
      <c r="J1031" s="10" t="n">
        <v>42951</v>
      </c>
      <c r="K1031" s="9" t="n">
        <v>17.36267</v>
      </c>
      <c r="L1031" s="9" t="n">
        <v>78.47868</v>
      </c>
      <c r="M1031" s="9" t="inlineStr">
        <is>
          <t>https://www.google.com/maps/place/?q=place_id:ChIJwb_zOCGYyzsRogYw_KbTErQ</t>
        </is>
      </c>
    </row>
    <row r="1032">
      <c r="A1032" s="9" t="n">
        <v>1028</v>
      </c>
      <c r="B1032" s="9" t="inlineStr">
        <is>
          <t>Quthbullapur</t>
        </is>
      </c>
      <c r="C1032" s="9" t="inlineStr">
        <is>
          <t>Hyderabad</t>
        </is>
      </c>
      <c r="D1032" s="9" t="inlineStr">
        <is>
          <t>Telangana</t>
        </is>
      </c>
      <c r="E1032" s="9" t="inlineStr">
        <is>
          <t>India</t>
        </is>
      </c>
      <c r="F1032" s="9" t="n">
        <v>1</v>
      </c>
      <c r="G1032" s="9" t="n">
        <v>1</v>
      </c>
      <c r="H1032" s="9" t="n">
        <v>1</v>
      </c>
      <c r="I1032" s="10" t="n">
        <v>42951</v>
      </c>
      <c r="J1032" s="10" t="n">
        <v>42951</v>
      </c>
      <c r="K1032" s="9" t="n">
        <v>17.48384</v>
      </c>
      <c r="L1032" s="9" t="n">
        <v>78.49824</v>
      </c>
      <c r="M1032" s="9" t="inlineStr">
        <is>
          <t>https://www.google.com/maps/place/?q=place_id:ChIJWY_RK_OayzsRgypzMICo1Rk</t>
        </is>
      </c>
    </row>
    <row r="1033">
      <c r="A1033" s="9" t="n">
        <v>1029</v>
      </c>
      <c r="B1033" s="9" t="inlineStr">
        <is>
          <t>Kukatpally</t>
        </is>
      </c>
      <c r="C1033" s="9" t="inlineStr">
        <is>
          <t>Hyderabad</t>
        </is>
      </c>
      <c r="D1033" s="9" t="inlineStr">
        <is>
          <t>Telangana</t>
        </is>
      </c>
      <c r="E1033" s="9" t="inlineStr">
        <is>
          <t>India</t>
        </is>
      </c>
      <c r="F1033" s="9" t="n">
        <v>1</v>
      </c>
      <c r="G1033" s="9" t="n">
        <v>1</v>
      </c>
      <c r="H1033" s="9" t="n">
        <v>1</v>
      </c>
      <c r="I1033" s="10" t="n">
        <v>42951</v>
      </c>
      <c r="J1033" s="10" t="n">
        <v>42951</v>
      </c>
      <c r="K1033" s="9" t="n">
        <v>17.47843</v>
      </c>
      <c r="L1033" s="9" t="n">
        <v>78.41768</v>
      </c>
      <c r="M1033" s="9" t="inlineStr">
        <is>
          <t>https://www.google.com/maps/place/?q=place_id:ChIJo_b1kqWRyzsReI-WmQYiNMo</t>
        </is>
      </c>
    </row>
    <row r="1034">
      <c r="A1034" s="9" t="n">
        <v>1030</v>
      </c>
      <c r="B1034" s="9" t="inlineStr">
        <is>
          <t>Hyderabad</t>
        </is>
      </c>
      <c r="C1034" s="9" t="inlineStr">
        <is>
          <t>Hyderabad</t>
        </is>
      </c>
      <c r="D1034" s="9" t="inlineStr">
        <is>
          <t>Telangana</t>
        </is>
      </c>
      <c r="E1034" s="9" t="inlineStr">
        <is>
          <t>India</t>
        </is>
      </c>
      <c r="F1034" s="9" t="n">
        <v>1</v>
      </c>
      <c r="G1034" s="9" t="n">
        <v>1</v>
      </c>
      <c r="H1034" s="9" t="n">
        <v>1</v>
      </c>
      <c r="I1034" s="10" t="n">
        <v>42952</v>
      </c>
      <c r="J1034" s="10" t="n">
        <v>42952</v>
      </c>
      <c r="K1034" s="9" t="n">
        <v>17.39048</v>
      </c>
      <c r="L1034" s="9" t="n">
        <v>78.47638000000001</v>
      </c>
      <c r="M1034" s="9" t="inlineStr">
        <is>
          <t>https://www.google.com/maps/place/?q=place_id:ChIJz-dPwdeZyzsRqYs02r-BESQ</t>
        </is>
      </c>
    </row>
    <row r="1035">
      <c r="A1035" s="9" t="n">
        <v>1031</v>
      </c>
      <c r="B1035" s="9" t="inlineStr">
        <is>
          <t>Hyderabad</t>
        </is>
      </c>
      <c r="C1035" s="9" t="inlineStr">
        <is>
          <t>Hyderabad</t>
        </is>
      </c>
      <c r="D1035" s="9" t="inlineStr">
        <is>
          <t>Telangana</t>
        </is>
      </c>
      <c r="E1035" s="9" t="inlineStr">
        <is>
          <t>India</t>
        </is>
      </c>
      <c r="F1035" s="9" t="n">
        <v>1</v>
      </c>
      <c r="G1035" s="9" t="n">
        <v>1</v>
      </c>
      <c r="H1035" s="9" t="n">
        <v>1</v>
      </c>
      <c r="I1035" s="10" t="n">
        <v>42955</v>
      </c>
      <c r="J1035" s="10" t="n">
        <v>42955</v>
      </c>
      <c r="K1035" s="9" t="n">
        <v>17.42614</v>
      </c>
      <c r="L1035" s="9" t="n">
        <v>78.43210000000001</v>
      </c>
      <c r="M1035" s="9" t="inlineStr">
        <is>
          <t>https://www.google.com/maps/place/?q=place_id:ChIJV3lOItWQyzsRXyhpxPIdElo</t>
        </is>
      </c>
    </row>
    <row r="1036">
      <c r="A1036" s="9" t="n">
        <v>1032</v>
      </c>
      <c r="B1036" s="9" t="inlineStr">
        <is>
          <t>Hyderabad</t>
        </is>
      </c>
      <c r="C1036" s="9" t="inlineStr">
        <is>
          <t>Hyderabad</t>
        </is>
      </c>
      <c r="D1036" s="9" t="inlineStr">
        <is>
          <t>Telangana</t>
        </is>
      </c>
      <c r="E1036" s="9" t="inlineStr">
        <is>
          <t>India</t>
        </is>
      </c>
      <c r="F1036" s="9" t="n">
        <v>1</v>
      </c>
      <c r="G1036" s="9" t="n">
        <v>1</v>
      </c>
      <c r="H1036" s="9" t="n">
        <v>1</v>
      </c>
      <c r="I1036" s="10" t="n">
        <v>42955</v>
      </c>
      <c r="J1036" s="10" t="n">
        <v>42955</v>
      </c>
      <c r="K1036" s="9" t="n">
        <v>17.40356</v>
      </c>
      <c r="L1036" s="9" t="n">
        <v>78.48357</v>
      </c>
      <c r="M1036" s="9" t="inlineStr">
        <is>
          <t>https://www.google.com/maps/place/?q=place_id:ChIJ2VC2nd2ZyzsRJB0ofzvwNqk</t>
        </is>
      </c>
    </row>
    <row r="1037">
      <c r="A1037" s="9" t="n">
        <v>1033</v>
      </c>
      <c r="B1037" s="9" t="inlineStr">
        <is>
          <t>Kukatpally</t>
        </is>
      </c>
      <c r="C1037" s="9" t="inlineStr">
        <is>
          <t>Hyderabad</t>
        </is>
      </c>
      <c r="D1037" s="9" t="inlineStr">
        <is>
          <t>Telangana</t>
        </is>
      </c>
      <c r="E1037" s="9" t="inlineStr">
        <is>
          <t>India</t>
        </is>
      </c>
      <c r="F1037" s="9" t="n">
        <v>1</v>
      </c>
      <c r="G1037" s="9" t="n">
        <v>1</v>
      </c>
      <c r="H1037" s="9" t="n">
        <v>1</v>
      </c>
      <c r="I1037" s="10" t="n">
        <v>42956</v>
      </c>
      <c r="J1037" s="10" t="n">
        <v>42956</v>
      </c>
      <c r="K1037" s="9" t="n">
        <v>17.44924</v>
      </c>
      <c r="L1037" s="9" t="n">
        <v>78.45032999999999</v>
      </c>
      <c r="M1037" s="9" t="inlineStr">
        <is>
          <t>https://www.google.com/maps/place/?q=place_id:ChIJEdIEg-qQyzsRYXIqU8NGrJw</t>
        </is>
      </c>
    </row>
    <row r="1038">
      <c r="A1038" s="9" t="n">
        <v>1034</v>
      </c>
      <c r="B1038" s="9" t="inlineStr">
        <is>
          <t>Quthbullapur</t>
        </is>
      </c>
      <c r="C1038" s="9" t="inlineStr">
        <is>
          <t>Hyderabad</t>
        </is>
      </c>
      <c r="D1038" s="9" t="inlineStr">
        <is>
          <t>Telangana</t>
        </is>
      </c>
      <c r="E1038" s="9" t="inlineStr">
        <is>
          <t>India</t>
        </is>
      </c>
      <c r="F1038" s="9" t="n">
        <v>1</v>
      </c>
      <c r="G1038" s="9" t="n">
        <v>1</v>
      </c>
      <c r="H1038" s="9" t="n">
        <v>1</v>
      </c>
      <c r="I1038" s="10" t="n">
        <v>42956</v>
      </c>
      <c r="J1038" s="10" t="n">
        <v>42956</v>
      </c>
      <c r="K1038" s="9" t="n">
        <v>17.4573</v>
      </c>
      <c r="L1038" s="9" t="n">
        <v>78.45175</v>
      </c>
      <c r="M1038" s="9" t="inlineStr">
        <is>
          <t>https://www.google.com/maps/place/?q=place_id:ChIJJwAA0OyQyzsRYtfI5UxDh1s</t>
        </is>
      </c>
    </row>
    <row r="1039">
      <c r="A1039" s="9" t="n">
        <v>1035</v>
      </c>
      <c r="B1039" s="9" t="inlineStr">
        <is>
          <t>Hyderabad</t>
        </is>
      </c>
      <c r="C1039" s="9" t="inlineStr">
        <is>
          <t>Hyderabad</t>
        </is>
      </c>
      <c r="D1039" s="9" t="inlineStr">
        <is>
          <t>Telangana</t>
        </is>
      </c>
      <c r="E1039" s="9" t="inlineStr">
        <is>
          <t>India</t>
        </is>
      </c>
      <c r="F1039" s="9" t="n">
        <v>1</v>
      </c>
      <c r="G1039" s="9" t="n">
        <v>1</v>
      </c>
      <c r="H1039" s="9" t="n">
        <v>1</v>
      </c>
      <c r="I1039" s="10" t="n">
        <v>42956</v>
      </c>
      <c r="J1039" s="10" t="n">
        <v>42956</v>
      </c>
      <c r="K1039" s="9" t="n">
        <v>17.36916</v>
      </c>
      <c r="L1039" s="9" t="n">
        <v>78.4721</v>
      </c>
      <c r="M1039" s="9" t="inlineStr">
        <is>
          <t>https://www.google.com/maps/place/?q=place_id:ChIJrV_EJ4aXyzsRBcwJ7479Mzg</t>
        </is>
      </c>
    </row>
    <row r="1040">
      <c r="A1040" s="9" t="n">
        <v>1036</v>
      </c>
      <c r="B1040" s="9" t="inlineStr">
        <is>
          <t>Hyderabad</t>
        </is>
      </c>
      <c r="C1040" s="9" t="inlineStr">
        <is>
          <t>Hyderabad</t>
        </is>
      </c>
      <c r="D1040" s="9" t="inlineStr">
        <is>
          <t>Telangana</t>
        </is>
      </c>
      <c r="E1040" s="9" t="inlineStr">
        <is>
          <t>India</t>
        </is>
      </c>
      <c r="F1040" s="9" t="n">
        <v>1</v>
      </c>
      <c r="G1040" s="9" t="n">
        <v>1</v>
      </c>
      <c r="H1040" s="9" t="n">
        <v>1</v>
      </c>
      <c r="I1040" s="10" t="n">
        <v>42956</v>
      </c>
      <c r="J1040" s="10" t="n">
        <v>42956</v>
      </c>
      <c r="K1040" s="9" t="n">
        <v>17.38469</v>
      </c>
      <c r="L1040" s="9" t="n">
        <v>78.46512</v>
      </c>
      <c r="M1040" s="9" t="inlineStr">
        <is>
          <t>https://www.google.com/maps/place/?q=place_id:ChIJZ4oSx3mXyzsRFve7DnGyqP0</t>
        </is>
      </c>
    </row>
    <row r="1041">
      <c r="A1041" s="9" t="n">
        <v>1037</v>
      </c>
      <c r="B1041" s="9" t="inlineStr">
        <is>
          <t>Hyderabad</t>
        </is>
      </c>
      <c r="C1041" s="9" t="inlineStr">
        <is>
          <t>Hyderabad</t>
        </is>
      </c>
      <c r="D1041" s="9" t="inlineStr">
        <is>
          <t>Telangana</t>
        </is>
      </c>
      <c r="E1041" s="9" t="inlineStr">
        <is>
          <t>India</t>
        </is>
      </c>
      <c r="F1041" s="9" t="n">
        <v>1</v>
      </c>
      <c r="G1041" s="9" t="n">
        <v>1</v>
      </c>
      <c r="H1041" s="9" t="n">
        <v>1</v>
      </c>
      <c r="I1041" s="10" t="n">
        <v>42957</v>
      </c>
      <c r="J1041" s="10" t="n">
        <v>42957</v>
      </c>
      <c r="K1041" s="9" t="n">
        <v>17.42349</v>
      </c>
      <c r="L1041" s="9" t="n">
        <v>78.43969</v>
      </c>
      <c r="M1041" s="9" t="inlineStr">
        <is>
          <t>https://www.google.com/maps/place/?q=place_id:ChIJ7xxUay2XyzsR15f9FR3pRHk</t>
        </is>
      </c>
    </row>
    <row r="1042">
      <c r="A1042" s="9" t="n">
        <v>1038</v>
      </c>
      <c r="B1042" s="9" t="inlineStr">
        <is>
          <t>Hyderabad</t>
        </is>
      </c>
      <c r="C1042" s="9" t="inlineStr">
        <is>
          <t>Hyderabad</t>
        </is>
      </c>
      <c r="D1042" s="9" t="inlineStr">
        <is>
          <t>Telangana</t>
        </is>
      </c>
      <c r="E1042" s="9" t="inlineStr">
        <is>
          <t>India</t>
        </is>
      </c>
      <c r="F1042" s="9" t="n">
        <v>1</v>
      </c>
      <c r="G1042" s="9" t="n">
        <v>1</v>
      </c>
      <c r="H1042" s="9" t="n">
        <v>1</v>
      </c>
      <c r="I1042" s="10" t="n">
        <v>42957</v>
      </c>
      <c r="J1042" s="10" t="n">
        <v>42957</v>
      </c>
      <c r="K1042" s="9" t="n">
        <v>17.40955</v>
      </c>
      <c r="L1042" s="9" t="n">
        <v>78.45468</v>
      </c>
      <c r="M1042" s="9" t="inlineStr">
        <is>
          <t>https://www.google.com/maps/place/?q=place_id:ChIJjzkRJUeXyzsRD93fjl_loIE</t>
        </is>
      </c>
    </row>
    <row r="1043">
      <c r="A1043" s="9" t="n">
        <v>1039</v>
      </c>
      <c r="B1043" s="9" t="inlineStr">
        <is>
          <t>Serilingampalle</t>
        </is>
      </c>
      <c r="C1043" s="9" t="inlineStr">
        <is>
          <t>Hyderabad</t>
        </is>
      </c>
      <c r="D1043" s="9" t="inlineStr">
        <is>
          <t>Telangana</t>
        </is>
      </c>
      <c r="E1043" s="9" t="inlineStr">
        <is>
          <t>India</t>
        </is>
      </c>
      <c r="F1043" s="9" t="n">
        <v>1</v>
      </c>
      <c r="G1043" s="9" t="n">
        <v>1</v>
      </c>
      <c r="H1043" s="9" t="n">
        <v>1</v>
      </c>
      <c r="I1043" s="10" t="n">
        <v>42957</v>
      </c>
      <c r="J1043" s="10" t="n">
        <v>42957</v>
      </c>
      <c r="K1043" s="9" t="n">
        <v>17.49209</v>
      </c>
      <c r="L1043" s="9" t="n">
        <v>78.31619999999999</v>
      </c>
      <c r="M1043" s="9" t="inlineStr">
        <is>
          <t>https://www.google.com/maps/place/?q=place_id:ChIJk2EKi5WSyzsR6HVgezIMvQg</t>
        </is>
      </c>
    </row>
    <row r="1044">
      <c r="A1044" s="9" t="n">
        <v>1040</v>
      </c>
      <c r="B1044" s="9" t="inlineStr">
        <is>
          <t>Serilingampalle</t>
        </is>
      </c>
      <c r="C1044" s="9" t="inlineStr">
        <is>
          <t>Hyderabad</t>
        </is>
      </c>
      <c r="D1044" s="9" t="inlineStr">
        <is>
          <t>Telangana</t>
        </is>
      </c>
      <c r="E1044" s="9" t="inlineStr">
        <is>
          <t>India</t>
        </is>
      </c>
      <c r="F1044" s="9" t="n">
        <v>1</v>
      </c>
      <c r="G1044" s="9" t="n">
        <v>1</v>
      </c>
      <c r="H1044" s="9" t="n">
        <v>1</v>
      </c>
      <c r="I1044" s="10" t="n">
        <v>42957</v>
      </c>
      <c r="J1044" s="10" t="n">
        <v>42957</v>
      </c>
      <c r="K1044" s="9" t="n">
        <v>17.5013</v>
      </c>
      <c r="L1044" s="9" t="n">
        <v>78.31283000000001</v>
      </c>
      <c r="M1044" s="9" t="inlineStr">
        <is>
          <t>https://www.google.com/maps/place/?q=place_id:ChIJ7yY8HqOSyzsRihlYam-VH4Q</t>
        </is>
      </c>
    </row>
    <row r="1045">
      <c r="A1045" s="9" t="n">
        <v>1041</v>
      </c>
      <c r="B1045" s="9" t="inlineStr">
        <is>
          <t>Serilingampalle</t>
        </is>
      </c>
      <c r="C1045" s="9" t="inlineStr">
        <is>
          <t>Hyderabad</t>
        </is>
      </c>
      <c r="D1045" s="9" t="inlineStr">
        <is>
          <t>Telangana</t>
        </is>
      </c>
      <c r="E1045" s="9" t="inlineStr">
        <is>
          <t>India</t>
        </is>
      </c>
      <c r="F1045" s="9" t="n">
        <v>1</v>
      </c>
      <c r="G1045" s="9" t="n">
        <v>1</v>
      </c>
      <c r="H1045" s="9" t="n">
        <v>1</v>
      </c>
      <c r="I1045" s="10" t="n">
        <v>42960</v>
      </c>
      <c r="J1045" s="10" t="n">
        <v>42960</v>
      </c>
      <c r="K1045" s="9" t="n">
        <v>17.48144</v>
      </c>
      <c r="L1045" s="9" t="n">
        <v>78.32037</v>
      </c>
      <c r="M1045" s="9" t="inlineStr">
        <is>
          <t>https://www.google.com/maps/place/?q=place_id:ChIJqaX-QumSyzsR-6PvJeyVGUc</t>
        </is>
      </c>
    </row>
    <row r="1046">
      <c r="A1046" s="9" t="n">
        <v>1042</v>
      </c>
      <c r="B1046" s="9" t="inlineStr">
        <is>
          <t>Malkajgiri</t>
        </is>
      </c>
      <c r="C1046" s="9" t="inlineStr">
        <is>
          <t>Hyderabad</t>
        </is>
      </c>
      <c r="D1046" s="9" t="inlineStr">
        <is>
          <t>Telangana</t>
        </is>
      </c>
      <c r="E1046" s="9" t="inlineStr">
        <is>
          <t>India</t>
        </is>
      </c>
      <c r="F1046" s="9" t="n">
        <v>1</v>
      </c>
      <c r="G1046" s="9" t="n">
        <v>1</v>
      </c>
      <c r="H1046" s="9" t="n">
        <v>1</v>
      </c>
      <c r="I1046" s="10" t="n">
        <v>42970</v>
      </c>
      <c r="J1046" s="10" t="n">
        <v>42970</v>
      </c>
      <c r="K1046" s="9" t="n">
        <v>17.43048</v>
      </c>
      <c r="L1046" s="9" t="n">
        <v>78.4923</v>
      </c>
      <c r="M1046" s="9" t="inlineStr">
        <is>
          <t>https://www.google.com/maps/place/?q=place_id:ChIJcadIeh6ayzsRYfkx_H6CTr4</t>
        </is>
      </c>
    </row>
    <row r="1047">
      <c r="A1047" s="9" t="n">
        <v>1043</v>
      </c>
      <c r="B1047" s="9" t="inlineStr">
        <is>
          <t>Secunderabad</t>
        </is>
      </c>
      <c r="C1047" s="9" t="inlineStr">
        <is>
          <t>Hyderabad</t>
        </is>
      </c>
      <c r="D1047" s="9" t="inlineStr">
        <is>
          <t>Telangana</t>
        </is>
      </c>
      <c r="E1047" s="9" t="inlineStr">
        <is>
          <t>India</t>
        </is>
      </c>
      <c r="F1047" s="9" t="n">
        <v>1</v>
      </c>
      <c r="G1047" s="9" t="n">
        <v>1</v>
      </c>
      <c r="H1047" s="9" t="n">
        <v>1</v>
      </c>
      <c r="I1047" s="10" t="n">
        <v>43001</v>
      </c>
      <c r="J1047" s="10" t="n">
        <v>43001</v>
      </c>
      <c r="K1047" s="9" t="n">
        <v>17.50628</v>
      </c>
      <c r="L1047" s="9" t="n">
        <v>78.51640999999999</v>
      </c>
      <c r="M1047" s="9" t="inlineStr">
        <is>
          <t>https://www.google.com/maps/place/?q=place_id:ChIJ6y4JONmayzsRe6J5H0F_GNg</t>
        </is>
      </c>
    </row>
    <row r="1048">
      <c r="A1048" s="9" t="n">
        <v>1044</v>
      </c>
      <c r="B1048" s="9" t="inlineStr">
        <is>
          <t>Hyderabad</t>
        </is>
      </c>
      <c r="C1048" s="9" t="inlineStr">
        <is>
          <t>Hyderabad</t>
        </is>
      </c>
      <c r="D1048" s="9" t="inlineStr">
        <is>
          <t>Telangana</t>
        </is>
      </c>
      <c r="E1048" s="9" t="inlineStr">
        <is>
          <t>India</t>
        </is>
      </c>
      <c r="F1048" s="9" t="n">
        <v>1</v>
      </c>
      <c r="G1048" s="9" t="n">
        <v>1</v>
      </c>
      <c r="H1048" s="9" t="n">
        <v>1</v>
      </c>
      <c r="I1048" s="10" t="n">
        <v>43010</v>
      </c>
      <c r="J1048" s="10" t="n">
        <v>43010</v>
      </c>
      <c r="K1048" s="9" t="n">
        <v>17.39233</v>
      </c>
      <c r="L1048" s="9" t="n">
        <v>78.46996</v>
      </c>
      <c r="M1048" s="9" t="inlineStr">
        <is>
          <t>https://www.google.com/maps/place/?q=place_id:ChIJnwO2rHyXyzsRZOOMdWILNOs</t>
        </is>
      </c>
    </row>
    <row r="1049">
      <c r="A1049" s="9" t="n">
        <v>1045</v>
      </c>
      <c r="B1049" s="9" t="inlineStr">
        <is>
          <t>Patancheru</t>
        </is>
      </c>
      <c r="C1049" s="9" t="inlineStr">
        <is>
          <t>Hyderabad</t>
        </is>
      </c>
      <c r="D1049" s="9" t="inlineStr">
        <is>
          <t>Telangana</t>
        </is>
      </c>
      <c r="E1049" s="9" t="inlineStr">
        <is>
          <t>India</t>
        </is>
      </c>
      <c r="F1049" s="9" t="n">
        <v>1</v>
      </c>
      <c r="G1049" s="9" t="n">
        <v>1</v>
      </c>
      <c r="H1049" s="9" t="n">
        <v>1</v>
      </c>
      <c r="I1049" s="10" t="n">
        <v>43016</v>
      </c>
      <c r="J1049" s="10" t="n">
        <v>43016</v>
      </c>
      <c r="K1049" s="9" t="n">
        <v>17.53809</v>
      </c>
      <c r="L1049" s="9" t="n">
        <v>78.24139</v>
      </c>
      <c r="M1049" s="9" t="inlineStr">
        <is>
          <t>https://www.google.com/maps/place/?q=place_id:ChIJO2PQaVnyyzsRsh-uK4hkOcE</t>
        </is>
      </c>
    </row>
    <row r="1050">
      <c r="A1050" s="9" t="n">
        <v>1046</v>
      </c>
      <c r="B1050" s="9" t="inlineStr">
        <is>
          <t>Singapur</t>
        </is>
      </c>
      <c r="C1050" s="9" t="inlineStr">
        <is>
          <t>Hyderabad</t>
        </is>
      </c>
      <c r="D1050" s="9" t="inlineStr">
        <is>
          <t>Telangana</t>
        </is>
      </c>
      <c r="E1050" s="9" t="inlineStr">
        <is>
          <t>India</t>
        </is>
      </c>
      <c r="F1050" s="9" t="n">
        <v>1</v>
      </c>
      <c r="G1050" s="9" t="n">
        <v>1</v>
      </c>
      <c r="H1050" s="9" t="n">
        <v>1</v>
      </c>
      <c r="I1050" s="10" t="n">
        <v>43044</v>
      </c>
      <c r="J1050" s="10" t="n">
        <v>43044</v>
      </c>
      <c r="K1050" s="9" t="n">
        <v>17.43491</v>
      </c>
      <c r="L1050" s="9" t="n">
        <v>78.17917</v>
      </c>
      <c r="M1050" s="9" t="inlineStr">
        <is>
          <t>https://www.google.com/maps/place/?q=place_id:ChIJsXNUCL3uyzsRLkS0R2fdbfs</t>
        </is>
      </c>
    </row>
    <row r="1051">
      <c r="A1051" s="9" t="n">
        <v>1047</v>
      </c>
      <c r="B1051" s="9" t="inlineStr">
        <is>
          <t>Serilingampalle</t>
        </is>
      </c>
      <c r="C1051" s="9" t="inlineStr">
        <is>
          <t>Hyderabad</t>
        </is>
      </c>
      <c r="D1051" s="9" t="inlineStr">
        <is>
          <t>Telangana</t>
        </is>
      </c>
      <c r="E1051" s="9" t="inlineStr">
        <is>
          <t>India</t>
        </is>
      </c>
      <c r="F1051" s="9" t="n">
        <v>1</v>
      </c>
      <c r="G1051" s="9" t="n">
        <v>1</v>
      </c>
      <c r="H1051" s="9" t="n">
        <v>1</v>
      </c>
      <c r="I1051" s="10" t="n">
        <v>43063</v>
      </c>
      <c r="J1051" s="10" t="n">
        <v>43063</v>
      </c>
      <c r="K1051" s="9" t="n">
        <v>17.47795</v>
      </c>
      <c r="L1051" s="9" t="n">
        <v>78.31995000000001</v>
      </c>
      <c r="M1051" s="9" t="inlineStr">
        <is>
          <t>https://www.google.com/maps/place/?q=place_id:ChIJZW4p7OiSyzsRnVlyqXf4a7Q</t>
        </is>
      </c>
    </row>
    <row r="1052">
      <c r="A1052" s="9" t="n">
        <v>1048</v>
      </c>
      <c r="B1052" s="9" t="inlineStr">
        <is>
          <t>Serilingampalle</t>
        </is>
      </c>
      <c r="C1052" s="9" t="inlineStr">
        <is>
          <t>Hyderabad</t>
        </is>
      </c>
      <c r="D1052" s="9" t="inlineStr">
        <is>
          <t>Telangana</t>
        </is>
      </c>
      <c r="E1052" s="9" t="inlineStr">
        <is>
          <t>India</t>
        </is>
      </c>
      <c r="F1052" s="9" t="n">
        <v>1</v>
      </c>
      <c r="G1052" s="9" t="n">
        <v>1</v>
      </c>
      <c r="H1052" s="9" t="n">
        <v>1</v>
      </c>
      <c r="I1052" s="10" t="n">
        <v>43070</v>
      </c>
      <c r="J1052" s="10" t="n">
        <v>43070</v>
      </c>
      <c r="K1052" s="9" t="n">
        <v>17.50371</v>
      </c>
      <c r="L1052" s="9" t="n">
        <v>78.30922</v>
      </c>
      <c r="M1052" s="9" t="inlineStr">
        <is>
          <t>https://www.google.com/maps/place/?q=place_id:ChIJQRHzE6SSyzsRlUH7Qxi8PPA</t>
        </is>
      </c>
    </row>
    <row r="1053">
      <c r="A1053" s="9" t="n">
        <v>1049</v>
      </c>
      <c r="B1053" s="9" t="inlineStr">
        <is>
          <t>Kukatpally</t>
        </is>
      </c>
      <c r="C1053" s="9" t="inlineStr">
        <is>
          <t>Hyderabad</t>
        </is>
      </c>
      <c r="D1053" s="9" t="inlineStr">
        <is>
          <t>Telangana</t>
        </is>
      </c>
      <c r="E1053" s="9" t="inlineStr">
        <is>
          <t>India</t>
        </is>
      </c>
      <c r="F1053" s="9" t="n">
        <v>1</v>
      </c>
      <c r="G1053" s="9" t="n">
        <v>1</v>
      </c>
      <c r="H1053" s="9" t="n">
        <v>1</v>
      </c>
      <c r="I1053" s="10" t="n">
        <v>43096</v>
      </c>
      <c r="J1053" s="10" t="n">
        <v>43096</v>
      </c>
      <c r="K1053" s="9" t="n">
        <v>17.46402</v>
      </c>
      <c r="L1053" s="9" t="n">
        <v>78.43006</v>
      </c>
      <c r="M1053" s="9" t="inlineStr">
        <is>
          <t>https://www.google.com/maps/place/?q=place_id:ChIJOa1Vi_2QyzsRjM_DvwimxUw</t>
        </is>
      </c>
    </row>
    <row r="1054">
      <c r="A1054" s="9" t="n">
        <v>1050</v>
      </c>
      <c r="B1054" s="9" t="inlineStr">
        <is>
          <t>Kukatpally</t>
        </is>
      </c>
      <c r="C1054" s="9" t="inlineStr">
        <is>
          <t>Hyderabad</t>
        </is>
      </c>
      <c r="D1054" s="9" t="inlineStr">
        <is>
          <t>Telangana</t>
        </is>
      </c>
      <c r="E1054" s="9" t="inlineStr">
        <is>
          <t>India</t>
        </is>
      </c>
      <c r="F1054" s="9" t="n">
        <v>1</v>
      </c>
      <c r="G1054" s="9" t="n">
        <v>1</v>
      </c>
      <c r="H1054" s="9" t="n">
        <v>1</v>
      </c>
      <c r="I1054" s="10" t="n">
        <v>43096</v>
      </c>
      <c r="J1054" s="10" t="n">
        <v>43096</v>
      </c>
      <c r="K1054" s="9" t="n">
        <v>17.46989</v>
      </c>
      <c r="L1054" s="9" t="n">
        <v>78.42734</v>
      </c>
      <c r="M1054" s="9" t="inlineStr">
        <is>
          <t>https://www.google.com/maps/place/?q=place_id:ChIJF_0QhwCRyzsRLro6vDNIDyY</t>
        </is>
      </c>
    </row>
    <row r="1055">
      <c r="A1055" s="9" t="n">
        <v>1051</v>
      </c>
      <c r="B1055" s="9" t="inlineStr">
        <is>
          <t>Kukatpally</t>
        </is>
      </c>
      <c r="C1055" s="9" t="inlineStr">
        <is>
          <t>Hyderabad</t>
        </is>
      </c>
      <c r="D1055" s="9" t="inlineStr">
        <is>
          <t>Telangana</t>
        </is>
      </c>
      <c r="E1055" s="9" t="inlineStr">
        <is>
          <t>India</t>
        </is>
      </c>
      <c r="F1055" s="9" t="n">
        <v>1</v>
      </c>
      <c r="G1055" s="9" t="n">
        <v>1</v>
      </c>
      <c r="H1055" s="9" t="n">
        <v>1</v>
      </c>
      <c r="I1055" s="10" t="n">
        <v>43096</v>
      </c>
      <c r="J1055" s="10" t="n">
        <v>43096</v>
      </c>
      <c r="K1055" s="9" t="n">
        <v>17.51183</v>
      </c>
      <c r="L1055" s="9" t="n">
        <v>78.37862</v>
      </c>
      <c r="M1055" s="9" t="inlineStr">
        <is>
          <t>https://www.google.com/maps/place/?q=place_id:ChIJy5DdKgGSyzsRFjmv0ms3IB8</t>
        </is>
      </c>
    </row>
    <row r="1056">
      <c r="A1056" s="9" t="n">
        <v>1052</v>
      </c>
      <c r="B1056" s="9" t="inlineStr">
        <is>
          <t>Malkajgiri</t>
        </is>
      </c>
      <c r="C1056" s="9" t="inlineStr">
        <is>
          <t>Hyderabad</t>
        </is>
      </c>
      <c r="D1056" s="9" t="inlineStr">
        <is>
          <t>Telangana</t>
        </is>
      </c>
      <c r="E1056" s="9" t="inlineStr">
        <is>
          <t>India</t>
        </is>
      </c>
      <c r="F1056" s="9" t="n">
        <v>1</v>
      </c>
      <c r="G1056" s="9" t="n">
        <v>1</v>
      </c>
      <c r="H1056" s="9" t="n">
        <v>1</v>
      </c>
      <c r="I1056" s="10" t="n">
        <v>43097</v>
      </c>
      <c r="J1056" s="10" t="n">
        <v>43097</v>
      </c>
      <c r="K1056" s="9" t="n">
        <v>17.43061</v>
      </c>
      <c r="L1056" s="9" t="n">
        <v>78.48865000000001</v>
      </c>
      <c r="M1056" s="9" t="inlineStr">
        <is>
          <t>https://www.google.com/maps/place/?q=place_id:ChIJ-1lIGx2ayzsRXYrIYCQMneA</t>
        </is>
      </c>
    </row>
    <row r="1057">
      <c r="A1057" s="9" t="n">
        <v>1053</v>
      </c>
      <c r="B1057" s="9" t="inlineStr">
        <is>
          <t>Serilingampalle</t>
        </is>
      </c>
      <c r="C1057" s="9" t="inlineStr">
        <is>
          <t>Hyderabad</t>
        </is>
      </c>
      <c r="D1057" s="9" t="inlineStr">
        <is>
          <t>Telangana</t>
        </is>
      </c>
      <c r="E1057" s="9" t="inlineStr">
        <is>
          <t>India</t>
        </is>
      </c>
      <c r="F1057" s="9" t="n">
        <v>1</v>
      </c>
      <c r="G1057" s="9" t="n">
        <v>1</v>
      </c>
      <c r="H1057" s="9" t="n">
        <v>1</v>
      </c>
      <c r="I1057" s="10" t="n">
        <v>43112</v>
      </c>
      <c r="J1057" s="10" t="n">
        <v>43112</v>
      </c>
      <c r="K1057" s="9" t="n">
        <v>17.4819</v>
      </c>
      <c r="L1057" s="9" t="n">
        <v>78.32035</v>
      </c>
      <c r="M1057" s="9" t="inlineStr">
        <is>
          <t>https://www.google.com/maps/place/?q=place_id:ChIJyxLPXemSyzsRmFaLh8bba-8</t>
        </is>
      </c>
    </row>
    <row r="1058">
      <c r="A1058" s="9" t="n">
        <v>1054</v>
      </c>
      <c r="B1058" s="9" t="inlineStr">
        <is>
          <t>Serilingampalle</t>
        </is>
      </c>
      <c r="C1058" s="9" t="inlineStr">
        <is>
          <t>Hyderabad</t>
        </is>
      </c>
      <c r="D1058" s="9" t="inlineStr">
        <is>
          <t>Telangana</t>
        </is>
      </c>
      <c r="E1058" s="9" t="inlineStr">
        <is>
          <t>India</t>
        </is>
      </c>
      <c r="F1058" s="9" t="n">
        <v>1</v>
      </c>
      <c r="G1058" s="9" t="n">
        <v>1</v>
      </c>
      <c r="H1058" s="9" t="n">
        <v>1</v>
      </c>
      <c r="I1058" s="10" t="n">
        <v>43112</v>
      </c>
      <c r="J1058" s="10" t="n">
        <v>43112</v>
      </c>
      <c r="K1058" s="9" t="n">
        <v>17.49276</v>
      </c>
      <c r="L1058" s="9" t="n">
        <v>78.31619000000001</v>
      </c>
      <c r="M1058" s="9" t="inlineStr">
        <is>
          <t>https://www.google.com/maps/place/?q=place_id:ChIJzTMTNbGSyzsRAkdqkj_rJbg</t>
        </is>
      </c>
    </row>
    <row r="1059">
      <c r="A1059" s="9" t="n">
        <v>1055</v>
      </c>
      <c r="B1059" s="9" t="inlineStr">
        <is>
          <t>Hyderabad</t>
        </is>
      </c>
      <c r="C1059" s="9" t="inlineStr">
        <is>
          <t>Hyderabad</t>
        </is>
      </c>
      <c r="D1059" s="9" t="inlineStr">
        <is>
          <t>Telangana</t>
        </is>
      </c>
      <c r="E1059" s="9" t="inlineStr">
        <is>
          <t>India</t>
        </is>
      </c>
      <c r="F1059" s="9" t="n">
        <v>1</v>
      </c>
      <c r="G1059" s="9" t="n">
        <v>1</v>
      </c>
      <c r="H1059" s="9" t="n">
        <v>1</v>
      </c>
      <c r="I1059" s="10" t="n">
        <v>43123</v>
      </c>
      <c r="J1059" s="10" t="n">
        <v>43123</v>
      </c>
      <c r="K1059" s="9" t="n">
        <v>17.41932</v>
      </c>
      <c r="L1059" s="9" t="n">
        <v>78.41231999999999</v>
      </c>
      <c r="M1059" s="9" t="inlineStr">
        <is>
          <t>https://www.google.com/maps/place/?q=place_id:ChIJPbpUi8uWyzsRO8ysSVAnQ60</t>
        </is>
      </c>
    </row>
    <row r="1060">
      <c r="A1060" s="9" t="n">
        <v>1056</v>
      </c>
      <c r="B1060" s="9" t="inlineStr">
        <is>
          <t>Hyderabad</t>
        </is>
      </c>
      <c r="C1060" s="9" t="inlineStr">
        <is>
          <t>Hyderabad</t>
        </is>
      </c>
      <c r="D1060" s="9" t="inlineStr">
        <is>
          <t>Telangana</t>
        </is>
      </c>
      <c r="E1060" s="9" t="inlineStr">
        <is>
          <t>India</t>
        </is>
      </c>
      <c r="F1060" s="9" t="n">
        <v>1</v>
      </c>
      <c r="G1060" s="9" t="n">
        <v>1</v>
      </c>
      <c r="H1060" s="9" t="n">
        <v>1</v>
      </c>
      <c r="I1060" s="10" t="n">
        <v>43123</v>
      </c>
      <c r="J1060" s="10" t="n">
        <v>43123</v>
      </c>
      <c r="K1060" s="9" t="n">
        <v>17.40423</v>
      </c>
      <c r="L1060" s="9" t="n">
        <v>78.47624999999999</v>
      </c>
      <c r="M1060" s="9" t="inlineStr">
        <is>
          <t>https://www.google.com/maps/place/?q=place_id:ChIJ_5WMCeCZyzsRpizb5Ccizx8</t>
        </is>
      </c>
    </row>
    <row r="1061">
      <c r="A1061" s="9" t="n">
        <v>1057</v>
      </c>
      <c r="B1061" s="9" t="inlineStr">
        <is>
          <t>Hyderabad</t>
        </is>
      </c>
      <c r="C1061" s="9" t="inlineStr">
        <is>
          <t>Hyderabad</t>
        </is>
      </c>
      <c r="D1061" s="9" t="inlineStr">
        <is>
          <t>Telangana</t>
        </is>
      </c>
      <c r="E1061" s="9" t="inlineStr">
        <is>
          <t>India</t>
        </is>
      </c>
      <c r="F1061" s="9" t="n">
        <v>1</v>
      </c>
      <c r="G1061" s="9" t="n">
        <v>1</v>
      </c>
      <c r="H1061" s="9" t="n">
        <v>1</v>
      </c>
      <c r="I1061" s="10" t="n">
        <v>43123</v>
      </c>
      <c r="J1061" s="10" t="n">
        <v>43123</v>
      </c>
      <c r="K1061" s="9" t="n">
        <v>17.37706</v>
      </c>
      <c r="L1061" s="9" t="n">
        <v>78.4748</v>
      </c>
      <c r="M1061" s="9" t="inlineStr">
        <is>
          <t>https://www.google.com/maps/place/?q=place_id:ChIJyVXOgoCXyzsRrkGgJIjgZeU</t>
        </is>
      </c>
    </row>
    <row r="1062">
      <c r="A1062" s="9" t="n">
        <v>1058</v>
      </c>
      <c r="B1062" s="9" t="inlineStr">
        <is>
          <t>Malkajgiri</t>
        </is>
      </c>
      <c r="C1062" s="9" t="inlineStr">
        <is>
          <t>Hyderabad</t>
        </is>
      </c>
      <c r="D1062" s="9" t="inlineStr">
        <is>
          <t>Telangana</t>
        </is>
      </c>
      <c r="E1062" s="9" t="inlineStr">
        <is>
          <t>India</t>
        </is>
      </c>
      <c r="F1062" s="9" t="n">
        <v>1</v>
      </c>
      <c r="G1062" s="9" t="n">
        <v>1</v>
      </c>
      <c r="H1062" s="9" t="n">
        <v>1</v>
      </c>
      <c r="I1062" s="10" t="n">
        <v>43131</v>
      </c>
      <c r="J1062" s="10" t="n">
        <v>43131</v>
      </c>
      <c r="K1062" s="9" t="n">
        <v>17.44096</v>
      </c>
      <c r="L1062" s="9" t="n">
        <v>78.49106</v>
      </c>
      <c r="M1062" s="9" t="inlineStr">
        <is>
          <t>https://www.google.com/maps/place/?q=place_id:ChIJeUZ1vBCayzsRSBap7rB_VRQ</t>
        </is>
      </c>
    </row>
    <row r="1063">
      <c r="A1063" s="9" t="n">
        <v>1059</v>
      </c>
      <c r="B1063" s="9" t="inlineStr">
        <is>
          <t>Hyderabad</t>
        </is>
      </c>
      <c r="C1063" s="9" t="inlineStr">
        <is>
          <t>Hyderabad</t>
        </is>
      </c>
      <c r="D1063" s="9" t="inlineStr">
        <is>
          <t>Telangana</t>
        </is>
      </c>
      <c r="E1063" s="9" t="inlineStr">
        <is>
          <t>India</t>
        </is>
      </c>
      <c r="F1063" s="9" t="n">
        <v>1</v>
      </c>
      <c r="G1063" s="9" t="n">
        <v>1</v>
      </c>
      <c r="H1063" s="9" t="n">
        <v>1</v>
      </c>
      <c r="I1063" s="10" t="n">
        <v>43131</v>
      </c>
      <c r="J1063" s="10" t="n">
        <v>43131</v>
      </c>
      <c r="K1063" s="9" t="n">
        <v>17.40787</v>
      </c>
      <c r="L1063" s="9" t="n">
        <v>78.45032</v>
      </c>
      <c r="M1063" s="9" t="inlineStr">
        <is>
          <t>https://www.google.com/maps/place/?q=place_id:ChIJsw-OVDmXyzsRaOpR_xZyiVY</t>
        </is>
      </c>
    </row>
    <row r="1064">
      <c r="A1064" s="9" t="n">
        <v>1060</v>
      </c>
      <c r="B1064" s="9" t="inlineStr">
        <is>
          <t>Patancheru</t>
        </is>
      </c>
      <c r="C1064" s="9" t="inlineStr">
        <is>
          <t>Hyderabad</t>
        </is>
      </c>
      <c r="D1064" s="9" t="inlineStr">
        <is>
          <t>Telangana</t>
        </is>
      </c>
      <c r="E1064" s="9" t="inlineStr">
        <is>
          <t>India</t>
        </is>
      </c>
      <c r="F1064" s="9" t="n">
        <v>1</v>
      </c>
      <c r="G1064" s="9" t="n">
        <v>1</v>
      </c>
      <c r="H1064" s="9" t="n">
        <v>1</v>
      </c>
      <c r="I1064" s="10" t="n">
        <v>43137</v>
      </c>
      <c r="J1064" s="10" t="n">
        <v>43137</v>
      </c>
      <c r="K1064" s="9" t="n">
        <v>17.53073</v>
      </c>
      <c r="L1064" s="9" t="n">
        <v>78.25851</v>
      </c>
      <c r="M1064" s="9" t="inlineStr">
        <is>
          <t>https://www.google.com/maps/place/?q=place_id:ChIJD2nQU43yyzsRCT6lHt9m8wg</t>
        </is>
      </c>
    </row>
    <row r="1065">
      <c r="A1065" s="9" t="n">
        <v>1061</v>
      </c>
      <c r="B1065" s="9" t="inlineStr">
        <is>
          <t>Hyderabad</t>
        </is>
      </c>
      <c r="C1065" s="9" t="inlineStr">
        <is>
          <t>Hyderabad</t>
        </is>
      </c>
      <c r="D1065" s="9" t="inlineStr">
        <is>
          <t>Telangana</t>
        </is>
      </c>
      <c r="E1065" s="9" t="inlineStr">
        <is>
          <t>India</t>
        </is>
      </c>
      <c r="F1065" s="9" t="n">
        <v>1</v>
      </c>
      <c r="G1065" s="9" t="n">
        <v>1</v>
      </c>
      <c r="H1065" s="9" t="n">
        <v>1</v>
      </c>
      <c r="I1065" s="10" t="n">
        <v>43143</v>
      </c>
      <c r="J1065" s="10" t="n">
        <v>43143</v>
      </c>
      <c r="K1065" s="9" t="n">
        <v>17.41706</v>
      </c>
      <c r="L1065" s="9" t="n">
        <v>78.41553</v>
      </c>
      <c r="M1065" s="9" t="inlineStr">
        <is>
          <t>https://www.google.com/maps/place/?q=place_id:ChIJE7zlPTORyzsR6iVEfDY-5XE</t>
        </is>
      </c>
    </row>
    <row r="1066">
      <c r="A1066" s="9" t="n">
        <v>1062</v>
      </c>
      <c r="B1066" s="9" t="inlineStr">
        <is>
          <t>Hyderabad</t>
        </is>
      </c>
      <c r="C1066" s="9" t="inlineStr">
        <is>
          <t>Hyderabad</t>
        </is>
      </c>
      <c r="D1066" s="9" t="inlineStr">
        <is>
          <t>Telangana</t>
        </is>
      </c>
      <c r="E1066" s="9" t="inlineStr">
        <is>
          <t>India</t>
        </is>
      </c>
      <c r="F1066" s="9" t="n">
        <v>1</v>
      </c>
      <c r="G1066" s="9" t="n">
        <v>1</v>
      </c>
      <c r="H1066" s="9" t="n">
        <v>1</v>
      </c>
      <c r="I1066" s="10" t="n">
        <v>43143</v>
      </c>
      <c r="J1066" s="10" t="n">
        <v>43143</v>
      </c>
      <c r="K1066" s="9" t="n">
        <v>17.4146</v>
      </c>
      <c r="L1066" s="9" t="n">
        <v>78.40858</v>
      </c>
      <c r="M1066" s="9" t="inlineStr">
        <is>
          <t>https://www.google.com/maps/place/?q=place_id:ChIJ5U4dS8iWyzsRmreFfu5fYgg</t>
        </is>
      </c>
    </row>
    <row r="1067">
      <c r="A1067" s="9" t="n">
        <v>1063</v>
      </c>
      <c r="B1067" s="9" t="inlineStr">
        <is>
          <t>Kukatpally</t>
        </is>
      </c>
      <c r="C1067" s="9" t="inlineStr">
        <is>
          <t>Hyderabad</t>
        </is>
      </c>
      <c r="D1067" s="9" t="inlineStr">
        <is>
          <t>Telangana</t>
        </is>
      </c>
      <c r="E1067" s="9" t="inlineStr">
        <is>
          <t>India</t>
        </is>
      </c>
      <c r="F1067" s="9" t="n">
        <v>1</v>
      </c>
      <c r="G1067" s="9" t="n">
        <v>1</v>
      </c>
      <c r="H1067" s="9" t="n">
        <v>1</v>
      </c>
      <c r="I1067" s="10" t="n">
        <v>43143</v>
      </c>
      <c r="J1067" s="10" t="n">
        <v>43143</v>
      </c>
      <c r="K1067" s="9" t="n">
        <v>17.44732</v>
      </c>
      <c r="L1067" s="9" t="n">
        <v>78.43841</v>
      </c>
      <c r="M1067" s="9" t="inlineStr">
        <is>
          <t>https://www.google.com/maps/place/?q=place_id:ChIJ1dG1dd2QyzsRP76U2cEF8EQ</t>
        </is>
      </c>
    </row>
    <row r="1068">
      <c r="A1068" s="9" t="n">
        <v>1064</v>
      </c>
      <c r="B1068" s="9" t="inlineStr">
        <is>
          <t>Hyderabad</t>
        </is>
      </c>
      <c r="C1068" s="9" t="inlineStr">
        <is>
          <t>Hyderabad</t>
        </is>
      </c>
      <c r="D1068" s="9" t="inlineStr">
        <is>
          <t>Telangana</t>
        </is>
      </c>
      <c r="E1068" s="9" t="inlineStr">
        <is>
          <t>India</t>
        </is>
      </c>
      <c r="F1068" s="9" t="n">
        <v>1</v>
      </c>
      <c r="G1068" s="9" t="n">
        <v>1</v>
      </c>
      <c r="H1068" s="9" t="n">
        <v>1</v>
      </c>
      <c r="I1068" s="10" t="n">
        <v>43144</v>
      </c>
      <c r="J1068" s="10" t="n">
        <v>43144</v>
      </c>
      <c r="K1068" s="9" t="n">
        <v>17.39173</v>
      </c>
      <c r="L1068" s="9" t="n">
        <v>78.47703</v>
      </c>
      <c r="M1068" s="9" t="inlineStr">
        <is>
          <t>https://www.google.com/maps/place/?q=place_id:ChIJxwozzBSZyzsRiwULSfN7Fxk</t>
        </is>
      </c>
    </row>
    <row r="1069">
      <c r="A1069" s="9" t="n">
        <v>1065</v>
      </c>
      <c r="B1069" s="9" t="inlineStr">
        <is>
          <t>Malkajgiri</t>
        </is>
      </c>
      <c r="C1069" s="9" t="inlineStr">
        <is>
          <t>Hyderabad</t>
        </is>
      </c>
      <c r="D1069" s="9" t="inlineStr">
        <is>
          <t>Telangana</t>
        </is>
      </c>
      <c r="E1069" s="9" t="inlineStr">
        <is>
          <t>India</t>
        </is>
      </c>
      <c r="F1069" s="9" t="n">
        <v>1</v>
      </c>
      <c r="G1069" s="9" t="n">
        <v>1</v>
      </c>
      <c r="H1069" s="9" t="n">
        <v>1</v>
      </c>
      <c r="I1069" s="10" t="n">
        <v>43145</v>
      </c>
      <c r="J1069" s="10" t="n">
        <v>43145</v>
      </c>
      <c r="K1069" s="9" t="n">
        <v>17.43819</v>
      </c>
      <c r="L1069" s="9" t="n">
        <v>78.49997</v>
      </c>
      <c r="M1069" s="9" t="inlineStr">
        <is>
          <t>https://www.google.com/maps/place/?q=place_id:ChIJIZ0V8CKayzsR5vjV-qOmdaE</t>
        </is>
      </c>
    </row>
    <row r="1070">
      <c r="A1070" s="9" t="n">
        <v>1066</v>
      </c>
      <c r="B1070" s="9" t="inlineStr">
        <is>
          <t>Hyderabad</t>
        </is>
      </c>
      <c r="C1070" s="9" t="inlineStr">
        <is>
          <t>Hyderabad</t>
        </is>
      </c>
      <c r="D1070" s="9" t="inlineStr">
        <is>
          <t>Telangana</t>
        </is>
      </c>
      <c r="E1070" s="9" t="inlineStr">
        <is>
          <t>India</t>
        </is>
      </c>
      <c r="F1070" s="9" t="n">
        <v>1</v>
      </c>
      <c r="G1070" s="9" t="n">
        <v>1</v>
      </c>
      <c r="H1070" s="9" t="n">
        <v>1</v>
      </c>
      <c r="I1070" s="10" t="n">
        <v>43146</v>
      </c>
      <c r="J1070" s="10" t="n">
        <v>43146</v>
      </c>
      <c r="K1070" s="9" t="n">
        <v>17.42101</v>
      </c>
      <c r="L1070" s="9" t="n">
        <v>78.45659999999999</v>
      </c>
      <c r="M1070" s="9" t="inlineStr">
        <is>
          <t>https://www.google.com/maps/place/?q=place_id:ChIJ_2cYEOqTyzsRyLFY5OC9LR8</t>
        </is>
      </c>
    </row>
    <row r="1071">
      <c r="A1071" s="9" t="n">
        <v>1067</v>
      </c>
      <c r="B1071" s="9" t="inlineStr">
        <is>
          <t>Hyderabad</t>
        </is>
      </c>
      <c r="C1071" s="9" t="inlineStr">
        <is>
          <t>Hyderabad</t>
        </is>
      </c>
      <c r="D1071" s="9" t="inlineStr">
        <is>
          <t>Telangana</t>
        </is>
      </c>
      <c r="E1071" s="9" t="inlineStr">
        <is>
          <t>India</t>
        </is>
      </c>
      <c r="F1071" s="9" t="n">
        <v>1</v>
      </c>
      <c r="G1071" s="9" t="n">
        <v>1</v>
      </c>
      <c r="H1071" s="9" t="n">
        <v>1</v>
      </c>
      <c r="I1071" s="10" t="n">
        <v>43147</v>
      </c>
      <c r="J1071" s="10" t="n">
        <v>43147</v>
      </c>
      <c r="K1071" s="9" t="n">
        <v>17.39161</v>
      </c>
      <c r="L1071" s="9" t="n">
        <v>78.43107999999999</v>
      </c>
      <c r="M1071" s="9" t="inlineStr">
        <is>
          <t>https://www.google.com/maps/place/?q=place_id:ChIJRx7eFB2XyzsRtg5GYqUCifw</t>
        </is>
      </c>
    </row>
    <row r="1072">
      <c r="A1072" s="9" t="n">
        <v>1068</v>
      </c>
      <c r="B1072" s="9" t="inlineStr">
        <is>
          <t>Hyderabad</t>
        </is>
      </c>
      <c r="C1072" s="9" t="inlineStr">
        <is>
          <t>Hyderabad</t>
        </is>
      </c>
      <c r="D1072" s="9" t="inlineStr">
        <is>
          <t>Telangana</t>
        </is>
      </c>
      <c r="E1072" s="9" t="inlineStr">
        <is>
          <t>India</t>
        </is>
      </c>
      <c r="F1072" s="9" t="n">
        <v>1</v>
      </c>
      <c r="G1072" s="9" t="n">
        <v>1</v>
      </c>
      <c r="H1072" s="9" t="n">
        <v>1</v>
      </c>
      <c r="I1072" s="10" t="n">
        <v>43167</v>
      </c>
      <c r="J1072" s="10" t="n">
        <v>43167</v>
      </c>
      <c r="K1072" s="9" t="n">
        <v>17.42449</v>
      </c>
      <c r="L1072" s="9" t="n">
        <v>78.42321</v>
      </c>
      <c r="M1072" s="9" t="inlineStr">
        <is>
          <t>https://www.google.com/maps/place/?q=place_id:ChIJw9IQsyyRyzsR25-XTSR2lGY</t>
        </is>
      </c>
    </row>
    <row r="1073">
      <c r="A1073" s="9" t="n">
        <v>1069</v>
      </c>
      <c r="B1073" s="9" t="inlineStr">
        <is>
          <t>Hyderabad</t>
        </is>
      </c>
      <c r="C1073" s="9" t="inlineStr">
        <is>
          <t>Hyderabad</t>
        </is>
      </c>
      <c r="D1073" s="9" t="inlineStr">
        <is>
          <t>Telangana</t>
        </is>
      </c>
      <c r="E1073" s="9" t="inlineStr">
        <is>
          <t>India</t>
        </is>
      </c>
      <c r="F1073" s="9" t="n">
        <v>1</v>
      </c>
      <c r="G1073" s="9" t="n">
        <v>1</v>
      </c>
      <c r="H1073" s="9" t="n">
        <v>1</v>
      </c>
      <c r="I1073" s="10" t="n">
        <v>43182</v>
      </c>
      <c r="J1073" s="10" t="n">
        <v>43182</v>
      </c>
      <c r="K1073" s="9" t="n">
        <v>17.41389</v>
      </c>
      <c r="L1073" s="9" t="n">
        <v>78.43227</v>
      </c>
      <c r="M1073" s="9" t="inlineStr">
        <is>
          <t>https://www.google.com/maps/place/?q=place_id:ChIJcUO6fCiXyzsRzgQXtLXMVWA</t>
        </is>
      </c>
    </row>
    <row r="1074">
      <c r="A1074" s="9" t="n">
        <v>1070</v>
      </c>
      <c r="B1074" s="9" t="inlineStr">
        <is>
          <t>Hyderabad</t>
        </is>
      </c>
      <c r="C1074" s="9" t="inlineStr">
        <is>
          <t>Hyderabad</t>
        </is>
      </c>
      <c r="D1074" s="9" t="inlineStr">
        <is>
          <t>Telangana</t>
        </is>
      </c>
      <c r="E1074" s="9" t="inlineStr">
        <is>
          <t>India</t>
        </is>
      </c>
      <c r="F1074" s="9" t="n">
        <v>1</v>
      </c>
      <c r="G1074" s="9" t="n">
        <v>1</v>
      </c>
      <c r="H1074" s="9" t="n">
        <v>1</v>
      </c>
      <c r="I1074" s="10" t="n">
        <v>43182</v>
      </c>
      <c r="J1074" s="10" t="n">
        <v>43182</v>
      </c>
      <c r="K1074" s="9" t="n">
        <v>17.40829</v>
      </c>
      <c r="L1074" s="9" t="n">
        <v>78.42509</v>
      </c>
      <c r="M1074" s="9" t="inlineStr">
        <is>
          <t>https://www.google.com/maps/place/?q=place_id:ChIJWbUnQtmWyzsRC2LfhYcYL0g</t>
        </is>
      </c>
    </row>
    <row r="1075">
      <c r="A1075" s="9" t="n">
        <v>1071</v>
      </c>
      <c r="B1075" s="9" t="inlineStr">
        <is>
          <t>Hyderabad</t>
        </is>
      </c>
      <c r="C1075" s="9" t="inlineStr">
        <is>
          <t>Hyderabad</t>
        </is>
      </c>
      <c r="D1075" s="9" t="inlineStr">
        <is>
          <t>Telangana</t>
        </is>
      </c>
      <c r="E1075" s="9" t="inlineStr">
        <is>
          <t>India</t>
        </is>
      </c>
      <c r="F1075" s="9" t="n">
        <v>1</v>
      </c>
      <c r="G1075" s="9" t="n">
        <v>1</v>
      </c>
      <c r="H1075" s="9" t="n">
        <v>1</v>
      </c>
      <c r="I1075" s="10" t="n">
        <v>43322</v>
      </c>
      <c r="J1075" s="10" t="n">
        <v>43322</v>
      </c>
      <c r="K1075" s="9" t="n">
        <v>17.40666</v>
      </c>
      <c r="L1075" s="9" t="n">
        <v>78.46055</v>
      </c>
      <c r="M1075" s="9" t="inlineStr">
        <is>
          <t>https://www.google.com/maps/place/?q=place_id:ChIJwUTUrkOXyzsRATlI-sVviyE</t>
        </is>
      </c>
    </row>
    <row r="1076">
      <c r="A1076" s="9" t="n">
        <v>1072</v>
      </c>
      <c r="B1076" s="9" t="inlineStr">
        <is>
          <t>Gaddi Annaram</t>
        </is>
      </c>
      <c r="C1076" s="9" t="inlineStr">
        <is>
          <t>Hyderabad</t>
        </is>
      </c>
      <c r="D1076" s="9" t="inlineStr">
        <is>
          <t>Telangana</t>
        </is>
      </c>
      <c r="E1076" s="9" t="inlineStr">
        <is>
          <t>India</t>
        </is>
      </c>
      <c r="F1076" s="9" t="n">
        <v>1</v>
      </c>
      <c r="G1076" s="9" t="n">
        <v>1</v>
      </c>
      <c r="H1076" s="9" t="n">
        <v>1</v>
      </c>
      <c r="I1076" s="10" t="n">
        <v>43327</v>
      </c>
      <c r="J1076" s="10" t="n">
        <v>43327</v>
      </c>
      <c r="K1076" s="9" t="n">
        <v>17.29193</v>
      </c>
      <c r="L1076" s="9" t="n">
        <v>78.49343</v>
      </c>
      <c r="M1076" s="9" t="inlineStr">
        <is>
          <t>https://www.google.com/maps/place/?q=place_id:ChIJk46c3t6iyzsRScHYOGDUerE</t>
        </is>
      </c>
    </row>
    <row r="1077">
      <c r="A1077" s="9" t="n">
        <v>1073</v>
      </c>
      <c r="B1077" s="9" t="inlineStr">
        <is>
          <t>Hyderabad</t>
        </is>
      </c>
      <c r="C1077" s="9" t="inlineStr">
        <is>
          <t>Hyderabad</t>
        </is>
      </c>
      <c r="D1077" s="9" t="inlineStr">
        <is>
          <t>Telangana</t>
        </is>
      </c>
      <c r="E1077" s="9" t="inlineStr">
        <is>
          <t>India</t>
        </is>
      </c>
      <c r="F1077" s="9" t="n">
        <v>1</v>
      </c>
      <c r="G1077" s="9" t="n">
        <v>1</v>
      </c>
      <c r="H1077" s="9" t="n">
        <v>1</v>
      </c>
      <c r="I1077" s="10" t="n">
        <v>43341</v>
      </c>
      <c r="J1077" s="10" t="n">
        <v>43341</v>
      </c>
      <c r="K1077" s="9" t="n">
        <v>17.4079</v>
      </c>
      <c r="L1077" s="9" t="n">
        <v>78.443</v>
      </c>
      <c r="M1077" s="9" t="inlineStr">
        <is>
          <t>https://www.google.com/maps/place/?q=place_id:ChIJh3tzgzyXyzsRq-kl5lnzsC8</t>
        </is>
      </c>
    </row>
    <row r="1078">
      <c r="A1078" s="9" t="n">
        <v>1074</v>
      </c>
      <c r="B1078" s="9" t="inlineStr">
        <is>
          <t>Malkajgiri</t>
        </is>
      </c>
      <c r="C1078" s="9" t="inlineStr">
        <is>
          <t>Hyderabad</t>
        </is>
      </c>
      <c r="D1078" s="9" t="inlineStr">
        <is>
          <t>Telangana</t>
        </is>
      </c>
      <c r="E1078" s="9" t="inlineStr">
        <is>
          <t>India</t>
        </is>
      </c>
      <c r="F1078" s="9" t="n">
        <v>1</v>
      </c>
      <c r="G1078" s="9" t="n">
        <v>1</v>
      </c>
      <c r="H1078" s="9" t="n">
        <v>1</v>
      </c>
      <c r="I1078" s="10" t="n">
        <v>43360</v>
      </c>
      <c r="J1078" s="10" t="n">
        <v>43360</v>
      </c>
      <c r="K1078" s="9" t="n">
        <v>17.44235</v>
      </c>
      <c r="L1078" s="9" t="n">
        <v>78.47548</v>
      </c>
      <c r="M1078" s="9" t="inlineStr">
        <is>
          <t>https://www.google.com/maps/place/?q=place_id:ChIJ-a281gmayzsR0B6I15nxtaI</t>
        </is>
      </c>
    </row>
    <row r="1079">
      <c r="A1079" s="9" t="n">
        <v>1075</v>
      </c>
      <c r="B1079" s="9" t="inlineStr">
        <is>
          <t>Kukatpally</t>
        </is>
      </c>
      <c r="C1079" s="9" t="inlineStr">
        <is>
          <t>Hyderabad</t>
        </is>
      </c>
      <c r="D1079" s="9" t="inlineStr">
        <is>
          <t>Telangana</t>
        </is>
      </c>
      <c r="E1079" s="9" t="inlineStr">
        <is>
          <t>India</t>
        </is>
      </c>
      <c r="F1079" s="9" t="n">
        <v>1</v>
      </c>
      <c r="G1079" s="9" t="n">
        <v>1</v>
      </c>
      <c r="H1079" s="9" t="n">
        <v>1</v>
      </c>
      <c r="I1079" s="10" t="n">
        <v>43360</v>
      </c>
      <c r="J1079" s="10" t="n">
        <v>43360</v>
      </c>
      <c r="K1079" s="9" t="n">
        <v>17.48279</v>
      </c>
      <c r="L1079" s="9" t="n">
        <v>78.39396000000001</v>
      </c>
      <c r="M1079" s="9" t="inlineStr">
        <is>
          <t>https://www.google.com/maps/place/?q=place_id:ChIJq6qqqmORyzsRx-rrjcU7SdI</t>
        </is>
      </c>
    </row>
    <row r="1080">
      <c r="A1080" s="9" t="n">
        <v>1076</v>
      </c>
      <c r="B1080" s="9" t="inlineStr">
        <is>
          <t>Hyderabad</t>
        </is>
      </c>
      <c r="C1080" s="9" t="inlineStr">
        <is>
          <t>Hyderabad</t>
        </is>
      </c>
      <c r="D1080" s="9" t="inlineStr">
        <is>
          <t>Telangana</t>
        </is>
      </c>
      <c r="E1080" s="9" t="inlineStr">
        <is>
          <t>India</t>
        </is>
      </c>
      <c r="F1080" s="9" t="n">
        <v>1</v>
      </c>
      <c r="G1080" s="9" t="n">
        <v>1</v>
      </c>
      <c r="H1080" s="9" t="n">
        <v>1</v>
      </c>
      <c r="I1080" s="10" t="n">
        <v>43361</v>
      </c>
      <c r="J1080" s="10" t="n">
        <v>43361</v>
      </c>
      <c r="K1080" s="9" t="n">
        <v>17.43704</v>
      </c>
      <c r="L1080" s="9" t="n">
        <v>78.46904000000001</v>
      </c>
      <c r="M1080" s="9" t="inlineStr">
        <is>
          <t>https://www.google.com/maps/place/?q=place_id:ChIJ6cnVOK-QyzsRoqTUHFejcSY</t>
        </is>
      </c>
    </row>
    <row r="1081">
      <c r="A1081" s="9" t="n">
        <v>1077</v>
      </c>
      <c r="B1081" s="9" t="inlineStr">
        <is>
          <t>Hyderabad</t>
        </is>
      </c>
      <c r="C1081" s="9" t="inlineStr">
        <is>
          <t>Hyderabad</t>
        </is>
      </c>
      <c r="D1081" s="9" t="inlineStr">
        <is>
          <t>Telangana</t>
        </is>
      </c>
      <c r="E1081" s="9" t="inlineStr">
        <is>
          <t>India</t>
        </is>
      </c>
      <c r="F1081" s="9" t="n">
        <v>1</v>
      </c>
      <c r="G1081" s="9" t="n">
        <v>2</v>
      </c>
      <c r="H1081" s="9" t="n">
        <v>1</v>
      </c>
      <c r="I1081" s="10" t="n">
        <v>43377</v>
      </c>
      <c r="J1081" s="10" t="n">
        <v>43378</v>
      </c>
      <c r="K1081" s="9" t="n">
        <v>17.40957</v>
      </c>
      <c r="L1081" s="9" t="n">
        <v>78.43112000000001</v>
      </c>
      <c r="M1081" s="9" t="inlineStr">
        <is>
          <t>https://www.google.com/maps/place/?q=place_id:ChIJ3zHp8SeXyzsRZLyyFbvNc3w</t>
        </is>
      </c>
    </row>
    <row r="1082">
      <c r="A1082" s="9" t="n">
        <v>1078</v>
      </c>
      <c r="B1082" s="9" t="inlineStr">
        <is>
          <t>Hyderabad</t>
        </is>
      </c>
      <c r="C1082" s="9" t="inlineStr">
        <is>
          <t>Hyderabad</t>
        </is>
      </c>
      <c r="D1082" s="9" t="inlineStr">
        <is>
          <t>Telangana</t>
        </is>
      </c>
      <c r="E1082" s="9" t="inlineStr">
        <is>
          <t>India</t>
        </is>
      </c>
      <c r="F1082" s="9" t="n">
        <v>1</v>
      </c>
      <c r="G1082" s="9" t="n">
        <v>1</v>
      </c>
      <c r="H1082" s="9" t="n">
        <v>1</v>
      </c>
      <c r="I1082" s="10" t="n">
        <v>43381</v>
      </c>
      <c r="J1082" s="10" t="n">
        <v>43381</v>
      </c>
      <c r="K1082" s="9" t="n">
        <v>17.39886</v>
      </c>
      <c r="L1082" s="9" t="n">
        <v>78.44363</v>
      </c>
      <c r="M1082" s="9" t="inlineStr">
        <is>
          <t>https://www.google.com/maps/place/?q=place_id:ChIJLZ-IABeXyzsRokKG9DyuExk</t>
        </is>
      </c>
    </row>
    <row r="1083">
      <c r="A1083" s="9" t="n">
        <v>1079</v>
      </c>
      <c r="B1083" s="9" t="inlineStr">
        <is>
          <t>Malkajgiri</t>
        </is>
      </c>
      <c r="C1083" s="9" t="inlineStr">
        <is>
          <t>Hyderabad</t>
        </is>
      </c>
      <c r="D1083" s="9" t="inlineStr">
        <is>
          <t>Telangana</t>
        </is>
      </c>
      <c r="E1083" s="9" t="inlineStr">
        <is>
          <t>India</t>
        </is>
      </c>
      <c r="F1083" s="9" t="n">
        <v>1</v>
      </c>
      <c r="G1083" s="9" t="n">
        <v>1</v>
      </c>
      <c r="H1083" s="9" t="n">
        <v>1</v>
      </c>
      <c r="I1083" s="10" t="n">
        <v>43385</v>
      </c>
      <c r="J1083" s="10" t="n">
        <v>43385</v>
      </c>
      <c r="K1083" s="9" t="n">
        <v>17.4345</v>
      </c>
      <c r="L1083" s="9" t="n">
        <v>78.50132000000001</v>
      </c>
      <c r="M1083" s="9" t="inlineStr">
        <is>
          <t>https://www.google.com/maps/place/?q=place_id:ChIJyyf2ZCGayzsRdK4JfaleC-Q</t>
        </is>
      </c>
    </row>
    <row r="1084">
      <c r="A1084" s="9" t="n">
        <v>1080</v>
      </c>
      <c r="B1084" s="9" t="inlineStr">
        <is>
          <t>Hyderabad</t>
        </is>
      </c>
      <c r="C1084" s="9" t="inlineStr">
        <is>
          <t>Hyderabad</t>
        </is>
      </c>
      <c r="D1084" s="9" t="inlineStr">
        <is>
          <t>Telangana</t>
        </is>
      </c>
      <c r="E1084" s="9" t="inlineStr">
        <is>
          <t>India</t>
        </is>
      </c>
      <c r="F1084" s="9" t="n">
        <v>1</v>
      </c>
      <c r="G1084" s="9" t="n">
        <v>2</v>
      </c>
      <c r="H1084" s="9" t="n">
        <v>1</v>
      </c>
      <c r="I1084" s="10" t="n">
        <v>43418</v>
      </c>
      <c r="J1084" s="10" t="n">
        <v>43419</v>
      </c>
      <c r="K1084" s="9" t="n">
        <v>17.411</v>
      </c>
      <c r="L1084" s="9" t="n">
        <v>78.43185</v>
      </c>
      <c r="M1084" s="9" t="inlineStr">
        <is>
          <t>https://www.google.com/maps/place/?q=place_id:ChIJxZOhCSSXyzsRdHOGqZI5QEY</t>
        </is>
      </c>
    </row>
    <row r="1085">
      <c r="A1085" s="9" t="n">
        <v>1081</v>
      </c>
      <c r="B1085" s="9" t="inlineStr">
        <is>
          <t>Hyderabad</t>
        </is>
      </c>
      <c r="C1085" s="9" t="inlineStr">
        <is>
          <t>Hyderabad</t>
        </is>
      </c>
      <c r="D1085" s="9" t="inlineStr">
        <is>
          <t>Telangana</t>
        </is>
      </c>
      <c r="E1085" s="9" t="inlineStr">
        <is>
          <t>India</t>
        </is>
      </c>
      <c r="F1085" s="9" t="n">
        <v>1</v>
      </c>
      <c r="G1085" s="9" t="n">
        <v>1</v>
      </c>
      <c r="H1085" s="9" t="n">
        <v>1</v>
      </c>
      <c r="I1085" s="10" t="n">
        <v>43419</v>
      </c>
      <c r="J1085" s="10" t="n">
        <v>43419</v>
      </c>
      <c r="K1085" s="9" t="n">
        <v>17.41511</v>
      </c>
      <c r="L1085" s="9" t="n">
        <v>78.449</v>
      </c>
      <c r="M1085" s="9" t="inlineStr">
        <is>
          <t>https://www.google.com/maps/place/?q=place_id:ChIJFYnPoS6RyzsRv5cDtJRXRgo</t>
        </is>
      </c>
    </row>
    <row r="1086">
      <c r="A1086" s="9" t="n">
        <v>1082</v>
      </c>
      <c r="B1086" s="9" t="inlineStr">
        <is>
          <t>Hyderabad</t>
        </is>
      </c>
      <c r="C1086" s="9" t="inlineStr">
        <is>
          <t>Hyderabad</t>
        </is>
      </c>
      <c r="D1086" s="9" t="inlineStr">
        <is>
          <t>Telangana</t>
        </is>
      </c>
      <c r="E1086" s="9" t="inlineStr">
        <is>
          <t>India</t>
        </is>
      </c>
      <c r="F1086" s="9" t="n">
        <v>1</v>
      </c>
      <c r="G1086" s="9" t="n">
        <v>1</v>
      </c>
      <c r="H1086" s="9" t="n">
        <v>1</v>
      </c>
      <c r="I1086" s="10" t="n">
        <v>43440</v>
      </c>
      <c r="J1086" s="10" t="n">
        <v>43440</v>
      </c>
      <c r="K1086" s="9" t="n">
        <v>17.42391</v>
      </c>
      <c r="L1086" s="9" t="n">
        <v>78.42708</v>
      </c>
      <c r="M1086" s="9" t="inlineStr">
        <is>
          <t>https://www.google.com/maps/place/?q=place_id:ChIJzUgJKC2RyzsRCNLrxEO3Kz0</t>
        </is>
      </c>
    </row>
    <row r="1087">
      <c r="A1087" s="9" t="n">
        <v>1083</v>
      </c>
      <c r="B1087" s="9" t="inlineStr">
        <is>
          <t>Hyderabad</t>
        </is>
      </c>
      <c r="C1087" s="9" t="inlineStr">
        <is>
          <t>Hyderabad</t>
        </is>
      </c>
      <c r="D1087" s="9" t="inlineStr">
        <is>
          <t>Telangana</t>
        </is>
      </c>
      <c r="E1087" s="9" t="inlineStr">
        <is>
          <t>India</t>
        </is>
      </c>
      <c r="F1087" s="9" t="n">
        <v>1</v>
      </c>
      <c r="G1087" s="9" t="n">
        <v>1</v>
      </c>
      <c r="H1087" s="9" t="n">
        <v>1</v>
      </c>
      <c r="I1087" s="10" t="n">
        <v>43443</v>
      </c>
      <c r="J1087" s="10" t="n">
        <v>43443</v>
      </c>
      <c r="K1087" s="9" t="n">
        <v>17.38674</v>
      </c>
      <c r="L1087" s="9" t="n">
        <v>78.43186</v>
      </c>
      <c r="M1087" s="9" t="inlineStr">
        <is>
          <t>https://www.google.com/maps/place/?q=place_id:ChIJE7zyWwKXyzsR2XA9u6gc2g8</t>
        </is>
      </c>
    </row>
    <row r="1088">
      <c r="A1088" s="9" t="n">
        <v>1084</v>
      </c>
      <c r="B1088" s="9" t="inlineStr">
        <is>
          <t>Hyderabad</t>
        </is>
      </c>
      <c r="C1088" s="9" t="inlineStr">
        <is>
          <t>Hyderabad</t>
        </is>
      </c>
      <c r="D1088" s="9" t="inlineStr">
        <is>
          <t>Telangana</t>
        </is>
      </c>
      <c r="E1088" s="9" t="inlineStr">
        <is>
          <t>India</t>
        </is>
      </c>
      <c r="F1088" s="9" t="n">
        <v>1</v>
      </c>
      <c r="G1088" s="9" t="n">
        <v>1</v>
      </c>
      <c r="H1088" s="9" t="n">
        <v>1</v>
      </c>
      <c r="I1088" s="10" t="n">
        <v>43448</v>
      </c>
      <c r="J1088" s="10" t="n">
        <v>43448</v>
      </c>
      <c r="K1088" s="9" t="n">
        <v>17.41305</v>
      </c>
      <c r="L1088" s="9" t="n">
        <v>78.44994</v>
      </c>
      <c r="M1088" s="9" t="inlineStr">
        <is>
          <t>https://www.google.com/maps/place/?q=place_id:ChIJQdr6MziXyzsR1VJ8QIyBMyg</t>
        </is>
      </c>
    </row>
    <row r="1089">
      <c r="A1089" s="9" t="n">
        <v>1085</v>
      </c>
      <c r="B1089" s="9" t="inlineStr">
        <is>
          <t>Hyderabad</t>
        </is>
      </c>
      <c r="C1089" s="9" t="inlineStr">
        <is>
          <t>Hyderabad</t>
        </is>
      </c>
      <c r="D1089" s="9" t="inlineStr">
        <is>
          <t>Telangana</t>
        </is>
      </c>
      <c r="E1089" s="9" t="inlineStr">
        <is>
          <t>India</t>
        </is>
      </c>
      <c r="F1089" s="9" t="n">
        <v>1</v>
      </c>
      <c r="G1089" s="9" t="n">
        <v>2</v>
      </c>
      <c r="H1089" s="9" t="n">
        <v>1</v>
      </c>
      <c r="I1089" s="10" t="n">
        <v>43462</v>
      </c>
      <c r="J1089" s="10" t="n">
        <v>43463</v>
      </c>
      <c r="K1089" s="9" t="n">
        <v>17.40917</v>
      </c>
      <c r="L1089" s="9" t="n">
        <v>78.43304000000001</v>
      </c>
      <c r="M1089" s="9" t="inlineStr">
        <is>
          <t>https://www.google.com/maps/place/?q=place_id:ChIJ2VeS5iaXyzsRjVX4W6vtiZw</t>
        </is>
      </c>
    </row>
    <row r="1090">
      <c r="A1090" s="9" t="n">
        <v>1086</v>
      </c>
      <c r="B1090" s="9" t="inlineStr">
        <is>
          <t>Hyderabad</t>
        </is>
      </c>
      <c r="C1090" s="9" t="inlineStr">
        <is>
          <t>Hyderabad</t>
        </is>
      </c>
      <c r="D1090" s="9" t="inlineStr">
        <is>
          <t>Telangana</t>
        </is>
      </c>
      <c r="E1090" s="9" t="inlineStr">
        <is>
          <t>India</t>
        </is>
      </c>
      <c r="F1090" s="9" t="n">
        <v>1</v>
      </c>
      <c r="G1090" s="9" t="n">
        <v>1</v>
      </c>
      <c r="H1090" s="9" t="n">
        <v>1</v>
      </c>
      <c r="I1090" s="10" t="n">
        <v>43464</v>
      </c>
      <c r="J1090" s="10" t="n">
        <v>43464</v>
      </c>
      <c r="K1090" s="9" t="n">
        <v>17.41636</v>
      </c>
      <c r="L1090" s="9" t="n">
        <v>78.41207</v>
      </c>
      <c r="M1090" s="9" t="inlineStr">
        <is>
          <t>https://www.google.com/maps/place/?q=place_id:ChIJKeTaN8mWyzsRFPWr-9s2UCU</t>
        </is>
      </c>
    </row>
    <row r="1091">
      <c r="A1091" s="9" t="n">
        <v>1087</v>
      </c>
      <c r="B1091" s="9" t="inlineStr">
        <is>
          <t>Hyderabad</t>
        </is>
      </c>
      <c r="C1091" s="9" t="inlineStr">
        <is>
          <t>Hyderabad</t>
        </is>
      </c>
      <c r="D1091" s="9" t="inlineStr">
        <is>
          <t>Telangana</t>
        </is>
      </c>
      <c r="E1091" s="9" t="inlineStr">
        <is>
          <t>India</t>
        </is>
      </c>
      <c r="F1091" s="9" t="n">
        <v>1</v>
      </c>
      <c r="G1091" s="9" t="n">
        <v>1</v>
      </c>
      <c r="H1091" s="9" t="n">
        <v>1</v>
      </c>
      <c r="I1091" s="10" t="n">
        <v>43466</v>
      </c>
      <c r="J1091" s="10" t="n">
        <v>43466</v>
      </c>
      <c r="K1091" s="9" t="n">
        <v>17.40921</v>
      </c>
      <c r="L1091" s="9" t="n">
        <v>78.43209</v>
      </c>
      <c r="M1091" s="9" t="inlineStr">
        <is>
          <t>https://www.google.com/maps/place/?q=place_id:ChIJbQTZGyeXyzsRI_OPQUoGstQ</t>
        </is>
      </c>
    </row>
    <row r="1092">
      <c r="A1092" s="9" t="n">
        <v>1088</v>
      </c>
      <c r="B1092" s="9" t="inlineStr">
        <is>
          <t>Malkajgiri</t>
        </is>
      </c>
      <c r="C1092" s="9" t="inlineStr">
        <is>
          <t>Hyderabad</t>
        </is>
      </c>
      <c r="D1092" s="9" t="inlineStr">
        <is>
          <t>Telangana</t>
        </is>
      </c>
      <c r="E1092" s="9" t="inlineStr">
        <is>
          <t>India</t>
        </is>
      </c>
      <c r="F1092" s="9" t="n">
        <v>1</v>
      </c>
      <c r="G1092" s="9" t="n">
        <v>1</v>
      </c>
      <c r="H1092" s="9" t="n">
        <v>1</v>
      </c>
      <c r="I1092" s="10" t="n">
        <v>43467</v>
      </c>
      <c r="J1092" s="10" t="n">
        <v>43467</v>
      </c>
      <c r="K1092" s="9" t="n">
        <v>17.42775</v>
      </c>
      <c r="L1092" s="9" t="n">
        <v>78.52791000000001</v>
      </c>
      <c r="M1092" s="9" t="inlineStr">
        <is>
          <t>https://www.google.com/maps/place/?q=place_id:ChIJn1hMu3CZyzsResZbL87OfaI</t>
        </is>
      </c>
    </row>
    <row r="1093">
      <c r="A1093" s="9" t="n">
        <v>1089</v>
      </c>
      <c r="B1093" s="9" t="inlineStr">
        <is>
          <t>Hyderabad</t>
        </is>
      </c>
      <c r="C1093" s="9" t="inlineStr">
        <is>
          <t>Hyderabad</t>
        </is>
      </c>
      <c r="D1093" s="9" t="inlineStr">
        <is>
          <t>Telangana</t>
        </is>
      </c>
      <c r="E1093" s="9" t="inlineStr">
        <is>
          <t>India</t>
        </is>
      </c>
      <c r="F1093" s="9" t="n">
        <v>1</v>
      </c>
      <c r="G1093" s="9" t="n">
        <v>1</v>
      </c>
      <c r="H1093" s="9" t="n">
        <v>1</v>
      </c>
      <c r="I1093" s="10" t="n">
        <v>43499</v>
      </c>
      <c r="J1093" s="10" t="n">
        <v>43499</v>
      </c>
      <c r="K1093" s="9" t="n">
        <v>17.40916</v>
      </c>
      <c r="L1093" s="9" t="n">
        <v>78.4318</v>
      </c>
      <c r="M1093" s="9" t="inlineStr">
        <is>
          <t>https://www.google.com/maps/place/?q=place_id:ChIJh9ZNFyeXyzsRnE7lZsd9rtA</t>
        </is>
      </c>
    </row>
    <row r="1094">
      <c r="A1094" s="9" t="n">
        <v>1090</v>
      </c>
      <c r="B1094" s="9" t="inlineStr">
        <is>
          <t>Kukatpally</t>
        </is>
      </c>
      <c r="C1094" s="9" t="inlineStr">
        <is>
          <t>Hyderabad</t>
        </is>
      </c>
      <c r="D1094" s="9" t="inlineStr">
        <is>
          <t>Telangana</t>
        </is>
      </c>
      <c r="E1094" s="9" t="inlineStr">
        <is>
          <t>India</t>
        </is>
      </c>
      <c r="F1094" s="9" t="n">
        <v>1</v>
      </c>
      <c r="G1094" s="9" t="n">
        <v>1</v>
      </c>
      <c r="H1094" s="9" t="n">
        <v>1</v>
      </c>
      <c r="I1094" s="10" t="n">
        <v>43501</v>
      </c>
      <c r="J1094" s="10" t="n">
        <v>43501</v>
      </c>
      <c r="K1094" s="9" t="n">
        <v>17.49728</v>
      </c>
      <c r="L1094" s="9" t="n">
        <v>78.39716</v>
      </c>
      <c r="M1094" s="9" t="inlineStr">
        <is>
          <t>https://www.google.com/maps/place/?q=place_id:ChIJR3Slwe2RyzsRDApKL92A4gk</t>
        </is>
      </c>
    </row>
    <row r="1095">
      <c r="A1095" s="9" t="n">
        <v>1091</v>
      </c>
      <c r="B1095" s="9" t="inlineStr">
        <is>
          <t>Kukatpally</t>
        </is>
      </c>
      <c r="C1095" s="9" t="inlineStr">
        <is>
          <t>Hyderabad</t>
        </is>
      </c>
      <c r="D1095" s="9" t="inlineStr">
        <is>
          <t>Telangana</t>
        </is>
      </c>
      <c r="E1095" s="9" t="inlineStr">
        <is>
          <t>India</t>
        </is>
      </c>
      <c r="F1095" s="9" t="n">
        <v>1</v>
      </c>
      <c r="G1095" s="9" t="n">
        <v>1</v>
      </c>
      <c r="H1095" s="9" t="n">
        <v>1</v>
      </c>
      <c r="I1095" s="10" t="n">
        <v>43502</v>
      </c>
      <c r="J1095" s="10" t="n">
        <v>43502</v>
      </c>
      <c r="K1095" s="9" t="n">
        <v>17.44485</v>
      </c>
      <c r="L1095" s="9" t="n">
        <v>78.38401</v>
      </c>
      <c r="M1095" s="9" t="inlineStr">
        <is>
          <t>https://www.google.com/maps/place/?q=place_id:ChIJNea4bdqTyzsRDUf6zgKDqxg</t>
        </is>
      </c>
    </row>
    <row r="1096">
      <c r="A1096" s="9" t="n">
        <v>1092</v>
      </c>
      <c r="B1096" s="9" t="inlineStr">
        <is>
          <t>Hyderabad</t>
        </is>
      </c>
      <c r="C1096" s="9" t="inlineStr">
        <is>
          <t>Hyderabad</t>
        </is>
      </c>
      <c r="D1096" s="9" t="inlineStr">
        <is>
          <t>Telangana</t>
        </is>
      </c>
      <c r="E1096" s="9" t="inlineStr">
        <is>
          <t>India</t>
        </is>
      </c>
      <c r="F1096" s="9" t="n">
        <v>1</v>
      </c>
      <c r="G1096" s="9" t="n">
        <v>1</v>
      </c>
      <c r="H1096" s="9" t="n">
        <v>1</v>
      </c>
      <c r="I1096" s="10" t="n">
        <v>43537</v>
      </c>
      <c r="J1096" s="10" t="n">
        <v>43537</v>
      </c>
      <c r="K1096" s="9" t="n">
        <v>17.40907</v>
      </c>
      <c r="L1096" s="9" t="n">
        <v>78.43219999999999</v>
      </c>
      <c r="M1096" s="9" t="inlineStr">
        <is>
          <t>https://www.google.com/maps/place/?q=place_id:ChIJmcUyGSeXyzsRHUZJ41Ur3gA</t>
        </is>
      </c>
    </row>
    <row r="1097">
      <c r="A1097" s="9" t="n">
        <v>1093</v>
      </c>
      <c r="B1097" s="9" t="inlineStr">
        <is>
          <t>Patancheru</t>
        </is>
      </c>
      <c r="C1097" s="9" t="inlineStr">
        <is>
          <t>Hyderabad</t>
        </is>
      </c>
      <c r="D1097" s="9" t="inlineStr">
        <is>
          <t>Telangana</t>
        </is>
      </c>
      <c r="E1097" s="9" t="inlineStr">
        <is>
          <t>India</t>
        </is>
      </c>
      <c r="F1097" s="9" t="n">
        <v>1</v>
      </c>
      <c r="G1097" s="9" t="n">
        <v>1</v>
      </c>
      <c r="H1097" s="9" t="n">
        <v>1</v>
      </c>
      <c r="I1097" s="10" t="n">
        <v>43562</v>
      </c>
      <c r="J1097" s="10" t="n">
        <v>43562</v>
      </c>
      <c r="K1097" s="9" t="n">
        <v>17.53759</v>
      </c>
      <c r="L1097" s="9" t="n">
        <v>78.23445</v>
      </c>
      <c r="M1097" s="9" t="inlineStr">
        <is>
          <t>https://www.google.com/maps/place/?q=place_id:ChIJSeOs6ETyyzsRbtQClrhfMgo</t>
        </is>
      </c>
    </row>
    <row r="1098">
      <c r="A1098" s="9" t="n">
        <v>1094</v>
      </c>
      <c r="B1098" s="9" t="inlineStr">
        <is>
          <t>Hyderabad</t>
        </is>
      </c>
      <c r="C1098" s="9" t="inlineStr">
        <is>
          <t>Hyderabad</t>
        </is>
      </c>
      <c r="D1098" s="9" t="inlineStr">
        <is>
          <t>Telangana</t>
        </is>
      </c>
      <c r="E1098" s="9" t="inlineStr">
        <is>
          <t>India</t>
        </is>
      </c>
      <c r="F1098" s="9" t="n">
        <v>1</v>
      </c>
      <c r="G1098" s="9" t="n">
        <v>1</v>
      </c>
      <c r="H1098" s="9" t="n">
        <v>1</v>
      </c>
      <c r="I1098" s="10" t="n">
        <v>43571</v>
      </c>
      <c r="J1098" s="10" t="n">
        <v>43571</v>
      </c>
      <c r="K1098" s="9" t="n">
        <v>17.41047</v>
      </c>
      <c r="L1098" s="9" t="n">
        <v>78.43735</v>
      </c>
      <c r="M1098" s="9" t="inlineStr">
        <is>
          <t>https://www.google.com/maps/place/?q=place_id:ChIJdQ9bTCSXyzsRYscHUc_o6O0</t>
        </is>
      </c>
    </row>
    <row r="1099">
      <c r="A1099" s="9" t="n">
        <v>1095</v>
      </c>
      <c r="B1099" s="9" t="inlineStr">
        <is>
          <t>Hyderabad</t>
        </is>
      </c>
      <c r="C1099" s="9" t="inlineStr">
        <is>
          <t>Hyderabad</t>
        </is>
      </c>
      <c r="D1099" s="9" t="inlineStr">
        <is>
          <t>Telangana</t>
        </is>
      </c>
      <c r="E1099" s="9" t="inlineStr">
        <is>
          <t>India</t>
        </is>
      </c>
      <c r="F1099" s="9" t="n">
        <v>1</v>
      </c>
      <c r="G1099" s="9" t="n">
        <v>1</v>
      </c>
      <c r="H1099" s="9" t="n">
        <v>1</v>
      </c>
      <c r="I1099" s="10" t="n">
        <v>43572</v>
      </c>
      <c r="J1099" s="10" t="n">
        <v>43572</v>
      </c>
      <c r="K1099" s="9" t="n">
        <v>17.39442</v>
      </c>
      <c r="L1099" s="9" t="n">
        <v>78.42699</v>
      </c>
      <c r="M1099" s="9" t="inlineStr">
        <is>
          <t>https://www.google.com/maps/place/?q=place_id:ChIJn_m-8WyXyzsRqqnrIbsHU8Y</t>
        </is>
      </c>
    </row>
    <row r="1100">
      <c r="A1100" s="9" t="n">
        <v>1096</v>
      </c>
      <c r="B1100" s="9" t="inlineStr">
        <is>
          <t>Serilingampalle</t>
        </is>
      </c>
      <c r="C1100" s="9" t="inlineStr">
        <is>
          <t>Hyderabad</t>
        </is>
      </c>
      <c r="D1100" s="9" t="inlineStr">
        <is>
          <t>Telangana</t>
        </is>
      </c>
      <c r="E1100" s="9" t="inlineStr">
        <is>
          <t>India</t>
        </is>
      </c>
      <c r="F1100" s="9" t="n">
        <v>1</v>
      </c>
      <c r="G1100" s="9" t="n">
        <v>1</v>
      </c>
      <c r="H1100" s="9" t="n">
        <v>1</v>
      </c>
      <c r="I1100" s="10" t="n">
        <v>43584</v>
      </c>
      <c r="J1100" s="10" t="n">
        <v>43584</v>
      </c>
      <c r="K1100" s="9" t="n">
        <v>17.42106</v>
      </c>
      <c r="L1100" s="9" t="n">
        <v>78.2698</v>
      </c>
      <c r="M1100" s="9" t="inlineStr">
        <is>
          <t>https://www.google.com/maps/place/?q=place_id:ChIJ75XFUp_syzsRDuPBgRs1nIc</t>
        </is>
      </c>
    </row>
    <row r="1101">
      <c r="A1101" s="9" t="n">
        <v>1097</v>
      </c>
      <c r="B1101" s="9" t="inlineStr">
        <is>
          <t>Hyderabad</t>
        </is>
      </c>
      <c r="C1101" s="9" t="inlineStr">
        <is>
          <t>Hyderabad</t>
        </is>
      </c>
      <c r="D1101" s="9" t="inlineStr">
        <is>
          <t>Telangana</t>
        </is>
      </c>
      <c r="E1101" s="9" t="inlineStr">
        <is>
          <t>India</t>
        </is>
      </c>
      <c r="F1101" s="9" t="n">
        <v>1</v>
      </c>
      <c r="G1101" s="9" t="n">
        <v>1</v>
      </c>
      <c r="H1101" s="9" t="n">
        <v>1</v>
      </c>
      <c r="I1101" s="10" t="n">
        <v>43584</v>
      </c>
      <c r="J1101" s="10" t="n">
        <v>43584</v>
      </c>
      <c r="K1101" s="9" t="n">
        <v>17.41242</v>
      </c>
      <c r="L1101" s="9" t="n">
        <v>78.42377999999999</v>
      </c>
      <c r="M1101" s="9" t="inlineStr">
        <is>
          <t>https://www.google.com/maps/place/?q=place_id:ChIJNzFqAdqWyzsRbAxWwGRWDXo</t>
        </is>
      </c>
    </row>
    <row r="1102">
      <c r="A1102" s="9" t="n">
        <v>1098</v>
      </c>
      <c r="B1102" s="9" t="inlineStr">
        <is>
          <t>Hyderabad</t>
        </is>
      </c>
      <c r="C1102" s="9" t="inlineStr">
        <is>
          <t>Hyderabad</t>
        </is>
      </c>
      <c r="D1102" s="9" t="inlineStr">
        <is>
          <t>Telangana</t>
        </is>
      </c>
      <c r="E1102" s="9" t="inlineStr">
        <is>
          <t>India</t>
        </is>
      </c>
      <c r="F1102" s="9" t="n">
        <v>1</v>
      </c>
      <c r="G1102" s="9" t="n">
        <v>1</v>
      </c>
      <c r="H1102" s="9" t="n">
        <v>1</v>
      </c>
      <c r="I1102" s="10" t="n">
        <v>43587</v>
      </c>
      <c r="J1102" s="10" t="n">
        <v>43587</v>
      </c>
      <c r="K1102" s="9" t="n">
        <v>17.43874</v>
      </c>
      <c r="L1102" s="9" t="n">
        <v>78.45055000000001</v>
      </c>
      <c r="M1102" s="9" t="inlineStr">
        <is>
          <t>https://www.google.com/maps/place/?q=place_id:ChIJidrGwciQyzsRleO7Lj4B1gY</t>
        </is>
      </c>
    </row>
    <row r="1103">
      <c r="A1103" s="9" t="n">
        <v>1099</v>
      </c>
      <c r="B1103" s="9" t="inlineStr">
        <is>
          <t>Serilingampalle</t>
        </is>
      </c>
      <c r="C1103" s="9" t="inlineStr">
        <is>
          <t>Hyderabad</t>
        </is>
      </c>
      <c r="D1103" s="9" t="inlineStr">
        <is>
          <t>Telangana</t>
        </is>
      </c>
      <c r="E1103" s="9" t="inlineStr">
        <is>
          <t>India</t>
        </is>
      </c>
      <c r="F1103" s="9" t="n">
        <v>1</v>
      </c>
      <c r="G1103" s="9" t="n">
        <v>1</v>
      </c>
      <c r="H1103" s="9" t="n">
        <v>1</v>
      </c>
      <c r="I1103" s="10" t="n">
        <v>43623</v>
      </c>
      <c r="J1103" s="10" t="n">
        <v>43623</v>
      </c>
      <c r="K1103" s="9" t="n">
        <v>17.49364</v>
      </c>
      <c r="L1103" s="9" t="n">
        <v>78.34885</v>
      </c>
      <c r="M1103" s="9" t="inlineStr">
        <is>
          <t>https://www.google.com/maps/place/?q=place_id:ChIJhZ7WO2aSyzsR0quXZAhis7Y</t>
        </is>
      </c>
    </row>
    <row r="1104">
      <c r="A1104" s="9" t="n">
        <v>1100</v>
      </c>
      <c r="B1104" s="9" t="inlineStr">
        <is>
          <t>Hyderabad</t>
        </is>
      </c>
      <c r="C1104" s="9" t="inlineStr">
        <is>
          <t>Hyderabad</t>
        </is>
      </c>
      <c r="D1104" s="9" t="inlineStr">
        <is>
          <t>Telangana</t>
        </is>
      </c>
      <c r="E1104" s="9" t="inlineStr">
        <is>
          <t>India</t>
        </is>
      </c>
      <c r="F1104" s="9" t="n">
        <v>1</v>
      </c>
      <c r="G1104" s="9" t="n">
        <v>1</v>
      </c>
      <c r="H1104" s="9" t="n">
        <v>1</v>
      </c>
      <c r="I1104" s="10" t="n">
        <v>43631</v>
      </c>
      <c r="J1104" s="10" t="n">
        <v>43631</v>
      </c>
      <c r="K1104" s="9" t="n">
        <v>17.41821</v>
      </c>
      <c r="L1104" s="9" t="n">
        <v>78.40374</v>
      </c>
      <c r="M1104" s="9" t="inlineStr">
        <is>
          <t>https://www.google.com/maps/place/?q=place_id:ChIJGYk8rG6XyzsRPKEMJ8iIC3A</t>
        </is>
      </c>
    </row>
    <row r="1105">
      <c r="A1105" s="9" t="n">
        <v>1101</v>
      </c>
      <c r="B1105" s="9" t="inlineStr">
        <is>
          <t>Secunderabad</t>
        </is>
      </c>
      <c r="C1105" s="9" t="inlineStr">
        <is>
          <t>Hyderabad</t>
        </is>
      </c>
      <c r="D1105" s="9" t="inlineStr">
        <is>
          <t>Telangana</t>
        </is>
      </c>
      <c r="E1105" s="9" t="inlineStr">
        <is>
          <t>India</t>
        </is>
      </c>
      <c r="F1105" s="9" t="n">
        <v>1</v>
      </c>
      <c r="G1105" s="9" t="n">
        <v>1</v>
      </c>
      <c r="H1105" s="9" t="n">
        <v>1</v>
      </c>
      <c r="I1105" s="10" t="n">
        <v>43676</v>
      </c>
      <c r="J1105" s="10" t="n">
        <v>43676</v>
      </c>
      <c r="K1105" s="9" t="n">
        <v>17.5251</v>
      </c>
      <c r="L1105" s="9" t="n">
        <v>78.62963999999999</v>
      </c>
      <c r="M1105" s="9" t="inlineStr">
        <is>
          <t>https://www.google.com/maps/place/?q=place_id:ChIJCfy8FDSdyzsR1DxpvhWt_Sc</t>
        </is>
      </c>
    </row>
    <row r="1106">
      <c r="A1106" s="9" t="n">
        <v>1102</v>
      </c>
      <c r="B1106" s="9" t="inlineStr">
        <is>
          <t>Kukatpally</t>
        </is>
      </c>
      <c r="C1106" s="9" t="inlineStr">
        <is>
          <t>Hyderabad</t>
        </is>
      </c>
      <c r="D1106" s="9" t="inlineStr">
        <is>
          <t>Telangana</t>
        </is>
      </c>
      <c r="E1106" s="9" t="inlineStr">
        <is>
          <t>India</t>
        </is>
      </c>
      <c r="F1106" s="9" t="n">
        <v>1</v>
      </c>
      <c r="G1106" s="9" t="n">
        <v>1</v>
      </c>
      <c r="H1106" s="9" t="n">
        <v>1</v>
      </c>
      <c r="I1106" s="10" t="n">
        <v>43679</v>
      </c>
      <c r="J1106" s="10" t="n">
        <v>43679</v>
      </c>
      <c r="K1106" s="9" t="n">
        <v>17.41785</v>
      </c>
      <c r="L1106" s="9" t="n">
        <v>78.36539</v>
      </c>
      <c r="M1106" s="9" t="inlineStr">
        <is>
          <t>https://www.google.com/maps/place/?q=place_id:ChIJC-QBBUCVyzsRTQdM-M0QMXY</t>
        </is>
      </c>
    </row>
    <row r="1107">
      <c r="A1107" s="9" t="n">
        <v>1103</v>
      </c>
      <c r="B1107" s="9" t="inlineStr">
        <is>
          <t>Hyderabad</t>
        </is>
      </c>
      <c r="C1107" s="9" t="inlineStr">
        <is>
          <t>Hyderabad</t>
        </is>
      </c>
      <c r="D1107" s="9" t="inlineStr">
        <is>
          <t>Telangana</t>
        </is>
      </c>
      <c r="E1107" s="9" t="inlineStr">
        <is>
          <t>India</t>
        </is>
      </c>
      <c r="F1107" s="9" t="n">
        <v>1</v>
      </c>
      <c r="G1107" s="9" t="n">
        <v>1</v>
      </c>
      <c r="H1107" s="9" t="n">
        <v>1</v>
      </c>
      <c r="I1107" s="10" t="n">
        <v>43717</v>
      </c>
      <c r="J1107" s="10" t="n">
        <v>43717</v>
      </c>
      <c r="K1107" s="9" t="n">
        <v>17.40828</v>
      </c>
      <c r="L1107" s="9" t="n">
        <v>78.45050000000001</v>
      </c>
      <c r="M1107" s="9" t="inlineStr">
        <is>
          <t>https://www.google.com/maps/place/?q=place_id:ChIJRVVVVSmXyzsRKiANekRmt-Y</t>
        </is>
      </c>
    </row>
    <row r="1108">
      <c r="A1108" s="9" t="n">
        <v>1104</v>
      </c>
      <c r="B1108" s="9" t="inlineStr">
        <is>
          <t>Gaddi Annaram</t>
        </is>
      </c>
      <c r="C1108" s="9" t="inlineStr">
        <is>
          <t>Hyderabad</t>
        </is>
      </c>
      <c r="D1108" s="9" t="inlineStr">
        <is>
          <t>Telangana</t>
        </is>
      </c>
      <c r="E1108" s="9" t="inlineStr">
        <is>
          <t>India</t>
        </is>
      </c>
      <c r="F1108" s="9" t="n">
        <v>1</v>
      </c>
      <c r="G1108" s="9" t="n">
        <v>1</v>
      </c>
      <c r="H1108" s="9" t="n">
        <v>1</v>
      </c>
      <c r="I1108" s="10" t="n">
        <v>43748</v>
      </c>
      <c r="J1108" s="10" t="n">
        <v>43748</v>
      </c>
      <c r="K1108" s="9" t="n">
        <v>17.40401</v>
      </c>
      <c r="L1108" s="9" t="n">
        <v>78.50139</v>
      </c>
      <c r="M1108" s="9" t="inlineStr">
        <is>
          <t>https://www.google.com/maps/place/?q=place_id:ChIJ6Y5LdOyZyzsRi6_Cm_G0YfU</t>
        </is>
      </c>
    </row>
    <row r="1109">
      <c r="A1109" s="9" t="n">
        <v>1105</v>
      </c>
      <c r="B1109" s="9" t="inlineStr">
        <is>
          <t>Hyderabad</t>
        </is>
      </c>
      <c r="C1109" s="9" t="inlineStr">
        <is>
          <t>Hyderabad</t>
        </is>
      </c>
      <c r="D1109" s="9" t="inlineStr">
        <is>
          <t>Telangana</t>
        </is>
      </c>
      <c r="E1109" s="9" t="inlineStr">
        <is>
          <t>India</t>
        </is>
      </c>
      <c r="F1109" s="9" t="n">
        <v>1</v>
      </c>
      <c r="G1109" s="9" t="n">
        <v>1</v>
      </c>
      <c r="H1109" s="9" t="n">
        <v>1</v>
      </c>
      <c r="I1109" s="10" t="n">
        <v>43773</v>
      </c>
      <c r="J1109" s="10" t="n">
        <v>43773</v>
      </c>
      <c r="K1109" s="9" t="n">
        <v>17.41403</v>
      </c>
      <c r="L1109" s="9" t="n">
        <v>78.44593</v>
      </c>
      <c r="M1109" s="9" t="inlineStr">
        <is>
          <t>https://www.google.com/maps/place/?q=place_id:ChIJbWiU4y-XyzsR4AHQqdtiqUY</t>
        </is>
      </c>
    </row>
    <row r="1110">
      <c r="A1110" s="9" t="n">
        <v>1106</v>
      </c>
      <c r="B1110" s="9" t="inlineStr">
        <is>
          <t>Hyderabad</t>
        </is>
      </c>
      <c r="C1110" s="9" t="inlineStr">
        <is>
          <t>Hyderabad</t>
        </is>
      </c>
      <c r="D1110" s="9" t="inlineStr">
        <is>
          <t>Telangana</t>
        </is>
      </c>
      <c r="E1110" s="9" t="inlineStr">
        <is>
          <t>India</t>
        </is>
      </c>
      <c r="F1110" s="9" t="n">
        <v>1</v>
      </c>
      <c r="G1110" s="9" t="n">
        <v>1</v>
      </c>
      <c r="H1110" s="9" t="n">
        <v>1</v>
      </c>
      <c r="I1110" s="10" t="n">
        <v>43776</v>
      </c>
      <c r="J1110" s="10" t="n">
        <v>43776</v>
      </c>
      <c r="K1110" s="9" t="n">
        <v>17.41539</v>
      </c>
      <c r="L1110" s="9" t="n">
        <v>78.41819</v>
      </c>
      <c r="M1110" s="9" t="inlineStr">
        <is>
          <t>https://www.google.com/maps/place/?q=place_id:ChIJ____E0uRyzsRfp9Nm7obsAQ</t>
        </is>
      </c>
    </row>
    <row r="1111">
      <c r="A1111" s="9" t="n">
        <v>1107</v>
      </c>
      <c r="B1111" s="9" t="inlineStr">
        <is>
          <t>Hyderabad</t>
        </is>
      </c>
      <c r="C1111" s="9" t="inlineStr">
        <is>
          <t>Hyderabad</t>
        </is>
      </c>
      <c r="D1111" s="9" t="inlineStr">
        <is>
          <t>Telangana</t>
        </is>
      </c>
      <c r="E1111" s="9" t="inlineStr">
        <is>
          <t>India</t>
        </is>
      </c>
      <c r="F1111" s="9" t="n">
        <v>1</v>
      </c>
      <c r="G1111" s="9" t="n">
        <v>1</v>
      </c>
      <c r="H1111" s="9" t="n">
        <v>1</v>
      </c>
      <c r="I1111" s="10" t="n">
        <v>43777</v>
      </c>
      <c r="J1111" s="10" t="n">
        <v>43777</v>
      </c>
      <c r="K1111" s="9" t="n">
        <v>17.40803</v>
      </c>
      <c r="L1111" s="9" t="n">
        <v>78.45138</v>
      </c>
      <c r="M1111" s="9" t="inlineStr">
        <is>
          <t>https://www.google.com/maps/place/?q=place_id:ChIJ_2dhTj-XyzsR9IFKjrjqSvQ</t>
        </is>
      </c>
    </row>
    <row r="1112">
      <c r="A1112" s="9" t="n">
        <v>1108</v>
      </c>
      <c r="B1112" s="9" t="inlineStr">
        <is>
          <t>Uppal Kalan</t>
        </is>
      </c>
      <c r="C1112" s="9" t="inlineStr">
        <is>
          <t>Hyderabad</t>
        </is>
      </c>
      <c r="D1112" s="9" t="inlineStr">
        <is>
          <t>Telangana</t>
        </is>
      </c>
      <c r="E1112" s="9" t="inlineStr">
        <is>
          <t>India</t>
        </is>
      </c>
      <c r="F1112" s="9" t="n">
        <v>1</v>
      </c>
      <c r="G1112" s="9" t="n">
        <v>1</v>
      </c>
      <c r="H1112" s="9" t="n">
        <v>1</v>
      </c>
      <c r="I1112" s="10" t="n">
        <v>43777</v>
      </c>
      <c r="J1112" s="10" t="n">
        <v>43777</v>
      </c>
      <c r="K1112" s="9" t="n">
        <v>17.41002</v>
      </c>
      <c r="L1112" s="9" t="n">
        <v>78.551</v>
      </c>
      <c r="M1112" s="9" t="inlineStr">
        <is>
          <t>https://www.google.com/maps/place/?q=place_id:ChIJxWXaALaZyzsRYi3pGgxZMLk</t>
        </is>
      </c>
    </row>
    <row r="1113">
      <c r="A1113" s="9" t="n">
        <v>1109</v>
      </c>
      <c r="B1113" s="9" t="inlineStr">
        <is>
          <t>Uppal Kalan</t>
        </is>
      </c>
      <c r="C1113" s="9" t="inlineStr">
        <is>
          <t>Hyderabad</t>
        </is>
      </c>
      <c r="D1113" s="9" t="inlineStr">
        <is>
          <t>Telangana</t>
        </is>
      </c>
      <c r="E1113" s="9" t="inlineStr">
        <is>
          <t>India</t>
        </is>
      </c>
      <c r="F1113" s="9" t="n">
        <v>1</v>
      </c>
      <c r="G1113" s="9" t="n">
        <v>1</v>
      </c>
      <c r="H1113" s="9" t="n">
        <v>1</v>
      </c>
      <c r="I1113" s="10" t="n">
        <v>43777</v>
      </c>
      <c r="J1113" s="10" t="n">
        <v>43777</v>
      </c>
      <c r="K1113" s="9" t="n">
        <v>17.40227</v>
      </c>
      <c r="L1113" s="9" t="n">
        <v>78.57371000000001</v>
      </c>
      <c r="M1113" s="9" t="inlineStr">
        <is>
          <t>https://www.google.com/maps/place/?q=place_id:ChIJJZIs786eyzsR-c0ayjrqlR8</t>
        </is>
      </c>
    </row>
    <row r="1114">
      <c r="A1114" s="9" t="n">
        <v>1110</v>
      </c>
      <c r="B1114" s="9" t="inlineStr">
        <is>
          <t>Hyderabad</t>
        </is>
      </c>
      <c r="C1114" s="9" t="inlineStr">
        <is>
          <t>Hyderabad</t>
        </is>
      </c>
      <c r="D1114" s="9" t="inlineStr">
        <is>
          <t>Telangana</t>
        </is>
      </c>
      <c r="E1114" s="9" t="inlineStr">
        <is>
          <t>India</t>
        </is>
      </c>
      <c r="F1114" s="9" t="n">
        <v>1</v>
      </c>
      <c r="G1114" s="9" t="n">
        <v>2</v>
      </c>
      <c r="H1114" s="9" t="n">
        <v>1</v>
      </c>
      <c r="I1114" s="10" t="n">
        <v>43784</v>
      </c>
      <c r="J1114" s="10" t="n">
        <v>43785</v>
      </c>
      <c r="K1114" s="9" t="n">
        <v>17.40879</v>
      </c>
      <c r="L1114" s="9" t="n">
        <v>78.4284</v>
      </c>
      <c r="M1114" s="9" t="inlineStr">
        <is>
          <t>https://www.google.com/maps/place/?q=place_id:ChIJyasfldiWyzsRK3B1aOKxD5Q</t>
        </is>
      </c>
    </row>
    <row r="1115">
      <c r="A1115" s="9" t="n">
        <v>1111</v>
      </c>
      <c r="B1115" s="9" t="inlineStr">
        <is>
          <t>Kukatpally</t>
        </is>
      </c>
      <c r="C1115" s="9" t="inlineStr">
        <is>
          <t>Hyderabad</t>
        </is>
      </c>
      <c r="D1115" s="9" t="inlineStr">
        <is>
          <t>Telangana</t>
        </is>
      </c>
      <c r="E1115" s="9" t="inlineStr">
        <is>
          <t>India</t>
        </is>
      </c>
      <c r="F1115" s="9" t="n">
        <v>1</v>
      </c>
      <c r="G1115" s="9" t="n">
        <v>1</v>
      </c>
      <c r="H1115" s="9" t="n">
        <v>1</v>
      </c>
      <c r="I1115" s="10" t="n">
        <v>43791</v>
      </c>
      <c r="J1115" s="10" t="n">
        <v>43791</v>
      </c>
      <c r="K1115" s="9" t="n">
        <v>17.42689</v>
      </c>
      <c r="L1115" s="9" t="n">
        <v>78.40483999999999</v>
      </c>
      <c r="M1115" s="9" t="inlineStr">
        <is>
          <t>https://www.google.com/maps/place/?q=place_id:ChIJ-6_MlEuRyzsR7Q8dQjrtbNs</t>
        </is>
      </c>
    </row>
    <row r="1116">
      <c r="A1116" s="9" t="n">
        <v>1112</v>
      </c>
      <c r="B1116" s="9" t="inlineStr">
        <is>
          <t>Hyderabad</t>
        </is>
      </c>
      <c r="C1116" s="9" t="inlineStr">
        <is>
          <t>Hyderabad</t>
        </is>
      </c>
      <c r="D1116" s="9" t="inlineStr">
        <is>
          <t>Telangana</t>
        </is>
      </c>
      <c r="E1116" s="9" t="inlineStr">
        <is>
          <t>India</t>
        </is>
      </c>
      <c r="F1116" s="9" t="n">
        <v>1</v>
      </c>
      <c r="G1116" s="9" t="n">
        <v>2</v>
      </c>
      <c r="H1116" s="9" t="n">
        <v>1</v>
      </c>
      <c r="I1116" s="10" t="n">
        <v>43796</v>
      </c>
      <c r="J1116" s="10" t="n">
        <v>43797</v>
      </c>
      <c r="K1116" s="9" t="n">
        <v>17.40904</v>
      </c>
      <c r="L1116" s="9" t="n">
        <v>78.42879000000001</v>
      </c>
      <c r="M1116" s="9" t="inlineStr">
        <is>
          <t>https://www.google.com/maps/place/?q=place_id:ChIJf2fp4xaXyzsRIDZ1MbglnV4</t>
        </is>
      </c>
    </row>
    <row r="1117">
      <c r="A1117" s="9" t="n">
        <v>1113</v>
      </c>
      <c r="B1117" s="9" t="inlineStr">
        <is>
          <t>Malkajgiri</t>
        </is>
      </c>
      <c r="C1117" s="9" t="inlineStr">
        <is>
          <t>Hyderabad</t>
        </is>
      </c>
      <c r="D1117" s="9" t="inlineStr">
        <is>
          <t>Telangana</t>
        </is>
      </c>
      <c r="E1117" s="9" t="inlineStr">
        <is>
          <t>India</t>
        </is>
      </c>
      <c r="F1117" s="9" t="n">
        <v>1</v>
      </c>
      <c r="G1117" s="9" t="n">
        <v>1</v>
      </c>
      <c r="H1117" s="9" t="n">
        <v>1</v>
      </c>
      <c r="I1117" s="10" t="n">
        <v>43798</v>
      </c>
      <c r="J1117" s="10" t="n">
        <v>43798</v>
      </c>
      <c r="K1117" s="9" t="n">
        <v>17.47282</v>
      </c>
      <c r="L1117" s="9" t="n">
        <v>78.50103</v>
      </c>
      <c r="M1117" s="9" t="inlineStr">
        <is>
          <t>https://www.google.com/maps/place/?q=place_id:ChIJt9FqAV-ayzsROFqd5QfCHrY</t>
        </is>
      </c>
    </row>
    <row r="1118">
      <c r="A1118" s="9" t="n">
        <v>1114</v>
      </c>
      <c r="B1118" s="9" t="inlineStr">
        <is>
          <t>Malkajgiri</t>
        </is>
      </c>
      <c r="C1118" s="9" t="inlineStr">
        <is>
          <t>Hyderabad</t>
        </is>
      </c>
      <c r="D1118" s="9" t="inlineStr">
        <is>
          <t>Telangana</t>
        </is>
      </c>
      <c r="E1118" s="9" t="inlineStr">
        <is>
          <t>India</t>
        </is>
      </c>
      <c r="F1118" s="9" t="n">
        <v>1</v>
      </c>
      <c r="G1118" s="9" t="n">
        <v>1</v>
      </c>
      <c r="H1118" s="9" t="n">
        <v>1</v>
      </c>
      <c r="I1118" s="10" t="n">
        <v>43804</v>
      </c>
      <c r="J1118" s="10" t="n">
        <v>43804</v>
      </c>
      <c r="K1118" s="9" t="n">
        <v>17.44202</v>
      </c>
      <c r="L1118" s="9" t="n">
        <v>78.48733</v>
      </c>
      <c r="M1118" s="9" t="inlineStr">
        <is>
          <t>https://www.google.com/maps/place/?q=place_id:ChIJhwe-LxCayzsR1bOt4R9FVQY</t>
        </is>
      </c>
    </row>
    <row r="1119">
      <c r="A1119" s="9" t="n">
        <v>1115</v>
      </c>
      <c r="B1119" s="9" t="inlineStr">
        <is>
          <t>Singapur</t>
        </is>
      </c>
      <c r="C1119" s="9" t="inlineStr">
        <is>
          <t>Hyderabad</t>
        </is>
      </c>
      <c r="D1119" s="9" t="inlineStr">
        <is>
          <t>Telangana</t>
        </is>
      </c>
      <c r="E1119" s="9" t="inlineStr">
        <is>
          <t>India</t>
        </is>
      </c>
      <c r="F1119" s="9" t="n">
        <v>1</v>
      </c>
      <c r="G1119" s="9" t="n">
        <v>1</v>
      </c>
      <c r="H1119" s="9" t="n">
        <v>1</v>
      </c>
      <c r="I1119" s="10" t="n">
        <v>43838</v>
      </c>
      <c r="J1119" s="10" t="n">
        <v>43838</v>
      </c>
      <c r="K1119" s="9" t="n">
        <v>17.4416</v>
      </c>
      <c r="L1119" s="9" t="n">
        <v>78.18651</v>
      </c>
      <c r="M1119" s="9" t="inlineStr">
        <is>
          <t>https://www.google.com/maps/place/?q=place_id:ChIJv-GGFJHuyzsRhu-RVwN0VxA</t>
        </is>
      </c>
    </row>
    <row r="1120">
      <c r="A1120" s="9" t="n">
        <v>1116</v>
      </c>
      <c r="B1120" s="9" t="inlineStr">
        <is>
          <t>Hyderabad</t>
        </is>
      </c>
      <c r="C1120" s="9" t="inlineStr">
        <is>
          <t>Hyderabad</t>
        </is>
      </c>
      <c r="D1120" s="9" t="inlineStr">
        <is>
          <t>Telangana</t>
        </is>
      </c>
      <c r="E1120" s="9" t="inlineStr">
        <is>
          <t>India</t>
        </is>
      </c>
      <c r="F1120" s="9" t="n">
        <v>1</v>
      </c>
      <c r="G1120" s="9" t="n">
        <v>1</v>
      </c>
      <c r="H1120" s="9" t="n">
        <v>1</v>
      </c>
      <c r="I1120" s="10" t="n">
        <v>43860</v>
      </c>
      <c r="J1120" s="10" t="n">
        <v>43860</v>
      </c>
      <c r="K1120" s="9" t="n">
        <v>17.4142</v>
      </c>
      <c r="L1120" s="9" t="n">
        <v>78.42514</v>
      </c>
      <c r="M1120" s="9" t="inlineStr">
        <is>
          <t>https://www.google.com/maps/place/?q=place_id:ChIJ_RqwQNeWyzsRbdseCM552dQ</t>
        </is>
      </c>
    </row>
    <row r="1121">
      <c r="A1121" s="9" t="n">
        <v>1117</v>
      </c>
      <c r="B1121" s="9" t="inlineStr">
        <is>
          <t>Kukatpally</t>
        </is>
      </c>
      <c r="C1121" s="9" t="inlineStr">
        <is>
          <t>Hyderabad</t>
        </is>
      </c>
      <c r="D1121" s="9" t="inlineStr">
        <is>
          <t>Telangana</t>
        </is>
      </c>
      <c r="E1121" s="9" t="inlineStr">
        <is>
          <t>India</t>
        </is>
      </c>
      <c r="F1121" s="9" t="n">
        <v>1</v>
      </c>
      <c r="G1121" s="9" t="n">
        <v>1</v>
      </c>
      <c r="H1121" s="9" t="n">
        <v>1</v>
      </c>
      <c r="I1121" s="10" t="n">
        <v>43873</v>
      </c>
      <c r="J1121" s="10" t="n">
        <v>43873</v>
      </c>
      <c r="K1121" s="9" t="n">
        <v>17.45811</v>
      </c>
      <c r="L1121" s="9" t="n">
        <v>78.44502</v>
      </c>
      <c r="M1121" s="9" t="inlineStr">
        <is>
          <t>https://www.google.com/maps/place/?q=place_id:ChIJvWuZZ-6QyzsRkK46r8JKuUc</t>
        </is>
      </c>
    </row>
    <row r="1122">
      <c r="A1122" s="9" t="n">
        <v>1118</v>
      </c>
      <c r="B1122" s="9" t="inlineStr">
        <is>
          <t>Kukatpally</t>
        </is>
      </c>
      <c r="C1122" s="9" t="inlineStr">
        <is>
          <t>Hyderabad</t>
        </is>
      </c>
      <c r="D1122" s="9" t="inlineStr">
        <is>
          <t>Telangana</t>
        </is>
      </c>
      <c r="E1122" s="9" t="inlineStr">
        <is>
          <t>India</t>
        </is>
      </c>
      <c r="F1122" s="9" t="n">
        <v>1</v>
      </c>
      <c r="G1122" s="9" t="n">
        <v>1</v>
      </c>
      <c r="H1122" s="9" t="n">
        <v>1</v>
      </c>
      <c r="I1122" s="10" t="n">
        <v>43878</v>
      </c>
      <c r="J1122" s="10" t="n">
        <v>43878</v>
      </c>
      <c r="K1122" s="9" t="n">
        <v>17.44487</v>
      </c>
      <c r="L1122" s="9" t="n">
        <v>78.38365</v>
      </c>
      <c r="M1122" s="9" t="inlineStr">
        <is>
          <t>https://www.google.com/maps/place/?q=place_id:ChIJt1pcD-CTyzsRbT14HEHVTAY</t>
        </is>
      </c>
    </row>
    <row r="1123">
      <c r="A1123" s="9" t="n">
        <v>1119</v>
      </c>
      <c r="B1123" s="9" t="inlineStr">
        <is>
          <t>Malkajgiri</t>
        </is>
      </c>
      <c r="C1123" s="9" t="inlineStr">
        <is>
          <t>Hyderabad</t>
        </is>
      </c>
      <c r="D1123" s="9" t="inlineStr">
        <is>
          <t>Telangana</t>
        </is>
      </c>
      <c r="E1123" s="9" t="inlineStr">
        <is>
          <t>India</t>
        </is>
      </c>
      <c r="F1123" s="9" t="n">
        <v>1</v>
      </c>
      <c r="G1123" s="9" t="n">
        <v>1</v>
      </c>
      <c r="H1123" s="9" t="n">
        <v>1</v>
      </c>
      <c r="I1123" s="10" t="n">
        <v>43880</v>
      </c>
      <c r="J1123" s="10" t="n">
        <v>43880</v>
      </c>
      <c r="K1123" s="9" t="n">
        <v>17.41158</v>
      </c>
      <c r="L1123" s="9" t="n">
        <v>78.49648000000001</v>
      </c>
      <c r="M1123" s="9" t="inlineStr">
        <is>
          <t>https://www.google.com/maps/place/?q=place_id:ChIJyxCimOyZyzsR6zT7l6aGeKM</t>
        </is>
      </c>
    </row>
    <row r="1124">
      <c r="A1124" s="9" t="n">
        <v>1120</v>
      </c>
      <c r="B1124" s="9" t="inlineStr">
        <is>
          <t>Malkajgiri</t>
        </is>
      </c>
      <c r="C1124" s="9" t="inlineStr">
        <is>
          <t>Hyderabad</t>
        </is>
      </c>
      <c r="D1124" s="9" t="inlineStr">
        <is>
          <t>Telangana</t>
        </is>
      </c>
      <c r="E1124" s="9" t="inlineStr">
        <is>
          <t>India</t>
        </is>
      </c>
      <c r="F1124" s="9" t="n">
        <v>1</v>
      </c>
      <c r="G1124" s="9" t="n">
        <v>1</v>
      </c>
      <c r="H1124" s="9" t="n">
        <v>1</v>
      </c>
      <c r="I1124" s="10" t="n">
        <v>43880</v>
      </c>
      <c r="J1124" s="10" t="n">
        <v>43880</v>
      </c>
      <c r="K1124" s="9" t="n">
        <v>17.43061</v>
      </c>
      <c r="L1124" s="9" t="n">
        <v>78.48865000000001</v>
      </c>
      <c r="M1124" s="9" t="inlineStr">
        <is>
          <t>https://www.google.com/maps/place/?q=place_id:ChIJ56xfnRyayzsR_68ZZoLPMMo</t>
        </is>
      </c>
    </row>
    <row r="1125">
      <c r="A1125" s="9" t="n">
        <v>1121</v>
      </c>
      <c r="B1125" s="9" t="inlineStr">
        <is>
          <t>Kukatpally</t>
        </is>
      </c>
      <c r="C1125" s="9" t="inlineStr">
        <is>
          <t>Hyderabad</t>
        </is>
      </c>
      <c r="D1125" s="9" t="inlineStr">
        <is>
          <t>Telangana</t>
        </is>
      </c>
      <c r="E1125" s="9" t="inlineStr">
        <is>
          <t>India</t>
        </is>
      </c>
      <c r="F1125" s="9" t="n">
        <v>1</v>
      </c>
      <c r="G1125" s="9" t="n">
        <v>1</v>
      </c>
      <c r="H1125" s="9" t="n">
        <v>1</v>
      </c>
      <c r="I1125" s="10" t="n">
        <v>43880</v>
      </c>
      <c r="J1125" s="10" t="n">
        <v>43880</v>
      </c>
      <c r="K1125" s="9" t="n">
        <v>17.438</v>
      </c>
      <c r="L1125" s="9" t="n">
        <v>78.39524</v>
      </c>
      <c r="M1125" s="9" t="inlineStr">
        <is>
          <t>https://www.google.com/maps/place/?q=place_id:ChIJod30LVuRyzsRN0MAkpwhP4k</t>
        </is>
      </c>
    </row>
    <row r="1126">
      <c r="A1126" s="9" t="n">
        <v>1122</v>
      </c>
      <c r="B1126" s="9" t="inlineStr">
        <is>
          <t>Hyderabad</t>
        </is>
      </c>
      <c r="C1126" s="9" t="inlineStr">
        <is>
          <t>Hyderabad</t>
        </is>
      </c>
      <c r="D1126" s="9" t="inlineStr">
        <is>
          <t>Telangana</t>
        </is>
      </c>
      <c r="E1126" s="9" t="inlineStr">
        <is>
          <t>India</t>
        </is>
      </c>
      <c r="F1126" s="9" t="n">
        <v>1</v>
      </c>
      <c r="G1126" s="9" t="n">
        <v>1</v>
      </c>
      <c r="H1126" s="9" t="n">
        <v>1</v>
      </c>
      <c r="I1126" s="10" t="n">
        <v>43881</v>
      </c>
      <c r="J1126" s="10" t="n">
        <v>43881</v>
      </c>
      <c r="K1126" s="9" t="n">
        <v>17.40896</v>
      </c>
      <c r="L1126" s="9" t="n">
        <v>78.45025</v>
      </c>
      <c r="M1126" s="9" t="inlineStr">
        <is>
          <t>https://www.google.com/maps/place/?q=place_id:ChIJPdYLUxqXyzsRl3_ZVkVdGE0</t>
        </is>
      </c>
    </row>
    <row r="1127">
      <c r="A1127" s="9" t="n">
        <v>1123</v>
      </c>
      <c r="B1127" s="9" t="inlineStr">
        <is>
          <t>Kukatpally</t>
        </is>
      </c>
      <c r="C1127" s="9" t="inlineStr">
        <is>
          <t>Hyderabad</t>
        </is>
      </c>
      <c r="D1127" s="9" t="inlineStr">
        <is>
          <t>Telangana</t>
        </is>
      </c>
      <c r="E1127" s="9" t="inlineStr">
        <is>
          <t>India</t>
        </is>
      </c>
      <c r="F1127" s="9" t="n">
        <v>1</v>
      </c>
      <c r="G1127" s="9" t="n">
        <v>1</v>
      </c>
      <c r="H1127" s="9" t="n">
        <v>1</v>
      </c>
      <c r="I1127" s="10" t="n">
        <v>43884</v>
      </c>
      <c r="J1127" s="10" t="n">
        <v>43884</v>
      </c>
      <c r="K1127" s="9" t="n">
        <v>17.4805</v>
      </c>
      <c r="L1127" s="9" t="n">
        <v>78.39031</v>
      </c>
      <c r="M1127" s="9" t="inlineStr">
        <is>
          <t>https://www.google.com/maps/place/?q=place_id:ChIJiQXCV4-RyzsRuIBEk5-6zyg</t>
        </is>
      </c>
    </row>
    <row r="1128">
      <c r="A1128" s="9" t="n">
        <v>1124</v>
      </c>
      <c r="B1128" s="9" t="inlineStr">
        <is>
          <t>Hyderabad</t>
        </is>
      </c>
      <c r="C1128" s="9" t="inlineStr">
        <is>
          <t>Hyderabad</t>
        </is>
      </c>
      <c r="D1128" s="9" t="inlineStr">
        <is>
          <t>Telangana</t>
        </is>
      </c>
      <c r="E1128" s="9" t="inlineStr">
        <is>
          <t>India</t>
        </is>
      </c>
      <c r="F1128" s="9" t="n">
        <v>1</v>
      </c>
      <c r="G1128" s="9" t="n">
        <v>1</v>
      </c>
      <c r="H1128" s="9" t="n">
        <v>1</v>
      </c>
      <c r="I1128" s="10" t="n">
        <v>43895</v>
      </c>
      <c r="J1128" s="10" t="n">
        <v>43895</v>
      </c>
      <c r="K1128" s="9" t="n">
        <v>17.40784</v>
      </c>
      <c r="L1128" s="9" t="n">
        <v>78.44248</v>
      </c>
      <c r="M1128" s="9" t="inlineStr">
        <is>
          <t>https://www.google.com/maps/place/?q=place_id:ChIJoXNYnDyXyzsRvwje8JGkQCk</t>
        </is>
      </c>
    </row>
    <row r="1129">
      <c r="A1129" s="9" t="n">
        <v>1125</v>
      </c>
      <c r="B1129" s="9" t="inlineStr">
        <is>
          <t>Hyderabad</t>
        </is>
      </c>
      <c r="C1129" s="9" t="inlineStr">
        <is>
          <t>Hyderabad</t>
        </is>
      </c>
      <c r="D1129" s="9" t="inlineStr">
        <is>
          <t>Telangana</t>
        </is>
      </c>
      <c r="E1129" s="9" t="inlineStr">
        <is>
          <t>India</t>
        </is>
      </c>
      <c r="F1129" s="9" t="n">
        <v>1</v>
      </c>
      <c r="G1129" s="9" t="n">
        <v>1</v>
      </c>
      <c r="H1129" s="9" t="n">
        <v>1</v>
      </c>
      <c r="I1129" s="10" t="n">
        <v>43896</v>
      </c>
      <c r="J1129" s="10" t="n">
        <v>43896</v>
      </c>
      <c r="K1129" s="9" t="n">
        <v>17.40925</v>
      </c>
      <c r="L1129" s="9" t="n">
        <v>78.43267</v>
      </c>
      <c r="M1129" s="9" t="inlineStr">
        <is>
          <t>https://www.google.com/maps/place/?q=place_id:ChIJfbIm4iaXyzsRTtJi2DNPc1Q</t>
        </is>
      </c>
    </row>
    <row r="1130">
      <c r="A1130" s="9" t="n">
        <v>1126</v>
      </c>
      <c r="B1130" s="9" t="inlineStr">
        <is>
          <t>Hyderabad</t>
        </is>
      </c>
      <c r="C1130" s="9" t="inlineStr">
        <is>
          <t>Hyderabad</t>
        </is>
      </c>
      <c r="D1130" s="9" t="inlineStr">
        <is>
          <t>Telangana</t>
        </is>
      </c>
      <c r="E1130" s="9" t="inlineStr">
        <is>
          <t>India</t>
        </is>
      </c>
      <c r="F1130" s="9" t="n">
        <v>1</v>
      </c>
      <c r="G1130" s="9" t="n">
        <v>1</v>
      </c>
      <c r="H1130" s="9" t="n">
        <v>1</v>
      </c>
      <c r="I1130" s="10" t="n">
        <v>43896</v>
      </c>
      <c r="J1130" s="10" t="n">
        <v>43896</v>
      </c>
      <c r="K1130" s="9" t="n">
        <v>17.41711</v>
      </c>
      <c r="L1130" s="9" t="n">
        <v>78.43052</v>
      </c>
      <c r="M1130" s="9" t="inlineStr">
        <is>
          <t>https://www.google.com/maps/place/?q=place_id:ChIJ75DxqiuXyzsRJLy13SgtqRI</t>
        </is>
      </c>
    </row>
    <row r="1131">
      <c r="A1131" s="9" t="n">
        <v>1127</v>
      </c>
      <c r="B1131" s="9" t="inlineStr">
        <is>
          <t>Hyderabad</t>
        </is>
      </c>
      <c r="C1131" s="9" t="inlineStr">
        <is>
          <t>Hyderabad</t>
        </is>
      </c>
      <c r="D1131" s="9" t="inlineStr">
        <is>
          <t>Telangana</t>
        </is>
      </c>
      <c r="E1131" s="9" t="inlineStr">
        <is>
          <t>India</t>
        </is>
      </c>
      <c r="F1131" s="9" t="n">
        <v>1</v>
      </c>
      <c r="G1131" s="9" t="n">
        <v>1</v>
      </c>
      <c r="H1131" s="9" t="n">
        <v>1</v>
      </c>
      <c r="I1131" s="10" t="n">
        <v>43904</v>
      </c>
      <c r="J1131" s="10" t="n">
        <v>43904</v>
      </c>
      <c r="K1131" s="9" t="n">
        <v>17.43373</v>
      </c>
      <c r="L1131" s="9" t="n">
        <v>78.44436</v>
      </c>
      <c r="M1131" s="9" t="inlineStr">
        <is>
          <t>https://www.google.com/maps/place/?q=place_id:ChIJZSj4BxeRyzsRb1C02askw_w</t>
        </is>
      </c>
    </row>
    <row r="1132">
      <c r="A1132" s="9" t="n">
        <v>1128</v>
      </c>
      <c r="B1132" s="9" t="inlineStr">
        <is>
          <t>Kukatpally</t>
        </is>
      </c>
      <c r="C1132" s="9" t="inlineStr">
        <is>
          <t>Hyderabad</t>
        </is>
      </c>
      <c r="D1132" s="9" t="inlineStr">
        <is>
          <t>Telangana</t>
        </is>
      </c>
      <c r="E1132" s="9" t="inlineStr">
        <is>
          <t>India</t>
        </is>
      </c>
      <c r="F1132" s="9" t="n">
        <v>1</v>
      </c>
      <c r="G1132" s="9" t="n">
        <v>1</v>
      </c>
      <c r="H1132" s="9" t="n">
        <v>1</v>
      </c>
      <c r="I1132" s="10" t="n">
        <v>43915</v>
      </c>
      <c r="J1132" s="10" t="n">
        <v>43915</v>
      </c>
      <c r="K1132" s="9" t="n">
        <v>17.48063</v>
      </c>
      <c r="L1132" s="9" t="n">
        <v>78.41974</v>
      </c>
      <c r="M1132" s="9" t="inlineStr">
        <is>
          <t>https://www.google.com/maps/place/?q=place_id:ChIJaSOqu6-RyzsR8UJPXAdVRps</t>
        </is>
      </c>
    </row>
    <row r="1133">
      <c r="A1133" s="9" t="n">
        <v>1129</v>
      </c>
      <c r="B1133" s="9" t="inlineStr">
        <is>
          <t>Kukatpally</t>
        </is>
      </c>
      <c r="C1133" s="9" t="inlineStr">
        <is>
          <t>Hyderabad</t>
        </is>
      </c>
      <c r="D1133" s="9" t="inlineStr">
        <is>
          <t>Telangana</t>
        </is>
      </c>
      <c r="E1133" s="9" t="inlineStr">
        <is>
          <t>India</t>
        </is>
      </c>
      <c r="F1133" s="9" t="n">
        <v>1</v>
      </c>
      <c r="G1133" s="9" t="n">
        <v>1</v>
      </c>
      <c r="H1133" s="9" t="n">
        <v>1</v>
      </c>
      <c r="I1133" s="10" t="n">
        <v>43915</v>
      </c>
      <c r="J1133" s="10" t="n">
        <v>43915</v>
      </c>
      <c r="K1133" s="9" t="n">
        <v>17.47683</v>
      </c>
      <c r="L1133" s="9" t="n">
        <v>78.42211</v>
      </c>
      <c r="M1133" s="9" t="inlineStr">
        <is>
          <t>https://www.google.com/maps/place/?q=place_id:ChIJDZc-f6WRyzsRywMwFTzr6JY</t>
        </is>
      </c>
    </row>
    <row r="1134">
      <c r="A1134" s="9" t="n">
        <v>1130</v>
      </c>
      <c r="B1134" s="9" t="inlineStr">
        <is>
          <t>Kukatpally</t>
        </is>
      </c>
      <c r="C1134" s="9" t="inlineStr">
        <is>
          <t>Hyderabad</t>
        </is>
      </c>
      <c r="D1134" s="9" t="inlineStr">
        <is>
          <t>Telangana</t>
        </is>
      </c>
      <c r="E1134" s="9" t="inlineStr">
        <is>
          <t>India</t>
        </is>
      </c>
      <c r="F1134" s="9" t="n">
        <v>1</v>
      </c>
      <c r="G1134" s="9" t="n">
        <v>1</v>
      </c>
      <c r="H1134" s="9" t="n">
        <v>1</v>
      </c>
      <c r="I1134" s="10" t="n">
        <v>43915</v>
      </c>
      <c r="J1134" s="10" t="n">
        <v>43915</v>
      </c>
      <c r="K1134" s="9" t="n">
        <v>17.4721</v>
      </c>
      <c r="L1134" s="9" t="n">
        <v>78.42596</v>
      </c>
      <c r="M1134" s="9" t="inlineStr">
        <is>
          <t>https://www.google.com/maps/place/?q=place_id:ChIJmX7cbqqRyzsRbFF8hqpWYTY</t>
        </is>
      </c>
    </row>
    <row r="1135">
      <c r="A1135" s="9" t="n">
        <v>1131</v>
      </c>
      <c r="B1135" s="9" t="inlineStr">
        <is>
          <t>Gaddi Annaram</t>
        </is>
      </c>
      <c r="C1135" s="9" t="inlineStr">
        <is>
          <t>Hyderabad</t>
        </is>
      </c>
      <c r="D1135" s="9" t="inlineStr">
        <is>
          <t>Telangana</t>
        </is>
      </c>
      <c r="E1135" s="9" t="inlineStr">
        <is>
          <t>India</t>
        </is>
      </c>
      <c r="F1135" s="9" t="n">
        <v>1</v>
      </c>
      <c r="G1135" s="9" t="n">
        <v>1</v>
      </c>
      <c r="H1135" s="9" t="n">
        <v>1</v>
      </c>
      <c r="I1135" s="10" t="n">
        <v>43988</v>
      </c>
      <c r="J1135" s="10" t="n">
        <v>43988</v>
      </c>
      <c r="K1135" s="9" t="n">
        <v>17.37415</v>
      </c>
      <c r="L1135" s="9" t="n">
        <v>78.50538</v>
      </c>
      <c r="M1135" s="9" t="inlineStr">
        <is>
          <t>https://www.google.com/maps/place/?q=place_id:ChIJNy6z4U6YyzsRxfPD23teA9E</t>
        </is>
      </c>
    </row>
    <row r="1136">
      <c r="A1136" s="9" t="n">
        <v>1132</v>
      </c>
      <c r="B1136" s="9" t="inlineStr">
        <is>
          <t>Hyderabad</t>
        </is>
      </c>
      <c r="C1136" s="9" t="inlineStr">
        <is>
          <t>Hyderabad</t>
        </is>
      </c>
      <c r="D1136" s="9" t="inlineStr">
        <is>
          <t>Telangana</t>
        </is>
      </c>
      <c r="E1136" s="9" t="inlineStr">
        <is>
          <t>India</t>
        </is>
      </c>
      <c r="F1136" s="9" t="n">
        <v>1</v>
      </c>
      <c r="G1136" s="9" t="n">
        <v>2</v>
      </c>
      <c r="H1136" s="9" t="n">
        <v>1</v>
      </c>
      <c r="I1136" s="10" t="n">
        <v>44047</v>
      </c>
      <c r="J1136" s="10" t="n">
        <v>44048</v>
      </c>
      <c r="K1136" s="9" t="n">
        <v>17.40867</v>
      </c>
      <c r="L1136" s="9" t="n">
        <v>78.43087</v>
      </c>
      <c r="M1136" s="9" t="inlineStr">
        <is>
          <t>https://www.google.com/maps/place/?q=place_id:ChIJxdUGJSeXyzsReFa9dWu40qw</t>
        </is>
      </c>
    </row>
    <row r="1137">
      <c r="A1137" s="9" t="n">
        <v>1133</v>
      </c>
      <c r="B1137" s="9" t="inlineStr">
        <is>
          <t>Hyderabad</t>
        </is>
      </c>
      <c r="C1137" s="9" t="inlineStr">
        <is>
          <t>Hyderabad</t>
        </is>
      </c>
      <c r="D1137" s="9" t="inlineStr">
        <is>
          <t>Telangana</t>
        </is>
      </c>
      <c r="E1137" s="9" t="inlineStr">
        <is>
          <t>India</t>
        </is>
      </c>
      <c r="F1137" s="9" t="n">
        <v>1</v>
      </c>
      <c r="G1137" s="9" t="n">
        <v>1</v>
      </c>
      <c r="H1137" s="9" t="n">
        <v>1</v>
      </c>
      <c r="I1137" s="10" t="n">
        <v>44093</v>
      </c>
      <c r="J1137" s="10" t="n">
        <v>44093</v>
      </c>
      <c r="K1137" s="9" t="n">
        <v>17.3844</v>
      </c>
      <c r="L1137" s="9" t="n">
        <v>78.48202999999999</v>
      </c>
      <c r="M1137" s="9" t="inlineStr">
        <is>
          <t>https://www.google.com/maps/place/?q=place_id:ChIJf7V0882ZyzsR9CwOkYHkA8w</t>
        </is>
      </c>
    </row>
    <row r="1138">
      <c r="A1138" s="9" t="n">
        <v>1134</v>
      </c>
      <c r="B1138" s="9" t="inlineStr">
        <is>
          <t>Hyderabad</t>
        </is>
      </c>
      <c r="C1138" s="9" t="inlineStr">
        <is>
          <t>Hyderabad</t>
        </is>
      </c>
      <c r="D1138" s="9" t="inlineStr">
        <is>
          <t>Telangana</t>
        </is>
      </c>
      <c r="E1138" s="9" t="inlineStr">
        <is>
          <t>India</t>
        </is>
      </c>
      <c r="F1138" s="9" t="n">
        <v>1</v>
      </c>
      <c r="G1138" s="9" t="n">
        <v>1</v>
      </c>
      <c r="H1138" s="9" t="n">
        <v>1</v>
      </c>
      <c r="I1138" s="10" t="n">
        <v>44141</v>
      </c>
      <c r="J1138" s="10" t="n">
        <v>44141</v>
      </c>
      <c r="K1138" s="9" t="n">
        <v>17.41615</v>
      </c>
      <c r="L1138" s="9" t="n">
        <v>78.4182</v>
      </c>
      <c r="M1138" s="9" t="inlineStr">
        <is>
          <t>https://www.google.com/maps/place/?q=place_id:ChIJux-xJ86WyzsRAusbw-gtQLg</t>
        </is>
      </c>
    </row>
    <row r="1139">
      <c r="A1139" s="9" t="n">
        <v>1135</v>
      </c>
      <c r="B1139" s="9" t="inlineStr">
        <is>
          <t>Hyderabad</t>
        </is>
      </c>
      <c r="C1139" s="9" t="inlineStr">
        <is>
          <t>Hyderabad</t>
        </is>
      </c>
      <c r="D1139" s="9" t="inlineStr">
        <is>
          <t>Telangana</t>
        </is>
      </c>
      <c r="E1139" s="9" t="inlineStr">
        <is>
          <t>India</t>
        </is>
      </c>
      <c r="F1139" s="9" t="n">
        <v>1</v>
      </c>
      <c r="G1139" s="9" t="n">
        <v>1</v>
      </c>
      <c r="H1139" s="9" t="n">
        <v>1</v>
      </c>
      <c r="I1139" s="10" t="n">
        <v>44193</v>
      </c>
      <c r="J1139" s="10" t="n">
        <v>44193</v>
      </c>
      <c r="K1139" s="9" t="n">
        <v>17.38454</v>
      </c>
      <c r="L1139" s="9" t="n">
        <v>78.35959</v>
      </c>
      <c r="M1139" s="9" t="inlineStr">
        <is>
          <t>https://www.google.com/maps/place/?q=place_id:ChIJ6__3m1WVyzsRhwz_I5sIWWY</t>
        </is>
      </c>
    </row>
    <row r="1140">
      <c r="A1140" s="9" t="n">
        <v>1136</v>
      </c>
      <c r="B1140" s="9" t="inlineStr">
        <is>
          <t>Kukatpally</t>
        </is>
      </c>
      <c r="C1140" s="9" t="inlineStr">
        <is>
          <t>Hyderabad</t>
        </is>
      </c>
      <c r="D1140" s="9" t="inlineStr">
        <is>
          <t>Telangana</t>
        </is>
      </c>
      <c r="E1140" s="9" t="inlineStr">
        <is>
          <t>India</t>
        </is>
      </c>
      <c r="F1140" s="9" t="n">
        <v>1</v>
      </c>
      <c r="G1140" s="9" t="n">
        <v>1</v>
      </c>
      <c r="H1140" s="9" t="n">
        <v>1</v>
      </c>
      <c r="I1140" s="10" t="n">
        <v>44198</v>
      </c>
      <c r="J1140" s="10" t="n">
        <v>44198</v>
      </c>
      <c r="K1140" s="9" t="n">
        <v>17.42928</v>
      </c>
      <c r="L1140" s="9" t="n">
        <v>78.40958000000001</v>
      </c>
      <c r="M1140" s="9" t="inlineStr">
        <is>
          <t>https://www.google.com/maps/place/?q=place_id:ChIJZ44jEjeRyzsRa4_fU0NkSjY</t>
        </is>
      </c>
    </row>
    <row r="1141">
      <c r="A1141" s="9" t="n">
        <v>1137</v>
      </c>
      <c r="B1141" s="9" t="inlineStr">
        <is>
          <t>Hyderabad</t>
        </is>
      </c>
      <c r="C1141" s="9" t="inlineStr">
        <is>
          <t>Hyderabad</t>
        </is>
      </c>
      <c r="D1141" s="9" t="inlineStr">
        <is>
          <t>Telangana</t>
        </is>
      </c>
      <c r="E1141" s="9" t="inlineStr">
        <is>
          <t>India</t>
        </is>
      </c>
      <c r="F1141" s="9" t="n">
        <v>1</v>
      </c>
      <c r="G1141" s="9" t="n">
        <v>1</v>
      </c>
      <c r="H1141" s="9" t="n">
        <v>1</v>
      </c>
      <c r="I1141" s="10" t="n">
        <v>44200</v>
      </c>
      <c r="J1141" s="10" t="n">
        <v>44200</v>
      </c>
      <c r="K1141" s="9" t="n">
        <v>17.40735</v>
      </c>
      <c r="L1141" s="9" t="n">
        <v>78.44904</v>
      </c>
      <c r="M1141" s="9" t="inlineStr">
        <is>
          <t>https://www.google.com/maps/place/?q=place_id:ChIJ83Z7WSOXyzsRT77M4LSrL6U</t>
        </is>
      </c>
    </row>
    <row r="1142">
      <c r="A1142" s="9" t="n">
        <v>1138</v>
      </c>
      <c r="B1142" s="9" t="inlineStr">
        <is>
          <t>Hyderabad</t>
        </is>
      </c>
      <c r="C1142" s="9" t="inlineStr">
        <is>
          <t>Hyderabad</t>
        </is>
      </c>
      <c r="D1142" s="9" t="inlineStr">
        <is>
          <t>Telangana</t>
        </is>
      </c>
      <c r="E1142" s="9" t="inlineStr">
        <is>
          <t>India</t>
        </is>
      </c>
      <c r="F1142" s="9" t="n">
        <v>1</v>
      </c>
      <c r="G1142" s="9" t="n">
        <v>1</v>
      </c>
      <c r="H1142" s="9" t="n">
        <v>1</v>
      </c>
      <c r="I1142" s="10" t="n">
        <v>44206</v>
      </c>
      <c r="J1142" s="10" t="n">
        <v>44206</v>
      </c>
      <c r="K1142" s="9" t="n">
        <v>17.42086</v>
      </c>
      <c r="L1142" s="9" t="n">
        <v>78.43455</v>
      </c>
      <c r="M1142" s="9" t="inlineStr">
        <is>
          <t>https://www.google.com/maps/place/?q=place_id:ChIJVVVVJSyXyzsRKPR0Gzzsxhs</t>
        </is>
      </c>
    </row>
    <row r="1143">
      <c r="A1143" s="9" t="n">
        <v>1139</v>
      </c>
      <c r="B1143" s="9" t="inlineStr">
        <is>
          <t>Kukatpally</t>
        </is>
      </c>
      <c r="C1143" s="9" t="inlineStr">
        <is>
          <t>Hyderabad</t>
        </is>
      </c>
      <c r="D1143" s="9" t="inlineStr">
        <is>
          <t>Telangana</t>
        </is>
      </c>
      <c r="E1143" s="9" t="inlineStr">
        <is>
          <t>India</t>
        </is>
      </c>
      <c r="F1143" s="9" t="n">
        <v>1</v>
      </c>
      <c r="G1143" s="9" t="n">
        <v>1</v>
      </c>
      <c r="H1143" s="9" t="n">
        <v>1</v>
      </c>
      <c r="I1143" s="10" t="n">
        <v>44206</v>
      </c>
      <c r="J1143" s="10" t="n">
        <v>44206</v>
      </c>
      <c r="K1143" s="9" t="n">
        <v>17.43022</v>
      </c>
      <c r="L1143" s="9" t="n">
        <v>78.40291000000001</v>
      </c>
      <c r="M1143" s="9" t="inlineStr">
        <is>
          <t>https://www.google.com/maps/place/?q=place_id:ChIJk8ara0mRyzsRnOMOro6xbBY</t>
        </is>
      </c>
    </row>
    <row r="1144">
      <c r="A1144" s="9" t="n">
        <v>1140</v>
      </c>
      <c r="B1144" s="9" t="inlineStr">
        <is>
          <t>Hyderabad</t>
        </is>
      </c>
      <c r="C1144" s="9" t="inlineStr">
        <is>
          <t>Hyderabad</t>
        </is>
      </c>
      <c r="D1144" s="9" t="inlineStr">
        <is>
          <t>Telangana</t>
        </is>
      </c>
      <c r="E1144" s="9" t="inlineStr">
        <is>
          <t>India</t>
        </is>
      </c>
      <c r="F1144" s="9" t="n">
        <v>1</v>
      </c>
      <c r="G1144" s="9" t="n">
        <v>1</v>
      </c>
      <c r="H1144" s="9" t="n">
        <v>1</v>
      </c>
      <c r="I1144" s="10" t="n">
        <v>44220</v>
      </c>
      <c r="J1144" s="10" t="n">
        <v>44220</v>
      </c>
      <c r="K1144" s="9" t="n">
        <v>17.40824</v>
      </c>
      <c r="L1144" s="9" t="n">
        <v>78.42959999999999</v>
      </c>
      <c r="M1144" s="9" t="inlineStr">
        <is>
          <t>https://www.google.com/maps/place/?q=place_id:ChIJn7Q9p9iWyzsRbUPFqnbIZdE</t>
        </is>
      </c>
    </row>
    <row r="1145">
      <c r="A1145" s="9" t="n">
        <v>1141</v>
      </c>
      <c r="B1145" s="9" t="inlineStr">
        <is>
          <t>Hyderabad</t>
        </is>
      </c>
      <c r="C1145" s="9" t="inlineStr">
        <is>
          <t>Hyderabad</t>
        </is>
      </c>
      <c r="D1145" s="9" t="inlineStr">
        <is>
          <t>Telangana</t>
        </is>
      </c>
      <c r="E1145" s="9" t="inlineStr">
        <is>
          <t>India</t>
        </is>
      </c>
      <c r="F1145" s="9" t="n">
        <v>1</v>
      </c>
      <c r="G1145" s="9" t="n">
        <v>1</v>
      </c>
      <c r="H1145" s="9" t="n">
        <v>1</v>
      </c>
      <c r="I1145" s="10" t="n">
        <v>44231</v>
      </c>
      <c r="J1145" s="10" t="n">
        <v>44231</v>
      </c>
      <c r="K1145" s="9" t="n">
        <v>17.42992</v>
      </c>
      <c r="L1145" s="9" t="n">
        <v>78.44450999999999</v>
      </c>
      <c r="M1145" s="9" t="inlineStr">
        <is>
          <t>https://www.google.com/maps/place/?q=place_id:ChIJbwAAQM6QyzsRUxvm5nE9EvQ</t>
        </is>
      </c>
    </row>
    <row r="1146">
      <c r="A1146" s="9" t="n">
        <v>1142</v>
      </c>
      <c r="B1146" s="9" t="inlineStr">
        <is>
          <t>Hyderabad</t>
        </is>
      </c>
      <c r="C1146" s="9" t="inlineStr">
        <is>
          <t>Hyderabad</t>
        </is>
      </c>
      <c r="D1146" s="9" t="inlineStr">
        <is>
          <t>Telangana</t>
        </is>
      </c>
      <c r="E1146" s="9" t="inlineStr">
        <is>
          <t>India</t>
        </is>
      </c>
      <c r="F1146" s="9" t="n">
        <v>1</v>
      </c>
      <c r="G1146" s="9" t="n">
        <v>1</v>
      </c>
      <c r="H1146" s="9" t="n">
        <v>1</v>
      </c>
      <c r="I1146" s="10" t="n">
        <v>44231</v>
      </c>
      <c r="J1146" s="10" t="n">
        <v>44231</v>
      </c>
      <c r="K1146" s="9" t="n">
        <v>17.42581</v>
      </c>
      <c r="L1146" s="9" t="n">
        <v>78.45012</v>
      </c>
      <c r="M1146" s="9" t="inlineStr">
        <is>
          <t>https://www.google.com/maps/place/?q=place_id:ChIJV9ADea2TyzsRZcaBYtEyZ8s</t>
        </is>
      </c>
    </row>
    <row r="1147">
      <c r="A1147" s="9" t="n">
        <v>1143</v>
      </c>
      <c r="B1147" s="9" t="inlineStr">
        <is>
          <t>Kukatpally</t>
        </is>
      </c>
      <c r="C1147" s="9" t="inlineStr">
        <is>
          <t>Hyderabad</t>
        </is>
      </c>
      <c r="D1147" s="9" t="inlineStr">
        <is>
          <t>Telangana</t>
        </is>
      </c>
      <c r="E1147" s="9" t="inlineStr">
        <is>
          <t>India</t>
        </is>
      </c>
      <c r="F1147" s="9" t="n">
        <v>1</v>
      </c>
      <c r="G1147" s="9" t="n">
        <v>1</v>
      </c>
      <c r="H1147" s="9" t="n">
        <v>1</v>
      </c>
      <c r="I1147" s="10" t="n">
        <v>44231</v>
      </c>
      <c r="J1147" s="10" t="n">
        <v>44231</v>
      </c>
      <c r="K1147" s="9" t="n">
        <v>17.42967</v>
      </c>
      <c r="L1147" s="9" t="n">
        <v>78.40604</v>
      </c>
      <c r="M1147" s="9" t="inlineStr">
        <is>
          <t>https://www.google.com/maps/place/?q=place_id:ChIJiYxT8EmRyzsR3Byt2YnCzBc</t>
        </is>
      </c>
    </row>
    <row r="1148">
      <c r="A1148" s="9" t="n">
        <v>1144</v>
      </c>
      <c r="B1148" s="9" t="inlineStr">
        <is>
          <t>Hyderabad</t>
        </is>
      </c>
      <c r="C1148" s="9" t="inlineStr">
        <is>
          <t>Hyderabad</t>
        </is>
      </c>
      <c r="D1148" s="9" t="inlineStr">
        <is>
          <t>Telangana</t>
        </is>
      </c>
      <c r="E1148" s="9" t="inlineStr">
        <is>
          <t>India</t>
        </is>
      </c>
      <c r="F1148" s="9" t="n">
        <v>1</v>
      </c>
      <c r="G1148" s="9" t="n">
        <v>1</v>
      </c>
      <c r="H1148" s="9" t="n">
        <v>1</v>
      </c>
      <c r="I1148" s="10" t="n">
        <v>44234</v>
      </c>
      <c r="J1148" s="10" t="n">
        <v>44234</v>
      </c>
      <c r="K1148" s="9" t="n">
        <v>17.39081</v>
      </c>
      <c r="L1148" s="9" t="n">
        <v>78.48021</v>
      </c>
      <c r="M1148" s="9" t="inlineStr">
        <is>
          <t>https://www.google.com/maps/place/?q=place_id:ChIJO3L6qeO45zsRWjY2EKyGwnA</t>
        </is>
      </c>
    </row>
    <row r="1149">
      <c r="A1149" s="9" t="n">
        <v>1145</v>
      </c>
      <c r="B1149" s="9" t="inlineStr">
        <is>
          <t>Hyderabad</t>
        </is>
      </c>
      <c r="C1149" s="9" t="inlineStr">
        <is>
          <t>Hyderabad</t>
        </is>
      </c>
      <c r="D1149" s="9" t="inlineStr">
        <is>
          <t>Telangana</t>
        </is>
      </c>
      <c r="E1149" s="9" t="inlineStr">
        <is>
          <t>India</t>
        </is>
      </c>
      <c r="F1149" s="9" t="n">
        <v>1</v>
      </c>
      <c r="G1149" s="9" t="n">
        <v>1</v>
      </c>
      <c r="H1149" s="9" t="n">
        <v>1</v>
      </c>
      <c r="I1149" s="10" t="n">
        <v>44234</v>
      </c>
      <c r="J1149" s="10" t="n">
        <v>44234</v>
      </c>
      <c r="K1149" s="9" t="n">
        <v>17.38889</v>
      </c>
      <c r="L1149" s="9" t="n">
        <v>78.47548999999999</v>
      </c>
      <c r="M1149" s="9" t="inlineStr">
        <is>
          <t>https://www.google.com/maps/place/?q=place_id:ChIJWWpuB32XyzsRYBL9qf-q_x0</t>
        </is>
      </c>
    </row>
    <row r="1150">
      <c r="A1150" s="9" t="n">
        <v>1146</v>
      </c>
      <c r="B1150" s="9" t="inlineStr">
        <is>
          <t>Hyderabad</t>
        </is>
      </c>
      <c r="C1150" s="9" t="inlineStr">
        <is>
          <t>Hyderabad</t>
        </is>
      </c>
      <c r="D1150" s="9" t="inlineStr">
        <is>
          <t>Telangana</t>
        </is>
      </c>
      <c r="E1150" s="9" t="inlineStr">
        <is>
          <t>India</t>
        </is>
      </c>
      <c r="F1150" s="9" t="n">
        <v>1</v>
      </c>
      <c r="G1150" s="9" t="n">
        <v>1</v>
      </c>
      <c r="H1150" s="9" t="n">
        <v>1</v>
      </c>
      <c r="I1150" s="10" t="n">
        <v>44234</v>
      </c>
      <c r="J1150" s="10" t="n">
        <v>44234</v>
      </c>
      <c r="K1150" s="9" t="n">
        <v>17.41458</v>
      </c>
      <c r="L1150" s="9" t="n">
        <v>78.45057</v>
      </c>
      <c r="M1150" s="9" t="inlineStr">
        <is>
          <t>https://www.google.com/maps/place/?q=place_id:ChIJr53jJziXyzsRIuvYbQ58VRE</t>
        </is>
      </c>
    </row>
    <row r="1151">
      <c r="A1151" s="9" t="n">
        <v>1147</v>
      </c>
      <c r="B1151" s="9" t="inlineStr">
        <is>
          <t>Kukatpally</t>
        </is>
      </c>
      <c r="C1151" s="9" t="inlineStr">
        <is>
          <t>Hyderabad</t>
        </is>
      </c>
      <c r="D1151" s="9" t="inlineStr">
        <is>
          <t>Telangana</t>
        </is>
      </c>
      <c r="E1151" s="9" t="inlineStr">
        <is>
          <t>India</t>
        </is>
      </c>
      <c r="F1151" s="9" t="n">
        <v>1</v>
      </c>
      <c r="G1151" s="9" t="n">
        <v>1</v>
      </c>
      <c r="H1151" s="9" t="n">
        <v>1</v>
      </c>
      <c r="I1151" s="10" t="n">
        <v>44234</v>
      </c>
      <c r="J1151" s="10" t="n">
        <v>44234</v>
      </c>
      <c r="K1151" s="9" t="n">
        <v>17.47769</v>
      </c>
      <c r="L1151" s="9" t="n">
        <v>78.37617</v>
      </c>
      <c r="M1151" s="9" t="inlineStr">
        <is>
          <t>https://www.google.com/maps/place/?q=place_id:ChIJt3Z8zi6SyzsRQwjzTX_niGU</t>
        </is>
      </c>
    </row>
    <row r="1152">
      <c r="A1152" s="9" t="n">
        <v>1148</v>
      </c>
      <c r="B1152" s="9" t="inlineStr">
        <is>
          <t>Hyderabad</t>
        </is>
      </c>
      <c r="C1152" s="9" t="inlineStr">
        <is>
          <t>Hyderabad</t>
        </is>
      </c>
      <c r="D1152" s="9" t="inlineStr">
        <is>
          <t>Telangana</t>
        </is>
      </c>
      <c r="E1152" s="9" t="inlineStr">
        <is>
          <t>India</t>
        </is>
      </c>
      <c r="F1152" s="9" t="n">
        <v>1</v>
      </c>
      <c r="G1152" s="9" t="n">
        <v>1</v>
      </c>
      <c r="H1152" s="9" t="n">
        <v>1</v>
      </c>
      <c r="I1152" s="10" t="n">
        <v>44234</v>
      </c>
      <c r="J1152" s="10" t="n">
        <v>44234</v>
      </c>
      <c r="K1152" s="9" t="n">
        <v>17.4187</v>
      </c>
      <c r="L1152" s="9" t="n">
        <v>78.43368</v>
      </c>
      <c r="M1152" s="9" t="inlineStr">
        <is>
          <t>https://www.google.com/maps/place/?q=place_id:ChIJb5m6ZimXyzsR6Yqa6zXFLBM</t>
        </is>
      </c>
    </row>
    <row r="1153">
      <c r="A1153" s="9" t="n">
        <v>1149</v>
      </c>
      <c r="B1153" s="9" t="inlineStr">
        <is>
          <t>Hyderabad</t>
        </is>
      </c>
      <c r="C1153" s="9" t="inlineStr">
        <is>
          <t>Hyderabad</t>
        </is>
      </c>
      <c r="D1153" s="9" t="inlineStr">
        <is>
          <t>Telangana</t>
        </is>
      </c>
      <c r="E1153" s="9" t="inlineStr">
        <is>
          <t>India</t>
        </is>
      </c>
      <c r="F1153" s="9" t="n">
        <v>1</v>
      </c>
      <c r="G1153" s="9" t="n">
        <v>1</v>
      </c>
      <c r="H1153" s="9" t="n">
        <v>1</v>
      </c>
      <c r="I1153" s="10" t="n">
        <v>44234</v>
      </c>
      <c r="J1153" s="10" t="n">
        <v>44234</v>
      </c>
      <c r="K1153" s="9" t="n">
        <v>17.42137</v>
      </c>
      <c r="L1153" s="9" t="n">
        <v>78.44007999999999</v>
      </c>
      <c r="M1153" s="9" t="inlineStr">
        <is>
          <t>https://www.google.com/maps/place/?q=place_id:ChIJ0QMAlC2XyzsRyrTnfRz3L58</t>
        </is>
      </c>
    </row>
    <row r="1154">
      <c r="A1154" s="9" t="n">
        <v>1150</v>
      </c>
      <c r="B1154" s="9" t="inlineStr">
        <is>
          <t>Hyderabad</t>
        </is>
      </c>
      <c r="C1154" s="9" t="inlineStr">
        <is>
          <t>Hyderabad</t>
        </is>
      </c>
      <c r="D1154" s="9" t="inlineStr">
        <is>
          <t>Telangana</t>
        </is>
      </c>
      <c r="E1154" s="9" t="inlineStr">
        <is>
          <t>India</t>
        </is>
      </c>
      <c r="F1154" s="9" t="n">
        <v>1</v>
      </c>
      <c r="G1154" s="9" t="n">
        <v>1</v>
      </c>
      <c r="H1154" s="9" t="n">
        <v>1</v>
      </c>
      <c r="I1154" s="10" t="n">
        <v>44237</v>
      </c>
      <c r="J1154" s="10" t="n">
        <v>44237</v>
      </c>
      <c r="K1154" s="9" t="n">
        <v>17.36317</v>
      </c>
      <c r="L1154" s="9" t="n">
        <v>78.4345</v>
      </c>
      <c r="M1154" s="9" t="inlineStr">
        <is>
          <t>https://www.google.com/maps/place/?q=place_id:ChIJm3x3z7OXyzsRcb2xlGPy0fY</t>
        </is>
      </c>
    </row>
    <row r="1155">
      <c r="A1155" s="9" t="n">
        <v>1151</v>
      </c>
      <c r="B1155" s="9" t="inlineStr">
        <is>
          <t>Hyderabad</t>
        </is>
      </c>
      <c r="C1155" s="9" t="inlineStr">
        <is>
          <t>Hyderabad</t>
        </is>
      </c>
      <c r="D1155" s="9" t="inlineStr">
        <is>
          <t>Telangana</t>
        </is>
      </c>
      <c r="E1155" s="9" t="inlineStr">
        <is>
          <t>India</t>
        </is>
      </c>
      <c r="F1155" s="9" t="n">
        <v>1</v>
      </c>
      <c r="G1155" s="9" t="n">
        <v>1</v>
      </c>
      <c r="H1155" s="9" t="n">
        <v>1</v>
      </c>
      <c r="I1155" s="10" t="n">
        <v>44237</v>
      </c>
      <c r="J1155" s="10" t="n">
        <v>44237</v>
      </c>
      <c r="K1155" s="9" t="n">
        <v>17.36052</v>
      </c>
      <c r="L1155" s="9" t="n">
        <v>78.43300000000001</v>
      </c>
      <c r="M1155" s="9" t="inlineStr">
        <is>
          <t>https://www.google.com/maps/place/?q=place_id:ChIJ7Z0ZsPWXyzsRJhVJBIBHPFs</t>
        </is>
      </c>
    </row>
    <row r="1156">
      <c r="A1156" s="9" t="n">
        <v>1152</v>
      </c>
      <c r="B1156" s="9" t="inlineStr">
        <is>
          <t>Kukatpally</t>
        </is>
      </c>
      <c r="C1156" s="9" t="inlineStr">
        <is>
          <t>Hyderabad</t>
        </is>
      </c>
      <c r="D1156" s="9" t="inlineStr">
        <is>
          <t>Telangana</t>
        </is>
      </c>
      <c r="E1156" s="9" t="inlineStr">
        <is>
          <t>India</t>
        </is>
      </c>
      <c r="F1156" s="9" t="n">
        <v>1</v>
      </c>
      <c r="G1156" s="9" t="n">
        <v>1</v>
      </c>
      <c r="H1156" s="9" t="n">
        <v>1</v>
      </c>
      <c r="I1156" s="10" t="n">
        <v>44245</v>
      </c>
      <c r="J1156" s="10" t="n">
        <v>44245</v>
      </c>
      <c r="K1156" s="9" t="n">
        <v>17.46735</v>
      </c>
      <c r="L1156" s="9" t="n">
        <v>78.37052</v>
      </c>
      <c r="M1156" s="9" t="inlineStr">
        <is>
          <t>https://www.google.com/maps/place/?q=place_id:ChIJcXQpJc2TyzsRxOYN0B5Urwg</t>
        </is>
      </c>
    </row>
    <row r="1157">
      <c r="A1157" s="9" t="n">
        <v>1153</v>
      </c>
      <c r="B1157" s="9" t="inlineStr">
        <is>
          <t>Hyderabad</t>
        </is>
      </c>
      <c r="C1157" s="9" t="inlineStr">
        <is>
          <t>Hyderabad</t>
        </is>
      </c>
      <c r="D1157" s="9" t="inlineStr">
        <is>
          <t>Telangana</t>
        </is>
      </c>
      <c r="E1157" s="9" t="inlineStr">
        <is>
          <t>India</t>
        </is>
      </c>
      <c r="F1157" s="9" t="n">
        <v>1</v>
      </c>
      <c r="G1157" s="9" t="n">
        <v>1</v>
      </c>
      <c r="H1157" s="9" t="n">
        <v>1</v>
      </c>
      <c r="I1157" s="10" t="n">
        <v>44251</v>
      </c>
      <c r="J1157" s="10" t="n">
        <v>44251</v>
      </c>
      <c r="K1157" s="9" t="n">
        <v>17.32283</v>
      </c>
      <c r="L1157" s="9" t="n">
        <v>78.43755</v>
      </c>
      <c r="M1157" s="9" t="inlineStr">
        <is>
          <t>https://www.google.com/maps/place/?q=place_id:ChIJn-TgUXq9yzsRDhZLvbtuhmg</t>
        </is>
      </c>
    </row>
    <row r="1158">
      <c r="A1158" s="9" t="n">
        <v>1154</v>
      </c>
      <c r="B1158" s="9" t="inlineStr">
        <is>
          <t>Hyderabad</t>
        </is>
      </c>
      <c r="C1158" s="9" t="inlineStr">
        <is>
          <t>Hyderabad</t>
        </is>
      </c>
      <c r="D1158" s="9" t="inlineStr">
        <is>
          <t>Telangana</t>
        </is>
      </c>
      <c r="E1158" s="9" t="inlineStr">
        <is>
          <t>India</t>
        </is>
      </c>
      <c r="F1158" s="9" t="n">
        <v>1</v>
      </c>
      <c r="G1158" s="9" t="n">
        <v>1</v>
      </c>
      <c r="H1158" s="9" t="n">
        <v>1</v>
      </c>
      <c r="I1158" s="10" t="n">
        <v>44251</v>
      </c>
      <c r="J1158" s="10" t="n">
        <v>44251</v>
      </c>
      <c r="K1158" s="9" t="n">
        <v>17.33476</v>
      </c>
      <c r="L1158" s="9" t="n">
        <v>78.44240000000001</v>
      </c>
      <c r="M1158" s="9" t="inlineStr">
        <is>
          <t>https://www.google.com/maps/place/?q=place_id:ChIJ____j1aWyzsROu2dsLppIA0</t>
        </is>
      </c>
    </row>
    <row r="1159">
      <c r="A1159" s="9" t="n">
        <v>1155</v>
      </c>
      <c r="B1159" s="9" t="inlineStr">
        <is>
          <t>Hyderabad</t>
        </is>
      </c>
      <c r="C1159" s="9" t="inlineStr">
        <is>
          <t>Hyderabad</t>
        </is>
      </c>
      <c r="D1159" s="9" t="inlineStr">
        <is>
          <t>Telangana</t>
        </is>
      </c>
      <c r="E1159" s="9" t="inlineStr">
        <is>
          <t>India</t>
        </is>
      </c>
      <c r="F1159" s="9" t="n">
        <v>1</v>
      </c>
      <c r="G1159" s="9" t="n">
        <v>1</v>
      </c>
      <c r="H1159" s="9" t="n">
        <v>1</v>
      </c>
      <c r="I1159" s="10" t="n">
        <v>44251</v>
      </c>
      <c r="J1159" s="10" t="n">
        <v>44251</v>
      </c>
      <c r="K1159" s="9" t="n">
        <v>17.37878</v>
      </c>
      <c r="L1159" s="9" t="n">
        <v>78.48433</v>
      </c>
      <c r="M1159" s="9" t="inlineStr">
        <is>
          <t>https://www.google.com/maps/place/?q=place_id:ChIJubSuby2YyzsRT-3Paj5TOSs</t>
        </is>
      </c>
    </row>
    <row r="1160">
      <c r="A1160" s="9" t="n">
        <v>1156</v>
      </c>
      <c r="B1160" s="9" t="inlineStr">
        <is>
          <t>Hyderabad</t>
        </is>
      </c>
      <c r="C1160" s="9" t="inlineStr">
        <is>
          <t>Hyderabad</t>
        </is>
      </c>
      <c r="D1160" s="9" t="inlineStr">
        <is>
          <t>Telangana</t>
        </is>
      </c>
      <c r="E1160" s="9" t="inlineStr">
        <is>
          <t>India</t>
        </is>
      </c>
      <c r="F1160" s="9" t="n">
        <v>1</v>
      </c>
      <c r="G1160" s="9" t="n">
        <v>1</v>
      </c>
      <c r="H1160" s="9" t="n">
        <v>1</v>
      </c>
      <c r="I1160" s="10" t="n">
        <v>44251</v>
      </c>
      <c r="J1160" s="10" t="n">
        <v>44251</v>
      </c>
      <c r="K1160" s="9" t="n">
        <v>17.35983</v>
      </c>
      <c r="L1160" s="9" t="n">
        <v>78.45507000000001</v>
      </c>
      <c r="M1160" s="9" t="inlineStr">
        <is>
          <t>https://www.google.com/maps/place/?q=place_id:ChIJV3S7rZWXyzsRDUkOtsSRQK0</t>
        </is>
      </c>
    </row>
    <row r="1161">
      <c r="A1161" s="9" t="n">
        <v>1157</v>
      </c>
      <c r="B1161" s="9" t="inlineStr">
        <is>
          <t>Hyderabad</t>
        </is>
      </c>
      <c r="C1161" s="9" t="inlineStr">
        <is>
          <t>Hyderabad</t>
        </is>
      </c>
      <c r="D1161" s="9" t="inlineStr">
        <is>
          <t>Telangana</t>
        </is>
      </c>
      <c r="E1161" s="9" t="inlineStr">
        <is>
          <t>India</t>
        </is>
      </c>
      <c r="F1161" s="9" t="n">
        <v>1</v>
      </c>
      <c r="G1161" s="9" t="n">
        <v>1</v>
      </c>
      <c r="H1161" s="9" t="n">
        <v>1</v>
      </c>
      <c r="I1161" s="10" t="n">
        <v>44251</v>
      </c>
      <c r="J1161" s="10" t="n">
        <v>44251</v>
      </c>
      <c r="K1161" s="9" t="n">
        <v>17.36359</v>
      </c>
      <c r="L1161" s="9" t="n">
        <v>78.45657</v>
      </c>
      <c r="M1161" s="9" t="inlineStr">
        <is>
          <t>https://www.google.com/maps/place/?q=place_id:ChIJsxLm-JmXyzsRYqicXHNSY0E</t>
        </is>
      </c>
    </row>
    <row r="1162">
      <c r="A1162" s="9" t="n">
        <v>1158</v>
      </c>
      <c r="B1162" s="9" t="inlineStr">
        <is>
          <t>Hyderabad</t>
        </is>
      </c>
      <c r="C1162" s="9" t="inlineStr">
        <is>
          <t>Hyderabad</t>
        </is>
      </c>
      <c r="D1162" s="9" t="inlineStr">
        <is>
          <t>Telangana</t>
        </is>
      </c>
      <c r="E1162" s="9" t="inlineStr">
        <is>
          <t>India</t>
        </is>
      </c>
      <c r="F1162" s="9" t="n">
        <v>1</v>
      </c>
      <c r="G1162" s="9" t="n">
        <v>1</v>
      </c>
      <c r="H1162" s="9" t="n">
        <v>1</v>
      </c>
      <c r="I1162" s="10" t="n">
        <v>44260</v>
      </c>
      <c r="J1162" s="10" t="n">
        <v>44260</v>
      </c>
      <c r="K1162" s="9" t="n">
        <v>17.4194</v>
      </c>
      <c r="L1162" s="9" t="n">
        <v>78.41231000000001</v>
      </c>
      <c r="M1162" s="9" t="inlineStr">
        <is>
          <t>https://www.google.com/maps/place/?q=place_id:ChIJF6L0MIeXyzsRulGXDWA-m6U</t>
        </is>
      </c>
    </row>
    <row r="1163">
      <c r="A1163" s="9" t="n">
        <v>1159</v>
      </c>
      <c r="B1163" s="9" t="inlineStr">
        <is>
          <t>Hyderabad</t>
        </is>
      </c>
      <c r="C1163" s="9" t="inlineStr">
        <is>
          <t>Hyderabad</t>
        </is>
      </c>
      <c r="D1163" s="9" t="inlineStr">
        <is>
          <t>Telangana</t>
        </is>
      </c>
      <c r="E1163" s="9" t="inlineStr">
        <is>
          <t>India</t>
        </is>
      </c>
      <c r="F1163" s="9" t="n">
        <v>1</v>
      </c>
      <c r="G1163" s="9" t="n">
        <v>1</v>
      </c>
      <c r="H1163" s="9" t="n">
        <v>1</v>
      </c>
      <c r="I1163" s="10" t="n">
        <v>44260</v>
      </c>
      <c r="J1163" s="10" t="n">
        <v>44260</v>
      </c>
      <c r="K1163" s="9" t="n">
        <v>17.41316</v>
      </c>
      <c r="L1163" s="9" t="n">
        <v>78.42883</v>
      </c>
      <c r="M1163" s="9" t="inlineStr">
        <is>
          <t>https://www.google.com/maps/place/?q=place_id:ChIJEYIA99eWyzsRSSNEBKchBPU</t>
        </is>
      </c>
    </row>
    <row r="1164">
      <c r="A1164" s="9" t="n">
        <v>1160</v>
      </c>
      <c r="B1164" s="9" t="inlineStr">
        <is>
          <t>Kukatpally</t>
        </is>
      </c>
      <c r="C1164" s="9" t="inlineStr">
        <is>
          <t>Hyderabad</t>
        </is>
      </c>
      <c r="D1164" s="9" t="inlineStr">
        <is>
          <t>Telangana</t>
        </is>
      </c>
      <c r="E1164" s="9" t="inlineStr">
        <is>
          <t>India</t>
        </is>
      </c>
      <c r="F1164" s="9" t="n">
        <v>1</v>
      </c>
      <c r="G1164" s="9" t="n">
        <v>1</v>
      </c>
      <c r="H1164" s="9" t="n">
        <v>1</v>
      </c>
      <c r="I1164" s="10" t="n">
        <v>44267</v>
      </c>
      <c r="J1164" s="10" t="n">
        <v>44267</v>
      </c>
      <c r="K1164" s="9" t="n">
        <v>17.4368</v>
      </c>
      <c r="L1164" s="9" t="n">
        <v>78.38997000000001</v>
      </c>
      <c r="M1164" s="9" t="inlineStr">
        <is>
          <t>https://www.google.com/maps/place/?q=place_id:ChIJYRQ_gFmRyzsRD83MGB54vX8</t>
        </is>
      </c>
    </row>
    <row r="1165">
      <c r="A1165" s="9" t="n">
        <v>1161</v>
      </c>
      <c r="B1165" s="9" t="inlineStr">
        <is>
          <t>Hyderabad</t>
        </is>
      </c>
      <c r="C1165" s="9" t="inlineStr">
        <is>
          <t>Hyderabad</t>
        </is>
      </c>
      <c r="D1165" s="9" t="inlineStr">
        <is>
          <t>Telangana</t>
        </is>
      </c>
      <c r="E1165" s="9" t="inlineStr">
        <is>
          <t>India</t>
        </is>
      </c>
      <c r="F1165" s="9" t="n">
        <v>1</v>
      </c>
      <c r="G1165" s="9" t="n">
        <v>1</v>
      </c>
      <c r="H1165" s="9" t="n">
        <v>1</v>
      </c>
      <c r="I1165" s="10" t="n">
        <v>44285</v>
      </c>
      <c r="J1165" s="10" t="n">
        <v>44285</v>
      </c>
      <c r="K1165" s="9" t="n">
        <v>17.38369</v>
      </c>
      <c r="L1165" s="9" t="n">
        <v>78.46595000000001</v>
      </c>
      <c r="M1165" s="9" t="inlineStr">
        <is>
          <t>https://www.google.com/maps/place/?q=place_id:ChIJ93YnrnmXyzsRhzSu9CJIYfk</t>
        </is>
      </c>
    </row>
    <row r="1166">
      <c r="A1166" s="9" t="n">
        <v>1162</v>
      </c>
      <c r="B1166" s="9" t="inlineStr">
        <is>
          <t>Hyderabad</t>
        </is>
      </c>
      <c r="C1166" s="9" t="inlineStr">
        <is>
          <t>Hyderabad</t>
        </is>
      </c>
      <c r="D1166" s="9" t="inlineStr">
        <is>
          <t>Telangana</t>
        </is>
      </c>
      <c r="E1166" s="9" t="inlineStr">
        <is>
          <t>India</t>
        </is>
      </c>
      <c r="F1166" s="9" t="n">
        <v>1</v>
      </c>
      <c r="G1166" s="9" t="n">
        <v>1</v>
      </c>
      <c r="H1166" s="9" t="n">
        <v>1</v>
      </c>
      <c r="I1166" s="10" t="n">
        <v>44287</v>
      </c>
      <c r="J1166" s="10" t="n">
        <v>44287</v>
      </c>
      <c r="K1166" s="9" t="n">
        <v>17.40833</v>
      </c>
      <c r="L1166" s="9" t="n">
        <v>78.42955000000001</v>
      </c>
      <c r="M1166" s="9" t="inlineStr">
        <is>
          <t>https://www.google.com/maps/place/?q=place_id:ChIJg1LzNjSayzsR3XF79e67XyE</t>
        </is>
      </c>
    </row>
    <row r="1167">
      <c r="A1167" s="9" t="n">
        <v>1163</v>
      </c>
      <c r="B1167" s="9" t="inlineStr">
        <is>
          <t>Kukatpally</t>
        </is>
      </c>
      <c r="C1167" s="9" t="inlineStr">
        <is>
          <t>Hyderabad</t>
        </is>
      </c>
      <c r="D1167" s="9" t="inlineStr">
        <is>
          <t>Telangana</t>
        </is>
      </c>
      <c r="E1167" s="9" t="inlineStr">
        <is>
          <t>India</t>
        </is>
      </c>
      <c r="F1167" s="9" t="n">
        <v>1</v>
      </c>
      <c r="G1167" s="9" t="n">
        <v>1</v>
      </c>
      <c r="H1167" s="9" t="n">
        <v>1</v>
      </c>
      <c r="I1167" s="10" t="n">
        <v>44287</v>
      </c>
      <c r="J1167" s="10" t="n">
        <v>44287</v>
      </c>
      <c r="K1167" s="9" t="n">
        <v>17.48835</v>
      </c>
      <c r="L1167" s="9" t="n">
        <v>78.41404</v>
      </c>
      <c r="M1167" s="9" t="inlineStr">
        <is>
          <t>https://www.google.com/maps/place/?q=place_id:ChIJTw_MjLuRyzsR19o-aGmawSg</t>
        </is>
      </c>
    </row>
    <row r="1168">
      <c r="A1168" s="9" t="n">
        <v>1164</v>
      </c>
      <c r="B1168" s="9" t="inlineStr">
        <is>
          <t>Kukatpally</t>
        </is>
      </c>
      <c r="C1168" s="9" t="inlineStr">
        <is>
          <t>Hyderabad</t>
        </is>
      </c>
      <c r="D1168" s="9" t="inlineStr">
        <is>
          <t>Telangana</t>
        </is>
      </c>
      <c r="E1168" s="9" t="inlineStr">
        <is>
          <t>India</t>
        </is>
      </c>
      <c r="F1168" s="9" t="n">
        <v>1</v>
      </c>
      <c r="G1168" s="9" t="n">
        <v>1</v>
      </c>
      <c r="H1168" s="9" t="n">
        <v>1</v>
      </c>
      <c r="I1168" s="10" t="n">
        <v>44381</v>
      </c>
      <c r="J1168" s="10" t="n">
        <v>44381</v>
      </c>
      <c r="K1168" s="9" t="n">
        <v>17.47092</v>
      </c>
      <c r="L1168" s="9" t="n">
        <v>78.37541</v>
      </c>
      <c r="M1168" s="9" t="inlineStr">
        <is>
          <t>https://www.google.com/maps/place/?q=place_id:ChIJOakIdy2SyzsREBOqIZ44CGY</t>
        </is>
      </c>
    </row>
    <row r="1169">
      <c r="A1169" s="9" t="n">
        <v>1165</v>
      </c>
      <c r="B1169" s="9" t="inlineStr">
        <is>
          <t>Hyderabad</t>
        </is>
      </c>
      <c r="C1169" s="9" t="inlineStr">
        <is>
          <t>Hyderabad</t>
        </is>
      </c>
      <c r="D1169" s="9" t="inlineStr">
        <is>
          <t>Telangana</t>
        </is>
      </c>
      <c r="E1169" s="9" t="inlineStr">
        <is>
          <t>India</t>
        </is>
      </c>
      <c r="F1169" s="9" t="n">
        <v>1</v>
      </c>
      <c r="G1169" s="9" t="n">
        <v>1</v>
      </c>
      <c r="H1169" s="9" t="n">
        <v>1</v>
      </c>
      <c r="I1169" s="10" t="n">
        <v>44410</v>
      </c>
      <c r="J1169" s="10" t="n">
        <v>44410</v>
      </c>
      <c r="K1169" s="9" t="n">
        <v>17.4137</v>
      </c>
      <c r="L1169" s="9" t="n">
        <v>78.42444999999999</v>
      </c>
      <c r="M1169" s="9" t="inlineStr">
        <is>
          <t>https://www.google.com/maps/place/?q=place_id:ChIJMbzJsiWXyzsRtAfEyITxkGs</t>
        </is>
      </c>
    </row>
    <row r="1170">
      <c r="A1170" s="9" t="n">
        <v>1166</v>
      </c>
      <c r="B1170" s="9" t="inlineStr">
        <is>
          <t>Hyderabad</t>
        </is>
      </c>
      <c r="C1170" s="9" t="inlineStr">
        <is>
          <t>Hyderabad</t>
        </is>
      </c>
      <c r="D1170" s="9" t="inlineStr">
        <is>
          <t>Telangana</t>
        </is>
      </c>
      <c r="E1170" s="9" t="inlineStr">
        <is>
          <t>India</t>
        </is>
      </c>
      <c r="F1170" s="9" t="n">
        <v>1</v>
      </c>
      <c r="G1170" s="9" t="n">
        <v>1</v>
      </c>
      <c r="H1170" s="9" t="n">
        <v>1</v>
      </c>
      <c r="I1170" s="10" t="n">
        <v>44411</v>
      </c>
      <c r="J1170" s="10" t="n">
        <v>44411</v>
      </c>
      <c r="K1170" s="9" t="n">
        <v>17.41298</v>
      </c>
      <c r="L1170" s="9" t="n">
        <v>78.43647</v>
      </c>
      <c r="M1170" s="9" t="inlineStr">
        <is>
          <t>https://www.google.com/maps/place/?q=place_id:ChIJF9sd7iWXyzsRRZsbHwh-NZ4</t>
        </is>
      </c>
    </row>
    <row r="1171">
      <c r="A1171" s="9" t="n">
        <v>1167</v>
      </c>
      <c r="B1171" s="9" t="inlineStr">
        <is>
          <t>Patancheru</t>
        </is>
      </c>
      <c r="C1171" s="9" t="inlineStr">
        <is>
          <t>Hyderabad</t>
        </is>
      </c>
      <c r="D1171" s="9" t="inlineStr">
        <is>
          <t>Telangana</t>
        </is>
      </c>
      <c r="E1171" s="9" t="inlineStr">
        <is>
          <t>India</t>
        </is>
      </c>
      <c r="F1171" s="9" t="n">
        <v>1</v>
      </c>
      <c r="G1171" s="9" t="n">
        <v>1</v>
      </c>
      <c r="H1171" s="9" t="n">
        <v>1</v>
      </c>
      <c r="I1171" s="10" t="n">
        <v>44429</v>
      </c>
      <c r="J1171" s="10" t="n">
        <v>44429</v>
      </c>
      <c r="K1171" s="9" t="n">
        <v>17.5441</v>
      </c>
      <c r="L1171" s="9" t="n">
        <v>78.26904</v>
      </c>
      <c r="M1171" s="9" t="inlineStr">
        <is>
          <t>https://www.google.com/maps/place/?q=place_id:ChIJl1ISGiPzyzsRuyJ1kafD7pc</t>
        </is>
      </c>
    </row>
    <row r="1172">
      <c r="A1172" s="9" t="n">
        <v>1168</v>
      </c>
      <c r="B1172" s="9" t="inlineStr">
        <is>
          <t>Malkajgiri</t>
        </is>
      </c>
      <c r="C1172" s="9" t="inlineStr">
        <is>
          <t>Hyderabad</t>
        </is>
      </c>
      <c r="D1172" s="9" t="inlineStr">
        <is>
          <t>Telangana</t>
        </is>
      </c>
      <c r="E1172" s="9" t="inlineStr">
        <is>
          <t>India</t>
        </is>
      </c>
      <c r="F1172" s="9" t="n">
        <v>1</v>
      </c>
      <c r="G1172" s="9" t="n">
        <v>1</v>
      </c>
      <c r="H1172" s="9" t="n">
        <v>1</v>
      </c>
      <c r="I1172" s="10" t="n">
        <v>44431</v>
      </c>
      <c r="J1172" s="10" t="n">
        <v>44431</v>
      </c>
      <c r="K1172" s="9" t="n">
        <v>17.40921</v>
      </c>
      <c r="L1172" s="9" t="n">
        <v>78.51297</v>
      </c>
      <c r="M1172" s="9" t="inlineStr">
        <is>
          <t>https://www.google.com/maps/place/?q=place_id:ChIJiVVlHZmZyzsRBiM6gFobAqE</t>
        </is>
      </c>
    </row>
    <row r="1173">
      <c r="A1173" s="9" t="n">
        <v>1169</v>
      </c>
      <c r="B1173" s="9" t="inlineStr">
        <is>
          <t>Hyderabad</t>
        </is>
      </c>
      <c r="C1173" s="9" t="inlineStr">
        <is>
          <t>Hyderabad</t>
        </is>
      </c>
      <c r="D1173" s="9" t="inlineStr">
        <is>
          <t>Telangana</t>
        </is>
      </c>
      <c r="E1173" s="9" t="inlineStr">
        <is>
          <t>India</t>
        </is>
      </c>
      <c r="F1173" s="9" t="n">
        <v>1</v>
      </c>
      <c r="G1173" s="9" t="n">
        <v>1</v>
      </c>
      <c r="H1173" s="9" t="n">
        <v>1</v>
      </c>
      <c r="I1173" s="10" t="n">
        <v>44451</v>
      </c>
      <c r="J1173" s="10" t="n">
        <v>44451</v>
      </c>
      <c r="K1173" s="9" t="n">
        <v>17.39078</v>
      </c>
      <c r="L1173" s="9" t="n">
        <v>78.48017</v>
      </c>
      <c r="M1173" s="9" t="inlineStr">
        <is>
          <t>https://www.google.com/maps/place/?q=place_id:ChIJwYQFRcGZyzsRlREC0D76x1w</t>
        </is>
      </c>
    </row>
    <row r="1174">
      <c r="A1174" s="9" t="n">
        <v>1170</v>
      </c>
      <c r="B1174" s="9" t="inlineStr">
        <is>
          <t>Hyderabad</t>
        </is>
      </c>
      <c r="C1174" s="9" t="inlineStr">
        <is>
          <t>Hyderabad</t>
        </is>
      </c>
      <c r="D1174" s="9" t="inlineStr">
        <is>
          <t>Telangana</t>
        </is>
      </c>
      <c r="E1174" s="9" t="inlineStr">
        <is>
          <t>India</t>
        </is>
      </c>
      <c r="F1174" s="9" t="n">
        <v>1</v>
      </c>
      <c r="G1174" s="9" t="n">
        <v>1</v>
      </c>
      <c r="H1174" s="9" t="n">
        <v>1</v>
      </c>
      <c r="I1174" s="10" t="n">
        <v>44453</v>
      </c>
      <c r="J1174" s="10" t="n">
        <v>44453</v>
      </c>
      <c r="K1174" s="9" t="n">
        <v>17.41349</v>
      </c>
      <c r="L1174" s="9" t="n">
        <v>78.42751</v>
      </c>
      <c r="M1174" s="9" t="inlineStr">
        <is>
          <t>https://www.google.com/maps/place/?q=place_id:ChIJQz1zhdeWyzsRinGO-7zURWk</t>
        </is>
      </c>
    </row>
    <row r="1175">
      <c r="A1175" s="9" t="n">
        <v>1171</v>
      </c>
      <c r="B1175" s="9" t="inlineStr">
        <is>
          <t>Serilingampalle</t>
        </is>
      </c>
      <c r="C1175" s="9" t="inlineStr">
        <is>
          <t>Hyderabad</t>
        </is>
      </c>
      <c r="D1175" s="9" t="inlineStr">
        <is>
          <t>Telangana</t>
        </is>
      </c>
      <c r="E1175" s="9" t="inlineStr">
        <is>
          <t>India</t>
        </is>
      </c>
      <c r="F1175" s="9" t="n">
        <v>1</v>
      </c>
      <c r="G1175" s="9" t="n">
        <v>1</v>
      </c>
      <c r="H1175" s="9" t="n">
        <v>1</v>
      </c>
      <c r="I1175" s="10" t="n">
        <v>44455</v>
      </c>
      <c r="J1175" s="10" t="n">
        <v>44455</v>
      </c>
      <c r="K1175" s="9" t="n">
        <v>17.4368</v>
      </c>
      <c r="L1175" s="9" t="n">
        <v>78.34717000000001</v>
      </c>
      <c r="M1175" s="9" t="inlineStr">
        <is>
          <t>https://www.google.com/maps/place/?q=place_id:ChIJ0cAm05uTyzsRppkzTBijQX0</t>
        </is>
      </c>
    </row>
    <row r="1176">
      <c r="A1176" s="9" t="n">
        <v>1172</v>
      </c>
      <c r="B1176" s="9" t="inlineStr">
        <is>
          <t>Serilingampalle</t>
        </is>
      </c>
      <c r="C1176" s="9" t="inlineStr">
        <is>
          <t>Hyderabad</t>
        </is>
      </c>
      <c r="D1176" s="9" t="inlineStr">
        <is>
          <t>Telangana</t>
        </is>
      </c>
      <c r="E1176" s="9" t="inlineStr">
        <is>
          <t>India</t>
        </is>
      </c>
      <c r="F1176" s="9" t="n">
        <v>1</v>
      </c>
      <c r="G1176" s="9" t="n">
        <v>1</v>
      </c>
      <c r="H1176" s="9" t="n">
        <v>1</v>
      </c>
      <c r="I1176" s="10" t="n">
        <v>44455</v>
      </c>
      <c r="J1176" s="10" t="n">
        <v>44455</v>
      </c>
      <c r="K1176" s="9" t="n">
        <v>17.43513</v>
      </c>
      <c r="L1176" s="9" t="n">
        <v>78.34068000000001</v>
      </c>
      <c r="M1176" s="9" t="inlineStr">
        <is>
          <t>https://www.google.com/maps/place/?q=place_id:ChIJcaZqGJ2TyzsRnk7gt0APE-A</t>
        </is>
      </c>
    </row>
    <row r="1177">
      <c r="A1177" s="9" t="n">
        <v>1173</v>
      </c>
      <c r="B1177" s="9" t="inlineStr">
        <is>
          <t>Hyderabad</t>
        </is>
      </c>
      <c r="C1177" s="9" t="inlineStr">
        <is>
          <t>Hyderabad</t>
        </is>
      </c>
      <c r="D1177" s="9" t="inlineStr">
        <is>
          <t>Telangana</t>
        </is>
      </c>
      <c r="E1177" s="9" t="inlineStr">
        <is>
          <t>India</t>
        </is>
      </c>
      <c r="F1177" s="9" t="n">
        <v>1</v>
      </c>
      <c r="G1177" s="9" t="n">
        <v>1</v>
      </c>
      <c r="H1177" s="9" t="n">
        <v>1</v>
      </c>
      <c r="I1177" s="10" t="n">
        <v>44460</v>
      </c>
      <c r="J1177" s="10" t="n">
        <v>44460</v>
      </c>
      <c r="K1177" s="9" t="n">
        <v>17.394</v>
      </c>
      <c r="L1177" s="9" t="n">
        <v>78.49227</v>
      </c>
      <c r="M1177" s="9" t="inlineStr">
        <is>
          <t>https://www.google.com/maps/place/?q=place_id:ChIJ3-WFB8aZyzsRSbr4_kTO_ak</t>
        </is>
      </c>
    </row>
    <row r="1178">
      <c r="A1178" s="9" t="n">
        <v>1174</v>
      </c>
      <c r="B1178" s="9" t="inlineStr">
        <is>
          <t>Hyderabad</t>
        </is>
      </c>
      <c r="C1178" s="9" t="inlineStr">
        <is>
          <t>Hyderabad</t>
        </is>
      </c>
      <c r="D1178" s="9" t="inlineStr">
        <is>
          <t>Telangana</t>
        </is>
      </c>
      <c r="E1178" s="9" t="inlineStr">
        <is>
          <t>India</t>
        </is>
      </c>
      <c r="F1178" s="9" t="n">
        <v>1</v>
      </c>
      <c r="G1178" s="9" t="n">
        <v>1</v>
      </c>
      <c r="H1178" s="9" t="n">
        <v>1</v>
      </c>
      <c r="I1178" s="10" t="n">
        <v>44465</v>
      </c>
      <c r="J1178" s="10" t="n">
        <v>44465</v>
      </c>
      <c r="K1178" s="9" t="n">
        <v>17.41467</v>
      </c>
      <c r="L1178" s="9" t="n">
        <v>78.41685</v>
      </c>
      <c r="M1178" s="9" t="inlineStr">
        <is>
          <t>https://www.google.com/maps/place/?q=place_id:ChIJl-HgTeeXyzsRAhP5AaztXP4</t>
        </is>
      </c>
    </row>
    <row r="1179">
      <c r="A1179" s="9" t="n">
        <v>1175</v>
      </c>
      <c r="B1179" s="9" t="inlineStr">
        <is>
          <t>Kukatpally</t>
        </is>
      </c>
      <c r="C1179" s="9" t="inlineStr">
        <is>
          <t>Hyderabad</t>
        </is>
      </c>
      <c r="D1179" s="9" t="inlineStr">
        <is>
          <t>Telangana</t>
        </is>
      </c>
      <c r="E1179" s="9" t="inlineStr">
        <is>
          <t>India</t>
        </is>
      </c>
      <c r="F1179" s="9" t="n">
        <v>1</v>
      </c>
      <c r="G1179" s="9" t="n">
        <v>1</v>
      </c>
      <c r="H1179" s="9" t="n">
        <v>1</v>
      </c>
      <c r="I1179" s="10" t="n">
        <v>44519</v>
      </c>
      <c r="J1179" s="10" t="n">
        <v>44519</v>
      </c>
      <c r="K1179" s="9" t="n">
        <v>17.48834</v>
      </c>
      <c r="L1179" s="9" t="n">
        <v>78.41403</v>
      </c>
      <c r="M1179" s="9" t="inlineStr">
        <is>
          <t>https://www.google.com/maps/place/?q=place_id:ChIJ0zSQXbmRyzsRsq0IYlZ1zBA</t>
        </is>
      </c>
    </row>
    <row r="1180">
      <c r="A1180" s="9" t="n">
        <v>1176</v>
      </c>
      <c r="B1180" s="9" t="inlineStr">
        <is>
          <t>Kukatpally</t>
        </is>
      </c>
      <c r="C1180" s="9" t="inlineStr">
        <is>
          <t>Hyderabad</t>
        </is>
      </c>
      <c r="D1180" s="9" t="inlineStr">
        <is>
          <t>Telangana</t>
        </is>
      </c>
      <c r="E1180" s="9" t="inlineStr">
        <is>
          <t>India</t>
        </is>
      </c>
      <c r="F1180" s="9" t="n">
        <v>1</v>
      </c>
      <c r="G1180" s="9" t="n">
        <v>1</v>
      </c>
      <c r="H1180" s="9" t="n">
        <v>1</v>
      </c>
      <c r="I1180" s="10" t="n">
        <v>44525</v>
      </c>
      <c r="J1180" s="10" t="n">
        <v>44525</v>
      </c>
      <c r="K1180" s="9" t="n">
        <v>17.45388</v>
      </c>
      <c r="L1180" s="9" t="n">
        <v>78.42177</v>
      </c>
      <c r="M1180" s="9" t="inlineStr">
        <is>
          <t>https://www.google.com/maps/place/?q=place_id:ChIJNbPw0BuRyzsR2lshJj1qs4M</t>
        </is>
      </c>
    </row>
    <row r="1181">
      <c r="A1181" s="9" t="n">
        <v>1177</v>
      </c>
      <c r="B1181" s="9" t="inlineStr">
        <is>
          <t>Kukatpally</t>
        </is>
      </c>
      <c r="C1181" s="9" t="inlineStr">
        <is>
          <t>Hyderabad</t>
        </is>
      </c>
      <c r="D1181" s="9" t="inlineStr">
        <is>
          <t>Telangana</t>
        </is>
      </c>
      <c r="E1181" s="9" t="inlineStr">
        <is>
          <t>India</t>
        </is>
      </c>
      <c r="F1181" s="9" t="n">
        <v>1</v>
      </c>
      <c r="G1181" s="9" t="n">
        <v>1</v>
      </c>
      <c r="H1181" s="9" t="n">
        <v>1</v>
      </c>
      <c r="I1181" s="10" t="n">
        <v>44525</v>
      </c>
      <c r="J1181" s="10" t="n">
        <v>44525</v>
      </c>
      <c r="K1181" s="9" t="n">
        <v>17.43143</v>
      </c>
      <c r="L1181" s="9" t="n">
        <v>78.40635</v>
      </c>
      <c r="M1181" s="9" t="inlineStr">
        <is>
          <t>https://www.google.com/maps/place/?q=place_id:ChIJ7eFa10mRyzsRMJk3DybLarE</t>
        </is>
      </c>
    </row>
    <row r="1182">
      <c r="A1182" s="9" t="n">
        <v>1178</v>
      </c>
      <c r="B1182" s="9" t="inlineStr">
        <is>
          <t>Uppal Kalan</t>
        </is>
      </c>
      <c r="C1182" s="9" t="inlineStr">
        <is>
          <t>Hyderabad</t>
        </is>
      </c>
      <c r="D1182" s="9" t="inlineStr">
        <is>
          <t>Telangana</t>
        </is>
      </c>
      <c r="E1182" s="9" t="inlineStr">
        <is>
          <t>India</t>
        </is>
      </c>
      <c r="F1182" s="9" t="n">
        <v>1</v>
      </c>
      <c r="G1182" s="9" t="n">
        <v>1</v>
      </c>
      <c r="H1182" s="9" t="n">
        <v>1</v>
      </c>
      <c r="I1182" s="10" t="n">
        <v>44525</v>
      </c>
      <c r="J1182" s="10" t="n">
        <v>44525</v>
      </c>
      <c r="K1182" s="9" t="n">
        <v>17.40104</v>
      </c>
      <c r="L1182" s="9" t="n">
        <v>78.54254</v>
      </c>
      <c r="M1182" s="9" t="inlineStr">
        <is>
          <t>https://www.google.com/maps/place/?q=place_id:ChIJQSkyFxaZyzsRBaT_E0RhkuA</t>
        </is>
      </c>
    </row>
    <row r="1183">
      <c r="A1183" s="9" t="n">
        <v>1179</v>
      </c>
      <c r="B1183" s="9" t="inlineStr">
        <is>
          <t>Gaddi Annaram</t>
        </is>
      </c>
      <c r="C1183" s="9" t="inlineStr">
        <is>
          <t>Hyderabad</t>
        </is>
      </c>
      <c r="D1183" s="9" t="inlineStr">
        <is>
          <t>Telangana</t>
        </is>
      </c>
      <c r="E1183" s="9" t="inlineStr">
        <is>
          <t>India</t>
        </is>
      </c>
      <c r="F1183" s="9" t="n">
        <v>1</v>
      </c>
      <c r="G1183" s="9" t="n">
        <v>2</v>
      </c>
      <c r="H1183" s="9" t="n">
        <v>1</v>
      </c>
      <c r="I1183" s="10" t="n">
        <v>44525</v>
      </c>
      <c r="J1183" s="10" t="n">
        <v>44526</v>
      </c>
      <c r="K1183" s="9" t="n">
        <v>17.39627</v>
      </c>
      <c r="L1183" s="9" t="n">
        <v>78.50499000000001</v>
      </c>
      <c r="M1183" s="9" t="inlineStr">
        <is>
          <t>https://www.google.com/maps/place/?q=place_id:ChIJc3oOOLqZyzsRD2xQ1dzvVX0</t>
        </is>
      </c>
    </row>
    <row r="1184">
      <c r="A1184" s="9" t="n">
        <v>1180</v>
      </c>
      <c r="B1184" s="9" t="inlineStr">
        <is>
          <t>Uppal Kalan</t>
        </is>
      </c>
      <c r="C1184" s="9" t="inlineStr">
        <is>
          <t>Hyderabad</t>
        </is>
      </c>
      <c r="D1184" s="9" t="inlineStr">
        <is>
          <t>Telangana</t>
        </is>
      </c>
      <c r="E1184" s="9" t="inlineStr">
        <is>
          <t>India</t>
        </is>
      </c>
      <c r="F1184" s="9" t="n">
        <v>1</v>
      </c>
      <c r="G1184" s="9" t="n">
        <v>1</v>
      </c>
      <c r="H1184" s="9" t="n">
        <v>1</v>
      </c>
      <c r="I1184" s="10" t="n">
        <v>44527</v>
      </c>
      <c r="J1184" s="10" t="n">
        <v>44527</v>
      </c>
      <c r="K1184" s="9" t="n">
        <v>17.40187</v>
      </c>
      <c r="L1184" s="9" t="n">
        <v>78.56977999999999</v>
      </c>
      <c r="M1184" s="9" t="inlineStr">
        <is>
          <t>https://www.google.com/maps/place/?q=place_id:ChIJW1J6T7mZyzsRNNF8_kiX92I</t>
        </is>
      </c>
    </row>
    <row r="1185">
      <c r="A1185" s="9" t="n">
        <v>1181</v>
      </c>
      <c r="B1185" s="9" t="inlineStr">
        <is>
          <t>Gaddi Annaram</t>
        </is>
      </c>
      <c r="C1185" s="9" t="inlineStr">
        <is>
          <t>Hyderabad</t>
        </is>
      </c>
      <c r="D1185" s="9" t="inlineStr">
        <is>
          <t>Telangana</t>
        </is>
      </c>
      <c r="E1185" s="9" t="inlineStr">
        <is>
          <t>India</t>
        </is>
      </c>
      <c r="F1185" s="9" t="n">
        <v>1</v>
      </c>
      <c r="G1185" s="9" t="n">
        <v>1</v>
      </c>
      <c r="H1185" s="9" t="n">
        <v>1</v>
      </c>
      <c r="I1185" s="10" t="n">
        <v>44533</v>
      </c>
      <c r="J1185" s="10" t="n">
        <v>44533</v>
      </c>
      <c r="K1185" s="9" t="n">
        <v>17.3964</v>
      </c>
      <c r="L1185" s="9" t="n">
        <v>78.50487</v>
      </c>
      <c r="M1185" s="9" t="inlineStr">
        <is>
          <t>https://www.google.com/maps/place/?q=place_id:ChIJ2dkGN7qZyzsRzmX3n19lC_w</t>
        </is>
      </c>
    </row>
    <row r="1186">
      <c r="A1186" s="9" t="n">
        <v>1182</v>
      </c>
      <c r="B1186" s="9" t="inlineStr">
        <is>
          <t>Kukatpally</t>
        </is>
      </c>
      <c r="C1186" s="9" t="inlineStr">
        <is>
          <t>Hyderabad</t>
        </is>
      </c>
      <c r="D1186" s="9" t="inlineStr">
        <is>
          <t>Telangana</t>
        </is>
      </c>
      <c r="E1186" s="9" t="inlineStr">
        <is>
          <t>India</t>
        </is>
      </c>
      <c r="F1186" s="9" t="n">
        <v>1</v>
      </c>
      <c r="G1186" s="9" t="n">
        <v>1</v>
      </c>
      <c r="H1186" s="9" t="n">
        <v>1</v>
      </c>
      <c r="I1186" s="10" t="n">
        <v>44534</v>
      </c>
      <c r="J1186" s="10" t="n">
        <v>44534</v>
      </c>
      <c r="K1186" s="9" t="n">
        <v>17.4637</v>
      </c>
      <c r="L1186" s="9" t="n">
        <v>78.36948</v>
      </c>
      <c r="M1186" s="9" t="inlineStr">
        <is>
          <t>https://www.google.com/maps/place/?q=place_id:ChIJmTcvScyTyzsRLb0Qrn3H9NY</t>
        </is>
      </c>
    </row>
    <row r="1187">
      <c r="A1187" s="9" t="n">
        <v>1183</v>
      </c>
      <c r="B1187" s="9" t="inlineStr">
        <is>
          <t>Kukatpally</t>
        </is>
      </c>
      <c r="C1187" s="9" t="inlineStr">
        <is>
          <t>Hyderabad</t>
        </is>
      </c>
      <c r="D1187" s="9" t="inlineStr">
        <is>
          <t>Telangana</t>
        </is>
      </c>
      <c r="E1187" s="9" t="inlineStr">
        <is>
          <t>India</t>
        </is>
      </c>
      <c r="F1187" s="9" t="n">
        <v>1</v>
      </c>
      <c r="G1187" s="9" t="n">
        <v>1</v>
      </c>
      <c r="H1187" s="9" t="n">
        <v>1</v>
      </c>
      <c r="I1187" s="10" t="n">
        <v>44536</v>
      </c>
      <c r="J1187" s="10" t="n">
        <v>44536</v>
      </c>
      <c r="K1187" s="9" t="n">
        <v>17.49507</v>
      </c>
      <c r="L1187" s="9" t="n">
        <v>78.36127</v>
      </c>
      <c r="M1187" s="9" t="inlineStr">
        <is>
          <t>https://www.google.com/maps/place/?q=place_id:ChIJdbzsSmuSyzsRR5PvIcbbMyw</t>
        </is>
      </c>
    </row>
    <row r="1188">
      <c r="A1188" s="9" t="n">
        <v>1184</v>
      </c>
      <c r="B1188" s="9" t="inlineStr">
        <is>
          <t>Hyderabad</t>
        </is>
      </c>
      <c r="C1188" s="9" t="inlineStr">
        <is>
          <t>Hyderabad</t>
        </is>
      </c>
      <c r="D1188" s="9" t="inlineStr">
        <is>
          <t>Telangana</t>
        </is>
      </c>
      <c r="E1188" s="9" t="inlineStr">
        <is>
          <t>India</t>
        </is>
      </c>
      <c r="F1188" s="9" t="n">
        <v>1</v>
      </c>
      <c r="G1188" s="9" t="n">
        <v>1</v>
      </c>
      <c r="H1188" s="9" t="n">
        <v>1</v>
      </c>
      <c r="I1188" s="10" t="n">
        <v>44536</v>
      </c>
      <c r="J1188" s="10" t="n">
        <v>44536</v>
      </c>
      <c r="K1188" s="9" t="n">
        <v>17.39202</v>
      </c>
      <c r="L1188" s="9" t="n">
        <v>78.47454999999999</v>
      </c>
      <c r="M1188" s="9" t="inlineStr">
        <is>
          <t>https://www.google.com/maps/place/?q=place_id:ChIJK-D84teZyzsRS7mgpMmI8xk</t>
        </is>
      </c>
    </row>
    <row r="1189">
      <c r="A1189" s="9" t="n">
        <v>1185</v>
      </c>
      <c r="B1189" s="9" t="inlineStr">
        <is>
          <t>Hyderabad</t>
        </is>
      </c>
      <c r="C1189" s="9" t="inlineStr">
        <is>
          <t>Hyderabad</t>
        </is>
      </c>
      <c r="D1189" s="9" t="inlineStr">
        <is>
          <t>Telangana</t>
        </is>
      </c>
      <c r="E1189" s="9" t="inlineStr">
        <is>
          <t>India</t>
        </is>
      </c>
      <c r="F1189" s="9" t="n">
        <v>1</v>
      </c>
      <c r="G1189" s="9" t="n">
        <v>1</v>
      </c>
      <c r="H1189" s="9" t="n">
        <v>1</v>
      </c>
      <c r="I1189" s="10" t="n">
        <v>44559</v>
      </c>
      <c r="J1189" s="10" t="n">
        <v>44559</v>
      </c>
      <c r="K1189" s="9" t="n">
        <v>17.4113</v>
      </c>
      <c r="L1189" s="9" t="n">
        <v>78.45216000000001</v>
      </c>
      <c r="M1189" s="9" t="inlineStr">
        <is>
          <t>https://www.google.com/maps/place/?q=place_id:ChIJU7QohziXyzsRO7x594eat0Y</t>
        </is>
      </c>
    </row>
    <row r="1190">
      <c r="A1190" s="9" t="n">
        <v>1186</v>
      </c>
      <c r="B1190" s="9" t="inlineStr">
        <is>
          <t>Quthbullapur</t>
        </is>
      </c>
      <c r="C1190" s="9" t="inlineStr">
        <is>
          <t>Hyderabad</t>
        </is>
      </c>
      <c r="D1190" s="9" t="inlineStr">
        <is>
          <t>Telangana</t>
        </is>
      </c>
      <c r="E1190" s="9" t="inlineStr">
        <is>
          <t>India</t>
        </is>
      </c>
      <c r="F1190" s="9" t="n">
        <v>1</v>
      </c>
      <c r="G1190" s="9" t="n">
        <v>1</v>
      </c>
      <c r="H1190" s="9" t="n">
        <v>1</v>
      </c>
      <c r="I1190" s="10" t="n">
        <v>44644</v>
      </c>
      <c r="J1190" s="10" t="n">
        <v>44644</v>
      </c>
      <c r="K1190" s="9" t="n">
        <v>17.4496</v>
      </c>
      <c r="L1190" s="9" t="n">
        <v>78.47123000000001</v>
      </c>
      <c r="M1190" s="9" t="inlineStr">
        <is>
          <t>https://www.google.com/maps/place/?q=place_id:ChIJE4T3PJmQyzsRIZ6eXFK9u6w</t>
        </is>
      </c>
    </row>
    <row r="1191">
      <c r="A1191" s="9" t="n">
        <v>1187</v>
      </c>
      <c r="B1191" s="9" t="inlineStr">
        <is>
          <t>Hyderabad</t>
        </is>
      </c>
      <c r="C1191" s="9" t="inlineStr">
        <is>
          <t>Hyderabad</t>
        </is>
      </c>
      <c r="D1191" s="9" t="inlineStr">
        <is>
          <t>Telangana</t>
        </is>
      </c>
      <c r="E1191" s="9" t="inlineStr">
        <is>
          <t>India</t>
        </is>
      </c>
      <c r="F1191" s="9" t="n">
        <v>1</v>
      </c>
      <c r="G1191" s="9" t="n">
        <v>1</v>
      </c>
      <c r="H1191" s="9" t="n">
        <v>1</v>
      </c>
      <c r="I1191" s="10" t="n">
        <v>44662</v>
      </c>
      <c r="J1191" s="10" t="n">
        <v>44662</v>
      </c>
      <c r="K1191" s="9" t="n">
        <v>17.42743</v>
      </c>
      <c r="L1191" s="9" t="n">
        <v>78.41901</v>
      </c>
      <c r="M1191" s="9" t="inlineStr">
        <is>
          <t>https://www.google.com/maps/place/?q=place_id:ChIJPdTNKHaRyzsRLad4Ups12do</t>
        </is>
      </c>
    </row>
    <row r="1192">
      <c r="A1192" s="9" t="n">
        <v>1188</v>
      </c>
      <c r="B1192" s="9" t="inlineStr">
        <is>
          <t>Kukatpally</t>
        </is>
      </c>
      <c r="C1192" s="9" t="inlineStr">
        <is>
          <t>Hyderabad</t>
        </is>
      </c>
      <c r="D1192" s="9" t="inlineStr">
        <is>
          <t>Telangana</t>
        </is>
      </c>
      <c r="E1192" s="9" t="inlineStr">
        <is>
          <t>India</t>
        </is>
      </c>
      <c r="F1192" s="9" t="n">
        <v>1</v>
      </c>
      <c r="G1192" s="9" t="n">
        <v>1</v>
      </c>
      <c r="H1192" s="9" t="n">
        <v>1</v>
      </c>
      <c r="I1192" s="10" t="n">
        <v>44678</v>
      </c>
      <c r="J1192" s="10" t="n">
        <v>44678</v>
      </c>
      <c r="K1192" s="9" t="n">
        <v>17.45892</v>
      </c>
      <c r="L1192" s="9" t="n">
        <v>78.43980000000001</v>
      </c>
      <c r="M1192" s="9" t="inlineStr">
        <is>
          <t>https://www.google.com/maps/place/?q=place_id:ChIJydFyP-WQyzsREpjjlr9PKPU</t>
        </is>
      </c>
    </row>
    <row r="1193">
      <c r="A1193" s="9" t="n">
        <v>1189</v>
      </c>
      <c r="B1193" s="9" t="inlineStr">
        <is>
          <t>Hyderabad</t>
        </is>
      </c>
      <c r="C1193" s="9" t="inlineStr">
        <is>
          <t>Hyderabad</t>
        </is>
      </c>
      <c r="D1193" s="9" t="inlineStr">
        <is>
          <t>Telangana</t>
        </is>
      </c>
      <c r="E1193" s="9" t="inlineStr">
        <is>
          <t>India</t>
        </is>
      </c>
      <c r="F1193" s="9" t="n">
        <v>1</v>
      </c>
      <c r="G1193" s="9" t="n">
        <v>1</v>
      </c>
      <c r="H1193" s="9" t="n">
        <v>1</v>
      </c>
      <c r="I1193" s="10" t="n">
        <v>44686</v>
      </c>
      <c r="J1193" s="10" t="n">
        <v>44686</v>
      </c>
      <c r="K1193" s="9" t="n">
        <v>17.41461</v>
      </c>
      <c r="L1193" s="9" t="n">
        <v>78.42634</v>
      </c>
      <c r="M1193" s="9" t="inlineStr">
        <is>
          <t>https://www.google.com/maps/place/?q=place_id:ChIJn3vYHieXyzsR1HY5M2gxSCQ</t>
        </is>
      </c>
    </row>
    <row r="1194">
      <c r="A1194" s="9" t="n">
        <v>1190</v>
      </c>
      <c r="B1194" s="9" t="inlineStr">
        <is>
          <t>Malkajgiri</t>
        </is>
      </c>
      <c r="C1194" s="9" t="inlineStr">
        <is>
          <t>Hyderabad</t>
        </is>
      </c>
      <c r="D1194" s="9" t="inlineStr">
        <is>
          <t>Telangana</t>
        </is>
      </c>
      <c r="E1194" s="9" t="inlineStr">
        <is>
          <t>India</t>
        </is>
      </c>
      <c r="F1194" s="9" t="n">
        <v>1</v>
      </c>
      <c r="G1194" s="9" t="n">
        <v>1</v>
      </c>
      <c r="H1194" s="9" t="n">
        <v>1</v>
      </c>
      <c r="I1194" s="10" t="n">
        <v>44761</v>
      </c>
      <c r="J1194" s="10" t="n">
        <v>44761</v>
      </c>
      <c r="K1194" s="9" t="n">
        <v>17.43044</v>
      </c>
      <c r="L1194" s="9" t="n">
        <v>78.48851999999999</v>
      </c>
      <c r="M1194" s="9" t="inlineStr">
        <is>
          <t>https://www.google.com/maps/place/?q=place_id:ChIJYde6pxyayzsRdaU2Q3SW-co</t>
        </is>
      </c>
    </row>
    <row r="1195">
      <c r="A1195" s="9" t="n">
        <v>1191</v>
      </c>
      <c r="B1195" s="9" t="inlineStr">
        <is>
          <t>Malkajgiri</t>
        </is>
      </c>
      <c r="C1195" s="9" t="inlineStr">
        <is>
          <t>Hyderabad</t>
        </is>
      </c>
      <c r="D1195" s="9" t="inlineStr">
        <is>
          <t>Telangana</t>
        </is>
      </c>
      <c r="E1195" s="9" t="inlineStr">
        <is>
          <t>India</t>
        </is>
      </c>
      <c r="F1195" s="9" t="n">
        <v>1</v>
      </c>
      <c r="G1195" s="9" t="n">
        <v>1</v>
      </c>
      <c r="H1195" s="9" t="n">
        <v>1</v>
      </c>
      <c r="I1195" s="10" t="n">
        <v>44761</v>
      </c>
      <c r="J1195" s="10" t="n">
        <v>44761</v>
      </c>
      <c r="K1195" s="9" t="n">
        <v>17.42873</v>
      </c>
      <c r="L1195" s="9" t="n">
        <v>78.48965</v>
      </c>
      <c r="M1195" s="9" t="inlineStr">
        <is>
          <t>https://www.google.com/maps/place/?q=place_id:ChIJd3V8hB2ayzsRCSfu4gwPU5c</t>
        </is>
      </c>
    </row>
    <row r="1196">
      <c r="A1196" s="9" t="n">
        <v>1192</v>
      </c>
      <c r="B1196" s="9" t="inlineStr">
        <is>
          <t>Serilingampalle</t>
        </is>
      </c>
      <c r="C1196" s="9" t="inlineStr">
        <is>
          <t>Hyderabad</t>
        </is>
      </c>
      <c r="D1196" s="9" t="inlineStr">
        <is>
          <t>Telangana</t>
        </is>
      </c>
      <c r="E1196" s="9" t="inlineStr">
        <is>
          <t>India</t>
        </is>
      </c>
      <c r="F1196" s="9" t="n">
        <v>1</v>
      </c>
      <c r="G1196" s="9" t="n">
        <v>1</v>
      </c>
      <c r="H1196" s="9" t="n">
        <v>1</v>
      </c>
      <c r="I1196" s="10" t="n">
        <v>44773</v>
      </c>
      <c r="J1196" s="10" t="n">
        <v>44773</v>
      </c>
      <c r="K1196" s="9" t="n">
        <v>17.39758</v>
      </c>
      <c r="L1196" s="9" t="n">
        <v>78.31648</v>
      </c>
      <c r="M1196" s="9" t="inlineStr">
        <is>
          <t>https://www.google.com/maps/place/?q=place_id:ChIJ3ejF8a-VyzsRCCGncqINNk4</t>
        </is>
      </c>
    </row>
    <row r="1197">
      <c r="A1197" s="9" t="n">
        <v>1193</v>
      </c>
      <c r="B1197" s="9" t="inlineStr">
        <is>
          <t>Hyderabad</t>
        </is>
      </c>
      <c r="C1197" s="9" t="inlineStr">
        <is>
          <t>Hyderabad</t>
        </is>
      </c>
      <c r="D1197" s="9" t="inlineStr">
        <is>
          <t>Telangana</t>
        </is>
      </c>
      <c r="E1197" s="9" t="inlineStr">
        <is>
          <t>India</t>
        </is>
      </c>
      <c r="F1197" s="9" t="n">
        <v>1</v>
      </c>
      <c r="G1197" s="9" t="n">
        <v>1</v>
      </c>
      <c r="H1197" s="9" t="n">
        <v>1</v>
      </c>
      <c r="I1197" s="10" t="n">
        <v>44776</v>
      </c>
      <c r="J1197" s="10" t="n">
        <v>44776</v>
      </c>
      <c r="K1197" s="9" t="n">
        <v>17.42411</v>
      </c>
      <c r="L1197" s="9" t="n">
        <v>78.45694</v>
      </c>
      <c r="M1197" s="9" t="inlineStr">
        <is>
          <t>https://www.google.com/maps/place/?q=place_id:ChIJy2DUb0uXyzsRFGORHwnMt84</t>
        </is>
      </c>
    </row>
    <row r="1198">
      <c r="A1198" s="9" t="n">
        <v>1194</v>
      </c>
      <c r="B1198" s="9" t="inlineStr">
        <is>
          <t>Hyderabad</t>
        </is>
      </c>
      <c r="C1198" s="9" t="inlineStr">
        <is>
          <t>Hyderabad</t>
        </is>
      </c>
      <c r="D1198" s="9" t="inlineStr">
        <is>
          <t>Telangana</t>
        </is>
      </c>
      <c r="E1198" s="9" t="inlineStr">
        <is>
          <t>India</t>
        </is>
      </c>
      <c r="F1198" s="9" t="n">
        <v>1</v>
      </c>
      <c r="G1198" s="9" t="n">
        <v>1</v>
      </c>
      <c r="H1198" s="9" t="n">
        <v>1</v>
      </c>
      <c r="I1198" s="10" t="n">
        <v>44794</v>
      </c>
      <c r="J1198" s="10" t="n">
        <v>44794</v>
      </c>
      <c r="K1198" s="9" t="n">
        <v>17.27689</v>
      </c>
      <c r="L1198" s="9" t="n">
        <v>78.42341999999999</v>
      </c>
      <c r="M1198" s="9" t="inlineStr">
        <is>
          <t>https://www.google.com/maps/place/?q=place_id:ChIJi1Ozvlu9yzsR7eDgTsFlsH8</t>
        </is>
      </c>
    </row>
    <row r="1199">
      <c r="A1199" s="9" t="n">
        <v>1195</v>
      </c>
      <c r="B1199" s="9" t="inlineStr">
        <is>
          <t>Hyderabad</t>
        </is>
      </c>
      <c r="C1199" s="9" t="inlineStr">
        <is>
          <t>Hyderabad</t>
        </is>
      </c>
      <c r="D1199" s="9" t="inlineStr">
        <is>
          <t>Telangana</t>
        </is>
      </c>
      <c r="E1199" s="9" t="inlineStr">
        <is>
          <t>India</t>
        </is>
      </c>
      <c r="F1199" s="9" t="n">
        <v>1</v>
      </c>
      <c r="G1199" s="9" t="n">
        <v>1</v>
      </c>
      <c r="H1199" s="9" t="n">
        <v>1</v>
      </c>
      <c r="I1199" s="10" t="n">
        <v>44795</v>
      </c>
      <c r="J1199" s="10" t="n">
        <v>44795</v>
      </c>
      <c r="K1199" s="9" t="n">
        <v>17.40871</v>
      </c>
      <c r="L1199" s="9" t="n">
        <v>78.42189999999999</v>
      </c>
      <c r="M1199" s="9" t="inlineStr">
        <is>
          <t>https://www.google.com/maps/place/?q=place_id:ChIJja3OpNuWyzsRrMUTxussfuE</t>
        </is>
      </c>
    </row>
    <row r="1200">
      <c r="A1200" s="9" t="n">
        <v>1196</v>
      </c>
      <c r="B1200" s="9" t="inlineStr">
        <is>
          <t>Hyderabad</t>
        </is>
      </c>
      <c r="C1200" s="9" t="inlineStr">
        <is>
          <t>Hyderabad</t>
        </is>
      </c>
      <c r="D1200" s="9" t="inlineStr">
        <is>
          <t>Telangana</t>
        </is>
      </c>
      <c r="E1200" s="9" t="inlineStr">
        <is>
          <t>India</t>
        </is>
      </c>
      <c r="F1200" s="9" t="n">
        <v>1</v>
      </c>
      <c r="G1200" s="9" t="n">
        <v>1</v>
      </c>
      <c r="H1200" s="9" t="n">
        <v>1</v>
      </c>
      <c r="I1200" s="10" t="n">
        <v>44855</v>
      </c>
      <c r="J1200" s="10" t="n">
        <v>44855</v>
      </c>
      <c r="K1200" s="9" t="n">
        <v>17.41831</v>
      </c>
      <c r="L1200" s="9" t="n">
        <v>78.40586</v>
      </c>
      <c r="M1200" s="9" t="inlineStr">
        <is>
          <t>https://www.google.com/maps/place/?q=place_id:ChIJd42lBXqXyzsRzElr3XSyU64</t>
        </is>
      </c>
    </row>
    <row r="1201">
      <c r="A1201" s="9" t="n">
        <v>1197</v>
      </c>
      <c r="B1201" s="9" t="inlineStr">
        <is>
          <t>Kukatpally</t>
        </is>
      </c>
      <c r="C1201" s="9" t="inlineStr">
        <is>
          <t>Hyderabad</t>
        </is>
      </c>
      <c r="D1201" s="9" t="inlineStr">
        <is>
          <t>Telangana</t>
        </is>
      </c>
      <c r="E1201" s="9" t="inlineStr">
        <is>
          <t>India</t>
        </is>
      </c>
      <c r="F1201" s="9" t="n">
        <v>1</v>
      </c>
      <c r="G1201" s="9" t="n">
        <v>1</v>
      </c>
      <c r="H1201" s="9" t="n">
        <v>1</v>
      </c>
      <c r="I1201" s="10" t="n">
        <v>44858</v>
      </c>
      <c r="J1201" s="10" t="n">
        <v>44858</v>
      </c>
      <c r="K1201" s="9" t="n">
        <v>17.48838</v>
      </c>
      <c r="L1201" s="9" t="n">
        <v>78.41401</v>
      </c>
      <c r="M1201" s="9" t="inlineStr">
        <is>
          <t>https://www.google.com/maps/place/?q=place_id:ChIJezQiPsyRyzsRIH1OUuUY2_s</t>
        </is>
      </c>
    </row>
    <row r="1202">
      <c r="A1202" s="9" t="n">
        <v>1198</v>
      </c>
      <c r="B1202" s="9" t="inlineStr">
        <is>
          <t>Kukatpally</t>
        </is>
      </c>
      <c r="C1202" s="9" t="inlineStr">
        <is>
          <t>Hyderabad</t>
        </is>
      </c>
      <c r="D1202" s="9" t="inlineStr">
        <is>
          <t>Telangana</t>
        </is>
      </c>
      <c r="E1202" s="9" t="inlineStr">
        <is>
          <t>India</t>
        </is>
      </c>
      <c r="F1202" s="9" t="n">
        <v>1</v>
      </c>
      <c r="G1202" s="9" t="n">
        <v>1</v>
      </c>
      <c r="H1202" s="9" t="n">
        <v>1</v>
      </c>
      <c r="I1202" s="10" t="n">
        <v>44872</v>
      </c>
      <c r="J1202" s="10" t="n">
        <v>44872</v>
      </c>
      <c r="K1202" s="9" t="n">
        <v>17.43627</v>
      </c>
      <c r="L1202" s="9" t="n">
        <v>78.38867</v>
      </c>
      <c r="M1202" s="9" t="inlineStr">
        <is>
          <t>https://www.google.com/maps/place/?q=place_id:ChIJzaa0JS2RyzsR1O23hu3H7dU</t>
        </is>
      </c>
    </row>
    <row r="1203">
      <c r="A1203" s="9" t="n">
        <v>1199</v>
      </c>
      <c r="B1203" s="9" t="inlineStr">
        <is>
          <t>Sriramnagar</t>
        </is>
      </c>
      <c r="C1203" s="9" t="inlineStr">
        <is>
          <t>Hyderabad</t>
        </is>
      </c>
      <c r="D1203" s="9" t="inlineStr">
        <is>
          <t>Telangana</t>
        </is>
      </c>
      <c r="E1203" s="9" t="inlineStr">
        <is>
          <t>India</t>
        </is>
      </c>
      <c r="F1203" s="9" t="n">
        <v>1</v>
      </c>
      <c r="G1203" s="9" t="n">
        <v>1</v>
      </c>
      <c r="H1203" s="9" t="n">
        <v>1</v>
      </c>
      <c r="I1203" s="10" t="n">
        <v>44877</v>
      </c>
      <c r="J1203" s="10" t="n">
        <v>44877</v>
      </c>
      <c r="K1203" s="9" t="n">
        <v>17.1858</v>
      </c>
      <c r="L1203" s="9" t="n">
        <v>78.33327</v>
      </c>
      <c r="M1203" s="9" t="inlineStr">
        <is>
          <t>https://www.google.com/maps/place/?q=place_id:ChIJO4hZ-RC5yzsRq5nwAy5_lro</t>
        </is>
      </c>
    </row>
    <row r="1204">
      <c r="A1204" s="9" t="n">
        <v>1200</v>
      </c>
      <c r="B1204" s="9" t="inlineStr">
        <is>
          <t>Kukatpally</t>
        </is>
      </c>
      <c r="C1204" s="9" t="inlineStr">
        <is>
          <t>Hyderabad</t>
        </is>
      </c>
      <c r="D1204" s="9" t="inlineStr">
        <is>
          <t>Telangana</t>
        </is>
      </c>
      <c r="E1204" s="9" t="inlineStr">
        <is>
          <t>India</t>
        </is>
      </c>
      <c r="F1204" s="9" t="n">
        <v>1</v>
      </c>
      <c r="G1204" s="9" t="n">
        <v>1</v>
      </c>
      <c r="H1204" s="9" t="n">
        <v>1</v>
      </c>
      <c r="I1204" s="10" t="n">
        <v>44877</v>
      </c>
      <c r="J1204" s="10" t="n">
        <v>44877</v>
      </c>
      <c r="K1204" s="9" t="n">
        <v>17.4364</v>
      </c>
      <c r="L1204" s="9" t="n">
        <v>78.38812</v>
      </c>
      <c r="M1204" s="9" t="inlineStr">
        <is>
          <t>https://www.google.com/maps/place/?q=place_id:ChIJ3_dWr1mRyzsRAzah0kuxaeM</t>
        </is>
      </c>
    </row>
    <row r="1205">
      <c r="A1205" s="9" t="n">
        <v>1201</v>
      </c>
      <c r="B1205" s="9" t="inlineStr">
        <is>
          <t>Hyderabad</t>
        </is>
      </c>
      <c r="C1205" s="9" t="inlineStr">
        <is>
          <t>Hyderabad</t>
        </is>
      </c>
      <c r="D1205" s="9" t="inlineStr">
        <is>
          <t>Telangana</t>
        </is>
      </c>
      <c r="E1205" s="9" t="inlineStr">
        <is>
          <t>India</t>
        </is>
      </c>
      <c r="F1205" s="9" t="n">
        <v>1</v>
      </c>
      <c r="G1205" s="9" t="n">
        <v>1</v>
      </c>
      <c r="H1205" s="9" t="n">
        <v>1</v>
      </c>
      <c r="I1205" s="10" t="n">
        <v>44888</v>
      </c>
      <c r="J1205" s="10" t="n">
        <v>44888</v>
      </c>
      <c r="K1205" s="9" t="n">
        <v>17.41614</v>
      </c>
      <c r="L1205" s="9" t="n">
        <v>78.43452000000001</v>
      </c>
      <c r="M1205" s="9" t="inlineStr">
        <is>
          <t>https://www.google.com/maps/place/?q=place_id:ChIJfUQfQTOXyzsRoOiITNf2ZPw</t>
        </is>
      </c>
    </row>
    <row r="1206">
      <c r="A1206" s="9" t="n">
        <v>1202</v>
      </c>
      <c r="B1206" s="9" t="inlineStr">
        <is>
          <t>Singapur</t>
        </is>
      </c>
      <c r="C1206" s="9" t="inlineStr">
        <is>
          <t>Hyderabad</t>
        </is>
      </c>
      <c r="D1206" s="9" t="inlineStr">
        <is>
          <t>Telangana</t>
        </is>
      </c>
      <c r="E1206" s="9" t="inlineStr">
        <is>
          <t>India</t>
        </is>
      </c>
      <c r="F1206" s="9" t="n">
        <v>1</v>
      </c>
      <c r="G1206" s="9" t="n">
        <v>1</v>
      </c>
      <c r="H1206" s="9" t="n">
        <v>1</v>
      </c>
      <c r="I1206" s="10" t="n">
        <v>44894</v>
      </c>
      <c r="J1206" s="10" t="n">
        <v>44894</v>
      </c>
      <c r="K1206" s="9" t="n">
        <v>17.38962</v>
      </c>
      <c r="L1206" s="9" t="n">
        <v>78.17489</v>
      </c>
      <c r="M1206" s="9" t="inlineStr">
        <is>
          <t>https://www.google.com/maps/place/?q=place_id:ChIJUTrIPWvpyzsRiT8gEuG7LX8</t>
        </is>
      </c>
    </row>
    <row r="1207">
      <c r="A1207" s="9" t="n">
        <v>1203</v>
      </c>
      <c r="B1207" s="9" t="inlineStr">
        <is>
          <t>Hyderabad</t>
        </is>
      </c>
      <c r="C1207" s="9" t="inlineStr">
        <is>
          <t>Hyderabad</t>
        </is>
      </c>
      <c r="D1207" s="9" t="inlineStr">
        <is>
          <t>Telangana</t>
        </is>
      </c>
      <c r="E1207" s="9" t="inlineStr">
        <is>
          <t>India</t>
        </is>
      </c>
      <c r="F1207" s="9" t="n">
        <v>1</v>
      </c>
      <c r="G1207" s="9" t="n">
        <v>1</v>
      </c>
      <c r="H1207" s="9" t="n">
        <v>1</v>
      </c>
      <c r="I1207" s="10" t="n">
        <v>44902</v>
      </c>
      <c r="J1207" s="10" t="n">
        <v>44902</v>
      </c>
      <c r="K1207" s="9" t="n">
        <v>17.30901</v>
      </c>
      <c r="L1207" s="9" t="n">
        <v>78.4365</v>
      </c>
      <c r="M1207" s="9" t="inlineStr">
        <is>
          <t>https://www.google.com/maps/place/?q=place_id:ChIJG4Lch82ZyzsRjyEFrLHs1Fw</t>
        </is>
      </c>
    </row>
    <row r="1208">
      <c r="A1208" s="9" t="n">
        <v>1204</v>
      </c>
      <c r="B1208" s="9" t="inlineStr">
        <is>
          <t>Kukatpally</t>
        </is>
      </c>
      <c r="C1208" s="9" t="inlineStr">
        <is>
          <t>Hyderabad</t>
        </is>
      </c>
      <c r="D1208" s="9" t="inlineStr">
        <is>
          <t>Telangana</t>
        </is>
      </c>
      <c r="E1208" s="9" t="inlineStr">
        <is>
          <t>India</t>
        </is>
      </c>
      <c r="F1208" s="9" t="n">
        <v>1</v>
      </c>
      <c r="G1208" s="9" t="n">
        <v>1</v>
      </c>
      <c r="H1208" s="9" t="n">
        <v>1</v>
      </c>
      <c r="I1208" s="10" t="n">
        <v>44902</v>
      </c>
      <c r="J1208" s="10" t="n">
        <v>44902</v>
      </c>
      <c r="K1208" s="9" t="n">
        <v>17.43754</v>
      </c>
      <c r="L1208" s="9" t="n">
        <v>78.37918000000001</v>
      </c>
      <c r="M1208" s="9" t="inlineStr">
        <is>
          <t>https://www.google.com/maps/place/?q=place_id:ChIJe-QkZhiTyzsRcHqbRlFfN3A</t>
        </is>
      </c>
    </row>
    <row r="1209">
      <c r="A1209" s="9" t="n">
        <v>1205</v>
      </c>
      <c r="B1209" s="9" t="inlineStr">
        <is>
          <t>Hyderabad</t>
        </is>
      </c>
      <c r="C1209" s="9" t="inlineStr">
        <is>
          <t>Hyderabad</t>
        </is>
      </c>
      <c r="D1209" s="9" t="inlineStr">
        <is>
          <t>Telangana</t>
        </is>
      </c>
      <c r="E1209" s="9" t="inlineStr">
        <is>
          <t>India</t>
        </is>
      </c>
      <c r="F1209" s="9" t="n">
        <v>1</v>
      </c>
      <c r="G1209" s="9" t="n">
        <v>1</v>
      </c>
      <c r="H1209" s="9" t="n">
        <v>1</v>
      </c>
      <c r="I1209" s="10" t="n">
        <v>44914</v>
      </c>
      <c r="J1209" s="10" t="n">
        <v>44914</v>
      </c>
      <c r="K1209" s="9" t="n">
        <v>17.40395</v>
      </c>
      <c r="L1209" s="9" t="n">
        <v>78.465</v>
      </c>
      <c r="M1209" s="9" t="inlineStr">
        <is>
          <t>https://www.google.com/maps/place/?q=place_id:ChIJ5fdDXF2XyzsRAvmweMyrxsY</t>
        </is>
      </c>
    </row>
    <row r="1210">
      <c r="A1210" s="9" t="n">
        <v>1206</v>
      </c>
      <c r="B1210" s="9" t="inlineStr">
        <is>
          <t>Hyderabad</t>
        </is>
      </c>
      <c r="C1210" s="9" t="inlineStr">
        <is>
          <t>Hyderabad</t>
        </is>
      </c>
      <c r="D1210" s="9" t="inlineStr">
        <is>
          <t>Telangana</t>
        </is>
      </c>
      <c r="E1210" s="9" t="inlineStr">
        <is>
          <t>India</t>
        </is>
      </c>
      <c r="F1210" s="9" t="n">
        <v>1</v>
      </c>
      <c r="G1210" s="9" t="n">
        <v>1</v>
      </c>
      <c r="H1210" s="9" t="n">
        <v>1</v>
      </c>
      <c r="I1210" s="10" t="n">
        <v>44914</v>
      </c>
      <c r="J1210" s="10" t="n">
        <v>44914</v>
      </c>
      <c r="K1210" s="9" t="n">
        <v>17.39211</v>
      </c>
      <c r="L1210" s="9" t="n">
        <v>78.43105</v>
      </c>
      <c r="M1210" s="9" t="inlineStr">
        <is>
          <t>https://www.google.com/maps/place/?q=place_id:ChIJK8Pgch2XyzsRvMbPglA89tM</t>
        </is>
      </c>
    </row>
    <row r="1211">
      <c r="A1211" s="9" t="n">
        <v>1207</v>
      </c>
      <c r="B1211" s="9" t="inlineStr">
        <is>
          <t>Uppal Kalan</t>
        </is>
      </c>
      <c r="C1211" s="9" t="inlineStr">
        <is>
          <t>Hyderabad</t>
        </is>
      </c>
      <c r="D1211" s="9" t="inlineStr">
        <is>
          <t>Telangana</t>
        </is>
      </c>
      <c r="E1211" s="9" t="inlineStr">
        <is>
          <t>India</t>
        </is>
      </c>
      <c r="F1211" s="9" t="n">
        <v>1</v>
      </c>
      <c r="G1211" s="9" t="n">
        <v>1</v>
      </c>
      <c r="H1211" s="9" t="n">
        <v>1</v>
      </c>
      <c r="I1211" s="10" t="n">
        <v>44956</v>
      </c>
      <c r="J1211" s="10" t="n">
        <v>44956</v>
      </c>
      <c r="K1211" s="9" t="n">
        <v>17.45776</v>
      </c>
      <c r="L1211" s="9" t="n">
        <v>78.60633</v>
      </c>
      <c r="M1211" s="9" t="inlineStr">
        <is>
          <t>https://www.google.com/maps/place/?q=place_id:ChIJx8tkB0qcyzsR7KASQr5z-rU</t>
        </is>
      </c>
    </row>
    <row r="1212">
      <c r="A1212" s="9" t="n">
        <v>1208</v>
      </c>
      <c r="B1212" s="9" t="inlineStr">
        <is>
          <t>Hyderabad</t>
        </is>
      </c>
      <c r="C1212" s="9" t="inlineStr">
        <is>
          <t>Hyderabad</t>
        </is>
      </c>
      <c r="D1212" s="9" t="inlineStr">
        <is>
          <t>Telangana</t>
        </is>
      </c>
      <c r="E1212" s="9" t="inlineStr">
        <is>
          <t>India</t>
        </is>
      </c>
      <c r="F1212" s="9" t="n">
        <v>1</v>
      </c>
      <c r="G1212" s="9" t="n">
        <v>1</v>
      </c>
      <c r="H1212" s="9" t="n">
        <v>1</v>
      </c>
      <c r="I1212" s="10" t="n">
        <v>44971</v>
      </c>
      <c r="J1212" s="10" t="n">
        <v>44971</v>
      </c>
      <c r="K1212" s="9" t="n">
        <v>17.43208</v>
      </c>
      <c r="L1212" s="9" t="n">
        <v>78.47539</v>
      </c>
      <c r="M1212" s="9" t="inlineStr">
        <is>
          <t>https://www.google.com/maps/place/?q=place_id:ChIJl8OqpACayzsRIWGgv3Q_yJI</t>
        </is>
      </c>
    </row>
    <row r="1213">
      <c r="A1213" s="9" t="n">
        <v>1209</v>
      </c>
      <c r="B1213" s="9" t="inlineStr">
        <is>
          <t>Kukatpally</t>
        </is>
      </c>
      <c r="C1213" s="9" t="inlineStr">
        <is>
          <t>Hyderabad</t>
        </is>
      </c>
      <c r="D1213" s="9" t="inlineStr">
        <is>
          <t>Telangana</t>
        </is>
      </c>
      <c r="E1213" s="9" t="inlineStr">
        <is>
          <t>India</t>
        </is>
      </c>
      <c r="F1213" s="9" t="n">
        <v>1</v>
      </c>
      <c r="G1213" s="9" t="n">
        <v>1</v>
      </c>
      <c r="H1213" s="9" t="n">
        <v>1</v>
      </c>
      <c r="I1213" s="10" t="n">
        <v>44988</v>
      </c>
      <c r="J1213" s="10" t="n">
        <v>44988</v>
      </c>
      <c r="K1213" s="9" t="n">
        <v>17.44702</v>
      </c>
      <c r="L1213" s="9" t="n">
        <v>78.38368</v>
      </c>
      <c r="M1213" s="9" t="inlineStr">
        <is>
          <t>https://www.google.com/maps/place/?q=place_id:ChIJk6_fjN-TyzsRTNY0dJ8Q1IQ</t>
        </is>
      </c>
    </row>
    <row r="1214">
      <c r="A1214" s="9" t="n">
        <v>1210</v>
      </c>
      <c r="B1214" s="9" t="inlineStr">
        <is>
          <t>Kukatpally</t>
        </is>
      </c>
      <c r="C1214" s="9" t="inlineStr">
        <is>
          <t>Hyderabad</t>
        </is>
      </c>
      <c r="D1214" s="9" t="inlineStr">
        <is>
          <t>Telangana</t>
        </is>
      </c>
      <c r="E1214" s="9" t="inlineStr">
        <is>
          <t>India</t>
        </is>
      </c>
      <c r="F1214" s="9" t="n">
        <v>1</v>
      </c>
      <c r="G1214" s="9" t="n">
        <v>1</v>
      </c>
      <c r="H1214" s="9" t="n">
        <v>1</v>
      </c>
      <c r="I1214" s="10" t="n">
        <v>44991</v>
      </c>
      <c r="J1214" s="10" t="n">
        <v>44991</v>
      </c>
      <c r="K1214" s="9" t="n">
        <v>17.44444</v>
      </c>
      <c r="L1214" s="9" t="n">
        <v>78.38042</v>
      </c>
      <c r="M1214" s="9" t="inlineStr">
        <is>
          <t>https://www.google.com/maps/place/?q=place_id:ChIJCwEg4JKTyzsRPg0QvV_oAzw</t>
        </is>
      </c>
    </row>
    <row r="1215">
      <c r="A1215" s="9" t="n">
        <v>1211</v>
      </c>
      <c r="B1215" s="9" t="inlineStr">
        <is>
          <t>Kukatpally</t>
        </is>
      </c>
      <c r="C1215" s="9" t="inlineStr">
        <is>
          <t>Hyderabad</t>
        </is>
      </c>
      <c r="D1215" s="9" t="inlineStr">
        <is>
          <t>Telangana</t>
        </is>
      </c>
      <c r="E1215" s="9" t="inlineStr">
        <is>
          <t>India</t>
        </is>
      </c>
      <c r="F1215" s="9" t="n">
        <v>1</v>
      </c>
      <c r="G1215" s="9" t="n">
        <v>1</v>
      </c>
      <c r="H1215" s="9" t="n">
        <v>1</v>
      </c>
      <c r="I1215" s="10" t="n">
        <v>44993</v>
      </c>
      <c r="J1215" s="10" t="n">
        <v>44993</v>
      </c>
      <c r="K1215" s="9" t="n">
        <v>17.40984</v>
      </c>
      <c r="L1215" s="9" t="n">
        <v>78.37532</v>
      </c>
      <c r="M1215" s="9" t="inlineStr">
        <is>
          <t>https://www.google.com/maps/place/?q=place_id:ChIJ-yqCQBmUyzsRlQSc7r6he6c</t>
        </is>
      </c>
    </row>
    <row r="1216">
      <c r="A1216" s="9" t="n">
        <v>1212</v>
      </c>
      <c r="B1216" s="9" t="inlineStr">
        <is>
          <t>Kukatpally</t>
        </is>
      </c>
      <c r="C1216" s="9" t="inlineStr">
        <is>
          <t>Hyderabad</t>
        </is>
      </c>
      <c r="D1216" s="9" t="inlineStr">
        <is>
          <t>Telangana</t>
        </is>
      </c>
      <c r="E1216" s="9" t="inlineStr">
        <is>
          <t>India</t>
        </is>
      </c>
      <c r="F1216" s="9" t="n">
        <v>1</v>
      </c>
      <c r="G1216" s="9" t="n">
        <v>1</v>
      </c>
      <c r="H1216" s="9" t="n">
        <v>1</v>
      </c>
      <c r="I1216" s="10" t="n">
        <v>45006</v>
      </c>
      <c r="J1216" s="10" t="n">
        <v>45006</v>
      </c>
      <c r="K1216" s="9" t="n">
        <v>17.44105</v>
      </c>
      <c r="L1216" s="9" t="n">
        <v>78.37674</v>
      </c>
      <c r="M1216" s="9" t="inlineStr">
        <is>
          <t>https://www.google.com/maps/place/?q=place_id:ChIJP7OtigWTyzsRtHjTaWljYEM</t>
        </is>
      </c>
    </row>
    <row r="1217">
      <c r="A1217" s="9" t="n">
        <v>1213</v>
      </c>
      <c r="B1217" s="9" t="inlineStr">
        <is>
          <t>Serilingampalle</t>
        </is>
      </c>
      <c r="C1217" s="9" t="inlineStr">
        <is>
          <t>Hyderabad</t>
        </is>
      </c>
      <c r="D1217" s="9" t="inlineStr">
        <is>
          <t>Telangana</t>
        </is>
      </c>
      <c r="E1217" s="9" t="inlineStr">
        <is>
          <t>India</t>
        </is>
      </c>
      <c r="F1217" s="9" t="n">
        <v>1</v>
      </c>
      <c r="G1217" s="9" t="n">
        <v>1</v>
      </c>
      <c r="H1217" s="9" t="n">
        <v>1</v>
      </c>
      <c r="I1217" s="10" t="n">
        <v>45011</v>
      </c>
      <c r="J1217" s="10" t="n">
        <v>45011</v>
      </c>
      <c r="K1217" s="9" t="n">
        <v>17.40027</v>
      </c>
      <c r="L1217" s="9" t="n">
        <v>78.35066</v>
      </c>
      <c r="M1217" s="9" t="inlineStr">
        <is>
          <t>https://www.google.com/maps/place/?q=place_id:ChIJe-q1lNiVyzsRINOm6mnM6PQ</t>
        </is>
      </c>
    </row>
    <row r="1218">
      <c r="A1218" s="9" t="n">
        <v>1214</v>
      </c>
      <c r="B1218" s="9" t="inlineStr">
        <is>
          <t>Quthbullapur</t>
        </is>
      </c>
      <c r="C1218" s="9" t="inlineStr">
        <is>
          <t>Hyderabad</t>
        </is>
      </c>
      <c r="D1218" s="9" t="inlineStr">
        <is>
          <t>Telangana</t>
        </is>
      </c>
      <c r="E1218" s="9" t="inlineStr">
        <is>
          <t>India</t>
        </is>
      </c>
      <c r="F1218" s="9" t="n">
        <v>1</v>
      </c>
      <c r="G1218" s="9" t="n">
        <v>1</v>
      </c>
      <c r="H1218" s="9" t="n">
        <v>1</v>
      </c>
      <c r="I1218" s="10" t="n">
        <v>45026</v>
      </c>
      <c r="J1218" s="10" t="n">
        <v>45026</v>
      </c>
      <c r="K1218" s="9" t="n">
        <v>17.56976</v>
      </c>
      <c r="L1218" s="9" t="n">
        <v>78.49733999999999</v>
      </c>
      <c r="M1218" s="9" t="inlineStr">
        <is>
          <t>https://www.google.com/maps/place/?q=place_id:ChIJn-q6nJ-FyzsR9ooDGcEJjwg</t>
        </is>
      </c>
    </row>
    <row r="1219">
      <c r="A1219" s="9" t="n">
        <v>1215</v>
      </c>
      <c r="B1219" s="9" t="inlineStr">
        <is>
          <t>Secunderabad</t>
        </is>
      </c>
      <c r="C1219" s="9" t="inlineStr">
        <is>
          <t>Hyderabad</t>
        </is>
      </c>
      <c r="D1219" s="9" t="inlineStr">
        <is>
          <t>Telangana</t>
        </is>
      </c>
      <c r="E1219" s="9" t="inlineStr">
        <is>
          <t>India</t>
        </is>
      </c>
      <c r="F1219" s="9" t="n">
        <v>1</v>
      </c>
      <c r="G1219" s="9" t="n">
        <v>1</v>
      </c>
      <c r="H1219" s="9" t="n">
        <v>1</v>
      </c>
      <c r="I1219" s="10" t="n">
        <v>45026</v>
      </c>
      <c r="J1219" s="10" t="n">
        <v>45026</v>
      </c>
      <c r="K1219" s="9" t="n">
        <v>17.4802</v>
      </c>
      <c r="L1219" s="9" t="n">
        <v>78.58172999999999</v>
      </c>
      <c r="M1219" s="9" t="inlineStr">
        <is>
          <t>https://www.google.com/maps/place/?q=place_id:ChIJXyIX4ImcyzsRU5VmS3xkg5c</t>
        </is>
      </c>
    </row>
    <row r="1220">
      <c r="A1220" s="9" t="n">
        <v>1216</v>
      </c>
      <c r="B1220" s="9" t="inlineStr">
        <is>
          <t>Hyderabad</t>
        </is>
      </c>
      <c r="C1220" s="9" t="inlineStr">
        <is>
          <t>Hyderabad</t>
        </is>
      </c>
      <c r="D1220" s="9" t="inlineStr">
        <is>
          <t>Telangana</t>
        </is>
      </c>
      <c r="E1220" s="9" t="inlineStr">
        <is>
          <t>India</t>
        </is>
      </c>
      <c r="F1220" s="9" t="n">
        <v>1</v>
      </c>
      <c r="G1220" s="9" t="n">
        <v>1</v>
      </c>
      <c r="H1220" s="9" t="n">
        <v>1</v>
      </c>
      <c r="I1220" s="10" t="n">
        <v>45027</v>
      </c>
      <c r="J1220" s="10" t="n">
        <v>45027</v>
      </c>
      <c r="K1220" s="9" t="n">
        <v>17.42502</v>
      </c>
      <c r="L1220" s="9" t="n">
        <v>78.44453</v>
      </c>
      <c r="M1220" s="9" t="inlineStr">
        <is>
          <t>https://www.google.com/maps/place/?q=place_id:ChIJAwAAFEKZyzsR9LUoFX_viOY</t>
        </is>
      </c>
    </row>
    <row r="1221">
      <c r="A1221" s="9" t="n">
        <v>1217</v>
      </c>
      <c r="B1221" s="9" t="inlineStr">
        <is>
          <t>Kukatpally</t>
        </is>
      </c>
      <c r="C1221" s="9" t="inlineStr">
        <is>
          <t>Hyderabad</t>
        </is>
      </c>
      <c r="D1221" s="9" t="inlineStr">
        <is>
          <t>Telangana</t>
        </is>
      </c>
      <c r="E1221" s="9" t="inlineStr">
        <is>
          <t>India</t>
        </is>
      </c>
      <c r="F1221" s="9" t="n">
        <v>1</v>
      </c>
      <c r="G1221" s="9" t="n">
        <v>1</v>
      </c>
      <c r="H1221" s="9" t="n">
        <v>1</v>
      </c>
      <c r="I1221" s="10" t="n">
        <v>45033</v>
      </c>
      <c r="J1221" s="10" t="n">
        <v>45033</v>
      </c>
      <c r="K1221" s="9" t="n">
        <v>17.47913</v>
      </c>
      <c r="L1221" s="9" t="n">
        <v>78.41768</v>
      </c>
      <c r="M1221" s="9" t="inlineStr">
        <is>
          <t>https://www.google.com/maps/place/?q=place_id:ChIJhfA8Go2RyzsRdhmf3mNXkqE</t>
        </is>
      </c>
    </row>
    <row r="1222">
      <c r="A1222" s="9" t="n">
        <v>1218</v>
      </c>
      <c r="B1222" s="9" t="inlineStr">
        <is>
          <t>Hyderabad</t>
        </is>
      </c>
      <c r="C1222" s="9" t="inlineStr">
        <is>
          <t>Hyderabad</t>
        </is>
      </c>
      <c r="D1222" s="9" t="inlineStr">
        <is>
          <t>Telangana</t>
        </is>
      </c>
      <c r="E1222" s="9" t="inlineStr">
        <is>
          <t>India</t>
        </is>
      </c>
      <c r="F1222" s="9" t="n">
        <v>1</v>
      </c>
      <c r="G1222" s="9" t="n">
        <v>1</v>
      </c>
      <c r="H1222" s="9" t="n">
        <v>1</v>
      </c>
      <c r="I1222" s="10" t="n">
        <v>45040</v>
      </c>
      <c r="J1222" s="10" t="n">
        <v>45040</v>
      </c>
      <c r="K1222" s="9" t="n">
        <v>17.41273</v>
      </c>
      <c r="L1222" s="9" t="n">
        <v>78.48874000000001</v>
      </c>
      <c r="M1222" s="9" t="inlineStr">
        <is>
          <t>https://www.google.com/maps/place/?q=place_id:ChIJLSmQGu-ZyzsRkiSbbuMgg9o</t>
        </is>
      </c>
    </row>
    <row r="1223">
      <c r="A1223" s="9" t="n">
        <v>1219</v>
      </c>
      <c r="B1223" s="9" t="inlineStr">
        <is>
          <t>Hyderabad</t>
        </is>
      </c>
      <c r="C1223" s="9" t="inlineStr">
        <is>
          <t>Hyderabad</t>
        </is>
      </c>
      <c r="D1223" s="9" t="inlineStr">
        <is>
          <t>Telangana</t>
        </is>
      </c>
      <c r="E1223" s="9" t="inlineStr">
        <is>
          <t>India</t>
        </is>
      </c>
      <c r="F1223" s="9" t="n">
        <v>1</v>
      </c>
      <c r="G1223" s="9" t="n">
        <v>1</v>
      </c>
      <c r="H1223" s="9" t="n">
        <v>1</v>
      </c>
      <c r="I1223" s="10" t="n">
        <v>45052</v>
      </c>
      <c r="J1223" s="10" t="n">
        <v>45052</v>
      </c>
      <c r="K1223" s="9" t="n">
        <v>17.36861</v>
      </c>
      <c r="L1223" s="9" t="n">
        <v>78.3562</v>
      </c>
      <c r="M1223" s="9" t="inlineStr">
        <is>
          <t>https://www.google.com/maps/place/?q=place_id:ChIJA4GODLSVyzsRAoS7dz-bn7w</t>
        </is>
      </c>
    </row>
    <row r="1224">
      <c r="A1224" s="9" t="n">
        <v>1220</v>
      </c>
      <c r="B1224" s="9" t="inlineStr">
        <is>
          <t>Kukatpally</t>
        </is>
      </c>
      <c r="C1224" s="9" t="inlineStr">
        <is>
          <t>Hyderabad</t>
        </is>
      </c>
      <c r="D1224" s="9" t="inlineStr">
        <is>
          <t>Telangana</t>
        </is>
      </c>
      <c r="E1224" s="9" t="inlineStr">
        <is>
          <t>India</t>
        </is>
      </c>
      <c r="F1224" s="9" t="n">
        <v>1</v>
      </c>
      <c r="G1224" s="9" t="n">
        <v>1</v>
      </c>
      <c r="H1224" s="9" t="n">
        <v>1</v>
      </c>
      <c r="I1224" s="10" t="n">
        <v>45053</v>
      </c>
      <c r="J1224" s="10" t="n">
        <v>45053</v>
      </c>
      <c r="K1224" s="9" t="n">
        <v>17.43174</v>
      </c>
      <c r="L1224" s="9" t="n">
        <v>78.39013</v>
      </c>
      <c r="M1224" s="9" t="inlineStr">
        <is>
          <t>https://www.google.com/maps/place/?q=place_id:ChIJm1LejOqRyzsRmhakOvUH-uU</t>
        </is>
      </c>
    </row>
    <row r="1225">
      <c r="A1225" s="9" t="n">
        <v>1221</v>
      </c>
      <c r="B1225" s="9" t="inlineStr">
        <is>
          <t>Hyderabad</t>
        </is>
      </c>
      <c r="C1225" s="9" t="inlineStr">
        <is>
          <t>Hyderabad</t>
        </is>
      </c>
      <c r="D1225" s="9" t="inlineStr">
        <is>
          <t>Telangana</t>
        </is>
      </c>
      <c r="E1225" s="9" t="inlineStr">
        <is>
          <t>India</t>
        </is>
      </c>
      <c r="F1225" s="9" t="n">
        <v>1</v>
      </c>
      <c r="G1225" s="9" t="n">
        <v>1</v>
      </c>
      <c r="H1225" s="9" t="n">
        <v>1</v>
      </c>
      <c r="I1225" s="10" t="n">
        <v>45069</v>
      </c>
      <c r="J1225" s="10" t="n">
        <v>45069</v>
      </c>
      <c r="K1225" s="9" t="n">
        <v>17.39928</v>
      </c>
      <c r="L1225" s="9" t="n">
        <v>78.44793</v>
      </c>
      <c r="M1225" s="9" t="inlineStr">
        <is>
          <t>https://www.google.com/maps/place/?q=place_id:ChIJdSBEcBGXyzsRVQw8ykJE-Dw</t>
        </is>
      </c>
    </row>
    <row r="1226">
      <c r="A1226" s="9" t="n">
        <v>1222</v>
      </c>
      <c r="B1226" s="9" t="inlineStr">
        <is>
          <t>Hyderabad</t>
        </is>
      </c>
      <c r="C1226" s="9" t="inlineStr">
        <is>
          <t>Hyderabad</t>
        </is>
      </c>
      <c r="D1226" s="9" t="inlineStr">
        <is>
          <t>Telangana</t>
        </is>
      </c>
      <c r="E1226" s="9" t="inlineStr">
        <is>
          <t>India</t>
        </is>
      </c>
      <c r="F1226" s="9" t="n">
        <v>1</v>
      </c>
      <c r="G1226" s="9" t="n">
        <v>1</v>
      </c>
      <c r="H1226" s="9" t="n">
        <v>1</v>
      </c>
      <c r="I1226" s="10" t="n">
        <v>45075</v>
      </c>
      <c r="J1226" s="10" t="n">
        <v>45075</v>
      </c>
      <c r="K1226" s="9" t="n">
        <v>17.34406</v>
      </c>
      <c r="L1226" s="9" t="n">
        <v>78.41714</v>
      </c>
      <c r="M1226" s="9" t="inlineStr">
        <is>
          <t>https://www.google.com/maps/place/?q=place_id:ChIJ9_nMvDqWyzsRJB-BXpGqLbg</t>
        </is>
      </c>
    </row>
    <row r="1227">
      <c r="A1227" s="9" t="n">
        <v>1223</v>
      </c>
      <c r="B1227" s="9" t="inlineStr">
        <is>
          <t>Hyderabad</t>
        </is>
      </c>
      <c r="C1227" s="9" t="inlineStr">
        <is>
          <t>Hyderabad</t>
        </is>
      </c>
      <c r="D1227" s="9" t="inlineStr">
        <is>
          <t>Telangana</t>
        </is>
      </c>
      <c r="E1227" s="9" t="inlineStr">
        <is>
          <t>India</t>
        </is>
      </c>
      <c r="F1227" s="9" t="n">
        <v>1</v>
      </c>
      <c r="G1227" s="9" t="n">
        <v>8</v>
      </c>
      <c r="H1227" s="9" t="n">
        <v>1</v>
      </c>
      <c r="I1227" s="10" t="n">
        <v>45094</v>
      </c>
      <c r="J1227" s="10" t="n">
        <v>45101</v>
      </c>
      <c r="K1227" s="9" t="n">
        <v>17.41018</v>
      </c>
      <c r="L1227" s="9" t="n">
        <v>78.42935</v>
      </c>
      <c r="M1227" s="9" t="inlineStr">
        <is>
          <t>https://www.google.com/maps/place/?q=place_id:ChIJs3rhu-yXyzsRIDY44UcjOw0</t>
        </is>
      </c>
    </row>
    <row r="1228">
      <c r="A1228" s="9" t="n">
        <v>1224</v>
      </c>
      <c r="B1228" s="9" t="inlineStr">
        <is>
          <t>Hyderabad</t>
        </is>
      </c>
      <c r="C1228" s="9" t="inlineStr">
        <is>
          <t>Hyderabad</t>
        </is>
      </c>
      <c r="D1228" s="9" t="inlineStr">
        <is>
          <t>Telangana</t>
        </is>
      </c>
      <c r="E1228" s="9" t="inlineStr">
        <is>
          <t>India</t>
        </is>
      </c>
      <c r="F1228" s="9" t="n">
        <v>1</v>
      </c>
      <c r="G1228" s="9" t="n">
        <v>1</v>
      </c>
      <c r="H1228" s="9" t="n">
        <v>1</v>
      </c>
      <c r="I1228" s="10" t="n">
        <v>45111</v>
      </c>
      <c r="J1228" s="10" t="n">
        <v>45111</v>
      </c>
      <c r="K1228" s="9" t="n">
        <v>17.40968</v>
      </c>
      <c r="L1228" s="9" t="n">
        <v>78.4239</v>
      </c>
      <c r="M1228" s="9" t="inlineStr">
        <is>
          <t>https://www.google.com/maps/place/?q=place_id:ChIJzcAf1tuWyzsR0kz3jZ8CvFw</t>
        </is>
      </c>
    </row>
    <row r="1229">
      <c r="A1229" s="9" t="n">
        <v>1225</v>
      </c>
      <c r="B1229" s="9" t="inlineStr">
        <is>
          <t>Hyderabad</t>
        </is>
      </c>
      <c r="C1229" s="9" t="inlineStr">
        <is>
          <t>Hyderabad</t>
        </is>
      </c>
      <c r="D1229" s="9" t="inlineStr">
        <is>
          <t>Telangana</t>
        </is>
      </c>
      <c r="E1229" s="9" t="inlineStr">
        <is>
          <t>India</t>
        </is>
      </c>
      <c r="F1229" s="9" t="n">
        <v>1</v>
      </c>
      <c r="G1229" s="9" t="n">
        <v>6</v>
      </c>
      <c r="H1229" s="9" t="n">
        <v>1</v>
      </c>
      <c r="I1229" s="10" t="n">
        <v>45111</v>
      </c>
      <c r="J1229" s="10" t="n">
        <v>45116</v>
      </c>
      <c r="K1229" s="9" t="n">
        <v>17.41026</v>
      </c>
      <c r="L1229" s="9" t="n">
        <v>78.43002</v>
      </c>
      <c r="M1229" s="9" t="inlineStr">
        <is>
          <t>https://www.google.com/maps/place/?q=place_id:ChIJD84cm1SXyzsRoSo8_bop2pY</t>
        </is>
      </c>
    </row>
    <row r="1230">
      <c r="A1230" s="9" t="n">
        <v>1226</v>
      </c>
      <c r="B1230" s="9" t="inlineStr">
        <is>
          <t>Hyderabad</t>
        </is>
      </c>
      <c r="C1230" s="9" t="inlineStr">
        <is>
          <t>Hyderabad</t>
        </is>
      </c>
      <c r="D1230" s="9" t="inlineStr">
        <is>
          <t>Telangana</t>
        </is>
      </c>
      <c r="E1230" s="9" t="inlineStr">
        <is>
          <t>India</t>
        </is>
      </c>
      <c r="F1230" s="9" t="n">
        <v>1</v>
      </c>
      <c r="G1230" s="9" t="n">
        <v>8</v>
      </c>
      <c r="H1230" s="9" t="n">
        <v>1</v>
      </c>
      <c r="I1230" s="10" t="n">
        <v>45117</v>
      </c>
      <c r="J1230" s="10" t="n">
        <v>45124</v>
      </c>
      <c r="K1230" s="9" t="n">
        <v>17.41082</v>
      </c>
      <c r="L1230" s="9" t="n">
        <v>78.43056</v>
      </c>
      <c r="M1230" s="9" t="inlineStr">
        <is>
          <t>https://www.google.com/maps/place/?q=place_id:ChIJzfe858KXyzsRNEvQ9071vBk</t>
        </is>
      </c>
    </row>
    <row r="1231">
      <c r="A1231" s="9" t="n">
        <v>1227</v>
      </c>
      <c r="B1231" s="9" t="inlineStr">
        <is>
          <t>Hyderabad</t>
        </is>
      </c>
      <c r="C1231" s="9" t="inlineStr">
        <is>
          <t>Hyderabad</t>
        </is>
      </c>
      <c r="D1231" s="9" t="inlineStr">
        <is>
          <t>Telangana</t>
        </is>
      </c>
      <c r="E1231" s="9" t="inlineStr">
        <is>
          <t>India</t>
        </is>
      </c>
      <c r="F1231" s="9" t="n">
        <v>1</v>
      </c>
      <c r="G1231" s="9" t="n">
        <v>1</v>
      </c>
      <c r="H1231" s="9" t="n">
        <v>1</v>
      </c>
      <c r="I1231" s="10" t="n">
        <v>45124</v>
      </c>
      <c r="J1231" s="10" t="n">
        <v>45124</v>
      </c>
      <c r="K1231" s="9" t="n">
        <v>17.39811</v>
      </c>
      <c r="L1231" s="9" t="n">
        <v>78.4708</v>
      </c>
      <c r="M1231" s="9" t="inlineStr">
        <is>
          <t>https://www.google.com/maps/place/?q=place_id:ChIJv8mkX2GXyzsR0VV1rWKEPAk</t>
        </is>
      </c>
    </row>
    <row r="1232">
      <c r="A1232" s="9" t="n">
        <v>1228</v>
      </c>
      <c r="B1232" s="9" t="inlineStr">
        <is>
          <t>Hyderabad</t>
        </is>
      </c>
      <c r="C1232" s="9" t="inlineStr">
        <is>
          <t>Hyderabad</t>
        </is>
      </c>
      <c r="D1232" s="9" t="inlineStr">
        <is>
          <t>Telangana</t>
        </is>
      </c>
      <c r="E1232" s="9" t="inlineStr">
        <is>
          <t>India</t>
        </is>
      </c>
      <c r="F1232" s="9" t="n">
        <v>1</v>
      </c>
      <c r="G1232" s="9" t="n">
        <v>1</v>
      </c>
      <c r="H1232" s="9" t="n">
        <v>1</v>
      </c>
      <c r="I1232" s="10" t="n">
        <v>45139</v>
      </c>
      <c r="J1232" s="10" t="n">
        <v>45139</v>
      </c>
      <c r="K1232" s="9" t="n">
        <v>17.41594</v>
      </c>
      <c r="L1232" s="9" t="n">
        <v>78.43429999999999</v>
      </c>
      <c r="M1232" s="9" t="inlineStr">
        <is>
          <t>https://www.google.com/maps/place/?q=place_id:ChIJ8yprJ0CXyzsRWSQuTocjOvs</t>
        </is>
      </c>
    </row>
    <row r="1233">
      <c r="A1233" s="9" t="n">
        <v>1229</v>
      </c>
      <c r="B1233" s="9" t="inlineStr">
        <is>
          <t>Kukatpally</t>
        </is>
      </c>
      <c r="C1233" s="9" t="inlineStr">
        <is>
          <t>Hyderabad</t>
        </is>
      </c>
      <c r="D1233" s="9" t="inlineStr">
        <is>
          <t>Telangana</t>
        </is>
      </c>
      <c r="E1233" s="9" t="inlineStr">
        <is>
          <t>India</t>
        </is>
      </c>
      <c r="F1233" s="9" t="n">
        <v>1</v>
      </c>
      <c r="G1233" s="9" t="n">
        <v>1</v>
      </c>
      <c r="H1233" s="9" t="n">
        <v>1</v>
      </c>
      <c r="I1233" s="10" t="n">
        <v>45140</v>
      </c>
      <c r="J1233" s="10" t="n">
        <v>45140</v>
      </c>
      <c r="K1233" s="9" t="n">
        <v>17.45355</v>
      </c>
      <c r="L1233" s="9" t="n">
        <v>78.38334</v>
      </c>
      <c r="M1233" s="9" t="inlineStr">
        <is>
          <t>https://www.google.com/maps/place/?q=place_id:ChIJeZ-sj9iTyzsR3R10H_HNWGw</t>
        </is>
      </c>
    </row>
    <row r="1234">
      <c r="A1234" s="9" t="n">
        <v>1230</v>
      </c>
      <c r="B1234" s="9" t="inlineStr">
        <is>
          <t>Kukatpally</t>
        </is>
      </c>
      <c r="C1234" s="9" t="inlineStr">
        <is>
          <t>Hyderabad</t>
        </is>
      </c>
      <c r="D1234" s="9" t="inlineStr">
        <is>
          <t>Telangana</t>
        </is>
      </c>
      <c r="E1234" s="9" t="inlineStr">
        <is>
          <t>India</t>
        </is>
      </c>
      <c r="F1234" s="9" t="n">
        <v>1</v>
      </c>
      <c r="G1234" s="9" t="n">
        <v>1</v>
      </c>
      <c r="H1234" s="9" t="n">
        <v>1</v>
      </c>
      <c r="I1234" s="10" t="n">
        <v>45140</v>
      </c>
      <c r="J1234" s="10" t="n">
        <v>45140</v>
      </c>
      <c r="K1234" s="9" t="n">
        <v>17.48693</v>
      </c>
      <c r="L1234" s="9" t="n">
        <v>78.38527000000001</v>
      </c>
      <c r="M1234" s="9" t="inlineStr">
        <is>
          <t>https://www.google.com/maps/place/?q=place_id:ChIJbfcJERWRyzsR4fkxtHY-kDk</t>
        </is>
      </c>
    </row>
    <row r="1235">
      <c r="A1235" s="9" t="n">
        <v>1231</v>
      </c>
      <c r="B1235" s="9" t="inlineStr">
        <is>
          <t>Kukatpally</t>
        </is>
      </c>
      <c r="C1235" s="9" t="inlineStr">
        <is>
          <t>Hyderabad</t>
        </is>
      </c>
      <c r="D1235" s="9" t="inlineStr">
        <is>
          <t>Telangana</t>
        </is>
      </c>
      <c r="E1235" s="9" t="inlineStr">
        <is>
          <t>India</t>
        </is>
      </c>
      <c r="F1235" s="9" t="n">
        <v>1</v>
      </c>
      <c r="G1235" s="9" t="n">
        <v>1</v>
      </c>
      <c r="H1235" s="9" t="n">
        <v>1</v>
      </c>
      <c r="I1235" s="10" t="n">
        <v>45145</v>
      </c>
      <c r="J1235" s="10" t="n">
        <v>45145</v>
      </c>
      <c r="K1235" s="9" t="n">
        <v>17.44664</v>
      </c>
      <c r="L1235" s="9" t="n">
        <v>78.39962</v>
      </c>
      <c r="M1235" s="9" t="inlineStr">
        <is>
          <t>https://www.google.com/maps/place/?q=place_id:ChIJww4o3GmRyzsReK3H8mEIec4</t>
        </is>
      </c>
    </row>
    <row r="1236">
      <c r="A1236" s="9" t="n">
        <v>1232</v>
      </c>
      <c r="B1236" s="9" t="inlineStr">
        <is>
          <t>Secunderabad</t>
        </is>
      </c>
      <c r="C1236" s="9" t="inlineStr">
        <is>
          <t>Hyderabad</t>
        </is>
      </c>
      <c r="D1236" s="9" t="inlineStr">
        <is>
          <t>Telangana</t>
        </is>
      </c>
      <c r="E1236" s="9" t="inlineStr">
        <is>
          <t>India</t>
        </is>
      </c>
      <c r="F1236" s="9" t="n">
        <v>1</v>
      </c>
      <c r="G1236" s="9" t="n">
        <v>1</v>
      </c>
      <c r="H1236" s="9" t="n">
        <v>1</v>
      </c>
      <c r="I1236" s="10" t="n">
        <v>45168</v>
      </c>
      <c r="J1236" s="10" t="n">
        <v>45168</v>
      </c>
      <c r="K1236" s="9" t="n">
        <v>17.49549</v>
      </c>
      <c r="L1236" s="9" t="n">
        <v>78.57715</v>
      </c>
      <c r="M1236" s="9" t="inlineStr">
        <is>
          <t>https://www.google.com/maps/place/?q=place_id:ChIJkb7tbvKdyzsRAou3muRqXpw</t>
        </is>
      </c>
    </row>
    <row r="1237">
      <c r="A1237" s="9" t="n">
        <v>1233</v>
      </c>
      <c r="B1237" s="9" t="inlineStr">
        <is>
          <t>Hyderabad</t>
        </is>
      </c>
      <c r="C1237" s="9" t="inlineStr">
        <is>
          <t>Hyderabad</t>
        </is>
      </c>
      <c r="D1237" s="9" t="inlineStr">
        <is>
          <t>Telangana</t>
        </is>
      </c>
      <c r="E1237" s="9" t="inlineStr">
        <is>
          <t>India</t>
        </is>
      </c>
      <c r="F1237" s="9" t="n">
        <v>1</v>
      </c>
      <c r="G1237" s="9" t="n">
        <v>1</v>
      </c>
      <c r="H1237" s="9" t="n">
        <v>1</v>
      </c>
      <c r="I1237" s="10" t="n">
        <v>45171</v>
      </c>
      <c r="J1237" s="10" t="n">
        <v>45171</v>
      </c>
      <c r="K1237" s="9" t="n">
        <v>17.40805</v>
      </c>
      <c r="L1237" s="9" t="n">
        <v>78.45052</v>
      </c>
      <c r="M1237" s="9" t="inlineStr">
        <is>
          <t>https://www.google.com/maps/place/?q=place_id:ChIJE3EqMD-XyzsRVPVdeg6ail0</t>
        </is>
      </c>
    </row>
    <row r="1238">
      <c r="A1238" s="9" t="n">
        <v>1234</v>
      </c>
      <c r="B1238" s="9" t="inlineStr">
        <is>
          <t>Hyderabad</t>
        </is>
      </c>
      <c r="C1238" s="9" t="inlineStr">
        <is>
          <t>Hyderabad</t>
        </is>
      </c>
      <c r="D1238" s="9" t="inlineStr">
        <is>
          <t>Telangana</t>
        </is>
      </c>
      <c r="E1238" s="9" t="inlineStr">
        <is>
          <t>India</t>
        </is>
      </c>
      <c r="F1238" s="9" t="n">
        <v>1</v>
      </c>
      <c r="G1238" s="9" t="n">
        <v>1</v>
      </c>
      <c r="H1238" s="9" t="n">
        <v>1</v>
      </c>
      <c r="I1238" s="10" t="n">
        <v>45262</v>
      </c>
      <c r="J1238" s="10" t="n">
        <v>45262</v>
      </c>
      <c r="K1238" s="9" t="n">
        <v>17.40786</v>
      </c>
      <c r="L1238" s="9" t="n">
        <v>78.42386</v>
      </c>
      <c r="M1238" s="9" t="inlineStr">
        <is>
          <t>https://www.google.com/maps/place/?q=place_id:ChIJMz7D4hSXyzsRk9P0VIMYSbY</t>
        </is>
      </c>
    </row>
    <row r="1239">
      <c r="A1239" s="9" t="n">
        <v>1235</v>
      </c>
      <c r="B1239" s="9" t="inlineStr">
        <is>
          <t>Hyderabad</t>
        </is>
      </c>
      <c r="C1239" s="9" t="inlineStr">
        <is>
          <t>Hyderabad</t>
        </is>
      </c>
      <c r="D1239" s="9" t="inlineStr">
        <is>
          <t>Telangana</t>
        </is>
      </c>
      <c r="E1239" s="9" t="inlineStr">
        <is>
          <t>India</t>
        </is>
      </c>
      <c r="F1239" s="9" t="n">
        <v>1</v>
      </c>
      <c r="G1239" s="9" t="n">
        <v>1</v>
      </c>
      <c r="H1239" s="9" t="n">
        <v>1</v>
      </c>
      <c r="I1239" s="10" t="n">
        <v>45321</v>
      </c>
      <c r="J1239" s="10" t="n">
        <v>45321</v>
      </c>
      <c r="K1239" s="9" t="n">
        <v>17.43569</v>
      </c>
      <c r="L1239" s="9" t="n">
        <v>78.44459000000001</v>
      </c>
      <c r="M1239" s="9" t="inlineStr">
        <is>
          <t>https://www.google.com/maps/place/?q=place_id:ChIJZZguc8-QyzsRG7DaiNnMsTQ</t>
        </is>
      </c>
    </row>
    <row r="1240">
      <c r="A1240" s="9" t="n">
        <v>1236</v>
      </c>
      <c r="B1240" s="9" t="inlineStr">
        <is>
          <t>Kukatpally</t>
        </is>
      </c>
      <c r="C1240" s="9" t="inlineStr">
        <is>
          <t>Hyderabad</t>
        </is>
      </c>
      <c r="D1240" s="9" t="inlineStr">
        <is>
          <t>Telangana</t>
        </is>
      </c>
      <c r="E1240" s="9" t="inlineStr">
        <is>
          <t>India</t>
        </is>
      </c>
      <c r="F1240" s="9" t="n">
        <v>1</v>
      </c>
      <c r="G1240" s="9" t="n">
        <v>1</v>
      </c>
      <c r="H1240" s="9" t="n">
        <v>1</v>
      </c>
      <c r="I1240" s="10" t="n">
        <v>45322</v>
      </c>
      <c r="J1240" s="10" t="n">
        <v>45322</v>
      </c>
      <c r="K1240" s="9" t="n">
        <v>17.47318</v>
      </c>
      <c r="L1240" s="9" t="n">
        <v>78.42486</v>
      </c>
      <c r="M1240" s="9" t="inlineStr">
        <is>
          <t>https://www.google.com/maps/place/?q=place_id:ChIJ78cLNKqRyzsRGUEFur5J2ak</t>
        </is>
      </c>
    </row>
    <row r="1241">
      <c r="A1241" s="9" t="n">
        <v>1237</v>
      </c>
      <c r="B1241" s="9" t="inlineStr">
        <is>
          <t>Hyderabad</t>
        </is>
      </c>
      <c r="C1241" s="9" t="inlineStr">
        <is>
          <t>Hyderabad</t>
        </is>
      </c>
      <c r="D1241" s="9" t="inlineStr">
        <is>
          <t>Telangana</t>
        </is>
      </c>
      <c r="E1241" s="9" t="inlineStr">
        <is>
          <t>India</t>
        </is>
      </c>
      <c r="F1241" s="9" t="n">
        <v>1</v>
      </c>
      <c r="G1241" s="9" t="n">
        <v>1</v>
      </c>
      <c r="H1241" s="9" t="n">
        <v>1</v>
      </c>
      <c r="I1241" s="10" t="n">
        <v>45331</v>
      </c>
      <c r="J1241" s="10" t="n">
        <v>45331</v>
      </c>
      <c r="K1241" s="9" t="n">
        <v>17.39402</v>
      </c>
      <c r="L1241" s="9" t="n">
        <v>78.47108</v>
      </c>
      <c r="M1241" s="9" t="inlineStr">
        <is>
          <t>https://www.google.com/maps/place/?q=place_id:ChIJbeRKamOXyzsRl-XTgAVMmbw</t>
        </is>
      </c>
    </row>
    <row r="1242">
      <c r="A1242" s="9" t="n">
        <v>1238</v>
      </c>
      <c r="B1242" s="9" t="inlineStr">
        <is>
          <t>Hyderabad</t>
        </is>
      </c>
      <c r="C1242" s="9" t="inlineStr">
        <is>
          <t>Hyderabad</t>
        </is>
      </c>
      <c r="D1242" s="9" t="inlineStr">
        <is>
          <t>Telangana</t>
        </is>
      </c>
      <c r="E1242" s="9" t="inlineStr">
        <is>
          <t>India</t>
        </is>
      </c>
      <c r="F1242" s="9" t="n">
        <v>1</v>
      </c>
      <c r="G1242" s="9" t="n">
        <v>1</v>
      </c>
      <c r="H1242" s="9" t="n">
        <v>1</v>
      </c>
      <c r="I1242" s="10" t="n">
        <v>45331</v>
      </c>
      <c r="J1242" s="10" t="n">
        <v>45331</v>
      </c>
      <c r="K1242" s="9" t="n">
        <v>17.37565</v>
      </c>
      <c r="L1242" s="9" t="n">
        <v>78.47354</v>
      </c>
      <c r="M1242" s="9" t="inlineStr">
        <is>
          <t>https://www.google.com/maps/place/?q=place_id:ChIJMbhMxYCXyzsReVdhSEPuIXU</t>
        </is>
      </c>
    </row>
    <row r="1243">
      <c r="A1243" s="9" t="n">
        <v>1239</v>
      </c>
      <c r="B1243" s="9" t="inlineStr">
        <is>
          <t>Kukatpally</t>
        </is>
      </c>
      <c r="C1243" s="9" t="inlineStr">
        <is>
          <t>Hyderabad</t>
        </is>
      </c>
      <c r="D1243" s="9" t="inlineStr">
        <is>
          <t>Telangana</t>
        </is>
      </c>
      <c r="E1243" s="9" t="inlineStr">
        <is>
          <t>India</t>
        </is>
      </c>
      <c r="F1243" s="9" t="n">
        <v>1</v>
      </c>
      <c r="G1243" s="9" t="n">
        <v>1</v>
      </c>
      <c r="H1243" s="9" t="n">
        <v>1</v>
      </c>
      <c r="I1243" s="10" t="n">
        <v>45349</v>
      </c>
      <c r="J1243" s="10" t="n">
        <v>45349</v>
      </c>
      <c r="K1243" s="9" t="n">
        <v>17.43832</v>
      </c>
      <c r="L1243" s="9" t="n">
        <v>78.38473</v>
      </c>
      <c r="M1243" s="9" t="inlineStr">
        <is>
          <t>https://www.google.com/maps/place/?q=place_id:ChIJUZZhw-CTyzsRD1pFBhTNZZk</t>
        </is>
      </c>
    </row>
    <row r="1244">
      <c r="A1244" s="9" t="n">
        <v>1240</v>
      </c>
      <c r="B1244" s="9" t="inlineStr">
        <is>
          <t>Hyderabad</t>
        </is>
      </c>
      <c r="C1244" s="9" t="inlineStr">
        <is>
          <t>Hyderabad</t>
        </is>
      </c>
      <c r="D1244" s="9" t="inlineStr">
        <is>
          <t>Telangana</t>
        </is>
      </c>
      <c r="E1244" s="9" t="inlineStr">
        <is>
          <t>India</t>
        </is>
      </c>
      <c r="F1244" s="9" t="n">
        <v>1</v>
      </c>
      <c r="G1244" s="9" t="n">
        <v>1</v>
      </c>
      <c r="H1244" s="9" t="n">
        <v>1</v>
      </c>
      <c r="I1244" s="10" t="n">
        <v>45382</v>
      </c>
      <c r="J1244" s="10" t="n">
        <v>45382</v>
      </c>
      <c r="K1244" s="9" t="n">
        <v>17.42995</v>
      </c>
      <c r="L1244" s="9" t="n">
        <v>78.45558</v>
      </c>
      <c r="M1244" s="9" t="inlineStr">
        <is>
          <t>https://www.google.com/maps/place/?q=place_id:ChIJ0bbtTbSQyzsR71wtOgCbEj4</t>
        </is>
      </c>
    </row>
    <row r="1245">
      <c r="A1245" s="9" t="n">
        <v>1241</v>
      </c>
      <c r="B1245" s="9" t="inlineStr">
        <is>
          <t>Hyderabad</t>
        </is>
      </c>
      <c r="C1245" s="9" t="inlineStr">
        <is>
          <t>Hyderabad</t>
        </is>
      </c>
      <c r="D1245" s="9" t="inlineStr">
        <is>
          <t>Telangana</t>
        </is>
      </c>
      <c r="E1245" s="9" t="inlineStr">
        <is>
          <t>India</t>
        </is>
      </c>
      <c r="F1245" s="9" t="n">
        <v>1</v>
      </c>
      <c r="G1245" s="9" t="n">
        <v>1</v>
      </c>
      <c r="H1245" s="9" t="n">
        <v>1</v>
      </c>
      <c r="I1245" s="10" t="n">
        <v>45395</v>
      </c>
      <c r="J1245" s="10" t="n">
        <v>45395</v>
      </c>
      <c r="K1245" s="9" t="n">
        <v>17.38881</v>
      </c>
      <c r="L1245" s="9" t="n">
        <v>78.47429</v>
      </c>
      <c r="M1245" s="9" t="inlineStr">
        <is>
          <t>https://www.google.com/maps/place/?q=place_id:ChIJA2JlkH2XyzsRWEAERxD4YlU</t>
        </is>
      </c>
    </row>
    <row r="1246">
      <c r="A1246" s="9" t="n">
        <v>1242</v>
      </c>
      <c r="B1246" s="9" t="inlineStr">
        <is>
          <t>Hyderabad</t>
        </is>
      </c>
      <c r="C1246" s="9" t="inlineStr">
        <is>
          <t>Hyderabad</t>
        </is>
      </c>
      <c r="D1246" s="9" t="inlineStr">
        <is>
          <t>Telangana</t>
        </is>
      </c>
      <c r="E1246" s="9" t="inlineStr">
        <is>
          <t>India</t>
        </is>
      </c>
      <c r="F1246" s="9" t="n">
        <v>1</v>
      </c>
      <c r="G1246" s="9" t="n">
        <v>1</v>
      </c>
      <c r="H1246" s="9" t="n">
        <v>1</v>
      </c>
      <c r="I1246" s="10" t="n">
        <v>45395</v>
      </c>
      <c r="J1246" s="10" t="n">
        <v>45395</v>
      </c>
      <c r="K1246" s="9" t="n">
        <v>17.27751</v>
      </c>
      <c r="L1246" s="9" t="n">
        <v>78.42216999999999</v>
      </c>
      <c r="M1246" s="9" t="inlineStr">
        <is>
          <t>https://www.google.com/maps/place/?q=place_id:ChIJoWIMQdy9yzsRqP-x2nylMhY</t>
        </is>
      </c>
    </row>
    <row r="1247">
      <c r="A1247" s="9" t="n">
        <v>1243</v>
      </c>
      <c r="B1247" s="9" t="inlineStr">
        <is>
          <t>Hyderabad</t>
        </is>
      </c>
      <c r="C1247" s="9" t="inlineStr">
        <is>
          <t>Hyderabad</t>
        </is>
      </c>
      <c r="D1247" s="9" t="inlineStr">
        <is>
          <t>Telangana</t>
        </is>
      </c>
      <c r="E1247" s="9" t="inlineStr">
        <is>
          <t>India</t>
        </is>
      </c>
      <c r="F1247" s="9" t="n">
        <v>1</v>
      </c>
      <c r="G1247" s="9" t="n">
        <v>1</v>
      </c>
      <c r="H1247" s="9" t="n">
        <v>1</v>
      </c>
      <c r="I1247" s="10" t="n">
        <v>45400</v>
      </c>
      <c r="J1247" s="10" t="n">
        <v>45400</v>
      </c>
      <c r="K1247" s="9" t="n">
        <v>17.38782</v>
      </c>
      <c r="L1247" s="9" t="n">
        <v>78.47507</v>
      </c>
      <c r="M1247" s="9" t="inlineStr">
        <is>
          <t>https://www.google.com/maps/place/?q=place_id:ChIJeba69X2XyzsRNlGEWbqOWuw</t>
        </is>
      </c>
    </row>
    <row r="1248">
      <c r="A1248" s="9" t="n">
        <v>1244</v>
      </c>
      <c r="B1248" s="9" t="inlineStr">
        <is>
          <t>Malkajgiri</t>
        </is>
      </c>
      <c r="C1248" s="9" t="inlineStr">
        <is>
          <t>Hyderabad</t>
        </is>
      </c>
      <c r="D1248" s="9" t="inlineStr">
        <is>
          <t>Telangana</t>
        </is>
      </c>
      <c r="E1248" s="9" t="inlineStr">
        <is>
          <t>India</t>
        </is>
      </c>
      <c r="F1248" s="9" t="n">
        <v>1</v>
      </c>
      <c r="G1248" s="9" t="n">
        <v>1</v>
      </c>
      <c r="H1248" s="9" t="n">
        <v>1</v>
      </c>
      <c r="I1248" s="10" t="n">
        <v>45411</v>
      </c>
      <c r="J1248" s="10" t="n">
        <v>45411</v>
      </c>
      <c r="K1248" s="9" t="n">
        <v>17.44206</v>
      </c>
      <c r="L1248" s="9" t="n">
        <v>78.5055</v>
      </c>
      <c r="M1248" s="9" t="inlineStr">
        <is>
          <t>https://www.google.com/maps/place/?q=place_id:ChIJufWXITuayzsR4MjzIf73gDE</t>
        </is>
      </c>
    </row>
    <row r="1249">
      <c r="A1249" s="9" t="n">
        <v>1245</v>
      </c>
      <c r="B1249" s="9" t="inlineStr">
        <is>
          <t>Hyderabad</t>
        </is>
      </c>
      <c r="C1249" s="9" t="inlineStr">
        <is>
          <t>Hyderabad</t>
        </is>
      </c>
      <c r="D1249" s="9" t="inlineStr">
        <is>
          <t>Telangana</t>
        </is>
      </c>
      <c r="E1249" s="9" t="inlineStr">
        <is>
          <t>India</t>
        </is>
      </c>
      <c r="F1249" s="9" t="n">
        <v>1</v>
      </c>
      <c r="G1249" s="9" t="n">
        <v>1</v>
      </c>
      <c r="H1249" s="9" t="n">
        <v>1</v>
      </c>
      <c r="I1249" s="10" t="n">
        <v>45467</v>
      </c>
      <c r="J1249" s="10" t="n">
        <v>45467</v>
      </c>
      <c r="K1249" s="9" t="n">
        <v>17.40913</v>
      </c>
      <c r="L1249" s="9" t="n">
        <v>78.43382</v>
      </c>
      <c r="M1249" s="9" t="inlineStr">
        <is>
          <t>https://www.google.com/maps/place/?q=place_id:ChIJ79Td_J-XyzsR75GrMiiR0xE</t>
        </is>
      </c>
    </row>
    <row r="1250">
      <c r="A1250" s="9" t="n">
        <v>1246</v>
      </c>
      <c r="B1250" s="9" t="inlineStr">
        <is>
          <t>Hyderabad</t>
        </is>
      </c>
      <c r="C1250" s="9" t="inlineStr">
        <is>
          <t>Hyderabad</t>
        </is>
      </c>
      <c r="D1250" s="9" t="inlineStr">
        <is>
          <t>Telangana</t>
        </is>
      </c>
      <c r="E1250" s="9" t="inlineStr">
        <is>
          <t>India</t>
        </is>
      </c>
      <c r="F1250" s="9" t="n">
        <v>1</v>
      </c>
      <c r="G1250" s="9" t="n">
        <v>1</v>
      </c>
      <c r="H1250" s="9" t="n">
        <v>1</v>
      </c>
      <c r="I1250" s="10" t="n">
        <v>45475</v>
      </c>
      <c r="J1250" s="10" t="n">
        <v>45475</v>
      </c>
      <c r="K1250" s="9" t="n">
        <v>17.42861</v>
      </c>
      <c r="L1250" s="9" t="n">
        <v>78.45116</v>
      </c>
      <c r="M1250" s="9" t="inlineStr">
        <is>
          <t>https://www.google.com/maps/place/?q=place_id:ChIJkeASi8qQyzsRwFiIvErup_A</t>
        </is>
      </c>
    </row>
    <row r="1251">
      <c r="A1251" s="9" t="n">
        <v>1247</v>
      </c>
      <c r="B1251" s="9" t="inlineStr">
        <is>
          <t>Hyderabad</t>
        </is>
      </c>
      <c r="C1251" s="9" t="inlineStr">
        <is>
          <t>Hyderabad</t>
        </is>
      </c>
      <c r="D1251" s="9" t="inlineStr">
        <is>
          <t>Telangana</t>
        </is>
      </c>
      <c r="E1251" s="9" t="inlineStr">
        <is>
          <t>India</t>
        </is>
      </c>
      <c r="F1251" s="9" t="n">
        <v>1</v>
      </c>
      <c r="G1251" s="9" t="n">
        <v>1</v>
      </c>
      <c r="H1251" s="9" t="n">
        <v>1</v>
      </c>
      <c r="I1251" s="10" t="n">
        <v>45481</v>
      </c>
      <c r="J1251" s="10" t="n">
        <v>45481</v>
      </c>
      <c r="K1251" s="9" t="n">
        <v>17.40739</v>
      </c>
      <c r="L1251" s="9" t="n">
        <v>78.44426</v>
      </c>
      <c r="M1251" s="9" t="inlineStr">
        <is>
          <t>https://www.google.com/maps/place/?q=place_id:ChIJ3abFZDyXyzsRFu9rNP7hLFs</t>
        </is>
      </c>
    </row>
    <row r="1252">
      <c r="A1252" s="9" t="n">
        <v>1248</v>
      </c>
      <c r="B1252" s="9" t="inlineStr">
        <is>
          <t>Hyderabad</t>
        </is>
      </c>
      <c r="C1252" s="9" t="inlineStr">
        <is>
          <t>Hyderabad</t>
        </is>
      </c>
      <c r="D1252" s="9" t="inlineStr">
        <is>
          <t>Telangana</t>
        </is>
      </c>
      <c r="E1252" s="9" t="inlineStr">
        <is>
          <t>India</t>
        </is>
      </c>
      <c r="F1252" s="9" t="n">
        <v>1</v>
      </c>
      <c r="G1252" s="9" t="n">
        <v>2</v>
      </c>
      <c r="H1252" s="9" t="n">
        <v>1</v>
      </c>
      <c r="I1252" s="10" t="n">
        <v>45481</v>
      </c>
      <c r="J1252" s="10" t="n">
        <v>45482</v>
      </c>
      <c r="K1252" s="9" t="n">
        <v>17.38605</v>
      </c>
      <c r="L1252" s="9" t="n">
        <v>78.42952</v>
      </c>
      <c r="M1252" s="9" t="inlineStr">
        <is>
          <t>https://www.google.com/maps/place/?q=place_id:ChIJo7IzlI2XyzsRd27STnkpvVI</t>
        </is>
      </c>
    </row>
    <row r="1253">
      <c r="A1253" s="9" t="n">
        <v>1249</v>
      </c>
      <c r="B1253" s="9" t="inlineStr">
        <is>
          <t>Gaddi Annaram</t>
        </is>
      </c>
      <c r="C1253" s="9" t="inlineStr">
        <is>
          <t>Hyderabad</t>
        </is>
      </c>
      <c r="D1253" s="9" t="inlineStr">
        <is>
          <t>Telangana</t>
        </is>
      </c>
      <c r="E1253" s="9" t="inlineStr">
        <is>
          <t>India</t>
        </is>
      </c>
      <c r="F1253" s="9" t="n">
        <v>1</v>
      </c>
      <c r="G1253" s="9" t="n">
        <v>1</v>
      </c>
      <c r="H1253" s="9" t="n">
        <v>1</v>
      </c>
      <c r="I1253" s="10" t="n">
        <v>45516</v>
      </c>
      <c r="J1253" s="10" t="n">
        <v>45516</v>
      </c>
      <c r="K1253" s="9" t="n">
        <v>17.37181</v>
      </c>
      <c r="L1253" s="9" t="n">
        <v>78.50772000000001</v>
      </c>
      <c r="M1253" s="9" t="inlineStr">
        <is>
          <t>https://www.google.com/maps/place/?q=place_id:ChIJuWl8kk-YyzsRWZq9fppELWg</t>
        </is>
      </c>
    </row>
    <row r="1254">
      <c r="A1254" s="9" t="n">
        <v>1250</v>
      </c>
      <c r="B1254" s="9" t="inlineStr">
        <is>
          <t>Serilingampalle</t>
        </is>
      </c>
      <c r="C1254" s="9" t="inlineStr">
        <is>
          <t>Hyderabad</t>
        </is>
      </c>
      <c r="D1254" s="9" t="inlineStr">
        <is>
          <t>Telangana</t>
        </is>
      </c>
      <c r="E1254" s="9" t="inlineStr">
        <is>
          <t>India</t>
        </is>
      </c>
      <c r="F1254" s="9" t="n">
        <v>1</v>
      </c>
      <c r="G1254" s="9" t="n">
        <v>1</v>
      </c>
      <c r="H1254" s="9" t="n">
        <v>1</v>
      </c>
      <c r="I1254" s="10" t="n">
        <v>45530</v>
      </c>
      <c r="J1254" s="10" t="n">
        <v>45530</v>
      </c>
      <c r="K1254" s="9" t="n">
        <v>17.41587</v>
      </c>
      <c r="L1254" s="9" t="n">
        <v>78.34034</v>
      </c>
      <c r="M1254" s="9" t="inlineStr">
        <is>
          <t>https://www.google.com/maps/place/?q=place_id:ChIJUctrzG6VyzsRi0jzwPbmdGk</t>
        </is>
      </c>
    </row>
    <row r="1255">
      <c r="A1255" s="9" t="n">
        <v>1251</v>
      </c>
      <c r="B1255" s="9" t="inlineStr">
        <is>
          <t>Hyderabad</t>
        </is>
      </c>
      <c r="C1255" s="9" t="inlineStr">
        <is>
          <t>Hyderabad</t>
        </is>
      </c>
      <c r="D1255" s="9" t="inlineStr">
        <is>
          <t>Telangana</t>
        </is>
      </c>
      <c r="E1255" s="9" t="inlineStr">
        <is>
          <t>India</t>
        </is>
      </c>
      <c r="F1255" s="9" t="n">
        <v>1</v>
      </c>
      <c r="G1255" s="9" t="n">
        <v>1</v>
      </c>
      <c r="H1255" s="9" t="n">
        <v>1</v>
      </c>
      <c r="I1255" s="10" t="n">
        <v>45593</v>
      </c>
      <c r="J1255" s="10" t="n">
        <v>45593</v>
      </c>
      <c r="K1255" s="9" t="n">
        <v>17.42275</v>
      </c>
      <c r="L1255" s="9" t="n">
        <v>78.428</v>
      </c>
      <c r="M1255" s="9" t="inlineStr">
        <is>
          <t>https://www.google.com/maps/place/?q=place_id:ChIJQcTvY72XyzsRdRVa5EN_38I</t>
        </is>
      </c>
    </row>
    <row r="1256">
      <c r="A1256" s="9" t="n">
        <v>1252</v>
      </c>
      <c r="B1256" s="9" t="inlineStr">
        <is>
          <t>Kukatpally</t>
        </is>
      </c>
      <c r="C1256" s="9" t="inlineStr">
        <is>
          <t>Hyderabad</t>
        </is>
      </c>
      <c r="D1256" s="9" t="inlineStr">
        <is>
          <t>Telangana</t>
        </is>
      </c>
      <c r="E1256" s="9" t="inlineStr">
        <is>
          <t>India</t>
        </is>
      </c>
      <c r="F1256" s="9" t="n">
        <v>1</v>
      </c>
      <c r="G1256" s="9" t="n">
        <v>1</v>
      </c>
      <c r="H1256" s="9" t="n">
        <v>1</v>
      </c>
      <c r="I1256" s="10" t="n">
        <v>45603</v>
      </c>
      <c r="J1256" s="10" t="n">
        <v>45603</v>
      </c>
      <c r="K1256" s="9" t="n">
        <v>17.45474</v>
      </c>
      <c r="L1256" s="9" t="n">
        <v>78.43574</v>
      </c>
      <c r="M1256" s="9" t="inlineStr">
        <is>
          <t>https://www.google.com/maps/place/?q=place_id:ChIJAwnXAeSQyzsRGNLZdHxc7AI</t>
        </is>
      </c>
    </row>
    <row r="1257">
      <c r="A1257" s="9" t="n">
        <v>1253</v>
      </c>
      <c r="B1257" s="9" t="inlineStr">
        <is>
          <t>Kukatpally</t>
        </is>
      </c>
      <c r="C1257" s="9" t="inlineStr">
        <is>
          <t>Hyderabad</t>
        </is>
      </c>
      <c r="D1257" s="9" t="inlineStr">
        <is>
          <t>Telangana</t>
        </is>
      </c>
      <c r="E1257" s="9" t="inlineStr">
        <is>
          <t>India</t>
        </is>
      </c>
      <c r="F1257" s="9" t="n">
        <v>1</v>
      </c>
      <c r="G1257" s="9" t="n">
        <v>1</v>
      </c>
      <c r="H1257" s="9" t="n">
        <v>1</v>
      </c>
      <c r="I1257" s="10" t="n">
        <v>45603</v>
      </c>
      <c r="J1257" s="10" t="n">
        <v>45603</v>
      </c>
      <c r="K1257" s="9" t="n">
        <v>17.44495</v>
      </c>
      <c r="L1257" s="9" t="n">
        <v>78.43248</v>
      </c>
      <c r="M1257" s="9" t="inlineStr">
        <is>
          <t>https://www.google.com/maps/place/?q=place_id:ChIJWU15Ad-QyzsRx9Bvln4u83M</t>
        </is>
      </c>
    </row>
    <row r="1258">
      <c r="A1258" s="9" t="n">
        <v>1254</v>
      </c>
      <c r="B1258" s="9" t="inlineStr">
        <is>
          <t>Hyderabad</t>
        </is>
      </c>
      <c r="C1258" s="9" t="inlineStr">
        <is>
          <t>Hyderabad</t>
        </is>
      </c>
      <c r="D1258" s="9" t="inlineStr">
        <is>
          <t>Telangana</t>
        </is>
      </c>
      <c r="E1258" s="9" t="inlineStr">
        <is>
          <t>India</t>
        </is>
      </c>
      <c r="F1258" s="9" t="n">
        <v>1</v>
      </c>
      <c r="G1258" s="9" t="n">
        <v>1</v>
      </c>
      <c r="H1258" s="9" t="n">
        <v>1</v>
      </c>
      <c r="I1258" s="10" t="n">
        <v>45603</v>
      </c>
      <c r="J1258" s="10" t="n">
        <v>45603</v>
      </c>
      <c r="K1258" s="9" t="n">
        <v>17.42368</v>
      </c>
      <c r="L1258" s="9" t="n">
        <v>78.426</v>
      </c>
      <c r="M1258" s="9" t="inlineStr">
        <is>
          <t>https://www.google.com/maps/place/?q=place_id:ChIJSx5uxNSWyzsRczzKpfjNssI</t>
        </is>
      </c>
    </row>
    <row r="1259">
      <c r="A1259" s="9" t="n">
        <v>1255</v>
      </c>
      <c r="B1259" s="9" t="inlineStr">
        <is>
          <t>Hyderabad</t>
        </is>
      </c>
      <c r="C1259" s="9" t="inlineStr">
        <is>
          <t>Hyderabad</t>
        </is>
      </c>
      <c r="D1259" s="9" t="inlineStr">
        <is>
          <t>Telangana</t>
        </is>
      </c>
      <c r="E1259" s="9" t="inlineStr">
        <is>
          <t>India</t>
        </is>
      </c>
      <c r="F1259" s="9" t="n">
        <v>1</v>
      </c>
      <c r="G1259" s="9" t="n">
        <v>1</v>
      </c>
      <c r="H1259" s="9" t="n">
        <v>1</v>
      </c>
      <c r="I1259" s="10" t="n">
        <v>45606</v>
      </c>
      <c r="J1259" s="10" t="n">
        <v>45606</v>
      </c>
      <c r="K1259" s="9" t="n">
        <v>17.40512</v>
      </c>
      <c r="L1259" s="9" t="n">
        <v>78.46456999999999</v>
      </c>
      <c r="M1259" s="9" t="inlineStr">
        <is>
          <t>https://www.google.com/maps/place/?q=place_id:ChIJB6kls-aWyzsRFG_hXFOO6d4</t>
        </is>
      </c>
    </row>
    <row r="1260">
      <c r="A1260" s="9" t="n">
        <v>1256</v>
      </c>
      <c r="B1260" s="9" t="inlineStr">
        <is>
          <t>Hyderabad</t>
        </is>
      </c>
      <c r="C1260" s="9" t="inlineStr">
        <is>
          <t>Hyderabad</t>
        </is>
      </c>
      <c r="D1260" s="9" t="inlineStr">
        <is>
          <t>Telangana</t>
        </is>
      </c>
      <c r="E1260" s="9" t="inlineStr">
        <is>
          <t>India</t>
        </is>
      </c>
      <c r="F1260" s="9" t="n">
        <v>1</v>
      </c>
      <c r="G1260" s="9" t="n">
        <v>1</v>
      </c>
      <c r="H1260" s="9" t="n">
        <v>1</v>
      </c>
      <c r="I1260" s="10" t="n">
        <v>45612</v>
      </c>
      <c r="J1260" s="10" t="n">
        <v>45612</v>
      </c>
      <c r="K1260" s="9" t="n">
        <v>17.4166</v>
      </c>
      <c r="L1260" s="9" t="n">
        <v>78.40615</v>
      </c>
      <c r="M1260" s="9" t="inlineStr">
        <is>
          <t>https://www.google.com/maps/place/?q=place_id:ChIJvYP9gKuXyzsRG_F0AEmKS4g</t>
        </is>
      </c>
    </row>
    <row r="1261">
      <c r="A1261" s="9" t="n">
        <v>1257</v>
      </c>
      <c r="B1261" s="9" t="inlineStr">
        <is>
          <t>Secunderabad</t>
        </is>
      </c>
      <c r="C1261" s="9" t="inlineStr">
        <is>
          <t>Hyderabad</t>
        </is>
      </c>
      <c r="D1261" s="9" t="inlineStr">
        <is>
          <t>Telangana</t>
        </is>
      </c>
      <c r="E1261" s="9" t="inlineStr">
        <is>
          <t>India</t>
        </is>
      </c>
      <c r="F1261" s="9" t="n">
        <v>1</v>
      </c>
      <c r="G1261" s="9" t="n">
        <v>1</v>
      </c>
      <c r="H1261" s="9" t="n">
        <v>1</v>
      </c>
      <c r="I1261" s="10" t="n">
        <v>45613</v>
      </c>
      <c r="J1261" s="10" t="n">
        <v>45613</v>
      </c>
      <c r="K1261" s="9" t="n">
        <v>17.49127</v>
      </c>
      <c r="L1261" s="9" t="n">
        <v>78.54055</v>
      </c>
      <c r="M1261" s="9" t="inlineStr">
        <is>
          <t>https://www.google.com/maps/place/?q=place_id:ChIJ2d0vL3qbyzsR_Cp3F6-QtSg</t>
        </is>
      </c>
    </row>
    <row r="1262">
      <c r="A1262" s="9" t="n">
        <v>1258</v>
      </c>
      <c r="B1262" s="9" t="inlineStr">
        <is>
          <t>Secunderabad</t>
        </is>
      </c>
      <c r="C1262" s="9" t="inlineStr">
        <is>
          <t>Hyderabad</t>
        </is>
      </c>
      <c r="D1262" s="9" t="inlineStr">
        <is>
          <t>Telangana</t>
        </is>
      </c>
      <c r="E1262" s="9" t="inlineStr">
        <is>
          <t>India</t>
        </is>
      </c>
      <c r="F1262" s="9" t="n">
        <v>1</v>
      </c>
      <c r="G1262" s="9" t="n">
        <v>1</v>
      </c>
      <c r="H1262" s="9" t="n">
        <v>1</v>
      </c>
      <c r="I1262" s="10" t="n">
        <v>45613</v>
      </c>
      <c r="J1262" s="10" t="n">
        <v>45613</v>
      </c>
      <c r="K1262" s="9" t="n">
        <v>17.49178</v>
      </c>
      <c r="L1262" s="9" t="n">
        <v>78.55021000000001</v>
      </c>
      <c r="M1262" s="9" t="inlineStr">
        <is>
          <t>https://www.google.com/maps/place/?q=place_id:ChIJn2Dea26byzsRRSVM3evGPC0</t>
        </is>
      </c>
    </row>
    <row r="1263">
      <c r="A1263" s="9" t="n">
        <v>1259</v>
      </c>
      <c r="B1263" s="9" t="inlineStr">
        <is>
          <t>Malkajgiri</t>
        </is>
      </c>
      <c r="C1263" s="9" t="inlineStr">
        <is>
          <t>Hyderabad</t>
        </is>
      </c>
      <c r="D1263" s="9" t="inlineStr">
        <is>
          <t>Telangana</t>
        </is>
      </c>
      <c r="E1263" s="9" t="inlineStr">
        <is>
          <t>India</t>
        </is>
      </c>
      <c r="F1263" s="9" t="n">
        <v>1</v>
      </c>
      <c r="G1263" s="9" t="n">
        <v>1</v>
      </c>
      <c r="H1263" s="9" t="n">
        <v>1</v>
      </c>
      <c r="I1263" s="10" t="n">
        <v>45613</v>
      </c>
      <c r="J1263" s="10" t="n">
        <v>45613</v>
      </c>
      <c r="K1263" s="9" t="n">
        <v>17.45586</v>
      </c>
      <c r="L1263" s="9" t="n">
        <v>78.48624</v>
      </c>
      <c r="M1263" s="9" t="inlineStr">
        <is>
          <t>https://www.google.com/maps/place/?q=place_id:ChIJV_d7C3KayzsR-z5CPjL2NRM</t>
        </is>
      </c>
    </row>
    <row r="1264">
      <c r="A1264" s="9" t="n">
        <v>1260</v>
      </c>
      <c r="B1264" s="9" t="inlineStr">
        <is>
          <t>Serilingampalle</t>
        </is>
      </c>
      <c r="C1264" s="9" t="inlineStr">
        <is>
          <t>Hyderabad</t>
        </is>
      </c>
      <c r="D1264" s="9" t="inlineStr">
        <is>
          <t>Telangana</t>
        </is>
      </c>
      <c r="E1264" s="9" t="inlineStr">
        <is>
          <t>India</t>
        </is>
      </c>
      <c r="F1264" s="9" t="n">
        <v>1</v>
      </c>
      <c r="G1264" s="9" t="n">
        <v>1</v>
      </c>
      <c r="H1264" s="9" t="n">
        <v>1</v>
      </c>
      <c r="I1264" s="10" t="n">
        <v>45613</v>
      </c>
      <c r="J1264" s="10" t="n">
        <v>45613</v>
      </c>
      <c r="K1264" s="9" t="n">
        <v>17.3927</v>
      </c>
      <c r="L1264" s="9" t="n">
        <v>78.32275</v>
      </c>
      <c r="M1264" s="9" t="inlineStr">
        <is>
          <t>https://www.google.com/maps/place/?q=place_id:ChIJM7MqqcKVyzsRo0h-IYruDps</t>
        </is>
      </c>
    </row>
    <row r="1265">
      <c r="A1265" s="9" t="n">
        <v>1261</v>
      </c>
      <c r="B1265" s="9" t="inlineStr">
        <is>
          <t>Hyderabad</t>
        </is>
      </c>
      <c r="C1265" s="9" t="inlineStr">
        <is>
          <t>Hyderabad</t>
        </is>
      </c>
      <c r="D1265" s="9" t="inlineStr">
        <is>
          <t>Telangana</t>
        </is>
      </c>
      <c r="E1265" s="9" t="inlineStr">
        <is>
          <t>India</t>
        </is>
      </c>
      <c r="F1265" s="9" t="n">
        <v>1</v>
      </c>
      <c r="G1265" s="9" t="n">
        <v>1</v>
      </c>
      <c r="H1265" s="9" t="n">
        <v>1</v>
      </c>
      <c r="I1265" s="10" t="n">
        <v>45613</v>
      </c>
      <c r="J1265" s="10" t="n">
        <v>45613</v>
      </c>
      <c r="K1265" s="9" t="n">
        <v>17.41506</v>
      </c>
      <c r="L1265" s="9" t="n">
        <v>78.40849</v>
      </c>
      <c r="M1265" s="9" t="inlineStr">
        <is>
          <t>https://www.google.com/maps/place/?q=place_id:ChIJ1VujaWiXyzsR1p2qWtE4cQM</t>
        </is>
      </c>
    </row>
    <row r="1266">
      <c r="A1266" s="9" t="n">
        <v>1262</v>
      </c>
      <c r="B1266" s="9" t="inlineStr">
        <is>
          <t>Kukatpally</t>
        </is>
      </c>
      <c r="C1266" s="9" t="inlineStr">
        <is>
          <t>Hyderabad</t>
        </is>
      </c>
      <c r="D1266" s="9" t="inlineStr">
        <is>
          <t>Telangana</t>
        </is>
      </c>
      <c r="E1266" s="9" t="inlineStr">
        <is>
          <t>India</t>
        </is>
      </c>
      <c r="F1266" s="9" t="n">
        <v>1</v>
      </c>
      <c r="G1266" s="9" t="n">
        <v>1</v>
      </c>
      <c r="H1266" s="9" t="n">
        <v>1</v>
      </c>
      <c r="I1266" s="10" t="n">
        <v>45615</v>
      </c>
      <c r="J1266" s="10" t="n">
        <v>45615</v>
      </c>
      <c r="K1266" s="9" t="n">
        <v>17.5315</v>
      </c>
      <c r="L1266" s="9" t="n">
        <v>78.37909000000001</v>
      </c>
      <c r="M1266" s="9" t="inlineStr">
        <is>
          <t>https://www.google.com/maps/place/?q=place_id:ChIJq3iVezeNyzsRo76ShNme_L8</t>
        </is>
      </c>
    </row>
    <row r="1267">
      <c r="A1267" s="9" t="n">
        <v>1263</v>
      </c>
      <c r="B1267" s="9" t="inlineStr">
        <is>
          <t>Hyderabad</t>
        </is>
      </c>
      <c r="C1267" s="9" t="inlineStr">
        <is>
          <t>Hyderabad</t>
        </is>
      </c>
      <c r="D1267" s="9" t="inlineStr">
        <is>
          <t>Telangana</t>
        </is>
      </c>
      <c r="E1267" s="9" t="inlineStr">
        <is>
          <t>India</t>
        </is>
      </c>
      <c r="F1267" s="9" t="n">
        <v>1</v>
      </c>
      <c r="G1267" s="9" t="n">
        <v>1</v>
      </c>
      <c r="H1267" s="9" t="n">
        <v>1</v>
      </c>
      <c r="I1267" s="10" t="n">
        <v>45619</v>
      </c>
      <c r="J1267" s="10" t="n">
        <v>45619</v>
      </c>
      <c r="K1267" s="9" t="n">
        <v>17.3879</v>
      </c>
      <c r="L1267" s="9" t="n">
        <v>78.4751</v>
      </c>
      <c r="M1267" s="9" t="inlineStr">
        <is>
          <t>https://www.google.com/maps/place/?q=place_id:ChIJA6E59X2XyzsR18rDtsnfMkY</t>
        </is>
      </c>
    </row>
    <row r="1268">
      <c r="A1268" s="9" t="n">
        <v>1264</v>
      </c>
      <c r="B1268" s="9" t="inlineStr">
        <is>
          <t>Hyderabad</t>
        </is>
      </c>
      <c r="C1268" s="9" t="inlineStr">
        <is>
          <t>Hyderabad</t>
        </is>
      </c>
      <c r="D1268" s="9" t="inlineStr">
        <is>
          <t>Telangana</t>
        </is>
      </c>
      <c r="E1268" s="9" t="inlineStr">
        <is>
          <t>India</t>
        </is>
      </c>
      <c r="F1268" s="9" t="n">
        <v>1</v>
      </c>
      <c r="G1268" s="9" t="n">
        <v>1</v>
      </c>
      <c r="H1268" s="9" t="n">
        <v>1</v>
      </c>
      <c r="I1268" s="10" t="n">
        <v>45623</v>
      </c>
      <c r="J1268" s="10" t="n">
        <v>45623</v>
      </c>
      <c r="K1268" s="9" t="n">
        <v>17.40923</v>
      </c>
      <c r="L1268" s="9" t="n">
        <v>78.42489</v>
      </c>
      <c r="M1268" s="9" t="inlineStr">
        <is>
          <t>https://www.google.com/maps/place/?q=place_id:ChIJybJTDTiXyzsRj5pRr0WKI0o</t>
        </is>
      </c>
    </row>
    <row r="1269">
      <c r="A1269" s="9" t="n">
        <v>1265</v>
      </c>
      <c r="B1269" s="9" t="inlineStr">
        <is>
          <t>Kukatpally</t>
        </is>
      </c>
      <c r="C1269" s="9" t="inlineStr">
        <is>
          <t>Hyderabad</t>
        </is>
      </c>
      <c r="D1269" s="9" t="inlineStr">
        <is>
          <t>Telangana</t>
        </is>
      </c>
      <c r="E1269" s="9" t="inlineStr">
        <is>
          <t>India</t>
        </is>
      </c>
      <c r="F1269" s="9" t="n">
        <v>1</v>
      </c>
      <c r="G1269" s="9" t="n">
        <v>1</v>
      </c>
      <c r="H1269" s="9" t="n">
        <v>1</v>
      </c>
      <c r="I1269" s="10" t="n">
        <v>45652</v>
      </c>
      <c r="J1269" s="10" t="n">
        <v>45652</v>
      </c>
      <c r="K1269" s="9" t="n">
        <v>17.44138</v>
      </c>
      <c r="L1269" s="9" t="n">
        <v>78.44819</v>
      </c>
      <c r="M1269" s="9" t="inlineStr">
        <is>
          <t>https://www.google.com/maps/place/?q=place_id:ChIJXS0h0EWRyzsRSCwKZRAOM5A</t>
        </is>
      </c>
    </row>
    <row r="1270">
      <c r="A1270" s="9" t="n">
        <v>1266</v>
      </c>
      <c r="B1270" s="9" t="inlineStr">
        <is>
          <t>Serilingampalle</t>
        </is>
      </c>
      <c r="C1270" s="9" t="inlineStr">
        <is>
          <t>Hyderabad</t>
        </is>
      </c>
      <c r="D1270" s="9" t="inlineStr">
        <is>
          <t>Telangana</t>
        </is>
      </c>
      <c r="E1270" s="9" t="inlineStr">
        <is>
          <t>India</t>
        </is>
      </c>
      <c r="F1270" s="9" t="n">
        <v>1</v>
      </c>
      <c r="G1270" s="9" t="n">
        <v>1</v>
      </c>
      <c r="H1270" s="9" t="n">
        <v>1</v>
      </c>
      <c r="I1270" s="10" t="n">
        <v>45656</v>
      </c>
      <c r="J1270" s="10" t="n">
        <v>45656</v>
      </c>
      <c r="K1270" s="9" t="n">
        <v>17.43748</v>
      </c>
      <c r="L1270" s="9" t="n">
        <v>78.31650999999999</v>
      </c>
      <c r="M1270" s="9" t="inlineStr">
        <is>
          <t>https://www.google.com/maps/place/?q=place_id:ChIJPR5hcGqTyzsROdbSSZxds00</t>
        </is>
      </c>
    </row>
    <row r="1271">
      <c r="A1271" s="9" t="n">
        <v>1267</v>
      </c>
      <c r="B1271" s="9" t="inlineStr">
        <is>
          <t>Serilingampalle</t>
        </is>
      </c>
      <c r="C1271" s="9" t="inlineStr">
        <is>
          <t>Hyderabad</t>
        </is>
      </c>
      <c r="D1271" s="9" t="inlineStr">
        <is>
          <t>Telangana</t>
        </is>
      </c>
      <c r="E1271" s="9" t="inlineStr">
        <is>
          <t>India</t>
        </is>
      </c>
      <c r="F1271" s="9" t="n">
        <v>1</v>
      </c>
      <c r="G1271" s="9" t="n">
        <v>1</v>
      </c>
      <c r="H1271" s="9" t="n">
        <v>1</v>
      </c>
      <c r="I1271" s="10" t="n">
        <v>45656</v>
      </c>
      <c r="J1271" s="10" t="n">
        <v>45656</v>
      </c>
      <c r="K1271" s="9" t="n">
        <v>17.42672</v>
      </c>
      <c r="L1271" s="9" t="n">
        <v>78.32863999999999</v>
      </c>
      <c r="M1271" s="9" t="inlineStr">
        <is>
          <t>https://www.google.com/maps/place/?q=place_id:ChIJDaTZpYWTyzsRK2guJspy6Jk</t>
        </is>
      </c>
    </row>
    <row r="1272">
      <c r="A1272" s="9" t="n">
        <v>1268</v>
      </c>
      <c r="B1272" s="9" t="inlineStr">
        <is>
          <t>Serilingampalle</t>
        </is>
      </c>
      <c r="C1272" s="9" t="inlineStr">
        <is>
          <t>Hyderabad</t>
        </is>
      </c>
      <c r="D1272" s="9" t="inlineStr">
        <is>
          <t>Telangana</t>
        </is>
      </c>
      <c r="E1272" s="9" t="inlineStr">
        <is>
          <t>India</t>
        </is>
      </c>
      <c r="F1272" s="9" t="n">
        <v>1</v>
      </c>
      <c r="G1272" s="9" t="n">
        <v>1</v>
      </c>
      <c r="H1272" s="9" t="n">
        <v>1</v>
      </c>
      <c r="I1272" s="10" t="n">
        <v>45656</v>
      </c>
      <c r="J1272" s="10" t="n">
        <v>45656</v>
      </c>
      <c r="K1272" s="9" t="n">
        <v>17.4249</v>
      </c>
      <c r="L1272" s="9" t="n">
        <v>78.3329</v>
      </c>
      <c r="M1272" s="9" t="inlineStr">
        <is>
          <t>https://www.google.com/maps/place/?q=place_id:ChIJO9P__HuTyzsRG-P1ViZNY0E</t>
        </is>
      </c>
    </row>
    <row r="1273">
      <c r="A1273" s="9" t="n">
        <v>1269</v>
      </c>
      <c r="B1273" s="9" t="inlineStr">
        <is>
          <t>Secunderabad</t>
        </is>
      </c>
      <c r="C1273" s="9" t="inlineStr">
        <is>
          <t>Hyderabad</t>
        </is>
      </c>
      <c r="D1273" s="9" t="inlineStr">
        <is>
          <t>Telangana</t>
        </is>
      </c>
      <c r="E1273" s="9" t="inlineStr">
        <is>
          <t>India</t>
        </is>
      </c>
      <c r="F1273" s="9" t="n">
        <v>1</v>
      </c>
      <c r="G1273" s="9" t="n">
        <v>1</v>
      </c>
      <c r="H1273" s="9" t="n">
        <v>1</v>
      </c>
      <c r="I1273" s="10" t="n">
        <v>45657</v>
      </c>
      <c r="J1273" s="10" t="n">
        <v>45657</v>
      </c>
      <c r="K1273" s="9" t="n">
        <v>17.47768</v>
      </c>
      <c r="L1273" s="9" t="n">
        <v>78.56950999999999</v>
      </c>
      <c r="M1273" s="9" t="inlineStr">
        <is>
          <t>https://www.google.com/maps/place/?q=place_id:ChIJF3YST36cyzsRWO_Iov73qgo</t>
        </is>
      </c>
    </row>
    <row r="1274">
      <c r="A1274" s="9" t="n">
        <v>1270</v>
      </c>
      <c r="B1274" s="9" t="inlineStr">
        <is>
          <t>Secunderabad</t>
        </is>
      </c>
      <c r="C1274" s="9" t="inlineStr">
        <is>
          <t>Hyderabad</t>
        </is>
      </c>
      <c r="D1274" s="9" t="inlineStr">
        <is>
          <t>Telangana</t>
        </is>
      </c>
      <c r="E1274" s="9" t="inlineStr">
        <is>
          <t>India</t>
        </is>
      </c>
      <c r="F1274" s="9" t="n">
        <v>1</v>
      </c>
      <c r="G1274" s="9" t="n">
        <v>1</v>
      </c>
      <c r="H1274" s="9" t="n">
        <v>1</v>
      </c>
      <c r="I1274" s="10" t="n">
        <v>45657</v>
      </c>
      <c r="J1274" s="10" t="n">
        <v>45657</v>
      </c>
      <c r="K1274" s="9" t="n">
        <v>17.49214</v>
      </c>
      <c r="L1274" s="9" t="n">
        <v>78.54993</v>
      </c>
      <c r="M1274" s="9" t="inlineStr">
        <is>
          <t>https://www.google.com/maps/place/?q=place_id:ChIJY__aEgCbyzsRQYs2w34Xcxc</t>
        </is>
      </c>
    </row>
    <row r="1275">
      <c r="A1275" s="9" t="n">
        <v>1271</v>
      </c>
      <c r="B1275" s="9" t="inlineStr">
        <is>
          <t>Kukatpally</t>
        </is>
      </c>
      <c r="C1275" s="9" t="inlineStr">
        <is>
          <t>Hyderabad</t>
        </is>
      </c>
      <c r="D1275" s="9" t="inlineStr">
        <is>
          <t>Telangana</t>
        </is>
      </c>
      <c r="E1275" s="9" t="inlineStr">
        <is>
          <t>India</t>
        </is>
      </c>
      <c r="F1275" s="9" t="n">
        <v>1</v>
      </c>
      <c r="G1275" s="9" t="n">
        <v>1</v>
      </c>
      <c r="H1275" s="9" t="n">
        <v>1</v>
      </c>
      <c r="I1275" s="10" t="n">
        <v>45659</v>
      </c>
      <c r="J1275" s="10" t="n">
        <v>45659</v>
      </c>
      <c r="K1275" s="9" t="n">
        <v>17.44892</v>
      </c>
      <c r="L1275" s="9" t="n">
        <v>78.38319</v>
      </c>
      <c r="M1275" s="9" t="inlineStr">
        <is>
          <t>https://www.google.com/maps/place/?q=place_id:ChIJ98U0bN-TyzsR3N0a5TS0uOM</t>
        </is>
      </c>
    </row>
    <row r="1276">
      <c r="A1276" s="9" t="n">
        <v>1272</v>
      </c>
      <c r="B1276" s="9" t="inlineStr">
        <is>
          <t>Serilingampalle</t>
        </is>
      </c>
      <c r="C1276" s="9" t="inlineStr">
        <is>
          <t>Hyderabad</t>
        </is>
      </c>
      <c r="D1276" s="9" t="inlineStr">
        <is>
          <t>Telangana</t>
        </is>
      </c>
      <c r="E1276" s="9" t="inlineStr">
        <is>
          <t>India</t>
        </is>
      </c>
      <c r="F1276" s="9" t="n">
        <v>1</v>
      </c>
      <c r="G1276" s="9" t="n">
        <v>1</v>
      </c>
      <c r="H1276" s="9" t="n">
        <v>1</v>
      </c>
      <c r="I1276" s="10" t="n">
        <v>45753</v>
      </c>
      <c r="J1276" s="10" t="n">
        <v>45753</v>
      </c>
      <c r="K1276" s="9" t="n">
        <v>17.40092</v>
      </c>
      <c r="L1276" s="9" t="n">
        <v>78.34953</v>
      </c>
      <c r="M1276" s="9" t="inlineStr">
        <is>
          <t>https://www.google.com/maps/place/?q=place_id:ChIJtd04MWaUyzsR-cpTrS6SxX8</t>
        </is>
      </c>
    </row>
    <row r="1277">
      <c r="A1277" s="9" t="n">
        <v>1273</v>
      </c>
      <c r="B1277" s="9" t="inlineStr">
        <is>
          <t>Hyderabad</t>
        </is>
      </c>
      <c r="C1277" s="9" t="inlineStr">
        <is>
          <t>Hyderabad</t>
        </is>
      </c>
      <c r="D1277" s="9" t="inlineStr">
        <is>
          <t>Telangana</t>
        </is>
      </c>
      <c r="E1277" s="9" t="inlineStr">
        <is>
          <t>India</t>
        </is>
      </c>
      <c r="F1277" s="9" t="n">
        <v>1</v>
      </c>
      <c r="G1277" s="9" t="n">
        <v>1</v>
      </c>
      <c r="H1277" s="9" t="n">
        <v>1</v>
      </c>
      <c r="I1277" s="10" t="n">
        <v>45765</v>
      </c>
      <c r="J1277" s="10" t="n">
        <v>45765</v>
      </c>
      <c r="K1277" s="9" t="n">
        <v>17.40765</v>
      </c>
      <c r="L1277" s="9" t="n">
        <v>78.43035</v>
      </c>
      <c r="M1277" s="9" t="inlineStr">
        <is>
          <t>https://www.google.com/maps/place/?q=place_id:ChIJv4W-JSGXyzsRzggST9tYqvA</t>
        </is>
      </c>
    </row>
    <row r="1278">
      <c r="A1278" s="9" t="n">
        <v>1274</v>
      </c>
      <c r="B1278" s="9" t="inlineStr">
        <is>
          <t>Malkajgiri</t>
        </is>
      </c>
      <c r="C1278" s="9" t="inlineStr">
        <is>
          <t>Hyderabad</t>
        </is>
      </c>
      <c r="D1278" s="9" t="inlineStr">
        <is>
          <t>Telangana</t>
        </is>
      </c>
      <c r="E1278" s="9" t="inlineStr">
        <is>
          <t>India</t>
        </is>
      </c>
      <c r="F1278" s="9" t="n">
        <v>1</v>
      </c>
      <c r="G1278" s="9" t="n">
        <v>1</v>
      </c>
      <c r="H1278" s="9" t="n">
        <v>1</v>
      </c>
      <c r="I1278" s="10" t="n">
        <v>45775</v>
      </c>
      <c r="J1278" s="10" t="n">
        <v>45775</v>
      </c>
      <c r="K1278" s="9" t="n">
        <v>17.43398</v>
      </c>
      <c r="L1278" s="9" t="n">
        <v>78.50216</v>
      </c>
      <c r="M1278" s="9" t="inlineStr">
        <is>
          <t>https://www.google.com/maps/place/?q=place_id:ChIJEbLnLwCbyzsRGqD-cppNxEs</t>
        </is>
      </c>
    </row>
    <row r="1279">
      <c r="A1279" s="9" t="n">
        <v>1275</v>
      </c>
      <c r="B1279" s="9" t="inlineStr">
        <is>
          <t>Serilingampalle</t>
        </is>
      </c>
      <c r="C1279" s="9" t="inlineStr">
        <is>
          <t>Hyderabad</t>
        </is>
      </c>
      <c r="D1279" s="9" t="inlineStr">
        <is>
          <t>Telangana</t>
        </is>
      </c>
      <c r="E1279" s="9" t="inlineStr">
        <is>
          <t>India</t>
        </is>
      </c>
      <c r="F1279" s="9" t="n">
        <v>1</v>
      </c>
      <c r="G1279" s="9" t="n">
        <v>1</v>
      </c>
      <c r="H1279" s="9" t="n">
        <v>1</v>
      </c>
      <c r="I1279" s="10" t="n">
        <v>45785</v>
      </c>
      <c r="J1279" s="10" t="n">
        <v>45785</v>
      </c>
      <c r="K1279" s="9" t="n">
        <v>17.39681</v>
      </c>
      <c r="L1279" s="9" t="n">
        <v>78.34226</v>
      </c>
      <c r="M1279" s="9" t="inlineStr">
        <is>
          <t>https://www.google.com/maps/place/?q=place_id:ChIJK9srm2CUyzsRM21e5ot2uO4</t>
        </is>
      </c>
    </row>
    <row r="1280">
      <c r="A1280" s="9" t="n">
        <v>1276</v>
      </c>
      <c r="B1280" s="9" t="inlineStr">
        <is>
          <t>Kukatpally</t>
        </is>
      </c>
      <c r="C1280" s="9" t="inlineStr">
        <is>
          <t>Hyderabad</t>
        </is>
      </c>
      <c r="D1280" s="9" t="inlineStr">
        <is>
          <t>Telangana</t>
        </is>
      </c>
      <c r="E1280" s="9" t="inlineStr">
        <is>
          <t>India</t>
        </is>
      </c>
      <c r="F1280" s="9" t="n">
        <v>1</v>
      </c>
      <c r="G1280" s="9" t="n">
        <v>1</v>
      </c>
      <c r="H1280" s="9" t="n">
        <v>1</v>
      </c>
      <c r="I1280" s="10" t="n">
        <v>45792</v>
      </c>
      <c r="J1280" s="10" t="n">
        <v>45792</v>
      </c>
      <c r="K1280" s="9" t="n">
        <v>17.41957</v>
      </c>
      <c r="L1280" s="9" t="n">
        <v>78.38517</v>
      </c>
      <c r="M1280" s="9" t="inlineStr">
        <is>
          <t>https://www.google.com/maps/place/?q=place_id:ChIJQSG8MEqXyzsRZv-tnNIwHh8</t>
        </is>
      </c>
    </row>
    <row r="1281">
      <c r="A1281" s="9" t="n">
        <v>1277</v>
      </c>
      <c r="B1281" s="9" t="inlineStr">
        <is>
          <t>Gaddi Annaram</t>
        </is>
      </c>
      <c r="C1281" s="9" t="inlineStr">
        <is>
          <t>Hyderabad</t>
        </is>
      </c>
      <c r="D1281" s="9" t="inlineStr">
        <is>
          <t>Telangana</t>
        </is>
      </c>
      <c r="E1281" s="9" t="inlineStr">
        <is>
          <t>India</t>
        </is>
      </c>
      <c r="F1281" s="9" t="n">
        <v>1</v>
      </c>
      <c r="G1281" s="9" t="n">
        <v>1</v>
      </c>
      <c r="H1281" s="9" t="n">
        <v>1</v>
      </c>
      <c r="I1281" s="10" t="n">
        <v>45834</v>
      </c>
      <c r="J1281" s="10" t="n">
        <v>45834</v>
      </c>
      <c r="K1281" s="9" t="n">
        <v>17.37174</v>
      </c>
      <c r="L1281" s="9" t="n">
        <v>78.50802</v>
      </c>
      <c r="M1281" s="9" t="inlineStr">
        <is>
          <t>https://www.google.com/maps/place/?q=place_id:ChIJj72d8k-YyzsRIOGNRnauNRU</t>
        </is>
      </c>
    </row>
    <row r="1282">
      <c r="A1282" s="9" t="n">
        <v>1278</v>
      </c>
      <c r="B1282" s="9" t="inlineStr">
        <is>
          <t>Hyderabad</t>
        </is>
      </c>
      <c r="C1282" s="9" t="inlineStr">
        <is>
          <t>Hyderabad</t>
        </is>
      </c>
      <c r="D1282" s="9" t="inlineStr">
        <is>
          <t>Telangana</t>
        </is>
      </c>
      <c r="E1282" s="9" t="inlineStr">
        <is>
          <t>India</t>
        </is>
      </c>
      <c r="F1282" s="9" t="n">
        <v>1</v>
      </c>
      <c r="G1282" s="9" t="n">
        <v>1</v>
      </c>
      <c r="H1282" s="9" t="n">
        <v>1</v>
      </c>
      <c r="I1282" s="10" t="n">
        <v>45834</v>
      </c>
      <c r="J1282" s="10" t="n">
        <v>45834</v>
      </c>
      <c r="K1282" s="9" t="n">
        <v>17.4086</v>
      </c>
      <c r="L1282" s="9" t="n">
        <v>78.42842</v>
      </c>
      <c r="M1282" s="9" t="inlineStr">
        <is>
          <t>https://www.google.com/maps/place/?q=place_id:ChIJP8wL1x2XyzsRa5thdKkccPg</t>
        </is>
      </c>
    </row>
    <row r="1283">
      <c r="A1283" s="9" t="n">
        <v>1279</v>
      </c>
      <c r="B1283" s="9" t="inlineStr">
        <is>
          <t>Gaddi Annaram</t>
        </is>
      </c>
      <c r="C1283" s="9" t="inlineStr">
        <is>
          <t>Hyderabad</t>
        </is>
      </c>
      <c r="D1283" s="9" t="inlineStr">
        <is>
          <t>Telangana</t>
        </is>
      </c>
      <c r="E1283" s="9" t="inlineStr">
        <is>
          <t>India</t>
        </is>
      </c>
      <c r="F1283" s="9" t="n">
        <v>1</v>
      </c>
      <c r="G1283" s="9" t="n">
        <v>1</v>
      </c>
      <c r="H1283" s="9" t="n">
        <v>1</v>
      </c>
      <c r="I1283" s="10" t="n">
        <v>45868</v>
      </c>
      <c r="J1283" s="10" t="n">
        <v>45868</v>
      </c>
      <c r="K1283" s="9" t="n">
        <v>17.37199</v>
      </c>
      <c r="L1283" s="9" t="n">
        <v>78.50734</v>
      </c>
      <c r="M1283" s="9" t="inlineStr">
        <is>
          <t>https://www.google.com/maps/place/?q=place_id:ChIJ2764OvGZyzsRf3MHdJg9fuI</t>
        </is>
      </c>
    </row>
    <row r="1284">
      <c r="A1284" s="9" t="n">
        <v>1280</v>
      </c>
      <c r="B1284" s="9" t="inlineStr">
        <is>
          <t>Hyderabad</t>
        </is>
      </c>
      <c r="C1284" s="9" t="inlineStr">
        <is>
          <t>Hyderabad</t>
        </is>
      </c>
      <c r="D1284" s="9" t="inlineStr">
        <is>
          <t>Telangana</t>
        </is>
      </c>
      <c r="E1284" s="9" t="inlineStr">
        <is>
          <t>India</t>
        </is>
      </c>
      <c r="F1284" s="9" t="n">
        <v>1</v>
      </c>
      <c r="G1284" s="9" t="n">
        <v>1</v>
      </c>
      <c r="H1284" s="9" t="n">
        <v>1</v>
      </c>
      <c r="I1284" s="10" t="n">
        <v>45943</v>
      </c>
      <c r="J1284" s="10" t="n">
        <v>45943</v>
      </c>
      <c r="K1284" s="9" t="n">
        <v>17.415</v>
      </c>
      <c r="L1284" s="9" t="n">
        <v>78.40877999999999</v>
      </c>
      <c r="M1284" s="9" t="inlineStr">
        <is>
          <t>https://www.google.com/maps/place/?q=place_id:ChIJh_CAtMmWyzsRBy51DJL2mao</t>
        </is>
      </c>
    </row>
    <row r="1285">
      <c r="A1285" s="9" t="n">
        <v>1281</v>
      </c>
      <c r="B1285" s="9" t="inlineStr">
        <is>
          <t>Hyderabad</t>
        </is>
      </c>
      <c r="C1285" s="9" t="inlineStr">
        <is>
          <t>Hyderabad</t>
        </is>
      </c>
      <c r="D1285" s="9" t="inlineStr">
        <is>
          <t>Telangana</t>
        </is>
      </c>
      <c r="E1285" s="9" t="inlineStr">
        <is>
          <t>India</t>
        </is>
      </c>
      <c r="F1285" s="9" t="n">
        <v>1</v>
      </c>
      <c r="G1285" s="9" t="n">
        <v>1</v>
      </c>
      <c r="H1285" s="9" t="n">
        <v>1</v>
      </c>
      <c r="I1285" s="10" t="n">
        <v>45947</v>
      </c>
      <c r="J1285" s="10" t="n">
        <v>45947</v>
      </c>
      <c r="K1285" s="9" t="n">
        <v>17.3349</v>
      </c>
      <c r="L1285" s="9" t="n">
        <v>78.38005</v>
      </c>
      <c r="M1285" s="9" t="inlineStr">
        <is>
          <t>https://www.google.com/maps/place/?q=place_id:ChIJSXb6NuCVyzsROLzwkSOh6mk</t>
        </is>
      </c>
    </row>
    <row r="1286">
      <c r="A1286" s="9" t="n">
        <v>1282</v>
      </c>
      <c r="B1286" s="9" t="inlineStr">
        <is>
          <t>Hyderabad</t>
        </is>
      </c>
      <c r="C1286" s="9" t="inlineStr">
        <is>
          <t>Hyderabad</t>
        </is>
      </c>
      <c r="D1286" s="9" t="inlineStr">
        <is>
          <t>Telangana</t>
        </is>
      </c>
      <c r="E1286" s="9" t="inlineStr">
        <is>
          <t>India</t>
        </is>
      </c>
      <c r="F1286" s="9" t="n">
        <v>1</v>
      </c>
      <c r="G1286" s="9" t="n">
        <v>1</v>
      </c>
      <c r="H1286" s="9" t="n">
        <v>1</v>
      </c>
      <c r="I1286" s="10" t="n">
        <v>45947</v>
      </c>
      <c r="J1286" s="10" t="n">
        <v>45947</v>
      </c>
      <c r="K1286" s="9" t="n">
        <v>17.41118</v>
      </c>
      <c r="L1286" s="9" t="n">
        <v>78.43432</v>
      </c>
      <c r="M1286" s="9" t="inlineStr">
        <is>
          <t>https://www.google.com/maps/place/?q=place_id:ChIJHzoQ4iaXyzsR_lj7tvk57KM</t>
        </is>
      </c>
    </row>
    <row r="1287">
      <c r="A1287" s="9" t="n">
        <v>1283</v>
      </c>
      <c r="B1287" s="9" t="inlineStr">
        <is>
          <t>Hyderabad</t>
        </is>
      </c>
      <c r="C1287" s="9" t="inlineStr">
        <is>
          <t>Hyderabad</t>
        </is>
      </c>
      <c r="D1287" s="9" t="inlineStr">
        <is>
          <t>Telangana</t>
        </is>
      </c>
      <c r="E1287" s="9" t="inlineStr">
        <is>
          <t>India</t>
        </is>
      </c>
      <c r="F1287" s="9" t="n">
        <v>1</v>
      </c>
      <c r="G1287" s="9" t="n">
        <v>1</v>
      </c>
      <c r="H1287" s="9" t="n">
        <v>1</v>
      </c>
      <c r="I1287" s="10" t="n">
        <v>45961</v>
      </c>
      <c r="J1287" s="10" t="n">
        <v>45961</v>
      </c>
      <c r="K1287" s="9" t="n">
        <v>17.40819</v>
      </c>
      <c r="L1287" s="9" t="n">
        <v>78.43911</v>
      </c>
      <c r="M1287" s="9" t="inlineStr">
        <is>
          <t>https://www.google.com/maps/place/?q=place_id:ChIJt4MFYgCXyzsRr3loaOmnQYw</t>
        </is>
      </c>
    </row>
    <row r="1288">
      <c r="A1288" s="9" t="n">
        <v>1284</v>
      </c>
      <c r="B1288" s="9" t="inlineStr">
        <is>
          <t>Malkajgiri</t>
        </is>
      </c>
      <c r="C1288" s="9" t="inlineStr">
        <is>
          <t>Hyderabad</t>
        </is>
      </c>
      <c r="D1288" s="9" t="inlineStr">
        <is>
          <t>Telangana</t>
        </is>
      </c>
      <c r="E1288" s="9" t="inlineStr">
        <is>
          <t>India</t>
        </is>
      </c>
      <c r="F1288" s="9" t="n">
        <v>1</v>
      </c>
      <c r="G1288" s="9" t="n">
        <v>1</v>
      </c>
      <c r="H1288" s="9" t="n">
        <v>1</v>
      </c>
      <c r="I1288" s="10" t="n">
        <v>46215</v>
      </c>
      <c r="J1288" s="10" t="n">
        <v>46215</v>
      </c>
      <c r="K1288" s="9" t="n">
        <v>17.43325</v>
      </c>
      <c r="L1288" s="9" t="n">
        <v>78.50217000000001</v>
      </c>
      <c r="M1288" s="9" t="inlineStr">
        <is>
          <t>https://www.google.com/maps/place/?q=place_id:ChIJuRgsHCGayzsRiz_oI5_aiH8</t>
        </is>
      </c>
    </row>
    <row r="1289">
      <c r="A1289" s="9" t="n">
        <v>1285</v>
      </c>
      <c r="B1289" s="9" t="inlineStr">
        <is>
          <t>Serilingampalle</t>
        </is>
      </c>
      <c r="C1289" s="9" t="inlineStr">
        <is>
          <t>Hyderabad</t>
        </is>
      </c>
      <c r="D1289" s="9" t="inlineStr">
        <is>
          <t>Telangana</t>
        </is>
      </c>
      <c r="E1289" s="9" t="inlineStr">
        <is>
          <t>India</t>
        </is>
      </c>
      <c r="F1289" s="9" t="n">
        <v>1</v>
      </c>
      <c r="G1289" s="9" t="n">
        <v>1</v>
      </c>
      <c r="H1289" s="9" t="n">
        <v>1</v>
      </c>
      <c r="I1289" s="10" t="n">
        <v>46227</v>
      </c>
      <c r="J1289" s="10" t="n">
        <v>46227</v>
      </c>
      <c r="K1289" s="9" t="n">
        <v>17.384</v>
      </c>
      <c r="L1289" s="9" t="n">
        <v>78.32796999999999</v>
      </c>
      <c r="M1289" s="9" t="inlineStr">
        <is>
          <t>https://www.google.com/maps/place/?q=place_id:ChIJAwoJ-LqVyzsRFelk2HAZgWs</t>
        </is>
      </c>
    </row>
    <row r="1290">
      <c r="A1290" s="9" t="n">
        <v>1286</v>
      </c>
      <c r="B1290" s="9" t="inlineStr">
        <is>
          <t>Hyderabad</t>
        </is>
      </c>
      <c r="C1290" s="9" t="inlineStr">
        <is>
          <t>Hyderabad</t>
        </is>
      </c>
      <c r="D1290" s="9" t="inlineStr">
        <is>
          <t>Telangana</t>
        </is>
      </c>
      <c r="E1290" s="9" t="inlineStr">
        <is>
          <t>India</t>
        </is>
      </c>
      <c r="F1290" s="9" t="n">
        <v>1</v>
      </c>
      <c r="G1290" s="9" t="n">
        <v>1</v>
      </c>
      <c r="H1290" s="9" t="n">
        <v>1</v>
      </c>
      <c r="I1290" s="10" t="n">
        <v>46227</v>
      </c>
      <c r="J1290" s="10" t="n">
        <v>46227</v>
      </c>
      <c r="K1290" s="9" t="n">
        <v>17.36685</v>
      </c>
      <c r="L1290" s="9" t="n">
        <v>78.35253</v>
      </c>
      <c r="M1290" s="9" t="inlineStr">
        <is>
          <t>https://www.google.com/maps/place/?q=place_id:ChIJJb0AY_qVyzsRekF-PMM2yEs</t>
        </is>
      </c>
    </row>
    <row r="1291">
      <c r="A1291" s="9" t="n">
        <v>1287</v>
      </c>
      <c r="B1291" s="9" t="inlineStr">
        <is>
          <t>Hyderabad</t>
        </is>
      </c>
      <c r="C1291" s="9" t="inlineStr">
        <is>
          <t>Hyderabad</t>
        </is>
      </c>
      <c r="D1291" s="9" t="inlineStr">
        <is>
          <t>Telangana</t>
        </is>
      </c>
      <c r="E1291" s="9" t="inlineStr">
        <is>
          <t>India</t>
        </is>
      </c>
      <c r="F1291" s="9" t="n">
        <v>1</v>
      </c>
      <c r="G1291" s="9" t="n">
        <v>1</v>
      </c>
      <c r="H1291" s="9" t="n">
        <v>1</v>
      </c>
      <c r="I1291" s="10" t="n">
        <v>46287</v>
      </c>
      <c r="J1291" s="10" t="n">
        <v>46287</v>
      </c>
      <c r="K1291" s="9" t="n">
        <v>17.41831</v>
      </c>
      <c r="L1291" s="9" t="n">
        <v>78.40597</v>
      </c>
      <c r="M1291" s="9" t="inlineStr">
        <is>
          <t>https://www.google.com/maps/place/?q=place_id:ChIJY3zxfrqXyzsROKAhp_EI_aM</t>
        </is>
      </c>
    </row>
    <row r="1292">
      <c r="A1292" s="9" t="n">
        <v>1288</v>
      </c>
      <c r="B1292" s="9" t="inlineStr">
        <is>
          <t>Kukatpally</t>
        </is>
      </c>
      <c r="C1292" s="9" t="inlineStr">
        <is>
          <t>Hyderabad</t>
        </is>
      </c>
      <c r="D1292" s="9" t="inlineStr">
        <is>
          <t>Telangana</t>
        </is>
      </c>
      <c r="E1292" s="9" t="inlineStr">
        <is>
          <t>India</t>
        </is>
      </c>
      <c r="F1292" s="9" t="n">
        <v>1</v>
      </c>
      <c r="G1292" s="9" t="n">
        <v>1</v>
      </c>
      <c r="H1292" s="9" t="n">
        <v>1</v>
      </c>
      <c r="I1292" s="10" t="n">
        <v>46298</v>
      </c>
      <c r="J1292" s="10" t="n">
        <v>46298</v>
      </c>
      <c r="K1292" s="9" t="n">
        <v>17.43869</v>
      </c>
      <c r="L1292" s="9" t="n">
        <v>78.36472000000001</v>
      </c>
      <c r="M1292" s="9" t="inlineStr">
        <is>
          <t>https://www.google.com/maps/place/?q=place_id:ChIJ7bE0LYKTyzsRKYbxbDy3WFQ</t>
        </is>
      </c>
    </row>
    <row r="1293">
      <c r="A1293" s="9" t="n">
        <v>1289</v>
      </c>
      <c r="B1293" s="9" t="inlineStr">
        <is>
          <t>Jangaon</t>
        </is>
      </c>
      <c r="C1293" s="9" t="inlineStr">
        <is>
          <t>Jangaon</t>
        </is>
      </c>
      <c r="D1293" s="9" t="inlineStr">
        <is>
          <t>Telangana</t>
        </is>
      </c>
      <c r="E1293" s="9" t="inlineStr">
        <is>
          <t>India</t>
        </is>
      </c>
      <c r="F1293" s="9" t="n">
        <v>1</v>
      </c>
      <c r="G1293" s="9" t="n">
        <v>1</v>
      </c>
      <c r="H1293" s="9" t="n">
        <v>1</v>
      </c>
      <c r="I1293" s="10" t="n">
        <v>43453</v>
      </c>
      <c r="J1293" s="10" t="n">
        <v>43453</v>
      </c>
      <c r="K1293" s="9" t="n">
        <v>17.75287</v>
      </c>
      <c r="L1293" s="9" t="n">
        <v>79.24630000000001</v>
      </c>
      <c r="M1293" s="9" t="inlineStr">
        <is>
          <t>https://www.google.com/maps/place/?q=place_id:ChIJVxqSPtWpzDsR00RhsLHaTEg</t>
        </is>
      </c>
    </row>
    <row r="1294">
      <c r="A1294" s="9" t="n">
        <v>1290</v>
      </c>
      <c r="B1294" s="9" t="inlineStr">
        <is>
          <t>Kamareddi</t>
        </is>
      </c>
      <c r="C1294" s="9" t="inlineStr">
        <is>
          <t>Kamareddi</t>
        </is>
      </c>
      <c r="D1294" s="9" t="inlineStr">
        <is>
          <t>Telangana</t>
        </is>
      </c>
      <c r="E1294" s="9" t="inlineStr">
        <is>
          <t>India</t>
        </is>
      </c>
      <c r="F1294" s="9" t="n">
        <v>1</v>
      </c>
      <c r="G1294" s="9" t="n">
        <v>1</v>
      </c>
      <c r="H1294" s="9" t="n">
        <v>1</v>
      </c>
      <c r="I1294" s="10" t="n">
        <v>43755</v>
      </c>
      <c r="J1294" s="10" t="n">
        <v>43755</v>
      </c>
      <c r="K1294" s="9" t="n">
        <v>18.33514</v>
      </c>
      <c r="L1294" s="9" t="n">
        <v>78.33382</v>
      </c>
      <c r="M1294" s="9" t="inlineStr">
        <is>
          <t>https://www.google.com/maps/place/?q=place_id:ChIJXdEXG5xJzDsR6zXf6D9diAk</t>
        </is>
      </c>
    </row>
    <row r="1295">
      <c r="A1295" s="9" t="n">
        <v>1291</v>
      </c>
      <c r="B1295" s="9" t="inlineStr">
        <is>
          <t>Khammam</t>
        </is>
      </c>
      <c r="C1295" s="9" t="inlineStr">
        <is>
          <t>Khammam</t>
        </is>
      </c>
      <c r="D1295" s="9" t="inlineStr">
        <is>
          <t>Telangana</t>
        </is>
      </c>
      <c r="E1295" s="9" t="inlineStr">
        <is>
          <t>India</t>
        </is>
      </c>
      <c r="F1295" s="9" t="n">
        <v>2</v>
      </c>
      <c r="G1295" s="9" t="n">
        <v>2</v>
      </c>
      <c r="H1295" s="9" t="n">
        <v>2</v>
      </c>
      <c r="I1295" s="10" t="n">
        <v>45116</v>
      </c>
      <c r="J1295" s="10" t="n">
        <v>45315</v>
      </c>
      <c r="K1295" s="9" t="n">
        <v>17.2561</v>
      </c>
      <c r="L1295" s="9" t="n">
        <v>80.14915999999999</v>
      </c>
      <c r="M1295" s="9" t="inlineStr">
        <is>
          <t>https://www.google.com/maps/place/?q=place_id:ChIJD3n3cyhZNDoRCsF7yzoOC0A</t>
        </is>
      </c>
    </row>
    <row r="1296">
      <c r="A1296" s="9" t="n">
        <v>1292</v>
      </c>
      <c r="B1296" s="9" t="inlineStr">
        <is>
          <t>Khammam</t>
        </is>
      </c>
      <c r="C1296" s="9" t="inlineStr">
        <is>
          <t>Khammam</t>
        </is>
      </c>
      <c r="D1296" s="9" t="inlineStr">
        <is>
          <t>Telangana</t>
        </is>
      </c>
      <c r="E1296" s="9" t="inlineStr">
        <is>
          <t>India</t>
        </is>
      </c>
      <c r="F1296" s="9" t="n">
        <v>1</v>
      </c>
      <c r="G1296" s="9" t="n">
        <v>1</v>
      </c>
      <c r="H1296" s="9" t="n">
        <v>1</v>
      </c>
      <c r="I1296" s="10" t="n">
        <v>45116</v>
      </c>
      <c r="J1296" s="10" t="n">
        <v>45116</v>
      </c>
      <c r="K1296" s="9" t="n">
        <v>17.24589</v>
      </c>
      <c r="L1296" s="9" t="n">
        <v>80.13869</v>
      </c>
      <c r="M1296" s="9" t="inlineStr">
        <is>
          <t>https://www.google.com/maps/place/?q=place_id:ChIJT6h1ti1YNDoR1sWku8FwwhU</t>
        </is>
      </c>
    </row>
    <row r="1297">
      <c r="A1297" s="9" t="n">
        <v>1293</v>
      </c>
      <c r="B1297" s="9" t="inlineStr">
        <is>
          <t>Khammam</t>
        </is>
      </c>
      <c r="C1297" s="9" t="inlineStr">
        <is>
          <t>Khammam</t>
        </is>
      </c>
      <c r="D1297" s="9" t="inlineStr">
        <is>
          <t>Telangana</t>
        </is>
      </c>
      <c r="E1297" s="9" t="inlineStr">
        <is>
          <t>India</t>
        </is>
      </c>
      <c r="F1297" s="9" t="n">
        <v>1</v>
      </c>
      <c r="G1297" s="9" t="n">
        <v>1</v>
      </c>
      <c r="H1297" s="9" t="n">
        <v>1</v>
      </c>
      <c r="I1297" s="10" t="n">
        <v>45315</v>
      </c>
      <c r="J1297" s="10" t="n">
        <v>45315</v>
      </c>
      <c r="K1297" s="9" t="n">
        <v>17.26142</v>
      </c>
      <c r="L1297" s="9" t="n">
        <v>80.14957</v>
      </c>
      <c r="M1297" s="9" t="inlineStr">
        <is>
          <t>https://www.google.com/maps/place/?q=place_id:ChIJg-dklGZZNDoRGiDLCOk29xM</t>
        </is>
      </c>
    </row>
    <row r="1298">
      <c r="A1298" s="9" t="n">
        <v>1294</v>
      </c>
      <c r="B1298" s="9" t="inlineStr">
        <is>
          <t>Khammam</t>
        </is>
      </c>
      <c r="C1298" s="9" t="inlineStr">
        <is>
          <t>Khammam</t>
        </is>
      </c>
      <c r="D1298" s="9" t="inlineStr">
        <is>
          <t>Telangana</t>
        </is>
      </c>
      <c r="E1298" s="9" t="inlineStr">
        <is>
          <t>India</t>
        </is>
      </c>
      <c r="F1298" s="9" t="n">
        <v>1</v>
      </c>
      <c r="G1298" s="9" t="n">
        <v>1</v>
      </c>
      <c r="H1298" s="9" t="n">
        <v>1</v>
      </c>
      <c r="I1298" s="10" t="n">
        <v>45315</v>
      </c>
      <c r="J1298" s="10" t="n">
        <v>45315</v>
      </c>
      <c r="K1298" s="9" t="n">
        <v>17.24605</v>
      </c>
      <c r="L1298" s="9" t="n">
        <v>80.16934000000001</v>
      </c>
      <c r="M1298" s="9" t="inlineStr">
        <is>
          <t>https://www.google.com/maps/place/?q=place_id:ChIJ59Mu7eZZNDoR8g8JrYwucPU</t>
        </is>
      </c>
    </row>
    <row r="1299">
      <c r="A1299" s="9" t="n">
        <v>1295</v>
      </c>
      <c r="B1299" s="9" t="inlineStr">
        <is>
          <t>Khammam</t>
        </is>
      </c>
      <c r="C1299" s="9" t="inlineStr">
        <is>
          <t>Khammam</t>
        </is>
      </c>
      <c r="D1299" s="9" t="inlineStr">
        <is>
          <t>Telangana</t>
        </is>
      </c>
      <c r="E1299" s="9" t="inlineStr">
        <is>
          <t>India</t>
        </is>
      </c>
      <c r="F1299" s="9" t="n">
        <v>1</v>
      </c>
      <c r="G1299" s="9" t="n">
        <v>1</v>
      </c>
      <c r="H1299" s="9" t="n">
        <v>1</v>
      </c>
      <c r="I1299" s="10" t="n">
        <v>45315</v>
      </c>
      <c r="J1299" s="10" t="n">
        <v>45315</v>
      </c>
      <c r="K1299" s="9" t="n">
        <v>17.25481</v>
      </c>
      <c r="L1299" s="9" t="n">
        <v>80.14812999999999</v>
      </c>
      <c r="M1299" s="9" t="inlineStr">
        <is>
          <t>https://www.google.com/maps/place/?q=place_id:ChIJlfMA-ctZNDoRdTN_LH3zAQM</t>
        </is>
      </c>
    </row>
    <row r="1300">
      <c r="A1300" s="9" t="n">
        <v>1296</v>
      </c>
      <c r="B1300" s="9" t="inlineStr">
        <is>
          <t>Khammam</t>
        </is>
      </c>
      <c r="C1300" s="9" t="inlineStr">
        <is>
          <t>Khammam</t>
        </is>
      </c>
      <c r="D1300" s="9" t="inlineStr">
        <is>
          <t>Telangana</t>
        </is>
      </c>
      <c r="E1300" s="9" t="inlineStr">
        <is>
          <t>India</t>
        </is>
      </c>
      <c r="F1300" s="9" t="n">
        <v>1</v>
      </c>
      <c r="G1300" s="9" t="n">
        <v>1</v>
      </c>
      <c r="H1300" s="9" t="n">
        <v>1</v>
      </c>
      <c r="I1300" s="10" t="n">
        <v>45382</v>
      </c>
      <c r="J1300" s="10" t="n">
        <v>45382</v>
      </c>
      <c r="K1300" s="9" t="n">
        <v>17.2561</v>
      </c>
      <c r="L1300" s="9" t="n">
        <v>80.14937</v>
      </c>
      <c r="M1300" s="9" t="inlineStr">
        <is>
          <t>https://www.google.com/maps/place/?q=place_id:ChIJqf_l3JpZNDoRlizxijo2Q6Y</t>
        </is>
      </c>
    </row>
    <row r="1301">
      <c r="A1301" s="9" t="n">
        <v>1297</v>
      </c>
      <c r="B1301" s="9" t="inlineStr">
        <is>
          <t>Khammam</t>
        </is>
      </c>
      <c r="C1301" s="9" t="inlineStr">
        <is>
          <t>Khammam</t>
        </is>
      </c>
      <c r="D1301" s="9" t="inlineStr">
        <is>
          <t>Telangana</t>
        </is>
      </c>
      <c r="E1301" s="9" t="inlineStr">
        <is>
          <t>India</t>
        </is>
      </c>
      <c r="F1301" s="9" t="n">
        <v>1</v>
      </c>
      <c r="G1301" s="9" t="n">
        <v>1</v>
      </c>
      <c r="H1301" s="9" t="n">
        <v>1</v>
      </c>
      <c r="I1301" s="10" t="n">
        <v>45411</v>
      </c>
      <c r="J1301" s="10" t="n">
        <v>45411</v>
      </c>
      <c r="K1301" s="9" t="n">
        <v>17.24059</v>
      </c>
      <c r="L1301" s="9" t="n">
        <v>80.20641000000001</v>
      </c>
      <c r="M1301" s="9" t="inlineStr">
        <is>
          <t>https://www.google.com/maps/place/?q=place_id:ChIJL9-SegpaNDoR8I96K7lxw7s</t>
        </is>
      </c>
    </row>
    <row r="1302">
      <c r="A1302" s="9" t="n">
        <v>1298</v>
      </c>
      <c r="B1302" s="9" t="inlineStr">
        <is>
          <t>Mahbubabad</t>
        </is>
      </c>
      <c r="C1302" s="9" t="inlineStr">
        <is>
          <t>Mahbubabad</t>
        </is>
      </c>
      <c r="D1302" s="9" t="inlineStr">
        <is>
          <t>Telangana</t>
        </is>
      </c>
      <c r="E1302" s="9" t="inlineStr">
        <is>
          <t>India</t>
        </is>
      </c>
      <c r="F1302" s="9" t="n">
        <v>1</v>
      </c>
      <c r="G1302" s="9" t="n">
        <v>1</v>
      </c>
      <c r="H1302" s="9" t="n">
        <v>1</v>
      </c>
      <c r="I1302" s="10" t="n">
        <v>44956</v>
      </c>
      <c r="J1302" s="10" t="n">
        <v>44956</v>
      </c>
      <c r="K1302" s="9" t="n">
        <v>17.59744</v>
      </c>
      <c r="L1302" s="9" t="n">
        <v>80.00046</v>
      </c>
      <c r="M1302" s="9" t="inlineStr">
        <is>
          <t>https://www.google.com/maps/place/?q=place_id:ChIJb8EcHVGPNDoRYn5PLTRSic0</t>
        </is>
      </c>
    </row>
    <row r="1303">
      <c r="A1303" s="9" t="n">
        <v>1299</v>
      </c>
      <c r="B1303" s="9" t="inlineStr">
        <is>
          <t>Mahbubnagar</t>
        </is>
      </c>
      <c r="C1303" s="9" t="inlineStr">
        <is>
          <t>Mahbubnagar</t>
        </is>
      </c>
      <c r="D1303" s="9" t="inlineStr">
        <is>
          <t>Telangana</t>
        </is>
      </c>
      <c r="E1303" s="9" t="inlineStr">
        <is>
          <t>India</t>
        </is>
      </c>
      <c r="F1303" s="9" t="n">
        <v>1</v>
      </c>
      <c r="G1303" s="9" t="n">
        <v>1</v>
      </c>
      <c r="H1303" s="9" t="n">
        <v>1</v>
      </c>
      <c r="I1303" s="10" t="n">
        <v>42814</v>
      </c>
      <c r="J1303" s="10" t="n">
        <v>42814</v>
      </c>
      <c r="K1303" s="9" t="n">
        <v>16.79475</v>
      </c>
      <c r="L1303" s="9" t="n">
        <v>78.14044</v>
      </c>
      <c r="M1303" s="9" t="inlineStr">
        <is>
          <t>https://www.google.com/maps/place/?q=place_id:ChIJyyDR3k4wyjsRuDfZLaZ9w5U</t>
        </is>
      </c>
    </row>
    <row r="1304">
      <c r="A1304" s="9" t="n">
        <v>1300</v>
      </c>
      <c r="B1304" s="9" t="inlineStr">
        <is>
          <t>Mahbubnagar</t>
        </is>
      </c>
      <c r="C1304" s="9" t="inlineStr">
        <is>
          <t>Mahbubnagar</t>
        </is>
      </c>
      <c r="D1304" s="9" t="inlineStr">
        <is>
          <t>Telangana</t>
        </is>
      </c>
      <c r="E1304" s="9" t="inlineStr">
        <is>
          <t>India</t>
        </is>
      </c>
      <c r="F1304" s="9" t="n">
        <v>1</v>
      </c>
      <c r="G1304" s="9" t="n">
        <v>1</v>
      </c>
      <c r="H1304" s="9" t="n">
        <v>1</v>
      </c>
      <c r="I1304" s="10" t="n">
        <v>43147</v>
      </c>
      <c r="J1304" s="10" t="n">
        <v>43147</v>
      </c>
      <c r="K1304" s="9" t="n">
        <v>16.72074</v>
      </c>
      <c r="L1304" s="9" t="n">
        <v>77.98172</v>
      </c>
      <c r="M1304" s="9" t="inlineStr">
        <is>
          <t>https://www.google.com/maps/place/?q=place_id:ChIJwTq5AEkmyjsRYuX3Astxl9o</t>
        </is>
      </c>
    </row>
    <row r="1305">
      <c r="A1305" s="9" t="n">
        <v>1301</v>
      </c>
      <c r="B1305" s="9" t="inlineStr">
        <is>
          <t>Mahbubnagar</t>
        </is>
      </c>
      <c r="C1305" s="9" t="inlineStr">
        <is>
          <t>Mahbubnagar</t>
        </is>
      </c>
      <c r="D1305" s="9" t="inlineStr">
        <is>
          <t>Telangana</t>
        </is>
      </c>
      <c r="E1305" s="9" t="inlineStr">
        <is>
          <t>India</t>
        </is>
      </c>
      <c r="F1305" s="9" t="n">
        <v>1</v>
      </c>
      <c r="G1305" s="9" t="n">
        <v>1</v>
      </c>
      <c r="H1305" s="9" t="n">
        <v>1</v>
      </c>
      <c r="I1305" s="10" t="n">
        <v>44202</v>
      </c>
      <c r="J1305" s="10" t="n">
        <v>44202</v>
      </c>
      <c r="K1305" s="9" t="n">
        <v>16.7209</v>
      </c>
      <c r="L1305" s="9" t="n">
        <v>78.07153</v>
      </c>
      <c r="M1305" s="9" t="inlineStr">
        <is>
          <t>https://www.google.com/maps/place/?q=place_id:ChIJMQ0fKA8lyjsRvn0-jxCZx3A</t>
        </is>
      </c>
    </row>
    <row r="1306">
      <c r="A1306" s="9" t="n">
        <v>1302</v>
      </c>
      <c r="B1306" s="9" t="inlineStr">
        <is>
          <t>Mahbubnagar</t>
        </is>
      </c>
      <c r="C1306" s="9" t="inlineStr">
        <is>
          <t>Mahbubnagar</t>
        </is>
      </c>
      <c r="D1306" s="9" t="inlineStr">
        <is>
          <t>Telangana</t>
        </is>
      </c>
      <c r="E1306" s="9" t="inlineStr">
        <is>
          <t>India</t>
        </is>
      </c>
      <c r="F1306" s="9" t="n">
        <v>1</v>
      </c>
      <c r="G1306" s="9" t="n">
        <v>1</v>
      </c>
      <c r="H1306" s="9" t="n">
        <v>1</v>
      </c>
      <c r="I1306" s="10" t="n">
        <v>45075</v>
      </c>
      <c r="J1306" s="10" t="n">
        <v>45075</v>
      </c>
      <c r="K1306" s="9" t="n">
        <v>16.79402</v>
      </c>
      <c r="L1306" s="9" t="n">
        <v>78.14021</v>
      </c>
      <c r="M1306" s="9" t="inlineStr">
        <is>
          <t>https://www.google.com/maps/place/?q=place_id:ChIJQSw1JE8wyjsRn1ggc6Abosk</t>
        </is>
      </c>
    </row>
    <row r="1307">
      <c r="A1307" s="9" t="n">
        <v>1303</v>
      </c>
      <c r="B1307" s="9" t="inlineStr">
        <is>
          <t>Mahbubnagar</t>
        </is>
      </c>
      <c r="C1307" s="9" t="inlineStr">
        <is>
          <t>Mahbubnagar</t>
        </is>
      </c>
      <c r="D1307" s="9" t="inlineStr">
        <is>
          <t>Telangana</t>
        </is>
      </c>
      <c r="E1307" s="9" t="inlineStr">
        <is>
          <t>India</t>
        </is>
      </c>
      <c r="F1307" s="9" t="n">
        <v>1</v>
      </c>
      <c r="G1307" s="9" t="n">
        <v>1</v>
      </c>
      <c r="H1307" s="9" t="n">
        <v>1</v>
      </c>
      <c r="I1307" s="10" t="n">
        <v>46298</v>
      </c>
      <c r="J1307" s="10" t="n">
        <v>46298</v>
      </c>
      <c r="K1307" s="9" t="n">
        <v>16.79776</v>
      </c>
      <c r="L1307" s="9" t="n">
        <v>78.14225999999999</v>
      </c>
      <c r="M1307" s="9" t="inlineStr">
        <is>
          <t>https://www.google.com/maps/place/?q=place_id:ChIJu20JzuAxyjsREAMPuV1VF1Y</t>
        </is>
      </c>
    </row>
    <row r="1308">
      <c r="A1308" s="9" t="n">
        <v>1304</v>
      </c>
      <c r="B1308" s="9" t="inlineStr">
        <is>
          <t>Mancheral</t>
        </is>
      </c>
      <c r="C1308" s="9" t="inlineStr">
        <is>
          <t>Mancheral</t>
        </is>
      </c>
      <c r="D1308" s="9" t="inlineStr">
        <is>
          <t>Telangana</t>
        </is>
      </c>
      <c r="E1308" s="9" t="inlineStr">
        <is>
          <t>India</t>
        </is>
      </c>
      <c r="F1308" s="9" t="n">
        <v>1</v>
      </c>
      <c r="G1308" s="9" t="n">
        <v>1</v>
      </c>
      <c r="H1308" s="9" t="n">
        <v>1</v>
      </c>
      <c r="I1308" s="10" t="n">
        <v>43374</v>
      </c>
      <c r="J1308" s="10" t="n">
        <v>43374</v>
      </c>
      <c r="K1308" s="9" t="n">
        <v>18.8791</v>
      </c>
      <c r="L1308" s="9" t="n">
        <v>79.44919</v>
      </c>
      <c r="M1308" s="9" t="inlineStr">
        <is>
          <t>https://www.google.com/maps/place/?q=place_id:ChIJVXTIwQzKMjoRJGRAJHBhbpY</t>
        </is>
      </c>
    </row>
    <row r="1309">
      <c r="A1309" s="9" t="n">
        <v>1305</v>
      </c>
      <c r="B1309" s="9" t="inlineStr">
        <is>
          <t>Manuguru</t>
        </is>
      </c>
      <c r="C1309" s="9" t="inlineStr">
        <is>
          <t>Manuguru</t>
        </is>
      </c>
      <c r="D1309" s="9" t="inlineStr">
        <is>
          <t>Telangana</t>
        </is>
      </c>
      <c r="E1309" s="9" t="inlineStr">
        <is>
          <t>India</t>
        </is>
      </c>
      <c r="F1309" s="9" t="n">
        <v>1</v>
      </c>
      <c r="G1309" s="9" t="n">
        <v>1</v>
      </c>
      <c r="H1309" s="9" t="n">
        <v>1</v>
      </c>
      <c r="I1309" s="10" t="n">
        <v>42448</v>
      </c>
      <c r="J1309" s="10" t="n">
        <v>42448</v>
      </c>
      <c r="K1309" s="9" t="n">
        <v>17.93365</v>
      </c>
      <c r="L1309" s="9" t="n">
        <v>80.90119</v>
      </c>
      <c r="M1309" s="9" t="inlineStr">
        <is>
          <t>https://www.google.com/maps/place/?q=place_id:ChIJPZzO9FRRMToRTnymZLlpvX8</t>
        </is>
      </c>
    </row>
    <row r="1310">
      <c r="A1310" s="9" t="n">
        <v>1306</v>
      </c>
      <c r="B1310" s="9" t="inlineStr">
        <is>
          <t>Manuguru</t>
        </is>
      </c>
      <c r="C1310" s="9" t="inlineStr">
        <is>
          <t>Manuguru</t>
        </is>
      </c>
      <c r="D1310" s="9" t="inlineStr">
        <is>
          <t>Telangana</t>
        </is>
      </c>
      <c r="E1310" s="9" t="inlineStr">
        <is>
          <t>India</t>
        </is>
      </c>
      <c r="F1310" s="9" t="n">
        <v>1</v>
      </c>
      <c r="G1310" s="9" t="n">
        <v>1</v>
      </c>
      <c r="H1310" s="9" t="n">
        <v>1</v>
      </c>
      <c r="I1310" s="10" t="n">
        <v>42448</v>
      </c>
      <c r="J1310" s="10" t="n">
        <v>42448</v>
      </c>
      <c r="K1310" s="9" t="n">
        <v>17.93295</v>
      </c>
      <c r="L1310" s="9" t="n">
        <v>80.89615000000001</v>
      </c>
      <c r="M1310" s="9" t="inlineStr">
        <is>
          <t>https://www.google.com/maps/place/?q=place_id:ChIJxw49CatWMToRv-79nXJKf38</t>
        </is>
      </c>
    </row>
    <row r="1311">
      <c r="A1311" s="9" t="n">
        <v>1307</v>
      </c>
      <c r="B1311" s="9" t="inlineStr">
        <is>
          <t>Medak</t>
        </is>
      </c>
      <c r="C1311" s="9" t="inlineStr">
        <is>
          <t>Medak</t>
        </is>
      </c>
      <c r="D1311" s="9" t="inlineStr">
        <is>
          <t>Telangana</t>
        </is>
      </c>
      <c r="E1311" s="9" t="inlineStr">
        <is>
          <t>India</t>
        </is>
      </c>
      <c r="F1311" s="9" t="n">
        <v>1</v>
      </c>
      <c r="G1311" s="9" t="n">
        <v>1</v>
      </c>
      <c r="H1311" s="9" t="n">
        <v>1</v>
      </c>
      <c r="I1311" s="10" t="n">
        <v>44753</v>
      </c>
      <c r="J1311" s="10" t="n">
        <v>44753</v>
      </c>
      <c r="K1311" s="9" t="n">
        <v>17.97262</v>
      </c>
      <c r="L1311" s="9" t="n">
        <v>78.45502</v>
      </c>
      <c r="M1311" s="9" t="inlineStr">
        <is>
          <t>https://www.google.com/maps/place/?q=place_id:ChIJqTvfNUZvzDsRe6FS0CqCw3o</t>
        </is>
      </c>
    </row>
    <row r="1312">
      <c r="A1312" s="9" t="n">
        <v>1308</v>
      </c>
      <c r="B1312" s="9" t="inlineStr">
        <is>
          <t>Nalgonda</t>
        </is>
      </c>
      <c r="C1312" s="9" t="inlineStr">
        <is>
          <t>Nalgonda</t>
        </is>
      </c>
      <c r="D1312" s="9" t="inlineStr">
        <is>
          <t>Telangana</t>
        </is>
      </c>
      <c r="E1312" s="9" t="inlineStr">
        <is>
          <t>India</t>
        </is>
      </c>
      <c r="F1312" s="9" t="n">
        <v>1</v>
      </c>
      <c r="G1312" s="9" t="n">
        <v>2</v>
      </c>
      <c r="H1312" s="9" t="n">
        <v>1</v>
      </c>
      <c r="I1312" s="10" t="n">
        <v>42447</v>
      </c>
      <c r="J1312" s="10" t="n">
        <v>42448</v>
      </c>
      <c r="K1312" s="9" t="n">
        <v>17.22263</v>
      </c>
      <c r="L1312" s="9" t="n">
        <v>79.14404</v>
      </c>
      <c r="M1312" s="9" t="inlineStr">
        <is>
          <t>https://www.google.com/maps/place/?q=place_id:ChIJBaYZewU7yzsRB6bb8jwCRdM</t>
        </is>
      </c>
    </row>
    <row r="1313">
      <c r="A1313" s="9" t="n">
        <v>1309</v>
      </c>
      <c r="B1313" s="9" t="inlineStr">
        <is>
          <t>Nalgonda</t>
        </is>
      </c>
      <c r="C1313" s="9" t="inlineStr">
        <is>
          <t>Nalgonda</t>
        </is>
      </c>
      <c r="D1313" s="9" t="inlineStr">
        <is>
          <t>Telangana</t>
        </is>
      </c>
      <c r="E1313" s="9" t="inlineStr">
        <is>
          <t>India</t>
        </is>
      </c>
      <c r="F1313" s="9" t="n">
        <v>1</v>
      </c>
      <c r="G1313" s="9" t="n">
        <v>1</v>
      </c>
      <c r="H1313" s="9" t="n">
        <v>1</v>
      </c>
      <c r="I1313" s="10" t="n">
        <v>42897</v>
      </c>
      <c r="J1313" s="10" t="n">
        <v>42897</v>
      </c>
      <c r="K1313" s="9" t="n">
        <v>16.89653</v>
      </c>
      <c r="L1313" s="9" t="n">
        <v>79.18300000000001</v>
      </c>
      <c r="M1313" s="9" t="inlineStr">
        <is>
          <t>https://www.google.com/maps/place/?q=place_id:ChIJUa8eqA_ayjsRJZJS0wUiEn0</t>
        </is>
      </c>
    </row>
    <row r="1314">
      <c r="A1314" s="9" t="n">
        <v>1310</v>
      </c>
      <c r="B1314" s="9" t="inlineStr">
        <is>
          <t>Nalgonda</t>
        </is>
      </c>
      <c r="C1314" s="9" t="inlineStr">
        <is>
          <t>Nalgonda</t>
        </is>
      </c>
      <c r="D1314" s="9" t="inlineStr">
        <is>
          <t>Telangana</t>
        </is>
      </c>
      <c r="E1314" s="9" t="inlineStr">
        <is>
          <t>India</t>
        </is>
      </c>
      <c r="F1314" s="9" t="n">
        <v>1</v>
      </c>
      <c r="G1314" s="9" t="n">
        <v>1</v>
      </c>
      <c r="H1314" s="9" t="n">
        <v>1</v>
      </c>
      <c r="I1314" s="10" t="n">
        <v>45116</v>
      </c>
      <c r="J1314" s="10" t="n">
        <v>45116</v>
      </c>
      <c r="K1314" s="9" t="n">
        <v>17.21466</v>
      </c>
      <c r="L1314" s="9" t="n">
        <v>79.15546999999999</v>
      </c>
      <c r="M1314" s="9" t="inlineStr">
        <is>
          <t>https://www.google.com/maps/place/?q=place_id:ChIJc4W5G5w7yzsR5rb257X_KqA</t>
        </is>
      </c>
    </row>
    <row r="1315">
      <c r="A1315" s="9" t="n">
        <v>1311</v>
      </c>
      <c r="B1315" s="9" t="inlineStr">
        <is>
          <t>Nalgonda</t>
        </is>
      </c>
      <c r="C1315" s="9" t="inlineStr">
        <is>
          <t>Nalgonda</t>
        </is>
      </c>
      <c r="D1315" s="9" t="inlineStr">
        <is>
          <t>Telangana</t>
        </is>
      </c>
      <c r="E1315" s="9" t="inlineStr">
        <is>
          <t>India</t>
        </is>
      </c>
      <c r="F1315" s="9" t="n">
        <v>1</v>
      </c>
      <c r="G1315" s="9" t="n">
        <v>1</v>
      </c>
      <c r="H1315" s="9" t="n">
        <v>1</v>
      </c>
      <c r="I1315" s="10" t="n">
        <v>45411</v>
      </c>
      <c r="J1315" s="10" t="n">
        <v>45411</v>
      </c>
      <c r="K1315" s="9" t="n">
        <v>17.2257</v>
      </c>
      <c r="L1315" s="9" t="n">
        <v>79.13899000000001</v>
      </c>
      <c r="M1315" s="9" t="inlineStr">
        <is>
          <t>https://www.google.com/maps/place/?q=place_id:ChIJs-oVTQk7yzsRcpyUwnY1OC4</t>
        </is>
      </c>
    </row>
    <row r="1316">
      <c r="A1316" s="9" t="n">
        <v>1312</v>
      </c>
      <c r="B1316" s="9" t="inlineStr">
        <is>
          <t>Nizamabad</t>
        </is>
      </c>
      <c r="C1316" s="9" t="inlineStr">
        <is>
          <t>Nizamabad</t>
        </is>
      </c>
      <c r="D1316" s="9" t="inlineStr">
        <is>
          <t>Telangana</t>
        </is>
      </c>
      <c r="E1316" s="9" t="inlineStr">
        <is>
          <t>India</t>
        </is>
      </c>
      <c r="F1316" s="9" t="n">
        <v>1</v>
      </c>
      <c r="G1316" s="9" t="n">
        <v>1</v>
      </c>
      <c r="H1316" s="9" t="n">
        <v>1</v>
      </c>
      <c r="I1316" s="10" t="n">
        <v>44753</v>
      </c>
      <c r="J1316" s="10" t="n">
        <v>44753</v>
      </c>
      <c r="K1316" s="9" t="n">
        <v>18.679</v>
      </c>
      <c r="L1316" s="9" t="n">
        <v>78.10343</v>
      </c>
      <c r="M1316" s="9" t="inlineStr">
        <is>
          <t>https://www.google.com/maps/place/?q=place_id:ChIJ-6X5ojHbzTsRXBxJG57uhcg</t>
        </is>
      </c>
    </row>
    <row r="1317">
      <c r="A1317" s="9" t="n">
        <v>1313</v>
      </c>
      <c r="B1317" s="9" t="inlineStr">
        <is>
          <t>Patancheru</t>
        </is>
      </c>
      <c r="C1317" s="9" t="inlineStr">
        <is>
          <t>Patancheru</t>
        </is>
      </c>
      <c r="D1317" s="9" t="inlineStr">
        <is>
          <t>Telangana</t>
        </is>
      </c>
      <c r="E1317" s="9" t="inlineStr">
        <is>
          <t>India</t>
        </is>
      </c>
      <c r="F1317" s="9" t="n">
        <v>3</v>
      </c>
      <c r="G1317" s="9" t="n">
        <v>3</v>
      </c>
      <c r="H1317" s="9" t="n">
        <v>3</v>
      </c>
      <c r="I1317" s="10" t="n">
        <v>42728</v>
      </c>
      <c r="J1317" s="10" t="n">
        <v>42960</v>
      </c>
      <c r="K1317" s="9" t="n">
        <v>17.54691</v>
      </c>
      <c r="L1317" s="9" t="n">
        <v>78.21281</v>
      </c>
      <c r="M1317" s="9" t="inlineStr">
        <is>
          <t>https://www.google.com/maps/place/?q=place_id:ChIJA-2L8S3yyzsRHR0TBzay9hU</t>
        </is>
      </c>
    </row>
    <row r="1318">
      <c r="A1318" s="9" t="n">
        <v>1314</v>
      </c>
      <c r="B1318" s="9" t="inlineStr">
        <is>
          <t>Patancheru</t>
        </is>
      </c>
      <c r="C1318" s="9" t="inlineStr">
        <is>
          <t>Patancheru</t>
        </is>
      </c>
      <c r="D1318" s="9" t="inlineStr">
        <is>
          <t>Telangana</t>
        </is>
      </c>
      <c r="E1318" s="9" t="inlineStr">
        <is>
          <t>India</t>
        </is>
      </c>
      <c r="F1318" s="9" t="n">
        <v>1</v>
      </c>
      <c r="G1318" s="9" t="n">
        <v>1</v>
      </c>
      <c r="H1318" s="9" t="n">
        <v>1</v>
      </c>
      <c r="I1318" s="10" t="n">
        <v>42188</v>
      </c>
      <c r="J1318" s="10" t="n">
        <v>42188</v>
      </c>
      <c r="K1318" s="9" t="n">
        <v>17.54587</v>
      </c>
      <c r="L1318" s="9" t="n">
        <v>78.21123</v>
      </c>
      <c r="M1318" s="9" t="inlineStr">
        <is>
          <t>https://www.google.com/maps/place/?q=place_id:ChIJC22e1y3yyzsRk3_yFYj4HGs</t>
        </is>
      </c>
    </row>
    <row r="1319">
      <c r="A1319" s="9" t="n">
        <v>1315</v>
      </c>
      <c r="B1319" s="9" t="inlineStr">
        <is>
          <t>Patancheru</t>
        </is>
      </c>
      <c r="C1319" s="9" t="inlineStr">
        <is>
          <t>Patancheru</t>
        </is>
      </c>
      <c r="D1319" s="9" t="inlineStr">
        <is>
          <t>Telangana</t>
        </is>
      </c>
      <c r="E1319" s="9" t="inlineStr">
        <is>
          <t>India</t>
        </is>
      </c>
      <c r="F1319" s="9" t="n">
        <v>1</v>
      </c>
      <c r="G1319" s="9" t="n">
        <v>1</v>
      </c>
      <c r="H1319" s="9" t="n">
        <v>1</v>
      </c>
      <c r="I1319" s="10" t="n">
        <v>42711</v>
      </c>
      <c r="J1319" s="10" t="n">
        <v>42711</v>
      </c>
      <c r="K1319" s="9" t="n">
        <v>17.5433</v>
      </c>
      <c r="L1319" s="9" t="n">
        <v>78.22263</v>
      </c>
      <c r="M1319" s="9" t="inlineStr">
        <is>
          <t>https://www.google.com/maps/place/?q=place_id:ChIJHY92rTfyyzsRXkNAefe7SNE</t>
        </is>
      </c>
    </row>
    <row r="1320">
      <c r="A1320" s="9" t="n">
        <v>1316</v>
      </c>
      <c r="B1320" s="9" t="inlineStr">
        <is>
          <t>Patancheru</t>
        </is>
      </c>
      <c r="C1320" s="9" t="inlineStr">
        <is>
          <t>Patancheru</t>
        </is>
      </c>
      <c r="D1320" s="9" t="inlineStr">
        <is>
          <t>Telangana</t>
        </is>
      </c>
      <c r="E1320" s="9" t="inlineStr">
        <is>
          <t>India</t>
        </is>
      </c>
      <c r="F1320" s="9" t="n">
        <v>1</v>
      </c>
      <c r="G1320" s="9" t="n">
        <v>1</v>
      </c>
      <c r="H1320" s="9" t="n">
        <v>1</v>
      </c>
      <c r="I1320" s="10" t="n">
        <v>42743</v>
      </c>
      <c r="J1320" s="10" t="n">
        <v>42743</v>
      </c>
      <c r="K1320" s="9" t="n">
        <v>17.73653</v>
      </c>
      <c r="L1320" s="9" t="n">
        <v>78.28393</v>
      </c>
      <c r="M1320" s="9" t="inlineStr">
        <is>
          <t>https://www.google.com/maps/place/?q=place_id:ChIJOx5YLdcKzDsREynCfbGHhuY</t>
        </is>
      </c>
    </row>
    <row r="1321">
      <c r="A1321" s="9" t="n">
        <v>1317</v>
      </c>
      <c r="B1321" s="9" t="inlineStr">
        <is>
          <t>Patancheru</t>
        </is>
      </c>
      <c r="C1321" s="9" t="inlineStr">
        <is>
          <t>Patancheru</t>
        </is>
      </c>
      <c r="D1321" s="9" t="inlineStr">
        <is>
          <t>Telangana</t>
        </is>
      </c>
      <c r="E1321" s="9" t="inlineStr">
        <is>
          <t>India</t>
        </is>
      </c>
      <c r="F1321" s="9" t="n">
        <v>1</v>
      </c>
      <c r="G1321" s="9" t="n">
        <v>1</v>
      </c>
      <c r="H1321" s="9" t="n">
        <v>1</v>
      </c>
      <c r="I1321" s="10" t="n">
        <v>42762</v>
      </c>
      <c r="J1321" s="10" t="n">
        <v>42762</v>
      </c>
      <c r="K1321" s="9" t="n">
        <v>17.54321</v>
      </c>
      <c r="L1321" s="9" t="n">
        <v>78.20621</v>
      </c>
      <c r="M1321" s="9" t="inlineStr">
        <is>
          <t>https://www.google.com/maps/place/?q=place_id:ChIJ0T-KFynyyzsReVdXtvpN-UA</t>
        </is>
      </c>
    </row>
    <row r="1322">
      <c r="A1322" s="9" t="n">
        <v>1318</v>
      </c>
      <c r="B1322" s="9" t="inlineStr">
        <is>
          <t>Patancheru</t>
        </is>
      </c>
      <c r="C1322" s="9" t="inlineStr">
        <is>
          <t>Patancheru</t>
        </is>
      </c>
      <c r="D1322" s="9" t="inlineStr">
        <is>
          <t>Telangana</t>
        </is>
      </c>
      <c r="E1322" s="9" t="inlineStr">
        <is>
          <t>India</t>
        </is>
      </c>
      <c r="F1322" s="9" t="n">
        <v>1</v>
      </c>
      <c r="G1322" s="9" t="n">
        <v>1</v>
      </c>
      <c r="H1322" s="9" t="n">
        <v>1</v>
      </c>
      <c r="I1322" s="10" t="n">
        <v>43133</v>
      </c>
      <c r="J1322" s="10" t="n">
        <v>43133</v>
      </c>
      <c r="K1322" s="9" t="n">
        <v>17.54657</v>
      </c>
      <c r="L1322" s="9" t="n">
        <v>78.21308999999999</v>
      </c>
      <c r="M1322" s="9" t="inlineStr">
        <is>
          <t>https://www.google.com/maps/place/?q=place_id:ChIJbfxS9y3yyzsRImLC2_1ZIFg</t>
        </is>
      </c>
    </row>
    <row r="1323">
      <c r="A1323" s="9" t="n">
        <v>1319</v>
      </c>
      <c r="B1323" s="9" t="inlineStr">
        <is>
          <t>Patancheru</t>
        </is>
      </c>
      <c r="C1323" s="9" t="inlineStr">
        <is>
          <t>Patancheru</t>
        </is>
      </c>
      <c r="D1323" s="9" t="inlineStr">
        <is>
          <t>Telangana</t>
        </is>
      </c>
      <c r="E1323" s="9" t="inlineStr">
        <is>
          <t>India</t>
        </is>
      </c>
      <c r="F1323" s="9" t="n">
        <v>1</v>
      </c>
      <c r="G1323" s="9" t="n">
        <v>1</v>
      </c>
      <c r="H1323" s="9" t="n">
        <v>1</v>
      </c>
      <c r="I1323" s="10" t="n">
        <v>43767</v>
      </c>
      <c r="J1323" s="10" t="n">
        <v>43767</v>
      </c>
      <c r="K1323" s="9" t="n">
        <v>17.55602</v>
      </c>
      <c r="L1323" s="9" t="n">
        <v>78.22057</v>
      </c>
      <c r="M1323" s="9" t="inlineStr">
        <is>
          <t>https://www.google.com/maps/place/?q=place_id:ChIJS_f2vcvzyzsRcJFMF8j2CC0</t>
        </is>
      </c>
    </row>
    <row r="1324">
      <c r="A1324" s="9" t="n">
        <v>1320</v>
      </c>
      <c r="B1324" s="9" t="inlineStr">
        <is>
          <t>Sadashivpet</t>
        </is>
      </c>
      <c r="C1324" s="9" t="inlineStr">
        <is>
          <t>Sadashivpet</t>
        </is>
      </c>
      <c r="D1324" s="9" t="inlineStr">
        <is>
          <t>Telangana</t>
        </is>
      </c>
      <c r="E1324" s="9" t="inlineStr">
        <is>
          <t>India</t>
        </is>
      </c>
      <c r="F1324" s="9" t="n">
        <v>1</v>
      </c>
      <c r="G1324" s="9" t="n">
        <v>1</v>
      </c>
      <c r="H1324" s="9" t="n">
        <v>1</v>
      </c>
      <c r="I1324" s="10" t="n">
        <v>42190</v>
      </c>
      <c r="J1324" s="10" t="n">
        <v>42190</v>
      </c>
      <c r="K1324" s="9" t="n">
        <v>17.61572</v>
      </c>
      <c r="L1324" s="9" t="n">
        <v>77.95457</v>
      </c>
      <c r="M1324" s="9" t="inlineStr">
        <is>
          <t>https://www.google.com/maps/place/?q=place_id:ChIJm16cSEb-yzsRSNmZX3TP8I0</t>
        </is>
      </c>
    </row>
    <row r="1325">
      <c r="A1325" s="9" t="n">
        <v>1321</v>
      </c>
      <c r="B1325" s="9" t="inlineStr">
        <is>
          <t>Sadashivpet</t>
        </is>
      </c>
      <c r="C1325" s="9" t="inlineStr">
        <is>
          <t>Sadashivpet</t>
        </is>
      </c>
      <c r="D1325" s="9" t="inlineStr">
        <is>
          <t>Telangana</t>
        </is>
      </c>
      <c r="E1325" s="9" t="inlineStr">
        <is>
          <t>India</t>
        </is>
      </c>
      <c r="F1325" s="9" t="n">
        <v>1</v>
      </c>
      <c r="G1325" s="9" t="n">
        <v>1</v>
      </c>
      <c r="H1325" s="9" t="n">
        <v>1</v>
      </c>
      <c r="I1325" s="10" t="n">
        <v>44420</v>
      </c>
      <c r="J1325" s="10" t="n">
        <v>44420</v>
      </c>
      <c r="K1325" s="9" t="n">
        <v>17.68057</v>
      </c>
      <c r="L1325" s="9" t="n">
        <v>77.80992999999999</v>
      </c>
      <c r="M1325" s="9" t="inlineStr">
        <is>
          <t>https://www.google.com/maps/place/?q=place_id:ChIJH_p4WY2tzjsRu-ucQllU8KQ</t>
        </is>
      </c>
    </row>
    <row r="1326">
      <c r="A1326" s="9" t="n">
        <v>1322</v>
      </c>
      <c r="B1326" s="9" t="inlineStr">
        <is>
          <t>Sangareddi</t>
        </is>
      </c>
      <c r="C1326" s="9" t="inlineStr">
        <is>
          <t>Sangareddi</t>
        </is>
      </c>
      <c r="D1326" s="9" t="inlineStr">
        <is>
          <t>Telangana</t>
        </is>
      </c>
      <c r="E1326" s="9" t="inlineStr">
        <is>
          <t>India</t>
        </is>
      </c>
      <c r="F1326" s="9" t="n">
        <v>68</v>
      </c>
      <c r="G1326" s="9" t="n">
        <v>87</v>
      </c>
      <c r="H1326" s="9" t="n">
        <v>42</v>
      </c>
      <c r="I1326" s="10" t="n">
        <v>42053</v>
      </c>
      <c r="J1326" s="10" t="n">
        <v>44242</v>
      </c>
      <c r="K1326" s="9" t="n">
        <v>17.5947</v>
      </c>
      <c r="L1326" s="9" t="n">
        <v>78.12304</v>
      </c>
      <c r="M1326" s="9" t="inlineStr">
        <is>
          <t>https://www.google.com/maps/place/?q=place_id:ChIJu_9rE9zvyzsRkZFMWfZPQXM</t>
        </is>
      </c>
    </row>
    <row r="1327">
      <c r="A1327" s="9" t="n">
        <v>1323</v>
      </c>
      <c r="B1327" s="9" t="inlineStr">
        <is>
          <t>Sangareddi</t>
        </is>
      </c>
      <c r="C1327" s="9" t="inlineStr">
        <is>
          <t>Sangareddi</t>
        </is>
      </c>
      <c r="D1327" s="9" t="inlineStr">
        <is>
          <t>Telangana</t>
        </is>
      </c>
      <c r="E1327" s="9" t="inlineStr">
        <is>
          <t>India</t>
        </is>
      </c>
      <c r="F1327" s="9" t="n">
        <v>34</v>
      </c>
      <c r="G1327" s="9" t="n">
        <v>37</v>
      </c>
      <c r="H1327" s="9" t="n">
        <v>24</v>
      </c>
      <c r="I1327" s="10" t="n">
        <v>42792</v>
      </c>
      <c r="J1327" s="10" t="n">
        <v>43638</v>
      </c>
      <c r="K1327" s="9" t="n">
        <v>17.5841</v>
      </c>
      <c r="L1327" s="9" t="n">
        <v>78.11682</v>
      </c>
      <c r="M1327" s="9" t="inlineStr">
        <is>
          <t>https://www.google.com/maps/place/?q=place_id:ChIJ4cLV2K7wyzsRTsezUgM09b0</t>
        </is>
      </c>
    </row>
    <row r="1328">
      <c r="A1328" s="9" t="n">
        <v>1324</v>
      </c>
      <c r="B1328" s="9" t="inlineStr">
        <is>
          <t>Sangareddi</t>
        </is>
      </c>
      <c r="C1328" s="9" t="inlineStr">
        <is>
          <t>Sangareddi</t>
        </is>
      </c>
      <c r="D1328" s="9" t="inlineStr">
        <is>
          <t>Telangana</t>
        </is>
      </c>
      <c r="E1328" s="9" t="inlineStr">
        <is>
          <t>India</t>
        </is>
      </c>
      <c r="F1328" s="9" t="n">
        <v>19</v>
      </c>
      <c r="G1328" s="9" t="n">
        <v>19</v>
      </c>
      <c r="H1328" s="9" t="n">
        <v>16</v>
      </c>
      <c r="I1328" s="10" t="n">
        <v>43337</v>
      </c>
      <c r="J1328" s="10" t="n">
        <v>45350</v>
      </c>
      <c r="K1328" s="9" t="n">
        <v>17.57343</v>
      </c>
      <c r="L1328" s="9" t="n">
        <v>78.11201</v>
      </c>
      <c r="M1328" s="9" t="inlineStr">
        <is>
          <t>https://www.google.com/maps/place/?q=place_id:ChIJ9WW_v6DwyzsRcDFZjIkJ3-Y</t>
        </is>
      </c>
    </row>
    <row r="1329">
      <c r="A1329" s="9" t="n">
        <v>1325</v>
      </c>
      <c r="B1329" s="9" t="inlineStr">
        <is>
          <t>Sangareddi</t>
        </is>
      </c>
      <c r="C1329" s="9" t="inlineStr">
        <is>
          <t>Sangareddi</t>
        </is>
      </c>
      <c r="D1329" s="9" t="inlineStr">
        <is>
          <t>Telangana</t>
        </is>
      </c>
      <c r="E1329" s="9" t="inlineStr">
        <is>
          <t>India</t>
        </is>
      </c>
      <c r="F1329" s="9" t="n">
        <v>11</v>
      </c>
      <c r="G1329" s="9" t="n">
        <v>13</v>
      </c>
      <c r="H1329" s="9" t="n">
        <v>11</v>
      </c>
      <c r="I1329" s="10" t="n">
        <v>42694</v>
      </c>
      <c r="J1329" s="10" t="n">
        <v>43408</v>
      </c>
      <c r="K1329" s="9" t="n">
        <v>17.58516</v>
      </c>
      <c r="L1329" s="9" t="n">
        <v>78.11741000000001</v>
      </c>
      <c r="M1329" s="9" t="inlineStr">
        <is>
          <t>https://www.google.com/maps/place/?q=place_id:ChIJ6XyAx67wyzsRoZZ5yVl0BNY</t>
        </is>
      </c>
    </row>
    <row r="1330">
      <c r="A1330" s="9" t="n">
        <v>1326</v>
      </c>
      <c r="B1330" s="9" t="inlineStr">
        <is>
          <t>Sangareddi</t>
        </is>
      </c>
      <c r="C1330" s="9" t="inlineStr">
        <is>
          <t>Sangareddi</t>
        </is>
      </c>
      <c r="D1330" s="9" t="inlineStr">
        <is>
          <t>Telangana</t>
        </is>
      </c>
      <c r="E1330" s="9" t="inlineStr">
        <is>
          <t>India</t>
        </is>
      </c>
      <c r="F1330" s="9" t="n">
        <v>4</v>
      </c>
      <c r="G1330" s="9" t="n">
        <v>3</v>
      </c>
      <c r="H1330" s="9" t="n">
        <v>2</v>
      </c>
      <c r="I1330" s="10" t="n">
        <v>43348</v>
      </c>
      <c r="J1330" s="10" t="n">
        <v>43502</v>
      </c>
      <c r="K1330" s="9" t="n">
        <v>17.62103</v>
      </c>
      <c r="L1330" s="9" t="n">
        <v>78.12681000000001</v>
      </c>
      <c r="M1330" s="9" t="inlineStr">
        <is>
          <t>https://www.google.com/maps/place/?q=place_id:ChIJFTCzRmn3yzsRUlJGtfAXjjk</t>
        </is>
      </c>
    </row>
    <row r="1331">
      <c r="A1331" s="9" t="n">
        <v>1327</v>
      </c>
      <c r="B1331" s="9" t="inlineStr">
        <is>
          <t>Sangareddi</t>
        </is>
      </c>
      <c r="C1331" s="9" t="inlineStr">
        <is>
          <t>Sangareddi</t>
        </is>
      </c>
      <c r="D1331" s="9" t="inlineStr">
        <is>
          <t>Telangana</t>
        </is>
      </c>
      <c r="E1331" s="9" t="inlineStr">
        <is>
          <t>India</t>
        </is>
      </c>
      <c r="F1331" s="9" t="n">
        <v>3</v>
      </c>
      <c r="G1331" s="9" t="n">
        <v>3</v>
      </c>
      <c r="H1331" s="9" t="n">
        <v>3</v>
      </c>
      <c r="I1331" s="10" t="n">
        <v>42715</v>
      </c>
      <c r="J1331" s="10" t="n">
        <v>43101</v>
      </c>
      <c r="K1331" s="9" t="n">
        <v>17.63343</v>
      </c>
      <c r="L1331" s="9" t="n">
        <v>78.09846</v>
      </c>
      <c r="M1331" s="9" t="inlineStr">
        <is>
          <t>https://www.google.com/maps/place/?q=place_id:ChIJO7jG7M35yzsRe1JXzNtPnLI</t>
        </is>
      </c>
    </row>
    <row r="1332">
      <c r="A1332" s="9" t="n">
        <v>1328</v>
      </c>
      <c r="B1332" s="9" t="inlineStr">
        <is>
          <t>Sangareddi</t>
        </is>
      </c>
      <c r="C1332" s="9" t="inlineStr">
        <is>
          <t>Sangareddi</t>
        </is>
      </c>
      <c r="D1332" s="9" t="inlineStr">
        <is>
          <t>Telangana</t>
        </is>
      </c>
      <c r="E1332" s="9" t="inlineStr">
        <is>
          <t>India</t>
        </is>
      </c>
      <c r="F1332" s="9" t="n">
        <v>3</v>
      </c>
      <c r="G1332" s="9" t="n">
        <v>4</v>
      </c>
      <c r="H1332" s="9" t="n">
        <v>3</v>
      </c>
      <c r="I1332" s="10" t="n">
        <v>42715</v>
      </c>
      <c r="J1332" s="10" t="n">
        <v>42975</v>
      </c>
      <c r="K1332" s="9" t="n">
        <v>17.61528</v>
      </c>
      <c r="L1332" s="9" t="n">
        <v>78.08246</v>
      </c>
      <c r="M1332" s="9" t="inlineStr">
        <is>
          <t>https://www.google.com/maps/place/?q=place_id:ChIJLxy_3r35yzsRf39H7QEhUQg</t>
        </is>
      </c>
    </row>
    <row r="1333">
      <c r="A1333" s="9" t="n">
        <v>1329</v>
      </c>
      <c r="B1333" s="9" t="inlineStr">
        <is>
          <t>Sangareddi</t>
        </is>
      </c>
      <c r="C1333" s="9" t="inlineStr">
        <is>
          <t>Sangareddi</t>
        </is>
      </c>
      <c r="D1333" s="9" t="inlineStr">
        <is>
          <t>Telangana</t>
        </is>
      </c>
      <c r="E1333" s="9" t="inlineStr">
        <is>
          <t>India</t>
        </is>
      </c>
      <c r="F1333" s="9" t="n">
        <v>3</v>
      </c>
      <c r="G1333" s="9" t="n">
        <v>3</v>
      </c>
      <c r="H1333" s="9" t="n">
        <v>3</v>
      </c>
      <c r="I1333" s="10" t="n">
        <v>42741</v>
      </c>
      <c r="J1333" s="10" t="n">
        <v>43030</v>
      </c>
      <c r="K1333" s="9" t="n">
        <v>17.59069</v>
      </c>
      <c r="L1333" s="9" t="n">
        <v>78.08122</v>
      </c>
      <c r="M1333" s="9" t="inlineStr">
        <is>
          <t>https://www.google.com/maps/place/?q=place_id:ChIJGZio5on5yzsR29iYM8vy0l8</t>
        </is>
      </c>
    </row>
    <row r="1334">
      <c r="A1334" s="9" t="n">
        <v>1330</v>
      </c>
      <c r="B1334" s="9" t="inlineStr">
        <is>
          <t>Sangareddi</t>
        </is>
      </c>
      <c r="C1334" s="9" t="inlineStr">
        <is>
          <t>Sangareddi</t>
        </is>
      </c>
      <c r="D1334" s="9" t="inlineStr">
        <is>
          <t>Telangana</t>
        </is>
      </c>
      <c r="E1334" s="9" t="inlineStr">
        <is>
          <t>India</t>
        </is>
      </c>
      <c r="F1334" s="9" t="n">
        <v>3</v>
      </c>
      <c r="G1334" s="9" t="n">
        <v>3</v>
      </c>
      <c r="H1334" s="9" t="n">
        <v>3</v>
      </c>
      <c r="I1334" s="10" t="n">
        <v>44200</v>
      </c>
      <c r="J1334" s="10" t="n">
        <v>44889</v>
      </c>
      <c r="K1334" s="9" t="n">
        <v>17.62242</v>
      </c>
      <c r="L1334" s="9" t="n">
        <v>78.12697</v>
      </c>
      <c r="M1334" s="9" t="inlineStr">
        <is>
          <t>https://www.google.com/maps/place/?q=place_id:ChIJJY6oWmn3yzsRsfHNM506w4g</t>
        </is>
      </c>
    </row>
    <row r="1335">
      <c r="A1335" s="9" t="n">
        <v>1331</v>
      </c>
      <c r="B1335" s="9" t="inlineStr">
        <is>
          <t>Sangareddi</t>
        </is>
      </c>
      <c r="C1335" s="9" t="inlineStr">
        <is>
          <t>Sangareddi</t>
        </is>
      </c>
      <c r="D1335" s="9" t="inlineStr">
        <is>
          <t>Telangana</t>
        </is>
      </c>
      <c r="E1335" s="9" t="inlineStr">
        <is>
          <t>India</t>
        </is>
      </c>
      <c r="F1335" s="9" t="n">
        <v>2</v>
      </c>
      <c r="G1335" s="9" t="n">
        <v>2</v>
      </c>
      <c r="H1335" s="9" t="n">
        <v>2</v>
      </c>
      <c r="I1335" s="10" t="n">
        <v>42053</v>
      </c>
      <c r="J1335" s="10" t="n">
        <v>42743</v>
      </c>
      <c r="K1335" s="9" t="n">
        <v>17.58798</v>
      </c>
      <c r="L1335" s="9" t="n">
        <v>78.08374999999999</v>
      </c>
      <c r="M1335" s="9" t="inlineStr">
        <is>
          <t>https://www.google.com/maps/place/?q=place_id:ChIJ90hj5yD6yzsRVpP_FBBI5OU</t>
        </is>
      </c>
    </row>
    <row r="1336">
      <c r="A1336" s="9" t="n">
        <v>1332</v>
      </c>
      <c r="B1336" s="9" t="inlineStr">
        <is>
          <t>Sangareddi</t>
        </is>
      </c>
      <c r="C1336" s="9" t="inlineStr">
        <is>
          <t>Sangareddi</t>
        </is>
      </c>
      <c r="D1336" s="9" t="inlineStr">
        <is>
          <t>Telangana</t>
        </is>
      </c>
      <c r="E1336" s="9" t="inlineStr">
        <is>
          <t>India</t>
        </is>
      </c>
      <c r="F1336" s="9" t="n">
        <v>2</v>
      </c>
      <c r="G1336" s="9" t="n">
        <v>1</v>
      </c>
      <c r="H1336" s="9" t="n">
        <v>1</v>
      </c>
      <c r="I1336" s="10" t="n">
        <v>42743</v>
      </c>
      <c r="J1336" s="10" t="n">
        <v>42743</v>
      </c>
      <c r="K1336" s="9" t="n">
        <v>17.63229</v>
      </c>
      <c r="L1336" s="9" t="n">
        <v>78.09848</v>
      </c>
      <c r="M1336" s="9" t="inlineStr">
        <is>
          <t>https://www.google.com/maps/place/?q=place_id:ChIJFUK74835yzsRTeRAEwBGec4</t>
        </is>
      </c>
    </row>
    <row r="1337">
      <c r="A1337" s="9" t="n">
        <v>1333</v>
      </c>
      <c r="B1337" s="9" t="inlineStr">
        <is>
          <t>Sangareddi</t>
        </is>
      </c>
      <c r="C1337" s="9" t="inlineStr">
        <is>
          <t>Sangareddi</t>
        </is>
      </c>
      <c r="D1337" s="9" t="inlineStr">
        <is>
          <t>Telangana</t>
        </is>
      </c>
      <c r="E1337" s="9" t="inlineStr">
        <is>
          <t>India</t>
        </is>
      </c>
      <c r="F1337" s="9" t="n">
        <v>2</v>
      </c>
      <c r="G1337" s="9" t="n">
        <v>2</v>
      </c>
      <c r="H1337" s="9" t="n">
        <v>1</v>
      </c>
      <c r="I1337" s="10" t="n">
        <v>42854</v>
      </c>
      <c r="J1337" s="10" t="n">
        <v>42855</v>
      </c>
      <c r="K1337" s="9" t="n">
        <v>17.5848</v>
      </c>
      <c r="L1337" s="9" t="n">
        <v>78.10980000000001</v>
      </c>
      <c r="M1337" s="9" t="inlineStr">
        <is>
          <t>https://www.google.com/maps/place/?q=place_id:ChIJeyojQgf6yzsRZPc_RcJo-F8</t>
        </is>
      </c>
    </row>
    <row r="1338">
      <c r="A1338" s="9" t="n">
        <v>1334</v>
      </c>
      <c r="B1338" s="9" t="inlineStr">
        <is>
          <t>Sangareddi</t>
        </is>
      </c>
      <c r="C1338" s="9" t="inlineStr">
        <is>
          <t>Sangareddi</t>
        </is>
      </c>
      <c r="D1338" s="9" t="inlineStr">
        <is>
          <t>Telangana</t>
        </is>
      </c>
      <c r="E1338" s="9" t="inlineStr">
        <is>
          <t>India</t>
        </is>
      </c>
      <c r="F1338" s="9" t="n">
        <v>2</v>
      </c>
      <c r="G1338" s="9" t="n">
        <v>2</v>
      </c>
      <c r="H1338" s="9" t="n">
        <v>2</v>
      </c>
      <c r="I1338" s="10" t="n">
        <v>42854</v>
      </c>
      <c r="J1338" s="10" t="n">
        <v>43065</v>
      </c>
      <c r="K1338" s="9" t="n">
        <v>17.58304</v>
      </c>
      <c r="L1338" s="9" t="n">
        <v>78.10764</v>
      </c>
      <c r="M1338" s="9" t="inlineStr">
        <is>
          <t>https://www.google.com/maps/place/?q=place_id:ChIJZUPhVQb6yzsR7aDYEA7fluc</t>
        </is>
      </c>
    </row>
    <row r="1339">
      <c r="A1339" s="9" t="n">
        <v>1335</v>
      </c>
      <c r="B1339" s="9" t="inlineStr">
        <is>
          <t>Sangareddi</t>
        </is>
      </c>
      <c r="C1339" s="9" t="inlineStr">
        <is>
          <t>Sangareddi</t>
        </is>
      </c>
      <c r="D1339" s="9" t="inlineStr">
        <is>
          <t>Telangana</t>
        </is>
      </c>
      <c r="E1339" s="9" t="inlineStr">
        <is>
          <t>India</t>
        </is>
      </c>
      <c r="F1339" s="9" t="n">
        <v>2</v>
      </c>
      <c r="G1339" s="9" t="n">
        <v>2</v>
      </c>
      <c r="H1339" s="9" t="n">
        <v>2</v>
      </c>
      <c r="I1339" s="10" t="n">
        <v>43348</v>
      </c>
      <c r="J1339" s="10" t="n">
        <v>43713</v>
      </c>
      <c r="K1339" s="9" t="n">
        <v>17.62085</v>
      </c>
      <c r="L1339" s="9" t="n">
        <v>78.12251999999999</v>
      </c>
      <c r="M1339" s="9" t="inlineStr">
        <is>
          <t>https://www.google.com/maps/place/?q=place_id:ChIJn46-pmj3yzsR1eHmXSqmSWw</t>
        </is>
      </c>
    </row>
    <row r="1340">
      <c r="A1340" s="9" t="n">
        <v>1336</v>
      </c>
      <c r="B1340" s="9" t="inlineStr">
        <is>
          <t>Sangareddi</t>
        </is>
      </c>
      <c r="C1340" s="9" t="inlineStr">
        <is>
          <t>Sangareddi</t>
        </is>
      </c>
      <c r="D1340" s="9" t="inlineStr">
        <is>
          <t>Telangana</t>
        </is>
      </c>
      <c r="E1340" s="9" t="inlineStr">
        <is>
          <t>India</t>
        </is>
      </c>
      <c r="F1340" s="9" t="n">
        <v>2</v>
      </c>
      <c r="G1340" s="9" t="n">
        <v>2</v>
      </c>
      <c r="H1340" s="9" t="n">
        <v>2</v>
      </c>
      <c r="I1340" s="10" t="n">
        <v>43352</v>
      </c>
      <c r="J1340" s="10" t="n">
        <v>43568</v>
      </c>
      <c r="K1340" s="9" t="n">
        <v>17.58137</v>
      </c>
      <c r="L1340" s="9" t="n">
        <v>78.11104</v>
      </c>
      <c r="M1340" s="9" t="inlineStr">
        <is>
          <t>https://www.google.com/maps/place/?q=place_id:ChIJ7djLHqjwyzsR_Qif90b7ZJE</t>
        </is>
      </c>
    </row>
    <row r="1341">
      <c r="A1341" s="9" t="n">
        <v>1337</v>
      </c>
      <c r="B1341" s="9" t="inlineStr">
        <is>
          <t>Sangareddi</t>
        </is>
      </c>
      <c r="C1341" s="9" t="inlineStr">
        <is>
          <t>Sangareddi</t>
        </is>
      </c>
      <c r="D1341" s="9" t="inlineStr">
        <is>
          <t>Telangana</t>
        </is>
      </c>
      <c r="E1341" s="9" t="inlineStr">
        <is>
          <t>India</t>
        </is>
      </c>
      <c r="F1341" s="9" t="n">
        <v>2</v>
      </c>
      <c r="G1341" s="9" t="n">
        <v>2</v>
      </c>
      <c r="H1341" s="9" t="n">
        <v>2</v>
      </c>
      <c r="I1341" s="10" t="n">
        <v>43352</v>
      </c>
      <c r="J1341" s="10" t="n">
        <v>43470</v>
      </c>
      <c r="K1341" s="9" t="n">
        <v>17.5806</v>
      </c>
      <c r="L1341" s="9" t="n">
        <v>78.10996</v>
      </c>
      <c r="M1341" s="9" t="inlineStr">
        <is>
          <t>https://www.google.com/maps/place/?q=place_id:ChIJL3oM4wf6yzsRRnOYpyzJCPk</t>
        </is>
      </c>
    </row>
    <row r="1342">
      <c r="A1342" s="9" t="n">
        <v>1338</v>
      </c>
      <c r="B1342" s="9" t="inlineStr">
        <is>
          <t>Sangareddi</t>
        </is>
      </c>
      <c r="C1342" s="9" t="inlineStr">
        <is>
          <t>Sangareddi</t>
        </is>
      </c>
      <c r="D1342" s="9" t="inlineStr">
        <is>
          <t>Telangana</t>
        </is>
      </c>
      <c r="E1342" s="9" t="inlineStr">
        <is>
          <t>India</t>
        </is>
      </c>
      <c r="F1342" s="9" t="n">
        <v>2</v>
      </c>
      <c r="G1342" s="9" t="n">
        <v>3</v>
      </c>
      <c r="H1342" s="9" t="n">
        <v>1</v>
      </c>
      <c r="I1342" s="10" t="n">
        <v>43671</v>
      </c>
      <c r="J1342" s="10" t="n">
        <v>43673</v>
      </c>
      <c r="K1342" s="9" t="n">
        <v>17.58387</v>
      </c>
      <c r="L1342" s="9" t="n">
        <v>78.11743</v>
      </c>
      <c r="M1342" s="9" t="inlineStr">
        <is>
          <t>https://www.google.com/maps/place/?q=place_id:ChIJWUT_2K7wyzsRAAAAAAAAAAA</t>
        </is>
      </c>
    </row>
    <row r="1343">
      <c r="A1343" s="9" t="n">
        <v>1339</v>
      </c>
      <c r="B1343" s="9" t="inlineStr">
        <is>
          <t>Sangareddi</t>
        </is>
      </c>
      <c r="C1343" s="9" t="inlineStr">
        <is>
          <t>Sangareddi</t>
        </is>
      </c>
      <c r="D1343" s="9" t="inlineStr">
        <is>
          <t>Telangana</t>
        </is>
      </c>
      <c r="E1343" s="9" t="inlineStr">
        <is>
          <t>India</t>
        </is>
      </c>
      <c r="F1343" s="9" t="n">
        <v>1</v>
      </c>
      <c r="G1343" s="9" t="n">
        <v>1</v>
      </c>
      <c r="H1343" s="9" t="n">
        <v>1</v>
      </c>
      <c r="I1343" s="10" t="n">
        <v>42708</v>
      </c>
      <c r="J1343" s="10" t="n">
        <v>42708</v>
      </c>
      <c r="K1343" s="9" t="n">
        <v>17.58796</v>
      </c>
      <c r="L1343" s="9" t="n">
        <v>78.08456</v>
      </c>
      <c r="M1343" s="9" t="inlineStr">
        <is>
          <t>https://www.google.com/maps/place/?q=place_id:ChIJJyxt-yD6yzsRgxU2KKH1s88</t>
        </is>
      </c>
    </row>
    <row r="1344">
      <c r="A1344" s="9" t="n">
        <v>1340</v>
      </c>
      <c r="B1344" s="9" t="inlineStr">
        <is>
          <t>Sangareddi</t>
        </is>
      </c>
      <c r="C1344" s="9" t="inlineStr">
        <is>
          <t>Sangareddi</t>
        </is>
      </c>
      <c r="D1344" s="9" t="inlineStr">
        <is>
          <t>Telangana</t>
        </is>
      </c>
      <c r="E1344" s="9" t="inlineStr">
        <is>
          <t>India</t>
        </is>
      </c>
      <c r="F1344" s="9" t="n">
        <v>1</v>
      </c>
      <c r="G1344" s="9" t="n">
        <v>1</v>
      </c>
      <c r="H1344" s="9" t="n">
        <v>1</v>
      </c>
      <c r="I1344" s="10" t="n">
        <v>42708</v>
      </c>
      <c r="J1344" s="10" t="n">
        <v>42708</v>
      </c>
      <c r="K1344" s="9" t="n">
        <v>17.5782</v>
      </c>
      <c r="L1344" s="9" t="n">
        <v>78.10715</v>
      </c>
      <c r="M1344" s="9" t="inlineStr">
        <is>
          <t>https://www.google.com/maps/place/?q=place_id:ChIJt91O7gj6yzsRE6bjcLbNByA</t>
        </is>
      </c>
    </row>
    <row r="1345">
      <c r="A1345" s="9" t="n">
        <v>1341</v>
      </c>
      <c r="B1345" s="9" t="inlineStr">
        <is>
          <t>Sangareddi</t>
        </is>
      </c>
      <c r="C1345" s="9" t="inlineStr">
        <is>
          <t>Sangareddi</t>
        </is>
      </c>
      <c r="D1345" s="9" t="inlineStr">
        <is>
          <t>Telangana</t>
        </is>
      </c>
      <c r="E1345" s="9" t="inlineStr">
        <is>
          <t>India</t>
        </is>
      </c>
      <c r="F1345" s="9" t="n">
        <v>1</v>
      </c>
      <c r="G1345" s="9" t="n">
        <v>1</v>
      </c>
      <c r="H1345" s="9" t="n">
        <v>1</v>
      </c>
      <c r="I1345" s="10" t="n">
        <v>42743</v>
      </c>
      <c r="J1345" s="10" t="n">
        <v>42743</v>
      </c>
      <c r="K1345" s="9" t="n">
        <v>17.62637</v>
      </c>
      <c r="L1345" s="9" t="n">
        <v>78.08663</v>
      </c>
      <c r="M1345" s="9" t="inlineStr">
        <is>
          <t>https://www.google.com/maps/place/?q=place_id:ChIJ3dQx7bf5yzsRGstX6vkm1vM</t>
        </is>
      </c>
    </row>
    <row r="1346">
      <c r="A1346" s="9" t="n">
        <v>1342</v>
      </c>
      <c r="B1346" s="9" t="inlineStr">
        <is>
          <t>Sangareddi</t>
        </is>
      </c>
      <c r="C1346" s="9" t="inlineStr">
        <is>
          <t>Sangareddi</t>
        </is>
      </c>
      <c r="D1346" s="9" t="inlineStr">
        <is>
          <t>Telangana</t>
        </is>
      </c>
      <c r="E1346" s="9" t="inlineStr">
        <is>
          <t>India</t>
        </is>
      </c>
      <c r="F1346" s="9" t="n">
        <v>1</v>
      </c>
      <c r="G1346" s="9" t="n">
        <v>1</v>
      </c>
      <c r="H1346" s="9" t="n">
        <v>1</v>
      </c>
      <c r="I1346" s="10" t="n">
        <v>42743</v>
      </c>
      <c r="J1346" s="10" t="n">
        <v>42743</v>
      </c>
      <c r="K1346" s="9" t="n">
        <v>17.6258</v>
      </c>
      <c r="L1346" s="9" t="n">
        <v>78.09639</v>
      </c>
      <c r="M1346" s="9" t="inlineStr">
        <is>
          <t>https://www.google.com/maps/place/?q=place_id:ChIJRfJ1gcX5yzsRfLWTRr0b7pc</t>
        </is>
      </c>
    </row>
    <row r="1347">
      <c r="A1347" s="9" t="n">
        <v>1343</v>
      </c>
      <c r="B1347" s="9" t="inlineStr">
        <is>
          <t>Sangareddi</t>
        </is>
      </c>
      <c r="C1347" s="9" t="inlineStr">
        <is>
          <t>Sangareddi</t>
        </is>
      </c>
      <c r="D1347" s="9" t="inlineStr">
        <is>
          <t>Telangana</t>
        </is>
      </c>
      <c r="E1347" s="9" t="inlineStr">
        <is>
          <t>India</t>
        </is>
      </c>
      <c r="F1347" s="9" t="n">
        <v>1</v>
      </c>
      <c r="G1347" s="9" t="n">
        <v>1</v>
      </c>
      <c r="H1347" s="9" t="n">
        <v>1</v>
      </c>
      <c r="I1347" s="10" t="n">
        <v>43020</v>
      </c>
      <c r="J1347" s="10" t="n">
        <v>43020</v>
      </c>
      <c r="K1347" s="9" t="n">
        <v>17.56225</v>
      </c>
      <c r="L1347" s="9" t="n">
        <v>78.15994999999999</v>
      </c>
      <c r="M1347" s="9" t="inlineStr">
        <is>
          <t>https://www.google.com/maps/place/?q=place_id:ChIJlwlN5RzxyzsRkesvFrT-O-Y</t>
        </is>
      </c>
    </row>
    <row r="1348">
      <c r="A1348" s="9" t="n">
        <v>1344</v>
      </c>
      <c r="B1348" s="9" t="inlineStr">
        <is>
          <t>Sangareddi</t>
        </is>
      </c>
      <c r="C1348" s="9" t="inlineStr">
        <is>
          <t>Sangareddi</t>
        </is>
      </c>
      <c r="D1348" s="9" t="inlineStr">
        <is>
          <t>Telangana</t>
        </is>
      </c>
      <c r="E1348" s="9" t="inlineStr">
        <is>
          <t>India</t>
        </is>
      </c>
      <c r="F1348" s="9" t="n">
        <v>1</v>
      </c>
      <c r="G1348" s="9" t="n">
        <v>1</v>
      </c>
      <c r="H1348" s="9" t="n">
        <v>1</v>
      </c>
      <c r="I1348" s="10" t="n">
        <v>43098</v>
      </c>
      <c r="J1348" s="10" t="n">
        <v>43098</v>
      </c>
      <c r="K1348" s="9" t="n">
        <v>17.60518</v>
      </c>
      <c r="L1348" s="9" t="n">
        <v>78.08463</v>
      </c>
      <c r="M1348" s="9" t="inlineStr">
        <is>
          <t>https://www.google.com/maps/place/?q=place_id:ChIJtY74rJP5yzsRppBPiH6-AIc</t>
        </is>
      </c>
    </row>
    <row r="1349">
      <c r="A1349" s="9" t="n">
        <v>1345</v>
      </c>
      <c r="B1349" s="9" t="inlineStr">
        <is>
          <t>Sangareddi</t>
        </is>
      </c>
      <c r="C1349" s="9" t="inlineStr">
        <is>
          <t>Sangareddi</t>
        </is>
      </c>
      <c r="D1349" s="9" t="inlineStr">
        <is>
          <t>Telangana</t>
        </is>
      </c>
      <c r="E1349" s="9" t="inlineStr">
        <is>
          <t>India</t>
        </is>
      </c>
      <c r="F1349" s="9" t="n">
        <v>1</v>
      </c>
      <c r="G1349" s="9" t="n">
        <v>1</v>
      </c>
      <c r="H1349" s="9" t="n">
        <v>1</v>
      </c>
      <c r="I1349" s="10" t="n">
        <v>43498</v>
      </c>
      <c r="J1349" s="10" t="n">
        <v>43498</v>
      </c>
      <c r="K1349" s="9" t="n">
        <v>17.5815</v>
      </c>
      <c r="L1349" s="9" t="n">
        <v>78.1079</v>
      </c>
      <c r="M1349" s="9" t="inlineStr">
        <is>
          <t>https://www.google.com/maps/place/?q=place_id:ChIJ4YEyvQf6yzsR3Eqggv6AdlM</t>
        </is>
      </c>
    </row>
    <row r="1350">
      <c r="A1350" s="9" t="n">
        <v>1346</v>
      </c>
      <c r="B1350" s="9" t="inlineStr">
        <is>
          <t>Sangareddi</t>
        </is>
      </c>
      <c r="C1350" s="9" t="inlineStr">
        <is>
          <t>Sangareddi</t>
        </is>
      </c>
      <c r="D1350" s="9" t="inlineStr">
        <is>
          <t>Telangana</t>
        </is>
      </c>
      <c r="E1350" s="9" t="inlineStr">
        <is>
          <t>India</t>
        </is>
      </c>
      <c r="F1350" s="9" t="n">
        <v>1</v>
      </c>
      <c r="G1350" s="9" t="n">
        <v>1</v>
      </c>
      <c r="H1350" s="9" t="n">
        <v>1</v>
      </c>
      <c r="I1350" s="10" t="n">
        <v>43548</v>
      </c>
      <c r="J1350" s="10" t="n">
        <v>43548</v>
      </c>
      <c r="K1350" s="9" t="n">
        <v>17.58149</v>
      </c>
      <c r="L1350" s="9" t="n">
        <v>78.10959</v>
      </c>
      <c r="M1350" s="9" t="inlineStr">
        <is>
          <t>https://www.google.com/maps/place/?q=place_id:ChIJdafL6wf6yzsRf_riMAdRIhk</t>
        </is>
      </c>
    </row>
    <row r="1351">
      <c r="A1351" s="9" t="n">
        <v>1347</v>
      </c>
      <c r="B1351" s="9" t="inlineStr">
        <is>
          <t>Sangareddi</t>
        </is>
      </c>
      <c r="C1351" s="9" t="inlineStr">
        <is>
          <t>Sangareddi</t>
        </is>
      </c>
      <c r="D1351" s="9" t="inlineStr">
        <is>
          <t>Telangana</t>
        </is>
      </c>
      <c r="E1351" s="9" t="inlineStr">
        <is>
          <t>India</t>
        </is>
      </c>
      <c r="F1351" s="9" t="n">
        <v>1</v>
      </c>
      <c r="G1351" s="9" t="n">
        <v>1</v>
      </c>
      <c r="H1351" s="9" t="n">
        <v>1</v>
      </c>
      <c r="I1351" s="10" t="n">
        <v>43671</v>
      </c>
      <c r="J1351" s="10" t="n">
        <v>43671</v>
      </c>
      <c r="K1351" s="9" t="n">
        <v>17.58295</v>
      </c>
      <c r="L1351" s="9" t="n">
        <v>78.10736</v>
      </c>
      <c r="M1351" s="9" t="inlineStr">
        <is>
          <t>https://www.google.com/maps/place/?q=place_id:ChIJvyJBUAb6yzsRwbVssWytdfw</t>
        </is>
      </c>
    </row>
    <row r="1352">
      <c r="A1352" s="9" t="n">
        <v>1348</v>
      </c>
      <c r="B1352" s="9" t="inlineStr">
        <is>
          <t>Sangareddi</t>
        </is>
      </c>
      <c r="C1352" s="9" t="inlineStr">
        <is>
          <t>Sangareddi</t>
        </is>
      </c>
      <c r="D1352" s="9" t="inlineStr">
        <is>
          <t>Telangana</t>
        </is>
      </c>
      <c r="E1352" s="9" t="inlineStr">
        <is>
          <t>India</t>
        </is>
      </c>
      <c r="F1352" s="9" t="n">
        <v>1</v>
      </c>
      <c r="G1352" s="9" t="n">
        <v>1</v>
      </c>
      <c r="H1352" s="9" t="n">
        <v>1</v>
      </c>
      <c r="I1352" s="10" t="n">
        <v>44455</v>
      </c>
      <c r="J1352" s="10" t="n">
        <v>44455</v>
      </c>
      <c r="K1352" s="9" t="n">
        <v>17.626</v>
      </c>
      <c r="L1352" s="9" t="n">
        <v>78.10426</v>
      </c>
      <c r="M1352" s="9" t="inlineStr">
        <is>
          <t>https://www.google.com/maps/place/?q=place_id:ChIJUQKsD9r5yzsRD400bUng0QI</t>
        </is>
      </c>
    </row>
    <row r="1353">
      <c r="A1353" s="9" t="n">
        <v>1349</v>
      </c>
      <c r="B1353" s="9" t="inlineStr">
        <is>
          <t>Sangareddi</t>
        </is>
      </c>
      <c r="C1353" s="9" t="inlineStr">
        <is>
          <t>Sangareddi</t>
        </is>
      </c>
      <c r="D1353" s="9" t="inlineStr">
        <is>
          <t>Telangana</t>
        </is>
      </c>
      <c r="E1353" s="9" t="inlineStr">
        <is>
          <t>India</t>
        </is>
      </c>
      <c r="F1353" s="9" t="n">
        <v>1</v>
      </c>
      <c r="G1353" s="9" t="n">
        <v>1</v>
      </c>
      <c r="H1353" s="9" t="n">
        <v>1</v>
      </c>
      <c r="I1353" s="10" t="n">
        <v>44470</v>
      </c>
      <c r="J1353" s="10" t="n">
        <v>44470</v>
      </c>
      <c r="K1353" s="9" t="n">
        <v>17.62559</v>
      </c>
      <c r="L1353" s="9" t="n">
        <v>78.10915</v>
      </c>
      <c r="M1353" s="9" t="inlineStr">
        <is>
          <t>https://www.google.com/maps/place/?q=place_id:ChIJr30XP9j5yzsRPknvP73bdjk</t>
        </is>
      </c>
    </row>
    <row r="1354">
      <c r="A1354" s="9" t="n">
        <v>1350</v>
      </c>
      <c r="B1354" s="9" t="inlineStr">
        <is>
          <t>Secunderabad</t>
        </is>
      </c>
      <c r="C1354" s="9" t="inlineStr">
        <is>
          <t>Secunderabad</t>
        </is>
      </c>
      <c r="D1354" s="9" t="inlineStr">
        <is>
          <t>Telangana</t>
        </is>
      </c>
      <c r="E1354" s="9" t="inlineStr">
        <is>
          <t>India</t>
        </is>
      </c>
      <c r="F1354" s="9" t="n">
        <v>1</v>
      </c>
      <c r="G1354" s="9" t="n">
        <v>1</v>
      </c>
      <c r="H1354" s="9" t="n">
        <v>1</v>
      </c>
      <c r="I1354" s="10" t="n">
        <v>45561</v>
      </c>
      <c r="J1354" s="10" t="n">
        <v>45561</v>
      </c>
      <c r="K1354" s="9" t="n">
        <v>17.60283</v>
      </c>
      <c r="L1354" s="9" t="n">
        <v>78.62989</v>
      </c>
      <c r="M1354" s="9" t="inlineStr">
        <is>
          <t>https://www.google.com/maps/place/?q=place_id:ChIJq1RsKDmCyzsRIcq-MDxAb58</t>
        </is>
      </c>
    </row>
    <row r="1355">
      <c r="A1355" s="9" t="n">
        <v>1351</v>
      </c>
      <c r="B1355" s="9" t="inlineStr">
        <is>
          <t>Siddipet</t>
        </is>
      </c>
      <c r="C1355" s="9" t="inlineStr">
        <is>
          <t>Siddipet</t>
        </is>
      </c>
      <c r="D1355" s="9" t="inlineStr">
        <is>
          <t>Telangana</t>
        </is>
      </c>
      <c r="E1355" s="9" t="inlineStr">
        <is>
          <t>India</t>
        </is>
      </c>
      <c r="F1355" s="9" t="n">
        <v>1</v>
      </c>
      <c r="G1355" s="9" t="n">
        <v>2</v>
      </c>
      <c r="H1355" s="9" t="n">
        <v>1</v>
      </c>
      <c r="I1355" s="10" t="n">
        <v>42910</v>
      </c>
      <c r="J1355" s="10" t="n">
        <v>42911</v>
      </c>
      <c r="K1355" s="9" t="n">
        <v>18.10049</v>
      </c>
      <c r="L1355" s="9" t="n">
        <v>78.8573</v>
      </c>
      <c r="M1355" s="9" t="inlineStr">
        <is>
          <t>https://www.google.com/maps/place/?q=place_id:ChIJJz5J97SSzDsR-q_m_twI7AQ</t>
        </is>
      </c>
    </row>
    <row r="1356">
      <c r="A1356" s="9" t="n">
        <v>1352</v>
      </c>
      <c r="B1356" s="9" t="inlineStr">
        <is>
          <t>Singapur</t>
        </is>
      </c>
      <c r="C1356" s="9" t="inlineStr">
        <is>
          <t>Singapur</t>
        </is>
      </c>
      <c r="D1356" s="9" t="inlineStr">
        <is>
          <t>Telangana</t>
        </is>
      </c>
      <c r="E1356" s="9" t="inlineStr">
        <is>
          <t>India</t>
        </is>
      </c>
      <c r="F1356" s="9" t="n">
        <v>41</v>
      </c>
      <c r="G1356" s="9" t="n">
        <v>49</v>
      </c>
      <c r="H1356" s="9" t="n">
        <v>23</v>
      </c>
      <c r="I1356" s="10" t="n">
        <v>42700</v>
      </c>
      <c r="J1356" s="10" t="n">
        <v>43162</v>
      </c>
      <c r="K1356" s="9" t="n">
        <v>17.50886</v>
      </c>
      <c r="L1356" s="9" t="n">
        <v>78.14249</v>
      </c>
      <c r="M1356" s="9" t="inlineStr">
        <is>
          <t>https://www.google.com/maps/place/?q=place_id:ChIJy9nxrSXwyzsRb02LRZH61Zg</t>
        </is>
      </c>
    </row>
    <row r="1357">
      <c r="A1357" s="9" t="n">
        <v>1353</v>
      </c>
      <c r="B1357" s="9" t="inlineStr">
        <is>
          <t>Singapur</t>
        </is>
      </c>
      <c r="C1357" s="9" t="inlineStr">
        <is>
          <t>Singapur</t>
        </is>
      </c>
      <c r="D1357" s="9" t="inlineStr">
        <is>
          <t>Telangana</t>
        </is>
      </c>
      <c r="E1357" s="9" t="inlineStr">
        <is>
          <t>India</t>
        </is>
      </c>
      <c r="F1357" s="9" t="n">
        <v>16</v>
      </c>
      <c r="G1357" s="9" t="n">
        <v>13</v>
      </c>
      <c r="H1357" s="9" t="n">
        <v>9</v>
      </c>
      <c r="I1357" s="10" t="n">
        <v>42672</v>
      </c>
      <c r="J1357" s="10" t="n">
        <v>43036</v>
      </c>
      <c r="K1357" s="9" t="n">
        <v>17.50013</v>
      </c>
      <c r="L1357" s="9" t="n">
        <v>78.14521999999999</v>
      </c>
      <c r="M1357" s="9" t="inlineStr">
        <is>
          <t>https://www.google.com/maps/place/?q=place_id:ChIJ3XrY-dfvyzsRK3T33uA5SZs</t>
        </is>
      </c>
    </row>
    <row r="1358">
      <c r="A1358" s="9" t="n">
        <v>1354</v>
      </c>
      <c r="B1358" s="9" t="inlineStr">
        <is>
          <t>Singapur</t>
        </is>
      </c>
      <c r="C1358" s="9" t="inlineStr">
        <is>
          <t>Singapur</t>
        </is>
      </c>
      <c r="D1358" s="9" t="inlineStr">
        <is>
          <t>Telangana</t>
        </is>
      </c>
      <c r="E1358" s="9" t="inlineStr">
        <is>
          <t>India</t>
        </is>
      </c>
      <c r="F1358" s="9" t="n">
        <v>14</v>
      </c>
      <c r="G1358" s="9" t="n">
        <v>17</v>
      </c>
      <c r="H1358" s="9" t="n">
        <v>12</v>
      </c>
      <c r="I1358" s="10" t="n">
        <v>42596</v>
      </c>
      <c r="J1358" s="10" t="n">
        <v>42974</v>
      </c>
      <c r="K1358" s="9" t="n">
        <v>17.50886</v>
      </c>
      <c r="L1358" s="9" t="n">
        <v>78.14254</v>
      </c>
      <c r="M1358" s="9" t="inlineStr">
        <is>
          <t>https://www.google.com/maps/place/?q=place_id:ChIJh0j9rSXwyzsRAAAAAAAAAAA</t>
        </is>
      </c>
    </row>
    <row r="1359">
      <c r="A1359" s="9" t="n">
        <v>1355</v>
      </c>
      <c r="B1359" s="9" t="inlineStr">
        <is>
          <t>Singapur</t>
        </is>
      </c>
      <c r="C1359" s="9" t="inlineStr">
        <is>
          <t>Singapur</t>
        </is>
      </c>
      <c r="D1359" s="9" t="inlineStr">
        <is>
          <t>Telangana</t>
        </is>
      </c>
      <c r="E1359" s="9" t="inlineStr">
        <is>
          <t>India</t>
        </is>
      </c>
      <c r="F1359" s="9" t="n">
        <v>8</v>
      </c>
      <c r="G1359" s="9" t="n">
        <v>8</v>
      </c>
      <c r="H1359" s="9" t="n">
        <v>6</v>
      </c>
      <c r="I1359" s="10" t="n">
        <v>43120</v>
      </c>
      <c r="J1359" s="10" t="n">
        <v>43162</v>
      </c>
      <c r="K1359" s="9" t="n">
        <v>17.51544</v>
      </c>
      <c r="L1359" s="9" t="n">
        <v>78.13705</v>
      </c>
      <c r="M1359" s="9" t="inlineStr">
        <is>
          <t>https://www.google.com/maps/place/?q=place_id:ChIJk5jQUDzwyzsRdF81brefmFg</t>
        </is>
      </c>
    </row>
    <row r="1360">
      <c r="A1360" s="9" t="n">
        <v>1356</v>
      </c>
      <c r="B1360" s="9" t="inlineStr">
        <is>
          <t>Singapur</t>
        </is>
      </c>
      <c r="C1360" s="9" t="inlineStr">
        <is>
          <t>Singapur</t>
        </is>
      </c>
      <c r="D1360" s="9" t="inlineStr">
        <is>
          <t>Telangana</t>
        </is>
      </c>
      <c r="E1360" s="9" t="inlineStr">
        <is>
          <t>India</t>
        </is>
      </c>
      <c r="F1360" s="9" t="n">
        <v>6</v>
      </c>
      <c r="G1360" s="9" t="n">
        <v>6</v>
      </c>
      <c r="H1360" s="9" t="n">
        <v>5</v>
      </c>
      <c r="I1360" s="10" t="n">
        <v>42056</v>
      </c>
      <c r="J1360" s="10" t="n">
        <v>42190</v>
      </c>
      <c r="K1360" s="9" t="n">
        <v>17.50885</v>
      </c>
      <c r="L1360" s="9" t="n">
        <v>78.14211</v>
      </c>
      <c r="M1360" s="9" t="inlineStr">
        <is>
          <t>https://www.google.com/maps/place/?q=place_id:ChIJJ3i9UiTwyzsRJkQS4UmPReg</t>
        </is>
      </c>
    </row>
    <row r="1361">
      <c r="A1361" s="9" t="n">
        <v>1357</v>
      </c>
      <c r="B1361" s="9" t="inlineStr">
        <is>
          <t>Singapur</t>
        </is>
      </c>
      <c r="C1361" s="9" t="inlineStr">
        <is>
          <t>Singapur</t>
        </is>
      </c>
      <c r="D1361" s="9" t="inlineStr">
        <is>
          <t>Telangana</t>
        </is>
      </c>
      <c r="E1361" s="9" t="inlineStr">
        <is>
          <t>India</t>
        </is>
      </c>
      <c r="F1361" s="9" t="n">
        <v>6</v>
      </c>
      <c r="G1361" s="9" t="n">
        <v>5</v>
      </c>
      <c r="H1361" s="9" t="n">
        <v>4</v>
      </c>
      <c r="I1361" s="10" t="n">
        <v>42777</v>
      </c>
      <c r="J1361" s="10" t="n">
        <v>43037</v>
      </c>
      <c r="K1361" s="9" t="n">
        <v>17.49896</v>
      </c>
      <c r="L1361" s="9" t="n">
        <v>78.14279000000001</v>
      </c>
      <c r="M1361" s="9" t="inlineStr">
        <is>
          <t>https://www.google.com/maps/place/?q=place_id:ChIJN5VtW9jvyzsRGEegDpRvrmU</t>
        </is>
      </c>
    </row>
    <row r="1362">
      <c r="A1362" s="9" t="n">
        <v>1358</v>
      </c>
      <c r="B1362" s="9" t="inlineStr">
        <is>
          <t>Singapur</t>
        </is>
      </c>
      <c r="C1362" s="9" t="inlineStr">
        <is>
          <t>Singapur</t>
        </is>
      </c>
      <c r="D1362" s="9" t="inlineStr">
        <is>
          <t>Telangana</t>
        </is>
      </c>
      <c r="E1362" s="9" t="inlineStr">
        <is>
          <t>India</t>
        </is>
      </c>
      <c r="F1362" s="9" t="n">
        <v>5</v>
      </c>
      <c r="G1362" s="9" t="n">
        <v>5</v>
      </c>
      <c r="H1362" s="9" t="n">
        <v>4</v>
      </c>
      <c r="I1362" s="10" t="n">
        <v>42825</v>
      </c>
      <c r="J1362" s="10" t="n">
        <v>42889</v>
      </c>
      <c r="K1362" s="9" t="n">
        <v>17.56208</v>
      </c>
      <c r="L1362" s="9" t="n">
        <v>78.16679000000001</v>
      </c>
      <c r="M1362" s="9" t="inlineStr">
        <is>
          <t>https://www.google.com/maps/place/?q=place_id:ChIJ76g0hRrxyzsRmX4Tgf1QvEw</t>
        </is>
      </c>
    </row>
    <row r="1363">
      <c r="A1363" s="9" t="n">
        <v>1359</v>
      </c>
      <c r="B1363" s="9" t="inlineStr">
        <is>
          <t>Singapur</t>
        </is>
      </c>
      <c r="C1363" s="9" t="inlineStr">
        <is>
          <t>Singapur</t>
        </is>
      </c>
      <c r="D1363" s="9" t="inlineStr">
        <is>
          <t>Telangana</t>
        </is>
      </c>
      <c r="E1363" s="9" t="inlineStr">
        <is>
          <t>India</t>
        </is>
      </c>
      <c r="F1363" s="9" t="n">
        <v>4</v>
      </c>
      <c r="G1363" s="9" t="n">
        <v>4</v>
      </c>
      <c r="H1363" s="9" t="n">
        <v>3</v>
      </c>
      <c r="I1363" s="10" t="n">
        <v>42540</v>
      </c>
      <c r="J1363" s="10" t="n">
        <v>42680</v>
      </c>
      <c r="K1363" s="9" t="n">
        <v>17.50892</v>
      </c>
      <c r="L1363" s="9" t="n">
        <v>78.14062</v>
      </c>
      <c r="M1363" s="9" t="inlineStr">
        <is>
          <t>https://www.google.com/maps/place/?q=place_id:ChIJffgEZyTwyzsR1m___Zhayn4</t>
        </is>
      </c>
    </row>
    <row r="1364">
      <c r="A1364" s="9" t="n">
        <v>1360</v>
      </c>
      <c r="B1364" s="9" t="inlineStr">
        <is>
          <t>Singapur</t>
        </is>
      </c>
      <c r="C1364" s="9" t="inlineStr">
        <is>
          <t>Singapur</t>
        </is>
      </c>
      <c r="D1364" s="9" t="inlineStr">
        <is>
          <t>Telangana</t>
        </is>
      </c>
      <c r="E1364" s="9" t="inlineStr">
        <is>
          <t>India</t>
        </is>
      </c>
      <c r="F1364" s="9" t="n">
        <v>4</v>
      </c>
      <c r="G1364" s="9" t="n">
        <v>5</v>
      </c>
      <c r="H1364" s="9" t="n">
        <v>3</v>
      </c>
      <c r="I1364" s="10" t="n">
        <v>42883</v>
      </c>
      <c r="J1364" s="10" t="n">
        <v>43050</v>
      </c>
      <c r="K1364" s="9" t="n">
        <v>17.49418</v>
      </c>
      <c r="L1364" s="9" t="n">
        <v>78.14199000000001</v>
      </c>
      <c r="M1364" s="9" t="inlineStr">
        <is>
          <t>https://www.google.com/maps/place/?q=place_id:ChIJC0hRidjvyzsR5nR_mSUoQVQ</t>
        </is>
      </c>
    </row>
    <row r="1365">
      <c r="A1365" s="9" t="n">
        <v>1361</v>
      </c>
      <c r="B1365" s="9" t="inlineStr">
        <is>
          <t>Singapur</t>
        </is>
      </c>
      <c r="C1365" s="9" t="inlineStr">
        <is>
          <t>Singapur</t>
        </is>
      </c>
      <c r="D1365" s="9" t="inlineStr">
        <is>
          <t>Telangana</t>
        </is>
      </c>
      <c r="E1365" s="9" t="inlineStr">
        <is>
          <t>India</t>
        </is>
      </c>
      <c r="F1365" s="9" t="n">
        <v>3</v>
      </c>
      <c r="G1365" s="9" t="n">
        <v>3</v>
      </c>
      <c r="H1365" s="9" t="n">
        <v>2</v>
      </c>
      <c r="I1365" s="10" t="n">
        <v>42789</v>
      </c>
      <c r="J1365" s="10" t="n">
        <v>43113</v>
      </c>
      <c r="K1365" s="9" t="n">
        <v>17.55368</v>
      </c>
      <c r="L1365" s="9" t="n">
        <v>78.16425</v>
      </c>
      <c r="M1365" s="9" t="inlineStr">
        <is>
          <t>https://www.google.com/maps/place/?q=place_id:ChIJkwkjkAbxyzsREDmMqoGnhyU</t>
        </is>
      </c>
    </row>
    <row r="1366">
      <c r="A1366" s="9" t="n">
        <v>1362</v>
      </c>
      <c r="B1366" s="9" t="inlineStr">
        <is>
          <t>Singapur</t>
        </is>
      </c>
      <c r="C1366" s="9" t="inlineStr">
        <is>
          <t>Singapur</t>
        </is>
      </c>
      <c r="D1366" s="9" t="inlineStr">
        <is>
          <t>Telangana</t>
        </is>
      </c>
      <c r="E1366" s="9" t="inlineStr">
        <is>
          <t>India</t>
        </is>
      </c>
      <c r="F1366" s="9" t="n">
        <v>2</v>
      </c>
      <c r="G1366" s="9" t="n">
        <v>3</v>
      </c>
      <c r="H1366" s="9" t="n">
        <v>2</v>
      </c>
      <c r="I1366" s="10" t="n">
        <v>42231</v>
      </c>
      <c r="J1366" s="10" t="n">
        <v>42840</v>
      </c>
      <c r="K1366" s="9" t="n">
        <v>17.5103</v>
      </c>
      <c r="L1366" s="9" t="n">
        <v>78.14099</v>
      </c>
      <c r="M1366" s="9" t="inlineStr">
        <is>
          <t>https://www.google.com/maps/place/?q=place_id:ChIJbSu77STwyzsRAXOdlfpTqrs</t>
        </is>
      </c>
    </row>
    <row r="1367">
      <c r="A1367" s="9" t="n">
        <v>1363</v>
      </c>
      <c r="B1367" s="9" t="inlineStr">
        <is>
          <t>Singapur</t>
        </is>
      </c>
      <c r="C1367" s="9" t="inlineStr">
        <is>
          <t>Singapur</t>
        </is>
      </c>
      <c r="D1367" s="9" t="inlineStr">
        <is>
          <t>Telangana</t>
        </is>
      </c>
      <c r="E1367" s="9" t="inlineStr">
        <is>
          <t>India</t>
        </is>
      </c>
      <c r="F1367" s="9" t="n">
        <v>2</v>
      </c>
      <c r="G1367" s="9" t="n">
        <v>2</v>
      </c>
      <c r="H1367" s="9" t="n">
        <v>2</v>
      </c>
      <c r="I1367" s="10" t="n">
        <v>42672</v>
      </c>
      <c r="J1367" s="10" t="n">
        <v>42686</v>
      </c>
      <c r="K1367" s="9" t="n">
        <v>17.51082</v>
      </c>
      <c r="L1367" s="9" t="n">
        <v>78.14179</v>
      </c>
      <c r="M1367" s="9" t="inlineStr">
        <is>
          <t>https://www.google.com/maps/place/?q=place_id:ChIJUwww5yTwyzsRgdmtnrdiVts</t>
        </is>
      </c>
    </row>
    <row r="1368">
      <c r="A1368" s="9" t="n">
        <v>1364</v>
      </c>
      <c r="B1368" s="9" t="inlineStr">
        <is>
          <t>Singapur</t>
        </is>
      </c>
      <c r="C1368" s="9" t="inlineStr">
        <is>
          <t>Singapur</t>
        </is>
      </c>
      <c r="D1368" s="9" t="inlineStr">
        <is>
          <t>Telangana</t>
        </is>
      </c>
      <c r="E1368" s="9" t="inlineStr">
        <is>
          <t>India</t>
        </is>
      </c>
      <c r="F1368" s="9" t="n">
        <v>2</v>
      </c>
      <c r="G1368" s="9" t="n">
        <v>2</v>
      </c>
      <c r="H1368" s="9" t="n">
        <v>2</v>
      </c>
      <c r="I1368" s="10" t="n">
        <v>42876</v>
      </c>
      <c r="J1368" s="10" t="n">
        <v>43133</v>
      </c>
      <c r="K1368" s="9" t="n">
        <v>17.50773</v>
      </c>
      <c r="L1368" s="9" t="n">
        <v>78.1486</v>
      </c>
      <c r="M1368" s="9" t="inlineStr">
        <is>
          <t>https://www.google.com/maps/place/?q=place_id:ChIJQekRJi_wyzsRXUI6MSZXnQE</t>
        </is>
      </c>
    </row>
    <row r="1369">
      <c r="A1369" s="9" t="n">
        <v>1365</v>
      </c>
      <c r="B1369" s="9" t="inlineStr">
        <is>
          <t>Singapur</t>
        </is>
      </c>
      <c r="C1369" s="9" t="inlineStr">
        <is>
          <t>Singapur</t>
        </is>
      </c>
      <c r="D1369" s="9" t="inlineStr">
        <is>
          <t>Telangana</t>
        </is>
      </c>
      <c r="E1369" s="9" t="inlineStr">
        <is>
          <t>India</t>
        </is>
      </c>
      <c r="F1369" s="9" t="n">
        <v>2</v>
      </c>
      <c r="G1369" s="9" t="n">
        <v>2</v>
      </c>
      <c r="H1369" s="9" t="n">
        <v>2</v>
      </c>
      <c r="I1369" s="10" t="n">
        <v>43128</v>
      </c>
      <c r="J1369" s="10" t="n">
        <v>43134</v>
      </c>
      <c r="K1369" s="9" t="n">
        <v>17.50886</v>
      </c>
      <c r="L1369" s="9" t="n">
        <v>78.14221999999999</v>
      </c>
      <c r="M1369" s="9" t="inlineStr">
        <is>
          <t>https://www.google.com/maps/place/?q=place_id:ChIJA9pOrSXwyzsRgHBKYGJgz4U</t>
        </is>
      </c>
    </row>
    <row r="1370">
      <c r="A1370" s="9" t="n">
        <v>1366</v>
      </c>
      <c r="B1370" s="9" t="inlineStr">
        <is>
          <t>Singapur</t>
        </is>
      </c>
      <c r="C1370" s="9" t="inlineStr">
        <is>
          <t>Singapur</t>
        </is>
      </c>
      <c r="D1370" s="9" t="inlineStr">
        <is>
          <t>Telangana</t>
        </is>
      </c>
      <c r="E1370" s="9" t="inlineStr">
        <is>
          <t>India</t>
        </is>
      </c>
      <c r="F1370" s="9" t="n">
        <v>1</v>
      </c>
      <c r="G1370" s="9" t="n">
        <v>1</v>
      </c>
      <c r="H1370" s="9" t="n">
        <v>1</v>
      </c>
      <c r="I1370" s="10" t="n">
        <v>42078</v>
      </c>
      <c r="J1370" s="10" t="n">
        <v>42078</v>
      </c>
      <c r="K1370" s="9" t="n">
        <v>17.52682</v>
      </c>
      <c r="L1370" s="9" t="n">
        <v>78.18154</v>
      </c>
      <c r="M1370" s="9" t="inlineStr">
        <is>
          <t>https://www.google.com/maps/place/?q=place_id:ChIJzxZ_LpXxyzsRn94CZMWQ-PU</t>
        </is>
      </c>
    </row>
    <row r="1371">
      <c r="A1371" s="9" t="n">
        <v>1367</v>
      </c>
      <c r="B1371" s="9" t="inlineStr">
        <is>
          <t>Singapur</t>
        </is>
      </c>
      <c r="C1371" s="9" t="inlineStr">
        <is>
          <t>Singapur</t>
        </is>
      </c>
      <c r="D1371" s="9" t="inlineStr">
        <is>
          <t>Telangana</t>
        </is>
      </c>
      <c r="E1371" s="9" t="inlineStr">
        <is>
          <t>India</t>
        </is>
      </c>
      <c r="F1371" s="9" t="n">
        <v>1</v>
      </c>
      <c r="G1371" s="9" t="n">
        <v>2</v>
      </c>
      <c r="H1371" s="9" t="n">
        <v>1</v>
      </c>
      <c r="I1371" s="10" t="n">
        <v>42230</v>
      </c>
      <c r="J1371" s="10" t="n">
        <v>42231</v>
      </c>
      <c r="K1371" s="9" t="n">
        <v>17.50761</v>
      </c>
      <c r="L1371" s="9" t="n">
        <v>78.14427999999999</v>
      </c>
      <c r="M1371" s="9" t="inlineStr">
        <is>
          <t>https://www.google.com/maps/place/?q=place_id:ChIJSeLP7yXwyzsRNJa_SWaVctw</t>
        </is>
      </c>
    </row>
    <row r="1372">
      <c r="A1372" s="9" t="n">
        <v>1368</v>
      </c>
      <c r="B1372" s="9" t="inlineStr">
        <is>
          <t>Singapur</t>
        </is>
      </c>
      <c r="C1372" s="9" t="inlineStr">
        <is>
          <t>Singapur</t>
        </is>
      </c>
      <c r="D1372" s="9" t="inlineStr">
        <is>
          <t>Telangana</t>
        </is>
      </c>
      <c r="E1372" s="9" t="inlineStr">
        <is>
          <t>India</t>
        </is>
      </c>
      <c r="F1372" s="9" t="n">
        <v>1</v>
      </c>
      <c r="G1372" s="9" t="n">
        <v>1</v>
      </c>
      <c r="H1372" s="9" t="n">
        <v>1</v>
      </c>
      <c r="I1372" s="10" t="n">
        <v>42272</v>
      </c>
      <c r="J1372" s="10" t="n">
        <v>42272</v>
      </c>
      <c r="K1372" s="9" t="n">
        <v>17.49469</v>
      </c>
      <c r="L1372" s="9" t="n">
        <v>78.1459</v>
      </c>
      <c r="M1372" s="9" t="inlineStr">
        <is>
          <t>https://www.google.com/maps/place/?q=place_id:ChIJ1xOvsdDvyzsRhlFsFxcdPOc</t>
        </is>
      </c>
    </row>
    <row r="1373">
      <c r="A1373" s="9" t="n">
        <v>1369</v>
      </c>
      <c r="B1373" s="9" t="inlineStr">
        <is>
          <t>Singapur</t>
        </is>
      </c>
      <c r="C1373" s="9" t="inlineStr">
        <is>
          <t>Singapur</t>
        </is>
      </c>
      <c r="D1373" s="9" t="inlineStr">
        <is>
          <t>Telangana</t>
        </is>
      </c>
      <c r="E1373" s="9" t="inlineStr">
        <is>
          <t>India</t>
        </is>
      </c>
      <c r="F1373" s="9" t="n">
        <v>1</v>
      </c>
      <c r="G1373" s="9" t="n">
        <v>2</v>
      </c>
      <c r="H1373" s="9" t="n">
        <v>1</v>
      </c>
      <c r="I1373" s="10" t="n">
        <v>42286</v>
      </c>
      <c r="J1373" s="10" t="n">
        <v>42287</v>
      </c>
      <c r="K1373" s="9" t="n">
        <v>17.50891</v>
      </c>
      <c r="L1373" s="9" t="n">
        <v>78.14351000000001</v>
      </c>
      <c r="M1373" s="9" t="inlineStr">
        <is>
          <t>https://www.google.com/maps/place/?q=place_id:ChIJJcLIoiXwyzsRAskviHBzH2E</t>
        </is>
      </c>
    </row>
    <row r="1374">
      <c r="A1374" s="9" t="n">
        <v>1370</v>
      </c>
      <c r="B1374" s="9" t="inlineStr">
        <is>
          <t>Singapur</t>
        </is>
      </c>
      <c r="C1374" s="9" t="inlineStr">
        <is>
          <t>Singapur</t>
        </is>
      </c>
      <c r="D1374" s="9" t="inlineStr">
        <is>
          <t>Telangana</t>
        </is>
      </c>
      <c r="E1374" s="9" t="inlineStr">
        <is>
          <t>India</t>
        </is>
      </c>
      <c r="F1374" s="9" t="n">
        <v>1</v>
      </c>
      <c r="G1374" s="9" t="n">
        <v>1</v>
      </c>
      <c r="H1374" s="9" t="n">
        <v>1</v>
      </c>
      <c r="I1374" s="10" t="n">
        <v>42554</v>
      </c>
      <c r="J1374" s="10" t="n">
        <v>42554</v>
      </c>
      <c r="K1374" s="9" t="n">
        <v>17.5081</v>
      </c>
      <c r="L1374" s="9" t="n">
        <v>78.14142</v>
      </c>
      <c r="M1374" s="9" t="inlineStr">
        <is>
          <t>https://www.google.com/maps/place/?q=place_id:ChIJIZnpRyTwyzsRc2sTGMYrjEE</t>
        </is>
      </c>
    </row>
    <row r="1375">
      <c r="A1375" s="9" t="n">
        <v>1371</v>
      </c>
      <c r="B1375" s="9" t="inlineStr">
        <is>
          <t>Singapur</t>
        </is>
      </c>
      <c r="C1375" s="9" t="inlineStr">
        <is>
          <t>Singapur</t>
        </is>
      </c>
      <c r="D1375" s="9" t="inlineStr">
        <is>
          <t>Telangana</t>
        </is>
      </c>
      <c r="E1375" s="9" t="inlineStr">
        <is>
          <t>India</t>
        </is>
      </c>
      <c r="F1375" s="9" t="n">
        <v>1</v>
      </c>
      <c r="G1375" s="9" t="n">
        <v>1</v>
      </c>
      <c r="H1375" s="9" t="n">
        <v>1</v>
      </c>
      <c r="I1375" s="10" t="n">
        <v>42700</v>
      </c>
      <c r="J1375" s="10" t="n">
        <v>42700</v>
      </c>
      <c r="K1375" s="9" t="n">
        <v>17.50502</v>
      </c>
      <c r="L1375" s="9" t="n">
        <v>78.14446</v>
      </c>
      <c r="M1375" s="9" t="inlineStr">
        <is>
          <t>https://www.google.com/maps/place/?q=place_id:ChIJ-xxAIybwyzsR-JXNumt_HNs</t>
        </is>
      </c>
    </row>
    <row r="1376">
      <c r="A1376" s="9" t="n">
        <v>1372</v>
      </c>
      <c r="B1376" s="9" t="inlineStr">
        <is>
          <t>Singapur</t>
        </is>
      </c>
      <c r="C1376" s="9" t="inlineStr">
        <is>
          <t>Singapur</t>
        </is>
      </c>
      <c r="D1376" s="9" t="inlineStr">
        <is>
          <t>Telangana</t>
        </is>
      </c>
      <c r="E1376" s="9" t="inlineStr">
        <is>
          <t>India</t>
        </is>
      </c>
      <c r="F1376" s="9" t="n">
        <v>1</v>
      </c>
      <c r="G1376" s="9" t="n">
        <v>1</v>
      </c>
      <c r="H1376" s="9" t="n">
        <v>1</v>
      </c>
      <c r="I1376" s="10" t="n">
        <v>42741</v>
      </c>
      <c r="J1376" s="10" t="n">
        <v>42741</v>
      </c>
      <c r="K1376" s="9" t="n">
        <v>17.55013</v>
      </c>
      <c r="L1376" s="9" t="n">
        <v>78.16527000000001</v>
      </c>
      <c r="M1376" s="9" t="inlineStr">
        <is>
          <t>https://www.google.com/maps/place/?q=place_id:ChIJnd_SMxvxyzsR_1m_1Vgdt8w</t>
        </is>
      </c>
    </row>
    <row r="1377">
      <c r="A1377" s="9" t="n">
        <v>1373</v>
      </c>
      <c r="B1377" s="9" t="inlineStr">
        <is>
          <t>Singapur</t>
        </is>
      </c>
      <c r="C1377" s="9" t="inlineStr">
        <is>
          <t>Singapur</t>
        </is>
      </c>
      <c r="D1377" s="9" t="inlineStr">
        <is>
          <t>Telangana</t>
        </is>
      </c>
      <c r="E1377" s="9" t="inlineStr">
        <is>
          <t>India</t>
        </is>
      </c>
      <c r="F1377" s="9" t="n">
        <v>1</v>
      </c>
      <c r="G1377" s="9" t="n">
        <v>1</v>
      </c>
      <c r="H1377" s="9" t="n">
        <v>1</v>
      </c>
      <c r="I1377" s="10" t="n">
        <v>42830</v>
      </c>
      <c r="J1377" s="10" t="n">
        <v>42830</v>
      </c>
      <c r="K1377" s="9" t="n">
        <v>17.49027</v>
      </c>
      <c r="L1377" s="9" t="n">
        <v>78.13253</v>
      </c>
      <c r="M1377" s="9" t="inlineStr">
        <is>
          <t>https://www.google.com/maps/place/?q=place_id:ChIJAbm9j-fvyzsR2fvgrEen88c</t>
        </is>
      </c>
    </row>
    <row r="1378">
      <c r="A1378" s="9" t="n">
        <v>1374</v>
      </c>
      <c r="B1378" s="9" t="inlineStr">
        <is>
          <t>Singapur</t>
        </is>
      </c>
      <c r="C1378" s="9" t="inlineStr">
        <is>
          <t>Singapur</t>
        </is>
      </c>
      <c r="D1378" s="9" t="inlineStr">
        <is>
          <t>Telangana</t>
        </is>
      </c>
      <c r="E1378" s="9" t="inlineStr">
        <is>
          <t>India</t>
        </is>
      </c>
      <c r="F1378" s="9" t="n">
        <v>1</v>
      </c>
      <c r="G1378" s="9" t="n">
        <v>1</v>
      </c>
      <c r="H1378" s="9" t="n">
        <v>1</v>
      </c>
      <c r="I1378" s="10" t="n">
        <v>42830</v>
      </c>
      <c r="J1378" s="10" t="n">
        <v>42830</v>
      </c>
      <c r="K1378" s="9" t="n">
        <v>17.49121</v>
      </c>
      <c r="L1378" s="9" t="n">
        <v>78.13386</v>
      </c>
      <c r="M1378" s="9" t="inlineStr">
        <is>
          <t>https://www.google.com/maps/place/?q=place_id:ChIJmz-dft3vyzsR5kZnm5jUC14</t>
        </is>
      </c>
    </row>
    <row r="1379">
      <c r="A1379" s="9" t="n">
        <v>1375</v>
      </c>
      <c r="B1379" s="9" t="inlineStr">
        <is>
          <t>Singapur</t>
        </is>
      </c>
      <c r="C1379" s="9" t="inlineStr">
        <is>
          <t>Singapur</t>
        </is>
      </c>
      <c r="D1379" s="9" t="inlineStr">
        <is>
          <t>Telangana</t>
        </is>
      </c>
      <c r="E1379" s="9" t="inlineStr">
        <is>
          <t>India</t>
        </is>
      </c>
      <c r="F1379" s="9" t="n">
        <v>1</v>
      </c>
      <c r="G1379" s="9" t="n">
        <v>1</v>
      </c>
      <c r="H1379" s="9" t="n">
        <v>1</v>
      </c>
      <c r="I1379" s="10" t="n">
        <v>42869</v>
      </c>
      <c r="J1379" s="10" t="n">
        <v>42869</v>
      </c>
      <c r="K1379" s="9" t="n">
        <v>17.49872</v>
      </c>
      <c r="L1379" s="9" t="n">
        <v>78.14485000000001</v>
      </c>
      <c r="M1379" s="9" t="inlineStr">
        <is>
          <t>https://www.google.com/maps/place/?q=place_id:ChIJk4uIKNjvyzsRxYJ2RC1B_3s</t>
        </is>
      </c>
    </row>
    <row r="1380">
      <c r="A1380" s="9" t="n">
        <v>1376</v>
      </c>
      <c r="B1380" s="9" t="inlineStr">
        <is>
          <t>Singapur</t>
        </is>
      </c>
      <c r="C1380" s="9" t="inlineStr">
        <is>
          <t>Singapur</t>
        </is>
      </c>
      <c r="D1380" s="9" t="inlineStr">
        <is>
          <t>Telangana</t>
        </is>
      </c>
      <c r="E1380" s="9" t="inlineStr">
        <is>
          <t>India</t>
        </is>
      </c>
      <c r="F1380" s="9" t="n">
        <v>1</v>
      </c>
      <c r="G1380" s="9" t="n">
        <v>1</v>
      </c>
      <c r="H1380" s="9" t="n">
        <v>1</v>
      </c>
      <c r="I1380" s="10" t="n">
        <v>42995</v>
      </c>
      <c r="J1380" s="10" t="n">
        <v>42995</v>
      </c>
      <c r="K1380" s="9" t="n">
        <v>17.50277</v>
      </c>
      <c r="L1380" s="9" t="n">
        <v>78.1437</v>
      </c>
      <c r="M1380" s="9" t="inlineStr">
        <is>
          <t>https://www.google.com/maps/place/?q=place_id:ChIJw2SowCfwyzsReAzIFXcxWvo</t>
        </is>
      </c>
    </row>
    <row r="1381">
      <c r="A1381" s="9" t="n">
        <v>1377</v>
      </c>
      <c r="B1381" s="9" t="inlineStr">
        <is>
          <t>Singapur</t>
        </is>
      </c>
      <c r="C1381" s="9" t="inlineStr">
        <is>
          <t>Singapur</t>
        </is>
      </c>
      <c r="D1381" s="9" t="inlineStr">
        <is>
          <t>Telangana</t>
        </is>
      </c>
      <c r="E1381" s="9" t="inlineStr">
        <is>
          <t>India</t>
        </is>
      </c>
      <c r="F1381" s="9" t="n">
        <v>1</v>
      </c>
      <c r="G1381" s="9" t="n">
        <v>1</v>
      </c>
      <c r="H1381" s="9" t="n">
        <v>1</v>
      </c>
      <c r="I1381" s="10" t="n">
        <v>43030</v>
      </c>
      <c r="J1381" s="10" t="n">
        <v>43030</v>
      </c>
      <c r="K1381" s="9" t="n">
        <v>17.50507</v>
      </c>
      <c r="L1381" s="9" t="n">
        <v>78.14353</v>
      </c>
      <c r="M1381" s="9" t="inlineStr">
        <is>
          <t>https://www.google.com/maps/place/?q=place_id:ChIJC1lgQCbwyzsR5TGSwzicLAE</t>
        </is>
      </c>
    </row>
    <row r="1382">
      <c r="A1382" s="9" t="n">
        <v>1378</v>
      </c>
      <c r="B1382" s="9" t="inlineStr">
        <is>
          <t>Sriramnagar</t>
        </is>
      </c>
      <c r="C1382" s="9" t="inlineStr">
        <is>
          <t>Sriramnagar</t>
        </is>
      </c>
      <c r="D1382" s="9" t="inlineStr">
        <is>
          <t>Telangana</t>
        </is>
      </c>
      <c r="E1382" s="9" t="inlineStr">
        <is>
          <t>India</t>
        </is>
      </c>
      <c r="F1382" s="9" t="n">
        <v>2</v>
      </c>
      <c r="G1382" s="9" t="n">
        <v>2</v>
      </c>
      <c r="H1382" s="9" t="n">
        <v>2</v>
      </c>
      <c r="I1382" s="10" t="n">
        <v>43422</v>
      </c>
      <c r="J1382" s="10" t="n">
        <v>44291</v>
      </c>
      <c r="K1382" s="9" t="n">
        <v>17.31371</v>
      </c>
      <c r="L1382" s="9" t="n">
        <v>78.13908000000001</v>
      </c>
      <c r="M1382" s="9" t="inlineStr">
        <is>
          <t>https://www.google.com/maps/place/?q=place_id:ChIJXSAiBp7CyzsRthbwBRngqIY</t>
        </is>
      </c>
    </row>
    <row r="1383">
      <c r="A1383" s="9" t="n">
        <v>1379</v>
      </c>
      <c r="B1383" s="9" t="inlineStr">
        <is>
          <t>Suriapet</t>
        </is>
      </c>
      <c r="C1383" s="9" t="inlineStr">
        <is>
          <t>Suriapet</t>
        </is>
      </c>
      <c r="D1383" s="9" t="inlineStr">
        <is>
          <t>Telangana</t>
        </is>
      </c>
      <c r="E1383" s="9" t="inlineStr">
        <is>
          <t>India</t>
        </is>
      </c>
      <c r="F1383" s="9" t="n">
        <v>1</v>
      </c>
      <c r="G1383" s="9" t="n">
        <v>1</v>
      </c>
      <c r="H1383" s="9" t="n">
        <v>1</v>
      </c>
      <c r="I1383" s="10" t="n">
        <v>42448</v>
      </c>
      <c r="J1383" s="10" t="n">
        <v>42448</v>
      </c>
      <c r="K1383" s="9" t="n">
        <v>17.1528</v>
      </c>
      <c r="L1383" s="9" t="n">
        <v>79.75832</v>
      </c>
      <c r="M1383" s="9" t="inlineStr">
        <is>
          <t>https://www.google.com/maps/place/?q=place_id:ChIJgQsZjWvnNDoRZ2pg2wL2-vA</t>
        </is>
      </c>
    </row>
    <row r="1384">
      <c r="A1384" s="9" t="n">
        <v>1380</v>
      </c>
      <c r="B1384" s="9" t="inlineStr">
        <is>
          <t>Suriapet</t>
        </is>
      </c>
      <c r="C1384" s="9" t="inlineStr">
        <is>
          <t>Suriapet</t>
        </is>
      </c>
      <c r="D1384" s="9" t="inlineStr">
        <is>
          <t>Telangana</t>
        </is>
      </c>
      <c r="E1384" s="9" t="inlineStr">
        <is>
          <t>India</t>
        </is>
      </c>
      <c r="F1384" s="9" t="n">
        <v>1</v>
      </c>
      <c r="G1384" s="9" t="n">
        <v>1</v>
      </c>
      <c r="H1384" s="9" t="n">
        <v>1</v>
      </c>
      <c r="I1384" s="10" t="n">
        <v>43051</v>
      </c>
      <c r="J1384" s="10" t="n">
        <v>43051</v>
      </c>
      <c r="K1384" s="9" t="n">
        <v>17.15082</v>
      </c>
      <c r="L1384" s="9" t="n">
        <v>79.57702999999999</v>
      </c>
      <c r="M1384" s="9" t="inlineStr">
        <is>
          <t>https://www.google.com/maps/place/?q=place_id:ChIJgwEs_WXaNDoRMrgh5LzGIPg</t>
        </is>
      </c>
    </row>
    <row r="1385">
      <c r="A1385" s="9" t="n">
        <v>1381</v>
      </c>
      <c r="B1385" s="9" t="inlineStr">
        <is>
          <t>Suriapet</t>
        </is>
      </c>
      <c r="C1385" s="9" t="inlineStr">
        <is>
          <t>Suriapet</t>
        </is>
      </c>
      <c r="D1385" s="9" t="inlineStr">
        <is>
          <t>Telangana</t>
        </is>
      </c>
      <c r="E1385" s="9" t="inlineStr">
        <is>
          <t>India</t>
        </is>
      </c>
      <c r="F1385" s="9" t="n">
        <v>1</v>
      </c>
      <c r="G1385" s="9" t="n">
        <v>1</v>
      </c>
      <c r="H1385" s="9" t="n">
        <v>1</v>
      </c>
      <c r="I1385" s="10" t="n">
        <v>43051</v>
      </c>
      <c r="J1385" s="10" t="n">
        <v>43051</v>
      </c>
      <c r="K1385" s="9" t="n">
        <v>17.11493</v>
      </c>
      <c r="L1385" s="9" t="n">
        <v>79.66817</v>
      </c>
      <c r="M1385" s="9" t="inlineStr">
        <is>
          <t>https://www.google.com/maps/place/?q=place_id:ChIJQ0JBQaHeNDoRS3yhCepMRXM</t>
        </is>
      </c>
    </row>
    <row r="1386">
      <c r="A1386" s="9" t="n">
        <v>1382</v>
      </c>
      <c r="B1386" s="9" t="inlineStr">
        <is>
          <t>Vikarabad</t>
        </is>
      </c>
      <c r="C1386" s="9" t="inlineStr">
        <is>
          <t>Vikarabad</t>
        </is>
      </c>
      <c r="D1386" s="9" t="inlineStr">
        <is>
          <t>Telangana</t>
        </is>
      </c>
      <c r="E1386" s="9" t="inlineStr">
        <is>
          <t>India</t>
        </is>
      </c>
      <c r="F1386" s="9" t="n">
        <v>1</v>
      </c>
      <c r="G1386" s="9" t="n">
        <v>1</v>
      </c>
      <c r="H1386" s="9" t="n">
        <v>1</v>
      </c>
      <c r="I1386" s="10" t="n">
        <v>42929</v>
      </c>
      <c r="J1386" s="10" t="n">
        <v>42929</v>
      </c>
      <c r="K1386" s="9" t="n">
        <v>17.33761</v>
      </c>
      <c r="L1386" s="9" t="n">
        <v>77.90969</v>
      </c>
      <c r="M1386" s="9" t="inlineStr">
        <is>
          <t>https://www.google.com/maps/place/?q=place_id:ChIJDf7_mJlfyTsR-mIbLW82ZLg</t>
        </is>
      </c>
    </row>
    <row r="1387">
      <c r="A1387" s="9" t="n">
        <v>1383</v>
      </c>
      <c r="B1387" s="9" t="inlineStr">
        <is>
          <t>Vikarabad</t>
        </is>
      </c>
      <c r="C1387" s="9" t="inlineStr">
        <is>
          <t>Vikarabad</t>
        </is>
      </c>
      <c r="D1387" s="9" t="inlineStr">
        <is>
          <t>Telangana</t>
        </is>
      </c>
      <c r="E1387" s="9" t="inlineStr">
        <is>
          <t>India</t>
        </is>
      </c>
      <c r="F1387" s="9" t="n">
        <v>1</v>
      </c>
      <c r="G1387" s="9" t="n">
        <v>1</v>
      </c>
      <c r="H1387" s="9" t="n">
        <v>1</v>
      </c>
      <c r="I1387" s="10" t="n">
        <v>43422</v>
      </c>
      <c r="J1387" s="10" t="n">
        <v>43422</v>
      </c>
      <c r="K1387" s="9" t="n">
        <v>17.33846</v>
      </c>
      <c r="L1387" s="9" t="n">
        <v>77.89878</v>
      </c>
      <c r="M1387" s="9" t="inlineStr">
        <is>
          <t>https://www.google.com/maps/place/?q=place_id:ChIJcY2Lb6RfyTsRkIwi5ALFI0A</t>
        </is>
      </c>
    </row>
    <row r="1388">
      <c r="A1388" s="9" t="n">
        <v>1384</v>
      </c>
      <c r="B1388" s="9" t="inlineStr">
        <is>
          <t>Vikarabad</t>
        </is>
      </c>
      <c r="C1388" s="9" t="inlineStr">
        <is>
          <t>Vikarabad</t>
        </is>
      </c>
      <c r="D1388" s="9" t="inlineStr">
        <is>
          <t>Telangana</t>
        </is>
      </c>
      <c r="E1388" s="9" t="inlineStr">
        <is>
          <t>India</t>
        </is>
      </c>
      <c r="F1388" s="9" t="n">
        <v>1</v>
      </c>
      <c r="G1388" s="9" t="n">
        <v>1</v>
      </c>
      <c r="H1388" s="9" t="n">
        <v>1</v>
      </c>
      <c r="I1388" s="10" t="n">
        <v>43422</v>
      </c>
      <c r="J1388" s="10" t="n">
        <v>43422</v>
      </c>
      <c r="K1388" s="9" t="n">
        <v>17.3324</v>
      </c>
      <c r="L1388" s="9" t="n">
        <v>77.73719</v>
      </c>
      <c r="M1388" s="9" t="inlineStr">
        <is>
          <t>https://www.google.com/maps/place/?q=place_id:ChIJc7ElMo9DyTsRL5u0PrO8hv0</t>
        </is>
      </c>
    </row>
    <row r="1389">
      <c r="A1389" s="9" t="n">
        <v>1385</v>
      </c>
      <c r="B1389" s="9" t="inlineStr">
        <is>
          <t>Vikarabad</t>
        </is>
      </c>
      <c r="C1389" s="9" t="inlineStr">
        <is>
          <t>Vikarabad</t>
        </is>
      </c>
      <c r="D1389" s="9" t="inlineStr">
        <is>
          <t>Telangana</t>
        </is>
      </c>
      <c r="E1389" s="9" t="inlineStr">
        <is>
          <t>India</t>
        </is>
      </c>
      <c r="F1389" s="9" t="n">
        <v>1</v>
      </c>
      <c r="G1389" s="9" t="n">
        <v>1</v>
      </c>
      <c r="H1389" s="9" t="n">
        <v>1</v>
      </c>
      <c r="I1389" s="10" t="n">
        <v>43422</v>
      </c>
      <c r="J1389" s="10" t="n">
        <v>43422</v>
      </c>
      <c r="K1389" s="9" t="n">
        <v>17.3406</v>
      </c>
      <c r="L1389" s="9" t="n">
        <v>77.89987000000001</v>
      </c>
      <c r="M1389" s="9" t="inlineStr">
        <is>
          <t>https://www.google.com/maps/place/?q=place_id:ChIJ976F9aNfyTsRIbnPZU2Gno0</t>
        </is>
      </c>
    </row>
    <row r="1390">
      <c r="A1390" s="9" t="n">
        <v>1386</v>
      </c>
      <c r="B1390" s="9" t="inlineStr">
        <is>
          <t>Vikarabad</t>
        </is>
      </c>
      <c r="C1390" s="9" t="inlineStr">
        <is>
          <t>Vikarabad</t>
        </is>
      </c>
      <c r="D1390" s="9" t="inlineStr">
        <is>
          <t>Telangana</t>
        </is>
      </c>
      <c r="E1390" s="9" t="inlineStr">
        <is>
          <t>India</t>
        </is>
      </c>
      <c r="F1390" s="9" t="n">
        <v>1</v>
      </c>
      <c r="G1390" s="9" t="n">
        <v>1</v>
      </c>
      <c r="H1390" s="9" t="n">
        <v>1</v>
      </c>
      <c r="I1390" s="10" t="n">
        <v>44291</v>
      </c>
      <c r="J1390" s="10" t="n">
        <v>44291</v>
      </c>
      <c r="K1390" s="9" t="n">
        <v>17.21165</v>
      </c>
      <c r="L1390" s="9" t="n">
        <v>77.93759</v>
      </c>
      <c r="M1390" s="9" t="inlineStr">
        <is>
          <t>https://www.google.com/maps/place/?q=place_id:ChIJQc5WUKDfyzsRwmRnJ_b2ed4</t>
        </is>
      </c>
    </row>
    <row r="1391">
      <c r="A1391" s="9" t="n">
        <v>1387</v>
      </c>
      <c r="B1391" s="9" t="inlineStr">
        <is>
          <t>Vikarabad</t>
        </is>
      </c>
      <c r="C1391" s="9" t="inlineStr">
        <is>
          <t>Vikarabad</t>
        </is>
      </c>
      <c r="D1391" s="9" t="inlineStr">
        <is>
          <t>Telangana</t>
        </is>
      </c>
      <c r="E1391" s="9" t="inlineStr">
        <is>
          <t>India</t>
        </is>
      </c>
      <c r="F1391" s="9" t="n">
        <v>1</v>
      </c>
      <c r="G1391" s="9" t="n">
        <v>1</v>
      </c>
      <c r="H1391" s="9" t="n">
        <v>1</v>
      </c>
      <c r="I1391" s="10" t="n">
        <v>44291</v>
      </c>
      <c r="J1391" s="10" t="n">
        <v>44291</v>
      </c>
      <c r="K1391" s="9" t="n">
        <v>17.30981</v>
      </c>
      <c r="L1391" s="9" t="n">
        <v>78.03797</v>
      </c>
      <c r="M1391" s="9" t="inlineStr">
        <is>
          <t>https://www.google.com/maps/place/?q=place_id:ChIJCdohDg7nyzsRxGN4OSlN05M</t>
        </is>
      </c>
    </row>
    <row r="1392">
      <c r="A1392" s="9" t="n">
        <v>1388</v>
      </c>
      <c r="B1392" s="9" t="inlineStr">
        <is>
          <t>Wanparti</t>
        </is>
      </c>
      <c r="C1392" s="9" t="inlineStr">
        <is>
          <t>Wanparti</t>
        </is>
      </c>
      <c r="D1392" s="9" t="inlineStr">
        <is>
          <t>Telangana</t>
        </is>
      </c>
      <c r="E1392" s="9" t="inlineStr">
        <is>
          <t>India</t>
        </is>
      </c>
      <c r="F1392" s="9" t="n">
        <v>1</v>
      </c>
      <c r="G1392" s="9" t="n">
        <v>1</v>
      </c>
      <c r="H1392" s="9" t="n">
        <v>1</v>
      </c>
      <c r="I1392" s="10" t="n">
        <v>44754</v>
      </c>
      <c r="J1392" s="10" t="n">
        <v>44754</v>
      </c>
      <c r="K1392" s="9" t="n">
        <v>16.53558</v>
      </c>
      <c r="L1392" s="9" t="n">
        <v>77.94459999999999</v>
      </c>
      <c r="M1392" s="9" t="inlineStr">
        <is>
          <t>https://www.google.com/maps/place/?q=place_id:ChIJTzlxGcIfyjsRtySc1UFO5ak</t>
        </is>
      </c>
    </row>
    <row r="1393">
      <c r="A1393" s="9" t="n">
        <v>1389</v>
      </c>
      <c r="B1393" s="9" t="inlineStr">
        <is>
          <t>Warangal</t>
        </is>
      </c>
      <c r="C1393" s="9" t="inlineStr">
        <is>
          <t>Warangal</t>
        </is>
      </c>
      <c r="D1393" s="9" t="inlineStr">
        <is>
          <t>Telangana</t>
        </is>
      </c>
      <c r="E1393" s="9" t="inlineStr">
        <is>
          <t>India</t>
        </is>
      </c>
      <c r="F1393" s="9" t="n">
        <v>2</v>
      </c>
      <c r="G1393" s="9" t="n">
        <v>2</v>
      </c>
      <c r="H1393" s="9" t="n">
        <v>2</v>
      </c>
      <c r="I1393" s="10" t="n">
        <v>43496</v>
      </c>
      <c r="J1393" s="10" t="n">
        <v>44956</v>
      </c>
      <c r="K1393" s="9" t="n">
        <v>17.97477</v>
      </c>
      <c r="L1393" s="9" t="n">
        <v>79.51123</v>
      </c>
      <c r="M1393" s="9" t="inlineStr">
        <is>
          <t>https://www.google.com/maps/place/?q=place_id:ChIJGWkj6zVOMzoRdx-C3ZlVb9s</t>
        </is>
      </c>
    </row>
    <row r="1394">
      <c r="A1394" s="9" t="n">
        <v>1390</v>
      </c>
      <c r="B1394" s="9" t="inlineStr">
        <is>
          <t>Warangal</t>
        </is>
      </c>
      <c r="C1394" s="9" t="inlineStr">
        <is>
          <t>Warangal</t>
        </is>
      </c>
      <c r="D1394" s="9" t="inlineStr">
        <is>
          <t>Telangana</t>
        </is>
      </c>
      <c r="E1394" s="9" t="inlineStr">
        <is>
          <t>India</t>
        </is>
      </c>
      <c r="F1394" s="9" t="n">
        <v>1</v>
      </c>
      <c r="G1394" s="9" t="n">
        <v>1</v>
      </c>
      <c r="H1394" s="9" t="n">
        <v>1</v>
      </c>
      <c r="I1394" s="10" t="n">
        <v>42993</v>
      </c>
      <c r="J1394" s="10" t="n">
        <v>42993</v>
      </c>
      <c r="K1394" s="9" t="n">
        <v>18.29</v>
      </c>
      <c r="L1394" s="9" t="n">
        <v>79.47676</v>
      </c>
      <c r="M1394" s="9" t="inlineStr">
        <is>
          <t>https://www.google.com/maps/place/?q=place_id:ChIJ1dks8IUxMzoRZLLEEbntjMY</t>
        </is>
      </c>
    </row>
    <row r="1395">
      <c r="A1395" s="9" t="n">
        <v>1391</v>
      </c>
      <c r="B1395" s="9" t="inlineStr">
        <is>
          <t>Achhnera</t>
        </is>
      </c>
      <c r="C1395" s="9" t="inlineStr">
        <is>
          <t>Achhnera</t>
        </is>
      </c>
      <c r="D1395" s="9" t="inlineStr">
        <is>
          <t>Uttar Pradesh</t>
        </is>
      </c>
      <c r="E1395" s="9" t="inlineStr">
        <is>
          <t>India</t>
        </is>
      </c>
      <c r="F1395" s="9" t="n">
        <v>1</v>
      </c>
      <c r="G1395" s="9" t="n">
        <v>1</v>
      </c>
      <c r="H1395" s="9" t="n">
        <v>1</v>
      </c>
      <c r="I1395" s="10" t="n">
        <v>44742</v>
      </c>
      <c r="J1395" s="10" t="n">
        <v>44742</v>
      </c>
      <c r="K1395" s="9" t="n">
        <v>27.33839</v>
      </c>
      <c r="L1395" s="9" t="n">
        <v>77.73685</v>
      </c>
      <c r="M1395" s="9" t="inlineStr">
        <is>
          <t>https://www.google.com/maps/place/?q=place_id:ChIJAQCwuimdczkRTFxWXDiOaLk</t>
        </is>
      </c>
    </row>
    <row r="1396">
      <c r="A1396" s="9" t="n">
        <v>1392</v>
      </c>
      <c r="B1396" s="9" t="inlineStr">
        <is>
          <t>Agra</t>
        </is>
      </c>
      <c r="C1396" s="9" t="inlineStr">
        <is>
          <t>Agra</t>
        </is>
      </c>
      <c r="D1396" s="9" t="inlineStr">
        <is>
          <t>Uttar Pradesh</t>
        </is>
      </c>
      <c r="E1396" s="9" t="inlineStr">
        <is>
          <t>India</t>
        </is>
      </c>
      <c r="F1396" s="9" t="n">
        <v>3</v>
      </c>
      <c r="G1396" s="9" t="n">
        <v>3</v>
      </c>
      <c r="H1396" s="9" t="n">
        <v>3</v>
      </c>
      <c r="I1396" s="10" t="n">
        <v>43002</v>
      </c>
      <c r="J1396" s="10" t="n">
        <v>43373</v>
      </c>
      <c r="K1396" s="9" t="n">
        <v>27.15908</v>
      </c>
      <c r="L1396" s="9" t="n">
        <v>77.99056</v>
      </c>
      <c r="M1396" s="9" t="inlineStr">
        <is>
          <t>https://www.google.com/maps/place/?q=place_id:ChIJrzDjOu92dDkRy__sMEO13Kw</t>
        </is>
      </c>
    </row>
    <row r="1397">
      <c r="A1397" s="9" t="n">
        <v>1393</v>
      </c>
      <c r="B1397" s="9" t="inlineStr">
        <is>
          <t>Agra</t>
        </is>
      </c>
      <c r="C1397" s="9" t="inlineStr">
        <is>
          <t>Agra</t>
        </is>
      </c>
      <c r="D1397" s="9" t="inlineStr">
        <is>
          <t>Uttar Pradesh</t>
        </is>
      </c>
      <c r="E1397" s="9" t="inlineStr">
        <is>
          <t>India</t>
        </is>
      </c>
      <c r="F1397" s="9" t="n">
        <v>2</v>
      </c>
      <c r="G1397" s="9" t="n">
        <v>2</v>
      </c>
      <c r="H1397" s="9" t="n">
        <v>1</v>
      </c>
      <c r="I1397" s="10" t="n">
        <v>44742</v>
      </c>
      <c r="J1397" s="10" t="n">
        <v>44743</v>
      </c>
      <c r="K1397" s="9" t="n">
        <v>27.15717</v>
      </c>
      <c r="L1397" s="9" t="n">
        <v>77.99427</v>
      </c>
      <c r="M1397" s="9" t="inlineStr">
        <is>
          <t>https://www.google.com/maps/place/?q=place_id:ChIJk2Vs-AF3dDkRbGuIYR8Y42k</t>
        </is>
      </c>
    </row>
    <row r="1398">
      <c r="A1398" s="9" t="n">
        <v>1394</v>
      </c>
      <c r="B1398" s="9" t="inlineStr">
        <is>
          <t>Agra</t>
        </is>
      </c>
      <c r="C1398" s="9" t="inlineStr">
        <is>
          <t>Agra</t>
        </is>
      </c>
      <c r="D1398" s="9" t="inlineStr">
        <is>
          <t>Uttar Pradesh</t>
        </is>
      </c>
      <c r="E1398" s="9" t="inlineStr">
        <is>
          <t>India</t>
        </is>
      </c>
      <c r="F1398" s="9" t="n">
        <v>1</v>
      </c>
      <c r="G1398" s="9" t="n">
        <v>1</v>
      </c>
      <c r="H1398" s="9" t="n">
        <v>1</v>
      </c>
      <c r="I1398" s="10" t="n">
        <v>44738</v>
      </c>
      <c r="J1398" s="10" t="n">
        <v>44738</v>
      </c>
      <c r="K1398" s="9" t="n">
        <v>27.16184</v>
      </c>
      <c r="L1398" s="9" t="n">
        <v>77.97072</v>
      </c>
      <c r="M1398" s="9" t="inlineStr">
        <is>
          <t>https://www.google.com/maps/place/?q=place_id:ChIJb98Sa_p2dDkRAgI8cr1jk0o</t>
        </is>
      </c>
    </row>
    <row r="1399">
      <c r="A1399" s="9" t="n">
        <v>1395</v>
      </c>
      <c r="B1399" s="9" t="inlineStr">
        <is>
          <t>Agra</t>
        </is>
      </c>
      <c r="C1399" s="9" t="inlineStr">
        <is>
          <t>Agra</t>
        </is>
      </c>
      <c r="D1399" s="9" t="inlineStr">
        <is>
          <t>Uttar Pradesh</t>
        </is>
      </c>
      <c r="E1399" s="9" t="inlineStr">
        <is>
          <t>India</t>
        </is>
      </c>
      <c r="F1399" s="9" t="n">
        <v>1</v>
      </c>
      <c r="G1399" s="9" t="n">
        <v>1</v>
      </c>
      <c r="H1399" s="9" t="n">
        <v>1</v>
      </c>
      <c r="I1399" s="10" t="n">
        <v>44738</v>
      </c>
      <c r="J1399" s="10" t="n">
        <v>44738</v>
      </c>
      <c r="K1399" s="9" t="n">
        <v>27.16561</v>
      </c>
      <c r="L1399" s="9" t="n">
        <v>77.99693000000001</v>
      </c>
      <c r="M1399" s="9" t="inlineStr">
        <is>
          <t>https://www.google.com/maps/place/?q=place_id:ChIJUdHj9912dDkRvkUsqx1YsJg</t>
        </is>
      </c>
    </row>
    <row r="1400">
      <c r="A1400" s="9" t="n">
        <v>1396</v>
      </c>
      <c r="B1400" s="9" t="inlineStr">
        <is>
          <t>Agra</t>
        </is>
      </c>
      <c r="C1400" s="9" t="inlineStr">
        <is>
          <t>Agra</t>
        </is>
      </c>
      <c r="D1400" s="9" t="inlineStr">
        <is>
          <t>Uttar Pradesh</t>
        </is>
      </c>
      <c r="E1400" s="9" t="inlineStr">
        <is>
          <t>India</t>
        </is>
      </c>
      <c r="F1400" s="9" t="n">
        <v>1</v>
      </c>
      <c r="G1400" s="9" t="n">
        <v>1</v>
      </c>
      <c r="H1400" s="9" t="n">
        <v>1</v>
      </c>
      <c r="I1400" s="10" t="n">
        <v>44738</v>
      </c>
      <c r="J1400" s="10" t="n">
        <v>44738</v>
      </c>
      <c r="K1400" s="9" t="n">
        <v>27.16602</v>
      </c>
      <c r="L1400" s="9" t="n">
        <v>78.01699000000001</v>
      </c>
      <c r="M1400" s="9" t="inlineStr">
        <is>
          <t>https://www.google.com/maps/place/?q=place_id:ChIJXywz9vJ3dDkRFHjAr8t1_iI</t>
        </is>
      </c>
    </row>
    <row r="1401">
      <c r="A1401" s="9" t="n">
        <v>1397</v>
      </c>
      <c r="B1401" s="9" t="inlineStr">
        <is>
          <t>Atarra</t>
        </is>
      </c>
      <c r="C1401" s="9" t="inlineStr">
        <is>
          <t>Atarra</t>
        </is>
      </c>
      <c r="D1401" s="9" t="inlineStr">
        <is>
          <t>Uttar Pradesh</t>
        </is>
      </c>
      <c r="E1401" s="9" t="inlineStr">
        <is>
          <t>India</t>
        </is>
      </c>
      <c r="F1401" s="9" t="n">
        <v>9</v>
      </c>
      <c r="G1401" s="9" t="n">
        <v>6</v>
      </c>
      <c r="H1401" s="9" t="n">
        <v>3</v>
      </c>
      <c r="I1401" s="10" t="n">
        <v>43456</v>
      </c>
      <c r="J1401" s="10" t="n">
        <v>43756</v>
      </c>
      <c r="K1401" s="9" t="n">
        <v>25.16545</v>
      </c>
      <c r="L1401" s="9" t="n">
        <v>80.86725</v>
      </c>
      <c r="M1401" s="9" t="inlineStr">
        <is>
          <t>https://www.google.com/maps/place/?q=place_id:ChIJw6Q-vEemhDkRkGB8rChuBaY</t>
        </is>
      </c>
    </row>
    <row r="1402">
      <c r="A1402" s="9" t="n">
        <v>1398</v>
      </c>
      <c r="B1402" s="9" t="inlineStr">
        <is>
          <t>Atarra</t>
        </is>
      </c>
      <c r="C1402" s="9" t="inlineStr">
        <is>
          <t>Atarra</t>
        </is>
      </c>
      <c r="D1402" s="9" t="inlineStr">
        <is>
          <t>Uttar Pradesh</t>
        </is>
      </c>
      <c r="E1402" s="9" t="inlineStr">
        <is>
          <t>India</t>
        </is>
      </c>
      <c r="F1402" s="9" t="n">
        <v>3</v>
      </c>
      <c r="G1402" s="9" t="n">
        <v>2</v>
      </c>
      <c r="H1402" s="9" t="n">
        <v>2</v>
      </c>
      <c r="I1402" s="10" t="n">
        <v>43658</v>
      </c>
      <c r="J1402" s="10" t="n">
        <v>43754</v>
      </c>
      <c r="K1402" s="9" t="n">
        <v>25.17591</v>
      </c>
      <c r="L1402" s="9" t="n">
        <v>80.86920000000001</v>
      </c>
      <c r="M1402" s="9" t="inlineStr">
        <is>
          <t>https://www.google.com/maps/place/?q=place_id:ChIJvXI4gySmhDkRR-wIud2hT8U</t>
        </is>
      </c>
    </row>
    <row r="1403">
      <c r="A1403" s="9" t="n">
        <v>1399</v>
      </c>
      <c r="B1403" s="9" t="inlineStr">
        <is>
          <t>Atarra</t>
        </is>
      </c>
      <c r="C1403" s="9" t="inlineStr">
        <is>
          <t>Atarra</t>
        </is>
      </c>
      <c r="D1403" s="9" t="inlineStr">
        <is>
          <t>Uttar Pradesh</t>
        </is>
      </c>
      <c r="E1403" s="9" t="inlineStr">
        <is>
          <t>India</t>
        </is>
      </c>
      <c r="F1403" s="9" t="n">
        <v>2</v>
      </c>
      <c r="G1403" s="9" t="n">
        <v>2</v>
      </c>
      <c r="H1403" s="9" t="n">
        <v>2</v>
      </c>
      <c r="I1403" s="10" t="n">
        <v>43456</v>
      </c>
      <c r="J1403" s="10" t="n">
        <v>43755</v>
      </c>
      <c r="K1403" s="9" t="n">
        <v>25.14679</v>
      </c>
      <c r="L1403" s="9" t="n">
        <v>80.85777</v>
      </c>
      <c r="M1403" s="9" t="inlineStr">
        <is>
          <t>https://www.google.com/maps/place/?q=place_id:ChIJM7TDXlSmhDkRpVw3nLGCZkI</t>
        </is>
      </c>
    </row>
    <row r="1404">
      <c r="A1404" s="9" t="n">
        <v>1400</v>
      </c>
      <c r="B1404" s="9" t="inlineStr">
        <is>
          <t>Atarra</t>
        </is>
      </c>
      <c r="C1404" s="9" t="inlineStr">
        <is>
          <t>Atarra</t>
        </is>
      </c>
      <c r="D1404" s="9" t="inlineStr">
        <is>
          <t>Uttar Pradesh</t>
        </is>
      </c>
      <c r="E1404" s="9" t="inlineStr">
        <is>
          <t>India</t>
        </is>
      </c>
      <c r="F1404" s="9" t="n">
        <v>1</v>
      </c>
      <c r="G1404" s="9" t="n">
        <v>1</v>
      </c>
      <c r="H1404" s="9" t="n">
        <v>1</v>
      </c>
      <c r="I1404" s="10" t="n">
        <v>43455</v>
      </c>
      <c r="J1404" s="10" t="n">
        <v>43455</v>
      </c>
      <c r="K1404" s="9" t="n">
        <v>25.20972</v>
      </c>
      <c r="L1404" s="9" t="n">
        <v>80.98142</v>
      </c>
      <c r="M1404" s="9" t="inlineStr">
        <is>
          <t>https://www.google.com/maps/place/?q=place_id:ChIJnwZLquSvhDkRRI1JQidIX7U</t>
        </is>
      </c>
    </row>
    <row r="1405">
      <c r="A1405" s="9" t="n">
        <v>1401</v>
      </c>
      <c r="B1405" s="9" t="inlineStr">
        <is>
          <t>Atarra</t>
        </is>
      </c>
      <c r="C1405" s="9" t="inlineStr">
        <is>
          <t>Atarra</t>
        </is>
      </c>
      <c r="D1405" s="9" t="inlineStr">
        <is>
          <t>Uttar Pradesh</t>
        </is>
      </c>
      <c r="E1405" s="9" t="inlineStr">
        <is>
          <t>India</t>
        </is>
      </c>
      <c r="F1405" s="9" t="n">
        <v>1</v>
      </c>
      <c r="G1405" s="9" t="n">
        <v>1</v>
      </c>
      <c r="H1405" s="9" t="n">
        <v>1</v>
      </c>
      <c r="I1405" s="10" t="n">
        <v>43456</v>
      </c>
      <c r="J1405" s="10" t="n">
        <v>43456</v>
      </c>
      <c r="K1405" s="9" t="n">
        <v>25.09793</v>
      </c>
      <c r="L1405" s="9" t="n">
        <v>80.76879</v>
      </c>
      <c r="M1405" s="9" t="inlineStr">
        <is>
          <t>https://www.google.com/maps/place/?q=place_id:ChIJ-6iX9NZYgzkR7Se-ev6m2OU</t>
        </is>
      </c>
    </row>
    <row r="1406">
      <c r="A1406" s="9" t="n">
        <v>1402</v>
      </c>
      <c r="B1406" s="9" t="inlineStr">
        <is>
          <t>Atarra</t>
        </is>
      </c>
      <c r="C1406" s="9" t="inlineStr">
        <is>
          <t>Atarra</t>
        </is>
      </c>
      <c r="D1406" s="9" t="inlineStr">
        <is>
          <t>Uttar Pradesh</t>
        </is>
      </c>
      <c r="E1406" s="9" t="inlineStr">
        <is>
          <t>India</t>
        </is>
      </c>
      <c r="F1406" s="9" t="n">
        <v>1</v>
      </c>
      <c r="G1406" s="9" t="n">
        <v>1</v>
      </c>
      <c r="H1406" s="9" t="n">
        <v>1</v>
      </c>
      <c r="I1406" s="10" t="n">
        <v>43659</v>
      </c>
      <c r="J1406" s="10" t="n">
        <v>43659</v>
      </c>
      <c r="K1406" s="9" t="n">
        <v>25.16665</v>
      </c>
      <c r="L1406" s="9" t="n">
        <v>80.86828</v>
      </c>
      <c r="M1406" s="9" t="inlineStr">
        <is>
          <t>https://www.google.com/maps/place/?q=place_id:ChIJMexleEemhDkRXDDM5CmReC8</t>
        </is>
      </c>
    </row>
    <row r="1407">
      <c r="A1407" s="9" t="n">
        <v>1403</v>
      </c>
      <c r="B1407" s="9" t="inlineStr">
        <is>
          <t>Atarra</t>
        </is>
      </c>
      <c r="C1407" s="9" t="inlineStr">
        <is>
          <t>Atarra</t>
        </is>
      </c>
      <c r="D1407" s="9" t="inlineStr">
        <is>
          <t>Uttar Pradesh</t>
        </is>
      </c>
      <c r="E1407" s="9" t="inlineStr">
        <is>
          <t>India</t>
        </is>
      </c>
      <c r="F1407" s="9" t="n">
        <v>1</v>
      </c>
      <c r="G1407" s="9" t="n">
        <v>1</v>
      </c>
      <c r="H1407" s="9" t="n">
        <v>1</v>
      </c>
      <c r="I1407" s="10" t="n">
        <v>43755</v>
      </c>
      <c r="J1407" s="10" t="n">
        <v>43755</v>
      </c>
      <c r="K1407" s="9" t="n">
        <v>25.1503</v>
      </c>
      <c r="L1407" s="9" t="n">
        <v>80.85392</v>
      </c>
      <c r="M1407" s="9" t="inlineStr">
        <is>
          <t>https://www.google.com/maps/place/?q=place_id:ChIJXXC5yaynhDkRlzJt1BxEhRs</t>
        </is>
      </c>
    </row>
    <row r="1408">
      <c r="A1408" s="9" t="n">
        <v>1404</v>
      </c>
      <c r="B1408" s="9" t="inlineStr">
        <is>
          <t>Atarra</t>
        </is>
      </c>
      <c r="C1408" s="9" t="inlineStr">
        <is>
          <t>Atarra</t>
        </is>
      </c>
      <c r="D1408" s="9" t="inlineStr">
        <is>
          <t>Uttar Pradesh</t>
        </is>
      </c>
      <c r="E1408" s="9" t="inlineStr">
        <is>
          <t>India</t>
        </is>
      </c>
      <c r="F1408" s="9" t="n">
        <v>1</v>
      </c>
      <c r="G1408" s="9" t="n">
        <v>1</v>
      </c>
      <c r="H1408" s="9" t="n">
        <v>1</v>
      </c>
      <c r="I1408" s="10" t="n">
        <v>43755</v>
      </c>
      <c r="J1408" s="10" t="n">
        <v>43755</v>
      </c>
      <c r="K1408" s="9" t="n">
        <v>25.09846</v>
      </c>
      <c r="L1408" s="9" t="n">
        <v>80.76842000000001</v>
      </c>
      <c r="M1408" s="9" t="inlineStr">
        <is>
          <t>https://www.google.com/maps/place/?q=place_id:ChIJqdAnWNZYgzkR3bmbbvtQfjM</t>
        </is>
      </c>
    </row>
    <row r="1409">
      <c r="A1409" s="9" t="n">
        <v>1405</v>
      </c>
      <c r="B1409" s="9" t="inlineStr">
        <is>
          <t>Atarra</t>
        </is>
      </c>
      <c r="C1409" s="9" t="inlineStr">
        <is>
          <t>Atarra</t>
        </is>
      </c>
      <c r="D1409" s="9" t="inlineStr">
        <is>
          <t>Uttar Pradesh</t>
        </is>
      </c>
      <c r="E1409" s="9" t="inlineStr">
        <is>
          <t>India</t>
        </is>
      </c>
      <c r="F1409" s="9" t="n">
        <v>1</v>
      </c>
      <c r="G1409" s="9" t="n">
        <v>1</v>
      </c>
      <c r="H1409" s="9" t="n">
        <v>1</v>
      </c>
      <c r="I1409" s="10" t="n">
        <v>43755</v>
      </c>
      <c r="J1409" s="10" t="n">
        <v>43755</v>
      </c>
      <c r="K1409" s="9" t="n">
        <v>25.15716</v>
      </c>
      <c r="L1409" s="9" t="n">
        <v>80.86172000000001</v>
      </c>
      <c r="M1409" s="9" t="inlineStr">
        <is>
          <t>https://www.google.com/maps/place/?q=place_id:ChIJTdleRE6mhDkRYvcvmd12m8U</t>
        </is>
      </c>
    </row>
    <row r="1410">
      <c r="A1410" s="9" t="n">
        <v>1406</v>
      </c>
      <c r="B1410" s="9" t="inlineStr">
        <is>
          <t>Atarra</t>
        </is>
      </c>
      <c r="C1410" s="9" t="inlineStr">
        <is>
          <t>Atarra</t>
        </is>
      </c>
      <c r="D1410" s="9" t="inlineStr">
        <is>
          <t>Uttar Pradesh</t>
        </is>
      </c>
      <c r="E1410" s="9" t="inlineStr">
        <is>
          <t>India</t>
        </is>
      </c>
      <c r="F1410" s="9" t="n">
        <v>1</v>
      </c>
      <c r="G1410" s="9" t="n">
        <v>1</v>
      </c>
      <c r="H1410" s="9" t="n">
        <v>1</v>
      </c>
      <c r="I1410" s="10" t="n">
        <v>43755</v>
      </c>
      <c r="J1410" s="10" t="n">
        <v>43755</v>
      </c>
      <c r="K1410" s="9" t="n">
        <v>25.16505</v>
      </c>
      <c r="L1410" s="9" t="n">
        <v>80.87000999999999</v>
      </c>
      <c r="M1410" s="9" t="inlineStr">
        <is>
          <t>https://www.google.com/maps/place/?q=place_id:ChIJNYm9JEemhDkRf5dbtgoPWRU</t>
        </is>
      </c>
    </row>
    <row r="1411">
      <c r="A1411" s="9" t="n">
        <v>1407</v>
      </c>
      <c r="B1411" s="9" t="inlineStr">
        <is>
          <t>Ayodhya</t>
        </is>
      </c>
      <c r="C1411" s="9" t="inlineStr">
        <is>
          <t>Ayodhya</t>
        </is>
      </c>
      <c r="D1411" s="9" t="inlineStr">
        <is>
          <t>Uttar Pradesh</t>
        </is>
      </c>
      <c r="E1411" s="9" t="inlineStr">
        <is>
          <t>India</t>
        </is>
      </c>
      <c r="F1411" s="9" t="n">
        <v>6</v>
      </c>
      <c r="G1411" s="9" t="n">
        <v>4</v>
      </c>
      <c r="H1411" s="9" t="n">
        <v>4</v>
      </c>
      <c r="I1411" s="10" t="n">
        <v>43457</v>
      </c>
      <c r="J1411" s="10" t="n">
        <v>44521</v>
      </c>
      <c r="K1411" s="9" t="n">
        <v>26.79628</v>
      </c>
      <c r="L1411" s="9" t="n">
        <v>82.20072</v>
      </c>
      <c r="M1411" s="9" t="inlineStr">
        <is>
          <t>https://www.google.com/maps/place/?q=place_id:ChIJFWr525IHmjkRnR3jcg8FyWg</t>
        </is>
      </c>
    </row>
    <row r="1412">
      <c r="A1412" s="9" t="n">
        <v>1408</v>
      </c>
      <c r="B1412" s="9" t="inlineStr">
        <is>
          <t>Ayodhya</t>
        </is>
      </c>
      <c r="C1412" s="9" t="inlineStr">
        <is>
          <t>Ayodhya</t>
        </is>
      </c>
      <c r="D1412" s="9" t="inlineStr">
        <is>
          <t>Uttar Pradesh</t>
        </is>
      </c>
      <c r="E1412" s="9" t="inlineStr">
        <is>
          <t>India</t>
        </is>
      </c>
      <c r="F1412" s="9" t="n">
        <v>4</v>
      </c>
      <c r="G1412" s="9" t="n">
        <v>4</v>
      </c>
      <c r="H1412" s="9" t="n">
        <v>3</v>
      </c>
      <c r="I1412" s="10" t="n">
        <v>43457</v>
      </c>
      <c r="J1412" s="10" t="n">
        <v>43526</v>
      </c>
      <c r="K1412" s="9" t="n">
        <v>26.80389</v>
      </c>
      <c r="L1412" s="9" t="n">
        <v>82.21084</v>
      </c>
      <c r="M1412" s="9" t="inlineStr">
        <is>
          <t>https://www.google.com/maps/place/?q=place_id:ChIJJaGR54gHmjkRECbk5pnJmbY</t>
        </is>
      </c>
    </row>
    <row r="1413">
      <c r="A1413" s="9" t="n">
        <v>1409</v>
      </c>
      <c r="B1413" s="9" t="inlineStr">
        <is>
          <t>Ayodhya</t>
        </is>
      </c>
      <c r="C1413" s="9" t="inlineStr">
        <is>
          <t>Ayodhya</t>
        </is>
      </c>
      <c r="D1413" s="9" t="inlineStr">
        <is>
          <t>Uttar Pradesh</t>
        </is>
      </c>
      <c r="E1413" s="9" t="inlineStr">
        <is>
          <t>India</t>
        </is>
      </c>
      <c r="F1413" s="9" t="n">
        <v>4</v>
      </c>
      <c r="G1413" s="9" t="n">
        <v>4</v>
      </c>
      <c r="H1413" s="9" t="n">
        <v>2</v>
      </c>
      <c r="I1413" s="10" t="n">
        <v>43493</v>
      </c>
      <c r="J1413" s="10" t="n">
        <v>43522</v>
      </c>
      <c r="K1413" s="9" t="n">
        <v>26.80116</v>
      </c>
      <c r="L1413" s="9" t="n">
        <v>82.19638</v>
      </c>
      <c r="M1413" s="9" t="inlineStr">
        <is>
          <t>https://www.google.com/maps/place/?q=place_id:ChIJO2FYYqEHmjkRBVppRSAp-cQ</t>
        </is>
      </c>
    </row>
    <row r="1414">
      <c r="A1414" s="9" t="n">
        <v>1410</v>
      </c>
      <c r="B1414" s="9" t="inlineStr">
        <is>
          <t>Ayodhya</t>
        </is>
      </c>
      <c r="C1414" s="9" t="inlineStr">
        <is>
          <t>Ayodhya</t>
        </is>
      </c>
      <c r="D1414" s="9" t="inlineStr">
        <is>
          <t>Uttar Pradesh</t>
        </is>
      </c>
      <c r="E1414" s="9" t="inlineStr">
        <is>
          <t>India</t>
        </is>
      </c>
      <c r="F1414" s="9" t="n">
        <v>3</v>
      </c>
      <c r="G1414" s="9" t="n">
        <v>3</v>
      </c>
      <c r="H1414" s="9" t="n">
        <v>2</v>
      </c>
      <c r="I1414" s="10" t="n">
        <v>43493</v>
      </c>
      <c r="J1414" s="10" t="n">
        <v>43526</v>
      </c>
      <c r="K1414" s="9" t="n">
        <v>26.798</v>
      </c>
      <c r="L1414" s="9" t="n">
        <v>82.19902999999999</v>
      </c>
      <c r="M1414" s="9" t="inlineStr">
        <is>
          <t>https://www.google.com/maps/place/?q=place_id:ChIJMV-EkpMHmjkRZbL3Ue2BYV8</t>
        </is>
      </c>
    </row>
    <row r="1415">
      <c r="A1415" s="9" t="n">
        <v>1411</v>
      </c>
      <c r="B1415" s="9" t="inlineStr">
        <is>
          <t>Ayodhya</t>
        </is>
      </c>
      <c r="C1415" s="9" t="inlineStr">
        <is>
          <t>Ayodhya</t>
        </is>
      </c>
      <c r="D1415" s="9" t="inlineStr">
        <is>
          <t>Uttar Pradesh</t>
        </is>
      </c>
      <c r="E1415" s="9" t="inlineStr">
        <is>
          <t>India</t>
        </is>
      </c>
      <c r="F1415" s="9" t="n">
        <v>3</v>
      </c>
      <c r="G1415" s="9" t="n">
        <v>3</v>
      </c>
      <c r="H1415" s="9" t="n">
        <v>3</v>
      </c>
      <c r="I1415" s="10" t="n">
        <v>43494</v>
      </c>
      <c r="J1415" s="10" t="n">
        <v>43525</v>
      </c>
      <c r="K1415" s="9" t="n">
        <v>26.79273</v>
      </c>
      <c r="L1415" s="9" t="n">
        <v>82.19928</v>
      </c>
      <c r="M1415" s="9" t="inlineStr">
        <is>
          <t>https://www.google.com/maps/place/?q=place_id:ChIJTeR1luwHmjkRDorZpZSyT_E</t>
        </is>
      </c>
    </row>
    <row r="1416">
      <c r="A1416" s="9" t="n">
        <v>1412</v>
      </c>
      <c r="B1416" s="9" t="inlineStr">
        <is>
          <t>Ayodhya</t>
        </is>
      </c>
      <c r="C1416" s="9" t="inlineStr">
        <is>
          <t>Ayodhya</t>
        </is>
      </c>
      <c r="D1416" s="9" t="inlineStr">
        <is>
          <t>Uttar Pradesh</t>
        </is>
      </c>
      <c r="E1416" s="9" t="inlineStr">
        <is>
          <t>India</t>
        </is>
      </c>
      <c r="F1416" s="9" t="n">
        <v>2</v>
      </c>
      <c r="G1416" s="9" t="n">
        <v>2</v>
      </c>
      <c r="H1416" s="9" t="n">
        <v>1</v>
      </c>
      <c r="I1416" s="10" t="n">
        <v>43456</v>
      </c>
      <c r="J1416" s="10" t="n">
        <v>43457</v>
      </c>
      <c r="K1416" s="9" t="n">
        <v>26.78839</v>
      </c>
      <c r="L1416" s="9" t="n">
        <v>82.20088</v>
      </c>
      <c r="M1416" s="9" t="inlineStr">
        <is>
          <t>https://www.google.com/maps/place/?q=place_id:ChIJT9AoKOwHmjkROjjuSK8Lnao</t>
        </is>
      </c>
    </row>
    <row r="1417">
      <c r="A1417" s="9" t="n">
        <v>1413</v>
      </c>
      <c r="B1417" s="9" t="inlineStr">
        <is>
          <t>Ayodhya</t>
        </is>
      </c>
      <c r="C1417" s="9" t="inlineStr">
        <is>
          <t>Ayodhya</t>
        </is>
      </c>
      <c r="D1417" s="9" t="inlineStr">
        <is>
          <t>Uttar Pradesh</t>
        </is>
      </c>
      <c r="E1417" s="9" t="inlineStr">
        <is>
          <t>India</t>
        </is>
      </c>
      <c r="F1417" s="9" t="n">
        <v>2</v>
      </c>
      <c r="G1417" s="9" t="n">
        <v>2</v>
      </c>
      <c r="H1417" s="9" t="n">
        <v>2</v>
      </c>
      <c r="I1417" s="10" t="n">
        <v>43457</v>
      </c>
      <c r="J1417" s="10" t="n">
        <v>43526</v>
      </c>
      <c r="K1417" s="9" t="n">
        <v>26.81083</v>
      </c>
      <c r="L1417" s="9" t="n">
        <v>82.20536</v>
      </c>
      <c r="M1417" s="9" t="inlineStr">
        <is>
          <t>https://www.google.com/maps/place/?q=place_id:ChIJwakvkYQHmjkRdjjB5nTD-Bg</t>
        </is>
      </c>
    </row>
    <row r="1418">
      <c r="A1418" s="9" t="n">
        <v>1414</v>
      </c>
      <c r="B1418" s="9" t="inlineStr">
        <is>
          <t>Ayodhya</t>
        </is>
      </c>
      <c r="C1418" s="9" t="inlineStr">
        <is>
          <t>Ayodhya</t>
        </is>
      </c>
      <c r="D1418" s="9" t="inlineStr">
        <is>
          <t>Uttar Pradesh</t>
        </is>
      </c>
      <c r="E1418" s="9" t="inlineStr">
        <is>
          <t>India</t>
        </is>
      </c>
      <c r="F1418" s="9" t="n">
        <v>2</v>
      </c>
      <c r="G1418" s="9" t="n">
        <v>2</v>
      </c>
      <c r="H1418" s="9" t="n">
        <v>2</v>
      </c>
      <c r="I1418" s="10" t="n">
        <v>43457</v>
      </c>
      <c r="J1418" s="10" t="n">
        <v>43521</v>
      </c>
      <c r="K1418" s="9" t="n">
        <v>26.79802</v>
      </c>
      <c r="L1418" s="9" t="n">
        <v>82.19922</v>
      </c>
      <c r="M1418" s="9" t="inlineStr">
        <is>
          <t>https://www.google.com/maps/place/?q=place_id:ChIJwQzUx7kHmjkRFWocXybBkZQ</t>
        </is>
      </c>
    </row>
    <row r="1419">
      <c r="A1419" s="9" t="n">
        <v>1415</v>
      </c>
      <c r="B1419" s="9" t="inlineStr">
        <is>
          <t>Ayodhya</t>
        </is>
      </c>
      <c r="C1419" s="9" t="inlineStr">
        <is>
          <t>Ayodhya</t>
        </is>
      </c>
      <c r="D1419" s="9" t="inlineStr">
        <is>
          <t>Uttar Pradesh</t>
        </is>
      </c>
      <c r="E1419" s="9" t="inlineStr">
        <is>
          <t>India</t>
        </is>
      </c>
      <c r="F1419" s="9" t="n">
        <v>2</v>
      </c>
      <c r="G1419" s="9" t="n">
        <v>2</v>
      </c>
      <c r="H1419" s="9" t="n">
        <v>2</v>
      </c>
      <c r="I1419" s="10" t="n">
        <v>43494</v>
      </c>
      <c r="J1419" s="10" t="n">
        <v>44522</v>
      </c>
      <c r="K1419" s="9" t="n">
        <v>26.80942</v>
      </c>
      <c r="L1419" s="9" t="n">
        <v>82.2062</v>
      </c>
      <c r="M1419" s="9" t="inlineStr">
        <is>
          <t>https://www.google.com/maps/place/?q=place_id:ChIJI6sP44QHmjkRv7ysuo4mFF4</t>
        </is>
      </c>
    </row>
    <row r="1420">
      <c r="A1420" s="9" t="n">
        <v>1416</v>
      </c>
      <c r="B1420" s="9" t="inlineStr">
        <is>
          <t>Ayodhya</t>
        </is>
      </c>
      <c r="C1420" s="9" t="inlineStr">
        <is>
          <t>Ayodhya</t>
        </is>
      </c>
      <c r="D1420" s="9" t="inlineStr">
        <is>
          <t>Uttar Pradesh</t>
        </is>
      </c>
      <c r="E1420" s="9" t="inlineStr">
        <is>
          <t>India</t>
        </is>
      </c>
      <c r="F1420" s="9" t="n">
        <v>2</v>
      </c>
      <c r="G1420" s="9" t="n">
        <v>2</v>
      </c>
      <c r="H1420" s="9" t="n">
        <v>1</v>
      </c>
      <c r="I1420" s="10" t="n">
        <v>45356</v>
      </c>
      <c r="J1420" s="10" t="n">
        <v>45358</v>
      </c>
      <c r="K1420" s="9" t="n">
        <v>26.80714</v>
      </c>
      <c r="L1420" s="9" t="n">
        <v>82.21268999999999</v>
      </c>
      <c r="M1420" s="9" t="inlineStr">
        <is>
          <t>https://www.google.com/maps/place/?q=place_id:ChIJYZ_qz4cHmjkRec4P0ev-dg0</t>
        </is>
      </c>
    </row>
    <row r="1421">
      <c r="A1421" s="9" t="n">
        <v>1417</v>
      </c>
      <c r="B1421" s="9" t="inlineStr">
        <is>
          <t>Ayodhya</t>
        </is>
      </c>
      <c r="C1421" s="9" t="inlineStr">
        <is>
          <t>Ayodhya</t>
        </is>
      </c>
      <c r="D1421" s="9" t="inlineStr">
        <is>
          <t>Uttar Pradesh</t>
        </is>
      </c>
      <c r="E1421" s="9" t="inlineStr">
        <is>
          <t>India</t>
        </is>
      </c>
      <c r="F1421" s="9" t="n">
        <v>2</v>
      </c>
      <c r="G1421" s="9" t="n">
        <v>2</v>
      </c>
      <c r="H1421" s="9" t="n">
        <v>1</v>
      </c>
      <c r="I1421" s="10" t="n">
        <v>45357</v>
      </c>
      <c r="J1421" s="10" t="n">
        <v>45358</v>
      </c>
      <c r="K1421" s="9" t="n">
        <v>26.78076</v>
      </c>
      <c r="L1421" s="9" t="n">
        <v>82.18406</v>
      </c>
      <c r="M1421" s="9" t="inlineStr">
        <is>
          <t>https://www.google.com/maps/place/?q=place_id:ChIJKYamIfkHmjkRNhQ7emqoPhk</t>
        </is>
      </c>
    </row>
    <row r="1422">
      <c r="A1422" s="9" t="n">
        <v>1418</v>
      </c>
      <c r="B1422" s="9" t="inlineStr">
        <is>
          <t>Ayodhya</t>
        </is>
      </c>
      <c r="C1422" s="9" t="inlineStr">
        <is>
          <t>Ayodhya</t>
        </is>
      </c>
      <c r="D1422" s="9" t="inlineStr">
        <is>
          <t>Uttar Pradesh</t>
        </is>
      </c>
      <c r="E1422" s="9" t="inlineStr">
        <is>
          <t>India</t>
        </is>
      </c>
      <c r="F1422" s="9" t="n">
        <v>1</v>
      </c>
      <c r="G1422" s="9" t="n">
        <v>1</v>
      </c>
      <c r="H1422" s="9" t="n">
        <v>1</v>
      </c>
      <c r="I1422" s="10" t="n">
        <v>43457</v>
      </c>
      <c r="J1422" s="10" t="n">
        <v>43457</v>
      </c>
      <c r="K1422" s="9" t="n">
        <v>26.79963</v>
      </c>
      <c r="L1422" s="9" t="n">
        <v>82.20385</v>
      </c>
      <c r="M1422" s="9" t="inlineStr">
        <is>
          <t>https://www.google.com/maps/place/?q=place_id:ChIJZU_QAJIHmjkR-hzu0BKkKNg</t>
        </is>
      </c>
    </row>
    <row r="1423">
      <c r="A1423" s="9" t="n">
        <v>1419</v>
      </c>
      <c r="B1423" s="9" t="inlineStr">
        <is>
          <t>Ayodhya</t>
        </is>
      </c>
      <c r="C1423" s="9" t="inlineStr">
        <is>
          <t>Ayodhya</t>
        </is>
      </c>
      <c r="D1423" s="9" t="inlineStr">
        <is>
          <t>Uttar Pradesh</t>
        </is>
      </c>
      <c r="E1423" s="9" t="inlineStr">
        <is>
          <t>India</t>
        </is>
      </c>
      <c r="F1423" s="9" t="n">
        <v>1</v>
      </c>
      <c r="G1423" s="9" t="n">
        <v>1</v>
      </c>
      <c r="H1423" s="9" t="n">
        <v>1</v>
      </c>
      <c r="I1423" s="10" t="n">
        <v>43457</v>
      </c>
      <c r="J1423" s="10" t="n">
        <v>43457</v>
      </c>
      <c r="K1423" s="9" t="n">
        <v>26.79112</v>
      </c>
      <c r="L1423" s="9" t="n">
        <v>82.20083</v>
      </c>
      <c r="M1423" s="9" t="inlineStr">
        <is>
          <t>https://www.google.com/maps/place/?q=place_id:ChIJDwTr-OwHmjkRzOYXwTzOt_0</t>
        </is>
      </c>
    </row>
    <row r="1424">
      <c r="A1424" s="9" t="n">
        <v>1420</v>
      </c>
      <c r="B1424" s="9" t="inlineStr">
        <is>
          <t>Ayodhya</t>
        </is>
      </c>
      <c r="C1424" s="9" t="inlineStr">
        <is>
          <t>Ayodhya</t>
        </is>
      </c>
      <c r="D1424" s="9" t="inlineStr">
        <is>
          <t>Uttar Pradesh</t>
        </is>
      </c>
      <c r="E1424" s="9" t="inlineStr">
        <is>
          <t>India</t>
        </is>
      </c>
      <c r="F1424" s="9" t="n">
        <v>1</v>
      </c>
      <c r="G1424" s="9" t="n">
        <v>1</v>
      </c>
      <c r="H1424" s="9" t="n">
        <v>1</v>
      </c>
      <c r="I1424" s="10" t="n">
        <v>43525</v>
      </c>
      <c r="J1424" s="10" t="n">
        <v>43525</v>
      </c>
      <c r="K1424" s="9" t="n">
        <v>26.79653</v>
      </c>
      <c r="L1424" s="9" t="n">
        <v>82.19945</v>
      </c>
      <c r="M1424" s="9" t="inlineStr">
        <is>
          <t>https://www.google.com/maps/place/?q=place_id:ChIJ11O77JQHmjkRSKJSohr1o0w</t>
        </is>
      </c>
    </row>
    <row r="1425">
      <c r="A1425" s="9" t="n">
        <v>1421</v>
      </c>
      <c r="B1425" s="9" t="inlineStr">
        <is>
          <t>Ayodhya</t>
        </is>
      </c>
      <c r="C1425" s="9" t="inlineStr">
        <is>
          <t>Ayodhya</t>
        </is>
      </c>
      <c r="D1425" s="9" t="inlineStr">
        <is>
          <t>Uttar Pradesh</t>
        </is>
      </c>
      <c r="E1425" s="9" t="inlineStr">
        <is>
          <t>India</t>
        </is>
      </c>
      <c r="F1425" s="9" t="n">
        <v>1</v>
      </c>
      <c r="G1425" s="9" t="n">
        <v>1</v>
      </c>
      <c r="H1425" s="9" t="n">
        <v>1</v>
      </c>
      <c r="I1425" s="10" t="n">
        <v>44522</v>
      </c>
      <c r="J1425" s="10" t="n">
        <v>44522</v>
      </c>
      <c r="K1425" s="9" t="n">
        <v>26.7955</v>
      </c>
      <c r="L1425" s="9" t="n">
        <v>82.21265</v>
      </c>
      <c r="M1425" s="9" t="inlineStr">
        <is>
          <t>https://www.google.com/maps/place/?q=place_id:ChIJkSC9zYoHmjkRSl_WmZpeVz0</t>
        </is>
      </c>
    </row>
    <row r="1426">
      <c r="A1426" s="9" t="n">
        <v>1422</v>
      </c>
      <c r="B1426" s="9" t="inlineStr">
        <is>
          <t>Ayodhya</t>
        </is>
      </c>
      <c r="C1426" s="9" t="inlineStr">
        <is>
          <t>Ayodhya</t>
        </is>
      </c>
      <c r="D1426" s="9" t="inlineStr">
        <is>
          <t>Uttar Pradesh</t>
        </is>
      </c>
      <c r="E1426" s="9" t="inlineStr">
        <is>
          <t>India</t>
        </is>
      </c>
      <c r="F1426" s="9" t="n">
        <v>1</v>
      </c>
      <c r="G1426" s="9" t="n">
        <v>1</v>
      </c>
      <c r="H1426" s="9" t="n">
        <v>1</v>
      </c>
      <c r="I1426" s="10" t="n">
        <v>44522</v>
      </c>
      <c r="J1426" s="10" t="n">
        <v>44522</v>
      </c>
      <c r="K1426" s="9" t="n">
        <v>26.80463</v>
      </c>
      <c r="L1426" s="9" t="n">
        <v>82.20713000000001</v>
      </c>
      <c r="M1426" s="9" t="inlineStr">
        <is>
          <t>https://www.google.com/maps/place/?q=place_id:ChIJ_y4Jc48HmjkRYhCl3tXBi_g</t>
        </is>
      </c>
    </row>
    <row r="1427">
      <c r="A1427" s="9" t="n">
        <v>1423</v>
      </c>
      <c r="B1427" s="9" t="inlineStr">
        <is>
          <t>Ayodhya</t>
        </is>
      </c>
      <c r="C1427" s="9" t="inlineStr">
        <is>
          <t>Ayodhya</t>
        </is>
      </c>
      <c r="D1427" s="9" t="inlineStr">
        <is>
          <t>Uttar Pradesh</t>
        </is>
      </c>
      <c r="E1427" s="9" t="inlineStr">
        <is>
          <t>India</t>
        </is>
      </c>
      <c r="F1427" s="9" t="n">
        <v>1</v>
      </c>
      <c r="G1427" s="9" t="n">
        <v>1</v>
      </c>
      <c r="H1427" s="9" t="n">
        <v>1</v>
      </c>
      <c r="I1427" s="10" t="n">
        <v>44522</v>
      </c>
      <c r="J1427" s="10" t="n">
        <v>44522</v>
      </c>
      <c r="K1427" s="9" t="n">
        <v>26.79876</v>
      </c>
      <c r="L1427" s="9" t="n">
        <v>82.21021</v>
      </c>
      <c r="M1427" s="9" t="inlineStr">
        <is>
          <t>https://www.google.com/maps/place/?q=place_id:ChIJY_-YkosHmjkRtC_yWfhPZyY</t>
        </is>
      </c>
    </row>
    <row r="1428">
      <c r="A1428" s="9" t="n">
        <v>1424</v>
      </c>
      <c r="B1428" s="9" t="inlineStr">
        <is>
          <t>Ayodhya</t>
        </is>
      </c>
      <c r="C1428" s="9" t="inlineStr">
        <is>
          <t>Ayodhya</t>
        </is>
      </c>
      <c r="D1428" s="9" t="inlineStr">
        <is>
          <t>Uttar Pradesh</t>
        </is>
      </c>
      <c r="E1428" s="9" t="inlineStr">
        <is>
          <t>India</t>
        </is>
      </c>
      <c r="F1428" s="9" t="n">
        <v>1</v>
      </c>
      <c r="G1428" s="9" t="n">
        <v>2</v>
      </c>
      <c r="H1428" s="9" t="n">
        <v>1</v>
      </c>
      <c r="I1428" s="10" t="n">
        <v>45356</v>
      </c>
      <c r="J1428" s="10" t="n">
        <v>45357</v>
      </c>
      <c r="K1428" s="9" t="n">
        <v>26.78053</v>
      </c>
      <c r="L1428" s="9" t="n">
        <v>82.184</v>
      </c>
      <c r="M1428" s="9" t="inlineStr">
        <is>
          <t>https://www.google.com/maps/place/?q=place_id:ChIJTXfFIAAHmjkR6sOV9mqluDM</t>
        </is>
      </c>
    </row>
    <row r="1429">
      <c r="A1429" s="9" t="n">
        <v>1425</v>
      </c>
      <c r="B1429" s="9" t="inlineStr">
        <is>
          <t>Ayodhya</t>
        </is>
      </c>
      <c r="C1429" s="9" t="inlineStr">
        <is>
          <t>Ayodhya</t>
        </is>
      </c>
      <c r="D1429" s="9" t="inlineStr">
        <is>
          <t>Uttar Pradesh</t>
        </is>
      </c>
      <c r="E1429" s="9" t="inlineStr">
        <is>
          <t>India</t>
        </is>
      </c>
      <c r="F1429" s="9" t="n">
        <v>1</v>
      </c>
      <c r="G1429" s="9" t="n">
        <v>1</v>
      </c>
      <c r="H1429" s="9" t="n">
        <v>1</v>
      </c>
      <c r="I1429" s="10" t="n">
        <v>45357</v>
      </c>
      <c r="J1429" s="10" t="n">
        <v>45357</v>
      </c>
      <c r="K1429" s="9" t="n">
        <v>26.7708</v>
      </c>
      <c r="L1429" s="9" t="n">
        <v>82.21068</v>
      </c>
      <c r="M1429" s="9" t="inlineStr">
        <is>
          <t>https://www.google.com/maps/place/?q=place_id:ChIJWy_bFOgJmjkRrmdd4-F7DFQ</t>
        </is>
      </c>
    </row>
    <row r="1430">
      <c r="A1430" s="9" t="n">
        <v>1426</v>
      </c>
      <c r="B1430" s="9" t="inlineStr">
        <is>
          <t>Ayodhya</t>
        </is>
      </c>
      <c r="C1430" s="9" t="inlineStr">
        <is>
          <t>Ayodhya</t>
        </is>
      </c>
      <c r="D1430" s="9" t="inlineStr">
        <is>
          <t>Uttar Pradesh</t>
        </is>
      </c>
      <c r="E1430" s="9" t="inlineStr">
        <is>
          <t>India</t>
        </is>
      </c>
      <c r="F1430" s="9" t="n">
        <v>1</v>
      </c>
      <c r="G1430" s="9" t="n">
        <v>1</v>
      </c>
      <c r="H1430" s="9" t="n">
        <v>1</v>
      </c>
      <c r="I1430" s="10" t="n">
        <v>45358</v>
      </c>
      <c r="J1430" s="10" t="n">
        <v>45358</v>
      </c>
      <c r="K1430" s="9" t="n">
        <v>26.75214</v>
      </c>
      <c r="L1430" s="9" t="n">
        <v>82.20824</v>
      </c>
      <c r="M1430" s="9" t="inlineStr">
        <is>
          <t>https://www.google.com/maps/place/?q=place_id:ChIJL24IQRkImjkR-e8olVzVpdw</t>
        </is>
      </c>
    </row>
    <row r="1431">
      <c r="A1431" s="9" t="n">
        <v>1427</v>
      </c>
      <c r="B1431" s="9" t="inlineStr">
        <is>
          <t>Ayodhya</t>
        </is>
      </c>
      <c r="C1431" s="9" t="inlineStr">
        <is>
          <t>Ayodhya</t>
        </is>
      </c>
      <c r="D1431" s="9" t="inlineStr">
        <is>
          <t>Uttar Pradesh</t>
        </is>
      </c>
      <c r="E1431" s="9" t="inlineStr">
        <is>
          <t>India</t>
        </is>
      </c>
      <c r="F1431" s="9" t="n">
        <v>1</v>
      </c>
      <c r="G1431" s="9" t="n">
        <v>1</v>
      </c>
      <c r="H1431" s="9" t="n">
        <v>1</v>
      </c>
      <c r="I1431" s="10" t="n">
        <v>45358</v>
      </c>
      <c r="J1431" s="10" t="n">
        <v>45358</v>
      </c>
      <c r="K1431" s="9" t="n">
        <v>26.74946</v>
      </c>
      <c r="L1431" s="9" t="n">
        <v>82.21724</v>
      </c>
      <c r="M1431" s="9" t="inlineStr">
        <is>
          <t>https://www.google.com/maps/place/?q=place_id:ChIJ54b_IfWnkDkR_c5DTNuS2xI</t>
        </is>
      </c>
    </row>
    <row r="1432">
      <c r="A1432" s="9" t="n">
        <v>1428</v>
      </c>
      <c r="B1432" s="9" t="inlineStr">
        <is>
          <t>Ayodhya</t>
        </is>
      </c>
      <c r="C1432" s="9" t="inlineStr">
        <is>
          <t>Ayodhya</t>
        </is>
      </c>
      <c r="D1432" s="9" t="inlineStr">
        <is>
          <t>Uttar Pradesh</t>
        </is>
      </c>
      <c r="E1432" s="9" t="inlineStr">
        <is>
          <t>India</t>
        </is>
      </c>
      <c r="F1432" s="9" t="n">
        <v>1</v>
      </c>
      <c r="G1432" s="9" t="n">
        <v>1</v>
      </c>
      <c r="H1432" s="9" t="n">
        <v>1</v>
      </c>
      <c r="I1432" s="10" t="n">
        <v>45360</v>
      </c>
      <c r="J1432" s="10" t="n">
        <v>45360</v>
      </c>
      <c r="K1432" s="9" t="n">
        <v>26.79569</v>
      </c>
      <c r="L1432" s="9" t="n">
        <v>82.19443</v>
      </c>
      <c r="M1432" s="9" t="inlineStr">
        <is>
          <t>https://www.google.com/maps/place/?q=place_id:ChIJv_B5MM0HmjkR3Kk7siPoiVU</t>
        </is>
      </c>
    </row>
    <row r="1433">
      <c r="A1433" s="9" t="n">
        <v>1429</v>
      </c>
      <c r="B1433" s="9" t="inlineStr">
        <is>
          <t>Ayodhya</t>
        </is>
      </c>
      <c r="C1433" s="9" t="inlineStr">
        <is>
          <t>Ayodhya</t>
        </is>
      </c>
      <c r="D1433" s="9" t="inlineStr">
        <is>
          <t>Uttar Pradesh</t>
        </is>
      </c>
      <c r="E1433" s="9" t="inlineStr">
        <is>
          <t>India</t>
        </is>
      </c>
      <c r="F1433" s="9" t="n">
        <v>1</v>
      </c>
      <c r="G1433" s="9" t="n">
        <v>1</v>
      </c>
      <c r="H1433" s="9" t="n">
        <v>1</v>
      </c>
      <c r="I1433" s="10" t="n">
        <v>45360</v>
      </c>
      <c r="J1433" s="10" t="n">
        <v>45360</v>
      </c>
      <c r="K1433" s="9" t="n">
        <v>26.79318</v>
      </c>
      <c r="L1433" s="9" t="n">
        <v>82.2009</v>
      </c>
      <c r="M1433" s="9" t="inlineStr">
        <is>
          <t>https://www.google.com/maps/place/?q=place_id:ChIJGZpUZtYHmjkRlRf5BbmASRY</t>
        </is>
      </c>
    </row>
    <row r="1434">
      <c r="A1434" s="9" t="n">
        <v>1430</v>
      </c>
      <c r="B1434" s="9" t="inlineStr">
        <is>
          <t>Ayodhya</t>
        </is>
      </c>
      <c r="C1434" s="9" t="inlineStr">
        <is>
          <t>Ayodhya</t>
        </is>
      </c>
      <c r="D1434" s="9" t="inlineStr">
        <is>
          <t>Uttar Pradesh</t>
        </is>
      </c>
      <c r="E1434" s="9" t="inlineStr">
        <is>
          <t>India</t>
        </is>
      </c>
      <c r="F1434" s="9" t="n">
        <v>1</v>
      </c>
      <c r="G1434" s="9" t="n">
        <v>1</v>
      </c>
      <c r="H1434" s="9" t="n">
        <v>1</v>
      </c>
      <c r="I1434" s="10" t="n">
        <v>45361</v>
      </c>
      <c r="J1434" s="10" t="n">
        <v>45361</v>
      </c>
      <c r="K1434" s="9" t="n">
        <v>26.79449</v>
      </c>
      <c r="L1434" s="9" t="n">
        <v>82.20277</v>
      </c>
      <c r="M1434" s="9" t="inlineStr">
        <is>
          <t>https://www.google.com/maps/place/?q=place_id:ChIJP-5mtpIHmjkRH8ZryiAwxS0</t>
        </is>
      </c>
    </row>
    <row r="1435">
      <c r="A1435" s="9" t="n">
        <v>1431</v>
      </c>
      <c r="B1435" s="9" t="inlineStr">
        <is>
          <t>Bela</t>
        </is>
      </c>
      <c r="C1435" s="9" t="inlineStr">
        <is>
          <t>Bela</t>
        </is>
      </c>
      <c r="D1435" s="9" t="inlineStr">
        <is>
          <t>Uttar Pradesh</t>
        </is>
      </c>
      <c r="E1435" s="9" t="inlineStr">
        <is>
          <t>India</t>
        </is>
      </c>
      <c r="F1435" s="9" t="n">
        <v>1</v>
      </c>
      <c r="G1435" s="9" t="n">
        <v>1</v>
      </c>
      <c r="H1435" s="9" t="n">
        <v>1</v>
      </c>
      <c r="I1435" s="10" t="n">
        <v>43493</v>
      </c>
      <c r="J1435" s="10" t="n">
        <v>43493</v>
      </c>
      <c r="K1435" s="9" t="n">
        <v>26.02387</v>
      </c>
      <c r="L1435" s="9" t="n">
        <v>82.02222</v>
      </c>
      <c r="M1435" s="9" t="inlineStr">
        <is>
          <t>https://www.google.com/maps/place/?q=place_id:ChIJ6fMugmiPmjkRFV3iw2H8YM4</t>
        </is>
      </c>
    </row>
    <row r="1436">
      <c r="A1436" s="9" t="n">
        <v>1432</v>
      </c>
      <c r="B1436" s="9" t="inlineStr">
        <is>
          <t>Bindki</t>
        </is>
      </c>
      <c r="C1436" s="9" t="inlineStr">
        <is>
          <t>Bindki</t>
        </is>
      </c>
      <c r="D1436" s="9" t="inlineStr">
        <is>
          <t>Uttar Pradesh</t>
        </is>
      </c>
      <c r="E1436" s="9" t="inlineStr">
        <is>
          <t>India</t>
        </is>
      </c>
      <c r="F1436" s="9" t="n">
        <v>1</v>
      </c>
      <c r="G1436" s="9" t="n">
        <v>1</v>
      </c>
      <c r="H1436" s="9" t="n">
        <v>1</v>
      </c>
      <c r="I1436" s="10" t="n">
        <v>43758</v>
      </c>
      <c r="J1436" s="10" t="n">
        <v>43758</v>
      </c>
      <c r="K1436" s="9" t="n">
        <v>26.03844</v>
      </c>
      <c r="L1436" s="9" t="n">
        <v>80.69956000000001</v>
      </c>
      <c r="M1436" s="9" t="inlineStr">
        <is>
          <t>https://www.google.com/maps/place/?q=place_id:ChIJecXzb72GnDkRw9K52Xp5kwk</t>
        </is>
      </c>
    </row>
    <row r="1437">
      <c r="A1437" s="9" t="n">
        <v>1433</v>
      </c>
      <c r="B1437" s="9" t="inlineStr">
        <is>
          <t>Chandauli</t>
        </is>
      </c>
      <c r="C1437" s="9" t="inlineStr">
        <is>
          <t>Chandauli</t>
        </is>
      </c>
      <c r="D1437" s="9" t="inlineStr">
        <is>
          <t>Uttar Pradesh</t>
        </is>
      </c>
      <c r="E1437" s="9" t="inlineStr">
        <is>
          <t>India</t>
        </is>
      </c>
      <c r="F1437" s="9" t="n">
        <v>1</v>
      </c>
      <c r="G1437" s="9" t="n">
        <v>1</v>
      </c>
      <c r="H1437" s="9" t="n">
        <v>1</v>
      </c>
      <c r="I1437" s="10" t="n">
        <v>43519</v>
      </c>
      <c r="J1437" s="10" t="n">
        <v>43519</v>
      </c>
      <c r="K1437" s="9" t="n">
        <v>25.24018</v>
      </c>
      <c r="L1437" s="9" t="n">
        <v>83.43124</v>
      </c>
      <c r="M1437" s="9" t="inlineStr">
        <is>
          <t>https://www.google.com/maps/place/?q=place_id:ChIJ5-JICAUOjjkRYdIK_tz-u1k</t>
        </is>
      </c>
    </row>
    <row r="1438">
      <c r="A1438" s="9" t="n">
        <v>1434</v>
      </c>
      <c r="B1438" s="9" t="inlineStr">
        <is>
          <t>Chhata</t>
        </is>
      </c>
      <c r="C1438" s="9" t="inlineStr">
        <is>
          <t>Chhata</t>
        </is>
      </c>
      <c r="D1438" s="9" t="inlineStr">
        <is>
          <t>Uttar Pradesh</t>
        </is>
      </c>
      <c r="E1438" s="9" t="inlineStr">
        <is>
          <t>India</t>
        </is>
      </c>
      <c r="F1438" s="9" t="n">
        <v>1</v>
      </c>
      <c r="G1438" s="9" t="n">
        <v>1</v>
      </c>
      <c r="H1438" s="9" t="n">
        <v>1</v>
      </c>
      <c r="I1438" s="10" t="n">
        <v>44865</v>
      </c>
      <c r="J1438" s="10" t="n">
        <v>44865</v>
      </c>
      <c r="K1438" s="9" t="n">
        <v>27.73153</v>
      </c>
      <c r="L1438" s="9" t="n">
        <v>77.49771</v>
      </c>
      <c r="M1438" s="9" t="inlineStr">
        <is>
          <t>https://www.google.com/maps/place/?q=place_id:ChIJu3HKj-I_czkRVWX6D0GQzU0</t>
        </is>
      </c>
    </row>
    <row r="1439">
      <c r="A1439" s="9" t="n">
        <v>1435</v>
      </c>
      <c r="B1439" s="9" t="inlineStr">
        <is>
          <t>Dataganj</t>
        </is>
      </c>
      <c r="C1439" s="9" t="inlineStr">
        <is>
          <t>Dataganj</t>
        </is>
      </c>
      <c r="D1439" s="9" t="inlineStr">
        <is>
          <t>Uttar Pradesh</t>
        </is>
      </c>
      <c r="E1439" s="9" t="inlineStr">
        <is>
          <t>India</t>
        </is>
      </c>
      <c r="F1439" s="9" t="n">
        <v>2</v>
      </c>
      <c r="G1439" s="9" t="n">
        <v>2</v>
      </c>
      <c r="H1439" s="9" t="n">
        <v>2</v>
      </c>
      <c r="I1439" s="10" t="n">
        <v>43520</v>
      </c>
      <c r="J1439" s="10" t="n">
        <v>43524</v>
      </c>
      <c r="K1439" s="9" t="n">
        <v>28.06568</v>
      </c>
      <c r="L1439" s="9" t="n">
        <v>79.47221999999999</v>
      </c>
      <c r="M1439" s="9" t="inlineStr">
        <is>
          <t>https://www.google.com/maps/place/?q=place_id:ChIJmcfttcHRdTkRTJ366MXCUpA</t>
        </is>
      </c>
    </row>
    <row r="1440">
      <c r="A1440" s="9" t="n">
        <v>1436</v>
      </c>
      <c r="B1440" s="9" t="inlineStr">
        <is>
          <t>Deoband</t>
        </is>
      </c>
      <c r="C1440" s="9" t="inlineStr">
        <is>
          <t>Deoband</t>
        </is>
      </c>
      <c r="D1440" s="9" t="inlineStr">
        <is>
          <t>Uttar Pradesh</t>
        </is>
      </c>
      <c r="E1440" s="9" t="inlineStr">
        <is>
          <t>India</t>
        </is>
      </c>
      <c r="F1440" s="9" t="n">
        <v>1</v>
      </c>
      <c r="G1440" s="9" t="n">
        <v>1</v>
      </c>
      <c r="H1440" s="9" t="n">
        <v>1</v>
      </c>
      <c r="I1440" s="10" t="n">
        <v>43655</v>
      </c>
      <c r="J1440" s="10" t="n">
        <v>43655</v>
      </c>
      <c r="K1440" s="9" t="n">
        <v>29.6241</v>
      </c>
      <c r="L1440" s="9" t="n">
        <v>77.68340000000001</v>
      </c>
      <c r="M1440" s="9" t="inlineStr">
        <is>
          <t>https://www.google.com/maps/place/?q=place_id:ChIJRZH0FRynDjkR2Vh6uCgnrBQ</t>
        </is>
      </c>
    </row>
    <row r="1441">
      <c r="A1441" s="9" t="n">
        <v>1437</v>
      </c>
      <c r="B1441" s="9" t="inlineStr">
        <is>
          <t>Etawah</t>
        </is>
      </c>
      <c r="C1441" s="9" t="inlineStr">
        <is>
          <t>Etawah</t>
        </is>
      </c>
      <c r="D1441" s="9" t="inlineStr">
        <is>
          <t>Uttar Pradesh</t>
        </is>
      </c>
      <c r="E1441" s="9" t="inlineStr">
        <is>
          <t>India</t>
        </is>
      </c>
      <c r="F1441" s="9" t="n">
        <v>1</v>
      </c>
      <c r="G1441" s="9" t="n">
        <v>1</v>
      </c>
      <c r="H1441" s="9" t="n">
        <v>1</v>
      </c>
      <c r="I1441" s="10" t="n">
        <v>43658</v>
      </c>
      <c r="J1441" s="10" t="n">
        <v>43658</v>
      </c>
      <c r="K1441" s="9" t="n">
        <v>26.78678</v>
      </c>
      <c r="L1441" s="9" t="n">
        <v>79.02137999999999</v>
      </c>
      <c r="M1441" s="9" t="inlineStr">
        <is>
          <t>https://www.google.com/maps/place/?q=place_id:ChIJzQ9zLn_gdTkRuve8rksfS7E</t>
        </is>
      </c>
    </row>
    <row r="1442">
      <c r="A1442" s="9" t="n">
        <v>1438</v>
      </c>
      <c r="B1442" s="9" t="inlineStr">
        <is>
          <t>Fyzabad</t>
        </is>
      </c>
      <c r="C1442" s="9" t="inlineStr">
        <is>
          <t>Fyzabad</t>
        </is>
      </c>
      <c r="D1442" s="9" t="inlineStr">
        <is>
          <t>Uttar Pradesh</t>
        </is>
      </c>
      <c r="E1442" s="9" t="inlineStr">
        <is>
          <t>India</t>
        </is>
      </c>
      <c r="F1442" s="9" t="n">
        <v>7</v>
      </c>
      <c r="G1442" s="9" t="n">
        <v>5</v>
      </c>
      <c r="H1442" s="9" t="n">
        <v>3</v>
      </c>
      <c r="I1442" s="10" t="n">
        <v>44521</v>
      </c>
      <c r="J1442" s="10" t="n">
        <v>45361</v>
      </c>
      <c r="K1442" s="9" t="n">
        <v>26.77728</v>
      </c>
      <c r="L1442" s="9" t="n">
        <v>82.13633</v>
      </c>
      <c r="M1442" s="9" t="inlineStr">
        <is>
          <t>https://www.google.com/maps/place/?q=place_id:ChIJz6hQdQUGmjkR0WepWp36Pl4</t>
        </is>
      </c>
    </row>
    <row r="1443">
      <c r="A1443" s="9" t="n">
        <v>1439</v>
      </c>
      <c r="B1443" s="9" t="inlineStr">
        <is>
          <t>Fyzabad</t>
        </is>
      </c>
      <c r="C1443" s="9" t="inlineStr">
        <is>
          <t>Fyzabad</t>
        </is>
      </c>
      <c r="D1443" s="9" t="inlineStr">
        <is>
          <t>Uttar Pradesh</t>
        </is>
      </c>
      <c r="E1443" s="9" t="inlineStr">
        <is>
          <t>India</t>
        </is>
      </c>
      <c r="F1443" s="9" t="n">
        <v>2</v>
      </c>
      <c r="G1443" s="9" t="n">
        <v>2</v>
      </c>
      <c r="H1443" s="9" t="n">
        <v>2</v>
      </c>
      <c r="I1443" s="10" t="n">
        <v>45356</v>
      </c>
      <c r="J1443" s="10" t="n">
        <v>45361</v>
      </c>
      <c r="K1443" s="9" t="n">
        <v>26.74803</v>
      </c>
      <c r="L1443" s="9" t="n">
        <v>82.15078</v>
      </c>
      <c r="M1443" s="9" t="inlineStr">
        <is>
          <t>https://www.google.com/maps/place/?q=place_id:ChIJE9gINgAJmjkRfaYfv8RTlU0</t>
        </is>
      </c>
    </row>
    <row r="1444">
      <c r="A1444" s="9" t="n">
        <v>1440</v>
      </c>
      <c r="B1444" s="9" t="inlineStr">
        <is>
          <t>Fyzabad</t>
        </is>
      </c>
      <c r="C1444" s="9" t="inlineStr">
        <is>
          <t>Fyzabad</t>
        </is>
      </c>
      <c r="D1444" s="9" t="inlineStr">
        <is>
          <t>Uttar Pradesh</t>
        </is>
      </c>
      <c r="E1444" s="9" t="inlineStr">
        <is>
          <t>India</t>
        </is>
      </c>
      <c r="F1444" s="9" t="n">
        <v>1</v>
      </c>
      <c r="G1444" s="9" t="n">
        <v>1</v>
      </c>
      <c r="H1444" s="9" t="n">
        <v>1</v>
      </c>
      <c r="I1444" s="10" t="n">
        <v>43457</v>
      </c>
      <c r="J1444" s="10" t="n">
        <v>43457</v>
      </c>
      <c r="K1444" s="9" t="n">
        <v>26.76185</v>
      </c>
      <c r="L1444" s="9" t="n">
        <v>82.11707</v>
      </c>
      <c r="M1444" s="9" t="inlineStr">
        <is>
          <t>https://www.google.com/maps/place/?q=place_id:ChIJJ5EgYlcPmjkR0LVhB8zMPD4</t>
        </is>
      </c>
    </row>
    <row r="1445">
      <c r="A1445" s="9" t="n">
        <v>1441</v>
      </c>
      <c r="B1445" s="9" t="inlineStr">
        <is>
          <t>Fyzabad</t>
        </is>
      </c>
      <c r="C1445" s="9" t="inlineStr">
        <is>
          <t>Fyzabad</t>
        </is>
      </c>
      <c r="D1445" s="9" t="inlineStr">
        <is>
          <t>Uttar Pradesh</t>
        </is>
      </c>
      <c r="E1445" s="9" t="inlineStr">
        <is>
          <t>India</t>
        </is>
      </c>
      <c r="F1445" s="9" t="n">
        <v>1</v>
      </c>
      <c r="G1445" s="9" t="n">
        <v>1</v>
      </c>
      <c r="H1445" s="9" t="n">
        <v>1</v>
      </c>
      <c r="I1445" s="10" t="n">
        <v>43493</v>
      </c>
      <c r="J1445" s="10" t="n">
        <v>43493</v>
      </c>
      <c r="K1445" s="9" t="n">
        <v>26.64554</v>
      </c>
      <c r="L1445" s="9" t="n">
        <v>82.13408</v>
      </c>
      <c r="M1445" s="9" t="inlineStr">
        <is>
          <t>https://www.google.com/maps/place/?q=place_id:ChIJmXgQxM0LmjkRSgyTr3kxrAs</t>
        </is>
      </c>
    </row>
    <row r="1446">
      <c r="A1446" s="9" t="n">
        <v>1442</v>
      </c>
      <c r="B1446" s="9" t="inlineStr">
        <is>
          <t>Fyzabad</t>
        </is>
      </c>
      <c r="C1446" s="9" t="inlineStr">
        <is>
          <t>Fyzabad</t>
        </is>
      </c>
      <c r="D1446" s="9" t="inlineStr">
        <is>
          <t>Uttar Pradesh</t>
        </is>
      </c>
      <c r="E1446" s="9" t="inlineStr">
        <is>
          <t>India</t>
        </is>
      </c>
      <c r="F1446" s="9" t="n">
        <v>1</v>
      </c>
      <c r="G1446" s="9" t="n">
        <v>1</v>
      </c>
      <c r="H1446" s="9" t="n">
        <v>1</v>
      </c>
      <c r="I1446" s="10" t="n">
        <v>44522</v>
      </c>
      <c r="J1446" s="10" t="n">
        <v>44522</v>
      </c>
      <c r="K1446" s="9" t="n">
        <v>26.77458</v>
      </c>
      <c r="L1446" s="9" t="n">
        <v>82.14901999999999</v>
      </c>
      <c r="M1446" s="9" t="inlineStr">
        <is>
          <t>https://www.google.com/maps/place/?q=place_id:ChIJC3kxYSIGmjkRC69JsFz1kkA</t>
        </is>
      </c>
    </row>
    <row r="1447">
      <c r="A1447" s="9" t="n">
        <v>1443</v>
      </c>
      <c r="B1447" s="9" t="inlineStr">
        <is>
          <t>Fyzabad</t>
        </is>
      </c>
      <c r="C1447" s="9" t="inlineStr">
        <is>
          <t>Fyzabad</t>
        </is>
      </c>
      <c r="D1447" s="9" t="inlineStr">
        <is>
          <t>Uttar Pradesh</t>
        </is>
      </c>
      <c r="E1447" s="9" t="inlineStr">
        <is>
          <t>India</t>
        </is>
      </c>
      <c r="F1447" s="9" t="n">
        <v>1</v>
      </c>
      <c r="G1447" s="9" t="n">
        <v>1</v>
      </c>
      <c r="H1447" s="9" t="n">
        <v>1</v>
      </c>
      <c r="I1447" s="10" t="n">
        <v>44523</v>
      </c>
      <c r="J1447" s="10" t="n">
        <v>44523</v>
      </c>
      <c r="K1447" s="9" t="n">
        <v>26.76249</v>
      </c>
      <c r="L1447" s="9" t="n">
        <v>82.14136000000001</v>
      </c>
      <c r="M1447" s="9" t="inlineStr">
        <is>
          <t>https://www.google.com/maps/place/?q=place_id:ChIJ7zxgWKYImjkRxsy-u8oH2l4</t>
        </is>
      </c>
    </row>
    <row r="1448">
      <c r="A1448" s="9" t="n">
        <v>1444</v>
      </c>
      <c r="B1448" s="9" t="inlineStr">
        <is>
          <t>Noida</t>
        </is>
      </c>
      <c r="C1448" s="9" t="inlineStr">
        <is>
          <t>Ghaziabad</t>
        </is>
      </c>
      <c r="D1448" s="9" t="inlineStr">
        <is>
          <t>Uttar Pradesh</t>
        </is>
      </c>
      <c r="E1448" s="9" t="inlineStr">
        <is>
          <t>India</t>
        </is>
      </c>
      <c r="F1448" s="9" t="n">
        <v>3</v>
      </c>
      <c r="G1448" s="9" t="n">
        <v>3</v>
      </c>
      <c r="H1448" s="9" t="n">
        <v>2</v>
      </c>
      <c r="I1448" s="10" t="n">
        <v>43734</v>
      </c>
      <c r="J1448" s="10" t="n">
        <v>45009</v>
      </c>
      <c r="K1448" s="9" t="n">
        <v>28.58673</v>
      </c>
      <c r="L1448" s="9" t="n">
        <v>77.35026999999999</v>
      </c>
      <c r="M1448" s="9" t="inlineStr">
        <is>
          <t>https://www.google.com/maps/place/?q=place_id:ChIJlX3uL6HlDDkRKxeNPcUXtIs</t>
        </is>
      </c>
    </row>
    <row r="1449">
      <c r="A1449" s="9" t="n">
        <v>1445</v>
      </c>
      <c r="B1449" s="9" t="inlineStr">
        <is>
          <t>Noida</t>
        </is>
      </c>
      <c r="C1449" s="9" t="inlineStr">
        <is>
          <t>Ghaziabad</t>
        </is>
      </c>
      <c r="D1449" s="9" t="inlineStr">
        <is>
          <t>Uttar Pradesh</t>
        </is>
      </c>
      <c r="E1449" s="9" t="inlineStr">
        <is>
          <t>India</t>
        </is>
      </c>
      <c r="F1449" s="9" t="n">
        <v>2</v>
      </c>
      <c r="G1449" s="9" t="n">
        <v>3</v>
      </c>
      <c r="H1449" s="9" t="n">
        <v>1</v>
      </c>
      <c r="I1449" s="10" t="n">
        <v>43733</v>
      </c>
      <c r="J1449" s="10" t="n">
        <v>43735</v>
      </c>
      <c r="K1449" s="9" t="n">
        <v>28.58477</v>
      </c>
      <c r="L1449" s="9" t="n">
        <v>77.377</v>
      </c>
      <c r="M1449" s="9" t="inlineStr">
        <is>
          <t>https://www.google.com/maps/place/?q=place_id:ChIJm9OwlwzlDDkR3soIiUvDsWQ</t>
        </is>
      </c>
    </row>
    <row r="1450">
      <c r="A1450" s="9" t="n">
        <v>1446</v>
      </c>
      <c r="B1450" s="9" t="inlineStr">
        <is>
          <t>Noida</t>
        </is>
      </c>
      <c r="C1450" s="9" t="inlineStr">
        <is>
          <t>Ghaziabad</t>
        </is>
      </c>
      <c r="D1450" s="9" t="inlineStr">
        <is>
          <t>Uttar Pradesh</t>
        </is>
      </c>
      <c r="E1450" s="9" t="inlineStr">
        <is>
          <t>India</t>
        </is>
      </c>
      <c r="F1450" s="9" t="n">
        <v>2</v>
      </c>
      <c r="G1450" s="9" t="n">
        <v>3</v>
      </c>
      <c r="H1450" s="9" t="n">
        <v>1</v>
      </c>
      <c r="I1450" s="10" t="n">
        <v>45008</v>
      </c>
      <c r="J1450" s="10" t="n">
        <v>45010</v>
      </c>
      <c r="K1450" s="9" t="n">
        <v>28.58483</v>
      </c>
      <c r="L1450" s="9" t="n">
        <v>77.377</v>
      </c>
      <c r="M1450" s="9" t="inlineStr">
        <is>
          <t>https://www.google.com/maps/place/?q=place_id:ChIJFb4wbYflDDkRG40usDqRCyM</t>
        </is>
      </c>
    </row>
    <row r="1451">
      <c r="A1451" s="9" t="n">
        <v>1447</v>
      </c>
      <c r="B1451" s="9" t="inlineStr">
        <is>
          <t>Ghaziabad</t>
        </is>
      </c>
      <c r="C1451" s="9" t="inlineStr">
        <is>
          <t>Ghaziabad</t>
        </is>
      </c>
      <c r="D1451" s="9" t="inlineStr">
        <is>
          <t>Uttar Pradesh</t>
        </is>
      </c>
      <c r="E1451" s="9" t="inlineStr">
        <is>
          <t>India</t>
        </is>
      </c>
      <c r="F1451" s="9" t="n">
        <v>1</v>
      </c>
      <c r="G1451" s="9" t="n">
        <v>1</v>
      </c>
      <c r="H1451" s="9" t="n">
        <v>1</v>
      </c>
      <c r="I1451" s="10" t="n">
        <v>43643</v>
      </c>
      <c r="J1451" s="10" t="n">
        <v>43643</v>
      </c>
      <c r="K1451" s="9" t="n">
        <v>28.65321</v>
      </c>
      <c r="L1451" s="9" t="n">
        <v>77.42904</v>
      </c>
      <c r="M1451" s="9" t="inlineStr">
        <is>
          <t>https://www.google.com/maps/place/?q=place_id:ChIJ1XnUY9LxDDkR-Hxcc4Zexh4</t>
        </is>
      </c>
    </row>
    <row r="1452">
      <c r="A1452" s="9" t="n">
        <v>1448</v>
      </c>
      <c r="B1452" s="9" t="inlineStr">
        <is>
          <t>Noida</t>
        </is>
      </c>
      <c r="C1452" s="9" t="inlineStr">
        <is>
          <t>Ghaziabad</t>
        </is>
      </c>
      <c r="D1452" s="9" t="inlineStr">
        <is>
          <t>Uttar Pradesh</t>
        </is>
      </c>
      <c r="E1452" s="9" t="inlineStr">
        <is>
          <t>India</t>
        </is>
      </c>
      <c r="F1452" s="9" t="n">
        <v>1</v>
      </c>
      <c r="G1452" s="9" t="n">
        <v>1</v>
      </c>
      <c r="H1452" s="9" t="n">
        <v>1</v>
      </c>
      <c r="I1452" s="10" t="n">
        <v>43733</v>
      </c>
      <c r="J1452" s="10" t="n">
        <v>43733</v>
      </c>
      <c r="K1452" s="9" t="n">
        <v>28.5908</v>
      </c>
      <c r="L1452" s="9" t="n">
        <v>77.36744</v>
      </c>
      <c r="M1452" s="9" t="inlineStr">
        <is>
          <t>https://www.google.com/maps/place/?q=place_id:ChIJC-pXsILlDDkRDyGNwsUtofs</t>
        </is>
      </c>
    </row>
    <row r="1453">
      <c r="A1453" s="9" t="n">
        <v>1449</v>
      </c>
      <c r="B1453" s="9" t="inlineStr">
        <is>
          <t>Noida</t>
        </is>
      </c>
      <c r="C1453" s="9" t="inlineStr">
        <is>
          <t>Ghaziabad</t>
        </is>
      </c>
      <c r="D1453" s="9" t="inlineStr">
        <is>
          <t>Uttar Pradesh</t>
        </is>
      </c>
      <c r="E1453" s="9" t="inlineStr">
        <is>
          <t>India</t>
        </is>
      </c>
      <c r="F1453" s="9" t="n">
        <v>1</v>
      </c>
      <c r="G1453" s="9" t="n">
        <v>1</v>
      </c>
      <c r="H1453" s="9" t="n">
        <v>1</v>
      </c>
      <c r="I1453" s="10" t="n">
        <v>45008</v>
      </c>
      <c r="J1453" s="10" t="n">
        <v>45008</v>
      </c>
      <c r="K1453" s="9" t="n">
        <v>28.57077</v>
      </c>
      <c r="L1453" s="9" t="n">
        <v>77.36194999999999</v>
      </c>
      <c r="M1453" s="9" t="inlineStr">
        <is>
          <t>https://www.google.com/maps/place/?q=place_id:ChIJEQMYd5PlDDkRYVpFpdClqOo</t>
        </is>
      </c>
    </row>
    <row r="1454">
      <c r="A1454" s="9" t="n">
        <v>1450</v>
      </c>
      <c r="B1454" s="9" t="inlineStr">
        <is>
          <t>Gorakhpur</t>
        </is>
      </c>
      <c r="C1454" s="9" t="inlineStr">
        <is>
          <t>Gorakhpur</t>
        </is>
      </c>
      <c r="D1454" s="9" t="inlineStr">
        <is>
          <t>Uttar Pradesh</t>
        </is>
      </c>
      <c r="E1454" s="9" t="inlineStr">
        <is>
          <t>India</t>
        </is>
      </c>
      <c r="F1454" s="9" t="n">
        <v>1</v>
      </c>
      <c r="G1454" s="9" t="n">
        <v>1</v>
      </c>
      <c r="H1454" s="9" t="n">
        <v>1</v>
      </c>
      <c r="I1454" s="10" t="n">
        <v>43527</v>
      </c>
      <c r="J1454" s="10" t="n">
        <v>43527</v>
      </c>
      <c r="K1454" s="9" t="n">
        <v>26.75963</v>
      </c>
      <c r="L1454" s="9" t="n">
        <v>83.38186</v>
      </c>
      <c r="M1454" s="9" t="inlineStr">
        <is>
          <t>https://www.google.com/maps/place/?q=place_id:ChIJW__8KItEkTkR0tbCTFdcr9M</t>
        </is>
      </c>
    </row>
    <row r="1455">
      <c r="A1455" s="9" t="n">
        <v>1451</v>
      </c>
      <c r="B1455" s="9" t="inlineStr">
        <is>
          <t>Govardhan</t>
        </is>
      </c>
      <c r="C1455" s="9" t="inlineStr">
        <is>
          <t>Govardhan</t>
        </is>
      </c>
      <c r="D1455" s="9" t="inlineStr">
        <is>
          <t>Uttar Pradesh</t>
        </is>
      </c>
      <c r="E1455" s="9" t="inlineStr">
        <is>
          <t>India</t>
        </is>
      </c>
      <c r="F1455" s="9" t="n">
        <v>2</v>
      </c>
      <c r="G1455" s="9" t="n">
        <v>2</v>
      </c>
      <c r="H1455" s="9" t="n">
        <v>2</v>
      </c>
      <c r="I1455" s="10" t="n">
        <v>43371</v>
      </c>
      <c r="J1455" s="10" t="n">
        <v>43426</v>
      </c>
      <c r="K1455" s="9" t="n">
        <v>27.52517</v>
      </c>
      <c r="L1455" s="9" t="n">
        <v>77.49172</v>
      </c>
      <c r="M1455" s="9" t="inlineStr">
        <is>
          <t>https://www.google.com/maps/place/?q=place_id:ChIJMafWP-sNczkRhTlQELWoVYo</t>
        </is>
      </c>
    </row>
    <row r="1456">
      <c r="A1456" s="9" t="n">
        <v>1452</v>
      </c>
      <c r="B1456" s="9" t="inlineStr">
        <is>
          <t>Govardhan</t>
        </is>
      </c>
      <c r="C1456" s="9" t="inlineStr">
        <is>
          <t>Govardhan</t>
        </is>
      </c>
      <c r="D1456" s="9" t="inlineStr">
        <is>
          <t>Uttar Pradesh</t>
        </is>
      </c>
      <c r="E1456" s="9" t="inlineStr">
        <is>
          <t>India</t>
        </is>
      </c>
      <c r="F1456" s="9" t="n">
        <v>2</v>
      </c>
      <c r="G1456" s="9" t="n">
        <v>1</v>
      </c>
      <c r="H1456" s="9" t="n">
        <v>1</v>
      </c>
      <c r="I1456" s="10" t="n">
        <v>44392</v>
      </c>
      <c r="J1456" s="10" t="n">
        <v>44392</v>
      </c>
      <c r="K1456" s="9" t="n">
        <v>27.52055</v>
      </c>
      <c r="L1456" s="9" t="n">
        <v>77.4883</v>
      </c>
      <c r="M1456" s="9" t="inlineStr">
        <is>
          <t>https://www.google.com/maps/place/?q=place_id:ChIJZUVg4sENczkRsJKnWKvqKx0</t>
        </is>
      </c>
    </row>
    <row r="1457">
      <c r="A1457" s="9" t="n">
        <v>1453</v>
      </c>
      <c r="B1457" s="9" t="inlineStr">
        <is>
          <t>Govardhan</t>
        </is>
      </c>
      <c r="C1457" s="9" t="inlineStr">
        <is>
          <t>Govardhan</t>
        </is>
      </c>
      <c r="D1457" s="9" t="inlineStr">
        <is>
          <t>Uttar Pradesh</t>
        </is>
      </c>
      <c r="E1457" s="9" t="inlineStr">
        <is>
          <t>India</t>
        </is>
      </c>
      <c r="F1457" s="9" t="n">
        <v>2</v>
      </c>
      <c r="G1457" s="9" t="n">
        <v>2</v>
      </c>
      <c r="H1457" s="9" t="n">
        <v>2</v>
      </c>
      <c r="I1457" s="10" t="n">
        <v>44392</v>
      </c>
      <c r="J1457" s="10" t="n">
        <v>44497</v>
      </c>
      <c r="K1457" s="9" t="n">
        <v>27.5252</v>
      </c>
      <c r="L1457" s="9" t="n">
        <v>77.49138000000001</v>
      </c>
      <c r="M1457" s="9" t="inlineStr">
        <is>
          <t>https://www.google.com/maps/place/?q=place_id:ChIJn2ENE-sNczkRHRKims12qH8</t>
        </is>
      </c>
    </row>
    <row r="1458">
      <c r="A1458" s="9" t="n">
        <v>1454</v>
      </c>
      <c r="B1458" s="9" t="inlineStr">
        <is>
          <t>Govardhan</t>
        </is>
      </c>
      <c r="C1458" s="9" t="inlineStr">
        <is>
          <t>Govardhan</t>
        </is>
      </c>
      <c r="D1458" s="9" t="inlineStr">
        <is>
          <t>Uttar Pradesh</t>
        </is>
      </c>
      <c r="E1458" s="9" t="inlineStr">
        <is>
          <t>India</t>
        </is>
      </c>
      <c r="F1458" s="9" t="n">
        <v>1</v>
      </c>
      <c r="G1458" s="9" t="n">
        <v>1</v>
      </c>
      <c r="H1458" s="9" t="n">
        <v>1</v>
      </c>
      <c r="I1458" s="10" t="n">
        <v>43005</v>
      </c>
      <c r="J1458" s="10" t="n">
        <v>43005</v>
      </c>
      <c r="K1458" s="9" t="n">
        <v>27.49573</v>
      </c>
      <c r="L1458" s="9" t="n">
        <v>77.46074</v>
      </c>
      <c r="M1458" s="9" t="inlineStr">
        <is>
          <t>https://www.google.com/maps/place/?q=place_id:ChIJobF3ZX0OczkRykZSvvXhLRo</t>
        </is>
      </c>
    </row>
    <row r="1459">
      <c r="A1459" s="9" t="n">
        <v>1455</v>
      </c>
      <c r="B1459" s="9" t="inlineStr">
        <is>
          <t>Govardhan</t>
        </is>
      </c>
      <c r="C1459" s="9" t="inlineStr">
        <is>
          <t>Govardhan</t>
        </is>
      </c>
      <c r="D1459" s="9" t="inlineStr">
        <is>
          <t>Uttar Pradesh</t>
        </is>
      </c>
      <c r="E1459" s="9" t="inlineStr">
        <is>
          <t>India</t>
        </is>
      </c>
      <c r="F1459" s="9" t="n">
        <v>1</v>
      </c>
      <c r="G1459" s="9" t="n">
        <v>1</v>
      </c>
      <c r="H1459" s="9" t="n">
        <v>1</v>
      </c>
      <c r="I1459" s="10" t="n">
        <v>43005</v>
      </c>
      <c r="J1459" s="10" t="n">
        <v>43005</v>
      </c>
      <c r="K1459" s="9" t="n">
        <v>27.48023</v>
      </c>
      <c r="L1459" s="9" t="n">
        <v>77.45310000000001</v>
      </c>
      <c r="M1459" s="9" t="inlineStr">
        <is>
          <t>https://www.google.com/maps/place/?q=place_id:ChIJLVutDZEOczkR4h7gLYPhYQQ</t>
        </is>
      </c>
    </row>
    <row r="1460">
      <c r="A1460" s="9" t="n">
        <v>1456</v>
      </c>
      <c r="B1460" s="9" t="inlineStr">
        <is>
          <t>Govardhan</t>
        </is>
      </c>
      <c r="C1460" s="9" t="inlineStr">
        <is>
          <t>Govardhan</t>
        </is>
      </c>
      <c r="D1460" s="9" t="inlineStr">
        <is>
          <t>Uttar Pradesh</t>
        </is>
      </c>
      <c r="E1460" s="9" t="inlineStr">
        <is>
          <t>India</t>
        </is>
      </c>
      <c r="F1460" s="9" t="n">
        <v>1</v>
      </c>
      <c r="G1460" s="9" t="n">
        <v>1</v>
      </c>
      <c r="H1460" s="9" t="n">
        <v>1</v>
      </c>
      <c r="I1460" s="10" t="n">
        <v>43005</v>
      </c>
      <c r="J1460" s="10" t="n">
        <v>43005</v>
      </c>
      <c r="K1460" s="9" t="n">
        <v>27.50278</v>
      </c>
      <c r="L1460" s="9" t="n">
        <v>77.46544</v>
      </c>
      <c r="M1460" s="9" t="inlineStr">
        <is>
          <t>https://www.google.com/maps/place/?q=place_id:ChIJsZTCaXkOczkRs-r6orOpId8</t>
        </is>
      </c>
    </row>
    <row r="1461">
      <c r="A1461" s="9" t="n">
        <v>1457</v>
      </c>
      <c r="B1461" s="9" t="inlineStr">
        <is>
          <t>Govardhan</t>
        </is>
      </c>
      <c r="C1461" s="9" t="inlineStr">
        <is>
          <t>Govardhan</t>
        </is>
      </c>
      <c r="D1461" s="9" t="inlineStr">
        <is>
          <t>Uttar Pradesh</t>
        </is>
      </c>
      <c r="E1461" s="9" t="inlineStr">
        <is>
          <t>India</t>
        </is>
      </c>
      <c r="F1461" s="9" t="n">
        <v>1</v>
      </c>
      <c r="G1461" s="9" t="n">
        <v>1</v>
      </c>
      <c r="H1461" s="9" t="n">
        <v>1</v>
      </c>
      <c r="I1461" s="10" t="n">
        <v>43005</v>
      </c>
      <c r="J1461" s="10" t="n">
        <v>43005</v>
      </c>
      <c r="K1461" s="9" t="n">
        <v>27.51386</v>
      </c>
      <c r="L1461" s="9" t="n">
        <v>77.47646</v>
      </c>
      <c r="M1461" s="9" t="inlineStr">
        <is>
          <t>https://www.google.com/maps/place/?q=place_id:ChIJZ_B4B9wNczkRyVJDlBihKMA</t>
        </is>
      </c>
    </row>
    <row r="1462">
      <c r="A1462" s="9" t="n">
        <v>1458</v>
      </c>
      <c r="B1462" s="9" t="inlineStr">
        <is>
          <t>Govardhan</t>
        </is>
      </c>
      <c r="C1462" s="9" t="inlineStr">
        <is>
          <t>Govardhan</t>
        </is>
      </c>
      <c r="D1462" s="9" t="inlineStr">
        <is>
          <t>Uttar Pradesh</t>
        </is>
      </c>
      <c r="E1462" s="9" t="inlineStr">
        <is>
          <t>India</t>
        </is>
      </c>
      <c r="F1462" s="9" t="n">
        <v>1</v>
      </c>
      <c r="G1462" s="9" t="n">
        <v>1</v>
      </c>
      <c r="H1462" s="9" t="n">
        <v>1</v>
      </c>
      <c r="I1462" s="10" t="n">
        <v>43005</v>
      </c>
      <c r="J1462" s="10" t="n">
        <v>43005</v>
      </c>
      <c r="K1462" s="9" t="n">
        <v>27.52512</v>
      </c>
      <c r="L1462" s="9" t="n">
        <v>77.4926</v>
      </c>
      <c r="M1462" s="9" t="inlineStr">
        <is>
          <t>https://www.google.com/maps/place/?q=place_id:ChIJ0WwoXuBzczkRORmXrE-9t7U</t>
        </is>
      </c>
    </row>
    <row r="1463">
      <c r="A1463" s="9" t="n">
        <v>1459</v>
      </c>
      <c r="B1463" s="9" t="inlineStr">
        <is>
          <t>Govardhan</t>
        </is>
      </c>
      <c r="C1463" s="9" t="inlineStr">
        <is>
          <t>Govardhan</t>
        </is>
      </c>
      <c r="D1463" s="9" t="inlineStr">
        <is>
          <t>Uttar Pradesh</t>
        </is>
      </c>
      <c r="E1463" s="9" t="inlineStr">
        <is>
          <t>India</t>
        </is>
      </c>
      <c r="F1463" s="9" t="n">
        <v>1</v>
      </c>
      <c r="G1463" s="9" t="n">
        <v>1</v>
      </c>
      <c r="H1463" s="9" t="n">
        <v>1</v>
      </c>
      <c r="I1463" s="10" t="n">
        <v>43371</v>
      </c>
      <c r="J1463" s="10" t="n">
        <v>43371</v>
      </c>
      <c r="K1463" s="9" t="n">
        <v>27.46535</v>
      </c>
      <c r="L1463" s="9" t="n">
        <v>77.43711999999999</v>
      </c>
      <c r="M1463" s="9" t="inlineStr">
        <is>
          <t>https://www.google.com/maps/place/?q=place_id:ChIJhcs3QMMOczkR8XeocxMSGZU</t>
        </is>
      </c>
    </row>
    <row r="1464">
      <c r="A1464" s="9" t="n">
        <v>1460</v>
      </c>
      <c r="B1464" s="9" t="inlineStr">
        <is>
          <t>Govardhan</t>
        </is>
      </c>
      <c r="C1464" s="9" t="inlineStr">
        <is>
          <t>Govardhan</t>
        </is>
      </c>
      <c r="D1464" s="9" t="inlineStr">
        <is>
          <t>Uttar Pradesh</t>
        </is>
      </c>
      <c r="E1464" s="9" t="inlineStr">
        <is>
          <t>India</t>
        </is>
      </c>
      <c r="F1464" s="9" t="n">
        <v>1</v>
      </c>
      <c r="G1464" s="9" t="n">
        <v>1</v>
      </c>
      <c r="H1464" s="9" t="n">
        <v>1</v>
      </c>
      <c r="I1464" s="10" t="n">
        <v>43426</v>
      </c>
      <c r="J1464" s="10" t="n">
        <v>43426</v>
      </c>
      <c r="K1464" s="9" t="n">
        <v>27.49857</v>
      </c>
      <c r="L1464" s="9" t="n">
        <v>77.46733</v>
      </c>
      <c r="M1464" s="9" t="inlineStr">
        <is>
          <t>https://www.google.com/maps/place/?q=place_id:ChIJ_____34OczkRNAW_nfTpXBo</t>
        </is>
      </c>
    </row>
    <row r="1465">
      <c r="A1465" s="9" t="n">
        <v>1461</v>
      </c>
      <c r="B1465" s="9" t="inlineStr">
        <is>
          <t>Govardhan</t>
        </is>
      </c>
      <c r="C1465" s="9" t="inlineStr">
        <is>
          <t>Govardhan</t>
        </is>
      </c>
      <c r="D1465" s="9" t="inlineStr">
        <is>
          <t>Uttar Pradesh</t>
        </is>
      </c>
      <c r="E1465" s="9" t="inlineStr">
        <is>
          <t>India</t>
        </is>
      </c>
      <c r="F1465" s="9" t="n">
        <v>1</v>
      </c>
      <c r="G1465" s="9" t="n">
        <v>1</v>
      </c>
      <c r="H1465" s="9" t="n">
        <v>1</v>
      </c>
      <c r="I1465" s="10" t="n">
        <v>43426</v>
      </c>
      <c r="J1465" s="10" t="n">
        <v>43426</v>
      </c>
      <c r="K1465" s="9" t="n">
        <v>27.50292</v>
      </c>
      <c r="L1465" s="9" t="n">
        <v>77.46572999999999</v>
      </c>
      <c r="M1465" s="9" t="inlineStr">
        <is>
          <t>https://www.google.com/maps/place/?q=place_id:ChIJZy4-GT0PczkR73aGMSIJ35k</t>
        </is>
      </c>
    </row>
    <row r="1466">
      <c r="A1466" s="9" t="n">
        <v>1462</v>
      </c>
      <c r="B1466" s="9" t="inlineStr">
        <is>
          <t>Govardhan</t>
        </is>
      </c>
      <c r="C1466" s="9" t="inlineStr">
        <is>
          <t>Govardhan</t>
        </is>
      </c>
      <c r="D1466" s="9" t="inlineStr">
        <is>
          <t>Uttar Pradesh</t>
        </is>
      </c>
      <c r="E1466" s="9" t="inlineStr">
        <is>
          <t>India</t>
        </is>
      </c>
      <c r="F1466" s="9" t="n">
        <v>1</v>
      </c>
      <c r="G1466" s="9" t="n">
        <v>1</v>
      </c>
      <c r="H1466" s="9" t="n">
        <v>1</v>
      </c>
      <c r="I1466" s="10" t="n">
        <v>43426</v>
      </c>
      <c r="J1466" s="10" t="n">
        <v>43426</v>
      </c>
      <c r="K1466" s="9" t="n">
        <v>27.52263</v>
      </c>
      <c r="L1466" s="9" t="n">
        <v>77.50311000000001</v>
      </c>
      <c r="M1466" s="9" t="inlineStr">
        <is>
          <t>https://www.google.com/maps/place/?q=place_id:ChIJY6Fu3ZcNczkRZwycutcJFy8</t>
        </is>
      </c>
    </row>
    <row r="1467">
      <c r="A1467" s="9" t="n">
        <v>1463</v>
      </c>
      <c r="B1467" s="9" t="inlineStr">
        <is>
          <t>Govardhan</t>
        </is>
      </c>
      <c r="C1467" s="9" t="inlineStr">
        <is>
          <t>Govardhan</t>
        </is>
      </c>
      <c r="D1467" s="9" t="inlineStr">
        <is>
          <t>Uttar Pradesh</t>
        </is>
      </c>
      <c r="E1467" s="9" t="inlineStr">
        <is>
          <t>India</t>
        </is>
      </c>
      <c r="F1467" s="9" t="n">
        <v>1</v>
      </c>
      <c r="G1467" s="9" t="n">
        <v>1</v>
      </c>
      <c r="H1467" s="9" t="n">
        <v>1</v>
      </c>
      <c r="I1467" s="10" t="n">
        <v>44392</v>
      </c>
      <c r="J1467" s="10" t="n">
        <v>44392</v>
      </c>
      <c r="K1467" s="9" t="n">
        <v>27.49804</v>
      </c>
      <c r="L1467" s="9" t="n">
        <v>77.46356</v>
      </c>
      <c r="M1467" s="9" t="inlineStr">
        <is>
          <t>https://www.google.com/maps/place/?q=place_id:ChIJaWM7LXwOczkRPMF1-Lib21E</t>
        </is>
      </c>
    </row>
    <row r="1468">
      <c r="A1468" s="9" t="n">
        <v>1464</v>
      </c>
      <c r="B1468" s="9" t="inlineStr">
        <is>
          <t>Govardhan</t>
        </is>
      </c>
      <c r="C1468" s="9" t="inlineStr">
        <is>
          <t>Govardhan</t>
        </is>
      </c>
      <c r="D1468" s="9" t="inlineStr">
        <is>
          <t>Uttar Pradesh</t>
        </is>
      </c>
      <c r="E1468" s="9" t="inlineStr">
        <is>
          <t>India</t>
        </is>
      </c>
      <c r="F1468" s="9" t="n">
        <v>1</v>
      </c>
      <c r="G1468" s="9" t="n">
        <v>1</v>
      </c>
      <c r="H1468" s="9" t="n">
        <v>1</v>
      </c>
      <c r="I1468" s="10" t="n">
        <v>44392</v>
      </c>
      <c r="J1468" s="10" t="n">
        <v>44392</v>
      </c>
      <c r="K1468" s="9" t="n">
        <v>27.46852</v>
      </c>
      <c r="L1468" s="9" t="n">
        <v>77.44062</v>
      </c>
      <c r="M1468" s="9" t="inlineStr">
        <is>
          <t>https://www.google.com/maps/place/?q=place_id:ChIJX9r8PMIOczkRdBOoHKVfbNU</t>
        </is>
      </c>
    </row>
    <row r="1469">
      <c r="A1469" s="9" t="n">
        <v>1465</v>
      </c>
      <c r="B1469" s="9" t="inlineStr">
        <is>
          <t>Govardhan</t>
        </is>
      </c>
      <c r="C1469" s="9" t="inlineStr">
        <is>
          <t>Govardhan</t>
        </is>
      </c>
      <c r="D1469" s="9" t="inlineStr">
        <is>
          <t>Uttar Pradesh</t>
        </is>
      </c>
      <c r="E1469" s="9" t="inlineStr">
        <is>
          <t>India</t>
        </is>
      </c>
      <c r="F1469" s="9" t="n">
        <v>1</v>
      </c>
      <c r="G1469" s="9" t="n">
        <v>1</v>
      </c>
      <c r="H1469" s="9" t="n">
        <v>1</v>
      </c>
      <c r="I1469" s="10" t="n">
        <v>44392</v>
      </c>
      <c r="J1469" s="10" t="n">
        <v>44392</v>
      </c>
      <c r="K1469" s="9" t="n">
        <v>27.4714</v>
      </c>
      <c r="L1469" s="9" t="n">
        <v>77.43805999999999</v>
      </c>
      <c r="M1469" s="9" t="inlineStr">
        <is>
          <t>https://www.google.com/maps/place/?q=place_id:ChIJR_PXN-gOczkRnniaCAotIN0</t>
        </is>
      </c>
    </row>
    <row r="1470">
      <c r="A1470" s="9" t="n">
        <v>1466</v>
      </c>
      <c r="B1470" s="9" t="inlineStr">
        <is>
          <t>Govardhan</t>
        </is>
      </c>
      <c r="C1470" s="9" t="inlineStr">
        <is>
          <t>Govardhan</t>
        </is>
      </c>
      <c r="D1470" s="9" t="inlineStr">
        <is>
          <t>Uttar Pradesh</t>
        </is>
      </c>
      <c r="E1470" s="9" t="inlineStr">
        <is>
          <t>India</t>
        </is>
      </c>
      <c r="F1470" s="9" t="n">
        <v>1</v>
      </c>
      <c r="G1470" s="9" t="n">
        <v>1</v>
      </c>
      <c r="H1470" s="9" t="n">
        <v>1</v>
      </c>
      <c r="I1470" s="10" t="n">
        <v>44497</v>
      </c>
      <c r="J1470" s="10" t="n">
        <v>44497</v>
      </c>
      <c r="K1470" s="9" t="n">
        <v>27.51201</v>
      </c>
      <c r="L1470" s="9" t="n">
        <v>77.47826000000001</v>
      </c>
      <c r="M1470" s="9" t="inlineStr">
        <is>
          <t>https://www.google.com/maps/place/?q=place_id:ChIJoe6MpdsNczkR2RJcjv-YG_c</t>
        </is>
      </c>
    </row>
    <row r="1471">
      <c r="A1471" s="9" t="n">
        <v>1467</v>
      </c>
      <c r="B1471" s="9" t="inlineStr">
        <is>
          <t>Govardhan</t>
        </is>
      </c>
      <c r="C1471" s="9" t="inlineStr">
        <is>
          <t>Govardhan</t>
        </is>
      </c>
      <c r="D1471" s="9" t="inlineStr">
        <is>
          <t>Uttar Pradesh</t>
        </is>
      </c>
      <c r="E1471" s="9" t="inlineStr">
        <is>
          <t>India</t>
        </is>
      </c>
      <c r="F1471" s="9" t="n">
        <v>1</v>
      </c>
      <c r="G1471" s="9" t="n">
        <v>1</v>
      </c>
      <c r="H1471" s="9" t="n">
        <v>1</v>
      </c>
      <c r="I1471" s="10" t="n">
        <v>44497</v>
      </c>
      <c r="J1471" s="10" t="n">
        <v>44497</v>
      </c>
      <c r="K1471" s="9" t="n">
        <v>27.49807</v>
      </c>
      <c r="L1471" s="9" t="n">
        <v>77.46543</v>
      </c>
      <c r="M1471" s="9" t="inlineStr">
        <is>
          <t>https://www.google.com/maps/place/?q=place_id:ChIJkZh6Y34OczkRmiT5-gtfNb0</t>
        </is>
      </c>
    </row>
    <row r="1472">
      <c r="A1472" s="9" t="n">
        <v>1468</v>
      </c>
      <c r="B1472" s="9" t="inlineStr">
        <is>
          <t>Govardhan</t>
        </is>
      </c>
      <c r="C1472" s="9" t="inlineStr">
        <is>
          <t>Govardhan</t>
        </is>
      </c>
      <c r="D1472" s="9" t="inlineStr">
        <is>
          <t>Uttar Pradesh</t>
        </is>
      </c>
      <c r="E1472" s="9" t="inlineStr">
        <is>
          <t>India</t>
        </is>
      </c>
      <c r="F1472" s="9" t="n">
        <v>1</v>
      </c>
      <c r="G1472" s="9" t="n">
        <v>1</v>
      </c>
      <c r="H1472" s="9" t="n">
        <v>1</v>
      </c>
      <c r="I1472" s="10" t="n">
        <v>44497</v>
      </c>
      <c r="J1472" s="10" t="n">
        <v>44497</v>
      </c>
      <c r="K1472" s="9" t="n">
        <v>27.46861</v>
      </c>
      <c r="L1472" s="9" t="n">
        <v>77.44067</v>
      </c>
      <c r="M1472" s="9" t="inlineStr">
        <is>
          <t>https://www.google.com/maps/place/?q=place_id:ChIJazvsJMIOczkRgZ9gN6xIVRY</t>
        </is>
      </c>
    </row>
    <row r="1473">
      <c r="A1473" s="9" t="n">
        <v>1469</v>
      </c>
      <c r="B1473" s="9" t="inlineStr">
        <is>
          <t>Govardhan</t>
        </is>
      </c>
      <c r="C1473" s="9" t="inlineStr">
        <is>
          <t>Govardhan</t>
        </is>
      </c>
      <c r="D1473" s="9" t="inlineStr">
        <is>
          <t>Uttar Pradesh</t>
        </is>
      </c>
      <c r="E1473" s="9" t="inlineStr">
        <is>
          <t>India</t>
        </is>
      </c>
      <c r="F1473" s="9" t="n">
        <v>1</v>
      </c>
      <c r="G1473" s="9" t="n">
        <v>1</v>
      </c>
      <c r="H1473" s="9" t="n">
        <v>1</v>
      </c>
      <c r="I1473" s="10" t="n">
        <v>44497</v>
      </c>
      <c r="J1473" s="10" t="n">
        <v>44497</v>
      </c>
      <c r="K1473" s="9" t="n">
        <v>27.45897</v>
      </c>
      <c r="L1473" s="9" t="n">
        <v>77.42862</v>
      </c>
      <c r="M1473" s="9" t="inlineStr">
        <is>
          <t>https://www.google.com/maps/place/?q=place_id:ChIJR6_C6tkOczkRB3lmyx_xjUg</t>
        </is>
      </c>
    </row>
    <row r="1474">
      <c r="A1474" s="9" t="n">
        <v>1470</v>
      </c>
      <c r="B1474" s="9" t="inlineStr">
        <is>
          <t>Govardhan</t>
        </is>
      </c>
      <c r="C1474" s="9" t="inlineStr">
        <is>
          <t>Govardhan</t>
        </is>
      </c>
      <c r="D1474" s="9" t="inlineStr">
        <is>
          <t>Uttar Pradesh</t>
        </is>
      </c>
      <c r="E1474" s="9" t="inlineStr">
        <is>
          <t>India</t>
        </is>
      </c>
      <c r="F1474" s="9" t="n">
        <v>1</v>
      </c>
      <c r="G1474" s="9" t="n">
        <v>1</v>
      </c>
      <c r="H1474" s="9" t="n">
        <v>1</v>
      </c>
      <c r="I1474" s="10" t="n">
        <v>44864</v>
      </c>
      <c r="J1474" s="10" t="n">
        <v>44864</v>
      </c>
      <c r="K1474" s="9" t="n">
        <v>27.51851</v>
      </c>
      <c r="L1474" s="9" t="n">
        <v>77.49233</v>
      </c>
      <c r="M1474" s="9" t="inlineStr">
        <is>
          <t>https://www.google.com/maps/place/?q=place_id:ChIJRQBH-F4NczkRlK9wXjBVNsA</t>
        </is>
      </c>
    </row>
    <row r="1475">
      <c r="A1475" s="9" t="n">
        <v>1471</v>
      </c>
      <c r="B1475" s="9" t="inlineStr">
        <is>
          <t>Govardhan</t>
        </is>
      </c>
      <c r="C1475" s="9" t="inlineStr">
        <is>
          <t>Govardhan</t>
        </is>
      </c>
      <c r="D1475" s="9" t="inlineStr">
        <is>
          <t>Uttar Pradesh</t>
        </is>
      </c>
      <c r="E1475" s="9" t="inlineStr">
        <is>
          <t>India</t>
        </is>
      </c>
      <c r="F1475" s="9" t="n">
        <v>1</v>
      </c>
      <c r="G1475" s="9" t="n">
        <v>1</v>
      </c>
      <c r="H1475" s="9" t="n">
        <v>1</v>
      </c>
      <c r="I1475" s="10" t="n">
        <v>44864</v>
      </c>
      <c r="J1475" s="10" t="n">
        <v>44864</v>
      </c>
      <c r="K1475" s="9" t="n">
        <v>27.51193</v>
      </c>
      <c r="L1475" s="9" t="n">
        <v>77.47869</v>
      </c>
      <c r="M1475" s="9" t="inlineStr">
        <is>
          <t>https://www.google.com/maps/place/?q=place_id:ChIJP_tRr9sNczkREVyMgSNxShs</t>
        </is>
      </c>
    </row>
    <row r="1476">
      <c r="A1476" s="9" t="n">
        <v>1472</v>
      </c>
      <c r="B1476" s="9" t="inlineStr">
        <is>
          <t>Gyanpur</t>
        </is>
      </c>
      <c r="C1476" s="9" t="inlineStr">
        <is>
          <t>Gyanpur</t>
        </is>
      </c>
      <c r="D1476" s="9" t="inlineStr">
        <is>
          <t>Uttar Pradesh</t>
        </is>
      </c>
      <c r="E1476" s="9" t="inlineStr">
        <is>
          <t>India</t>
        </is>
      </c>
      <c r="F1476" s="9" t="n">
        <v>1</v>
      </c>
      <c r="G1476" s="9" t="n">
        <v>1</v>
      </c>
      <c r="H1476" s="9" t="n">
        <v>1</v>
      </c>
      <c r="I1476" s="10" t="n">
        <v>43756</v>
      </c>
      <c r="J1476" s="10" t="n">
        <v>43756</v>
      </c>
      <c r="K1476" s="9" t="n">
        <v>25.2794</v>
      </c>
      <c r="L1476" s="9" t="n">
        <v>82.4495</v>
      </c>
      <c r="M1476" s="9" t="inlineStr">
        <is>
          <t>https://www.google.com/maps/place/?q=place_id:ChIJ78EI6GHvjzkRWKprl8K9X8w</t>
        </is>
      </c>
    </row>
    <row r="1477">
      <c r="A1477" s="9" t="n">
        <v>1473</v>
      </c>
      <c r="B1477" s="9" t="inlineStr">
        <is>
          <t>Handia</t>
        </is>
      </c>
      <c r="C1477" s="9" t="inlineStr">
        <is>
          <t>Handia</t>
        </is>
      </c>
      <c r="D1477" s="9" t="inlineStr">
        <is>
          <t>Uttar Pradesh</t>
        </is>
      </c>
      <c r="E1477" s="9" t="inlineStr">
        <is>
          <t>India</t>
        </is>
      </c>
      <c r="F1477" s="9" t="n">
        <v>1</v>
      </c>
      <c r="G1477" s="9" t="n">
        <v>1</v>
      </c>
      <c r="H1477" s="9" t="n">
        <v>1</v>
      </c>
      <c r="I1477" s="10" t="n">
        <v>43756</v>
      </c>
      <c r="J1477" s="10" t="n">
        <v>43756</v>
      </c>
      <c r="K1477" s="9" t="n">
        <v>25.34981</v>
      </c>
      <c r="L1477" s="9" t="n">
        <v>82.2376</v>
      </c>
      <c r="M1477" s="9" t="inlineStr">
        <is>
          <t>https://www.google.com/maps/place/?q=place_id:ChIJY4yzDTL5jzkRPHhPb19JuHg</t>
        </is>
      </c>
    </row>
    <row r="1478">
      <c r="A1478" s="9" t="n">
        <v>1474</v>
      </c>
      <c r="B1478" s="9" t="inlineStr">
        <is>
          <t>Handia</t>
        </is>
      </c>
      <c r="C1478" s="9" t="inlineStr">
        <is>
          <t>Handia</t>
        </is>
      </c>
      <c r="D1478" s="9" t="inlineStr">
        <is>
          <t>Uttar Pradesh</t>
        </is>
      </c>
      <c r="E1478" s="9" t="inlineStr">
        <is>
          <t>India</t>
        </is>
      </c>
      <c r="F1478" s="9" t="n">
        <v>1</v>
      </c>
      <c r="G1478" s="9" t="n">
        <v>1</v>
      </c>
      <c r="H1478" s="9" t="n">
        <v>1</v>
      </c>
      <c r="I1478" s="10" t="n">
        <v>43758</v>
      </c>
      <c r="J1478" s="10" t="n">
        <v>43758</v>
      </c>
      <c r="K1478" s="9" t="n">
        <v>25.36651</v>
      </c>
      <c r="L1478" s="9" t="n">
        <v>82.16142000000001</v>
      </c>
      <c r="M1478" s="9" t="inlineStr">
        <is>
          <t>https://www.google.com/maps/place/?q=place_id:ChIJhcHmDtRVhTkRmde6Y8qsnFA</t>
        </is>
      </c>
    </row>
    <row r="1479">
      <c r="A1479" s="9" t="n">
        <v>1475</v>
      </c>
      <c r="B1479" s="9" t="inlineStr">
        <is>
          <t>Jaswantnagar</t>
        </is>
      </c>
      <c r="C1479" s="9" t="inlineStr">
        <is>
          <t>Jaswantnagar</t>
        </is>
      </c>
      <c r="D1479" s="9" t="inlineStr">
        <is>
          <t>Uttar Pradesh</t>
        </is>
      </c>
      <c r="E1479" s="9" t="inlineStr">
        <is>
          <t>India</t>
        </is>
      </c>
      <c r="F1479" s="9" t="n">
        <v>1</v>
      </c>
      <c r="G1479" s="9" t="n">
        <v>1</v>
      </c>
      <c r="H1479" s="9" t="n">
        <v>1</v>
      </c>
      <c r="I1479" s="10" t="n">
        <v>43758</v>
      </c>
      <c r="J1479" s="10" t="n">
        <v>43758</v>
      </c>
      <c r="K1479" s="9" t="n">
        <v>26.86044</v>
      </c>
      <c r="L1479" s="9" t="n">
        <v>78.92399</v>
      </c>
      <c r="M1479" s="9" t="inlineStr">
        <is>
          <t>https://www.google.com/maps/place/?q=place_id:ChIJdQUqh03bdTkRnfXithj3YRY</t>
        </is>
      </c>
    </row>
    <row r="1480">
      <c r="A1480" s="9" t="n">
        <v>1476</v>
      </c>
      <c r="B1480" s="9" t="inlineStr">
        <is>
          <t>Jaswantnagar</t>
        </is>
      </c>
      <c r="C1480" s="9" t="inlineStr">
        <is>
          <t>Jaswantnagar</t>
        </is>
      </c>
      <c r="D1480" s="9" t="inlineStr">
        <is>
          <t>Uttar Pradesh</t>
        </is>
      </c>
      <c r="E1480" s="9" t="inlineStr">
        <is>
          <t>India</t>
        </is>
      </c>
      <c r="F1480" s="9" t="n">
        <v>1</v>
      </c>
      <c r="G1480" s="9" t="n">
        <v>1</v>
      </c>
      <c r="H1480" s="9" t="n">
        <v>1</v>
      </c>
      <c r="I1480" s="10" t="n">
        <v>43758</v>
      </c>
      <c r="J1480" s="10" t="n">
        <v>43758</v>
      </c>
      <c r="K1480" s="9" t="n">
        <v>26.88855</v>
      </c>
      <c r="L1480" s="9" t="n">
        <v>78.89487</v>
      </c>
      <c r="M1480" s="9" t="inlineStr">
        <is>
          <t>https://www.google.com/maps/place/?q=place_id:ChIJZ18HoBrbdTkR7o0viZb8VGI</t>
        </is>
      </c>
    </row>
    <row r="1481">
      <c r="A1481" s="9" t="n">
        <v>1477</v>
      </c>
      <c r="B1481" s="9" t="inlineStr">
        <is>
          <t>Jewar</t>
        </is>
      </c>
      <c r="C1481" s="9" t="inlineStr">
        <is>
          <t>Jewar</t>
        </is>
      </c>
      <c r="D1481" s="9" t="inlineStr">
        <is>
          <t>Uttar Pradesh</t>
        </is>
      </c>
      <c r="E1481" s="9" t="inlineStr">
        <is>
          <t>India</t>
        </is>
      </c>
      <c r="F1481" s="9" t="n">
        <v>1</v>
      </c>
      <c r="G1481" s="9" t="n">
        <v>1</v>
      </c>
      <c r="H1481" s="9" t="n">
        <v>1</v>
      </c>
      <c r="I1481" s="10" t="n">
        <v>45576</v>
      </c>
      <c r="J1481" s="10" t="n">
        <v>45576</v>
      </c>
      <c r="K1481" s="9" t="n">
        <v>28.10844</v>
      </c>
      <c r="L1481" s="9" t="n">
        <v>77.5748</v>
      </c>
      <c r="M1481" s="9" t="inlineStr">
        <is>
          <t>https://www.google.com/maps/place/?q=place_id:ChIJO5uZkE21DDkR4hpL7NL0sCY</t>
        </is>
      </c>
    </row>
    <row r="1482">
      <c r="A1482" s="9" t="n">
        <v>1478</v>
      </c>
      <c r="B1482" s="9" t="inlineStr">
        <is>
          <t>Jhansi</t>
        </is>
      </c>
      <c r="C1482" s="9" t="inlineStr">
        <is>
          <t>Jhansi</t>
        </is>
      </c>
      <c r="D1482" s="9" t="inlineStr">
        <is>
          <t>Uttar Pradesh</t>
        </is>
      </c>
      <c r="E1482" s="9" t="inlineStr">
        <is>
          <t>India</t>
        </is>
      </c>
      <c r="F1482" s="9" t="n">
        <v>2</v>
      </c>
      <c r="G1482" s="9" t="n">
        <v>2</v>
      </c>
      <c r="H1482" s="9" t="n">
        <v>2</v>
      </c>
      <c r="I1482" s="10" t="n">
        <v>43424</v>
      </c>
      <c r="J1482" s="10" t="n">
        <v>44752</v>
      </c>
      <c r="K1482" s="9" t="n">
        <v>25.44436</v>
      </c>
      <c r="L1482" s="9" t="n">
        <v>78.55346</v>
      </c>
      <c r="M1482" s="9" t="inlineStr">
        <is>
          <t>https://www.google.com/maps/place/?q=place_id:ChIJD1HgvNlwdzkRmyz8G0-4P7o</t>
        </is>
      </c>
    </row>
    <row r="1483">
      <c r="A1483" s="9" t="n">
        <v>1479</v>
      </c>
      <c r="B1483" s="9" t="inlineStr">
        <is>
          <t>Kanpur</t>
        </is>
      </c>
      <c r="C1483" s="9" t="inlineStr">
        <is>
          <t>Kanpur</t>
        </is>
      </c>
      <c r="D1483" s="9" t="inlineStr">
        <is>
          <t>Uttar Pradesh</t>
        </is>
      </c>
      <c r="E1483" s="9" t="inlineStr">
        <is>
          <t>India</t>
        </is>
      </c>
      <c r="F1483" s="9" t="n">
        <v>2</v>
      </c>
      <c r="G1483" s="9" t="n">
        <v>2</v>
      </c>
      <c r="H1483" s="9" t="n">
        <v>2</v>
      </c>
      <c r="I1483" s="10" t="n">
        <v>43658</v>
      </c>
      <c r="J1483" s="10" t="n">
        <v>44751</v>
      </c>
      <c r="K1483" s="9" t="n">
        <v>26.4537</v>
      </c>
      <c r="L1483" s="9" t="n">
        <v>80.35124999999999</v>
      </c>
      <c r="M1483" s="9" t="inlineStr">
        <is>
          <t>https://www.google.com/maps/place/?q=place_id:ChIJc9DbR0RHnDkRikAurfrjWlc</t>
        </is>
      </c>
    </row>
    <row r="1484">
      <c r="A1484" s="9" t="n">
        <v>1480</v>
      </c>
      <c r="B1484" s="9" t="inlineStr">
        <is>
          <t>Kanpur</t>
        </is>
      </c>
      <c r="C1484" s="9" t="inlineStr">
        <is>
          <t>Kanpur</t>
        </is>
      </c>
      <c r="D1484" s="9" t="inlineStr">
        <is>
          <t>Uttar Pradesh</t>
        </is>
      </c>
      <c r="E1484" s="9" t="inlineStr">
        <is>
          <t>India</t>
        </is>
      </c>
      <c r="F1484" s="9" t="n">
        <v>1</v>
      </c>
      <c r="G1484" s="9" t="n">
        <v>1</v>
      </c>
      <c r="H1484" s="9" t="n">
        <v>1</v>
      </c>
      <c r="I1484" s="10" t="n">
        <v>43658</v>
      </c>
      <c r="J1484" s="10" t="n">
        <v>43658</v>
      </c>
      <c r="K1484" s="9" t="n">
        <v>26.52694</v>
      </c>
      <c r="L1484" s="9" t="n">
        <v>80.27789</v>
      </c>
      <c r="M1484" s="9" t="inlineStr">
        <is>
          <t>https://www.google.com/maps/place/?q=place_id:ChIJs2Yv8tg5nDkR9bN0_ech2J8</t>
        </is>
      </c>
    </row>
    <row r="1485">
      <c r="A1485" s="9" t="n">
        <v>1481</v>
      </c>
      <c r="B1485" s="9" t="inlineStr">
        <is>
          <t>Kosi</t>
        </is>
      </c>
      <c r="C1485" s="9" t="inlineStr">
        <is>
          <t>Kosi</t>
        </is>
      </c>
      <c r="D1485" s="9" t="inlineStr">
        <is>
          <t>Uttar Pradesh</t>
        </is>
      </c>
      <c r="E1485" s="9" t="inlineStr">
        <is>
          <t>India</t>
        </is>
      </c>
      <c r="F1485" s="9" t="n">
        <v>4</v>
      </c>
      <c r="G1485" s="9" t="n">
        <v>4</v>
      </c>
      <c r="H1485" s="9" t="n">
        <v>4</v>
      </c>
      <c r="I1485" s="10" t="n">
        <v>43004</v>
      </c>
      <c r="J1485" s="10" t="n">
        <v>44863</v>
      </c>
      <c r="K1485" s="9" t="n">
        <v>27.71123</v>
      </c>
      <c r="L1485" s="9" t="n">
        <v>77.38544</v>
      </c>
      <c r="M1485" s="9" t="inlineStr">
        <is>
          <t>https://www.google.com/maps/place/?q=place_id:ChIJD1F7uPsXczkRfpUnYsxeJ_c</t>
        </is>
      </c>
    </row>
    <row r="1486">
      <c r="A1486" s="9" t="n">
        <v>1482</v>
      </c>
      <c r="B1486" s="9" t="inlineStr">
        <is>
          <t>Kosi</t>
        </is>
      </c>
      <c r="C1486" s="9" t="inlineStr">
        <is>
          <t>Kosi</t>
        </is>
      </c>
      <c r="D1486" s="9" t="inlineStr">
        <is>
          <t>Uttar Pradesh</t>
        </is>
      </c>
      <c r="E1486" s="9" t="inlineStr">
        <is>
          <t>India</t>
        </is>
      </c>
      <c r="F1486" s="9" t="n">
        <v>1</v>
      </c>
      <c r="G1486" s="9" t="n">
        <v>1</v>
      </c>
      <c r="H1486" s="9" t="n">
        <v>1</v>
      </c>
      <c r="I1486" s="10" t="n">
        <v>44390</v>
      </c>
      <c r="J1486" s="10" t="n">
        <v>44390</v>
      </c>
      <c r="K1486" s="9" t="n">
        <v>27.71147</v>
      </c>
      <c r="L1486" s="9" t="n">
        <v>77.38867999999999</v>
      </c>
      <c r="M1486" s="9" t="inlineStr">
        <is>
          <t>https://www.google.com/maps/place/?q=place_id:ChIJm2MFxQ4XczkRX9rATeYTR_I</t>
        </is>
      </c>
    </row>
    <row r="1487">
      <c r="A1487" s="9" t="n">
        <v>1483</v>
      </c>
      <c r="B1487" s="9" t="inlineStr">
        <is>
          <t>Kosi</t>
        </is>
      </c>
      <c r="C1487" s="9" t="inlineStr">
        <is>
          <t>Kosi</t>
        </is>
      </c>
      <c r="D1487" s="9" t="inlineStr">
        <is>
          <t>Uttar Pradesh</t>
        </is>
      </c>
      <c r="E1487" s="9" t="inlineStr">
        <is>
          <t>India</t>
        </is>
      </c>
      <c r="F1487" s="9" t="n">
        <v>1</v>
      </c>
      <c r="G1487" s="9" t="n">
        <v>1</v>
      </c>
      <c r="H1487" s="9" t="n">
        <v>1</v>
      </c>
      <c r="I1487" s="10" t="n">
        <v>44498</v>
      </c>
      <c r="J1487" s="10" t="n">
        <v>44498</v>
      </c>
      <c r="K1487" s="9" t="n">
        <v>27.84738</v>
      </c>
      <c r="L1487" s="9" t="n">
        <v>77.40928</v>
      </c>
      <c r="M1487" s="9" t="inlineStr">
        <is>
          <t>https://www.google.com/maps/place/?q=place_id:ChIJbbZHhRA7czkRDSniF8MykKM</t>
        </is>
      </c>
    </row>
    <row r="1488">
      <c r="A1488" s="9" t="n">
        <v>1484</v>
      </c>
      <c r="B1488" s="9" t="inlineStr">
        <is>
          <t>Kosi</t>
        </is>
      </c>
      <c r="C1488" s="9" t="inlineStr">
        <is>
          <t>Kosi</t>
        </is>
      </c>
      <c r="D1488" s="9" t="inlineStr">
        <is>
          <t>Uttar Pradesh</t>
        </is>
      </c>
      <c r="E1488" s="9" t="inlineStr">
        <is>
          <t>India</t>
        </is>
      </c>
      <c r="F1488" s="9" t="n">
        <v>1</v>
      </c>
      <c r="G1488" s="9" t="n">
        <v>1</v>
      </c>
      <c r="H1488" s="9" t="n">
        <v>1</v>
      </c>
      <c r="I1488" s="10" t="n">
        <v>44863</v>
      </c>
      <c r="J1488" s="10" t="n">
        <v>44863</v>
      </c>
      <c r="K1488" s="9" t="n">
        <v>27.71534</v>
      </c>
      <c r="L1488" s="9" t="n">
        <v>77.38285999999999</v>
      </c>
      <c r="M1488" s="9" t="inlineStr">
        <is>
          <t>https://www.google.com/maps/place/?q=place_id:ChIJ0ZdMjf4XczkRc3hh95aR0Kw</t>
        </is>
      </c>
    </row>
    <row r="1489">
      <c r="A1489" s="9" t="n">
        <v>1485</v>
      </c>
      <c r="B1489" s="9" t="inlineStr">
        <is>
          <t>Kosi</t>
        </is>
      </c>
      <c r="C1489" s="9" t="inlineStr">
        <is>
          <t>Kosi</t>
        </is>
      </c>
      <c r="D1489" s="9" t="inlineStr">
        <is>
          <t>Uttar Pradesh</t>
        </is>
      </c>
      <c r="E1489" s="9" t="inlineStr">
        <is>
          <t>India</t>
        </is>
      </c>
      <c r="F1489" s="9" t="n">
        <v>1</v>
      </c>
      <c r="G1489" s="9" t="n">
        <v>1</v>
      </c>
      <c r="H1489" s="9" t="n">
        <v>1</v>
      </c>
      <c r="I1489" s="10" t="n">
        <v>44863</v>
      </c>
      <c r="J1489" s="10" t="n">
        <v>44863</v>
      </c>
      <c r="K1489" s="9" t="n">
        <v>27.71118</v>
      </c>
      <c r="L1489" s="9" t="n">
        <v>77.37004</v>
      </c>
      <c r="M1489" s="9" t="inlineStr">
        <is>
          <t>https://www.google.com/maps/place/?q=place_id:ChIJHVO_LQQYczkRoSOo1wqevGs</t>
        </is>
      </c>
    </row>
    <row r="1490">
      <c r="A1490" s="9" t="n">
        <v>1486</v>
      </c>
      <c r="B1490" s="9" t="inlineStr">
        <is>
          <t>Kunda</t>
        </is>
      </c>
      <c r="C1490" s="9" t="inlineStr">
        <is>
          <t>Kunda</t>
        </is>
      </c>
      <c r="D1490" s="9" t="inlineStr">
        <is>
          <t>Uttar Pradesh</t>
        </is>
      </c>
      <c r="E1490" s="9" t="inlineStr">
        <is>
          <t>India</t>
        </is>
      </c>
      <c r="F1490" s="9" t="n">
        <v>1</v>
      </c>
      <c r="G1490" s="9" t="n">
        <v>1</v>
      </c>
      <c r="H1490" s="9" t="n">
        <v>1</v>
      </c>
      <c r="I1490" s="10" t="n">
        <v>43458</v>
      </c>
      <c r="J1490" s="10" t="n">
        <v>43458</v>
      </c>
      <c r="K1490" s="9" t="n">
        <v>25.9137</v>
      </c>
      <c r="L1490" s="9" t="n">
        <v>81.29340000000001</v>
      </c>
      <c r="M1490" s="9" t="inlineStr">
        <is>
          <t>https://www.google.com/maps/place/?q=place_id:ChIJR_dOSgIRmzkRivHoIPpgT8Q</t>
        </is>
      </c>
    </row>
    <row r="1491">
      <c r="A1491" s="9" t="n">
        <v>1487</v>
      </c>
      <c r="B1491" s="9" t="inlineStr">
        <is>
          <t>Kunda</t>
        </is>
      </c>
      <c r="C1491" s="9" t="inlineStr">
        <is>
          <t>Kunda</t>
        </is>
      </c>
      <c r="D1491" s="9" t="inlineStr">
        <is>
          <t>Uttar Pradesh</t>
        </is>
      </c>
      <c r="E1491" s="9" t="inlineStr">
        <is>
          <t>India</t>
        </is>
      </c>
      <c r="F1491" s="9" t="n">
        <v>1</v>
      </c>
      <c r="G1491" s="9" t="n">
        <v>1</v>
      </c>
      <c r="H1491" s="9" t="n">
        <v>1</v>
      </c>
      <c r="I1491" s="10" t="n">
        <v>43519</v>
      </c>
      <c r="J1491" s="10" t="n">
        <v>43519</v>
      </c>
      <c r="K1491" s="9" t="n">
        <v>25.75087</v>
      </c>
      <c r="L1491" s="9" t="n">
        <v>81.44475</v>
      </c>
      <c r="M1491" s="9" t="inlineStr">
        <is>
          <t>https://www.google.com/maps/place/?q=place_id:ChIJlVNReZkhmzkRSNTioniMJTM</t>
        </is>
      </c>
    </row>
    <row r="1492">
      <c r="A1492" s="9" t="n">
        <v>1488</v>
      </c>
      <c r="B1492" s="9" t="inlineStr">
        <is>
          <t>Kunda</t>
        </is>
      </c>
      <c r="C1492" s="9" t="inlineStr">
        <is>
          <t>Kunda</t>
        </is>
      </c>
      <c r="D1492" s="9" t="inlineStr">
        <is>
          <t>Uttar Pradesh</t>
        </is>
      </c>
      <c r="E1492" s="9" t="inlineStr">
        <is>
          <t>India</t>
        </is>
      </c>
      <c r="F1492" s="9" t="n">
        <v>1</v>
      </c>
      <c r="G1492" s="9" t="n">
        <v>1</v>
      </c>
      <c r="H1492" s="9" t="n">
        <v>1</v>
      </c>
      <c r="I1492" s="10" t="n">
        <v>43754</v>
      </c>
      <c r="J1492" s="10" t="n">
        <v>43754</v>
      </c>
      <c r="K1492" s="9" t="n">
        <v>25.92339</v>
      </c>
      <c r="L1492" s="9" t="n">
        <v>81.29204</v>
      </c>
      <c r="M1492" s="9" t="inlineStr">
        <is>
          <t>https://www.google.com/maps/place/?q=place_id:ChIJNSeVSKoRmzkRxbaBbsBAWwc</t>
        </is>
      </c>
    </row>
    <row r="1493">
      <c r="A1493" s="9" t="n">
        <v>1489</v>
      </c>
      <c r="B1493" s="9" t="inlineStr">
        <is>
          <t>Lucknow</t>
        </is>
      </c>
      <c r="C1493" s="9" t="inlineStr">
        <is>
          <t>Lucknow</t>
        </is>
      </c>
      <c r="D1493" s="9" t="inlineStr">
        <is>
          <t>Uttar Pradesh</t>
        </is>
      </c>
      <c r="E1493" s="9" t="inlineStr">
        <is>
          <t>India</t>
        </is>
      </c>
      <c r="F1493" s="9" t="n">
        <v>13</v>
      </c>
      <c r="G1493" s="9" t="n">
        <v>12</v>
      </c>
      <c r="H1493" s="9" t="n">
        <v>10</v>
      </c>
      <c r="I1493" s="10" t="n">
        <v>43491</v>
      </c>
      <c r="J1493" s="10" t="n">
        <v>45359</v>
      </c>
      <c r="K1493" s="9" t="n">
        <v>26.76546</v>
      </c>
      <c r="L1493" s="9" t="n">
        <v>80.88536000000001</v>
      </c>
      <c r="M1493" s="9" t="inlineStr">
        <is>
          <t>https://www.google.com/maps/place/?q=place_id:ChIJn3aTu075mzkRNWbHdA6FXdI</t>
        </is>
      </c>
    </row>
    <row r="1494">
      <c r="A1494" s="9" t="n">
        <v>1490</v>
      </c>
      <c r="B1494" s="9" t="inlineStr">
        <is>
          <t>Lucknow</t>
        </is>
      </c>
      <c r="C1494" s="9" t="inlineStr">
        <is>
          <t>Lucknow</t>
        </is>
      </c>
      <c r="D1494" s="9" t="inlineStr">
        <is>
          <t>Uttar Pradesh</t>
        </is>
      </c>
      <c r="E1494" s="9" t="inlineStr">
        <is>
          <t>India</t>
        </is>
      </c>
      <c r="F1494" s="9" t="n">
        <v>10</v>
      </c>
      <c r="G1494" s="9" t="n">
        <v>13</v>
      </c>
      <c r="H1494" s="9" t="n">
        <v>2</v>
      </c>
      <c r="I1494" s="10" t="n">
        <v>44734</v>
      </c>
      <c r="J1494" s="10" t="n">
        <v>44751</v>
      </c>
      <c r="K1494" s="9" t="n">
        <v>26.83142</v>
      </c>
      <c r="L1494" s="9" t="n">
        <v>80.94067</v>
      </c>
      <c r="M1494" s="9" t="inlineStr">
        <is>
          <t>https://www.google.com/maps/place/?q=place_id:ChIJI5q2t1X8mzkRS8o7K4UJ6fo</t>
        </is>
      </c>
    </row>
    <row r="1495">
      <c r="A1495" s="9" t="n">
        <v>1491</v>
      </c>
      <c r="B1495" s="9" t="inlineStr">
        <is>
          <t>Lucknow</t>
        </is>
      </c>
      <c r="C1495" s="9" t="inlineStr">
        <is>
          <t>Lucknow</t>
        </is>
      </c>
      <c r="D1495" s="9" t="inlineStr">
        <is>
          <t>Uttar Pradesh</t>
        </is>
      </c>
      <c r="E1495" s="9" t="inlineStr">
        <is>
          <t>India</t>
        </is>
      </c>
      <c r="F1495" s="9" t="n">
        <v>3</v>
      </c>
      <c r="G1495" s="9" t="n">
        <v>7</v>
      </c>
      <c r="H1495" s="9" t="n">
        <v>3</v>
      </c>
      <c r="I1495" s="10" t="n">
        <v>43494</v>
      </c>
      <c r="J1495" s="10" t="n">
        <v>43753</v>
      </c>
      <c r="K1495" s="9" t="n">
        <v>26.84671</v>
      </c>
      <c r="L1495" s="9" t="n">
        <v>80.99826</v>
      </c>
      <c r="M1495" s="9" t="inlineStr">
        <is>
          <t>https://www.google.com/maps/place/?q=place_id:ChIJFRo3ddrimzkReGjJWhGP7w8</t>
        </is>
      </c>
    </row>
    <row r="1496">
      <c r="A1496" s="9" t="n">
        <v>1492</v>
      </c>
      <c r="B1496" s="9" t="inlineStr">
        <is>
          <t>Lucknow</t>
        </is>
      </c>
      <c r="C1496" s="9" t="inlineStr">
        <is>
          <t>Lucknow</t>
        </is>
      </c>
      <c r="D1496" s="9" t="inlineStr">
        <is>
          <t>Uttar Pradesh</t>
        </is>
      </c>
      <c r="E1496" s="9" t="inlineStr">
        <is>
          <t>India</t>
        </is>
      </c>
      <c r="F1496" s="9" t="n">
        <v>2</v>
      </c>
      <c r="G1496" s="9" t="n">
        <v>2</v>
      </c>
      <c r="H1496" s="9" t="n">
        <v>1</v>
      </c>
      <c r="I1496" s="10" t="n">
        <v>45358</v>
      </c>
      <c r="J1496" s="10" t="n">
        <v>45359</v>
      </c>
      <c r="K1496" s="9" t="n">
        <v>26.86923</v>
      </c>
      <c r="L1496" s="9" t="n">
        <v>81.02106000000001</v>
      </c>
      <c r="M1496" s="9" t="inlineStr">
        <is>
          <t>https://www.google.com/maps/place/?q=place_id:ChIJed2TJJTjmzkRn1XJP6MatOM</t>
        </is>
      </c>
    </row>
    <row r="1497">
      <c r="A1497" s="9" t="n">
        <v>1493</v>
      </c>
      <c r="B1497" s="9" t="inlineStr">
        <is>
          <t>Lucknow</t>
        </is>
      </c>
      <c r="C1497" s="9" t="inlineStr">
        <is>
          <t>Lucknow</t>
        </is>
      </c>
      <c r="D1497" s="9" t="inlineStr">
        <is>
          <t>Uttar Pradesh</t>
        </is>
      </c>
      <c r="E1497" s="9" t="inlineStr">
        <is>
          <t>India</t>
        </is>
      </c>
      <c r="F1497" s="9" t="n">
        <v>1</v>
      </c>
      <c r="G1497" s="9" t="n">
        <v>1</v>
      </c>
      <c r="H1497" s="9" t="n">
        <v>1</v>
      </c>
      <c r="I1497" s="10" t="n">
        <v>43458</v>
      </c>
      <c r="J1497" s="10" t="n">
        <v>43458</v>
      </c>
      <c r="K1497" s="9" t="n">
        <v>26.94383</v>
      </c>
      <c r="L1497" s="9" t="n">
        <v>80.93192999999999</v>
      </c>
      <c r="M1497" s="9" t="inlineStr">
        <is>
          <t>https://www.google.com/maps/place/?q=place_id:ChIJb26yfO9WmTkR0YTjwtNq1yk</t>
        </is>
      </c>
    </row>
    <row r="1498">
      <c r="A1498" s="9" t="n">
        <v>1494</v>
      </c>
      <c r="B1498" s="9" t="inlineStr">
        <is>
          <t>Lucknow</t>
        </is>
      </c>
      <c r="C1498" s="9" t="inlineStr">
        <is>
          <t>Lucknow</t>
        </is>
      </c>
      <c r="D1498" s="9" t="inlineStr">
        <is>
          <t>Uttar Pradesh</t>
        </is>
      </c>
      <c r="E1498" s="9" t="inlineStr">
        <is>
          <t>India</t>
        </is>
      </c>
      <c r="F1498" s="9" t="n">
        <v>1</v>
      </c>
      <c r="G1498" s="9" t="n">
        <v>1</v>
      </c>
      <c r="H1498" s="9" t="n">
        <v>1</v>
      </c>
      <c r="I1498" s="10" t="n">
        <v>43491</v>
      </c>
      <c r="J1498" s="10" t="n">
        <v>43491</v>
      </c>
      <c r="K1498" s="9" t="n">
        <v>26.79778</v>
      </c>
      <c r="L1498" s="9" t="n">
        <v>80.90430000000001</v>
      </c>
      <c r="M1498" s="9" t="inlineStr">
        <is>
          <t>https://www.google.com/maps/place/?q=place_id:ChIJebl9H7n-mzkRkjPArMAzj_g</t>
        </is>
      </c>
    </row>
    <row r="1499">
      <c r="A1499" s="9" t="n">
        <v>1495</v>
      </c>
      <c r="B1499" s="9" t="inlineStr">
        <is>
          <t>Lucknow</t>
        </is>
      </c>
      <c r="C1499" s="9" t="inlineStr">
        <is>
          <t>Lucknow</t>
        </is>
      </c>
      <c r="D1499" s="9" t="inlineStr">
        <is>
          <t>Uttar Pradesh</t>
        </is>
      </c>
      <c r="E1499" s="9" t="inlineStr">
        <is>
          <t>India</t>
        </is>
      </c>
      <c r="F1499" s="9" t="n">
        <v>1</v>
      </c>
      <c r="G1499" s="9" t="n">
        <v>1</v>
      </c>
      <c r="H1499" s="9" t="n">
        <v>1</v>
      </c>
      <c r="I1499" s="10" t="n">
        <v>43491</v>
      </c>
      <c r="J1499" s="10" t="n">
        <v>43491</v>
      </c>
      <c r="K1499" s="9" t="n">
        <v>26.86332</v>
      </c>
      <c r="L1499" s="9" t="n">
        <v>80.93602</v>
      </c>
      <c r="M1499" s="9" t="inlineStr">
        <is>
          <t>https://www.google.com/maps/place/?q=place_id:ChIJ39McSZn9mzkRSH7vVDfBhO8</t>
        </is>
      </c>
    </row>
    <row r="1500">
      <c r="A1500" s="9" t="n">
        <v>1496</v>
      </c>
      <c r="B1500" s="9" t="inlineStr">
        <is>
          <t>Lucknow</t>
        </is>
      </c>
      <c r="C1500" s="9" t="inlineStr">
        <is>
          <t>Lucknow</t>
        </is>
      </c>
      <c r="D1500" s="9" t="inlineStr">
        <is>
          <t>Uttar Pradesh</t>
        </is>
      </c>
      <c r="E1500" s="9" t="inlineStr">
        <is>
          <t>India</t>
        </is>
      </c>
      <c r="F1500" s="9" t="n">
        <v>1</v>
      </c>
      <c r="G1500" s="9" t="n">
        <v>1</v>
      </c>
      <c r="H1500" s="9" t="n">
        <v>1</v>
      </c>
      <c r="I1500" s="10" t="n">
        <v>43494</v>
      </c>
      <c r="J1500" s="10" t="n">
        <v>43494</v>
      </c>
      <c r="K1500" s="9" t="n">
        <v>26.86463</v>
      </c>
      <c r="L1500" s="9" t="n">
        <v>80.99632</v>
      </c>
      <c r="M1500" s="9" t="inlineStr">
        <is>
          <t>https://www.google.com/maps/place/?q=place_id:ChIJWRarorfimzkROsmEUEx71hk</t>
        </is>
      </c>
    </row>
    <row r="1501">
      <c r="A1501" s="9" t="n">
        <v>1497</v>
      </c>
      <c r="B1501" s="9" t="inlineStr">
        <is>
          <t>Lucknow</t>
        </is>
      </c>
      <c r="C1501" s="9" t="inlineStr">
        <is>
          <t>Lucknow</t>
        </is>
      </c>
      <c r="D1501" s="9" t="inlineStr">
        <is>
          <t>Uttar Pradesh</t>
        </is>
      </c>
      <c r="E1501" s="9" t="inlineStr">
        <is>
          <t>India</t>
        </is>
      </c>
      <c r="F1501" s="9" t="n">
        <v>1</v>
      </c>
      <c r="G1501" s="9" t="n">
        <v>1</v>
      </c>
      <c r="H1501" s="9" t="n">
        <v>1</v>
      </c>
      <c r="I1501" s="10" t="n">
        <v>43495</v>
      </c>
      <c r="J1501" s="10" t="n">
        <v>43495</v>
      </c>
      <c r="K1501" s="9" t="n">
        <v>26.86914</v>
      </c>
      <c r="L1501" s="9" t="n">
        <v>80.96087</v>
      </c>
      <c r="M1501" s="9" t="inlineStr">
        <is>
          <t>https://www.google.com/maps/place/?q=place_id:ChIJId87BWn9mzkRW0cfqyCCFXk</t>
        </is>
      </c>
    </row>
    <row r="1502">
      <c r="A1502" s="9" t="n">
        <v>1498</v>
      </c>
      <c r="B1502" s="9" t="inlineStr">
        <is>
          <t>Nawabganj</t>
        </is>
      </c>
      <c r="C1502" s="9" t="inlineStr">
        <is>
          <t>Lucknow</t>
        </is>
      </c>
      <c r="D1502" s="9" t="inlineStr">
        <is>
          <t>Uttar Pradesh</t>
        </is>
      </c>
      <c r="E1502" s="9" t="inlineStr">
        <is>
          <t>India</t>
        </is>
      </c>
      <c r="F1502" s="9" t="n">
        <v>1</v>
      </c>
      <c r="G1502" s="9" t="n">
        <v>1</v>
      </c>
      <c r="H1502" s="9" t="n">
        <v>1</v>
      </c>
      <c r="I1502" s="10" t="n">
        <v>43519</v>
      </c>
      <c r="J1502" s="10" t="n">
        <v>43519</v>
      </c>
      <c r="K1502" s="9" t="n">
        <v>26.93416</v>
      </c>
      <c r="L1502" s="9" t="n">
        <v>81.17922</v>
      </c>
      <c r="M1502" s="9" t="inlineStr">
        <is>
          <t>https://www.google.com/maps/place/?q=place_id:ChIJ22yex2VgmTkRZ1K1UtZY23U</t>
        </is>
      </c>
    </row>
    <row r="1503">
      <c r="A1503" s="9" t="n">
        <v>1499</v>
      </c>
      <c r="B1503" s="9" t="inlineStr">
        <is>
          <t>Nawabganj</t>
        </is>
      </c>
      <c r="C1503" s="9" t="inlineStr">
        <is>
          <t>Lucknow</t>
        </is>
      </c>
      <c r="D1503" s="9" t="inlineStr">
        <is>
          <t>Uttar Pradesh</t>
        </is>
      </c>
      <c r="E1503" s="9" t="inlineStr">
        <is>
          <t>India</t>
        </is>
      </c>
      <c r="F1503" s="9" t="n">
        <v>1</v>
      </c>
      <c r="G1503" s="9" t="n">
        <v>1</v>
      </c>
      <c r="H1503" s="9" t="n">
        <v>1</v>
      </c>
      <c r="I1503" s="10" t="n">
        <v>43522</v>
      </c>
      <c r="J1503" s="10" t="n">
        <v>43522</v>
      </c>
      <c r="K1503" s="9" t="n">
        <v>26.90467</v>
      </c>
      <c r="L1503" s="9" t="n">
        <v>81.18729</v>
      </c>
      <c r="M1503" s="9" t="inlineStr">
        <is>
          <t>https://www.google.com/maps/place/?q=place_id:ChIJ0_YkPSJgmTkRRC9YlfCQqvQ</t>
        </is>
      </c>
    </row>
    <row r="1504">
      <c r="A1504" s="9" t="n">
        <v>1500</v>
      </c>
      <c r="B1504" s="9" t="inlineStr">
        <is>
          <t>Lucknow</t>
        </is>
      </c>
      <c r="C1504" s="9" t="inlineStr">
        <is>
          <t>Lucknow</t>
        </is>
      </c>
      <c r="D1504" s="9" t="inlineStr">
        <is>
          <t>Uttar Pradesh</t>
        </is>
      </c>
      <c r="E1504" s="9" t="inlineStr">
        <is>
          <t>India</t>
        </is>
      </c>
      <c r="F1504" s="9" t="n">
        <v>1</v>
      </c>
      <c r="G1504" s="9" t="n">
        <v>1</v>
      </c>
      <c r="H1504" s="9" t="n">
        <v>1</v>
      </c>
      <c r="I1504" s="10" t="n">
        <v>43659</v>
      </c>
      <c r="J1504" s="10" t="n">
        <v>43659</v>
      </c>
      <c r="K1504" s="9" t="n">
        <v>26.78752</v>
      </c>
      <c r="L1504" s="9" t="n">
        <v>81.01157000000001</v>
      </c>
      <c r="M1504" s="9" t="inlineStr">
        <is>
          <t>https://www.google.com/maps/place/?q=place_id:ChIJxyhw05jkmzkRiQbE48cnhN8</t>
        </is>
      </c>
    </row>
    <row r="1505">
      <c r="A1505" s="9" t="n">
        <v>1501</v>
      </c>
      <c r="B1505" s="9" t="inlineStr">
        <is>
          <t>Lucknow</t>
        </is>
      </c>
      <c r="C1505" s="9" t="inlineStr">
        <is>
          <t>Lucknow</t>
        </is>
      </c>
      <c r="D1505" s="9" t="inlineStr">
        <is>
          <t>Uttar Pradesh</t>
        </is>
      </c>
      <c r="E1505" s="9" t="inlineStr">
        <is>
          <t>India</t>
        </is>
      </c>
      <c r="F1505" s="9" t="n">
        <v>1</v>
      </c>
      <c r="G1505" s="9" t="n">
        <v>1</v>
      </c>
      <c r="H1505" s="9" t="n">
        <v>1</v>
      </c>
      <c r="I1505" s="10" t="n">
        <v>43660</v>
      </c>
      <c r="J1505" s="10" t="n">
        <v>43660</v>
      </c>
      <c r="K1505" s="9" t="n">
        <v>26.80214</v>
      </c>
      <c r="L1505" s="9" t="n">
        <v>80.89575000000001</v>
      </c>
      <c r="M1505" s="9" t="inlineStr">
        <is>
          <t>https://www.google.com/maps/place/?q=place_id:ChIJEVeRJqf-mzkRHm9BvoNEQO4</t>
        </is>
      </c>
    </row>
    <row r="1506">
      <c r="A1506" s="9" t="n">
        <v>1502</v>
      </c>
      <c r="B1506" s="9" t="inlineStr">
        <is>
          <t>Lucknow</t>
        </is>
      </c>
      <c r="C1506" s="9" t="inlineStr">
        <is>
          <t>Lucknow</t>
        </is>
      </c>
      <c r="D1506" s="9" t="inlineStr">
        <is>
          <t>Uttar Pradesh</t>
        </is>
      </c>
      <c r="E1506" s="9" t="inlineStr">
        <is>
          <t>India</t>
        </is>
      </c>
      <c r="F1506" s="9" t="n">
        <v>1</v>
      </c>
      <c r="G1506" s="9" t="n">
        <v>1</v>
      </c>
      <c r="H1506" s="9" t="n">
        <v>1</v>
      </c>
      <c r="I1506" s="10" t="n">
        <v>43753</v>
      </c>
      <c r="J1506" s="10" t="n">
        <v>43753</v>
      </c>
      <c r="K1506" s="9" t="n">
        <v>26.77782</v>
      </c>
      <c r="L1506" s="9" t="n">
        <v>80.88258999999999</v>
      </c>
      <c r="M1506" s="9" t="inlineStr">
        <is>
          <t>https://www.google.com/maps/place/?q=place_id:ChIJCb4kyE75mzkRXwVVBHVymzo</t>
        </is>
      </c>
    </row>
    <row r="1507">
      <c r="A1507" s="9" t="n">
        <v>1503</v>
      </c>
      <c r="B1507" s="9" t="inlineStr">
        <is>
          <t>Kakori</t>
        </is>
      </c>
      <c r="C1507" s="9" t="inlineStr">
        <is>
          <t>Lucknow</t>
        </is>
      </c>
      <c r="D1507" s="9" t="inlineStr">
        <is>
          <t>Uttar Pradesh</t>
        </is>
      </c>
      <c r="E1507" s="9" t="inlineStr">
        <is>
          <t>India</t>
        </is>
      </c>
      <c r="F1507" s="9" t="n">
        <v>1</v>
      </c>
      <c r="G1507" s="9" t="n">
        <v>1</v>
      </c>
      <c r="H1507" s="9" t="n">
        <v>1</v>
      </c>
      <c r="I1507" s="10" t="n">
        <v>43754</v>
      </c>
      <c r="J1507" s="10" t="n">
        <v>43754</v>
      </c>
      <c r="K1507" s="9" t="n">
        <v>26.88399</v>
      </c>
      <c r="L1507" s="9" t="n">
        <v>80.78268</v>
      </c>
      <c r="M1507" s="9" t="inlineStr">
        <is>
          <t>https://www.google.com/maps/place/?q=place_id:ChIJ85bLVZeqnjkRlsCaboB8-XQ</t>
        </is>
      </c>
    </row>
    <row r="1508">
      <c r="A1508" s="9" t="n">
        <v>1504</v>
      </c>
      <c r="B1508" s="9" t="inlineStr">
        <is>
          <t>Lucknow</t>
        </is>
      </c>
      <c r="C1508" s="9" t="inlineStr">
        <is>
          <t>Lucknow</t>
        </is>
      </c>
      <c r="D1508" s="9" t="inlineStr">
        <is>
          <t>Uttar Pradesh</t>
        </is>
      </c>
      <c r="E1508" s="9" t="inlineStr">
        <is>
          <t>India</t>
        </is>
      </c>
      <c r="F1508" s="9" t="n">
        <v>1</v>
      </c>
      <c r="G1508" s="9" t="n">
        <v>1</v>
      </c>
      <c r="H1508" s="9" t="n">
        <v>1</v>
      </c>
      <c r="I1508" s="10" t="n">
        <v>43754</v>
      </c>
      <c r="J1508" s="10" t="n">
        <v>43754</v>
      </c>
      <c r="K1508" s="9" t="n">
        <v>26.76795</v>
      </c>
      <c r="L1508" s="9" t="n">
        <v>80.94569</v>
      </c>
      <c r="M1508" s="9" t="inlineStr">
        <is>
          <t>https://www.google.com/maps/place/?q=place_id:ChIJmbxBzR_yDDkR8D_b_cLypqk</t>
        </is>
      </c>
    </row>
    <row r="1509">
      <c r="A1509" s="9" t="n">
        <v>1505</v>
      </c>
      <c r="B1509" s="9" t="inlineStr">
        <is>
          <t>Lucknow</t>
        </is>
      </c>
      <c r="C1509" s="9" t="inlineStr">
        <is>
          <t>Lucknow</t>
        </is>
      </c>
      <c r="D1509" s="9" t="inlineStr">
        <is>
          <t>Uttar Pradesh</t>
        </is>
      </c>
      <c r="E1509" s="9" t="inlineStr">
        <is>
          <t>India</t>
        </is>
      </c>
      <c r="F1509" s="9" t="n">
        <v>1</v>
      </c>
      <c r="G1509" s="9" t="n">
        <v>1</v>
      </c>
      <c r="H1509" s="9" t="n">
        <v>1</v>
      </c>
      <c r="I1509" s="10" t="n">
        <v>44521</v>
      </c>
      <c r="J1509" s="10" t="n">
        <v>44521</v>
      </c>
      <c r="K1509" s="9" t="n">
        <v>26.78083</v>
      </c>
      <c r="L1509" s="9" t="n">
        <v>80.88472</v>
      </c>
      <c r="M1509" s="9" t="inlineStr">
        <is>
          <t>https://www.google.com/maps/place/?q=place_id:ChIJdVzVyk35mzkR8vdT79KaEJg</t>
        </is>
      </c>
    </row>
    <row r="1510">
      <c r="A1510" s="9" t="n">
        <v>1506</v>
      </c>
      <c r="B1510" s="9" t="inlineStr">
        <is>
          <t>Nawabganj</t>
        </is>
      </c>
      <c r="C1510" s="9" t="inlineStr">
        <is>
          <t>Lucknow</t>
        </is>
      </c>
      <c r="D1510" s="9" t="inlineStr">
        <is>
          <t>Uttar Pradesh</t>
        </is>
      </c>
      <c r="E1510" s="9" t="inlineStr">
        <is>
          <t>India</t>
        </is>
      </c>
      <c r="F1510" s="9" t="n">
        <v>1</v>
      </c>
      <c r="G1510" s="9" t="n">
        <v>1</v>
      </c>
      <c r="H1510" s="9" t="n">
        <v>1</v>
      </c>
      <c r="I1510" s="10" t="n">
        <v>44521</v>
      </c>
      <c r="J1510" s="10" t="n">
        <v>44521</v>
      </c>
      <c r="K1510" s="9" t="n">
        <v>26.89117</v>
      </c>
      <c r="L1510" s="9" t="n">
        <v>81.06478</v>
      </c>
      <c r="M1510" s="9" t="inlineStr">
        <is>
          <t>https://www.google.com/maps/place/?q=place_id:ChIJTS5F8wrimzkRYA-L4ZRnM0A</t>
        </is>
      </c>
    </row>
    <row r="1511">
      <c r="A1511" s="9" t="n">
        <v>1507</v>
      </c>
      <c r="B1511" s="9" t="inlineStr">
        <is>
          <t>Lucknow</t>
        </is>
      </c>
      <c r="C1511" s="9" t="inlineStr">
        <is>
          <t>Lucknow</t>
        </is>
      </c>
      <c r="D1511" s="9" t="inlineStr">
        <is>
          <t>Uttar Pradesh</t>
        </is>
      </c>
      <c r="E1511" s="9" t="inlineStr">
        <is>
          <t>India</t>
        </is>
      </c>
      <c r="F1511" s="9" t="n">
        <v>1</v>
      </c>
      <c r="G1511" s="9" t="n">
        <v>1</v>
      </c>
      <c r="H1511" s="9" t="n">
        <v>1</v>
      </c>
      <c r="I1511" s="10" t="n">
        <v>44734</v>
      </c>
      <c r="J1511" s="10" t="n">
        <v>44734</v>
      </c>
      <c r="K1511" s="9" t="n">
        <v>26.77993</v>
      </c>
      <c r="L1511" s="9" t="n">
        <v>80.88445</v>
      </c>
      <c r="M1511" s="9" t="inlineStr">
        <is>
          <t>https://www.google.com/maps/place/?q=place_id:ChIJyUbR-lH5mzkRD53Vs0HjFps</t>
        </is>
      </c>
    </row>
    <row r="1512">
      <c r="A1512" s="9" t="n">
        <v>1508</v>
      </c>
      <c r="B1512" s="9" t="inlineStr">
        <is>
          <t>Lucknow</t>
        </is>
      </c>
      <c r="C1512" s="9" t="inlineStr">
        <is>
          <t>Lucknow</t>
        </is>
      </c>
      <c r="D1512" s="9" t="inlineStr">
        <is>
          <t>Uttar Pradesh</t>
        </is>
      </c>
      <c r="E1512" s="9" t="inlineStr">
        <is>
          <t>India</t>
        </is>
      </c>
      <c r="F1512" s="9" t="n">
        <v>1</v>
      </c>
      <c r="G1512" s="9" t="n">
        <v>1</v>
      </c>
      <c r="H1512" s="9" t="n">
        <v>1</v>
      </c>
      <c r="I1512" s="10" t="n">
        <v>44736</v>
      </c>
      <c r="J1512" s="10" t="n">
        <v>44736</v>
      </c>
      <c r="K1512" s="9" t="n">
        <v>26.85105</v>
      </c>
      <c r="L1512" s="9" t="n">
        <v>80.92632999999999</v>
      </c>
      <c r="M1512" s="9" t="inlineStr">
        <is>
          <t>https://www.google.com/maps/place/?q=place_id:ChIJV8nQ4bv9mzkRjPEpmcBGMzc</t>
        </is>
      </c>
    </row>
    <row r="1513">
      <c r="A1513" s="9" t="n">
        <v>1509</v>
      </c>
      <c r="B1513" s="9" t="inlineStr">
        <is>
          <t>Lucknow</t>
        </is>
      </c>
      <c r="C1513" s="9" t="inlineStr">
        <is>
          <t>Lucknow</t>
        </is>
      </c>
      <c r="D1513" s="9" t="inlineStr">
        <is>
          <t>Uttar Pradesh</t>
        </is>
      </c>
      <c r="E1513" s="9" t="inlineStr">
        <is>
          <t>India</t>
        </is>
      </c>
      <c r="F1513" s="9" t="n">
        <v>1</v>
      </c>
      <c r="G1513" s="9" t="n">
        <v>1</v>
      </c>
      <c r="H1513" s="9" t="n">
        <v>1</v>
      </c>
      <c r="I1513" s="10" t="n">
        <v>44736</v>
      </c>
      <c r="J1513" s="10" t="n">
        <v>44736</v>
      </c>
      <c r="K1513" s="9" t="n">
        <v>26.84864</v>
      </c>
      <c r="L1513" s="9" t="n">
        <v>80.93641</v>
      </c>
      <c r="M1513" s="9" t="inlineStr">
        <is>
          <t>https://www.google.com/maps/place/?q=place_id:ChIJTfaox6X9mzkRJWXZ53hhcjQ</t>
        </is>
      </c>
    </row>
    <row r="1514">
      <c r="A1514" s="9" t="n">
        <v>1510</v>
      </c>
      <c r="B1514" s="9" t="inlineStr">
        <is>
          <t>Lucknow</t>
        </is>
      </c>
      <c r="C1514" s="9" t="inlineStr">
        <is>
          <t>Lucknow</t>
        </is>
      </c>
      <c r="D1514" s="9" t="inlineStr">
        <is>
          <t>Uttar Pradesh</t>
        </is>
      </c>
      <c r="E1514" s="9" t="inlineStr">
        <is>
          <t>India</t>
        </is>
      </c>
      <c r="F1514" s="9" t="n">
        <v>1</v>
      </c>
      <c r="G1514" s="9" t="n">
        <v>1</v>
      </c>
      <c r="H1514" s="9" t="n">
        <v>1</v>
      </c>
      <c r="I1514" s="10" t="n">
        <v>44737</v>
      </c>
      <c r="J1514" s="10" t="n">
        <v>44737</v>
      </c>
      <c r="K1514" s="9" t="n">
        <v>26.83131</v>
      </c>
      <c r="L1514" s="9" t="n">
        <v>80.94089</v>
      </c>
      <c r="M1514" s="9" t="inlineStr">
        <is>
          <t>https://www.google.com/maps/place/?q=place_id:ChIJwy-iuFX8mzkRucoJ6bt7paw</t>
        </is>
      </c>
    </row>
    <row r="1515">
      <c r="A1515" s="9" t="n">
        <v>1511</v>
      </c>
      <c r="B1515" s="9" t="inlineStr">
        <is>
          <t>Lucknow</t>
        </is>
      </c>
      <c r="C1515" s="9" t="inlineStr">
        <is>
          <t>Lucknow</t>
        </is>
      </c>
      <c r="D1515" s="9" t="inlineStr">
        <is>
          <t>Uttar Pradesh</t>
        </is>
      </c>
      <c r="E1515" s="9" t="inlineStr">
        <is>
          <t>India</t>
        </is>
      </c>
      <c r="F1515" s="9" t="n">
        <v>1</v>
      </c>
      <c r="G1515" s="9" t="n">
        <v>1</v>
      </c>
      <c r="H1515" s="9" t="n">
        <v>1</v>
      </c>
      <c r="I1515" s="10" t="n">
        <v>44737</v>
      </c>
      <c r="J1515" s="10" t="n">
        <v>44737</v>
      </c>
      <c r="K1515" s="9" t="n">
        <v>26.83299</v>
      </c>
      <c r="L1515" s="9" t="n">
        <v>80.94298000000001</v>
      </c>
      <c r="M1515" s="9" t="inlineStr">
        <is>
          <t>https://www.google.com/maps/place/?q=place_id:ChIJg2hJgP_8mzkRK4FY-Vb6y9M</t>
        </is>
      </c>
    </row>
    <row r="1516">
      <c r="A1516" s="9" t="n">
        <v>1512</v>
      </c>
      <c r="B1516" s="9" t="inlineStr">
        <is>
          <t>Lucknow</t>
        </is>
      </c>
      <c r="C1516" s="9" t="inlineStr">
        <is>
          <t>Lucknow</t>
        </is>
      </c>
      <c r="D1516" s="9" t="inlineStr">
        <is>
          <t>Uttar Pradesh</t>
        </is>
      </c>
      <c r="E1516" s="9" t="inlineStr">
        <is>
          <t>India</t>
        </is>
      </c>
      <c r="F1516" s="9" t="n">
        <v>1</v>
      </c>
      <c r="G1516" s="9" t="n">
        <v>1</v>
      </c>
      <c r="H1516" s="9" t="n">
        <v>1</v>
      </c>
      <c r="I1516" s="10" t="n">
        <v>44749</v>
      </c>
      <c r="J1516" s="10" t="n">
        <v>44749</v>
      </c>
      <c r="K1516" s="9" t="n">
        <v>26.87312</v>
      </c>
      <c r="L1516" s="9" t="n">
        <v>80.98895</v>
      </c>
      <c r="M1516" s="9" t="inlineStr">
        <is>
          <t>https://www.google.com/maps/place/?q=place_id:ChIJpzXDvrLimzkR0lBlfpEZCdY</t>
        </is>
      </c>
    </row>
    <row r="1517">
      <c r="A1517" s="9" t="n">
        <v>1513</v>
      </c>
      <c r="B1517" s="9" t="inlineStr">
        <is>
          <t>Lucknow</t>
        </is>
      </c>
      <c r="C1517" s="9" t="inlineStr">
        <is>
          <t>Lucknow</t>
        </is>
      </c>
      <c r="D1517" s="9" t="inlineStr">
        <is>
          <t>Uttar Pradesh</t>
        </is>
      </c>
      <c r="E1517" s="9" t="inlineStr">
        <is>
          <t>India</t>
        </is>
      </c>
      <c r="F1517" s="9" t="n">
        <v>1</v>
      </c>
      <c r="G1517" s="9" t="n">
        <v>1</v>
      </c>
      <c r="H1517" s="9" t="n">
        <v>1</v>
      </c>
      <c r="I1517" s="10" t="n">
        <v>45358</v>
      </c>
      <c r="J1517" s="10" t="n">
        <v>45358</v>
      </c>
      <c r="K1517" s="9" t="n">
        <v>26.87468</v>
      </c>
      <c r="L1517" s="9" t="n">
        <v>81.0265</v>
      </c>
      <c r="M1517" s="9" t="inlineStr">
        <is>
          <t>https://www.google.com/maps/place/?q=place_id:ChIJ8RAqDH7jmzkRwuuYsYRTV1g</t>
        </is>
      </c>
    </row>
    <row r="1518">
      <c r="A1518" s="9" t="n">
        <v>1514</v>
      </c>
      <c r="B1518" s="9" t="inlineStr">
        <is>
          <t>Nawabganj</t>
        </is>
      </c>
      <c r="C1518" s="9" t="inlineStr">
        <is>
          <t>Lucknow</t>
        </is>
      </c>
      <c r="D1518" s="9" t="inlineStr">
        <is>
          <t>Uttar Pradesh</t>
        </is>
      </c>
      <c r="E1518" s="9" t="inlineStr">
        <is>
          <t>India</t>
        </is>
      </c>
      <c r="F1518" s="9" t="n">
        <v>1</v>
      </c>
      <c r="G1518" s="9" t="n">
        <v>1</v>
      </c>
      <c r="H1518" s="9" t="n">
        <v>1</v>
      </c>
      <c r="I1518" s="10" t="n">
        <v>45360</v>
      </c>
      <c r="J1518" s="10" t="n">
        <v>45360</v>
      </c>
      <c r="K1518" s="9" t="n">
        <v>26.90144</v>
      </c>
      <c r="L1518" s="9" t="n">
        <v>81.11150000000001</v>
      </c>
      <c r="M1518" s="9" t="inlineStr">
        <is>
          <t>https://www.google.com/maps/place/?q=place_id:ChIJH7mbxkBfmTkRAezId7K3p9c</t>
        </is>
      </c>
    </row>
    <row r="1519">
      <c r="A1519" s="9" t="n">
        <v>1515</v>
      </c>
      <c r="B1519" s="9" t="inlineStr">
        <is>
          <t>Mandawar</t>
        </is>
      </c>
      <c r="C1519" s="9" t="inlineStr">
        <is>
          <t>Mandawar</t>
        </is>
      </c>
      <c r="D1519" s="9" t="inlineStr">
        <is>
          <t>Uttar Pradesh</t>
        </is>
      </c>
      <c r="E1519" s="9" t="inlineStr">
        <is>
          <t>India</t>
        </is>
      </c>
      <c r="F1519" s="9" t="n">
        <v>2</v>
      </c>
      <c r="G1519" s="9" t="n">
        <v>1</v>
      </c>
      <c r="H1519" s="9" t="n">
        <v>1</v>
      </c>
      <c r="I1519" s="10" t="n">
        <v>43656</v>
      </c>
      <c r="J1519" s="10" t="n">
        <v>43656</v>
      </c>
      <c r="K1519" s="9" t="n">
        <v>29.48562</v>
      </c>
      <c r="L1519" s="9" t="n">
        <v>77.98844</v>
      </c>
      <c r="M1519" s="9" t="inlineStr">
        <is>
          <t>https://www.google.com/maps/place/?q=place_id:ChIJH7liQhH5CzkRhvOYTOqctlw</t>
        </is>
      </c>
    </row>
    <row r="1520">
      <c r="A1520" s="9" t="n">
        <v>1516</v>
      </c>
      <c r="B1520" s="9" t="inlineStr">
        <is>
          <t>Mathura</t>
        </is>
      </c>
      <c r="C1520" s="9" t="inlineStr">
        <is>
          <t>Mathura</t>
        </is>
      </c>
      <c r="D1520" s="9" t="inlineStr">
        <is>
          <t>Uttar Pradesh</t>
        </is>
      </c>
      <c r="E1520" s="9" t="inlineStr">
        <is>
          <t>India</t>
        </is>
      </c>
      <c r="F1520" s="9" t="n">
        <v>8</v>
      </c>
      <c r="G1520" s="9" t="n">
        <v>8</v>
      </c>
      <c r="H1520" s="9" t="n">
        <v>8</v>
      </c>
      <c r="I1520" s="10" t="n">
        <v>42982</v>
      </c>
      <c r="J1520" s="10" t="n">
        <v>43427</v>
      </c>
      <c r="K1520" s="9" t="n">
        <v>27.47897</v>
      </c>
      <c r="L1520" s="9" t="n">
        <v>77.67335</v>
      </c>
      <c r="M1520" s="9" t="inlineStr">
        <is>
          <t>https://www.google.com/maps/place/?q=place_id:ChIJnUt_gEhxczkRx8W71b9QU4s</t>
        </is>
      </c>
    </row>
    <row r="1521">
      <c r="A1521" s="9" t="n">
        <v>1517</v>
      </c>
      <c r="B1521" s="9" t="inlineStr">
        <is>
          <t>Mathura</t>
        </is>
      </c>
      <c r="C1521" s="9" t="inlineStr">
        <is>
          <t>Mathura</t>
        </is>
      </c>
      <c r="D1521" s="9" t="inlineStr">
        <is>
          <t>Uttar Pradesh</t>
        </is>
      </c>
      <c r="E1521" s="9" t="inlineStr">
        <is>
          <t>India</t>
        </is>
      </c>
      <c r="F1521" s="9" t="n">
        <v>4</v>
      </c>
      <c r="G1521" s="9" t="n">
        <v>4</v>
      </c>
      <c r="H1521" s="9" t="n">
        <v>4</v>
      </c>
      <c r="I1521" s="10" t="n">
        <v>43759</v>
      </c>
      <c r="J1521" s="10" t="n">
        <v>44864</v>
      </c>
      <c r="K1521" s="9" t="n">
        <v>27.47497</v>
      </c>
      <c r="L1521" s="9" t="n">
        <v>77.72355</v>
      </c>
      <c r="M1521" s="9" t="inlineStr">
        <is>
          <t>https://www.google.com/maps/place/?q=place_id:ChIJQ5J2c7VwczkR5A_6kuSNMrU</t>
        </is>
      </c>
    </row>
    <row r="1522">
      <c r="A1522" s="9" t="n">
        <v>1518</v>
      </c>
      <c r="B1522" s="9" t="inlineStr">
        <is>
          <t>Mathura</t>
        </is>
      </c>
      <c r="C1522" s="9" t="inlineStr">
        <is>
          <t>Mathura</t>
        </is>
      </c>
      <c r="D1522" s="9" t="inlineStr">
        <is>
          <t>Uttar Pradesh</t>
        </is>
      </c>
      <c r="E1522" s="9" t="inlineStr">
        <is>
          <t>India</t>
        </is>
      </c>
      <c r="F1522" s="9" t="n">
        <v>2</v>
      </c>
      <c r="G1522" s="9" t="n">
        <v>2</v>
      </c>
      <c r="H1522" s="9" t="n">
        <v>2</v>
      </c>
      <c r="I1522" s="10" t="n">
        <v>43759</v>
      </c>
      <c r="J1522" s="10" t="n">
        <v>44495</v>
      </c>
      <c r="K1522" s="9" t="n">
        <v>27.50474</v>
      </c>
      <c r="L1522" s="9" t="n">
        <v>77.66974999999999</v>
      </c>
      <c r="M1522" s="9" t="inlineStr">
        <is>
          <t>https://www.google.com/maps/place/?q=place_id:ChIJb2p6mnFxczkREdvYvrZcuHk</t>
        </is>
      </c>
    </row>
    <row r="1523">
      <c r="A1523" s="9" t="n">
        <v>1519</v>
      </c>
      <c r="B1523" s="9" t="inlineStr">
        <is>
          <t>Mathura</t>
        </is>
      </c>
      <c r="C1523" s="9" t="inlineStr">
        <is>
          <t>Mathura</t>
        </is>
      </c>
      <c r="D1523" s="9" t="inlineStr">
        <is>
          <t>Uttar Pradesh</t>
        </is>
      </c>
      <c r="E1523" s="9" t="inlineStr">
        <is>
          <t>India</t>
        </is>
      </c>
      <c r="F1523" s="9" t="n">
        <v>2</v>
      </c>
      <c r="G1523" s="9" t="n">
        <v>2</v>
      </c>
      <c r="H1523" s="9" t="n">
        <v>2</v>
      </c>
      <c r="I1523" s="10" t="n">
        <v>43759</v>
      </c>
      <c r="J1523" s="10" t="n">
        <v>44864</v>
      </c>
      <c r="K1523" s="9" t="n">
        <v>27.42898</v>
      </c>
      <c r="L1523" s="9" t="n">
        <v>77.74141</v>
      </c>
      <c r="M1523" s="9" t="inlineStr">
        <is>
          <t>https://www.google.com/maps/place/?q=place_id:ChIJVUdXbH93czkRwQlTH3m5jEk</t>
        </is>
      </c>
    </row>
    <row r="1524">
      <c r="A1524" s="9" t="n">
        <v>1520</v>
      </c>
      <c r="B1524" s="9" t="inlineStr">
        <is>
          <t>Mathura</t>
        </is>
      </c>
      <c r="C1524" s="9" t="inlineStr">
        <is>
          <t>Mathura</t>
        </is>
      </c>
      <c r="D1524" s="9" t="inlineStr">
        <is>
          <t>Uttar Pradesh</t>
        </is>
      </c>
      <c r="E1524" s="9" t="inlineStr">
        <is>
          <t>India</t>
        </is>
      </c>
      <c r="F1524" s="9" t="n">
        <v>2</v>
      </c>
      <c r="G1524" s="9" t="n">
        <v>2</v>
      </c>
      <c r="H1524" s="9" t="n">
        <v>2</v>
      </c>
      <c r="I1524" s="10" t="n">
        <v>44489</v>
      </c>
      <c r="J1524" s="10" t="n">
        <v>44495</v>
      </c>
      <c r="K1524" s="9" t="n">
        <v>27.42954</v>
      </c>
      <c r="L1524" s="9" t="n">
        <v>77.73926</v>
      </c>
      <c r="M1524" s="9" t="inlineStr">
        <is>
          <t>https://www.google.com/maps/place/?q=place_id:ChIJ93p6zHh3czkRo4w3wt8vRqo</t>
        </is>
      </c>
    </row>
    <row r="1525">
      <c r="A1525" s="9" t="n">
        <v>1521</v>
      </c>
      <c r="B1525" s="9" t="inlineStr">
        <is>
          <t>Mathura</t>
        </is>
      </c>
      <c r="C1525" s="9" t="inlineStr">
        <is>
          <t>Mathura</t>
        </is>
      </c>
      <c r="D1525" s="9" t="inlineStr">
        <is>
          <t>Uttar Pradesh</t>
        </is>
      </c>
      <c r="E1525" s="9" t="inlineStr">
        <is>
          <t>India</t>
        </is>
      </c>
      <c r="F1525" s="9" t="n">
        <v>1</v>
      </c>
      <c r="G1525" s="9" t="n">
        <v>1</v>
      </c>
      <c r="H1525" s="9" t="n">
        <v>1</v>
      </c>
      <c r="I1525" s="10" t="n">
        <v>43002</v>
      </c>
      <c r="J1525" s="10" t="n">
        <v>43002</v>
      </c>
      <c r="K1525" s="9" t="n">
        <v>27.3961</v>
      </c>
      <c r="L1525" s="9" t="n">
        <v>77.68951</v>
      </c>
      <c r="M1525" s="9" t="inlineStr">
        <is>
          <t>https://www.google.com/maps/place/?q=place_id:ChIJLdGuFDd2czkRPO191k1Y8rg</t>
        </is>
      </c>
    </row>
    <row r="1526">
      <c r="A1526" s="9" t="n">
        <v>1522</v>
      </c>
      <c r="B1526" s="9" t="inlineStr">
        <is>
          <t>Mathura</t>
        </is>
      </c>
      <c r="C1526" s="9" t="inlineStr">
        <is>
          <t>Mathura</t>
        </is>
      </c>
      <c r="D1526" s="9" t="inlineStr">
        <is>
          <t>Uttar Pradesh</t>
        </is>
      </c>
      <c r="E1526" s="9" t="inlineStr">
        <is>
          <t>India</t>
        </is>
      </c>
      <c r="F1526" s="9" t="n">
        <v>1</v>
      </c>
      <c r="G1526" s="9" t="n">
        <v>1</v>
      </c>
      <c r="H1526" s="9" t="n">
        <v>1</v>
      </c>
      <c r="I1526" s="10" t="n">
        <v>43002</v>
      </c>
      <c r="J1526" s="10" t="n">
        <v>43002</v>
      </c>
      <c r="K1526" s="9" t="n">
        <v>27.46108</v>
      </c>
      <c r="L1526" s="9" t="n">
        <v>77.67066</v>
      </c>
      <c r="M1526" s="9" t="inlineStr">
        <is>
          <t>https://www.google.com/maps/place/?q=place_id:ChIJ4TSTMLR2czkRYGBF7bp5X2M</t>
        </is>
      </c>
    </row>
    <row r="1527">
      <c r="A1527" s="9" t="n">
        <v>1523</v>
      </c>
      <c r="B1527" s="9" t="inlineStr">
        <is>
          <t>Mathura</t>
        </is>
      </c>
      <c r="C1527" s="9" t="inlineStr">
        <is>
          <t>Mathura</t>
        </is>
      </c>
      <c r="D1527" s="9" t="inlineStr">
        <is>
          <t>Uttar Pradesh</t>
        </is>
      </c>
      <c r="E1527" s="9" t="inlineStr">
        <is>
          <t>India</t>
        </is>
      </c>
      <c r="F1527" s="9" t="n">
        <v>1</v>
      </c>
      <c r="G1527" s="9" t="n">
        <v>1</v>
      </c>
      <c r="H1527" s="9" t="n">
        <v>1</v>
      </c>
      <c r="I1527" s="10" t="n">
        <v>43002</v>
      </c>
      <c r="J1527" s="10" t="n">
        <v>43002</v>
      </c>
      <c r="K1527" s="9" t="n">
        <v>27.49172</v>
      </c>
      <c r="L1527" s="9" t="n">
        <v>77.67455</v>
      </c>
      <c r="M1527" s="9" t="inlineStr">
        <is>
          <t>https://www.google.com/maps/place/?q=place_id:ChIJ62N1m2pxczkRvUy-_UjKRSY</t>
        </is>
      </c>
    </row>
    <row r="1528">
      <c r="A1528" s="9" t="n">
        <v>1524</v>
      </c>
      <c r="B1528" s="9" t="inlineStr">
        <is>
          <t>Mathura</t>
        </is>
      </c>
      <c r="C1528" s="9" t="inlineStr">
        <is>
          <t>Mathura</t>
        </is>
      </c>
      <c r="D1528" s="9" t="inlineStr">
        <is>
          <t>Uttar Pradesh</t>
        </is>
      </c>
      <c r="E1528" s="9" t="inlineStr">
        <is>
          <t>India</t>
        </is>
      </c>
      <c r="F1528" s="9" t="n">
        <v>1</v>
      </c>
      <c r="G1528" s="9" t="n">
        <v>1</v>
      </c>
      <c r="H1528" s="9" t="n">
        <v>1</v>
      </c>
      <c r="I1528" s="10" t="n">
        <v>43374</v>
      </c>
      <c r="J1528" s="10" t="n">
        <v>43374</v>
      </c>
      <c r="K1528" s="9" t="n">
        <v>27.53321</v>
      </c>
      <c r="L1528" s="9" t="n">
        <v>77.65701</v>
      </c>
      <c r="M1528" s="9" t="inlineStr">
        <is>
          <t>https://www.google.com/maps/place/?q=place_id:ChIJC4BGBotxczkR80nN4q45-m4</t>
        </is>
      </c>
    </row>
    <row r="1529">
      <c r="A1529" s="9" t="n">
        <v>1525</v>
      </c>
      <c r="B1529" s="9" t="inlineStr">
        <is>
          <t>Mathura</t>
        </is>
      </c>
      <c r="C1529" s="9" t="inlineStr">
        <is>
          <t>Mathura</t>
        </is>
      </c>
      <c r="D1529" s="9" t="inlineStr">
        <is>
          <t>Uttar Pradesh</t>
        </is>
      </c>
      <c r="E1529" s="9" t="inlineStr">
        <is>
          <t>India</t>
        </is>
      </c>
      <c r="F1529" s="9" t="n">
        <v>1</v>
      </c>
      <c r="G1529" s="9" t="n">
        <v>1</v>
      </c>
      <c r="H1529" s="9" t="n">
        <v>1</v>
      </c>
      <c r="I1529" s="10" t="n">
        <v>44391</v>
      </c>
      <c r="J1529" s="10" t="n">
        <v>44391</v>
      </c>
      <c r="K1529" s="9" t="n">
        <v>27.50518</v>
      </c>
      <c r="L1529" s="9" t="n">
        <v>77.68489</v>
      </c>
      <c r="M1529" s="9" t="inlineStr">
        <is>
          <t>https://www.google.com/maps/place/?q=place_id:ChIJ47adNQ5xczkRMoXl6y1GMb8</t>
        </is>
      </c>
    </row>
    <row r="1530">
      <c r="A1530" s="9" t="n">
        <v>1526</v>
      </c>
      <c r="B1530" s="9" t="inlineStr">
        <is>
          <t>Mathura</t>
        </is>
      </c>
      <c r="C1530" s="9" t="inlineStr">
        <is>
          <t>Mathura</t>
        </is>
      </c>
      <c r="D1530" s="9" t="inlineStr">
        <is>
          <t>Uttar Pradesh</t>
        </is>
      </c>
      <c r="E1530" s="9" t="inlineStr">
        <is>
          <t>India</t>
        </is>
      </c>
      <c r="F1530" s="9" t="n">
        <v>1</v>
      </c>
      <c r="G1530" s="9" t="n">
        <v>1</v>
      </c>
      <c r="H1530" s="9" t="n">
        <v>1</v>
      </c>
      <c r="I1530" s="10" t="n">
        <v>44391</v>
      </c>
      <c r="J1530" s="10" t="n">
        <v>44391</v>
      </c>
      <c r="K1530" s="9" t="n">
        <v>27.49915</v>
      </c>
      <c r="L1530" s="9" t="n">
        <v>77.68532999999999</v>
      </c>
      <c r="M1530" s="9" t="inlineStr">
        <is>
          <t>https://www.google.com/maps/place/?q=place_id:ChIJU2W53hBxczkRJagdrDLKTq8</t>
        </is>
      </c>
    </row>
    <row r="1531">
      <c r="A1531" s="9" t="n">
        <v>1527</v>
      </c>
      <c r="B1531" s="9" t="inlineStr">
        <is>
          <t>Mathura</t>
        </is>
      </c>
      <c r="C1531" s="9" t="inlineStr">
        <is>
          <t>Mathura</t>
        </is>
      </c>
      <c r="D1531" s="9" t="inlineStr">
        <is>
          <t>Uttar Pradesh</t>
        </is>
      </c>
      <c r="E1531" s="9" t="inlineStr">
        <is>
          <t>India</t>
        </is>
      </c>
      <c r="F1531" s="9" t="n">
        <v>1</v>
      </c>
      <c r="G1531" s="9" t="n">
        <v>1</v>
      </c>
      <c r="H1531" s="9" t="n">
        <v>1</v>
      </c>
      <c r="I1531" s="10" t="n">
        <v>44391</v>
      </c>
      <c r="J1531" s="10" t="n">
        <v>44391</v>
      </c>
      <c r="K1531" s="9" t="n">
        <v>27.51211</v>
      </c>
      <c r="L1531" s="9" t="n">
        <v>77.72687999999999</v>
      </c>
      <c r="M1531" s="9" t="inlineStr">
        <is>
          <t>https://www.google.com/maps/place/?q=place_id:ChIJEXGIFIxwczkRLLV870KAoEY</t>
        </is>
      </c>
    </row>
    <row r="1532">
      <c r="A1532" s="9" t="n">
        <v>1528</v>
      </c>
      <c r="B1532" s="9" t="inlineStr">
        <is>
          <t>Mathura</t>
        </is>
      </c>
      <c r="C1532" s="9" t="inlineStr">
        <is>
          <t>Mathura</t>
        </is>
      </c>
      <c r="D1532" s="9" t="inlineStr">
        <is>
          <t>Uttar Pradesh</t>
        </is>
      </c>
      <c r="E1532" s="9" t="inlineStr">
        <is>
          <t>India</t>
        </is>
      </c>
      <c r="F1532" s="9" t="n">
        <v>1</v>
      </c>
      <c r="G1532" s="9" t="n">
        <v>1</v>
      </c>
      <c r="H1532" s="9" t="n">
        <v>1</v>
      </c>
      <c r="I1532" s="10" t="n">
        <v>44391</v>
      </c>
      <c r="J1532" s="10" t="n">
        <v>44391</v>
      </c>
      <c r="K1532" s="9" t="n">
        <v>27.42566</v>
      </c>
      <c r="L1532" s="9" t="n">
        <v>77.7409</v>
      </c>
      <c r="M1532" s="9" t="inlineStr">
        <is>
          <t>https://www.google.com/maps/place/?q=place_id:ChIJGXlU-vR3czkRe3T5VpWaOLY</t>
        </is>
      </c>
    </row>
    <row r="1533">
      <c r="A1533" s="9" t="n">
        <v>1529</v>
      </c>
      <c r="B1533" s="9" t="inlineStr">
        <is>
          <t>Mathura</t>
        </is>
      </c>
      <c r="C1533" s="9" t="inlineStr">
        <is>
          <t>Mathura</t>
        </is>
      </c>
      <c r="D1533" s="9" t="inlineStr">
        <is>
          <t>Uttar Pradesh</t>
        </is>
      </c>
      <c r="E1533" s="9" t="inlineStr">
        <is>
          <t>India</t>
        </is>
      </c>
      <c r="F1533" s="9" t="n">
        <v>1</v>
      </c>
      <c r="G1533" s="9" t="n">
        <v>1</v>
      </c>
      <c r="H1533" s="9" t="n">
        <v>1</v>
      </c>
      <c r="I1533" s="10" t="n">
        <v>44489</v>
      </c>
      <c r="J1533" s="10" t="n">
        <v>44489</v>
      </c>
      <c r="K1533" s="9" t="n">
        <v>27.5047</v>
      </c>
      <c r="L1533" s="9" t="n">
        <v>77.66735</v>
      </c>
      <c r="M1533" s="9" t="inlineStr">
        <is>
          <t>https://www.google.com/maps/place/?q=place_id:ChIJf3vSUHBxczkRpeyyOHy68Vw</t>
        </is>
      </c>
    </row>
    <row r="1534">
      <c r="A1534" s="9" t="n">
        <v>1530</v>
      </c>
      <c r="B1534" s="9" t="inlineStr">
        <is>
          <t>Mathura</t>
        </is>
      </c>
      <c r="C1534" s="9" t="inlineStr">
        <is>
          <t>Mathura</t>
        </is>
      </c>
      <c r="D1534" s="9" t="inlineStr">
        <is>
          <t>Uttar Pradesh</t>
        </is>
      </c>
      <c r="E1534" s="9" t="inlineStr">
        <is>
          <t>India</t>
        </is>
      </c>
      <c r="F1534" s="9" t="n">
        <v>1</v>
      </c>
      <c r="G1534" s="9" t="n">
        <v>1</v>
      </c>
      <c r="H1534" s="9" t="n">
        <v>1</v>
      </c>
      <c r="I1534" s="10" t="n">
        <v>44495</v>
      </c>
      <c r="J1534" s="10" t="n">
        <v>44495</v>
      </c>
      <c r="K1534" s="9" t="n">
        <v>27.42769</v>
      </c>
      <c r="L1534" s="9" t="n">
        <v>77.7282</v>
      </c>
      <c r="M1534" s="9" t="inlineStr">
        <is>
          <t>https://www.google.com/maps/place/?q=place_id:ChIJpZOLCXZ3czkRkObFYHSHjOA</t>
        </is>
      </c>
    </row>
    <row r="1535">
      <c r="A1535" s="9" t="n">
        <v>1531</v>
      </c>
      <c r="B1535" s="9" t="inlineStr">
        <is>
          <t>Mathura</t>
        </is>
      </c>
      <c r="C1535" s="9" t="inlineStr">
        <is>
          <t>Mathura</t>
        </is>
      </c>
      <c r="D1535" s="9" t="inlineStr">
        <is>
          <t>Uttar Pradesh</t>
        </is>
      </c>
      <c r="E1535" s="9" t="inlineStr">
        <is>
          <t>India</t>
        </is>
      </c>
      <c r="F1535" s="9" t="n">
        <v>1</v>
      </c>
      <c r="G1535" s="9" t="n">
        <v>1</v>
      </c>
      <c r="H1535" s="9" t="n">
        <v>1</v>
      </c>
      <c r="I1535" s="10" t="n">
        <v>44497</v>
      </c>
      <c r="J1535" s="10" t="n">
        <v>44497</v>
      </c>
      <c r="K1535" s="9" t="n">
        <v>27.56048</v>
      </c>
      <c r="L1535" s="9" t="n">
        <v>77.62483</v>
      </c>
      <c r="M1535" s="9" t="inlineStr">
        <is>
          <t>https://www.google.com/maps/place/?q=place_id:ChIJiTfXX4ltczkRMrdd9NWOJ3I</t>
        </is>
      </c>
    </row>
    <row r="1536">
      <c r="A1536" s="9" t="n">
        <v>1532</v>
      </c>
      <c r="B1536" s="9" t="inlineStr">
        <is>
          <t>Mathura</t>
        </is>
      </c>
      <c r="C1536" s="9" t="inlineStr">
        <is>
          <t>Mathura</t>
        </is>
      </c>
      <c r="D1536" s="9" t="inlineStr">
        <is>
          <t>Uttar Pradesh</t>
        </is>
      </c>
      <c r="E1536" s="9" t="inlineStr">
        <is>
          <t>India</t>
        </is>
      </c>
      <c r="F1536" s="9" t="n">
        <v>1</v>
      </c>
      <c r="G1536" s="9" t="n">
        <v>1</v>
      </c>
      <c r="H1536" s="9" t="n">
        <v>1</v>
      </c>
      <c r="I1536" s="10" t="n">
        <v>44741</v>
      </c>
      <c r="J1536" s="10" t="n">
        <v>44741</v>
      </c>
      <c r="K1536" s="9" t="n">
        <v>27.37925</v>
      </c>
      <c r="L1536" s="9" t="n">
        <v>77.69213000000001</v>
      </c>
      <c r="M1536" s="9" t="inlineStr">
        <is>
          <t>https://www.google.com/maps/place/?q=place_id:ChIJoQUIvSl2czkRu3-SPi0moFc</t>
        </is>
      </c>
    </row>
    <row r="1537">
      <c r="A1537" s="9" t="n">
        <v>1533</v>
      </c>
      <c r="B1537" s="9" t="inlineStr">
        <is>
          <t>Mathura</t>
        </is>
      </c>
      <c r="C1537" s="9" t="inlineStr">
        <is>
          <t>Mathura</t>
        </is>
      </c>
      <c r="D1537" s="9" t="inlineStr">
        <is>
          <t>Uttar Pradesh</t>
        </is>
      </c>
      <c r="E1537" s="9" t="inlineStr">
        <is>
          <t>India</t>
        </is>
      </c>
      <c r="F1537" s="9" t="n">
        <v>1</v>
      </c>
      <c r="G1537" s="9" t="n">
        <v>1</v>
      </c>
      <c r="H1537" s="9" t="n">
        <v>1</v>
      </c>
      <c r="I1537" s="10" t="n">
        <v>44864</v>
      </c>
      <c r="J1537" s="10" t="n">
        <v>44864</v>
      </c>
      <c r="K1537" s="9" t="n">
        <v>27.50502</v>
      </c>
      <c r="L1537" s="9" t="n">
        <v>77.6681</v>
      </c>
      <c r="M1537" s="9" t="inlineStr">
        <is>
          <t>https://www.google.com/maps/place/?q=place_id:ChIJFS8dqa5xczkRws71cSKLag0</t>
        </is>
      </c>
    </row>
    <row r="1538">
      <c r="A1538" s="9" t="n">
        <v>1534</v>
      </c>
      <c r="B1538" s="9" t="inlineStr">
        <is>
          <t>Mathura</t>
        </is>
      </c>
      <c r="C1538" s="9" t="inlineStr">
        <is>
          <t>Mathura</t>
        </is>
      </c>
      <c r="D1538" s="9" t="inlineStr">
        <is>
          <t>Uttar Pradesh</t>
        </is>
      </c>
      <c r="E1538" s="9" t="inlineStr">
        <is>
          <t>India</t>
        </is>
      </c>
      <c r="F1538" s="9" t="n">
        <v>1</v>
      </c>
      <c r="G1538" s="9" t="n">
        <v>1</v>
      </c>
      <c r="H1538" s="9" t="n">
        <v>1</v>
      </c>
      <c r="I1538" s="10" t="n">
        <v>44864</v>
      </c>
      <c r="J1538" s="10" t="n">
        <v>44864</v>
      </c>
      <c r="K1538" s="9" t="n">
        <v>27.42903</v>
      </c>
      <c r="L1538" s="9" t="n">
        <v>77.72358</v>
      </c>
      <c r="M1538" s="9" t="inlineStr">
        <is>
          <t>https://www.google.com/maps/place/?q=place_id:ChIJNURUIHV3czkR35kzKiA39eY</t>
        </is>
      </c>
    </row>
    <row r="1539">
      <c r="A1539" s="9" t="n">
        <v>1535</v>
      </c>
      <c r="B1539" s="9" t="inlineStr">
        <is>
          <t>Mathura</t>
        </is>
      </c>
      <c r="C1539" s="9" t="inlineStr">
        <is>
          <t>Mathura</t>
        </is>
      </c>
      <c r="D1539" s="9" t="inlineStr">
        <is>
          <t>Uttar Pradesh</t>
        </is>
      </c>
      <c r="E1539" s="9" t="inlineStr">
        <is>
          <t>India</t>
        </is>
      </c>
      <c r="F1539" s="9" t="n">
        <v>1</v>
      </c>
      <c r="G1539" s="9" t="n">
        <v>1</v>
      </c>
      <c r="H1539" s="9" t="n">
        <v>1</v>
      </c>
      <c r="I1539" s="10" t="n">
        <v>44864</v>
      </c>
      <c r="J1539" s="10" t="n">
        <v>44864</v>
      </c>
      <c r="K1539" s="9" t="n">
        <v>27.41712</v>
      </c>
      <c r="L1539" s="9" t="n">
        <v>77.74486</v>
      </c>
      <c r="M1539" s="9" t="inlineStr">
        <is>
          <t>https://www.google.com/maps/place/?q=place_id:ChIJT7LJAYh3czkRbMNWQb_ZXPw</t>
        </is>
      </c>
    </row>
    <row r="1540">
      <c r="A1540" s="9" t="n">
        <v>1536</v>
      </c>
      <c r="B1540" s="9" t="inlineStr">
        <is>
          <t>Mathura</t>
        </is>
      </c>
      <c r="C1540" s="9" t="inlineStr">
        <is>
          <t>Mathura</t>
        </is>
      </c>
      <c r="D1540" s="9" t="inlineStr">
        <is>
          <t>Uttar Pradesh</t>
        </is>
      </c>
      <c r="E1540" s="9" t="inlineStr">
        <is>
          <t>India</t>
        </is>
      </c>
      <c r="F1540" s="9" t="n">
        <v>1</v>
      </c>
      <c r="G1540" s="9" t="n">
        <v>1</v>
      </c>
      <c r="H1540" s="9" t="n">
        <v>1</v>
      </c>
      <c r="I1540" s="10" t="n">
        <v>45582</v>
      </c>
      <c r="J1540" s="10" t="n">
        <v>45582</v>
      </c>
      <c r="K1540" s="9" t="n">
        <v>27.53864</v>
      </c>
      <c r="L1540" s="9" t="n">
        <v>77.60199</v>
      </c>
      <c r="M1540" s="9" t="inlineStr">
        <is>
          <t>https://www.google.com/maps/place/?q=place_id:ChIJ81YaQpVzczkRVKY8ct_Q5mU</t>
        </is>
      </c>
    </row>
    <row r="1541">
      <c r="A1541" s="9" t="n">
        <v>1537</v>
      </c>
      <c r="B1541" s="9" t="inlineStr">
        <is>
          <t>Mathura</t>
        </is>
      </c>
      <c r="C1541" s="9" t="inlineStr">
        <is>
          <t>Mathura</t>
        </is>
      </c>
      <c r="D1541" s="9" t="inlineStr">
        <is>
          <t>Uttar Pradesh</t>
        </is>
      </c>
      <c r="E1541" s="9" t="inlineStr">
        <is>
          <t>India</t>
        </is>
      </c>
      <c r="F1541" s="9" t="n">
        <v>1</v>
      </c>
      <c r="G1541" s="9" t="n">
        <v>1</v>
      </c>
      <c r="H1541" s="9" t="n">
        <v>1</v>
      </c>
      <c r="I1541" s="10" t="n">
        <v>45582</v>
      </c>
      <c r="J1541" s="10" t="n">
        <v>45582</v>
      </c>
      <c r="K1541" s="9" t="n">
        <v>27.51151</v>
      </c>
      <c r="L1541" s="9" t="n">
        <v>77.72584999999999</v>
      </c>
      <c r="M1541" s="9" t="inlineStr">
        <is>
          <t>https://www.google.com/maps/place/?q=place_id:ChIJq7rbXIxwczkRW8PBXkxtZAA</t>
        </is>
      </c>
    </row>
    <row r="1542">
      <c r="A1542" s="9" t="n">
        <v>1538</v>
      </c>
      <c r="B1542" s="9" t="inlineStr">
        <is>
          <t>Khatauli</t>
        </is>
      </c>
      <c r="C1542" s="9" t="inlineStr">
        <is>
          <t>Meerut</t>
        </is>
      </c>
      <c r="D1542" s="9" t="inlineStr">
        <is>
          <t>Uttar Pradesh</t>
        </is>
      </c>
      <c r="E1542" s="9" t="inlineStr">
        <is>
          <t>India</t>
        </is>
      </c>
      <c r="F1542" s="9" t="n">
        <v>1</v>
      </c>
      <c r="G1542" s="9" t="n">
        <v>1</v>
      </c>
      <c r="H1542" s="9" t="n">
        <v>1</v>
      </c>
      <c r="I1542" s="10" t="n">
        <v>43733</v>
      </c>
      <c r="J1542" s="10" t="n">
        <v>43733</v>
      </c>
      <c r="K1542" s="9" t="n">
        <v>29.18484</v>
      </c>
      <c r="L1542" s="9" t="n">
        <v>77.71827999999999</v>
      </c>
      <c r="M1542" s="9" t="inlineStr">
        <is>
          <t>https://www.google.com/maps/place/?q=place_id:ChIJf4F8VXZtDDkR9YYurqZfRFg</t>
        </is>
      </c>
    </row>
    <row r="1543">
      <c r="A1543" s="9" t="n">
        <v>1539</v>
      </c>
      <c r="B1543" s="9" t="inlineStr">
        <is>
          <t>Misrikh</t>
        </is>
      </c>
      <c r="C1543" s="9" t="inlineStr">
        <is>
          <t>Misrikh</t>
        </is>
      </c>
      <c r="D1543" s="9" t="inlineStr">
        <is>
          <t>Uttar Pradesh</t>
        </is>
      </c>
      <c r="E1543" s="9" t="inlineStr">
        <is>
          <t>India</t>
        </is>
      </c>
      <c r="F1543" s="9" t="n">
        <v>3</v>
      </c>
      <c r="G1543" s="9" t="n">
        <v>4</v>
      </c>
      <c r="H1543" s="9" t="n">
        <v>2</v>
      </c>
      <c r="I1543" s="10" t="n">
        <v>43753</v>
      </c>
      <c r="J1543" s="10" t="n">
        <v>45360</v>
      </c>
      <c r="K1543" s="9" t="n">
        <v>27.34861</v>
      </c>
      <c r="L1543" s="9" t="n">
        <v>80.48556000000001</v>
      </c>
      <c r="M1543" s="9" t="inlineStr">
        <is>
          <t>https://www.google.com/maps/place/?q=place_id:ChIJiatVlfzDnjkR-kp5dyp3jxA</t>
        </is>
      </c>
    </row>
    <row r="1544">
      <c r="A1544" s="9" t="n">
        <v>1540</v>
      </c>
      <c r="B1544" s="9" t="inlineStr">
        <is>
          <t>Misrikh</t>
        </is>
      </c>
      <c r="C1544" s="9" t="inlineStr">
        <is>
          <t>Misrikh</t>
        </is>
      </c>
      <c r="D1544" s="9" t="inlineStr">
        <is>
          <t>Uttar Pradesh</t>
        </is>
      </c>
      <c r="E1544" s="9" t="inlineStr">
        <is>
          <t>India</t>
        </is>
      </c>
      <c r="F1544" s="9" t="n">
        <v>2</v>
      </c>
      <c r="G1544" s="9" t="n">
        <v>2</v>
      </c>
      <c r="H1544" s="9" t="n">
        <v>1</v>
      </c>
      <c r="I1544" s="10" t="n">
        <v>43659</v>
      </c>
      <c r="J1544" s="10" t="n">
        <v>43660</v>
      </c>
      <c r="K1544" s="9" t="n">
        <v>27.34865</v>
      </c>
      <c r="L1544" s="9" t="n">
        <v>80.48687</v>
      </c>
      <c r="M1544" s="9" t="inlineStr">
        <is>
          <t>https://www.google.com/maps/place/?q=place_id:ChIJhd87WKPcnjkRV9-_yVmzMj8</t>
        </is>
      </c>
    </row>
    <row r="1545">
      <c r="A1545" s="9" t="n">
        <v>1541</v>
      </c>
      <c r="B1545" s="9" t="inlineStr">
        <is>
          <t>Misrikh</t>
        </is>
      </c>
      <c r="C1545" s="9" t="inlineStr">
        <is>
          <t>Misrikh</t>
        </is>
      </c>
      <c r="D1545" s="9" t="inlineStr">
        <is>
          <t>Uttar Pradesh</t>
        </is>
      </c>
      <c r="E1545" s="9" t="inlineStr">
        <is>
          <t>India</t>
        </is>
      </c>
      <c r="F1545" s="9" t="n">
        <v>1</v>
      </c>
      <c r="G1545" s="9" t="n">
        <v>1</v>
      </c>
      <c r="H1545" s="9" t="n">
        <v>1</v>
      </c>
      <c r="I1545" s="10" t="n">
        <v>43458</v>
      </c>
      <c r="J1545" s="10" t="n">
        <v>43458</v>
      </c>
      <c r="K1545" s="9" t="n">
        <v>27.35223</v>
      </c>
      <c r="L1545" s="9" t="n">
        <v>80.49074</v>
      </c>
      <c r="M1545" s="9" t="inlineStr">
        <is>
          <t>https://www.google.com/maps/place/?q=place_id:ChIJyYzStU_CnjkRxXKSIHlcmis</t>
        </is>
      </c>
    </row>
    <row r="1546">
      <c r="A1546" s="9" t="n">
        <v>1542</v>
      </c>
      <c r="B1546" s="9" t="inlineStr">
        <is>
          <t>Misrikh</t>
        </is>
      </c>
      <c r="C1546" s="9" t="inlineStr">
        <is>
          <t>Misrikh</t>
        </is>
      </c>
      <c r="D1546" s="9" t="inlineStr">
        <is>
          <t>Uttar Pradesh</t>
        </is>
      </c>
      <c r="E1546" s="9" t="inlineStr">
        <is>
          <t>India</t>
        </is>
      </c>
      <c r="F1546" s="9" t="n">
        <v>1</v>
      </c>
      <c r="G1546" s="9" t="n">
        <v>1</v>
      </c>
      <c r="H1546" s="9" t="n">
        <v>1</v>
      </c>
      <c r="I1546" s="10" t="n">
        <v>43458</v>
      </c>
      <c r="J1546" s="10" t="n">
        <v>43458</v>
      </c>
      <c r="K1546" s="9" t="n">
        <v>27.3445</v>
      </c>
      <c r="L1546" s="9" t="n">
        <v>80.48465</v>
      </c>
      <c r="M1546" s="9" t="inlineStr">
        <is>
          <t>https://www.google.com/maps/place/?q=place_id:ChIJWxDq40bCnjkRSghv7vE3NMM</t>
        </is>
      </c>
    </row>
    <row r="1547">
      <c r="A1547" s="9" t="n">
        <v>1543</v>
      </c>
      <c r="B1547" s="9" t="inlineStr">
        <is>
          <t>Misrikh</t>
        </is>
      </c>
      <c r="C1547" s="9" t="inlineStr">
        <is>
          <t>Misrikh</t>
        </is>
      </c>
      <c r="D1547" s="9" t="inlineStr">
        <is>
          <t>Uttar Pradesh</t>
        </is>
      </c>
      <c r="E1547" s="9" t="inlineStr">
        <is>
          <t>India</t>
        </is>
      </c>
      <c r="F1547" s="9" t="n">
        <v>1</v>
      </c>
      <c r="G1547" s="9" t="n">
        <v>1</v>
      </c>
      <c r="H1547" s="9" t="n">
        <v>1</v>
      </c>
      <c r="I1547" s="10" t="n">
        <v>43660</v>
      </c>
      <c r="J1547" s="10" t="n">
        <v>43660</v>
      </c>
      <c r="K1547" s="9" t="n">
        <v>27.35253</v>
      </c>
      <c r="L1547" s="9" t="n">
        <v>80.48018</v>
      </c>
      <c r="M1547" s="9" t="inlineStr">
        <is>
          <t>https://www.google.com/maps/place/?q=place_id:ChIJtwutKUPCnjkRCN_XbMRtzUo</t>
        </is>
      </c>
    </row>
    <row r="1548">
      <c r="A1548" s="9" t="n">
        <v>1544</v>
      </c>
      <c r="B1548" s="9" t="inlineStr">
        <is>
          <t>Misrikh</t>
        </is>
      </c>
      <c r="C1548" s="9" t="inlineStr">
        <is>
          <t>Misrikh</t>
        </is>
      </c>
      <c r="D1548" s="9" t="inlineStr">
        <is>
          <t>Uttar Pradesh</t>
        </is>
      </c>
      <c r="E1548" s="9" t="inlineStr">
        <is>
          <t>India</t>
        </is>
      </c>
      <c r="F1548" s="9" t="n">
        <v>1</v>
      </c>
      <c r="G1548" s="9" t="n">
        <v>1</v>
      </c>
      <c r="H1548" s="9" t="n">
        <v>1</v>
      </c>
      <c r="I1548" s="10" t="n">
        <v>43753</v>
      </c>
      <c r="J1548" s="10" t="n">
        <v>43753</v>
      </c>
      <c r="K1548" s="9" t="n">
        <v>27.34883</v>
      </c>
      <c r="L1548" s="9" t="n">
        <v>80.48672999999999</v>
      </c>
      <c r="M1548" s="9" t="inlineStr">
        <is>
          <t>https://www.google.com/maps/place/?q=place_id:ChIJNztPEXTDnjkRv30V_E4qC1s</t>
        </is>
      </c>
    </row>
    <row r="1549">
      <c r="A1549" s="9" t="n">
        <v>1545</v>
      </c>
      <c r="B1549" s="9" t="inlineStr">
        <is>
          <t>Misrikh</t>
        </is>
      </c>
      <c r="C1549" s="9" t="inlineStr">
        <is>
          <t>Misrikh</t>
        </is>
      </c>
      <c r="D1549" s="9" t="inlineStr">
        <is>
          <t>Uttar Pradesh</t>
        </is>
      </c>
      <c r="E1549" s="9" t="inlineStr">
        <is>
          <t>India</t>
        </is>
      </c>
      <c r="F1549" s="9" t="n">
        <v>1</v>
      </c>
      <c r="G1549" s="9" t="n">
        <v>1</v>
      </c>
      <c r="H1549" s="9" t="n">
        <v>1</v>
      </c>
      <c r="I1549" s="10" t="n">
        <v>43753</v>
      </c>
      <c r="J1549" s="10" t="n">
        <v>43753</v>
      </c>
      <c r="K1549" s="9" t="n">
        <v>27.43109</v>
      </c>
      <c r="L1549" s="9" t="n">
        <v>80.53009</v>
      </c>
      <c r="M1549" s="9" t="inlineStr">
        <is>
          <t>https://www.google.com/maps/place/?q=place_id:ChIJJXvXdbvcnjkRqQGW57ZhtiY</t>
        </is>
      </c>
    </row>
    <row r="1550">
      <c r="A1550" s="9" t="n">
        <v>1546</v>
      </c>
      <c r="B1550" s="9" t="inlineStr">
        <is>
          <t>Misrikh</t>
        </is>
      </c>
      <c r="C1550" s="9" t="inlineStr">
        <is>
          <t>Misrikh</t>
        </is>
      </c>
      <c r="D1550" s="9" t="inlineStr">
        <is>
          <t>Uttar Pradesh</t>
        </is>
      </c>
      <c r="E1550" s="9" t="inlineStr">
        <is>
          <t>India</t>
        </is>
      </c>
      <c r="F1550" s="9" t="n">
        <v>1</v>
      </c>
      <c r="G1550" s="9" t="n">
        <v>1</v>
      </c>
      <c r="H1550" s="9" t="n">
        <v>1</v>
      </c>
      <c r="I1550" s="10" t="n">
        <v>45359</v>
      </c>
      <c r="J1550" s="10" t="n">
        <v>45359</v>
      </c>
      <c r="K1550" s="9" t="n">
        <v>27.35756</v>
      </c>
      <c r="L1550" s="9" t="n">
        <v>80.48381000000001</v>
      </c>
      <c r="M1550" s="9" t="inlineStr">
        <is>
          <t>https://www.google.com/maps/place/?q=place_id:ChIJ__J7P5DDnjkRSJW3wElVD3g</t>
        </is>
      </c>
    </row>
    <row r="1551">
      <c r="A1551" s="9" t="n">
        <v>1547</v>
      </c>
      <c r="B1551" s="9" t="inlineStr">
        <is>
          <t>Misrikh</t>
        </is>
      </c>
      <c r="C1551" s="9" t="inlineStr">
        <is>
          <t>Misrikh</t>
        </is>
      </c>
      <c r="D1551" s="9" t="inlineStr">
        <is>
          <t>Uttar Pradesh</t>
        </is>
      </c>
      <c r="E1551" s="9" t="inlineStr">
        <is>
          <t>India</t>
        </is>
      </c>
      <c r="F1551" s="9" t="n">
        <v>1</v>
      </c>
      <c r="G1551" s="9" t="n">
        <v>1</v>
      </c>
      <c r="H1551" s="9" t="n">
        <v>1</v>
      </c>
      <c r="I1551" s="10" t="n">
        <v>45359</v>
      </c>
      <c r="J1551" s="10" t="n">
        <v>45359</v>
      </c>
      <c r="K1551" s="9" t="n">
        <v>27.34764</v>
      </c>
      <c r="L1551" s="9" t="n">
        <v>80.48096</v>
      </c>
      <c r="M1551" s="9" t="inlineStr">
        <is>
          <t>https://www.google.com/maps/place/?q=place_id:ChIJL2fC8EPCnjkR_5BwvATMaJo</t>
        </is>
      </c>
    </row>
    <row r="1552">
      <c r="A1552" s="9" t="n">
        <v>1548</v>
      </c>
      <c r="B1552" s="9" t="inlineStr">
        <is>
          <t>Misrikh</t>
        </is>
      </c>
      <c r="C1552" s="9" t="inlineStr">
        <is>
          <t>Misrikh</t>
        </is>
      </c>
      <c r="D1552" s="9" t="inlineStr">
        <is>
          <t>Uttar Pradesh</t>
        </is>
      </c>
      <c r="E1552" s="9" t="inlineStr">
        <is>
          <t>India</t>
        </is>
      </c>
      <c r="F1552" s="9" t="n">
        <v>1</v>
      </c>
      <c r="G1552" s="9" t="n">
        <v>1</v>
      </c>
      <c r="H1552" s="9" t="n">
        <v>1</v>
      </c>
      <c r="I1552" s="10" t="n">
        <v>45359</v>
      </c>
      <c r="J1552" s="10" t="n">
        <v>45359</v>
      </c>
      <c r="K1552" s="9" t="n">
        <v>27.34453</v>
      </c>
      <c r="L1552" s="9" t="n">
        <v>80.48457000000001</v>
      </c>
      <c r="M1552" s="9" t="inlineStr">
        <is>
          <t>https://www.google.com/maps/place/?q=place_id:ChIJZX9UHEfCnjkRv2oT43ou580</t>
        </is>
      </c>
    </row>
    <row r="1553">
      <c r="A1553" s="9" t="n">
        <v>1549</v>
      </c>
      <c r="B1553" s="9" t="inlineStr">
        <is>
          <t>Misrikh</t>
        </is>
      </c>
      <c r="C1553" s="9" t="inlineStr">
        <is>
          <t>Misrikh</t>
        </is>
      </c>
      <c r="D1553" s="9" t="inlineStr">
        <is>
          <t>Uttar Pradesh</t>
        </is>
      </c>
      <c r="E1553" s="9" t="inlineStr">
        <is>
          <t>India</t>
        </is>
      </c>
      <c r="F1553" s="9" t="n">
        <v>1</v>
      </c>
      <c r="G1553" s="9" t="n">
        <v>1</v>
      </c>
      <c r="H1553" s="9" t="n">
        <v>1</v>
      </c>
      <c r="I1553" s="10" t="n">
        <v>45359</v>
      </c>
      <c r="J1553" s="10" t="n">
        <v>45359</v>
      </c>
      <c r="K1553" s="9" t="n">
        <v>27.35213</v>
      </c>
      <c r="L1553" s="9" t="n">
        <v>80.49182999999999</v>
      </c>
      <c r="M1553" s="9" t="inlineStr">
        <is>
          <t>https://www.google.com/maps/place/?q=place_id:ChIJGVp95gTDnjkR9I5mwxYpK8s</t>
        </is>
      </c>
    </row>
    <row r="1554">
      <c r="A1554" s="9" t="n">
        <v>1550</v>
      </c>
      <c r="B1554" s="9" t="inlineStr">
        <is>
          <t>Misrikh</t>
        </is>
      </c>
      <c r="C1554" s="9" t="inlineStr">
        <is>
          <t>Misrikh</t>
        </is>
      </c>
      <c r="D1554" s="9" t="inlineStr">
        <is>
          <t>Uttar Pradesh</t>
        </is>
      </c>
      <c r="E1554" s="9" t="inlineStr">
        <is>
          <t>India</t>
        </is>
      </c>
      <c r="F1554" s="9" t="n">
        <v>1</v>
      </c>
      <c r="G1554" s="9" t="n">
        <v>1</v>
      </c>
      <c r="H1554" s="9" t="n">
        <v>1</v>
      </c>
      <c r="I1554" s="10" t="n">
        <v>45359</v>
      </c>
      <c r="J1554" s="10" t="n">
        <v>45359</v>
      </c>
      <c r="K1554" s="9" t="n">
        <v>27.34485</v>
      </c>
      <c r="L1554" s="9" t="n">
        <v>80.48735000000001</v>
      </c>
      <c r="M1554" s="9" t="inlineStr">
        <is>
          <t>https://www.google.com/maps/place/?q=place_id:ChIJ4Q3FzEfCnjkRkkuiWAmAb6o</t>
        </is>
      </c>
    </row>
    <row r="1555">
      <c r="A1555" s="9" t="n">
        <v>1551</v>
      </c>
      <c r="B1555" s="9" t="inlineStr">
        <is>
          <t>Najibabad</t>
        </is>
      </c>
      <c r="C1555" s="9" t="inlineStr">
        <is>
          <t>Najibabad</t>
        </is>
      </c>
      <c r="D1555" s="9" t="inlineStr">
        <is>
          <t>Uttar Pradesh</t>
        </is>
      </c>
      <c r="E1555" s="9" t="inlineStr">
        <is>
          <t>India</t>
        </is>
      </c>
      <c r="F1555" s="9" t="n">
        <v>1</v>
      </c>
      <c r="G1555" s="9" t="n">
        <v>1</v>
      </c>
      <c r="H1555" s="9" t="n">
        <v>1</v>
      </c>
      <c r="I1555" s="10" t="n">
        <v>43644</v>
      </c>
      <c r="J1555" s="10" t="n">
        <v>43644</v>
      </c>
      <c r="K1555" s="9" t="n">
        <v>29.60389</v>
      </c>
      <c r="L1555" s="9" t="n">
        <v>78.33651</v>
      </c>
      <c r="M1555" s="9" t="inlineStr">
        <is>
          <t>https://www.google.com/maps/place/?q=place_id:ChIJfaF3manfCzkRkoe3O_nMoIw</t>
        </is>
      </c>
    </row>
    <row r="1556">
      <c r="A1556" s="9" t="n">
        <v>1552</v>
      </c>
      <c r="B1556" s="9" t="inlineStr">
        <is>
          <t>Nakur</t>
        </is>
      </c>
      <c r="C1556" s="9" t="inlineStr">
        <is>
          <t>Nakur</t>
        </is>
      </c>
      <c r="D1556" s="9" t="inlineStr">
        <is>
          <t>Uttar Pradesh</t>
        </is>
      </c>
      <c r="E1556" s="9" t="inlineStr">
        <is>
          <t>India</t>
        </is>
      </c>
      <c r="F1556" s="9" t="n">
        <v>1</v>
      </c>
      <c r="G1556" s="9" t="n">
        <v>1</v>
      </c>
      <c r="H1556" s="9" t="n">
        <v>1</v>
      </c>
      <c r="I1556" s="10" t="n">
        <v>43656</v>
      </c>
      <c r="J1556" s="10" t="n">
        <v>43656</v>
      </c>
      <c r="K1556" s="9" t="n">
        <v>30.01711</v>
      </c>
      <c r="L1556" s="9" t="n">
        <v>77.40214</v>
      </c>
      <c r="M1556" s="9" t="inlineStr">
        <is>
          <t>https://www.google.com/maps/place/?q=place_id:ChIJdW3Kp3TuDjkR8udRa90INSU</t>
        </is>
      </c>
    </row>
    <row r="1557">
      <c r="A1557" s="9" t="n">
        <v>1553</v>
      </c>
      <c r="B1557" s="9" t="inlineStr">
        <is>
          <t>Nawabganj</t>
        </is>
      </c>
      <c r="C1557" s="9" t="inlineStr">
        <is>
          <t>Nawabganj</t>
        </is>
      </c>
      <c r="D1557" s="9" t="inlineStr">
        <is>
          <t>Uttar Pradesh</t>
        </is>
      </c>
      <c r="E1557" s="9" t="inlineStr">
        <is>
          <t>India</t>
        </is>
      </c>
      <c r="F1557" s="9" t="n">
        <v>1</v>
      </c>
      <c r="G1557" s="9" t="n">
        <v>1</v>
      </c>
      <c r="H1557" s="9" t="n">
        <v>1</v>
      </c>
      <c r="I1557" s="10" t="n">
        <v>43494</v>
      </c>
      <c r="J1557" s="10" t="n">
        <v>43494</v>
      </c>
      <c r="K1557" s="9" t="n">
        <v>26.9192</v>
      </c>
      <c r="L1557" s="9" t="n">
        <v>81.28348</v>
      </c>
      <c r="M1557" s="9" t="inlineStr">
        <is>
          <t>https://www.google.com/maps/place/?q=place_id:ChIJz6UmDW9imTkRDfqKPKUElc4</t>
        </is>
      </c>
    </row>
    <row r="1558">
      <c r="A1558" s="9" t="n">
        <v>1554</v>
      </c>
      <c r="B1558" s="9" t="inlineStr">
        <is>
          <t>Jhusi</t>
        </is>
      </c>
      <c r="C1558" s="9" t="inlineStr">
        <is>
          <t>Prayagraj</t>
        </is>
      </c>
      <c r="D1558" s="9" t="inlineStr">
        <is>
          <t>Uttar Pradesh</t>
        </is>
      </c>
      <c r="E1558" s="9" t="inlineStr">
        <is>
          <t>India</t>
        </is>
      </c>
      <c r="F1558" s="9" t="n">
        <v>9</v>
      </c>
      <c r="G1558" s="9" t="n">
        <v>6</v>
      </c>
      <c r="H1558" s="9" t="n">
        <v>1</v>
      </c>
      <c r="I1558" s="10" t="n">
        <v>43519</v>
      </c>
      <c r="J1558" s="10" t="n">
        <v>43525</v>
      </c>
      <c r="K1558" s="9" t="n">
        <v>25.46332</v>
      </c>
      <c r="L1558" s="9" t="n">
        <v>81.88205000000001</v>
      </c>
      <c r="M1558" s="9" t="inlineStr">
        <is>
          <t>https://www.google.com/maps/place/?q=place_id:ChIJUeXclTm1mjkRAmve3rYa9l8</t>
        </is>
      </c>
    </row>
    <row r="1559">
      <c r="A1559" s="9" t="n">
        <v>1555</v>
      </c>
      <c r="B1559" s="9" t="inlineStr">
        <is>
          <t>Jhusi</t>
        </is>
      </c>
      <c r="C1559" s="9" t="inlineStr">
        <is>
          <t>Prayagraj</t>
        </is>
      </c>
      <c r="D1559" s="9" t="inlineStr">
        <is>
          <t>Uttar Pradesh</t>
        </is>
      </c>
      <c r="E1559" s="9" t="inlineStr">
        <is>
          <t>India</t>
        </is>
      </c>
      <c r="F1559" s="9" t="n">
        <v>6</v>
      </c>
      <c r="G1559" s="9" t="n">
        <v>5</v>
      </c>
      <c r="H1559" s="9" t="n">
        <v>4</v>
      </c>
      <c r="I1559" s="10" t="n">
        <v>43455</v>
      </c>
      <c r="J1559" s="10" t="n">
        <v>44523</v>
      </c>
      <c r="K1559" s="9" t="n">
        <v>25.42953</v>
      </c>
      <c r="L1559" s="9" t="n">
        <v>81.87684</v>
      </c>
      <c r="M1559" s="9" t="inlineStr">
        <is>
          <t>https://www.google.com/maps/place/?q=place_id:ChIJu0-pK65KhTkRUgI4wRKJMno</t>
        </is>
      </c>
    </row>
    <row r="1560">
      <c r="A1560" s="9" t="n">
        <v>1556</v>
      </c>
      <c r="B1560" s="9" t="inlineStr">
        <is>
          <t>Jhusi</t>
        </is>
      </c>
      <c r="C1560" s="9" t="inlineStr">
        <is>
          <t>Prayagraj</t>
        </is>
      </c>
      <c r="D1560" s="9" t="inlineStr">
        <is>
          <t>Uttar Pradesh</t>
        </is>
      </c>
      <c r="E1560" s="9" t="inlineStr">
        <is>
          <t>India</t>
        </is>
      </c>
      <c r="F1560" s="9" t="n">
        <v>6</v>
      </c>
      <c r="G1560" s="9" t="n">
        <v>6</v>
      </c>
      <c r="H1560" s="9" t="n">
        <v>1</v>
      </c>
      <c r="I1560" s="10" t="n">
        <v>43488</v>
      </c>
      <c r="J1560" s="10" t="n">
        <v>43493</v>
      </c>
      <c r="K1560" s="9" t="n">
        <v>25.46259</v>
      </c>
      <c r="L1560" s="9" t="n">
        <v>81.88383</v>
      </c>
      <c r="M1560" s="9" t="inlineStr">
        <is>
          <t>https://www.google.com/maps/place/?q=place_id:ChIJzcz-HxW1mjkR6OvBVqWns94</t>
        </is>
      </c>
    </row>
    <row r="1561">
      <c r="A1561" s="9" t="n">
        <v>1557</v>
      </c>
      <c r="B1561" s="9" t="inlineStr">
        <is>
          <t>Prayagraj</t>
        </is>
      </c>
      <c r="C1561" s="9" t="inlineStr">
        <is>
          <t>Prayagraj</t>
        </is>
      </c>
      <c r="D1561" s="9" t="inlineStr">
        <is>
          <t>Uttar Pradesh</t>
        </is>
      </c>
      <c r="E1561" s="9" t="inlineStr">
        <is>
          <t>India</t>
        </is>
      </c>
      <c r="F1561" s="9" t="n">
        <v>3</v>
      </c>
      <c r="G1561" s="9" t="n">
        <v>3</v>
      </c>
      <c r="H1561" s="9" t="n">
        <v>3</v>
      </c>
      <c r="I1561" s="10" t="n">
        <v>43455</v>
      </c>
      <c r="J1561" s="10" t="n">
        <v>43520</v>
      </c>
      <c r="K1561" s="9" t="n">
        <v>25.44218</v>
      </c>
      <c r="L1561" s="9" t="n">
        <v>81.86565</v>
      </c>
      <c r="M1561" s="9" t="inlineStr">
        <is>
          <t>https://www.google.com/maps/place/?q=place_id:ChIJjzf1DqrKmjkRJ3B0WodPICU</t>
        </is>
      </c>
    </row>
    <row r="1562">
      <c r="A1562" s="9" t="n">
        <v>1558</v>
      </c>
      <c r="B1562" s="9" t="inlineStr">
        <is>
          <t>Jhusi</t>
        </is>
      </c>
      <c r="C1562" s="9" t="inlineStr">
        <is>
          <t>Prayagraj</t>
        </is>
      </c>
      <c r="D1562" s="9" t="inlineStr">
        <is>
          <t>Uttar Pradesh</t>
        </is>
      </c>
      <c r="E1562" s="9" t="inlineStr">
        <is>
          <t>India</t>
        </is>
      </c>
      <c r="F1562" s="9" t="n">
        <v>3</v>
      </c>
      <c r="G1562" s="9" t="n">
        <v>3</v>
      </c>
      <c r="H1562" s="9" t="n">
        <v>3</v>
      </c>
      <c r="I1562" s="10" t="n">
        <v>43455</v>
      </c>
      <c r="J1562" s="10" t="n">
        <v>43524</v>
      </c>
      <c r="K1562" s="9" t="n">
        <v>25.44579</v>
      </c>
      <c r="L1562" s="9" t="n">
        <v>81.88329</v>
      </c>
      <c r="M1562" s="9" t="inlineStr">
        <is>
          <t>https://www.google.com/maps/place/?q=place_id:ChIJx9aKDbxKhTkRmjiewU-45yk</t>
        </is>
      </c>
    </row>
    <row r="1563">
      <c r="A1563" s="9" t="n">
        <v>1559</v>
      </c>
      <c r="B1563" s="9" t="inlineStr">
        <is>
          <t>Jhusi</t>
        </is>
      </c>
      <c r="C1563" s="9" t="inlineStr">
        <is>
          <t>Prayagraj</t>
        </is>
      </c>
      <c r="D1563" s="9" t="inlineStr">
        <is>
          <t>Uttar Pradesh</t>
        </is>
      </c>
      <c r="E1563" s="9" t="inlineStr">
        <is>
          <t>India</t>
        </is>
      </c>
      <c r="F1563" s="9" t="n">
        <v>3</v>
      </c>
      <c r="G1563" s="9" t="n">
        <v>3</v>
      </c>
      <c r="H1563" s="9" t="n">
        <v>3</v>
      </c>
      <c r="I1563" s="10" t="n">
        <v>43489</v>
      </c>
      <c r="J1563" s="10" t="n">
        <v>44523</v>
      </c>
      <c r="K1563" s="9" t="n">
        <v>25.45709</v>
      </c>
      <c r="L1563" s="9" t="n">
        <v>81.88436</v>
      </c>
      <c r="M1563" s="9" t="inlineStr">
        <is>
          <t>https://www.google.com/maps/place/?q=place_id:ChIJ-QyZO0G1mjkRTDKKeESFS3g</t>
        </is>
      </c>
    </row>
    <row r="1564">
      <c r="A1564" s="9" t="n">
        <v>1560</v>
      </c>
      <c r="B1564" s="9" t="inlineStr">
        <is>
          <t>Jhusi</t>
        </is>
      </c>
      <c r="C1564" s="9" t="inlineStr">
        <is>
          <t>Prayagraj</t>
        </is>
      </c>
      <c r="D1564" s="9" t="inlineStr">
        <is>
          <t>Uttar Pradesh</t>
        </is>
      </c>
      <c r="E1564" s="9" t="inlineStr">
        <is>
          <t>India</t>
        </is>
      </c>
      <c r="F1564" s="9" t="n">
        <v>3</v>
      </c>
      <c r="G1564" s="9" t="n">
        <v>2</v>
      </c>
      <c r="H1564" s="9" t="n">
        <v>1</v>
      </c>
      <c r="I1564" s="10" t="n">
        <v>43489</v>
      </c>
      <c r="J1564" s="10" t="n">
        <v>43490</v>
      </c>
      <c r="K1564" s="9" t="n">
        <v>25.42204</v>
      </c>
      <c r="L1564" s="9" t="n">
        <v>81.88128</v>
      </c>
      <c r="M1564" s="9" t="inlineStr">
        <is>
          <t>https://www.google.com/maps/place/?q=place_id:ChIJU028SbhKhTkR_HJArHumRtY</t>
        </is>
      </c>
    </row>
    <row r="1565">
      <c r="A1565" s="9" t="n">
        <v>1561</v>
      </c>
      <c r="B1565" s="9" t="inlineStr">
        <is>
          <t>Prayagraj</t>
        </is>
      </c>
      <c r="C1565" s="9" t="inlineStr">
        <is>
          <t>Prayagraj</t>
        </is>
      </c>
      <c r="D1565" s="9" t="inlineStr">
        <is>
          <t>Uttar Pradesh</t>
        </is>
      </c>
      <c r="E1565" s="9" t="inlineStr">
        <is>
          <t>India</t>
        </is>
      </c>
      <c r="F1565" s="9" t="n">
        <v>2</v>
      </c>
      <c r="G1565" s="9" t="n">
        <v>2</v>
      </c>
      <c r="H1565" s="9" t="n">
        <v>2</v>
      </c>
      <c r="I1565" s="10" t="n">
        <v>43454</v>
      </c>
      <c r="J1565" s="10" t="n">
        <v>43488</v>
      </c>
      <c r="K1565" s="9" t="n">
        <v>25.44528</v>
      </c>
      <c r="L1565" s="9" t="n">
        <v>81.82532999999999</v>
      </c>
      <c r="M1565" s="9" t="inlineStr">
        <is>
          <t>https://www.google.com/maps/place/?q=place_id:ChIJtylO89DKmjkRAAyvlJ1MswQ</t>
        </is>
      </c>
    </row>
    <row r="1566">
      <c r="A1566" s="9" t="n">
        <v>1562</v>
      </c>
      <c r="B1566" s="9" t="inlineStr">
        <is>
          <t>Jhusi</t>
        </is>
      </c>
      <c r="C1566" s="9" t="inlineStr">
        <is>
          <t>Prayagraj</t>
        </is>
      </c>
      <c r="D1566" s="9" t="inlineStr">
        <is>
          <t>Uttar Pradesh</t>
        </is>
      </c>
      <c r="E1566" s="9" t="inlineStr">
        <is>
          <t>India</t>
        </is>
      </c>
      <c r="F1566" s="9" t="n">
        <v>2</v>
      </c>
      <c r="G1566" s="9" t="n">
        <v>2</v>
      </c>
      <c r="H1566" s="9" t="n">
        <v>2</v>
      </c>
      <c r="I1566" s="10" t="n">
        <v>43454</v>
      </c>
      <c r="J1566" s="10" t="n">
        <v>43524</v>
      </c>
      <c r="K1566" s="9" t="n">
        <v>25.43425</v>
      </c>
      <c r="L1566" s="9" t="n">
        <v>81.89512999999999</v>
      </c>
      <c r="M1566" s="9" t="inlineStr">
        <is>
          <t>https://www.google.com/maps/place/?q=place_id:ChIJLX2pPsxKhTkROkbis8Nj_44</t>
        </is>
      </c>
    </row>
    <row r="1567">
      <c r="A1567" s="9" t="n">
        <v>1563</v>
      </c>
      <c r="B1567" s="9" t="inlineStr">
        <is>
          <t>Prayagraj</t>
        </is>
      </c>
      <c r="C1567" s="9" t="inlineStr">
        <is>
          <t>Prayagraj</t>
        </is>
      </c>
      <c r="D1567" s="9" t="inlineStr">
        <is>
          <t>Uttar Pradesh</t>
        </is>
      </c>
      <c r="E1567" s="9" t="inlineStr">
        <is>
          <t>India</t>
        </is>
      </c>
      <c r="F1567" s="9" t="n">
        <v>2</v>
      </c>
      <c r="G1567" s="9" t="n">
        <v>2</v>
      </c>
      <c r="H1567" s="9" t="n">
        <v>1</v>
      </c>
      <c r="I1567" s="10" t="n">
        <v>43454</v>
      </c>
      <c r="J1567" s="10" t="n">
        <v>43455</v>
      </c>
      <c r="K1567" s="9" t="n">
        <v>25.45495</v>
      </c>
      <c r="L1567" s="9" t="n">
        <v>81.8622</v>
      </c>
      <c r="M1567" s="9" t="inlineStr">
        <is>
          <t>https://www.google.com/maps/place/?q=place_id:ChIJx5QTNaHKmjkR9vc4nQOS9MM</t>
        </is>
      </c>
    </row>
    <row r="1568">
      <c r="A1568" s="9" t="n">
        <v>1564</v>
      </c>
      <c r="B1568" s="9" t="inlineStr">
        <is>
          <t>Prayagraj</t>
        </is>
      </c>
      <c r="C1568" s="9" t="inlineStr">
        <is>
          <t>Prayagraj</t>
        </is>
      </c>
      <c r="D1568" s="9" t="inlineStr">
        <is>
          <t>Uttar Pradesh</t>
        </is>
      </c>
      <c r="E1568" s="9" t="inlineStr">
        <is>
          <t>India</t>
        </is>
      </c>
      <c r="F1568" s="9" t="n">
        <v>2</v>
      </c>
      <c r="G1568" s="9" t="n">
        <v>2</v>
      </c>
      <c r="H1568" s="9" t="n">
        <v>2</v>
      </c>
      <c r="I1568" s="10" t="n">
        <v>43455</v>
      </c>
      <c r="J1568" s="10" t="n">
        <v>43489</v>
      </c>
      <c r="K1568" s="9" t="n">
        <v>25.44258</v>
      </c>
      <c r="L1568" s="9" t="n">
        <v>81.83647000000001</v>
      </c>
      <c r="M1568" s="9" t="inlineStr">
        <is>
          <t>https://www.google.com/maps/place/?q=place_id:ChIJs-_Wjs7KmjkRwm86GaxRKuo</t>
        </is>
      </c>
    </row>
    <row r="1569">
      <c r="A1569" s="9" t="n">
        <v>1565</v>
      </c>
      <c r="B1569" s="9" t="inlineStr">
        <is>
          <t>Jhusi</t>
        </is>
      </c>
      <c r="C1569" s="9" t="inlineStr">
        <is>
          <t>Prayagraj</t>
        </is>
      </c>
      <c r="D1569" s="9" t="inlineStr">
        <is>
          <t>Uttar Pradesh</t>
        </is>
      </c>
      <c r="E1569" s="9" t="inlineStr">
        <is>
          <t>India</t>
        </is>
      </c>
      <c r="F1569" s="9" t="n">
        <v>2</v>
      </c>
      <c r="G1569" s="9" t="n">
        <v>2</v>
      </c>
      <c r="H1569" s="9" t="n">
        <v>2</v>
      </c>
      <c r="I1569" s="10" t="n">
        <v>43489</v>
      </c>
      <c r="J1569" s="10" t="n">
        <v>43524</v>
      </c>
      <c r="K1569" s="9" t="n">
        <v>25.46175</v>
      </c>
      <c r="L1569" s="9" t="n">
        <v>81.88481</v>
      </c>
      <c r="M1569" s="9" t="inlineStr">
        <is>
          <t>https://www.google.com/maps/place/?q=place_id:ChIJbUNXyLq1mjkRYkjJeUZ_B3Y</t>
        </is>
      </c>
    </row>
    <row r="1570">
      <c r="A1570" s="9" t="n">
        <v>1566</v>
      </c>
      <c r="B1570" s="9" t="inlineStr">
        <is>
          <t>Jhusi</t>
        </is>
      </c>
      <c r="C1570" s="9" t="inlineStr">
        <is>
          <t>Prayagraj</t>
        </is>
      </c>
      <c r="D1570" s="9" t="inlineStr">
        <is>
          <t>Uttar Pradesh</t>
        </is>
      </c>
      <c r="E1570" s="9" t="inlineStr">
        <is>
          <t>India</t>
        </is>
      </c>
      <c r="F1570" s="9" t="n">
        <v>2</v>
      </c>
      <c r="G1570" s="9" t="n">
        <v>2</v>
      </c>
      <c r="H1570" s="9" t="n">
        <v>2</v>
      </c>
      <c r="I1570" s="10" t="n">
        <v>43492</v>
      </c>
      <c r="J1570" s="10" t="n">
        <v>43520</v>
      </c>
      <c r="K1570" s="9" t="n">
        <v>25.43146</v>
      </c>
      <c r="L1570" s="9" t="n">
        <v>81.88484</v>
      </c>
      <c r="M1570" s="9" t="inlineStr">
        <is>
          <t>https://www.google.com/maps/place/?q=place_id:ChIJM4ceuYO1mjkRytOtpkYkEvI</t>
        </is>
      </c>
    </row>
    <row r="1571">
      <c r="A1571" s="9" t="n">
        <v>1567</v>
      </c>
      <c r="B1571" s="9" t="inlineStr">
        <is>
          <t>Prayagraj</t>
        </is>
      </c>
      <c r="C1571" s="9" t="inlineStr">
        <is>
          <t>Prayagraj</t>
        </is>
      </c>
      <c r="D1571" s="9" t="inlineStr">
        <is>
          <t>Uttar Pradesh</t>
        </is>
      </c>
      <c r="E1571" s="9" t="inlineStr">
        <is>
          <t>India</t>
        </is>
      </c>
      <c r="F1571" s="9" t="n">
        <v>1</v>
      </c>
      <c r="G1571" s="9" t="n">
        <v>1</v>
      </c>
      <c r="H1571" s="9" t="n">
        <v>1</v>
      </c>
      <c r="I1571" s="10" t="n">
        <v>43454</v>
      </c>
      <c r="J1571" s="10" t="n">
        <v>43454</v>
      </c>
      <c r="K1571" s="9" t="n">
        <v>25.45497</v>
      </c>
      <c r="L1571" s="9" t="n">
        <v>81.86248000000001</v>
      </c>
      <c r="M1571" s="9" t="inlineStr">
        <is>
          <t>https://www.google.com/maps/place/?q=place_id:ChIJL4X7MqHKmjkRvZQZQ67u1n8</t>
        </is>
      </c>
    </row>
    <row r="1572">
      <c r="A1572" s="9" t="n">
        <v>1568</v>
      </c>
      <c r="B1572" s="9" t="inlineStr">
        <is>
          <t>Jhusi</t>
        </is>
      </c>
      <c r="C1572" s="9" t="inlineStr">
        <is>
          <t>Prayagraj</t>
        </is>
      </c>
      <c r="D1572" s="9" t="inlineStr">
        <is>
          <t>Uttar Pradesh</t>
        </is>
      </c>
      <c r="E1572" s="9" t="inlineStr">
        <is>
          <t>India</t>
        </is>
      </c>
      <c r="F1572" s="9" t="n">
        <v>1</v>
      </c>
      <c r="G1572" s="9" t="n">
        <v>1</v>
      </c>
      <c r="H1572" s="9" t="n">
        <v>1</v>
      </c>
      <c r="I1572" s="10" t="n">
        <v>43454</v>
      </c>
      <c r="J1572" s="10" t="n">
        <v>43454</v>
      </c>
      <c r="K1572" s="9" t="n">
        <v>25.42097</v>
      </c>
      <c r="L1572" s="9" t="n">
        <v>81.89015000000001</v>
      </c>
      <c r="M1572" s="9" t="inlineStr">
        <is>
          <t>https://www.google.com/maps/place/?q=place_id:ChIJlauYbdHKmjkRxYJbbetzPQQ</t>
        </is>
      </c>
    </row>
    <row r="1573">
      <c r="A1573" s="9" t="n">
        <v>1569</v>
      </c>
      <c r="B1573" s="9" t="inlineStr">
        <is>
          <t>Prayagraj</t>
        </is>
      </c>
      <c r="C1573" s="9" t="inlineStr">
        <is>
          <t>Prayagraj</t>
        </is>
      </c>
      <c r="D1573" s="9" t="inlineStr">
        <is>
          <t>Uttar Pradesh</t>
        </is>
      </c>
      <c r="E1573" s="9" t="inlineStr">
        <is>
          <t>India</t>
        </is>
      </c>
      <c r="F1573" s="9" t="n">
        <v>1</v>
      </c>
      <c r="G1573" s="9" t="n">
        <v>1</v>
      </c>
      <c r="H1573" s="9" t="n">
        <v>1</v>
      </c>
      <c r="I1573" s="10" t="n">
        <v>43454</v>
      </c>
      <c r="J1573" s="10" t="n">
        <v>43454</v>
      </c>
      <c r="K1573" s="9" t="n">
        <v>25.44791</v>
      </c>
      <c r="L1573" s="9" t="n">
        <v>81.83322</v>
      </c>
      <c r="M1573" s="9" t="inlineStr">
        <is>
          <t>https://www.google.com/maps/place/?q=place_id:ChIJbWOgstrKmjkR5JDmqHIk190</t>
        </is>
      </c>
    </row>
    <row r="1574">
      <c r="A1574" s="9" t="n">
        <v>1570</v>
      </c>
      <c r="B1574" s="9" t="inlineStr">
        <is>
          <t>Prayagraj</t>
        </is>
      </c>
      <c r="C1574" s="9" t="inlineStr">
        <is>
          <t>Prayagraj</t>
        </is>
      </c>
      <c r="D1574" s="9" t="inlineStr">
        <is>
          <t>Uttar Pradesh</t>
        </is>
      </c>
      <c r="E1574" s="9" t="inlineStr">
        <is>
          <t>India</t>
        </is>
      </c>
      <c r="F1574" s="9" t="n">
        <v>1</v>
      </c>
      <c r="G1574" s="9" t="n">
        <v>1</v>
      </c>
      <c r="H1574" s="9" t="n">
        <v>1</v>
      </c>
      <c r="I1574" s="10" t="n">
        <v>43455</v>
      </c>
      <c r="J1574" s="10" t="n">
        <v>43455</v>
      </c>
      <c r="K1574" s="9" t="n">
        <v>25.42457</v>
      </c>
      <c r="L1574" s="9" t="n">
        <v>81.83881</v>
      </c>
      <c r="M1574" s="9" t="inlineStr">
        <is>
          <t>https://www.google.com/maps/place/?q=place_id:ChIJXwC0rDA1hTkRCrZAH3QLJF4</t>
        </is>
      </c>
    </row>
    <row r="1575">
      <c r="A1575" s="9" t="n">
        <v>1571</v>
      </c>
      <c r="B1575" s="9" t="inlineStr">
        <is>
          <t>Prayagraj</t>
        </is>
      </c>
      <c r="C1575" s="9" t="inlineStr">
        <is>
          <t>Prayagraj</t>
        </is>
      </c>
      <c r="D1575" s="9" t="inlineStr">
        <is>
          <t>Uttar Pradesh</t>
        </is>
      </c>
      <c r="E1575" s="9" t="inlineStr">
        <is>
          <t>India</t>
        </is>
      </c>
      <c r="F1575" s="9" t="n">
        <v>1</v>
      </c>
      <c r="G1575" s="9" t="n">
        <v>1</v>
      </c>
      <c r="H1575" s="9" t="n">
        <v>1</v>
      </c>
      <c r="I1575" s="10" t="n">
        <v>43455</v>
      </c>
      <c r="J1575" s="10" t="n">
        <v>43455</v>
      </c>
      <c r="K1575" s="9" t="n">
        <v>25.43941</v>
      </c>
      <c r="L1575" s="9" t="n">
        <v>81.8492</v>
      </c>
      <c r="M1575" s="9" t="inlineStr">
        <is>
          <t>https://www.google.com/maps/place/?q=place_id:ChIJH-vNobPKmjkRoV-vJaBCqTo</t>
        </is>
      </c>
    </row>
    <row r="1576">
      <c r="A1576" s="9" t="n">
        <v>1572</v>
      </c>
      <c r="B1576" s="9" t="inlineStr">
        <is>
          <t>Prayagraj</t>
        </is>
      </c>
      <c r="C1576" s="9" t="inlineStr">
        <is>
          <t>Prayagraj</t>
        </is>
      </c>
      <c r="D1576" s="9" t="inlineStr">
        <is>
          <t>Uttar Pradesh</t>
        </is>
      </c>
      <c r="E1576" s="9" t="inlineStr">
        <is>
          <t>India</t>
        </is>
      </c>
      <c r="F1576" s="9" t="n">
        <v>1</v>
      </c>
      <c r="G1576" s="9" t="n">
        <v>1</v>
      </c>
      <c r="H1576" s="9" t="n">
        <v>1</v>
      </c>
      <c r="I1576" s="10" t="n">
        <v>43455</v>
      </c>
      <c r="J1576" s="10" t="n">
        <v>43455</v>
      </c>
      <c r="K1576" s="9" t="n">
        <v>25.44868</v>
      </c>
      <c r="L1576" s="9" t="n">
        <v>81.83438</v>
      </c>
      <c r="M1576" s="9" t="inlineStr">
        <is>
          <t>https://www.google.com/maps/place/?q=place_id:ChIJlauYbdHKmjkRFi1LegEeNn4</t>
        </is>
      </c>
    </row>
    <row r="1577">
      <c r="A1577" s="9" t="n">
        <v>1573</v>
      </c>
      <c r="B1577" s="9" t="inlineStr">
        <is>
          <t>Prayagraj</t>
        </is>
      </c>
      <c r="C1577" s="9" t="inlineStr">
        <is>
          <t>Prayagraj</t>
        </is>
      </c>
      <c r="D1577" s="9" t="inlineStr">
        <is>
          <t>Uttar Pradesh</t>
        </is>
      </c>
      <c r="E1577" s="9" t="inlineStr">
        <is>
          <t>India</t>
        </is>
      </c>
      <c r="F1577" s="9" t="n">
        <v>1</v>
      </c>
      <c r="G1577" s="9" t="n">
        <v>1</v>
      </c>
      <c r="H1577" s="9" t="n">
        <v>1</v>
      </c>
      <c r="I1577" s="10" t="n">
        <v>43455</v>
      </c>
      <c r="J1577" s="10" t="n">
        <v>43455</v>
      </c>
      <c r="K1577" s="9" t="n">
        <v>25.43975</v>
      </c>
      <c r="L1577" s="9" t="n">
        <v>81.84635</v>
      </c>
      <c r="M1577" s="9" t="inlineStr">
        <is>
          <t>https://www.google.com/maps/place/?q=place_id:ChIJSV5rr7XKmjkRrP6AFPzTyUg</t>
        </is>
      </c>
    </row>
    <row r="1578">
      <c r="A1578" s="9" t="n">
        <v>1574</v>
      </c>
      <c r="B1578" s="9" t="inlineStr">
        <is>
          <t>Prayagraj</t>
        </is>
      </c>
      <c r="C1578" s="9" t="inlineStr">
        <is>
          <t>Prayagraj</t>
        </is>
      </c>
      <c r="D1578" s="9" t="inlineStr">
        <is>
          <t>Uttar Pradesh</t>
        </is>
      </c>
      <c r="E1578" s="9" t="inlineStr">
        <is>
          <t>India</t>
        </is>
      </c>
      <c r="F1578" s="9" t="n">
        <v>1</v>
      </c>
      <c r="G1578" s="9" t="n">
        <v>1</v>
      </c>
      <c r="H1578" s="9" t="n">
        <v>1</v>
      </c>
      <c r="I1578" s="10" t="n">
        <v>43455</v>
      </c>
      <c r="J1578" s="10" t="n">
        <v>43455</v>
      </c>
      <c r="K1578" s="9" t="n">
        <v>25.4039</v>
      </c>
      <c r="L1578" s="9" t="n">
        <v>81.83880000000001</v>
      </c>
      <c r="M1578" s="9" t="inlineStr">
        <is>
          <t>https://www.google.com/maps/place/?q=place_id:ChIJaf0GfhE1hTkRc7giJk6BnPk</t>
        </is>
      </c>
    </row>
    <row r="1579">
      <c r="A1579" s="9" t="n">
        <v>1575</v>
      </c>
      <c r="B1579" s="9" t="inlineStr">
        <is>
          <t>Prayagraj</t>
        </is>
      </c>
      <c r="C1579" s="9" t="inlineStr">
        <is>
          <t>Prayagraj</t>
        </is>
      </c>
      <c r="D1579" s="9" t="inlineStr">
        <is>
          <t>Uttar Pradesh</t>
        </is>
      </c>
      <c r="E1579" s="9" t="inlineStr">
        <is>
          <t>India</t>
        </is>
      </c>
      <c r="F1579" s="9" t="n">
        <v>1</v>
      </c>
      <c r="G1579" s="9" t="n">
        <v>1</v>
      </c>
      <c r="H1579" s="9" t="n">
        <v>1</v>
      </c>
      <c r="I1579" s="10" t="n">
        <v>43456</v>
      </c>
      <c r="J1579" s="10" t="n">
        <v>43456</v>
      </c>
      <c r="K1579" s="9" t="n">
        <v>25.42719</v>
      </c>
      <c r="L1579" s="9" t="n">
        <v>81.84586</v>
      </c>
      <c r="M1579" s="9" t="inlineStr">
        <is>
          <t>https://www.google.com/maps/place/?q=place_id:ChIJUxum5kk1hTkR3-tSjKJRZhI</t>
        </is>
      </c>
    </row>
    <row r="1580">
      <c r="A1580" s="9" t="n">
        <v>1576</v>
      </c>
      <c r="B1580" s="9" t="inlineStr">
        <is>
          <t>Prayagraj</t>
        </is>
      </c>
      <c r="C1580" s="9" t="inlineStr">
        <is>
          <t>Prayagraj</t>
        </is>
      </c>
      <c r="D1580" s="9" t="inlineStr">
        <is>
          <t>Uttar Pradesh</t>
        </is>
      </c>
      <c r="E1580" s="9" t="inlineStr">
        <is>
          <t>India</t>
        </is>
      </c>
      <c r="F1580" s="9" t="n">
        <v>1</v>
      </c>
      <c r="G1580" s="9" t="n">
        <v>1</v>
      </c>
      <c r="H1580" s="9" t="n">
        <v>1</v>
      </c>
      <c r="I1580" s="10" t="n">
        <v>43487</v>
      </c>
      <c r="J1580" s="10" t="n">
        <v>43487</v>
      </c>
      <c r="K1580" s="9" t="n">
        <v>25.44648</v>
      </c>
      <c r="L1580" s="9" t="n">
        <v>81.82738000000001</v>
      </c>
      <c r="M1580" s="9" t="inlineStr">
        <is>
          <t>https://www.google.com/maps/place/?q=place_id:ChIJCaGRtdDKmjkR01k91XavRhE</t>
        </is>
      </c>
    </row>
    <row r="1581">
      <c r="A1581" s="9" t="n">
        <v>1577</v>
      </c>
      <c r="B1581" s="9" t="inlineStr">
        <is>
          <t>Prayagraj</t>
        </is>
      </c>
      <c r="C1581" s="9" t="inlineStr">
        <is>
          <t>Prayagraj</t>
        </is>
      </c>
      <c r="D1581" s="9" t="inlineStr">
        <is>
          <t>Uttar Pradesh</t>
        </is>
      </c>
      <c r="E1581" s="9" t="inlineStr">
        <is>
          <t>India</t>
        </is>
      </c>
      <c r="F1581" s="9" t="n">
        <v>1</v>
      </c>
      <c r="G1581" s="9" t="n">
        <v>1</v>
      </c>
      <c r="H1581" s="9" t="n">
        <v>1</v>
      </c>
      <c r="I1581" s="10" t="n">
        <v>43490</v>
      </c>
      <c r="J1581" s="10" t="n">
        <v>43490</v>
      </c>
      <c r="K1581" s="9" t="n">
        <v>25.43181</v>
      </c>
      <c r="L1581" s="9" t="n">
        <v>81.86268</v>
      </c>
      <c r="M1581" s="9" t="inlineStr">
        <is>
          <t>https://www.google.com/maps/place/?q=place_id:ChIJidweO1Q1hTkRPE5RwvuC7RA</t>
        </is>
      </c>
    </row>
    <row r="1582">
      <c r="A1582" s="9" t="n">
        <v>1578</v>
      </c>
      <c r="B1582" s="9" t="inlineStr">
        <is>
          <t>Jhusi</t>
        </is>
      </c>
      <c r="C1582" s="9" t="inlineStr">
        <is>
          <t>Prayagraj</t>
        </is>
      </c>
      <c r="D1582" s="9" t="inlineStr">
        <is>
          <t>Uttar Pradesh</t>
        </is>
      </c>
      <c r="E1582" s="9" t="inlineStr">
        <is>
          <t>India</t>
        </is>
      </c>
      <c r="F1582" s="9" t="n">
        <v>1</v>
      </c>
      <c r="G1582" s="9" t="n">
        <v>1</v>
      </c>
      <c r="H1582" s="9" t="n">
        <v>1</v>
      </c>
      <c r="I1582" s="10" t="n">
        <v>43492</v>
      </c>
      <c r="J1582" s="10" t="n">
        <v>43492</v>
      </c>
      <c r="K1582" s="9" t="n">
        <v>25.4475</v>
      </c>
      <c r="L1582" s="9" t="n">
        <v>81.88930999999999</v>
      </c>
      <c r="M1582" s="9" t="inlineStr">
        <is>
          <t>https://www.google.com/maps/place/?q=place_id:ChIJn-hNNTa1mjkRh9VqEd_HsNU</t>
        </is>
      </c>
    </row>
    <row r="1583">
      <c r="A1583" s="9" t="n">
        <v>1579</v>
      </c>
      <c r="B1583" s="9" t="inlineStr">
        <is>
          <t>Jhusi</t>
        </is>
      </c>
      <c r="C1583" s="9" t="inlineStr">
        <is>
          <t>Prayagraj</t>
        </is>
      </c>
      <c r="D1583" s="9" t="inlineStr">
        <is>
          <t>Uttar Pradesh</t>
        </is>
      </c>
      <c r="E1583" s="9" t="inlineStr">
        <is>
          <t>India</t>
        </is>
      </c>
      <c r="F1583" s="9" t="n">
        <v>1</v>
      </c>
      <c r="G1583" s="9" t="n">
        <v>1</v>
      </c>
      <c r="H1583" s="9" t="n">
        <v>1</v>
      </c>
      <c r="I1583" s="10" t="n">
        <v>43492</v>
      </c>
      <c r="J1583" s="10" t="n">
        <v>43492</v>
      </c>
      <c r="K1583" s="9" t="n">
        <v>25.43553</v>
      </c>
      <c r="L1583" s="9" t="n">
        <v>81.88526</v>
      </c>
      <c r="M1583" s="9" t="inlineStr">
        <is>
          <t>https://www.google.com/maps/place/?q=place_id:ChIJq6qqqrVKhTkRbaJhfrblZMA</t>
        </is>
      </c>
    </row>
    <row r="1584">
      <c r="A1584" s="9" t="n">
        <v>1580</v>
      </c>
      <c r="B1584" s="9" t="inlineStr">
        <is>
          <t>Jhusi</t>
        </is>
      </c>
      <c r="C1584" s="9" t="inlineStr">
        <is>
          <t>Prayagraj</t>
        </is>
      </c>
      <c r="D1584" s="9" t="inlineStr">
        <is>
          <t>Uttar Pradesh</t>
        </is>
      </c>
      <c r="E1584" s="9" t="inlineStr">
        <is>
          <t>India</t>
        </is>
      </c>
      <c r="F1584" s="9" t="n">
        <v>1</v>
      </c>
      <c r="G1584" s="9" t="n">
        <v>1</v>
      </c>
      <c r="H1584" s="9" t="n">
        <v>1</v>
      </c>
      <c r="I1584" s="10" t="n">
        <v>43492</v>
      </c>
      <c r="J1584" s="10" t="n">
        <v>43492</v>
      </c>
      <c r="K1584" s="9" t="n">
        <v>25.4257</v>
      </c>
      <c r="L1584" s="9" t="n">
        <v>81.88676</v>
      </c>
      <c r="M1584" s="9" t="inlineStr">
        <is>
          <t>https://www.google.com/maps/place/?q=place_id:ChIJGc_Csn9LhTkR4pc9N2UnAb0</t>
        </is>
      </c>
    </row>
    <row r="1585">
      <c r="A1585" s="9" t="n">
        <v>1581</v>
      </c>
      <c r="B1585" s="9" t="inlineStr">
        <is>
          <t>Prayagraj</t>
        </is>
      </c>
      <c r="C1585" s="9" t="inlineStr">
        <is>
          <t>Prayagraj</t>
        </is>
      </c>
      <c r="D1585" s="9" t="inlineStr">
        <is>
          <t>Uttar Pradesh</t>
        </is>
      </c>
      <c r="E1585" s="9" t="inlineStr">
        <is>
          <t>India</t>
        </is>
      </c>
      <c r="F1585" s="9" t="n">
        <v>1</v>
      </c>
      <c r="G1585" s="9" t="n">
        <v>1</v>
      </c>
      <c r="H1585" s="9" t="n">
        <v>1</v>
      </c>
      <c r="I1585" s="10" t="n">
        <v>43492</v>
      </c>
      <c r="J1585" s="10" t="n">
        <v>43492</v>
      </c>
      <c r="K1585" s="9" t="n">
        <v>25.45311</v>
      </c>
      <c r="L1585" s="9" t="n">
        <v>81.74969</v>
      </c>
      <c r="M1585" s="9" t="inlineStr">
        <is>
          <t>https://www.google.com/maps/place/?q=place_id:ChIJpTowasLMmjkRHX8j_6HBV-U</t>
        </is>
      </c>
    </row>
    <row r="1586">
      <c r="A1586" s="9" t="n">
        <v>1582</v>
      </c>
      <c r="B1586" s="9" t="inlineStr">
        <is>
          <t>Jhusi</t>
        </is>
      </c>
      <c r="C1586" s="9" t="inlineStr">
        <is>
          <t>Prayagraj</t>
        </is>
      </c>
      <c r="D1586" s="9" t="inlineStr">
        <is>
          <t>Uttar Pradesh</t>
        </is>
      </c>
      <c r="E1586" s="9" t="inlineStr">
        <is>
          <t>India</t>
        </is>
      </c>
      <c r="F1586" s="9" t="n">
        <v>1</v>
      </c>
      <c r="G1586" s="9" t="n">
        <v>1</v>
      </c>
      <c r="H1586" s="9" t="n">
        <v>1</v>
      </c>
      <c r="I1586" s="10" t="n">
        <v>43524</v>
      </c>
      <c r="J1586" s="10" t="n">
        <v>43524</v>
      </c>
      <c r="K1586" s="9" t="n">
        <v>25.45856</v>
      </c>
      <c r="L1586" s="9" t="n">
        <v>81.88612999999999</v>
      </c>
      <c r="M1586" s="9" t="inlineStr">
        <is>
          <t>https://www.google.com/maps/place/?q=place_id:ChIJy6PsD1i1mjkRJUHo-_g45CY</t>
        </is>
      </c>
    </row>
    <row r="1587">
      <c r="A1587" s="9" t="n">
        <v>1583</v>
      </c>
      <c r="B1587" s="9" t="inlineStr">
        <is>
          <t>Prayagraj</t>
        </is>
      </c>
      <c r="C1587" s="9" t="inlineStr">
        <is>
          <t>Prayagraj</t>
        </is>
      </c>
      <c r="D1587" s="9" t="inlineStr">
        <is>
          <t>Uttar Pradesh</t>
        </is>
      </c>
      <c r="E1587" s="9" t="inlineStr">
        <is>
          <t>India</t>
        </is>
      </c>
      <c r="F1587" s="9" t="n">
        <v>1</v>
      </c>
      <c r="G1587" s="9" t="n">
        <v>1</v>
      </c>
      <c r="H1587" s="9" t="n">
        <v>1</v>
      </c>
      <c r="I1587" s="10" t="n">
        <v>43756</v>
      </c>
      <c r="J1587" s="10" t="n">
        <v>43756</v>
      </c>
      <c r="K1587" s="9" t="n">
        <v>25.29034</v>
      </c>
      <c r="L1587" s="9" t="n">
        <v>81.80378</v>
      </c>
      <c r="M1587" s="9" t="inlineStr">
        <is>
          <t>https://www.google.com/maps/place/?q=place_id:ChIJAcSbBB83hTkRVNP1tzqtMzA</t>
        </is>
      </c>
    </row>
    <row r="1588">
      <c r="A1588" s="9" t="n">
        <v>1584</v>
      </c>
      <c r="B1588" s="9" t="inlineStr">
        <is>
          <t>Prayagraj</t>
        </is>
      </c>
      <c r="C1588" s="9" t="inlineStr">
        <is>
          <t>Prayagraj</t>
        </is>
      </c>
      <c r="D1588" s="9" t="inlineStr">
        <is>
          <t>Uttar Pradesh</t>
        </is>
      </c>
      <c r="E1588" s="9" t="inlineStr">
        <is>
          <t>India</t>
        </is>
      </c>
      <c r="F1588" s="9" t="n">
        <v>1</v>
      </c>
      <c r="G1588" s="9" t="n">
        <v>1</v>
      </c>
      <c r="H1588" s="9" t="n">
        <v>1</v>
      </c>
      <c r="I1588" s="10" t="n">
        <v>44523</v>
      </c>
      <c r="J1588" s="10" t="n">
        <v>44523</v>
      </c>
      <c r="K1588" s="9" t="n">
        <v>25.44415</v>
      </c>
      <c r="L1588" s="9" t="n">
        <v>81.87087</v>
      </c>
      <c r="M1588" s="9" t="inlineStr">
        <is>
          <t>https://www.google.com/maps/place/?q=place_id:ChIJKeagpVa1mjkRRgP4jLSl21Q</t>
        </is>
      </c>
    </row>
    <row r="1589">
      <c r="A1589" s="9" t="n">
        <v>1585</v>
      </c>
      <c r="B1589" s="9" t="inlineStr">
        <is>
          <t>Jhusi</t>
        </is>
      </c>
      <c r="C1589" s="9" t="inlineStr">
        <is>
          <t>Prayagraj</t>
        </is>
      </c>
      <c r="D1589" s="9" t="inlineStr">
        <is>
          <t>Uttar Pradesh</t>
        </is>
      </c>
      <c r="E1589" s="9" t="inlineStr">
        <is>
          <t>India</t>
        </is>
      </c>
      <c r="F1589" s="9" t="n">
        <v>1</v>
      </c>
      <c r="G1589" s="9" t="n">
        <v>1</v>
      </c>
      <c r="H1589" s="9" t="n">
        <v>1</v>
      </c>
      <c r="I1589" s="10" t="n">
        <v>44523</v>
      </c>
      <c r="J1589" s="10" t="n">
        <v>44523</v>
      </c>
      <c r="K1589" s="9" t="n">
        <v>25.42702</v>
      </c>
      <c r="L1589" s="9" t="n">
        <v>81.93604999999999</v>
      </c>
      <c r="M1589" s="9" t="inlineStr">
        <is>
          <t>https://www.google.com/maps/place/?q=place_id:ChIJ2aTIZEZLhTkRTJmZvVvSI_0</t>
        </is>
      </c>
    </row>
    <row r="1590">
      <c r="A1590" s="9" t="n">
        <v>1586</v>
      </c>
      <c r="B1590" s="9" t="inlineStr">
        <is>
          <t>Jhusi</t>
        </is>
      </c>
      <c r="C1590" s="9" t="inlineStr">
        <is>
          <t>Prayagraj</t>
        </is>
      </c>
      <c r="D1590" s="9" t="inlineStr">
        <is>
          <t>Uttar Pradesh</t>
        </is>
      </c>
      <c r="E1590" s="9" t="inlineStr">
        <is>
          <t>India</t>
        </is>
      </c>
      <c r="F1590" s="9" t="n">
        <v>1</v>
      </c>
      <c r="G1590" s="9" t="n">
        <v>2</v>
      </c>
      <c r="H1590" s="9" t="n">
        <v>1</v>
      </c>
      <c r="I1590" s="10" t="n">
        <v>45677</v>
      </c>
      <c r="J1590" s="10" t="n">
        <v>45678</v>
      </c>
      <c r="K1590" s="9" t="n">
        <v>25.46264</v>
      </c>
      <c r="L1590" s="9" t="n">
        <v>81.88221</v>
      </c>
      <c r="M1590" s="9" t="inlineStr">
        <is>
          <t>https://www.google.com/maps/place/?q=place_id:ChIJu2JNTQC1mjkRFKggbxGoKJI</t>
        </is>
      </c>
    </row>
    <row r="1591">
      <c r="A1591" s="9" t="n">
        <v>1587</v>
      </c>
      <c r="B1591" s="9" t="inlineStr">
        <is>
          <t>Jhusi</t>
        </is>
      </c>
      <c r="C1591" s="9" t="inlineStr">
        <is>
          <t>Prayagraj</t>
        </is>
      </c>
      <c r="D1591" s="9" t="inlineStr">
        <is>
          <t>Uttar Pradesh</t>
        </is>
      </c>
      <c r="E1591" s="9" t="inlineStr">
        <is>
          <t>India</t>
        </is>
      </c>
      <c r="F1591" s="9" t="n">
        <v>1</v>
      </c>
      <c r="G1591" s="9" t="n">
        <v>1</v>
      </c>
      <c r="H1591" s="9" t="n">
        <v>1</v>
      </c>
      <c r="I1591" s="10" t="n">
        <v>45678</v>
      </c>
      <c r="J1591" s="10" t="n">
        <v>45678</v>
      </c>
      <c r="K1591" s="9" t="n">
        <v>25.44599</v>
      </c>
      <c r="L1591" s="9" t="n">
        <v>81.88505000000001</v>
      </c>
      <c r="M1591" s="9" t="inlineStr">
        <is>
          <t>https://www.google.com/maps/place/?q=place_id:ChIJvYOTDUm1mjkRioH2QX8JK_Y</t>
        </is>
      </c>
    </row>
    <row r="1592">
      <c r="A1592" s="9" t="n">
        <v>1588</v>
      </c>
      <c r="B1592" s="9" t="inlineStr">
        <is>
          <t>Prayagraj</t>
        </is>
      </c>
      <c r="C1592" s="9" t="inlineStr">
        <is>
          <t>Prayagraj</t>
        </is>
      </c>
      <c r="D1592" s="9" t="inlineStr">
        <is>
          <t>Uttar Pradesh</t>
        </is>
      </c>
      <c r="E1592" s="9" t="inlineStr">
        <is>
          <t>India</t>
        </is>
      </c>
      <c r="F1592" s="9" t="n">
        <v>1</v>
      </c>
      <c r="G1592" s="9" t="n">
        <v>1</v>
      </c>
      <c r="H1592" s="9" t="n">
        <v>1</v>
      </c>
      <c r="I1592" s="10" t="n">
        <v>45678</v>
      </c>
      <c r="J1592" s="10" t="n">
        <v>45678</v>
      </c>
      <c r="K1592" s="9" t="n">
        <v>25.45723</v>
      </c>
      <c r="L1592" s="9" t="n">
        <v>81.86013</v>
      </c>
      <c r="M1592" s="9" t="inlineStr">
        <is>
          <t>https://www.google.com/maps/place/?q=place_id:ChIJjX3u0aPKmjkRBC_WsWIvSOk</t>
        </is>
      </c>
    </row>
    <row r="1593">
      <c r="A1593" s="9" t="n">
        <v>1589</v>
      </c>
      <c r="B1593" s="9" t="inlineStr">
        <is>
          <t>Prayagraj</t>
        </is>
      </c>
      <c r="C1593" s="9" t="inlineStr">
        <is>
          <t>Prayagraj</t>
        </is>
      </c>
      <c r="D1593" s="9" t="inlineStr">
        <is>
          <t>Uttar Pradesh</t>
        </is>
      </c>
      <c r="E1593" s="9" t="inlineStr">
        <is>
          <t>India</t>
        </is>
      </c>
      <c r="F1593" s="9" t="n">
        <v>1</v>
      </c>
      <c r="G1593" s="9" t="n">
        <v>1</v>
      </c>
      <c r="H1593" s="9" t="n">
        <v>1</v>
      </c>
      <c r="I1593" s="10" t="n">
        <v>45678</v>
      </c>
      <c r="J1593" s="10" t="n">
        <v>45678</v>
      </c>
      <c r="K1593" s="9" t="n">
        <v>25.43022</v>
      </c>
      <c r="L1593" s="9" t="n">
        <v>81.74120000000001</v>
      </c>
      <c r="M1593" s="9" t="inlineStr">
        <is>
          <t>https://www.google.com/maps/place/?q=place_id:ChIJkScJoHvNmjkRh1Sem5Lmmus</t>
        </is>
      </c>
    </row>
    <row r="1594">
      <c r="A1594" s="9" t="n">
        <v>1590</v>
      </c>
      <c r="B1594" s="9" t="inlineStr">
        <is>
          <t>Purwa</t>
        </is>
      </c>
      <c r="C1594" s="9" t="inlineStr">
        <is>
          <t>Purwa</t>
        </is>
      </c>
      <c r="D1594" s="9" t="inlineStr">
        <is>
          <t>Uttar Pradesh</t>
        </is>
      </c>
      <c r="E1594" s="9" t="inlineStr">
        <is>
          <t>India</t>
        </is>
      </c>
      <c r="F1594" s="9" t="n">
        <v>1</v>
      </c>
      <c r="G1594" s="9" t="n">
        <v>1</v>
      </c>
      <c r="H1594" s="9" t="n">
        <v>1</v>
      </c>
      <c r="I1594" s="10" t="n">
        <v>43491</v>
      </c>
      <c r="J1594" s="10" t="n">
        <v>43491</v>
      </c>
      <c r="K1594" s="9" t="n">
        <v>26.52454</v>
      </c>
      <c r="L1594" s="9" t="n">
        <v>81.06614999999999</v>
      </c>
      <c r="M1594" s="9" t="inlineStr">
        <is>
          <t>https://www.google.com/maps/place/?q=place_id:ChIJybs-Sa7smzkR1MNjFvTYti0</t>
        </is>
      </c>
    </row>
    <row r="1595">
      <c r="A1595" s="9" t="n">
        <v>1591</v>
      </c>
      <c r="B1595" s="9" t="inlineStr">
        <is>
          <t>Raebareli</t>
        </is>
      </c>
      <c r="C1595" s="9" t="inlineStr">
        <is>
          <t>Raebareli</t>
        </is>
      </c>
      <c r="D1595" s="9" t="inlineStr">
        <is>
          <t>Uttar Pradesh</t>
        </is>
      </c>
      <c r="E1595" s="9" t="inlineStr">
        <is>
          <t>India</t>
        </is>
      </c>
      <c r="F1595" s="9" t="n">
        <v>3</v>
      </c>
      <c r="G1595" s="9" t="n">
        <v>3</v>
      </c>
      <c r="H1595" s="9" t="n">
        <v>3</v>
      </c>
      <c r="I1595" s="10" t="n">
        <v>43491</v>
      </c>
      <c r="J1595" s="10" t="n">
        <v>43523</v>
      </c>
      <c r="K1595" s="9" t="n">
        <v>26.14106</v>
      </c>
      <c r="L1595" s="9" t="n">
        <v>81.25873</v>
      </c>
      <c r="M1595" s="9" t="inlineStr">
        <is>
          <t>https://www.google.com/maps/place/?q=place_id:ChIJJ1Kzv_AJmzkRK61Z14Gt_Gk</t>
        </is>
      </c>
    </row>
    <row r="1596">
      <c r="A1596" s="9" t="n">
        <v>1592</v>
      </c>
      <c r="B1596" s="9" t="inlineStr">
        <is>
          <t>Raebareli</t>
        </is>
      </c>
      <c r="C1596" s="9" t="inlineStr">
        <is>
          <t>Raebareli</t>
        </is>
      </c>
      <c r="D1596" s="9" t="inlineStr">
        <is>
          <t>Uttar Pradesh</t>
        </is>
      </c>
      <c r="E1596" s="9" t="inlineStr">
        <is>
          <t>India</t>
        </is>
      </c>
      <c r="F1596" s="9" t="n">
        <v>1</v>
      </c>
      <c r="G1596" s="9" t="n">
        <v>1</v>
      </c>
      <c r="H1596" s="9" t="n">
        <v>1</v>
      </c>
      <c r="I1596" s="10" t="n">
        <v>43491</v>
      </c>
      <c r="J1596" s="10" t="n">
        <v>43491</v>
      </c>
      <c r="K1596" s="9" t="n">
        <v>26.16375</v>
      </c>
      <c r="L1596" s="9" t="n">
        <v>81.25367</v>
      </c>
      <c r="M1596" s="9" t="inlineStr">
        <is>
          <t>https://www.google.com/maps/place/?q=place_id:ChIJxVOZk1KnmzkRaWPNWu7FT-E</t>
        </is>
      </c>
    </row>
    <row r="1597">
      <c r="A1597" s="9" t="n">
        <v>1593</v>
      </c>
      <c r="B1597" s="9" t="inlineStr">
        <is>
          <t>Raya</t>
        </is>
      </c>
      <c r="C1597" s="9" t="inlineStr">
        <is>
          <t>Raya</t>
        </is>
      </c>
      <c r="D1597" s="9" t="inlineStr">
        <is>
          <t>Uttar Pradesh</t>
        </is>
      </c>
      <c r="E1597" s="9" t="inlineStr">
        <is>
          <t>India</t>
        </is>
      </c>
      <c r="F1597" s="9" t="n">
        <v>1</v>
      </c>
      <c r="G1597" s="9" t="n">
        <v>1</v>
      </c>
      <c r="H1597" s="9" t="n">
        <v>1</v>
      </c>
      <c r="I1597" s="10" t="n">
        <v>44391</v>
      </c>
      <c r="J1597" s="10" t="n">
        <v>44391</v>
      </c>
      <c r="K1597" s="9" t="n">
        <v>27.40824</v>
      </c>
      <c r="L1597" s="9" t="n">
        <v>77.82167</v>
      </c>
      <c r="M1597" s="9" t="inlineStr">
        <is>
          <t>https://www.google.com/maps/place/?q=place_id:ChIJ--MdELl4czkRA_kFmedpNmo</t>
        </is>
      </c>
    </row>
    <row r="1598">
      <c r="A1598" s="9" t="n">
        <v>1594</v>
      </c>
      <c r="B1598" s="9" t="inlineStr">
        <is>
          <t>Sultanpur</t>
        </is>
      </c>
      <c r="C1598" s="9" t="inlineStr">
        <is>
          <t>Sultanpur</t>
        </is>
      </c>
      <c r="D1598" s="9" t="inlineStr">
        <is>
          <t>Uttar Pradesh</t>
        </is>
      </c>
      <c r="E1598" s="9" t="inlineStr">
        <is>
          <t>India</t>
        </is>
      </c>
      <c r="F1598" s="9" t="n">
        <v>1</v>
      </c>
      <c r="G1598" s="9" t="n">
        <v>1</v>
      </c>
      <c r="H1598" s="9" t="n">
        <v>1</v>
      </c>
      <c r="I1598" s="10" t="n">
        <v>43521</v>
      </c>
      <c r="J1598" s="10" t="n">
        <v>43521</v>
      </c>
      <c r="K1598" s="9" t="n">
        <v>26.22911</v>
      </c>
      <c r="L1598" s="9" t="n">
        <v>82.08121</v>
      </c>
      <c r="M1598" s="9" t="inlineStr">
        <is>
          <t>https://www.google.com/maps/place/?q=place_id:ChIJnfUGtgt9mjkR6Eb3EVN-SHw</t>
        </is>
      </c>
    </row>
    <row r="1599">
      <c r="A1599" s="9" t="n">
        <v>1595</v>
      </c>
      <c r="B1599" s="9" t="inlineStr">
        <is>
          <t>Sultanpur</t>
        </is>
      </c>
      <c r="C1599" s="9" t="inlineStr">
        <is>
          <t>Sultanpur</t>
        </is>
      </c>
      <c r="D1599" s="9" t="inlineStr">
        <is>
          <t>Uttar Pradesh</t>
        </is>
      </c>
      <c r="E1599" s="9" t="inlineStr">
        <is>
          <t>India</t>
        </is>
      </c>
      <c r="F1599" s="9" t="n">
        <v>1</v>
      </c>
      <c r="G1599" s="9" t="n">
        <v>1</v>
      </c>
      <c r="H1599" s="9" t="n">
        <v>1</v>
      </c>
      <c r="I1599" s="10" t="n">
        <v>43525</v>
      </c>
      <c r="J1599" s="10" t="n">
        <v>43525</v>
      </c>
      <c r="K1599" s="9" t="n">
        <v>26.23864</v>
      </c>
      <c r="L1599" s="9" t="n">
        <v>82.06314</v>
      </c>
      <c r="M1599" s="9" t="inlineStr">
        <is>
          <t>https://www.google.com/maps/place/?q=place_id:ChIJH_Ylhhh9mjkRDiVuodymMB4</t>
        </is>
      </c>
    </row>
    <row r="1600">
      <c r="A1600" s="9" t="n">
        <v>1596</v>
      </c>
      <c r="B1600" s="9" t="inlineStr">
        <is>
          <t>Varanasi</t>
        </is>
      </c>
      <c r="C1600" s="9" t="inlineStr">
        <is>
          <t>Varanasi</t>
        </is>
      </c>
      <c r="D1600" s="9" t="inlineStr">
        <is>
          <t>Uttar Pradesh</t>
        </is>
      </c>
      <c r="E1600" s="9" t="inlineStr">
        <is>
          <t>India</t>
        </is>
      </c>
      <c r="F1600" s="9" t="n">
        <v>7</v>
      </c>
      <c r="G1600" s="9" t="n">
        <v>5</v>
      </c>
      <c r="H1600" s="9" t="n">
        <v>5</v>
      </c>
      <c r="I1600" s="10" t="n">
        <v>43459</v>
      </c>
      <c r="J1600" s="10" t="n">
        <v>45674</v>
      </c>
      <c r="K1600" s="9" t="n">
        <v>25.31085</v>
      </c>
      <c r="L1600" s="9" t="n">
        <v>83.01067999999999</v>
      </c>
      <c r="M1600" s="9" t="inlineStr">
        <is>
          <t>https://www.google.com/maps/place/?q=place_id:ChIJFwuU7iEujjkRE3v7zU8OYEg</t>
        </is>
      </c>
    </row>
    <row r="1601">
      <c r="A1601" s="9" t="n">
        <v>1597</v>
      </c>
      <c r="B1601" s="9" t="inlineStr">
        <is>
          <t>Varanasi</t>
        </is>
      </c>
      <c r="C1601" s="9" t="inlineStr">
        <is>
          <t>Varanasi</t>
        </is>
      </c>
      <c r="D1601" s="9" t="inlineStr">
        <is>
          <t>Uttar Pradesh</t>
        </is>
      </c>
      <c r="E1601" s="9" t="inlineStr">
        <is>
          <t>India</t>
        </is>
      </c>
      <c r="F1601" s="9" t="n">
        <v>6</v>
      </c>
      <c r="G1601" s="9" t="n">
        <v>3</v>
      </c>
      <c r="H1601" s="9" t="n">
        <v>1</v>
      </c>
      <c r="I1601" s="10" t="n">
        <v>43756</v>
      </c>
      <c r="J1601" s="10" t="n">
        <v>43758</v>
      </c>
      <c r="K1601" s="9" t="n">
        <v>25.32281</v>
      </c>
      <c r="L1601" s="9" t="n">
        <v>82.98772</v>
      </c>
      <c r="M1601" s="9" t="inlineStr">
        <is>
          <t>https://www.google.com/maps/place/?q=place_id:ChIJAQAAAOktjjkRRFBjmHjyABo</t>
        </is>
      </c>
    </row>
    <row r="1602">
      <c r="A1602" s="9" t="n">
        <v>1598</v>
      </c>
      <c r="B1602" s="9" t="inlineStr">
        <is>
          <t>Varanasi</t>
        </is>
      </c>
      <c r="C1602" s="9" t="inlineStr">
        <is>
          <t>Varanasi</t>
        </is>
      </c>
      <c r="D1602" s="9" t="inlineStr">
        <is>
          <t>Uttar Pradesh</t>
        </is>
      </c>
      <c r="E1602" s="9" t="inlineStr">
        <is>
          <t>India</t>
        </is>
      </c>
      <c r="F1602" s="9" t="n">
        <v>5</v>
      </c>
      <c r="G1602" s="9" t="n">
        <v>3</v>
      </c>
      <c r="H1602" s="9" t="n">
        <v>2</v>
      </c>
      <c r="I1602" s="10" t="n">
        <v>43459</v>
      </c>
      <c r="J1602" s="10" t="n">
        <v>43488</v>
      </c>
      <c r="K1602" s="9" t="n">
        <v>25.29362</v>
      </c>
      <c r="L1602" s="9" t="n">
        <v>83.00022</v>
      </c>
      <c r="M1602" s="9" t="inlineStr">
        <is>
          <t>https://www.google.com/maps/place/?q=place_id:ChIJ3Q4_evoxjjkRPXQG9yQVouA</t>
        </is>
      </c>
    </row>
    <row r="1603">
      <c r="A1603" s="9" t="n">
        <v>1599</v>
      </c>
      <c r="B1603" s="9" t="inlineStr">
        <is>
          <t>Varanasi</t>
        </is>
      </c>
      <c r="C1603" s="9" t="inlineStr">
        <is>
          <t>Varanasi</t>
        </is>
      </c>
      <c r="D1603" s="9" t="inlineStr">
        <is>
          <t>Uttar Pradesh</t>
        </is>
      </c>
      <c r="E1603" s="9" t="inlineStr">
        <is>
          <t>India</t>
        </is>
      </c>
      <c r="F1603" s="9" t="n">
        <v>5</v>
      </c>
      <c r="G1603" s="9" t="n">
        <v>4</v>
      </c>
      <c r="H1603" s="9" t="n">
        <v>4</v>
      </c>
      <c r="I1603" s="10" t="n">
        <v>43459</v>
      </c>
      <c r="J1603" s="10" t="n">
        <v>44524</v>
      </c>
      <c r="K1603" s="9" t="n">
        <v>25.30619</v>
      </c>
      <c r="L1603" s="9" t="n">
        <v>83.01029</v>
      </c>
      <c r="M1603" s="9" t="inlineStr">
        <is>
          <t>https://www.google.com/maps/place/?q=place_id:ChIJZx9BBB4ujjkRPMgcoTbvGqY</t>
        </is>
      </c>
    </row>
    <row r="1604">
      <c r="A1604" s="9" t="n">
        <v>1600</v>
      </c>
      <c r="B1604" s="9" t="inlineStr">
        <is>
          <t>Varanasi</t>
        </is>
      </c>
      <c r="C1604" s="9" t="inlineStr">
        <is>
          <t>Varanasi</t>
        </is>
      </c>
      <c r="D1604" s="9" t="inlineStr">
        <is>
          <t>Uttar Pradesh</t>
        </is>
      </c>
      <c r="E1604" s="9" t="inlineStr">
        <is>
          <t>India</t>
        </is>
      </c>
      <c r="F1604" s="9" t="n">
        <v>4</v>
      </c>
      <c r="G1604" s="9" t="n">
        <v>3</v>
      </c>
      <c r="H1604" s="9" t="n">
        <v>1</v>
      </c>
      <c r="I1604" s="10" t="n">
        <v>44523</v>
      </c>
      <c r="J1604" s="10" t="n">
        <v>44525</v>
      </c>
      <c r="K1604" s="9" t="n">
        <v>25.33692</v>
      </c>
      <c r="L1604" s="9" t="n">
        <v>82.97637</v>
      </c>
      <c r="M1604" s="9" t="inlineStr">
        <is>
          <t>https://www.google.com/maps/place/?q=place_id:ChIJ8U7BCcQtjjkRMJ0XfppldxM</t>
        </is>
      </c>
    </row>
    <row r="1605">
      <c r="A1605" s="9" t="n">
        <v>1601</v>
      </c>
      <c r="B1605" s="9" t="inlineStr">
        <is>
          <t>Varanasi</t>
        </is>
      </c>
      <c r="C1605" s="9" t="inlineStr">
        <is>
          <t>Varanasi</t>
        </is>
      </c>
      <c r="D1605" s="9" t="inlineStr">
        <is>
          <t>Uttar Pradesh</t>
        </is>
      </c>
      <c r="E1605" s="9" t="inlineStr">
        <is>
          <t>India</t>
        </is>
      </c>
      <c r="F1605" s="9" t="n">
        <v>3</v>
      </c>
      <c r="G1605" s="9" t="n">
        <v>3</v>
      </c>
      <c r="H1605" s="9" t="n">
        <v>3</v>
      </c>
      <c r="I1605" s="10" t="n">
        <v>43488</v>
      </c>
      <c r="J1605" s="10" t="n">
        <v>44524</v>
      </c>
      <c r="K1605" s="9" t="n">
        <v>25.31553</v>
      </c>
      <c r="L1605" s="9" t="n">
        <v>83.01828</v>
      </c>
      <c r="M1605" s="9" t="inlineStr">
        <is>
          <t>https://www.google.com/maps/place/?q=place_id:ChIJkTdfxyMujjkR3nXH3Xx7BdQ</t>
        </is>
      </c>
    </row>
    <row r="1606">
      <c r="A1606" s="9" t="n">
        <v>1602</v>
      </c>
      <c r="B1606" s="9" t="inlineStr">
        <is>
          <t>Varanasi</t>
        </is>
      </c>
      <c r="C1606" s="9" t="inlineStr">
        <is>
          <t>Varanasi</t>
        </is>
      </c>
      <c r="D1606" s="9" t="inlineStr">
        <is>
          <t>Uttar Pradesh</t>
        </is>
      </c>
      <c r="E1606" s="9" t="inlineStr">
        <is>
          <t>India</t>
        </is>
      </c>
      <c r="F1606" s="9" t="n">
        <v>3</v>
      </c>
      <c r="G1606" s="9" t="n">
        <v>3</v>
      </c>
      <c r="H1606" s="9" t="n">
        <v>2</v>
      </c>
      <c r="I1606" s="10" t="n">
        <v>43756</v>
      </c>
      <c r="J1606" s="10" t="n">
        <v>45674</v>
      </c>
      <c r="K1606" s="9" t="n">
        <v>25.30942</v>
      </c>
      <c r="L1606" s="9" t="n">
        <v>83.00606000000001</v>
      </c>
      <c r="M1606" s="9" t="inlineStr">
        <is>
          <t>https://www.google.com/maps/place/?q=place_id:ChIJzVJsDh0ujjkRNgOkrotno6g</t>
        </is>
      </c>
    </row>
    <row r="1607">
      <c r="A1607" s="9" t="n">
        <v>1603</v>
      </c>
      <c r="B1607" s="9" t="inlineStr">
        <is>
          <t>Varanasi</t>
        </is>
      </c>
      <c r="C1607" s="9" t="inlineStr">
        <is>
          <t>Varanasi</t>
        </is>
      </c>
      <c r="D1607" s="9" t="inlineStr">
        <is>
          <t>Uttar Pradesh</t>
        </is>
      </c>
      <c r="E1607" s="9" t="inlineStr">
        <is>
          <t>India</t>
        </is>
      </c>
      <c r="F1607" s="9" t="n">
        <v>3</v>
      </c>
      <c r="G1607" s="9" t="n">
        <v>3</v>
      </c>
      <c r="H1607" s="9" t="n">
        <v>1</v>
      </c>
      <c r="I1607" s="10" t="n">
        <v>44523</v>
      </c>
      <c r="J1607" s="10" t="n">
        <v>44525</v>
      </c>
      <c r="K1607" s="9" t="n">
        <v>25.33843</v>
      </c>
      <c r="L1607" s="9" t="n">
        <v>82.97811</v>
      </c>
      <c r="M1607" s="9" t="inlineStr">
        <is>
          <t>https://www.google.com/maps/place/?q=place_id:ChIJdXPMNcQtjjkR2iamS-B34zU</t>
        </is>
      </c>
    </row>
    <row r="1608">
      <c r="A1608" s="9" t="n">
        <v>1604</v>
      </c>
      <c r="B1608" s="9" t="inlineStr">
        <is>
          <t>Varanasi</t>
        </is>
      </c>
      <c r="C1608" s="9" t="inlineStr">
        <is>
          <t>Varanasi</t>
        </is>
      </c>
      <c r="D1608" s="9" t="inlineStr">
        <is>
          <t>Uttar Pradesh</t>
        </is>
      </c>
      <c r="E1608" s="9" t="inlineStr">
        <is>
          <t>India</t>
        </is>
      </c>
      <c r="F1608" s="9" t="n">
        <v>3</v>
      </c>
      <c r="G1608" s="9" t="n">
        <v>2</v>
      </c>
      <c r="H1608" s="9" t="n">
        <v>1</v>
      </c>
      <c r="I1608" s="10" t="n">
        <v>44748</v>
      </c>
      <c r="J1608" s="10" t="n">
        <v>44749</v>
      </c>
      <c r="K1608" s="9" t="n">
        <v>25.30611</v>
      </c>
      <c r="L1608" s="9" t="n">
        <v>83.01014000000001</v>
      </c>
      <c r="M1608" s="9" t="inlineStr">
        <is>
          <t>https://www.google.com/maps/place/?q=place_id:ChIJ1aW5BYsxjjkRlJCzyHUj2ac</t>
        </is>
      </c>
    </row>
    <row r="1609">
      <c r="A1609" s="9" t="n">
        <v>1605</v>
      </c>
      <c r="B1609" s="9" t="inlineStr">
        <is>
          <t>Varanasi</t>
        </is>
      </c>
      <c r="C1609" s="9" t="inlineStr">
        <is>
          <t>Varanasi</t>
        </is>
      </c>
      <c r="D1609" s="9" t="inlineStr">
        <is>
          <t>Uttar Pradesh</t>
        </is>
      </c>
      <c r="E1609" s="9" t="inlineStr">
        <is>
          <t>India</t>
        </is>
      </c>
      <c r="F1609" s="9" t="n">
        <v>2</v>
      </c>
      <c r="G1609" s="9" t="n">
        <v>2</v>
      </c>
      <c r="H1609" s="9" t="n">
        <v>1</v>
      </c>
      <c r="I1609" s="10" t="n">
        <v>43487</v>
      </c>
      <c r="J1609" s="10" t="n">
        <v>43488</v>
      </c>
      <c r="K1609" s="9" t="n">
        <v>25.32685</v>
      </c>
      <c r="L1609" s="9" t="n">
        <v>82.98632000000001</v>
      </c>
      <c r="M1609" s="9" t="inlineStr">
        <is>
          <t>https://www.google.com/maps/place/?q=place_id:ChIJs8uW4eYtjjkRGAnjxYG7JxU</t>
        </is>
      </c>
    </row>
    <row r="1610">
      <c r="A1610" s="9" t="n">
        <v>1606</v>
      </c>
      <c r="B1610" s="9" t="inlineStr">
        <is>
          <t>Varanasi</t>
        </is>
      </c>
      <c r="C1610" s="9" t="inlineStr">
        <is>
          <t>Varanasi</t>
        </is>
      </c>
      <c r="D1610" s="9" t="inlineStr">
        <is>
          <t>Uttar Pradesh</t>
        </is>
      </c>
      <c r="E1610" s="9" t="inlineStr">
        <is>
          <t>India</t>
        </is>
      </c>
      <c r="F1610" s="9" t="n">
        <v>2</v>
      </c>
      <c r="G1610" s="9" t="n">
        <v>2</v>
      </c>
      <c r="H1610" s="9" t="n">
        <v>2</v>
      </c>
      <c r="I1610" s="10" t="n">
        <v>43488</v>
      </c>
      <c r="J1610" s="10" t="n">
        <v>43757</v>
      </c>
      <c r="K1610" s="9" t="n">
        <v>25.28862</v>
      </c>
      <c r="L1610" s="9" t="n">
        <v>82.99921999999999</v>
      </c>
      <c r="M1610" s="9" t="inlineStr">
        <is>
          <t>https://www.google.com/maps/place/?q=place_id:ChIJAbCT8PMxjjkRlwgEMTOegJI</t>
        </is>
      </c>
    </row>
    <row r="1611">
      <c r="A1611" s="9" t="n">
        <v>1607</v>
      </c>
      <c r="B1611" s="9" t="inlineStr">
        <is>
          <t>Varanasi</t>
        </is>
      </c>
      <c r="C1611" s="9" t="inlineStr">
        <is>
          <t>Varanasi</t>
        </is>
      </c>
      <c r="D1611" s="9" t="inlineStr">
        <is>
          <t>Uttar Pradesh</t>
        </is>
      </c>
      <c r="E1611" s="9" t="inlineStr">
        <is>
          <t>India</t>
        </is>
      </c>
      <c r="F1611" s="9" t="n">
        <v>2</v>
      </c>
      <c r="G1611" s="9" t="n">
        <v>2</v>
      </c>
      <c r="H1611" s="9" t="n">
        <v>1</v>
      </c>
      <c r="I1611" s="10" t="n">
        <v>44749</v>
      </c>
      <c r="J1611" s="10" t="n">
        <v>44750</v>
      </c>
      <c r="K1611" s="9" t="n">
        <v>25.3096</v>
      </c>
      <c r="L1611" s="9" t="n">
        <v>83.00402</v>
      </c>
      <c r="M1611" s="9" t="inlineStr">
        <is>
          <t>https://www.google.com/maps/place/?q=place_id:ChIJST-j0gIujjkRjiAMhsB4sCg</t>
        </is>
      </c>
    </row>
    <row r="1612">
      <c r="A1612" s="9" t="n">
        <v>1608</v>
      </c>
      <c r="B1612" s="9" t="inlineStr">
        <is>
          <t>Varanasi</t>
        </is>
      </c>
      <c r="C1612" s="9" t="inlineStr">
        <is>
          <t>Varanasi</t>
        </is>
      </c>
      <c r="D1612" s="9" t="inlineStr">
        <is>
          <t>Uttar Pradesh</t>
        </is>
      </c>
      <c r="E1612" s="9" t="inlineStr">
        <is>
          <t>India</t>
        </is>
      </c>
      <c r="F1612" s="9" t="n">
        <v>2</v>
      </c>
      <c r="G1612" s="9" t="n">
        <v>5</v>
      </c>
      <c r="H1612" s="9" t="n">
        <v>1</v>
      </c>
      <c r="I1612" s="10" t="n">
        <v>45673</v>
      </c>
      <c r="J1612" s="10" t="n">
        <v>45677</v>
      </c>
      <c r="K1612" s="9" t="n">
        <v>25.32383</v>
      </c>
      <c r="L1612" s="9" t="n">
        <v>82.99436</v>
      </c>
      <c r="M1612" s="9" t="inlineStr">
        <is>
          <t>https://www.google.com/maps/place/?q=place_id:ChIJtZ5v6gkujjkRtEbgeex9E08</t>
        </is>
      </c>
    </row>
    <row r="1613">
      <c r="A1613" s="9" t="n">
        <v>1609</v>
      </c>
      <c r="B1613" s="9" t="inlineStr">
        <is>
          <t>Varanasi</t>
        </is>
      </c>
      <c r="C1613" s="9" t="inlineStr">
        <is>
          <t>Varanasi</t>
        </is>
      </c>
      <c r="D1613" s="9" t="inlineStr">
        <is>
          <t>Uttar Pradesh</t>
        </is>
      </c>
      <c r="E1613" s="9" t="inlineStr">
        <is>
          <t>India</t>
        </is>
      </c>
      <c r="F1613" s="9" t="n">
        <v>1</v>
      </c>
      <c r="G1613" s="9" t="n">
        <v>1</v>
      </c>
      <c r="H1613" s="9" t="n">
        <v>1</v>
      </c>
      <c r="I1613" s="10" t="n">
        <v>43459</v>
      </c>
      <c r="J1613" s="10" t="n">
        <v>43459</v>
      </c>
      <c r="K1613" s="9" t="n">
        <v>25.31021</v>
      </c>
      <c r="L1613" s="9" t="n">
        <v>83.00548000000001</v>
      </c>
      <c r="M1613" s="9" t="inlineStr">
        <is>
          <t>https://www.google.com/maps/place/?q=place_id:ChIJkyKI6wIujjkRs5gmZ4Iacvs</t>
        </is>
      </c>
    </row>
    <row r="1614">
      <c r="A1614" s="9" t="n">
        <v>1610</v>
      </c>
      <c r="B1614" s="9" t="inlineStr">
        <is>
          <t>Mughal Sarai</t>
        </is>
      </c>
      <c r="C1614" s="9" t="inlineStr">
        <is>
          <t>Varanasi</t>
        </is>
      </c>
      <c r="D1614" s="9" t="inlineStr">
        <is>
          <t>Uttar Pradesh</t>
        </is>
      </c>
      <c r="E1614" s="9" t="inlineStr">
        <is>
          <t>India</t>
        </is>
      </c>
      <c r="F1614" s="9" t="n">
        <v>1</v>
      </c>
      <c r="G1614" s="9" t="n">
        <v>1</v>
      </c>
      <c r="H1614" s="9" t="n">
        <v>1</v>
      </c>
      <c r="I1614" s="10" t="n">
        <v>43459</v>
      </c>
      <c r="J1614" s="10" t="n">
        <v>43459</v>
      </c>
      <c r="K1614" s="9" t="n">
        <v>25.27846</v>
      </c>
      <c r="L1614" s="9" t="n">
        <v>83.11998</v>
      </c>
      <c r="M1614" s="9" t="inlineStr">
        <is>
          <t>https://www.google.com/maps/place/?q=place_id:ChIJKVI12eI6jjkRqQiPTj7eFZI</t>
        </is>
      </c>
    </row>
    <row r="1615">
      <c r="A1615" s="9" t="n">
        <v>1611</v>
      </c>
      <c r="B1615" s="9" t="inlineStr">
        <is>
          <t>Varanasi</t>
        </is>
      </c>
      <c r="C1615" s="9" t="inlineStr">
        <is>
          <t>Varanasi</t>
        </is>
      </c>
      <c r="D1615" s="9" t="inlineStr">
        <is>
          <t>Uttar Pradesh</t>
        </is>
      </c>
      <c r="E1615" s="9" t="inlineStr">
        <is>
          <t>India</t>
        </is>
      </c>
      <c r="F1615" s="9" t="n">
        <v>1</v>
      </c>
      <c r="G1615" s="9" t="n">
        <v>1</v>
      </c>
      <c r="H1615" s="9" t="n">
        <v>1</v>
      </c>
      <c r="I1615" s="10" t="n">
        <v>43488</v>
      </c>
      <c r="J1615" s="10" t="n">
        <v>43488</v>
      </c>
      <c r="K1615" s="9" t="n">
        <v>25.31079</v>
      </c>
      <c r="L1615" s="9" t="n">
        <v>83.01408000000001</v>
      </c>
      <c r="M1615" s="9" t="inlineStr">
        <is>
          <t>https://www.google.com/maps/place/?q=place_id:ChIJpWsWkyEujjkRMFCY5N88YH0</t>
        </is>
      </c>
    </row>
    <row r="1616">
      <c r="A1616" s="9" t="n">
        <v>1612</v>
      </c>
      <c r="B1616" s="9" t="inlineStr">
        <is>
          <t>Varanasi</t>
        </is>
      </c>
      <c r="C1616" s="9" t="inlineStr">
        <is>
          <t>Varanasi</t>
        </is>
      </c>
      <c r="D1616" s="9" t="inlineStr">
        <is>
          <t>Uttar Pradesh</t>
        </is>
      </c>
      <c r="E1616" s="9" t="inlineStr">
        <is>
          <t>India</t>
        </is>
      </c>
      <c r="F1616" s="9" t="n">
        <v>1</v>
      </c>
      <c r="G1616" s="9" t="n">
        <v>1</v>
      </c>
      <c r="H1616" s="9" t="n">
        <v>1</v>
      </c>
      <c r="I1616" s="10" t="n">
        <v>43488</v>
      </c>
      <c r="J1616" s="10" t="n">
        <v>43488</v>
      </c>
      <c r="K1616" s="9" t="n">
        <v>25.28847</v>
      </c>
      <c r="L1616" s="9" t="n">
        <v>83.00645</v>
      </c>
      <c r="M1616" s="9" t="inlineStr">
        <is>
          <t>https://www.google.com/maps/place/?q=place_id:ChIJtQtO8e0xjjkRjFhDS1MEuIA</t>
        </is>
      </c>
    </row>
    <row r="1617">
      <c r="A1617" s="9" t="n">
        <v>1613</v>
      </c>
      <c r="B1617" s="9" t="inlineStr">
        <is>
          <t>Varanasi</t>
        </is>
      </c>
      <c r="C1617" s="9" t="inlineStr">
        <is>
          <t>Varanasi</t>
        </is>
      </c>
      <c r="D1617" s="9" t="inlineStr">
        <is>
          <t>Uttar Pradesh</t>
        </is>
      </c>
      <c r="E1617" s="9" t="inlineStr">
        <is>
          <t>India</t>
        </is>
      </c>
      <c r="F1617" s="9" t="n">
        <v>1</v>
      </c>
      <c r="G1617" s="9" t="n">
        <v>1</v>
      </c>
      <c r="H1617" s="9" t="n">
        <v>1</v>
      </c>
      <c r="I1617" s="10" t="n">
        <v>43488</v>
      </c>
      <c r="J1617" s="10" t="n">
        <v>43488</v>
      </c>
      <c r="K1617" s="9" t="n">
        <v>25.29957</v>
      </c>
      <c r="L1617" s="9" t="n">
        <v>82.97226000000001</v>
      </c>
      <c r="M1617" s="9" t="inlineStr">
        <is>
          <t>https://www.google.com/maps/place/?q=place_id:ChIJIVUHpgwyjjkRs9YX9Oj5WCw</t>
        </is>
      </c>
    </row>
    <row r="1618">
      <c r="A1618" s="9" t="n">
        <v>1614</v>
      </c>
      <c r="B1618" s="9" t="inlineStr">
        <is>
          <t>Chandauli</t>
        </is>
      </c>
      <c r="C1618" s="9" t="inlineStr">
        <is>
          <t>Varanasi</t>
        </is>
      </c>
      <c r="D1618" s="9" t="inlineStr">
        <is>
          <t>Uttar Pradesh</t>
        </is>
      </c>
      <c r="E1618" s="9" t="inlineStr">
        <is>
          <t>India</t>
        </is>
      </c>
      <c r="F1618" s="9" t="n">
        <v>1</v>
      </c>
      <c r="G1618" s="9" t="n">
        <v>1</v>
      </c>
      <c r="H1618" s="9" t="n">
        <v>1</v>
      </c>
      <c r="I1618" s="10" t="n">
        <v>43519</v>
      </c>
      <c r="J1618" s="10" t="n">
        <v>43519</v>
      </c>
      <c r="K1618" s="9" t="n">
        <v>25.26131</v>
      </c>
      <c r="L1618" s="9" t="n">
        <v>83.26793000000001</v>
      </c>
      <c r="M1618" s="9" t="inlineStr">
        <is>
          <t>https://www.google.com/maps/place/?q=place_id:ChIJjduXXTcWjjkRpOUzHO08U4o</t>
        </is>
      </c>
    </row>
    <row r="1619">
      <c r="A1619" s="9" t="n">
        <v>1615</v>
      </c>
      <c r="B1619" s="9" t="inlineStr">
        <is>
          <t>Kachhwa</t>
        </is>
      </c>
      <c r="C1619" s="9" t="inlineStr">
        <is>
          <t>Varanasi</t>
        </is>
      </c>
      <c r="D1619" s="9" t="inlineStr">
        <is>
          <t>Uttar Pradesh</t>
        </is>
      </c>
      <c r="E1619" s="9" t="inlineStr">
        <is>
          <t>India</t>
        </is>
      </c>
      <c r="F1619" s="9" t="n">
        <v>1</v>
      </c>
      <c r="G1619" s="9" t="n">
        <v>1</v>
      </c>
      <c r="H1619" s="9" t="n">
        <v>1</v>
      </c>
      <c r="I1619" s="10" t="n">
        <v>43756</v>
      </c>
      <c r="J1619" s="10" t="n">
        <v>43756</v>
      </c>
      <c r="K1619" s="9" t="n">
        <v>25.26993</v>
      </c>
      <c r="L1619" s="9" t="n">
        <v>82.83309</v>
      </c>
      <c r="M1619" s="9" t="inlineStr">
        <is>
          <t>https://www.google.com/maps/place/?q=place_id:ChIJwbNbOsPNjzkRNobuPjr-raI</t>
        </is>
      </c>
    </row>
    <row r="1620">
      <c r="A1620" s="9" t="n">
        <v>1616</v>
      </c>
      <c r="B1620" s="9" t="inlineStr">
        <is>
          <t>Varanasi</t>
        </is>
      </c>
      <c r="C1620" s="9" t="inlineStr">
        <is>
          <t>Varanasi</t>
        </is>
      </c>
      <c r="D1620" s="9" t="inlineStr">
        <is>
          <t>Uttar Pradesh</t>
        </is>
      </c>
      <c r="E1620" s="9" t="inlineStr">
        <is>
          <t>India</t>
        </is>
      </c>
      <c r="F1620" s="9" t="n">
        <v>1</v>
      </c>
      <c r="G1620" s="9" t="n">
        <v>1</v>
      </c>
      <c r="H1620" s="9" t="n">
        <v>1</v>
      </c>
      <c r="I1620" s="10" t="n">
        <v>43756</v>
      </c>
      <c r="J1620" s="10" t="n">
        <v>43756</v>
      </c>
      <c r="K1620" s="9" t="n">
        <v>25.31423</v>
      </c>
      <c r="L1620" s="9" t="n">
        <v>82.96777</v>
      </c>
      <c r="M1620" s="9" t="inlineStr">
        <is>
          <t>https://www.google.com/maps/place/?q=place_id:ChIJnY_ASIwtjjkRnRn5TaKnCGQ</t>
        </is>
      </c>
    </row>
    <row r="1621">
      <c r="A1621" s="9" t="n">
        <v>1617</v>
      </c>
      <c r="B1621" s="9" t="inlineStr">
        <is>
          <t>Varanasi</t>
        </is>
      </c>
      <c r="C1621" s="9" t="inlineStr">
        <is>
          <t>Varanasi</t>
        </is>
      </c>
      <c r="D1621" s="9" t="inlineStr">
        <is>
          <t>Uttar Pradesh</t>
        </is>
      </c>
      <c r="E1621" s="9" t="inlineStr">
        <is>
          <t>India</t>
        </is>
      </c>
      <c r="F1621" s="9" t="n">
        <v>1</v>
      </c>
      <c r="G1621" s="9" t="n">
        <v>1</v>
      </c>
      <c r="H1621" s="9" t="n">
        <v>1</v>
      </c>
      <c r="I1621" s="10" t="n">
        <v>43756</v>
      </c>
      <c r="J1621" s="10" t="n">
        <v>43756</v>
      </c>
      <c r="K1621" s="9" t="n">
        <v>25.30265</v>
      </c>
      <c r="L1621" s="9" t="n">
        <v>82.96803</v>
      </c>
      <c r="M1621" s="9" t="inlineStr">
        <is>
          <t>https://www.google.com/maps/place/?q=place_id:ChIJBeZhTHQyjjkRkqDbHN_G1Yw</t>
        </is>
      </c>
    </row>
    <row r="1622">
      <c r="A1622" s="9" t="n">
        <v>1618</v>
      </c>
      <c r="B1622" s="9" t="inlineStr">
        <is>
          <t>Varanasi</t>
        </is>
      </c>
      <c r="C1622" s="9" t="inlineStr">
        <is>
          <t>Varanasi</t>
        </is>
      </c>
      <c r="D1622" s="9" t="inlineStr">
        <is>
          <t>Uttar Pradesh</t>
        </is>
      </c>
      <c r="E1622" s="9" t="inlineStr">
        <is>
          <t>India</t>
        </is>
      </c>
      <c r="F1622" s="9" t="n">
        <v>1</v>
      </c>
      <c r="G1622" s="9" t="n">
        <v>1</v>
      </c>
      <c r="H1622" s="9" t="n">
        <v>1</v>
      </c>
      <c r="I1622" s="10" t="n">
        <v>43756</v>
      </c>
      <c r="J1622" s="10" t="n">
        <v>43756</v>
      </c>
      <c r="K1622" s="9" t="n">
        <v>25.30973</v>
      </c>
      <c r="L1622" s="9" t="n">
        <v>83.00516</v>
      </c>
      <c r="M1622" s="9" t="inlineStr">
        <is>
          <t>https://www.google.com/maps/place/?q=place_id:ChIJ-wk2PR0ujjkR44hcmES8jHg</t>
        </is>
      </c>
    </row>
    <row r="1623">
      <c r="A1623" s="9" t="n">
        <v>1619</v>
      </c>
      <c r="B1623" s="9" t="inlineStr">
        <is>
          <t>Varanasi</t>
        </is>
      </c>
      <c r="C1623" s="9" t="inlineStr">
        <is>
          <t>Varanasi</t>
        </is>
      </c>
      <c r="D1623" s="9" t="inlineStr">
        <is>
          <t>Uttar Pradesh</t>
        </is>
      </c>
      <c r="E1623" s="9" t="inlineStr">
        <is>
          <t>India</t>
        </is>
      </c>
      <c r="F1623" s="9" t="n">
        <v>1</v>
      </c>
      <c r="G1623" s="9" t="n">
        <v>1</v>
      </c>
      <c r="H1623" s="9" t="n">
        <v>1</v>
      </c>
      <c r="I1623" s="10" t="n">
        <v>43756</v>
      </c>
      <c r="J1623" s="10" t="n">
        <v>43756</v>
      </c>
      <c r="K1623" s="9" t="n">
        <v>25.30959</v>
      </c>
      <c r="L1623" s="9" t="n">
        <v>82.98969</v>
      </c>
      <c r="M1623" s="9" t="inlineStr">
        <is>
          <t>https://www.google.com/maps/place/?q=place_id:ChIJZYvhHP8tjjkRgMWgSv80bDY</t>
        </is>
      </c>
    </row>
    <row r="1624">
      <c r="A1624" s="9" t="n">
        <v>1620</v>
      </c>
      <c r="B1624" s="9" t="inlineStr">
        <is>
          <t>Ramnagar</t>
        </is>
      </c>
      <c r="C1624" s="9" t="inlineStr">
        <is>
          <t>Varanasi</t>
        </is>
      </c>
      <c r="D1624" s="9" t="inlineStr">
        <is>
          <t>Uttar Pradesh</t>
        </is>
      </c>
      <c r="E1624" s="9" t="inlineStr">
        <is>
          <t>India</t>
        </is>
      </c>
      <c r="F1624" s="9" t="n">
        <v>1</v>
      </c>
      <c r="G1624" s="9" t="n">
        <v>1</v>
      </c>
      <c r="H1624" s="9" t="n">
        <v>1</v>
      </c>
      <c r="I1624" s="10" t="n">
        <v>43757</v>
      </c>
      <c r="J1624" s="10" t="n">
        <v>43757</v>
      </c>
      <c r="K1624" s="9" t="n">
        <v>25.26772</v>
      </c>
      <c r="L1624" s="9" t="n">
        <v>82.99126</v>
      </c>
      <c r="M1624" s="9" t="inlineStr">
        <is>
          <t>https://www.google.com/maps/place/?q=place_id:ChIJVx24kCkyjjkRJ4c60-w9fBg</t>
        </is>
      </c>
    </row>
    <row r="1625">
      <c r="A1625" s="9" t="n">
        <v>1621</v>
      </c>
      <c r="B1625" s="9" t="inlineStr">
        <is>
          <t>Ramnagar</t>
        </is>
      </c>
      <c r="C1625" s="9" t="inlineStr">
        <is>
          <t>Varanasi</t>
        </is>
      </c>
      <c r="D1625" s="9" t="inlineStr">
        <is>
          <t>Uttar Pradesh</t>
        </is>
      </c>
      <c r="E1625" s="9" t="inlineStr">
        <is>
          <t>India</t>
        </is>
      </c>
      <c r="F1625" s="9" t="n">
        <v>1</v>
      </c>
      <c r="G1625" s="9" t="n">
        <v>1</v>
      </c>
      <c r="H1625" s="9" t="n">
        <v>1</v>
      </c>
      <c r="I1625" s="10" t="n">
        <v>43757</v>
      </c>
      <c r="J1625" s="10" t="n">
        <v>43757</v>
      </c>
      <c r="K1625" s="9" t="n">
        <v>25.26293</v>
      </c>
      <c r="L1625" s="9" t="n">
        <v>82.96657</v>
      </c>
      <c r="M1625" s="9" t="inlineStr">
        <is>
          <t>https://www.google.com/maps/place/?q=place_id:ChIJkYtZ80syjjkRuAT88bGJOPo</t>
        </is>
      </c>
    </row>
    <row r="1626">
      <c r="A1626" s="9" t="n">
        <v>1622</v>
      </c>
      <c r="B1626" s="9" t="inlineStr">
        <is>
          <t>Varanasi</t>
        </is>
      </c>
      <c r="C1626" s="9" t="inlineStr">
        <is>
          <t>Varanasi</t>
        </is>
      </c>
      <c r="D1626" s="9" t="inlineStr">
        <is>
          <t>Uttar Pradesh</t>
        </is>
      </c>
      <c r="E1626" s="9" t="inlineStr">
        <is>
          <t>India</t>
        </is>
      </c>
      <c r="F1626" s="9" t="n">
        <v>1</v>
      </c>
      <c r="G1626" s="9" t="n">
        <v>1</v>
      </c>
      <c r="H1626" s="9" t="n">
        <v>1</v>
      </c>
      <c r="I1626" s="10" t="n">
        <v>43757</v>
      </c>
      <c r="J1626" s="10" t="n">
        <v>43757</v>
      </c>
      <c r="K1626" s="9" t="n">
        <v>25.31692</v>
      </c>
      <c r="L1626" s="9" t="n">
        <v>82.98847000000001</v>
      </c>
      <c r="M1626" s="9" t="inlineStr">
        <is>
          <t>https://www.google.com/maps/place/?q=place_id:ChIJDdeGl_wtjjkR5F9aDQBTfvY</t>
        </is>
      </c>
    </row>
    <row r="1627">
      <c r="A1627" s="9" t="n">
        <v>1623</v>
      </c>
      <c r="B1627" s="9" t="inlineStr">
        <is>
          <t>Varanasi</t>
        </is>
      </c>
      <c r="C1627" s="9" t="inlineStr">
        <is>
          <t>Varanasi</t>
        </is>
      </c>
      <c r="D1627" s="9" t="inlineStr">
        <is>
          <t>Uttar Pradesh</t>
        </is>
      </c>
      <c r="E1627" s="9" t="inlineStr">
        <is>
          <t>India</t>
        </is>
      </c>
      <c r="F1627" s="9" t="n">
        <v>1</v>
      </c>
      <c r="G1627" s="9" t="n">
        <v>1</v>
      </c>
      <c r="H1627" s="9" t="n">
        <v>1</v>
      </c>
      <c r="I1627" s="10" t="n">
        <v>43757</v>
      </c>
      <c r="J1627" s="10" t="n">
        <v>43757</v>
      </c>
      <c r="K1627" s="9" t="n">
        <v>25.31901</v>
      </c>
      <c r="L1627" s="9" t="n">
        <v>83.01778</v>
      </c>
      <c r="M1627" s="9" t="inlineStr">
        <is>
          <t>https://www.google.com/maps/place/?q=place_id:ChIJzbpMJCMujjkRhwKkx1MUPIM</t>
        </is>
      </c>
    </row>
    <row r="1628">
      <c r="A1628" s="9" t="n">
        <v>1624</v>
      </c>
      <c r="B1628" s="9" t="inlineStr">
        <is>
          <t>Varanasi</t>
        </is>
      </c>
      <c r="C1628" s="9" t="inlineStr">
        <is>
          <t>Varanasi</t>
        </is>
      </c>
      <c r="D1628" s="9" t="inlineStr">
        <is>
          <t>Uttar Pradesh</t>
        </is>
      </c>
      <c r="E1628" s="9" t="inlineStr">
        <is>
          <t>India</t>
        </is>
      </c>
      <c r="F1628" s="9" t="n">
        <v>1</v>
      </c>
      <c r="G1628" s="9" t="n">
        <v>1</v>
      </c>
      <c r="H1628" s="9" t="n">
        <v>1</v>
      </c>
      <c r="I1628" s="10" t="n">
        <v>44524</v>
      </c>
      <c r="J1628" s="10" t="n">
        <v>44524</v>
      </c>
      <c r="K1628" s="9" t="n">
        <v>25.3361</v>
      </c>
      <c r="L1628" s="9" t="n">
        <v>82.98636</v>
      </c>
      <c r="M1628" s="9" t="inlineStr">
        <is>
          <t>https://www.google.com/maps/place/?q=place_id:ChIJqRSMitstjjkR1m_3QHTaQPA</t>
        </is>
      </c>
    </row>
    <row r="1629">
      <c r="A1629" s="9" t="n">
        <v>1625</v>
      </c>
      <c r="B1629" s="9" t="inlineStr">
        <is>
          <t>Varanasi</t>
        </is>
      </c>
      <c r="C1629" s="9" t="inlineStr">
        <is>
          <t>Varanasi</t>
        </is>
      </c>
      <c r="D1629" s="9" t="inlineStr">
        <is>
          <t>Uttar Pradesh</t>
        </is>
      </c>
      <c r="E1629" s="9" t="inlineStr">
        <is>
          <t>India</t>
        </is>
      </c>
      <c r="F1629" s="9" t="n">
        <v>1</v>
      </c>
      <c r="G1629" s="9" t="n">
        <v>1</v>
      </c>
      <c r="H1629" s="9" t="n">
        <v>1</v>
      </c>
      <c r="I1629" s="10" t="n">
        <v>44524</v>
      </c>
      <c r="J1629" s="10" t="n">
        <v>44524</v>
      </c>
      <c r="K1629" s="9" t="n">
        <v>25.31278</v>
      </c>
      <c r="L1629" s="9" t="n">
        <v>83.00639</v>
      </c>
      <c r="M1629" s="9" t="inlineStr">
        <is>
          <t>https://www.google.com/maps/place/?q=place_id:ChIJPfFPjxwujjkR4UST23_-o7k</t>
        </is>
      </c>
    </row>
    <row r="1630">
      <c r="A1630" s="9" t="n">
        <v>1626</v>
      </c>
      <c r="B1630" s="9" t="inlineStr">
        <is>
          <t>Varanasi</t>
        </is>
      </c>
      <c r="C1630" s="9" t="inlineStr">
        <is>
          <t>Varanasi</t>
        </is>
      </c>
      <c r="D1630" s="9" t="inlineStr">
        <is>
          <t>Uttar Pradesh</t>
        </is>
      </c>
      <c r="E1630" s="9" t="inlineStr">
        <is>
          <t>India</t>
        </is>
      </c>
      <c r="F1630" s="9" t="n">
        <v>1</v>
      </c>
      <c r="G1630" s="9" t="n">
        <v>1</v>
      </c>
      <c r="H1630" s="9" t="n">
        <v>1</v>
      </c>
      <c r="I1630" s="10" t="n">
        <v>44524</v>
      </c>
      <c r="J1630" s="10" t="n">
        <v>44524</v>
      </c>
      <c r="K1630" s="9" t="n">
        <v>25.31139</v>
      </c>
      <c r="L1630" s="9" t="n">
        <v>83.01492</v>
      </c>
      <c r="M1630" s="9" t="inlineStr">
        <is>
          <t>https://www.google.com/maps/place/?q=place_id:ChIJAQAAQPktjjkRt8MVZTr7NGM</t>
        </is>
      </c>
    </row>
    <row r="1631">
      <c r="A1631" s="9" t="n">
        <v>1627</v>
      </c>
      <c r="B1631" s="9" t="inlineStr">
        <is>
          <t>Varanasi</t>
        </is>
      </c>
      <c r="C1631" s="9" t="inlineStr">
        <is>
          <t>Varanasi</t>
        </is>
      </c>
      <c r="D1631" s="9" t="inlineStr">
        <is>
          <t>Uttar Pradesh</t>
        </is>
      </c>
      <c r="E1631" s="9" t="inlineStr">
        <is>
          <t>India</t>
        </is>
      </c>
      <c r="F1631" s="9" t="n">
        <v>1</v>
      </c>
      <c r="G1631" s="9" t="n">
        <v>1</v>
      </c>
      <c r="H1631" s="9" t="n">
        <v>1</v>
      </c>
      <c r="I1631" s="10" t="n">
        <v>44524</v>
      </c>
      <c r="J1631" s="10" t="n">
        <v>44524</v>
      </c>
      <c r="K1631" s="9" t="n">
        <v>25.29835</v>
      </c>
      <c r="L1631" s="9" t="n">
        <v>83.00735</v>
      </c>
      <c r="M1631" s="9" t="inlineStr">
        <is>
          <t>https://www.google.com/maps/place/?q=place_id:ChIJh9XWM2cxjjkRsVi6_mltU0c</t>
        </is>
      </c>
    </row>
    <row r="1632">
      <c r="A1632" s="9" t="n">
        <v>1628</v>
      </c>
      <c r="B1632" s="9" t="inlineStr">
        <is>
          <t>Varanasi</t>
        </is>
      </c>
      <c r="C1632" s="9" t="inlineStr">
        <is>
          <t>Varanasi</t>
        </is>
      </c>
      <c r="D1632" s="9" t="inlineStr">
        <is>
          <t>Uttar Pradesh</t>
        </is>
      </c>
      <c r="E1632" s="9" t="inlineStr">
        <is>
          <t>India</t>
        </is>
      </c>
      <c r="F1632" s="9" t="n">
        <v>1</v>
      </c>
      <c r="G1632" s="9" t="n">
        <v>1</v>
      </c>
      <c r="H1632" s="9" t="n">
        <v>1</v>
      </c>
      <c r="I1632" s="10" t="n">
        <v>45673</v>
      </c>
      <c r="J1632" s="10" t="n">
        <v>45673</v>
      </c>
      <c r="K1632" s="9" t="n">
        <v>25.36931</v>
      </c>
      <c r="L1632" s="9" t="n">
        <v>82.92451</v>
      </c>
      <c r="M1632" s="9" t="inlineStr">
        <is>
          <t>https://www.google.com/maps/place/?q=place_id:ChIJEcotXcEsjjkRpKVAV_eTyVg</t>
        </is>
      </c>
    </row>
    <row r="1633">
      <c r="A1633" s="9" t="n">
        <v>1629</v>
      </c>
      <c r="B1633" s="9" t="inlineStr">
        <is>
          <t>Varanasi</t>
        </is>
      </c>
      <c r="C1633" s="9" t="inlineStr">
        <is>
          <t>Varanasi</t>
        </is>
      </c>
      <c r="D1633" s="9" t="inlineStr">
        <is>
          <t>Uttar Pradesh</t>
        </is>
      </c>
      <c r="E1633" s="9" t="inlineStr">
        <is>
          <t>India</t>
        </is>
      </c>
      <c r="F1633" s="9" t="n">
        <v>1</v>
      </c>
      <c r="G1633" s="9" t="n">
        <v>1</v>
      </c>
      <c r="H1633" s="9" t="n">
        <v>1</v>
      </c>
      <c r="I1633" s="10" t="n">
        <v>45673</v>
      </c>
      <c r="J1633" s="10" t="n">
        <v>45673</v>
      </c>
      <c r="K1633" s="9" t="n">
        <v>25.35</v>
      </c>
      <c r="L1633" s="9" t="n">
        <v>82.96617000000001</v>
      </c>
      <c r="M1633" s="9" t="inlineStr">
        <is>
          <t>https://www.google.com/maps/place/?q=place_id:ChIJBQkymd8tjjkRVaBz-UdTkZ8</t>
        </is>
      </c>
    </row>
    <row r="1634">
      <c r="A1634" s="9" t="n">
        <v>1630</v>
      </c>
      <c r="B1634" s="9" t="inlineStr">
        <is>
          <t>Varanasi</t>
        </is>
      </c>
      <c r="C1634" s="9" t="inlineStr">
        <is>
          <t>Varanasi</t>
        </is>
      </c>
      <c r="D1634" s="9" t="inlineStr">
        <is>
          <t>Uttar Pradesh</t>
        </is>
      </c>
      <c r="E1634" s="9" t="inlineStr">
        <is>
          <t>India</t>
        </is>
      </c>
      <c r="F1634" s="9" t="n">
        <v>1</v>
      </c>
      <c r="G1634" s="9" t="n">
        <v>1</v>
      </c>
      <c r="H1634" s="9" t="n">
        <v>1</v>
      </c>
      <c r="I1634" s="10" t="n">
        <v>45673</v>
      </c>
      <c r="J1634" s="10" t="n">
        <v>45673</v>
      </c>
      <c r="K1634" s="9" t="n">
        <v>25.33458</v>
      </c>
      <c r="L1634" s="9" t="n">
        <v>82.98679</v>
      </c>
      <c r="M1634" s="9" t="inlineStr">
        <is>
          <t>https://www.google.com/maps/place/?q=place_id:ChIJaSMM2Q8tjjkRyfFERCh4gtg</t>
        </is>
      </c>
    </row>
    <row r="1635">
      <c r="A1635" s="9" t="n">
        <v>1631</v>
      </c>
      <c r="B1635" s="9" t="inlineStr">
        <is>
          <t>Varanasi</t>
        </is>
      </c>
      <c r="C1635" s="9" t="inlineStr">
        <is>
          <t>Varanasi</t>
        </is>
      </c>
      <c r="D1635" s="9" t="inlineStr">
        <is>
          <t>Uttar Pradesh</t>
        </is>
      </c>
      <c r="E1635" s="9" t="inlineStr">
        <is>
          <t>India</t>
        </is>
      </c>
      <c r="F1635" s="9" t="n">
        <v>1</v>
      </c>
      <c r="G1635" s="9" t="n">
        <v>1</v>
      </c>
      <c r="H1635" s="9" t="n">
        <v>1</v>
      </c>
      <c r="I1635" s="10" t="n">
        <v>45673</v>
      </c>
      <c r="J1635" s="10" t="n">
        <v>45673</v>
      </c>
      <c r="K1635" s="9" t="n">
        <v>25.33351</v>
      </c>
      <c r="L1635" s="9" t="n">
        <v>82.99574</v>
      </c>
      <c r="M1635" s="9" t="inlineStr">
        <is>
          <t>https://www.google.com/maps/place/?q=place_id:ChIJN9fFAHUujjkR_TYhQCASWKg</t>
        </is>
      </c>
    </row>
    <row r="1636">
      <c r="A1636" s="9" t="n">
        <v>1632</v>
      </c>
      <c r="B1636" s="9" t="inlineStr">
        <is>
          <t>Varanasi</t>
        </is>
      </c>
      <c r="C1636" s="9" t="inlineStr">
        <is>
          <t>Varanasi</t>
        </is>
      </c>
      <c r="D1636" s="9" t="inlineStr">
        <is>
          <t>Uttar Pradesh</t>
        </is>
      </c>
      <c r="E1636" s="9" t="inlineStr">
        <is>
          <t>India</t>
        </is>
      </c>
      <c r="F1636" s="9" t="n">
        <v>1</v>
      </c>
      <c r="G1636" s="9" t="n">
        <v>1</v>
      </c>
      <c r="H1636" s="9" t="n">
        <v>1</v>
      </c>
      <c r="I1636" s="10" t="n">
        <v>45674</v>
      </c>
      <c r="J1636" s="10" t="n">
        <v>45674</v>
      </c>
      <c r="K1636" s="9" t="n">
        <v>25.32061</v>
      </c>
      <c r="L1636" s="9" t="n">
        <v>83.02627</v>
      </c>
      <c r="M1636" s="9" t="inlineStr">
        <is>
          <t>https://www.google.com/maps/place/?q=place_id:ChIJo3FdHDAujjkRItYhSn9z_R8</t>
        </is>
      </c>
    </row>
    <row r="1637">
      <c r="A1637" s="9" t="n">
        <v>1633</v>
      </c>
      <c r="B1637" s="9" t="inlineStr">
        <is>
          <t>Varanasi</t>
        </is>
      </c>
      <c r="C1637" s="9" t="inlineStr">
        <is>
          <t>Varanasi</t>
        </is>
      </c>
      <c r="D1637" s="9" t="inlineStr">
        <is>
          <t>Uttar Pradesh</t>
        </is>
      </c>
      <c r="E1637" s="9" t="inlineStr">
        <is>
          <t>India</t>
        </is>
      </c>
      <c r="F1637" s="9" t="n">
        <v>1</v>
      </c>
      <c r="G1637" s="9" t="n">
        <v>1</v>
      </c>
      <c r="H1637" s="9" t="n">
        <v>1</v>
      </c>
      <c r="I1637" s="10" t="n">
        <v>45677</v>
      </c>
      <c r="J1637" s="10" t="n">
        <v>45677</v>
      </c>
      <c r="K1637" s="9" t="n">
        <v>25.35169</v>
      </c>
      <c r="L1637" s="9" t="n">
        <v>82.99383</v>
      </c>
      <c r="M1637" s="9" t="inlineStr">
        <is>
          <t>https://www.google.com/maps/place/?q=place_id:ChIJBwikm38ujjkRsy9HRaG5QWw</t>
        </is>
      </c>
    </row>
    <row r="1638">
      <c r="A1638" s="9" t="n">
        <v>1634</v>
      </c>
      <c r="B1638" s="9" t="inlineStr">
        <is>
          <t>Vrindavan</t>
        </is>
      </c>
      <c r="C1638" s="9" t="inlineStr">
        <is>
          <t>Vrindavan</t>
        </is>
      </c>
      <c r="D1638" s="9" t="inlineStr">
        <is>
          <t>Uttar Pradesh</t>
        </is>
      </c>
      <c r="E1638" s="9" t="inlineStr">
        <is>
          <t>India</t>
        </is>
      </c>
      <c r="F1638" s="9" t="n">
        <v>75</v>
      </c>
      <c r="G1638" s="9" t="n">
        <v>55</v>
      </c>
      <c r="H1638" s="9" t="n">
        <v>9</v>
      </c>
      <c r="I1638" s="10" t="n">
        <v>42982</v>
      </c>
      <c r="J1638" s="10" t="n">
        <v>45583</v>
      </c>
      <c r="K1638" s="9" t="n">
        <v>27.57181</v>
      </c>
      <c r="L1638" s="9" t="n">
        <v>77.64352</v>
      </c>
      <c r="M1638" s="9" t="inlineStr">
        <is>
          <t>https://www.google.com/maps/place/?q=place_id:ChIJZR3K4fptczkRKhsWbo_UkG4</t>
        </is>
      </c>
    </row>
    <row r="1639">
      <c r="A1639" s="9" t="n">
        <v>1635</v>
      </c>
      <c r="B1639" s="9" t="inlineStr">
        <is>
          <t>Vrindavan</t>
        </is>
      </c>
      <c r="C1639" s="9" t="inlineStr">
        <is>
          <t>Vrindavan</t>
        </is>
      </c>
      <c r="D1639" s="9" t="inlineStr">
        <is>
          <t>Uttar Pradesh</t>
        </is>
      </c>
      <c r="E1639" s="9" t="inlineStr">
        <is>
          <t>India</t>
        </is>
      </c>
      <c r="F1639" s="9" t="n">
        <v>29</v>
      </c>
      <c r="G1639" s="9" t="n">
        <v>24</v>
      </c>
      <c r="H1639" s="9" t="n">
        <v>13</v>
      </c>
      <c r="I1639" s="10" t="n">
        <v>42982</v>
      </c>
      <c r="J1639" s="10" t="n">
        <v>45581</v>
      </c>
      <c r="K1639" s="9" t="n">
        <v>27.57241</v>
      </c>
      <c r="L1639" s="9" t="n">
        <v>77.67740000000001</v>
      </c>
      <c r="M1639" s="9" t="inlineStr">
        <is>
          <t>https://www.google.com/maps/place/?q=place_id:ChIJb2jatCJuczkRoXNiDidzJbE</t>
        </is>
      </c>
    </row>
    <row r="1640">
      <c r="A1640" s="9" t="n">
        <v>1636</v>
      </c>
      <c r="B1640" s="9" t="inlineStr">
        <is>
          <t>Vrindavan</t>
        </is>
      </c>
      <c r="C1640" s="9" t="inlineStr">
        <is>
          <t>Vrindavan</t>
        </is>
      </c>
      <c r="D1640" s="9" t="inlineStr">
        <is>
          <t>Uttar Pradesh</t>
        </is>
      </c>
      <c r="E1640" s="9" t="inlineStr">
        <is>
          <t>India</t>
        </is>
      </c>
      <c r="F1640" s="9" t="n">
        <v>9</v>
      </c>
      <c r="G1640" s="9" t="n">
        <v>9</v>
      </c>
      <c r="H1640" s="9" t="n">
        <v>9</v>
      </c>
      <c r="I1640" s="10" t="n">
        <v>42982</v>
      </c>
      <c r="J1640" s="10" t="n">
        <v>44862</v>
      </c>
      <c r="K1640" s="9" t="n">
        <v>27.58375</v>
      </c>
      <c r="L1640" s="9" t="n">
        <v>77.69569</v>
      </c>
      <c r="M1640" s="9" t="inlineStr">
        <is>
          <t>https://www.google.com/maps/place/?q=place_id:ChIJAQAA8MtvczkRsxSAcUv4JTM</t>
        </is>
      </c>
    </row>
    <row r="1641">
      <c r="A1641" s="9" t="n">
        <v>1637</v>
      </c>
      <c r="B1641" s="9" t="inlineStr">
        <is>
          <t>Vrindavan</t>
        </is>
      </c>
      <c r="C1641" s="9" t="inlineStr">
        <is>
          <t>Vrindavan</t>
        </is>
      </c>
      <c r="D1641" s="9" t="inlineStr">
        <is>
          <t>Uttar Pradesh</t>
        </is>
      </c>
      <c r="E1641" s="9" t="inlineStr">
        <is>
          <t>India</t>
        </is>
      </c>
      <c r="F1641" s="9" t="n">
        <v>6</v>
      </c>
      <c r="G1641" s="9" t="n">
        <v>7</v>
      </c>
      <c r="H1641" s="9" t="n">
        <v>2</v>
      </c>
      <c r="I1641" s="10" t="n">
        <v>42982</v>
      </c>
      <c r="J1641" s="10" t="n">
        <v>43763</v>
      </c>
      <c r="K1641" s="9" t="n">
        <v>27.57526</v>
      </c>
      <c r="L1641" s="9" t="n">
        <v>77.6529</v>
      </c>
      <c r="M1641" s="9" t="inlineStr">
        <is>
          <t>https://www.google.com/maps/place/?q=place_id:ChIJyTY8EuJtczkRii96NO5PACA</t>
        </is>
      </c>
    </row>
    <row r="1642">
      <c r="A1642" s="9" t="n">
        <v>1638</v>
      </c>
      <c r="B1642" s="9" t="inlineStr">
        <is>
          <t>Vrindavan</t>
        </is>
      </c>
      <c r="C1642" s="9" t="inlineStr">
        <is>
          <t>Vrindavan</t>
        </is>
      </c>
      <c r="D1642" s="9" t="inlineStr">
        <is>
          <t>Uttar Pradesh</t>
        </is>
      </c>
      <c r="E1642" s="9" t="inlineStr">
        <is>
          <t>India</t>
        </is>
      </c>
      <c r="F1642" s="9" t="n">
        <v>5</v>
      </c>
      <c r="G1642" s="9" t="n">
        <v>5</v>
      </c>
      <c r="H1642" s="9" t="n">
        <v>4</v>
      </c>
      <c r="I1642" s="10" t="n">
        <v>42983</v>
      </c>
      <c r="J1642" s="10" t="n">
        <v>44739</v>
      </c>
      <c r="K1642" s="9" t="n">
        <v>27.57981</v>
      </c>
      <c r="L1642" s="9" t="n">
        <v>77.69049</v>
      </c>
      <c r="M1642" s="9" t="inlineStr">
        <is>
          <t>https://www.google.com/maps/place/?q=place_id:ChIJ9_o3KTduczkRb9pwB9uS89E</t>
        </is>
      </c>
    </row>
    <row r="1643">
      <c r="A1643" s="9" t="n">
        <v>1639</v>
      </c>
      <c r="B1643" s="9" t="inlineStr">
        <is>
          <t>Vrindavan</t>
        </is>
      </c>
      <c r="C1643" s="9" t="inlineStr">
        <is>
          <t>Vrindavan</t>
        </is>
      </c>
      <c r="D1643" s="9" t="inlineStr">
        <is>
          <t>Uttar Pradesh</t>
        </is>
      </c>
      <c r="E1643" s="9" t="inlineStr">
        <is>
          <t>India</t>
        </is>
      </c>
      <c r="F1643" s="9" t="n">
        <v>5</v>
      </c>
      <c r="G1643" s="9" t="n">
        <v>5</v>
      </c>
      <c r="H1643" s="9" t="n">
        <v>5</v>
      </c>
      <c r="I1643" s="10" t="n">
        <v>44390</v>
      </c>
      <c r="J1643" s="10" t="n">
        <v>45580</v>
      </c>
      <c r="K1643" s="9" t="n">
        <v>27.58421</v>
      </c>
      <c r="L1643" s="9" t="n">
        <v>77.69795999999999</v>
      </c>
      <c r="M1643" s="9" t="inlineStr">
        <is>
          <t>https://www.google.com/maps/place/?q=place_id:ChIJt-NtJuZvczkRLHD5PvBPBng</t>
        </is>
      </c>
    </row>
    <row r="1644">
      <c r="A1644" s="9" t="n">
        <v>1640</v>
      </c>
      <c r="B1644" s="9" t="inlineStr">
        <is>
          <t>Vrindavan</t>
        </is>
      </c>
      <c r="C1644" s="9" t="inlineStr">
        <is>
          <t>Vrindavan</t>
        </is>
      </c>
      <c r="D1644" s="9" t="inlineStr">
        <is>
          <t>Uttar Pradesh</t>
        </is>
      </c>
      <c r="E1644" s="9" t="inlineStr">
        <is>
          <t>India</t>
        </is>
      </c>
      <c r="F1644" s="9" t="n">
        <v>5</v>
      </c>
      <c r="G1644" s="9" t="n">
        <v>4</v>
      </c>
      <c r="H1644" s="9" t="n">
        <v>1</v>
      </c>
      <c r="I1644" s="10" t="n">
        <v>44862</v>
      </c>
      <c r="J1644" s="10" t="n">
        <v>44865</v>
      </c>
      <c r="K1644" s="9" t="n">
        <v>27.5652</v>
      </c>
      <c r="L1644" s="9" t="n">
        <v>77.65585</v>
      </c>
      <c r="M1644" s="9" t="inlineStr">
        <is>
          <t>https://www.google.com/maps/place/?q=place_id:ChIJU1JpLwduczkRhDGyGzY34tU</t>
        </is>
      </c>
    </row>
    <row r="1645">
      <c r="A1645" s="9" t="n">
        <v>1641</v>
      </c>
      <c r="B1645" s="9" t="inlineStr">
        <is>
          <t>Vrindavan</t>
        </is>
      </c>
      <c r="C1645" s="9" t="inlineStr">
        <is>
          <t>Vrindavan</t>
        </is>
      </c>
      <c r="D1645" s="9" t="inlineStr">
        <is>
          <t>Uttar Pradesh</t>
        </is>
      </c>
      <c r="E1645" s="9" t="inlineStr">
        <is>
          <t>India</t>
        </is>
      </c>
      <c r="F1645" s="9" t="n">
        <v>4</v>
      </c>
      <c r="G1645" s="9" t="n">
        <v>5</v>
      </c>
      <c r="H1645" s="9" t="n">
        <v>2</v>
      </c>
      <c r="I1645" s="10" t="n">
        <v>43362</v>
      </c>
      <c r="J1645" s="10" t="n">
        <v>45578</v>
      </c>
      <c r="K1645" s="9" t="n">
        <v>27.56342</v>
      </c>
      <c r="L1645" s="9" t="n">
        <v>77.63911</v>
      </c>
      <c r="M1645" s="9" t="inlineStr">
        <is>
          <t>https://www.google.com/maps/place/?q=place_id:ChIJ3dXYMPFtczkRJozCj6scFX4</t>
        </is>
      </c>
    </row>
    <row r="1646">
      <c r="A1646" s="9" t="n">
        <v>1642</v>
      </c>
      <c r="B1646" s="9" t="inlineStr">
        <is>
          <t>Vrindavan</t>
        </is>
      </c>
      <c r="C1646" s="9" t="inlineStr">
        <is>
          <t>Vrindavan</t>
        </is>
      </c>
      <c r="D1646" s="9" t="inlineStr">
        <is>
          <t>Uttar Pradesh</t>
        </is>
      </c>
      <c r="E1646" s="9" t="inlineStr">
        <is>
          <t>India</t>
        </is>
      </c>
      <c r="F1646" s="9" t="n">
        <v>4</v>
      </c>
      <c r="G1646" s="9" t="n">
        <v>3</v>
      </c>
      <c r="H1646" s="9" t="n">
        <v>3</v>
      </c>
      <c r="I1646" s="10" t="n">
        <v>43427</v>
      </c>
      <c r="J1646" s="10" t="n">
        <v>44738</v>
      </c>
      <c r="K1646" s="9" t="n">
        <v>27.57656</v>
      </c>
      <c r="L1646" s="9" t="n">
        <v>77.68834</v>
      </c>
      <c r="M1646" s="9" t="inlineStr">
        <is>
          <t>https://www.google.com/maps/place/?q=place_id:ChIJ3Qk0pSJuczkRgphOIBSLZM8</t>
        </is>
      </c>
    </row>
    <row r="1647">
      <c r="A1647" s="9" t="n">
        <v>1643</v>
      </c>
      <c r="B1647" s="9" t="inlineStr">
        <is>
          <t>Vrindavan</t>
        </is>
      </c>
      <c r="C1647" s="9" t="inlineStr">
        <is>
          <t>Vrindavan</t>
        </is>
      </c>
      <c r="D1647" s="9" t="inlineStr">
        <is>
          <t>Uttar Pradesh</t>
        </is>
      </c>
      <c r="E1647" s="9" t="inlineStr">
        <is>
          <t>India</t>
        </is>
      </c>
      <c r="F1647" s="9" t="n">
        <v>4</v>
      </c>
      <c r="G1647" s="9" t="n">
        <v>4</v>
      </c>
      <c r="H1647" s="9" t="n">
        <v>1</v>
      </c>
      <c r="I1647" s="10" t="n">
        <v>44739</v>
      </c>
      <c r="J1647" s="10" t="n">
        <v>44742</v>
      </c>
      <c r="K1647" s="9" t="n">
        <v>27.57213</v>
      </c>
      <c r="L1647" s="9" t="n">
        <v>77.67554</v>
      </c>
      <c r="M1647" s="9" t="inlineStr">
        <is>
          <t>https://www.google.com/maps/place/?q=place_id:ChIJTQZoHRhuczkR5nb-6kP06yc</t>
        </is>
      </c>
    </row>
    <row r="1648">
      <c r="A1648" s="9" t="n">
        <v>1644</v>
      </c>
      <c r="B1648" s="9" t="inlineStr">
        <is>
          <t>Vrindavan</t>
        </is>
      </c>
      <c r="C1648" s="9" t="inlineStr">
        <is>
          <t>Vrindavan</t>
        </is>
      </c>
      <c r="D1648" s="9" t="inlineStr">
        <is>
          <t>Uttar Pradesh</t>
        </is>
      </c>
      <c r="E1648" s="9" t="inlineStr">
        <is>
          <t>India</t>
        </is>
      </c>
      <c r="F1648" s="9" t="n">
        <v>3</v>
      </c>
      <c r="G1648" s="9" t="n">
        <v>3</v>
      </c>
      <c r="H1648" s="9" t="n">
        <v>3</v>
      </c>
      <c r="I1648" s="10" t="n">
        <v>43003</v>
      </c>
      <c r="J1648" s="10" t="n">
        <v>44863</v>
      </c>
      <c r="K1648" s="9" t="n">
        <v>27.58018</v>
      </c>
      <c r="L1648" s="9" t="n">
        <v>77.68763</v>
      </c>
      <c r="M1648" s="9" t="inlineStr">
        <is>
          <t>https://www.google.com/maps/place/?q=place_id:ChIJn1Gq5jluczkRk2637cQmhRY</t>
        </is>
      </c>
    </row>
    <row r="1649">
      <c r="A1649" s="9" t="n">
        <v>1645</v>
      </c>
      <c r="B1649" s="9" t="inlineStr">
        <is>
          <t>Vrindavan</t>
        </is>
      </c>
      <c r="C1649" s="9" t="inlineStr">
        <is>
          <t>Vrindavan</t>
        </is>
      </c>
      <c r="D1649" s="9" t="inlineStr">
        <is>
          <t>Uttar Pradesh</t>
        </is>
      </c>
      <c r="E1649" s="9" t="inlineStr">
        <is>
          <t>India</t>
        </is>
      </c>
      <c r="F1649" s="9" t="n">
        <v>3</v>
      </c>
      <c r="G1649" s="9" t="n">
        <v>3</v>
      </c>
      <c r="H1649" s="9" t="n">
        <v>3</v>
      </c>
      <c r="I1649" s="10" t="n">
        <v>43362</v>
      </c>
      <c r="J1649" s="10" t="n">
        <v>44389</v>
      </c>
      <c r="K1649" s="9" t="n">
        <v>27.58004</v>
      </c>
      <c r="L1649" s="9" t="n">
        <v>77.65627000000001</v>
      </c>
      <c r="M1649" s="9" t="inlineStr">
        <is>
          <t>https://www.google.com/maps/place/?q=place_id:ChIJ5erj-9lvczkRIeqEuz6zowQ</t>
        </is>
      </c>
    </row>
    <row r="1650">
      <c r="A1650" s="9" t="n">
        <v>1646</v>
      </c>
      <c r="B1650" s="9" t="inlineStr">
        <is>
          <t>Vrindavan</t>
        </is>
      </c>
      <c r="C1650" s="9" t="inlineStr">
        <is>
          <t>Vrindavan</t>
        </is>
      </c>
      <c r="D1650" s="9" t="inlineStr">
        <is>
          <t>Uttar Pradesh</t>
        </is>
      </c>
      <c r="E1650" s="9" t="inlineStr">
        <is>
          <t>India</t>
        </is>
      </c>
      <c r="F1650" s="9" t="n">
        <v>2</v>
      </c>
      <c r="G1650" s="9" t="n">
        <v>2</v>
      </c>
      <c r="H1650" s="9" t="n">
        <v>2</v>
      </c>
      <c r="I1650" s="10" t="n">
        <v>42982</v>
      </c>
      <c r="J1650" s="10" t="n">
        <v>43002</v>
      </c>
      <c r="K1650" s="9" t="n">
        <v>27.58422</v>
      </c>
      <c r="L1650" s="9" t="n">
        <v>77.69853000000001</v>
      </c>
      <c r="M1650" s="9" t="inlineStr">
        <is>
          <t>https://www.google.com/maps/place/?q=place_id:ChIJr4SuODVuczkRnDoTJNb9GFU</t>
        </is>
      </c>
    </row>
    <row r="1651">
      <c r="A1651" s="9" t="n">
        <v>1647</v>
      </c>
      <c r="B1651" s="9" t="inlineStr">
        <is>
          <t>Vrindavan</t>
        </is>
      </c>
      <c r="C1651" s="9" t="inlineStr">
        <is>
          <t>Vrindavan</t>
        </is>
      </c>
      <c r="D1651" s="9" t="inlineStr">
        <is>
          <t>Uttar Pradesh</t>
        </is>
      </c>
      <c r="E1651" s="9" t="inlineStr">
        <is>
          <t>India</t>
        </is>
      </c>
      <c r="F1651" s="9" t="n">
        <v>2</v>
      </c>
      <c r="G1651" s="9" t="n">
        <v>2</v>
      </c>
      <c r="H1651" s="9" t="n">
        <v>2</v>
      </c>
      <c r="I1651" s="10" t="n">
        <v>43002</v>
      </c>
      <c r="J1651" s="10" t="n">
        <v>43363</v>
      </c>
      <c r="K1651" s="9" t="n">
        <v>27.58261</v>
      </c>
      <c r="L1651" s="9" t="n">
        <v>77.69620999999999</v>
      </c>
      <c r="M1651" s="9" t="inlineStr">
        <is>
          <t>https://www.google.com/maps/place/?q=place_id:ChIJi_RuUzRuczkRd4VZOtljiLE</t>
        </is>
      </c>
    </row>
    <row r="1652">
      <c r="A1652" s="9" t="n">
        <v>1648</v>
      </c>
      <c r="B1652" s="9" t="inlineStr">
        <is>
          <t>Vrindavan</t>
        </is>
      </c>
      <c r="C1652" s="9" t="inlineStr">
        <is>
          <t>Vrindavan</t>
        </is>
      </c>
      <c r="D1652" s="9" t="inlineStr">
        <is>
          <t>Uttar Pradesh</t>
        </is>
      </c>
      <c r="E1652" s="9" t="inlineStr">
        <is>
          <t>India</t>
        </is>
      </c>
      <c r="F1652" s="9" t="n">
        <v>2</v>
      </c>
      <c r="G1652" s="9" t="n">
        <v>2</v>
      </c>
      <c r="H1652" s="9" t="n">
        <v>1</v>
      </c>
      <c r="I1652" s="10" t="n">
        <v>44738</v>
      </c>
      <c r="J1652" s="10" t="n">
        <v>44739</v>
      </c>
      <c r="K1652" s="9" t="n">
        <v>27.57264</v>
      </c>
      <c r="L1652" s="9" t="n">
        <v>77.67639</v>
      </c>
      <c r="M1652" s="9" t="inlineStr">
        <is>
          <t>https://www.google.com/maps/place/?q=place_id:ChIJS0Da_RduczkRgowY-kJGmeg</t>
        </is>
      </c>
    </row>
    <row r="1653">
      <c r="A1653" s="9" t="n">
        <v>1649</v>
      </c>
      <c r="B1653" s="9" t="inlineStr">
        <is>
          <t>Vrindavan</t>
        </is>
      </c>
      <c r="C1653" s="9" t="inlineStr">
        <is>
          <t>Vrindavan</t>
        </is>
      </c>
      <c r="D1653" s="9" t="inlineStr">
        <is>
          <t>Uttar Pradesh</t>
        </is>
      </c>
      <c r="E1653" s="9" t="inlineStr">
        <is>
          <t>India</t>
        </is>
      </c>
      <c r="F1653" s="9" t="n">
        <v>2</v>
      </c>
      <c r="G1653" s="9" t="n">
        <v>2</v>
      </c>
      <c r="H1653" s="9" t="n">
        <v>2</v>
      </c>
      <c r="I1653" s="10" t="n">
        <v>45577</v>
      </c>
      <c r="J1653" s="10" t="n">
        <v>45580</v>
      </c>
      <c r="K1653" s="9" t="n">
        <v>27.5699</v>
      </c>
      <c r="L1653" s="9" t="n">
        <v>77.65608</v>
      </c>
      <c r="M1653" s="9" t="inlineStr">
        <is>
          <t>https://www.google.com/maps/place/?q=place_id:ChIJxQruSiNtczkRZdX10guH_0E</t>
        </is>
      </c>
    </row>
    <row r="1654">
      <c r="A1654" s="9" t="n">
        <v>1650</v>
      </c>
      <c r="B1654" s="9" t="inlineStr">
        <is>
          <t>Vrindavan</t>
        </is>
      </c>
      <c r="C1654" s="9" t="inlineStr">
        <is>
          <t>Vrindavan</t>
        </is>
      </c>
      <c r="D1654" s="9" t="inlineStr">
        <is>
          <t>Uttar Pradesh</t>
        </is>
      </c>
      <c r="E1654" s="9" t="inlineStr">
        <is>
          <t>India</t>
        </is>
      </c>
      <c r="F1654" s="9" t="n">
        <v>1</v>
      </c>
      <c r="G1654" s="9" t="n">
        <v>1</v>
      </c>
      <c r="H1654" s="9" t="n">
        <v>1</v>
      </c>
      <c r="I1654" s="10" t="n">
        <v>42983</v>
      </c>
      <c r="J1654" s="10" t="n">
        <v>42983</v>
      </c>
      <c r="K1654" s="9" t="n">
        <v>27.57841</v>
      </c>
      <c r="L1654" s="9" t="n">
        <v>77.68819999999999</v>
      </c>
      <c r="M1654" s="9" t="inlineStr">
        <is>
          <t>https://www.google.com/maps/place/?q=place_id:ChIJYyUmpjBuczkRKitL2g5Qags</t>
        </is>
      </c>
    </row>
    <row r="1655">
      <c r="A1655" s="9" t="n">
        <v>1651</v>
      </c>
      <c r="B1655" s="9" t="inlineStr">
        <is>
          <t>Vrindavan</t>
        </is>
      </c>
      <c r="C1655" s="9" t="inlineStr">
        <is>
          <t>Vrindavan</t>
        </is>
      </c>
      <c r="D1655" s="9" t="inlineStr">
        <is>
          <t>Uttar Pradesh</t>
        </is>
      </c>
      <c r="E1655" s="9" t="inlineStr">
        <is>
          <t>India</t>
        </is>
      </c>
      <c r="F1655" s="9" t="n">
        <v>1</v>
      </c>
      <c r="G1655" s="9" t="n">
        <v>1</v>
      </c>
      <c r="H1655" s="9" t="n">
        <v>1</v>
      </c>
      <c r="I1655" s="10" t="n">
        <v>43003</v>
      </c>
      <c r="J1655" s="10" t="n">
        <v>43003</v>
      </c>
      <c r="K1655" s="9" t="n">
        <v>27.58234</v>
      </c>
      <c r="L1655" s="9" t="n">
        <v>77.69508999999999</v>
      </c>
      <c r="M1655" s="9" t="inlineStr">
        <is>
          <t>https://www.google.com/maps/place/?q=place_id:ChIJX1T0NTRuczkR0jHyhp6VgYU</t>
        </is>
      </c>
    </row>
    <row r="1656">
      <c r="A1656" s="9" t="n">
        <v>1652</v>
      </c>
      <c r="B1656" s="9" t="inlineStr">
        <is>
          <t>Vrindavan</t>
        </is>
      </c>
      <c r="C1656" s="9" t="inlineStr">
        <is>
          <t>Vrindavan</t>
        </is>
      </c>
      <c r="D1656" s="9" t="inlineStr">
        <is>
          <t>Uttar Pradesh</t>
        </is>
      </c>
      <c r="E1656" s="9" t="inlineStr">
        <is>
          <t>India</t>
        </is>
      </c>
      <c r="F1656" s="9" t="n">
        <v>1</v>
      </c>
      <c r="G1656" s="9" t="n">
        <v>1</v>
      </c>
      <c r="H1656" s="9" t="n">
        <v>1</v>
      </c>
      <c r="I1656" s="10" t="n">
        <v>43003</v>
      </c>
      <c r="J1656" s="10" t="n">
        <v>43003</v>
      </c>
      <c r="K1656" s="9" t="n">
        <v>27.5822</v>
      </c>
      <c r="L1656" s="9" t="n">
        <v>77.70191</v>
      </c>
      <c r="M1656" s="9" t="inlineStr">
        <is>
          <t>https://www.google.com/maps/place/?q=place_id:ChIJ1X6VpstvczkRiqeoIB8klqk</t>
        </is>
      </c>
    </row>
    <row r="1657">
      <c r="A1657" s="9" t="n">
        <v>1653</v>
      </c>
      <c r="B1657" s="9" t="inlineStr">
        <is>
          <t>Vrindavan</t>
        </is>
      </c>
      <c r="C1657" s="9" t="inlineStr">
        <is>
          <t>Vrindavan</t>
        </is>
      </c>
      <c r="D1657" s="9" t="inlineStr">
        <is>
          <t>Uttar Pradesh</t>
        </is>
      </c>
      <c r="E1657" s="9" t="inlineStr">
        <is>
          <t>India</t>
        </is>
      </c>
      <c r="F1657" s="9" t="n">
        <v>1</v>
      </c>
      <c r="G1657" s="9" t="n">
        <v>1</v>
      </c>
      <c r="H1657" s="9" t="n">
        <v>1</v>
      </c>
      <c r="I1657" s="10" t="n">
        <v>43370</v>
      </c>
      <c r="J1657" s="10" t="n">
        <v>43370</v>
      </c>
      <c r="K1657" s="9" t="n">
        <v>27.58269</v>
      </c>
      <c r="L1657" s="9" t="n">
        <v>77.69708</v>
      </c>
      <c r="M1657" s="9" t="inlineStr">
        <is>
          <t>https://www.google.com/maps/place/?q=place_id:ChIJUQak_TRuczkRKQODQmWOGa8</t>
        </is>
      </c>
    </row>
    <row r="1658">
      <c r="A1658" s="9" t="n">
        <v>1654</v>
      </c>
      <c r="B1658" s="9" t="inlineStr">
        <is>
          <t>Vrindavan</t>
        </is>
      </c>
      <c r="C1658" s="9" t="inlineStr">
        <is>
          <t>Vrindavan</t>
        </is>
      </c>
      <c r="D1658" s="9" t="inlineStr">
        <is>
          <t>Uttar Pradesh</t>
        </is>
      </c>
      <c r="E1658" s="9" t="inlineStr">
        <is>
          <t>India</t>
        </is>
      </c>
      <c r="F1658" s="9" t="n">
        <v>1</v>
      </c>
      <c r="G1658" s="9" t="n">
        <v>1</v>
      </c>
      <c r="H1658" s="9" t="n">
        <v>1</v>
      </c>
      <c r="I1658" s="10" t="n">
        <v>43427</v>
      </c>
      <c r="J1658" s="10" t="n">
        <v>43427</v>
      </c>
      <c r="K1658" s="9" t="n">
        <v>27.58304</v>
      </c>
      <c r="L1658" s="9" t="n">
        <v>77.69752</v>
      </c>
      <c r="M1658" s="9" t="inlineStr">
        <is>
          <t>https://www.google.com/maps/place/?q=place_id:ChIJC-YfHTVuczkRZ5oxn2OG_14</t>
        </is>
      </c>
    </row>
    <row r="1659">
      <c r="A1659" s="9" t="n">
        <v>1655</v>
      </c>
      <c r="B1659" s="9" t="inlineStr">
        <is>
          <t>Vrindavan</t>
        </is>
      </c>
      <c r="C1659" s="9" t="inlineStr">
        <is>
          <t>Vrindavan</t>
        </is>
      </c>
      <c r="D1659" s="9" t="inlineStr">
        <is>
          <t>Uttar Pradesh</t>
        </is>
      </c>
      <c r="E1659" s="9" t="inlineStr">
        <is>
          <t>India</t>
        </is>
      </c>
      <c r="F1659" s="9" t="n">
        <v>1</v>
      </c>
      <c r="G1659" s="9" t="n">
        <v>1</v>
      </c>
      <c r="H1659" s="9" t="n">
        <v>1</v>
      </c>
      <c r="I1659" s="10" t="n">
        <v>44390</v>
      </c>
      <c r="J1659" s="10" t="n">
        <v>44390</v>
      </c>
      <c r="K1659" s="9" t="n">
        <v>27.56939</v>
      </c>
      <c r="L1659" s="9" t="n">
        <v>77.65988</v>
      </c>
      <c r="M1659" s="9" t="inlineStr">
        <is>
          <t>https://www.google.com/maps/place/?q=place_id:ChIJZUT9zxZvczkRRkWQtRF8sCw</t>
        </is>
      </c>
    </row>
    <row r="1660">
      <c r="A1660" s="9" t="n">
        <v>1656</v>
      </c>
      <c r="B1660" s="9" t="inlineStr">
        <is>
          <t>Vrindavan</t>
        </is>
      </c>
      <c r="C1660" s="9" t="inlineStr">
        <is>
          <t>Vrindavan</t>
        </is>
      </c>
      <c r="D1660" s="9" t="inlineStr">
        <is>
          <t>Uttar Pradesh</t>
        </is>
      </c>
      <c r="E1660" s="9" t="inlineStr">
        <is>
          <t>India</t>
        </is>
      </c>
      <c r="F1660" s="9" t="n">
        <v>1</v>
      </c>
      <c r="G1660" s="9" t="n">
        <v>1</v>
      </c>
      <c r="H1660" s="9" t="n">
        <v>1</v>
      </c>
      <c r="I1660" s="10" t="n">
        <v>44390</v>
      </c>
      <c r="J1660" s="10" t="n">
        <v>44390</v>
      </c>
      <c r="K1660" s="9" t="n">
        <v>27.58459</v>
      </c>
      <c r="L1660" s="9" t="n">
        <v>77.70245</v>
      </c>
      <c r="M1660" s="9" t="inlineStr">
        <is>
          <t>https://www.google.com/maps/place/?q=place_id:ChIJsbm-aMpvczkRrd_Qr78kleM</t>
        </is>
      </c>
    </row>
    <row r="1661">
      <c r="A1661" s="9" t="n">
        <v>1657</v>
      </c>
      <c r="B1661" s="9" t="inlineStr">
        <is>
          <t>Vrindavan</t>
        </is>
      </c>
      <c r="C1661" s="9" t="inlineStr">
        <is>
          <t>Vrindavan</t>
        </is>
      </c>
      <c r="D1661" s="9" t="inlineStr">
        <is>
          <t>Uttar Pradesh</t>
        </is>
      </c>
      <c r="E1661" s="9" t="inlineStr">
        <is>
          <t>India</t>
        </is>
      </c>
      <c r="F1661" s="9" t="n">
        <v>1</v>
      </c>
      <c r="G1661" s="9" t="n">
        <v>1</v>
      </c>
      <c r="H1661" s="9" t="n">
        <v>1</v>
      </c>
      <c r="I1661" s="10" t="n">
        <v>44393</v>
      </c>
      <c r="J1661" s="10" t="n">
        <v>44393</v>
      </c>
      <c r="K1661" s="9" t="n">
        <v>27.58364</v>
      </c>
      <c r="L1661" s="9" t="n">
        <v>77.69738</v>
      </c>
      <c r="M1661" s="9" t="inlineStr">
        <is>
          <t>https://www.google.com/maps/place/?q=place_id:ChIJOfUHwJVvczkRzO9WkF5Rqkg</t>
        </is>
      </c>
    </row>
    <row r="1662">
      <c r="A1662" s="9" t="n">
        <v>1658</v>
      </c>
      <c r="B1662" s="9" t="inlineStr">
        <is>
          <t>Vrindavan</t>
        </is>
      </c>
      <c r="C1662" s="9" t="inlineStr">
        <is>
          <t>Vrindavan</t>
        </is>
      </c>
      <c r="D1662" s="9" t="inlineStr">
        <is>
          <t>Uttar Pradesh</t>
        </is>
      </c>
      <c r="E1662" s="9" t="inlineStr">
        <is>
          <t>India</t>
        </is>
      </c>
      <c r="F1662" s="9" t="n">
        <v>1</v>
      </c>
      <c r="G1662" s="9" t="n">
        <v>1</v>
      </c>
      <c r="H1662" s="9" t="n">
        <v>1</v>
      </c>
      <c r="I1662" s="10" t="n">
        <v>44488</v>
      </c>
      <c r="J1662" s="10" t="n">
        <v>44488</v>
      </c>
      <c r="K1662" s="9" t="n">
        <v>27.57867</v>
      </c>
      <c r="L1662" s="9" t="n">
        <v>77.69275</v>
      </c>
      <c r="M1662" s="9" t="inlineStr">
        <is>
          <t>https://www.google.com/maps/place/?q=place_id:ChIJxUUWer1vczkRmPC0I9bMp4Y</t>
        </is>
      </c>
    </row>
    <row r="1663">
      <c r="A1663" s="9" t="n">
        <v>1659</v>
      </c>
      <c r="B1663" s="9" t="inlineStr">
        <is>
          <t>Vrindavan</t>
        </is>
      </c>
      <c r="C1663" s="9" t="inlineStr">
        <is>
          <t>Vrindavan</t>
        </is>
      </c>
      <c r="D1663" s="9" t="inlineStr">
        <is>
          <t>Uttar Pradesh</t>
        </is>
      </c>
      <c r="E1663" s="9" t="inlineStr">
        <is>
          <t>India</t>
        </is>
      </c>
      <c r="F1663" s="9" t="n">
        <v>1</v>
      </c>
      <c r="G1663" s="9" t="n">
        <v>1</v>
      </c>
      <c r="H1663" s="9" t="n">
        <v>1</v>
      </c>
      <c r="I1663" s="10" t="n">
        <v>44488</v>
      </c>
      <c r="J1663" s="10" t="n">
        <v>44488</v>
      </c>
      <c r="K1663" s="9" t="n">
        <v>27.57179</v>
      </c>
      <c r="L1663" s="9" t="n">
        <v>77.67193</v>
      </c>
      <c r="M1663" s="9" t="inlineStr">
        <is>
          <t>https://www.google.com/maps/place/?q=place_id:ChIJi3HWarRvczkR8_kRBGLH7Vk</t>
        </is>
      </c>
    </row>
    <row r="1664">
      <c r="A1664" s="9" t="n">
        <v>1660</v>
      </c>
      <c r="B1664" s="9" t="inlineStr">
        <is>
          <t>Vrindavan</t>
        </is>
      </c>
      <c r="C1664" s="9" t="inlineStr">
        <is>
          <t>Vrindavan</t>
        </is>
      </c>
      <c r="D1664" s="9" t="inlineStr">
        <is>
          <t>Uttar Pradesh</t>
        </is>
      </c>
      <c r="E1664" s="9" t="inlineStr">
        <is>
          <t>India</t>
        </is>
      </c>
      <c r="F1664" s="9" t="n">
        <v>1</v>
      </c>
      <c r="G1664" s="9" t="n">
        <v>1</v>
      </c>
      <c r="H1664" s="9" t="n">
        <v>1</v>
      </c>
      <c r="I1664" s="10" t="n">
        <v>44489</v>
      </c>
      <c r="J1664" s="10" t="n">
        <v>44489</v>
      </c>
      <c r="K1664" s="9" t="n">
        <v>27.58143</v>
      </c>
      <c r="L1664" s="9" t="n">
        <v>77.6994</v>
      </c>
      <c r="M1664" s="9" t="inlineStr">
        <is>
          <t>https://www.google.com/maps/place/?q=place_id:ChIJIdzKsSJuczkR003hnhiNuME</t>
        </is>
      </c>
    </row>
    <row r="1665">
      <c r="A1665" s="9" t="n">
        <v>1661</v>
      </c>
      <c r="B1665" s="9" t="inlineStr">
        <is>
          <t>Vrindavan</t>
        </is>
      </c>
      <c r="C1665" s="9" t="inlineStr">
        <is>
          <t>Vrindavan</t>
        </is>
      </c>
      <c r="D1665" s="9" t="inlineStr">
        <is>
          <t>Uttar Pradesh</t>
        </is>
      </c>
      <c r="E1665" s="9" t="inlineStr">
        <is>
          <t>India</t>
        </is>
      </c>
      <c r="F1665" s="9" t="n">
        <v>1</v>
      </c>
      <c r="G1665" s="9" t="n">
        <v>1</v>
      </c>
      <c r="H1665" s="9" t="n">
        <v>1</v>
      </c>
      <c r="I1665" s="10" t="n">
        <v>44489</v>
      </c>
      <c r="J1665" s="10" t="n">
        <v>44489</v>
      </c>
      <c r="K1665" s="9" t="n">
        <v>27.5833</v>
      </c>
      <c r="L1665" s="9" t="n">
        <v>77.70140000000001</v>
      </c>
      <c r="M1665" s="9" t="inlineStr">
        <is>
          <t>https://www.google.com/maps/place/?q=place_id:ChIJdXsb48pvczkRUvLEDOI06mo</t>
        </is>
      </c>
    </row>
    <row r="1666">
      <c r="A1666" s="9" t="n">
        <v>1662</v>
      </c>
      <c r="B1666" s="9" t="inlineStr">
        <is>
          <t>Vrindavan</t>
        </is>
      </c>
      <c r="C1666" s="9" t="inlineStr">
        <is>
          <t>Vrindavan</t>
        </is>
      </c>
      <c r="D1666" s="9" t="inlineStr">
        <is>
          <t>Uttar Pradesh</t>
        </is>
      </c>
      <c r="E1666" s="9" t="inlineStr">
        <is>
          <t>India</t>
        </is>
      </c>
      <c r="F1666" s="9" t="n">
        <v>1</v>
      </c>
      <c r="G1666" s="9" t="n">
        <v>1</v>
      </c>
      <c r="H1666" s="9" t="n">
        <v>1</v>
      </c>
      <c r="I1666" s="10" t="n">
        <v>44490</v>
      </c>
      <c r="J1666" s="10" t="n">
        <v>44490</v>
      </c>
      <c r="K1666" s="9" t="n">
        <v>27.5691</v>
      </c>
      <c r="L1666" s="9" t="n">
        <v>77.66152</v>
      </c>
      <c r="M1666" s="9" t="inlineStr">
        <is>
          <t>https://www.google.com/maps/place/?q=place_id:ChIJDxi3pAVuczkRqYvevTT6I-g</t>
        </is>
      </c>
    </row>
    <row r="1667">
      <c r="A1667" s="9" t="n">
        <v>1663</v>
      </c>
      <c r="B1667" s="9" t="inlineStr">
        <is>
          <t>Vrindavan</t>
        </is>
      </c>
      <c r="C1667" s="9" t="inlineStr">
        <is>
          <t>Vrindavan</t>
        </is>
      </c>
      <c r="D1667" s="9" t="inlineStr">
        <is>
          <t>Uttar Pradesh</t>
        </is>
      </c>
      <c r="E1667" s="9" t="inlineStr">
        <is>
          <t>India</t>
        </is>
      </c>
      <c r="F1667" s="9" t="n">
        <v>1</v>
      </c>
      <c r="G1667" s="9" t="n">
        <v>1</v>
      </c>
      <c r="H1667" s="9" t="n">
        <v>1</v>
      </c>
      <c r="I1667" s="10" t="n">
        <v>44492</v>
      </c>
      <c r="J1667" s="10" t="n">
        <v>44492</v>
      </c>
      <c r="K1667" s="9" t="n">
        <v>27.60931</v>
      </c>
      <c r="L1667" s="9" t="n">
        <v>77.5887</v>
      </c>
      <c r="M1667" s="9" t="inlineStr">
        <is>
          <t>https://www.google.com/maps/place/?q=place_id:ChIJr8MTOOZsczkR5DnNzXoDD9U</t>
        </is>
      </c>
    </row>
    <row r="1668">
      <c r="A1668" s="9" t="n">
        <v>1664</v>
      </c>
      <c r="B1668" s="9" t="inlineStr">
        <is>
          <t>Vrindavan</t>
        </is>
      </c>
      <c r="C1668" s="9" t="inlineStr">
        <is>
          <t>Vrindavan</t>
        </is>
      </c>
      <c r="D1668" s="9" t="inlineStr">
        <is>
          <t>Uttar Pradesh</t>
        </is>
      </c>
      <c r="E1668" s="9" t="inlineStr">
        <is>
          <t>India</t>
        </is>
      </c>
      <c r="F1668" s="9" t="n">
        <v>1</v>
      </c>
      <c r="G1668" s="9" t="n">
        <v>1</v>
      </c>
      <c r="H1668" s="9" t="n">
        <v>1</v>
      </c>
      <c r="I1668" s="10" t="n">
        <v>44498</v>
      </c>
      <c r="J1668" s="10" t="n">
        <v>44498</v>
      </c>
      <c r="K1668" s="9" t="n">
        <v>27.57593</v>
      </c>
      <c r="L1668" s="9" t="n">
        <v>77.68044999999999</v>
      </c>
      <c r="M1668" s="9" t="inlineStr">
        <is>
          <t>https://www.google.com/maps/place/?q=place_id:ChIJf6nZWTxuczkROekRl0mV4Yo</t>
        </is>
      </c>
    </row>
    <row r="1669">
      <c r="A1669" s="9" t="n">
        <v>1665</v>
      </c>
      <c r="B1669" s="9" t="inlineStr">
        <is>
          <t>Vrindavan</t>
        </is>
      </c>
      <c r="C1669" s="9" t="inlineStr">
        <is>
          <t>Vrindavan</t>
        </is>
      </c>
      <c r="D1669" s="9" t="inlineStr">
        <is>
          <t>Uttar Pradesh</t>
        </is>
      </c>
      <c r="E1669" s="9" t="inlineStr">
        <is>
          <t>India</t>
        </is>
      </c>
      <c r="F1669" s="9" t="n">
        <v>1</v>
      </c>
      <c r="G1669" s="9" t="n">
        <v>1</v>
      </c>
      <c r="H1669" s="9" t="n">
        <v>1</v>
      </c>
      <c r="I1669" s="10" t="n">
        <v>44498</v>
      </c>
      <c r="J1669" s="10" t="n">
        <v>44498</v>
      </c>
      <c r="K1669" s="9" t="n">
        <v>27.57829</v>
      </c>
      <c r="L1669" s="9" t="n">
        <v>77.68468</v>
      </c>
      <c r="M1669" s="9" t="inlineStr">
        <is>
          <t>https://www.google.com/maps/place/?q=place_id:ChIJq6qq2j1uczkRv4jxyx0UWsQ</t>
        </is>
      </c>
    </row>
    <row r="1670">
      <c r="A1670" s="9" t="n">
        <v>1666</v>
      </c>
      <c r="B1670" s="9" t="inlineStr">
        <is>
          <t>Vrindavan</t>
        </is>
      </c>
      <c r="C1670" s="9" t="inlineStr">
        <is>
          <t>Vrindavan</t>
        </is>
      </c>
      <c r="D1670" s="9" t="inlineStr">
        <is>
          <t>Uttar Pradesh</t>
        </is>
      </c>
      <c r="E1670" s="9" t="inlineStr">
        <is>
          <t>India</t>
        </is>
      </c>
      <c r="F1670" s="9" t="n">
        <v>1</v>
      </c>
      <c r="G1670" s="9" t="n">
        <v>1</v>
      </c>
      <c r="H1670" s="9" t="n">
        <v>1</v>
      </c>
      <c r="I1670" s="10" t="n">
        <v>44738</v>
      </c>
      <c r="J1670" s="10" t="n">
        <v>44738</v>
      </c>
      <c r="K1670" s="9" t="n">
        <v>27.58275</v>
      </c>
      <c r="L1670" s="9" t="n">
        <v>77.6972</v>
      </c>
      <c r="M1670" s="9" t="inlineStr">
        <is>
          <t>https://www.google.com/maps/place/?q=place_id:ChIJeWjAV99vczkRGds11Xc-fJ0</t>
        </is>
      </c>
    </row>
    <row r="1671">
      <c r="A1671" s="9" t="n">
        <v>1667</v>
      </c>
      <c r="B1671" s="9" t="inlineStr">
        <is>
          <t>Vrindavan</t>
        </is>
      </c>
      <c r="C1671" s="9" t="inlineStr">
        <is>
          <t>Vrindavan</t>
        </is>
      </c>
      <c r="D1671" s="9" t="inlineStr">
        <is>
          <t>Uttar Pradesh</t>
        </is>
      </c>
      <c r="E1671" s="9" t="inlineStr">
        <is>
          <t>India</t>
        </is>
      </c>
      <c r="F1671" s="9" t="n">
        <v>1</v>
      </c>
      <c r="G1671" s="9" t="n">
        <v>1</v>
      </c>
      <c r="H1671" s="9" t="n">
        <v>1</v>
      </c>
      <c r="I1671" s="10" t="n">
        <v>44739</v>
      </c>
      <c r="J1671" s="10" t="n">
        <v>44739</v>
      </c>
      <c r="K1671" s="9" t="n">
        <v>27.57152</v>
      </c>
      <c r="L1671" s="9" t="n">
        <v>77.67627</v>
      </c>
      <c r="M1671" s="9" t="inlineStr">
        <is>
          <t>https://www.google.com/maps/place/?q=place_id:ChIJBwniiDpuczkRBhorfWsv-Ro</t>
        </is>
      </c>
    </row>
    <row r="1672">
      <c r="A1672" s="9" t="n">
        <v>1668</v>
      </c>
      <c r="B1672" s="9" t="inlineStr">
        <is>
          <t>Vrindavan</t>
        </is>
      </c>
      <c r="C1672" s="9" t="inlineStr">
        <is>
          <t>Vrindavan</t>
        </is>
      </c>
      <c r="D1672" s="9" t="inlineStr">
        <is>
          <t>Uttar Pradesh</t>
        </is>
      </c>
      <c r="E1672" s="9" t="inlineStr">
        <is>
          <t>India</t>
        </is>
      </c>
      <c r="F1672" s="9" t="n">
        <v>1</v>
      </c>
      <c r="G1672" s="9" t="n">
        <v>1</v>
      </c>
      <c r="H1672" s="9" t="n">
        <v>1</v>
      </c>
      <c r="I1672" s="10" t="n">
        <v>44740</v>
      </c>
      <c r="J1672" s="10" t="n">
        <v>44740</v>
      </c>
      <c r="K1672" s="9" t="n">
        <v>27.57216</v>
      </c>
      <c r="L1672" s="9" t="n">
        <v>77.67854</v>
      </c>
      <c r="M1672" s="9" t="inlineStr">
        <is>
          <t>https://www.google.com/maps/place/?q=place_id:ChIJVZvtKu5vczkR5qtfw9Cg5uE</t>
        </is>
      </c>
    </row>
    <row r="1673">
      <c r="A1673" s="9" t="n">
        <v>1669</v>
      </c>
      <c r="B1673" s="9" t="inlineStr">
        <is>
          <t>Vrindavan</t>
        </is>
      </c>
      <c r="C1673" s="9" t="inlineStr">
        <is>
          <t>Vrindavan</t>
        </is>
      </c>
      <c r="D1673" s="9" t="inlineStr">
        <is>
          <t>Uttar Pradesh</t>
        </is>
      </c>
      <c r="E1673" s="9" t="inlineStr">
        <is>
          <t>India</t>
        </is>
      </c>
      <c r="F1673" s="9" t="n">
        <v>1</v>
      </c>
      <c r="G1673" s="9" t="n">
        <v>1</v>
      </c>
      <c r="H1673" s="9" t="n">
        <v>1</v>
      </c>
      <c r="I1673" s="10" t="n">
        <v>44862</v>
      </c>
      <c r="J1673" s="10" t="n">
        <v>44862</v>
      </c>
      <c r="K1673" s="9" t="n">
        <v>27.58015</v>
      </c>
      <c r="L1673" s="9" t="n">
        <v>77.70108</v>
      </c>
      <c r="M1673" s="9" t="inlineStr">
        <is>
          <t>https://www.google.com/maps/place/?q=place_id:ChIJT0dansxvczkRQr4igP2azfM</t>
        </is>
      </c>
    </row>
    <row r="1674">
      <c r="A1674" s="9" t="n">
        <v>1670</v>
      </c>
      <c r="B1674" s="9" t="inlineStr">
        <is>
          <t>Vrindavan</t>
        </is>
      </c>
      <c r="C1674" s="9" t="inlineStr">
        <is>
          <t>Vrindavan</t>
        </is>
      </c>
      <c r="D1674" s="9" t="inlineStr">
        <is>
          <t>Uttar Pradesh</t>
        </is>
      </c>
      <c r="E1674" s="9" t="inlineStr">
        <is>
          <t>India</t>
        </is>
      </c>
      <c r="F1674" s="9" t="n">
        <v>1</v>
      </c>
      <c r="G1674" s="9" t="n">
        <v>1</v>
      </c>
      <c r="H1674" s="9" t="n">
        <v>1</v>
      </c>
      <c r="I1674" s="10" t="n">
        <v>44863</v>
      </c>
      <c r="J1674" s="10" t="n">
        <v>44863</v>
      </c>
      <c r="K1674" s="9" t="n">
        <v>27.5855</v>
      </c>
      <c r="L1674" s="9" t="n">
        <v>77.69656000000001</v>
      </c>
      <c r="M1674" s="9" t="inlineStr">
        <is>
          <t>https://www.google.com/maps/place/?q=place_id:ChIJ4Y93pT1vczkRpf6CE0339Tc</t>
        </is>
      </c>
    </row>
    <row r="1675">
      <c r="A1675" s="9" t="n">
        <v>1671</v>
      </c>
      <c r="B1675" s="9" t="inlineStr">
        <is>
          <t>Vrindavan</t>
        </is>
      </c>
      <c r="C1675" s="9" t="inlineStr">
        <is>
          <t>Vrindavan</t>
        </is>
      </c>
      <c r="D1675" s="9" t="inlineStr">
        <is>
          <t>Uttar Pradesh</t>
        </is>
      </c>
      <c r="E1675" s="9" t="inlineStr">
        <is>
          <t>India</t>
        </is>
      </c>
      <c r="F1675" s="9" t="n">
        <v>1</v>
      </c>
      <c r="G1675" s="9" t="n">
        <v>1</v>
      </c>
      <c r="H1675" s="9" t="n">
        <v>1</v>
      </c>
      <c r="I1675" s="10" t="n">
        <v>44863</v>
      </c>
      <c r="J1675" s="10" t="n">
        <v>44863</v>
      </c>
      <c r="K1675" s="9" t="n">
        <v>27.58082</v>
      </c>
      <c r="L1675" s="9" t="n">
        <v>77.6914</v>
      </c>
      <c r="M1675" s="9" t="inlineStr">
        <is>
          <t>https://www.google.com/maps/place/?q=place_id:ChIJZ-8RXzRuczkRpawzfGIv_Ug</t>
        </is>
      </c>
    </row>
    <row r="1676">
      <c r="A1676" s="9" t="n">
        <v>1672</v>
      </c>
      <c r="B1676" s="9" t="inlineStr">
        <is>
          <t>Vrindavan</t>
        </is>
      </c>
      <c r="C1676" s="9" t="inlineStr">
        <is>
          <t>Vrindavan</t>
        </is>
      </c>
      <c r="D1676" s="9" t="inlineStr">
        <is>
          <t>Uttar Pradesh</t>
        </is>
      </c>
      <c r="E1676" s="9" t="inlineStr">
        <is>
          <t>India</t>
        </is>
      </c>
      <c r="F1676" s="9" t="n">
        <v>1</v>
      </c>
      <c r="G1676" s="9" t="n">
        <v>1</v>
      </c>
      <c r="H1676" s="9" t="n">
        <v>1</v>
      </c>
      <c r="I1676" s="10" t="n">
        <v>45577</v>
      </c>
      <c r="J1676" s="10" t="n">
        <v>45577</v>
      </c>
      <c r="K1676" s="9" t="n">
        <v>27.57338</v>
      </c>
      <c r="L1676" s="9" t="n">
        <v>77.67834000000001</v>
      </c>
      <c r="M1676" s="9" t="inlineStr">
        <is>
          <t>https://www.google.com/maps/place/?q=place_id:ChIJvSviOz1uczkRcEPix0ddzOQ</t>
        </is>
      </c>
    </row>
    <row r="1677">
      <c r="A1677" s="9" t="n">
        <v>1673</v>
      </c>
      <c r="B1677" s="9" t="inlineStr">
        <is>
          <t>Vrindavan</t>
        </is>
      </c>
      <c r="C1677" s="9" t="inlineStr">
        <is>
          <t>Vrindavan</t>
        </is>
      </c>
      <c r="D1677" s="9" t="inlineStr">
        <is>
          <t>Uttar Pradesh</t>
        </is>
      </c>
      <c r="E1677" s="9" t="inlineStr">
        <is>
          <t>India</t>
        </is>
      </c>
      <c r="F1677" s="9" t="n">
        <v>1</v>
      </c>
      <c r="G1677" s="9" t="n">
        <v>1</v>
      </c>
      <c r="H1677" s="9" t="n">
        <v>1</v>
      </c>
      <c r="I1677" s="10" t="n">
        <v>45580</v>
      </c>
      <c r="J1677" s="10" t="n">
        <v>45580</v>
      </c>
      <c r="K1677" s="9" t="n">
        <v>27.5663</v>
      </c>
      <c r="L1677" s="9" t="n">
        <v>77.66175</v>
      </c>
      <c r="M1677" s="9" t="inlineStr">
        <is>
          <t>https://www.google.com/maps/place/?q=place_id:ChIJWTFyExRvczkRdKBiGGbpO1k</t>
        </is>
      </c>
    </row>
    <row r="1678">
      <c r="A1678" s="9" t="n">
        <v>1674</v>
      </c>
      <c r="B1678" s="9" t="inlineStr">
        <is>
          <t>Vrindavan</t>
        </is>
      </c>
      <c r="C1678" s="9" t="inlineStr">
        <is>
          <t>Vrindavan</t>
        </is>
      </c>
      <c r="D1678" s="9" t="inlineStr">
        <is>
          <t>Uttar Pradesh</t>
        </is>
      </c>
      <c r="E1678" s="9" t="inlineStr">
        <is>
          <t>India</t>
        </is>
      </c>
      <c r="F1678" s="9" t="n">
        <v>1</v>
      </c>
      <c r="G1678" s="9" t="n">
        <v>1</v>
      </c>
      <c r="H1678" s="9" t="n">
        <v>1</v>
      </c>
      <c r="I1678" s="10" t="n">
        <v>45582</v>
      </c>
      <c r="J1678" s="10" t="n">
        <v>45582</v>
      </c>
      <c r="K1678" s="9" t="n">
        <v>27.56918</v>
      </c>
      <c r="L1678" s="9" t="n">
        <v>77.62075</v>
      </c>
      <c r="M1678" s="9" t="inlineStr">
        <is>
          <t>https://www.google.com/maps/place/?q=place_id:ChIJpwYHlHltczkRD8Tlz1JO6eU</t>
        </is>
      </c>
    </row>
    <row r="1679">
      <c r="A1679" s="9" t="n">
        <v>1675</v>
      </c>
      <c r="B1679" s="9" t="inlineStr">
        <is>
          <t>Vrindavan</t>
        </is>
      </c>
      <c r="C1679" s="9" t="inlineStr">
        <is>
          <t>Vrindavan</t>
        </is>
      </c>
      <c r="D1679" s="9" t="inlineStr">
        <is>
          <t>Uttar Pradesh</t>
        </is>
      </c>
      <c r="E1679" s="9" t="inlineStr">
        <is>
          <t>India</t>
        </is>
      </c>
      <c r="F1679" s="9" t="n">
        <v>1</v>
      </c>
      <c r="G1679" s="9" t="n">
        <v>1</v>
      </c>
      <c r="H1679" s="9" t="n">
        <v>1</v>
      </c>
      <c r="I1679" s="10" t="n">
        <v>45582</v>
      </c>
      <c r="J1679" s="10" t="n">
        <v>45582</v>
      </c>
      <c r="K1679" s="9" t="n">
        <v>27.60175</v>
      </c>
      <c r="L1679" s="9" t="n">
        <v>77.68469</v>
      </c>
      <c r="M1679" s="9" t="inlineStr">
        <is>
          <t>https://www.google.com/maps/place/?q=place_id:ChIJiaUyJVpuczkRGmSRnKKRL-0</t>
        </is>
      </c>
    </row>
    <row r="1680">
      <c r="A1680" s="9" t="n">
        <v>1676</v>
      </c>
      <c r="B1680" s="9" t="inlineStr">
        <is>
          <t>Vrindavan</t>
        </is>
      </c>
      <c r="C1680" s="9" t="inlineStr">
        <is>
          <t>Vrindavan</t>
        </is>
      </c>
      <c r="D1680" s="9" t="inlineStr">
        <is>
          <t>Uttar Pradesh</t>
        </is>
      </c>
      <c r="E1680" s="9" t="inlineStr">
        <is>
          <t>India</t>
        </is>
      </c>
      <c r="F1680" s="9" t="n">
        <v>1</v>
      </c>
      <c r="G1680" s="9" t="n">
        <v>1</v>
      </c>
      <c r="H1680" s="9" t="n">
        <v>1</v>
      </c>
      <c r="I1680" s="10" t="n">
        <v>45582</v>
      </c>
      <c r="J1680" s="10" t="n">
        <v>45582</v>
      </c>
      <c r="K1680" s="9" t="n">
        <v>27.65595</v>
      </c>
      <c r="L1680" s="9" t="n">
        <v>77.70747</v>
      </c>
      <c r="M1680" s="9" t="inlineStr">
        <is>
          <t>https://www.google.com/maps/place/?q=place_id:ChIJI64-vI9pczkRqBol4Y-6yFE</t>
        </is>
      </c>
    </row>
    <row r="1681">
      <c r="A1681" s="9" t="n">
        <v>1677</v>
      </c>
      <c r="B1681" s="9" t="inlineStr">
        <is>
          <t>Rishikesh</t>
        </is>
      </c>
      <c r="C1681" s="9" t="inlineStr">
        <is>
          <t>Dehra Dun</t>
        </is>
      </c>
      <c r="D1681" s="9" t="inlineStr">
        <is>
          <t>Uttarakhand</t>
        </is>
      </c>
      <c r="E1681" s="9" t="inlineStr">
        <is>
          <t>India</t>
        </is>
      </c>
      <c r="F1681" s="9" t="n">
        <v>19</v>
      </c>
      <c r="G1681" s="9" t="n">
        <v>18</v>
      </c>
      <c r="H1681" s="9" t="n">
        <v>13</v>
      </c>
      <c r="I1681" s="10" t="n">
        <v>44698</v>
      </c>
      <c r="J1681" s="10" t="n">
        <v>45463</v>
      </c>
      <c r="K1681" s="9" t="n">
        <v>30.19513</v>
      </c>
      <c r="L1681" s="9" t="n">
        <v>78.1921</v>
      </c>
      <c r="M1681" s="9" t="inlineStr">
        <is>
          <t>https://www.google.com/maps/place/?q=place_id:ChIJ5Yt_T8slCTkR92EfzInAGHA</t>
        </is>
      </c>
    </row>
    <row r="1682">
      <c r="A1682" s="9" t="n">
        <v>1678</v>
      </c>
      <c r="B1682" s="9" t="inlineStr">
        <is>
          <t>Raipur</t>
        </is>
      </c>
      <c r="C1682" s="9" t="inlineStr">
        <is>
          <t>Dehra Dun</t>
        </is>
      </c>
      <c r="D1682" s="9" t="inlineStr">
        <is>
          <t>Uttarakhand</t>
        </is>
      </c>
      <c r="E1682" s="9" t="inlineStr">
        <is>
          <t>India</t>
        </is>
      </c>
      <c r="F1682" s="9" t="n">
        <v>11</v>
      </c>
      <c r="G1682" s="9" t="n">
        <v>15</v>
      </c>
      <c r="H1682" s="9" t="n">
        <v>8</v>
      </c>
      <c r="I1682" s="10" t="n">
        <v>44708</v>
      </c>
      <c r="J1682" s="10" t="n">
        <v>45463</v>
      </c>
      <c r="K1682" s="9" t="n">
        <v>30.37764</v>
      </c>
      <c r="L1682" s="9" t="n">
        <v>78.07702999999999</v>
      </c>
      <c r="M1682" s="9" t="inlineStr">
        <is>
          <t>https://www.google.com/maps/place/?q=place_id:ChIJG2p_WvrXCDkRO3uD4MN708w</t>
        </is>
      </c>
    </row>
    <row r="1683">
      <c r="A1683" s="9" t="n">
        <v>1679</v>
      </c>
      <c r="B1683" s="9" t="inlineStr">
        <is>
          <t>Dehra Dun</t>
        </is>
      </c>
      <c r="C1683" s="9" t="inlineStr">
        <is>
          <t>Dehra Dun</t>
        </is>
      </c>
      <c r="D1683" s="9" t="inlineStr">
        <is>
          <t>Uttarakhand</t>
        </is>
      </c>
      <c r="E1683" s="9" t="inlineStr">
        <is>
          <t>India</t>
        </is>
      </c>
      <c r="F1683" s="9" t="n">
        <v>6</v>
      </c>
      <c r="G1683" s="9" t="n">
        <v>16</v>
      </c>
      <c r="H1683" s="9" t="n">
        <v>2</v>
      </c>
      <c r="I1683" s="10" t="n">
        <v>45425</v>
      </c>
      <c r="J1683" s="10" t="n">
        <v>45442</v>
      </c>
      <c r="K1683" s="9" t="n">
        <v>30.32571</v>
      </c>
      <c r="L1683" s="9" t="n">
        <v>78.0005</v>
      </c>
      <c r="M1683" s="9" t="inlineStr">
        <is>
          <t>https://www.google.com/maps/place/?q=place_id:ChIJyxZuvBMqCTkRRIR8MlcZq-4</t>
        </is>
      </c>
    </row>
    <row r="1684">
      <c r="A1684" s="9" t="n">
        <v>1680</v>
      </c>
      <c r="B1684" s="9" t="inlineStr">
        <is>
          <t>Dehra Dun</t>
        </is>
      </c>
      <c r="C1684" s="9" t="inlineStr">
        <is>
          <t>Dehra Dun</t>
        </is>
      </c>
      <c r="D1684" s="9" t="inlineStr">
        <is>
          <t>Uttarakhand</t>
        </is>
      </c>
      <c r="E1684" s="9" t="inlineStr">
        <is>
          <t>India</t>
        </is>
      </c>
      <c r="F1684" s="9" t="n">
        <v>5</v>
      </c>
      <c r="G1684" s="9" t="n">
        <v>5</v>
      </c>
      <c r="H1684" s="9" t="n">
        <v>2</v>
      </c>
      <c r="I1684" s="10" t="n">
        <v>44710</v>
      </c>
      <c r="J1684" s="10" t="n">
        <v>45427</v>
      </c>
      <c r="K1684" s="9" t="n">
        <v>30.36647</v>
      </c>
      <c r="L1684" s="9" t="n">
        <v>78.07031000000001</v>
      </c>
      <c r="M1684" s="9" t="inlineStr">
        <is>
          <t>https://www.google.com/maps/place/?q=place_id:ChIJG51u3MvXCDkRt71ww_r5gnA</t>
        </is>
      </c>
    </row>
    <row r="1685">
      <c r="A1685" s="9" t="n">
        <v>1681</v>
      </c>
      <c r="B1685" s="9" t="inlineStr">
        <is>
          <t>Rishikesh</t>
        </is>
      </c>
      <c r="C1685" s="9" t="inlineStr">
        <is>
          <t>Dehra Dun</t>
        </is>
      </c>
      <c r="D1685" s="9" t="inlineStr">
        <is>
          <t>Uttarakhand</t>
        </is>
      </c>
      <c r="E1685" s="9" t="inlineStr">
        <is>
          <t>India</t>
        </is>
      </c>
      <c r="F1685" s="9" t="n">
        <v>4</v>
      </c>
      <c r="G1685" s="9" t="n">
        <v>4</v>
      </c>
      <c r="H1685" s="9" t="n">
        <v>4</v>
      </c>
      <c r="I1685" s="10" t="n">
        <v>43617</v>
      </c>
      <c r="J1685" s="10" t="n">
        <v>43733</v>
      </c>
      <c r="K1685" s="9" t="n">
        <v>30.19492</v>
      </c>
      <c r="L1685" s="9" t="n">
        <v>78.19204999999999</v>
      </c>
      <c r="M1685" s="9" t="inlineStr">
        <is>
          <t>https://www.google.com/maps/place/?q=place_id:ChIJzZKoP7gkCTkR6MlWHxp5In0</t>
        </is>
      </c>
    </row>
    <row r="1686">
      <c r="A1686" s="9" t="n">
        <v>1682</v>
      </c>
      <c r="B1686" s="9" t="inlineStr">
        <is>
          <t>Raipur</t>
        </is>
      </c>
      <c r="C1686" s="9" t="inlineStr">
        <is>
          <t>Dehra Dun</t>
        </is>
      </c>
      <c r="D1686" s="9" t="inlineStr">
        <is>
          <t>Uttarakhand</t>
        </is>
      </c>
      <c r="E1686" s="9" t="inlineStr">
        <is>
          <t>India</t>
        </is>
      </c>
      <c r="F1686" s="9" t="n">
        <v>4</v>
      </c>
      <c r="G1686" s="9" t="n">
        <v>4</v>
      </c>
      <c r="H1686" s="9" t="n">
        <v>4</v>
      </c>
      <c r="I1686" s="10" t="n">
        <v>45425</v>
      </c>
      <c r="J1686" s="10" t="n">
        <v>45459</v>
      </c>
      <c r="K1686" s="9" t="n">
        <v>30.37539</v>
      </c>
      <c r="L1686" s="9" t="n">
        <v>78.09799</v>
      </c>
      <c r="M1686" s="9" t="inlineStr">
        <is>
          <t>https://www.google.com/maps/place/?q=place_id:ChIJnbaDnKjXCDkRV69jXClXmIQ</t>
        </is>
      </c>
    </row>
    <row r="1687">
      <c r="A1687" s="9" t="n">
        <v>1683</v>
      </c>
      <c r="B1687" s="9" t="inlineStr">
        <is>
          <t>Raipur</t>
        </is>
      </c>
      <c r="C1687" s="9" t="inlineStr">
        <is>
          <t>Dehra Dun</t>
        </is>
      </c>
      <c r="D1687" s="9" t="inlineStr">
        <is>
          <t>Uttarakhand</t>
        </is>
      </c>
      <c r="E1687" s="9" t="inlineStr">
        <is>
          <t>India</t>
        </is>
      </c>
      <c r="F1687" s="9" t="n">
        <v>2</v>
      </c>
      <c r="G1687" s="9" t="n">
        <v>2</v>
      </c>
      <c r="H1687" s="9" t="n">
        <v>2</v>
      </c>
      <c r="I1687" s="10" t="n">
        <v>44710</v>
      </c>
      <c r="J1687" s="10" t="n">
        <v>45078</v>
      </c>
      <c r="K1687" s="9" t="n">
        <v>30.37553</v>
      </c>
      <c r="L1687" s="9" t="n">
        <v>78.09805</v>
      </c>
      <c r="M1687" s="9" t="inlineStr">
        <is>
          <t>https://www.google.com/maps/place/?q=place_id:ChIJXRNyYZLXCDkRqXuLXfaqcno</t>
        </is>
      </c>
    </row>
    <row r="1688">
      <c r="A1688" s="9" t="n">
        <v>1684</v>
      </c>
      <c r="B1688" s="9" t="inlineStr">
        <is>
          <t>Dehra Dun</t>
        </is>
      </c>
      <c r="C1688" s="9" t="inlineStr">
        <is>
          <t>Dehra Dun</t>
        </is>
      </c>
      <c r="D1688" s="9" t="inlineStr">
        <is>
          <t>Uttarakhand</t>
        </is>
      </c>
      <c r="E1688" s="9" t="inlineStr">
        <is>
          <t>India</t>
        </is>
      </c>
      <c r="F1688" s="9" t="n">
        <v>2</v>
      </c>
      <c r="G1688" s="9" t="n">
        <v>2</v>
      </c>
      <c r="H1688" s="9" t="n">
        <v>2</v>
      </c>
      <c r="I1688" s="10" t="n">
        <v>45426</v>
      </c>
      <c r="J1688" s="10" t="n">
        <v>45463</v>
      </c>
      <c r="K1688" s="9" t="n">
        <v>30.3425</v>
      </c>
      <c r="L1688" s="9" t="n">
        <v>77.94865</v>
      </c>
      <c r="M1688" s="9" t="inlineStr">
        <is>
          <t>https://www.google.com/maps/place/?q=place_id:ChIJHVsTxufVCDkRaSeNlPK3esE</t>
        </is>
      </c>
    </row>
    <row r="1689">
      <c r="A1689" s="9" t="n">
        <v>1685</v>
      </c>
      <c r="B1689" s="9" t="inlineStr">
        <is>
          <t>Mussoorie</t>
        </is>
      </c>
      <c r="C1689" s="9" t="inlineStr">
        <is>
          <t>Dehra Dun</t>
        </is>
      </c>
      <c r="D1689" s="9" t="inlineStr">
        <is>
          <t>Uttarakhand</t>
        </is>
      </c>
      <c r="E1689" s="9" t="inlineStr">
        <is>
          <t>India</t>
        </is>
      </c>
      <c r="F1689" s="9" t="n">
        <v>2</v>
      </c>
      <c r="G1689" s="9" t="n">
        <v>2</v>
      </c>
      <c r="H1689" s="9" t="n">
        <v>2</v>
      </c>
      <c r="I1689" s="10" t="n">
        <v>45430</v>
      </c>
      <c r="J1689" s="10" t="n">
        <v>45447</v>
      </c>
      <c r="K1689" s="9" t="n">
        <v>30.39125</v>
      </c>
      <c r="L1689" s="9" t="n">
        <v>78.05714999999999</v>
      </c>
      <c r="M1689" s="9" t="inlineStr">
        <is>
          <t>https://www.google.com/maps/place/?q=place_id:ChIJ11xOXfTXCDkREVC2u2VnLdk</t>
        </is>
      </c>
    </row>
    <row r="1690">
      <c r="A1690" s="9" t="n">
        <v>1686</v>
      </c>
      <c r="B1690" s="9" t="inlineStr">
        <is>
          <t>Dehra Dun</t>
        </is>
      </c>
      <c r="C1690" s="9" t="inlineStr">
        <is>
          <t>Dehra Dun</t>
        </is>
      </c>
      <c r="D1690" s="9" t="inlineStr">
        <is>
          <t>Uttarakhand</t>
        </is>
      </c>
      <c r="E1690" s="9" t="inlineStr">
        <is>
          <t>India</t>
        </is>
      </c>
      <c r="F1690" s="9" t="n">
        <v>2</v>
      </c>
      <c r="G1690" s="9" t="n">
        <v>14</v>
      </c>
      <c r="H1690" s="9" t="n">
        <v>2</v>
      </c>
      <c r="I1690" s="10" t="n">
        <v>45442</v>
      </c>
      <c r="J1690" s="10" t="n">
        <v>45458</v>
      </c>
      <c r="K1690" s="9" t="n">
        <v>30.34322</v>
      </c>
      <c r="L1690" s="9" t="n">
        <v>77.94947999999999</v>
      </c>
      <c r="M1690" s="9" t="inlineStr">
        <is>
          <t>https://www.google.com/maps/place/?q=place_id:ChIJnxg1wF3VCDkRArMK3hIMORY</t>
        </is>
      </c>
    </row>
    <row r="1691">
      <c r="A1691" s="9" t="n">
        <v>1687</v>
      </c>
      <c r="B1691" s="9" t="inlineStr">
        <is>
          <t>Rishikesh</t>
        </is>
      </c>
      <c r="C1691" s="9" t="inlineStr">
        <is>
          <t>Dehra Dun</t>
        </is>
      </c>
      <c r="D1691" s="9" t="inlineStr">
        <is>
          <t>Uttarakhand</t>
        </is>
      </c>
      <c r="E1691" s="9" t="inlineStr">
        <is>
          <t>India</t>
        </is>
      </c>
      <c r="F1691" s="9" t="n">
        <v>1</v>
      </c>
      <c r="G1691" s="9" t="n">
        <v>1</v>
      </c>
      <c r="H1691" s="9" t="n">
        <v>1</v>
      </c>
      <c r="I1691" s="10" t="n">
        <v>43645</v>
      </c>
      <c r="J1691" s="10" t="n">
        <v>43645</v>
      </c>
      <c r="K1691" s="9" t="n">
        <v>30.18802</v>
      </c>
      <c r="L1691" s="9" t="n">
        <v>78.20341000000001</v>
      </c>
      <c r="M1691" s="9" t="inlineStr">
        <is>
          <t>https://www.google.com/maps/place/?q=place_id:ChIJzd5yClcjCTkRzQkSvzuZeeM</t>
        </is>
      </c>
    </row>
    <row r="1692">
      <c r="A1692" s="9" t="n">
        <v>1688</v>
      </c>
      <c r="B1692" s="9" t="inlineStr">
        <is>
          <t>Mussoorie</t>
        </is>
      </c>
      <c r="C1692" s="9" t="inlineStr">
        <is>
          <t>Dehra Dun</t>
        </is>
      </c>
      <c r="D1692" s="9" t="inlineStr">
        <is>
          <t>Uttarakhand</t>
        </is>
      </c>
      <c r="E1692" s="9" t="inlineStr">
        <is>
          <t>India</t>
        </is>
      </c>
      <c r="F1692" s="9" t="n">
        <v>1</v>
      </c>
      <c r="G1692" s="9" t="n">
        <v>1</v>
      </c>
      <c r="H1692" s="9" t="n">
        <v>1</v>
      </c>
      <c r="I1692" s="10" t="n">
        <v>43645</v>
      </c>
      <c r="J1692" s="10" t="n">
        <v>43645</v>
      </c>
      <c r="K1692" s="9" t="n">
        <v>30.42853</v>
      </c>
      <c r="L1692" s="9" t="n">
        <v>78.07678</v>
      </c>
      <c r="M1692" s="9" t="inlineStr">
        <is>
          <t>https://www.google.com/maps/place/?q=place_id:ChIJcxm1HTDXCDkR-enQEmlkj7g</t>
        </is>
      </c>
    </row>
    <row r="1693">
      <c r="A1693" s="9" t="n">
        <v>1689</v>
      </c>
      <c r="B1693" s="9" t="inlineStr">
        <is>
          <t>Rishikesh</t>
        </is>
      </c>
      <c r="C1693" s="9" t="inlineStr">
        <is>
          <t>Dehra Dun</t>
        </is>
      </c>
      <c r="D1693" s="9" t="inlineStr">
        <is>
          <t>Uttarakhand</t>
        </is>
      </c>
      <c r="E1693" s="9" t="inlineStr">
        <is>
          <t>India</t>
        </is>
      </c>
      <c r="F1693" s="9" t="n">
        <v>1</v>
      </c>
      <c r="G1693" s="9" t="n">
        <v>1</v>
      </c>
      <c r="H1693" s="9" t="n">
        <v>1</v>
      </c>
      <c r="I1693" s="10" t="n">
        <v>43717</v>
      </c>
      <c r="J1693" s="10" t="n">
        <v>43717</v>
      </c>
      <c r="K1693" s="9" t="n">
        <v>30.1821</v>
      </c>
      <c r="L1693" s="9" t="n">
        <v>78.21026999999999</v>
      </c>
      <c r="M1693" s="9" t="inlineStr">
        <is>
          <t>https://www.google.com/maps/place/?q=place_id:ChIJRfXRs1MjCTkRUQ3uLuASV8c</t>
        </is>
      </c>
    </row>
    <row r="1694">
      <c r="A1694" s="9" t="n">
        <v>1690</v>
      </c>
      <c r="B1694" s="9" t="inlineStr">
        <is>
          <t>Raipur</t>
        </is>
      </c>
      <c r="C1694" s="9" t="inlineStr">
        <is>
          <t>Dehra Dun</t>
        </is>
      </c>
      <c r="D1694" s="9" t="inlineStr">
        <is>
          <t>Uttarakhand</t>
        </is>
      </c>
      <c r="E1694" s="9" t="inlineStr">
        <is>
          <t>India</t>
        </is>
      </c>
      <c r="F1694" s="9" t="n">
        <v>1</v>
      </c>
      <c r="G1694" s="9" t="n">
        <v>1</v>
      </c>
      <c r="H1694" s="9" t="n">
        <v>1</v>
      </c>
      <c r="I1694" s="10" t="n">
        <v>43733</v>
      </c>
      <c r="J1694" s="10" t="n">
        <v>43733</v>
      </c>
      <c r="K1694" s="9" t="n">
        <v>30.1874</v>
      </c>
      <c r="L1694" s="9" t="n">
        <v>78.16069</v>
      </c>
      <c r="M1694" s="9" t="inlineStr">
        <is>
          <t>https://www.google.com/maps/place/?q=place_id:ChIJcbGlotkkCTkRWz9Mq0m7DD8</t>
        </is>
      </c>
    </row>
    <row r="1695">
      <c r="A1695" s="9" t="n">
        <v>1691</v>
      </c>
      <c r="B1695" s="9" t="inlineStr">
        <is>
          <t>Raipur</t>
        </is>
      </c>
      <c r="C1695" s="9" t="inlineStr">
        <is>
          <t>Dehra Dun</t>
        </is>
      </c>
      <c r="D1695" s="9" t="inlineStr">
        <is>
          <t>Uttarakhand</t>
        </is>
      </c>
      <c r="E1695" s="9" t="inlineStr">
        <is>
          <t>India</t>
        </is>
      </c>
      <c r="F1695" s="9" t="n">
        <v>1</v>
      </c>
      <c r="G1695" s="9" t="n">
        <v>1</v>
      </c>
      <c r="H1695" s="9" t="n">
        <v>1</v>
      </c>
      <c r="I1695" s="10" t="n">
        <v>44692</v>
      </c>
      <c r="J1695" s="10" t="n">
        <v>44692</v>
      </c>
      <c r="K1695" s="9" t="n">
        <v>30.17619</v>
      </c>
      <c r="L1695" s="9" t="n">
        <v>78.12223</v>
      </c>
      <c r="M1695" s="9" t="inlineStr">
        <is>
          <t>https://www.google.com/maps/place/?q=place_id:ChIJweda_k0lCTkRpKsfEIFsHhk</t>
        </is>
      </c>
    </row>
    <row r="1696">
      <c r="A1696" s="9" t="n">
        <v>1692</v>
      </c>
      <c r="B1696" s="9" t="inlineStr">
        <is>
          <t>Rishikesh</t>
        </is>
      </c>
      <c r="C1696" s="9" t="inlineStr">
        <is>
          <t>Dehra Dun</t>
        </is>
      </c>
      <c r="D1696" s="9" t="inlineStr">
        <is>
          <t>Uttarakhand</t>
        </is>
      </c>
      <c r="E1696" s="9" t="inlineStr">
        <is>
          <t>India</t>
        </is>
      </c>
      <c r="F1696" s="9" t="n">
        <v>1</v>
      </c>
      <c r="G1696" s="9" t="n">
        <v>1</v>
      </c>
      <c r="H1696" s="9" t="n">
        <v>1</v>
      </c>
      <c r="I1696" s="10" t="n">
        <v>44698</v>
      </c>
      <c r="J1696" s="10" t="n">
        <v>44698</v>
      </c>
      <c r="K1696" s="9" t="n">
        <v>30.18942</v>
      </c>
      <c r="L1696" s="9" t="n">
        <v>78.19506</v>
      </c>
      <c r="M1696" s="9" t="inlineStr">
        <is>
          <t>https://www.google.com/maps/place/?q=place_id:ChIJU_eqLeErCTkRW6f8cnMfpDg</t>
        </is>
      </c>
    </row>
    <row r="1697">
      <c r="A1697" s="9" t="n">
        <v>1693</v>
      </c>
      <c r="B1697" s="9" t="inlineStr">
        <is>
          <t>Mussoorie</t>
        </is>
      </c>
      <c r="C1697" s="9" t="inlineStr">
        <is>
          <t>Dehra Dun</t>
        </is>
      </c>
      <c r="D1697" s="9" t="inlineStr">
        <is>
          <t>Uttarakhand</t>
        </is>
      </c>
      <c r="E1697" s="9" t="inlineStr">
        <is>
          <t>India</t>
        </is>
      </c>
      <c r="F1697" s="9" t="n">
        <v>1</v>
      </c>
      <c r="G1697" s="9" t="n">
        <v>1</v>
      </c>
      <c r="H1697" s="9" t="n">
        <v>1</v>
      </c>
      <c r="I1697" s="10" t="n">
        <v>44699</v>
      </c>
      <c r="J1697" s="10" t="n">
        <v>44699</v>
      </c>
      <c r="K1697" s="9" t="n">
        <v>30.41769</v>
      </c>
      <c r="L1697" s="9" t="n">
        <v>78.07622000000001</v>
      </c>
      <c r="M1697" s="9" t="inlineStr">
        <is>
          <t>https://www.google.com/maps/place/?q=place_id:ChIJH3UA3TzXCDkRkHwd-2xIdR4</t>
        </is>
      </c>
    </row>
    <row r="1698">
      <c r="A1698" s="9" t="n">
        <v>1694</v>
      </c>
      <c r="B1698" s="9" t="inlineStr">
        <is>
          <t>Mussoorie</t>
        </is>
      </c>
      <c r="C1698" s="9" t="inlineStr">
        <is>
          <t>Dehra Dun</t>
        </is>
      </c>
      <c r="D1698" s="9" t="inlineStr">
        <is>
          <t>Uttarakhand</t>
        </is>
      </c>
      <c r="E1698" s="9" t="inlineStr">
        <is>
          <t>India</t>
        </is>
      </c>
      <c r="F1698" s="9" t="n">
        <v>1</v>
      </c>
      <c r="G1698" s="9" t="n">
        <v>1</v>
      </c>
      <c r="H1698" s="9" t="n">
        <v>1</v>
      </c>
      <c r="I1698" s="10" t="n">
        <v>44699</v>
      </c>
      <c r="J1698" s="10" t="n">
        <v>44699</v>
      </c>
      <c r="K1698" s="9" t="n">
        <v>30.49016</v>
      </c>
      <c r="L1698" s="9" t="n">
        <v>78.03241</v>
      </c>
      <c r="M1698" s="9" t="inlineStr">
        <is>
          <t>https://www.google.com/maps/place/?q=place_id:ChIJQ163kprRCDkRbkQpA6LGaAs</t>
        </is>
      </c>
    </row>
    <row r="1699">
      <c r="A1699" s="9" t="n">
        <v>1695</v>
      </c>
      <c r="B1699" s="9" t="inlineStr">
        <is>
          <t>Dehra Dun</t>
        </is>
      </c>
      <c r="C1699" s="9" t="inlineStr">
        <is>
          <t>Dehra Dun</t>
        </is>
      </c>
      <c r="D1699" s="9" t="inlineStr">
        <is>
          <t>Uttarakhand</t>
        </is>
      </c>
      <c r="E1699" s="9" t="inlineStr">
        <is>
          <t>India</t>
        </is>
      </c>
      <c r="F1699" s="9" t="n">
        <v>1</v>
      </c>
      <c r="G1699" s="9" t="n">
        <v>1</v>
      </c>
      <c r="H1699" s="9" t="n">
        <v>1</v>
      </c>
      <c r="I1699" s="10" t="n">
        <v>44712</v>
      </c>
      <c r="J1699" s="10" t="n">
        <v>44712</v>
      </c>
      <c r="K1699" s="9" t="n">
        <v>30.33996</v>
      </c>
      <c r="L1699" s="9" t="n">
        <v>78.05963</v>
      </c>
      <c r="M1699" s="9" t="inlineStr">
        <is>
          <t>https://www.google.com/maps/place/?q=place_id:ChIJw8rZ_88pCTkR8NEWvG89l3Y</t>
        </is>
      </c>
    </row>
    <row r="1700">
      <c r="A1700" s="9" t="n">
        <v>1696</v>
      </c>
      <c r="B1700" s="9" t="inlineStr">
        <is>
          <t>Clement Town</t>
        </is>
      </c>
      <c r="C1700" s="9" t="inlineStr">
        <is>
          <t>Dehra Dun</t>
        </is>
      </c>
      <c r="D1700" s="9" t="inlineStr">
        <is>
          <t>Uttarakhand</t>
        </is>
      </c>
      <c r="E1700" s="9" t="inlineStr">
        <is>
          <t>India</t>
        </is>
      </c>
      <c r="F1700" s="9" t="n">
        <v>1</v>
      </c>
      <c r="G1700" s="9" t="n">
        <v>1</v>
      </c>
      <c r="H1700" s="9" t="n">
        <v>1</v>
      </c>
      <c r="I1700" s="10" t="n">
        <v>44723</v>
      </c>
      <c r="J1700" s="10" t="n">
        <v>44723</v>
      </c>
      <c r="K1700" s="9" t="n">
        <v>30.29973</v>
      </c>
      <c r="L1700" s="9" t="n">
        <v>77.95126999999999</v>
      </c>
      <c r="M1700" s="9" t="inlineStr">
        <is>
          <t>https://www.google.com/maps/place/?q=place_id:ChIJ_YqLgecqCTkRptwFImDPf2k</t>
        </is>
      </c>
    </row>
    <row r="1701">
      <c r="A1701" s="9" t="n">
        <v>1697</v>
      </c>
      <c r="B1701" s="9" t="inlineStr">
        <is>
          <t>Paonta Sahib</t>
        </is>
      </c>
      <c r="C1701" s="9" t="inlineStr">
        <is>
          <t>Dehra Dun</t>
        </is>
      </c>
      <c r="D1701" s="9" t="inlineStr">
        <is>
          <t>Uttarakhand</t>
        </is>
      </c>
      <c r="E1701" s="9" t="inlineStr">
        <is>
          <t>India</t>
        </is>
      </c>
      <c r="F1701" s="9" t="n">
        <v>1</v>
      </c>
      <c r="G1701" s="9" t="n">
        <v>1</v>
      </c>
      <c r="H1701" s="9" t="n">
        <v>1</v>
      </c>
      <c r="I1701" s="10" t="n">
        <v>44723</v>
      </c>
      <c r="J1701" s="10" t="n">
        <v>44723</v>
      </c>
      <c r="K1701" s="9" t="n">
        <v>30.3835</v>
      </c>
      <c r="L1701" s="9" t="n">
        <v>77.81504</v>
      </c>
      <c r="M1701" s="9" t="inlineStr">
        <is>
          <t>https://www.google.com/maps/place/?q=place_id:ChIJne7n3mwpDzkRfpvWCF8A3Ek</t>
        </is>
      </c>
    </row>
    <row r="1702">
      <c r="A1702" s="9" t="n">
        <v>1698</v>
      </c>
      <c r="B1702" s="9" t="inlineStr">
        <is>
          <t>Raipur</t>
        </is>
      </c>
      <c r="C1702" s="9" t="inlineStr">
        <is>
          <t>Dehra Dun</t>
        </is>
      </c>
      <c r="D1702" s="9" t="inlineStr">
        <is>
          <t>Uttarakhand</t>
        </is>
      </c>
      <c r="E1702" s="9" t="inlineStr">
        <is>
          <t>India</t>
        </is>
      </c>
      <c r="F1702" s="9" t="n">
        <v>1</v>
      </c>
      <c r="G1702" s="9" t="n">
        <v>1</v>
      </c>
      <c r="H1702" s="9" t="n">
        <v>1</v>
      </c>
      <c r="I1702" s="10" t="n">
        <v>44734</v>
      </c>
      <c r="J1702" s="10" t="n">
        <v>44734</v>
      </c>
      <c r="K1702" s="9" t="n">
        <v>30.18394</v>
      </c>
      <c r="L1702" s="9" t="n">
        <v>78.15313</v>
      </c>
      <c r="M1702" s="9" t="inlineStr">
        <is>
          <t>https://www.google.com/maps/place/?q=place_id:ChIJCTFdnNslCTkRf1B6OlRx8vU</t>
        </is>
      </c>
    </row>
    <row r="1703">
      <c r="A1703" s="9" t="n">
        <v>1699</v>
      </c>
      <c r="B1703" s="9" t="inlineStr">
        <is>
          <t>Dehra Dun</t>
        </is>
      </c>
      <c r="C1703" s="9" t="inlineStr">
        <is>
          <t>Dehra Dun</t>
        </is>
      </c>
      <c r="D1703" s="9" t="inlineStr">
        <is>
          <t>Uttarakhand</t>
        </is>
      </c>
      <c r="E1703" s="9" t="inlineStr">
        <is>
          <t>India</t>
        </is>
      </c>
      <c r="F1703" s="9" t="n">
        <v>1</v>
      </c>
      <c r="G1703" s="9" t="n">
        <v>4</v>
      </c>
      <c r="H1703" s="9" t="n">
        <v>1</v>
      </c>
      <c r="I1703" s="10" t="n">
        <v>45427</v>
      </c>
      <c r="J1703" s="10" t="n">
        <v>45430</v>
      </c>
      <c r="K1703" s="9" t="n">
        <v>30.32596</v>
      </c>
      <c r="L1703" s="9" t="n">
        <v>78.00072</v>
      </c>
      <c r="M1703" s="9" t="inlineStr">
        <is>
          <t>https://www.google.com/maps/place/?q=place_id:ChIJEf208YIrCTkRsGBylhEhXJY</t>
        </is>
      </c>
    </row>
    <row r="1704">
      <c r="A1704" s="9" t="n">
        <v>1700</v>
      </c>
      <c r="B1704" s="9" t="inlineStr">
        <is>
          <t>Dehra Dun</t>
        </is>
      </c>
      <c r="C1704" s="9" t="inlineStr">
        <is>
          <t>Dehra Dun</t>
        </is>
      </c>
      <c r="D1704" s="9" t="inlineStr">
        <is>
          <t>Uttarakhand</t>
        </is>
      </c>
      <c r="E1704" s="9" t="inlineStr">
        <is>
          <t>India</t>
        </is>
      </c>
      <c r="F1704" s="9" t="n">
        <v>1</v>
      </c>
      <c r="G1704" s="9" t="n">
        <v>1</v>
      </c>
      <c r="H1704" s="9" t="n">
        <v>1</v>
      </c>
      <c r="I1704" s="10" t="n">
        <v>45436</v>
      </c>
      <c r="J1704" s="10" t="n">
        <v>45436</v>
      </c>
      <c r="K1704" s="9" t="n">
        <v>30.3242</v>
      </c>
      <c r="L1704" s="9" t="n">
        <v>78.00642999999999</v>
      </c>
      <c r="M1704" s="9" t="inlineStr">
        <is>
          <t>https://www.google.com/maps/place/?q=place_id:ChIJbXgiNBcqCTkR7x3RRvzC1Jg</t>
        </is>
      </c>
    </row>
    <row r="1705">
      <c r="A1705" s="9" t="n">
        <v>1701</v>
      </c>
      <c r="B1705" s="9" t="inlineStr">
        <is>
          <t>Dehra Dun</t>
        </is>
      </c>
      <c r="C1705" s="9" t="inlineStr">
        <is>
          <t>Dehra Dun</t>
        </is>
      </c>
      <c r="D1705" s="9" t="inlineStr">
        <is>
          <t>Uttarakhand</t>
        </is>
      </c>
      <c r="E1705" s="9" t="inlineStr">
        <is>
          <t>India</t>
        </is>
      </c>
      <c r="F1705" s="9" t="n">
        <v>1</v>
      </c>
      <c r="G1705" s="9" t="n">
        <v>1</v>
      </c>
      <c r="H1705" s="9" t="n">
        <v>1</v>
      </c>
      <c r="I1705" s="10" t="n">
        <v>45436</v>
      </c>
      <c r="J1705" s="10" t="n">
        <v>45436</v>
      </c>
      <c r="K1705" s="9" t="n">
        <v>30.32538</v>
      </c>
      <c r="L1705" s="9" t="n">
        <v>78.0042</v>
      </c>
      <c r="M1705" s="9" t="inlineStr">
        <is>
          <t>https://www.google.com/maps/place/?q=place_id:ChIJ-apZOREqCTkRfhmo0-rw5d8</t>
        </is>
      </c>
    </row>
    <row r="1706">
      <c r="A1706" s="9" t="n">
        <v>1702</v>
      </c>
      <c r="B1706" s="9" t="inlineStr">
        <is>
          <t>Dehra Dun</t>
        </is>
      </c>
      <c r="C1706" s="9" t="inlineStr">
        <is>
          <t>Dehra Dun</t>
        </is>
      </c>
      <c r="D1706" s="9" t="inlineStr">
        <is>
          <t>Uttarakhand</t>
        </is>
      </c>
      <c r="E1706" s="9" t="inlineStr">
        <is>
          <t>India</t>
        </is>
      </c>
      <c r="F1706" s="9" t="n">
        <v>1</v>
      </c>
      <c r="G1706" s="9" t="n">
        <v>1</v>
      </c>
      <c r="H1706" s="9" t="n">
        <v>1</v>
      </c>
      <c r="I1706" s="10" t="n">
        <v>45436</v>
      </c>
      <c r="J1706" s="10" t="n">
        <v>45436</v>
      </c>
      <c r="K1706" s="9" t="n">
        <v>30.33422</v>
      </c>
      <c r="L1706" s="9" t="n">
        <v>78.01767</v>
      </c>
      <c r="M1706" s="9" t="inlineStr">
        <is>
          <t>https://www.google.com/maps/place/?q=place_id:ChIJcbTAWAIqCTkRXoaPrAnEo-Q</t>
        </is>
      </c>
    </row>
    <row r="1707">
      <c r="A1707" s="9" t="n">
        <v>1703</v>
      </c>
      <c r="B1707" s="9" t="inlineStr">
        <is>
          <t>Dehra Dun</t>
        </is>
      </c>
      <c r="C1707" s="9" t="inlineStr">
        <is>
          <t>Dehra Dun</t>
        </is>
      </c>
      <c r="D1707" s="9" t="inlineStr">
        <is>
          <t>Uttarakhand</t>
        </is>
      </c>
      <c r="E1707" s="9" t="inlineStr">
        <is>
          <t>India</t>
        </is>
      </c>
      <c r="F1707" s="9" t="n">
        <v>1</v>
      </c>
      <c r="G1707" s="9" t="n">
        <v>5</v>
      </c>
      <c r="H1707" s="9" t="n">
        <v>1</v>
      </c>
      <c r="I1707" s="10" t="n">
        <v>45447</v>
      </c>
      <c r="J1707" s="10" t="n">
        <v>45451</v>
      </c>
      <c r="K1707" s="9" t="n">
        <v>30.34393</v>
      </c>
      <c r="L1707" s="9" t="n">
        <v>77.94963</v>
      </c>
      <c r="M1707" s="9" t="inlineStr">
        <is>
          <t>https://www.google.com/maps/place/?q=place_id:ChIJD2X1vwTVCDkRrCBpjvLBfwM</t>
        </is>
      </c>
    </row>
    <row r="1708">
      <c r="A1708" s="9" t="n">
        <v>1704</v>
      </c>
      <c r="B1708" s="9" t="inlineStr">
        <is>
          <t>Dehra Dun</t>
        </is>
      </c>
      <c r="C1708" s="9" t="inlineStr">
        <is>
          <t>Dehra Dun</t>
        </is>
      </c>
      <c r="D1708" s="9" t="inlineStr">
        <is>
          <t>Uttarakhand</t>
        </is>
      </c>
      <c r="E1708" s="9" t="inlineStr">
        <is>
          <t>India</t>
        </is>
      </c>
      <c r="F1708" s="9" t="n">
        <v>1</v>
      </c>
      <c r="G1708" s="9" t="n">
        <v>1</v>
      </c>
      <c r="H1708" s="9" t="n">
        <v>1</v>
      </c>
      <c r="I1708" s="10" t="n">
        <v>45451</v>
      </c>
      <c r="J1708" s="10" t="n">
        <v>45451</v>
      </c>
      <c r="K1708" s="9" t="n">
        <v>30.34494</v>
      </c>
      <c r="L1708" s="9" t="n">
        <v>77.93624</v>
      </c>
      <c r="M1708" s="9" t="inlineStr">
        <is>
          <t>https://www.google.com/maps/place/?q=place_id:ChIJHeEIXE7VCDkRElzLaKcq5as</t>
        </is>
      </c>
    </row>
    <row r="1709">
      <c r="A1709" s="9" t="n">
        <v>1705</v>
      </c>
      <c r="B1709" s="9" t="inlineStr">
        <is>
          <t>Raipur</t>
        </is>
      </c>
      <c r="C1709" s="9" t="inlineStr">
        <is>
          <t>Dehra Dun</t>
        </is>
      </c>
      <c r="D1709" s="9" t="inlineStr">
        <is>
          <t>Uttarakhand</t>
        </is>
      </c>
      <c r="E1709" s="9" t="inlineStr">
        <is>
          <t>India</t>
        </is>
      </c>
      <c r="F1709" s="9" t="n">
        <v>1</v>
      </c>
      <c r="G1709" s="9" t="n">
        <v>1</v>
      </c>
      <c r="H1709" s="9" t="n">
        <v>1</v>
      </c>
      <c r="I1709" s="10" t="n">
        <v>45458</v>
      </c>
      <c r="J1709" s="10" t="n">
        <v>45458</v>
      </c>
      <c r="K1709" s="9" t="n">
        <v>30.35621</v>
      </c>
      <c r="L1709" s="9" t="n">
        <v>78.08544999999999</v>
      </c>
      <c r="M1709" s="9" t="inlineStr">
        <is>
          <t>https://www.google.com/maps/place/?q=place_id:ChIJg5aPkhLXCDkR61fnI66-AUQ</t>
        </is>
      </c>
    </row>
    <row r="1710">
      <c r="A1710" s="9" t="n">
        <v>1706</v>
      </c>
      <c r="B1710" s="9" t="inlineStr">
        <is>
          <t>Haridwar</t>
        </is>
      </c>
      <c r="C1710" s="9" t="inlineStr">
        <is>
          <t>Haridwar</t>
        </is>
      </c>
      <c r="D1710" s="9" t="inlineStr">
        <is>
          <t>Uttarakhand</t>
        </is>
      </c>
      <c r="E1710" s="9" t="inlineStr">
        <is>
          <t>India</t>
        </is>
      </c>
      <c r="F1710" s="9" t="n">
        <v>10</v>
      </c>
      <c r="G1710" s="9" t="n">
        <v>13</v>
      </c>
      <c r="H1710" s="9" t="n">
        <v>2</v>
      </c>
      <c r="I1710" s="10" t="n">
        <v>44698</v>
      </c>
      <c r="J1710" s="10" t="n">
        <v>44722</v>
      </c>
      <c r="K1710" s="9" t="n">
        <v>29.98547</v>
      </c>
      <c r="L1710" s="9" t="n">
        <v>78.19432999999999</v>
      </c>
      <c r="M1710" s="9" t="inlineStr">
        <is>
          <t>https://www.google.com/maps/place/?q=place_id:ChIJw4YtVhxHCTkRlJ6ai1Apvzw</t>
        </is>
      </c>
    </row>
    <row r="1711">
      <c r="A1711" s="9" t="n">
        <v>1707</v>
      </c>
      <c r="B1711" s="9" t="inlineStr">
        <is>
          <t>Haridwar</t>
        </is>
      </c>
      <c r="C1711" s="9" t="inlineStr">
        <is>
          <t>Haridwar</t>
        </is>
      </c>
      <c r="D1711" s="9" t="inlineStr">
        <is>
          <t>Uttarakhand</t>
        </is>
      </c>
      <c r="E1711" s="9" t="inlineStr">
        <is>
          <t>India</t>
        </is>
      </c>
      <c r="F1711" s="9" t="n">
        <v>8</v>
      </c>
      <c r="G1711" s="9" t="n">
        <v>9</v>
      </c>
      <c r="H1711" s="9" t="n">
        <v>2</v>
      </c>
      <c r="I1711" s="10" t="n">
        <v>43644</v>
      </c>
      <c r="J1711" s="10" t="n">
        <v>43724</v>
      </c>
      <c r="K1711" s="9" t="n">
        <v>30.00173</v>
      </c>
      <c r="L1711" s="9" t="n">
        <v>78.1896</v>
      </c>
      <c r="M1711" s="9" t="inlineStr">
        <is>
          <t>https://www.google.com/maps/place/?q=place_id:ChIJw____-85CTkR7WMBgy8twcw</t>
        </is>
      </c>
    </row>
    <row r="1712">
      <c r="A1712" s="9" t="n">
        <v>1708</v>
      </c>
      <c r="B1712" s="9" t="inlineStr">
        <is>
          <t>Haridwar</t>
        </is>
      </c>
      <c r="C1712" s="9" t="inlineStr">
        <is>
          <t>Haridwar</t>
        </is>
      </c>
      <c r="D1712" s="9" t="inlineStr">
        <is>
          <t>Uttarakhand</t>
        </is>
      </c>
      <c r="E1712" s="9" t="inlineStr">
        <is>
          <t>India</t>
        </is>
      </c>
      <c r="F1712" s="9" t="n">
        <v>4</v>
      </c>
      <c r="G1712" s="9" t="n">
        <v>2</v>
      </c>
      <c r="H1712" s="9" t="n">
        <v>2</v>
      </c>
      <c r="I1712" s="10" t="n">
        <v>43613</v>
      </c>
      <c r="J1712" s="10" t="n">
        <v>43644</v>
      </c>
      <c r="K1712" s="9" t="n">
        <v>29.99877</v>
      </c>
      <c r="L1712" s="9" t="n">
        <v>78.18991</v>
      </c>
      <c r="M1712" s="9" t="inlineStr">
        <is>
          <t>https://www.google.com/maps/place/?q=place_id:ChIJm-c_kP1GCTkRM_1JJeWF_Zg</t>
        </is>
      </c>
    </row>
    <row r="1713">
      <c r="A1713" s="9" t="n">
        <v>1709</v>
      </c>
      <c r="B1713" s="9" t="inlineStr">
        <is>
          <t>Haridwar</t>
        </is>
      </c>
      <c r="C1713" s="9" t="inlineStr">
        <is>
          <t>Haridwar</t>
        </is>
      </c>
      <c r="D1713" s="9" t="inlineStr">
        <is>
          <t>Uttarakhand</t>
        </is>
      </c>
      <c r="E1713" s="9" t="inlineStr">
        <is>
          <t>India</t>
        </is>
      </c>
      <c r="F1713" s="9" t="n">
        <v>4</v>
      </c>
      <c r="G1713" s="9" t="n">
        <v>2</v>
      </c>
      <c r="H1713" s="9" t="n">
        <v>2</v>
      </c>
      <c r="I1713" s="10" t="n">
        <v>43644</v>
      </c>
      <c r="J1713" s="10" t="n">
        <v>43723</v>
      </c>
      <c r="K1713" s="9" t="n">
        <v>29.95355</v>
      </c>
      <c r="L1713" s="9" t="n">
        <v>78.16506</v>
      </c>
      <c r="M1713" s="9" t="inlineStr">
        <is>
          <t>https://www.google.com/maps/place/?q=place_id:ChIJF5q_igRHCTkRwzrqgjuZvMk</t>
        </is>
      </c>
    </row>
    <row r="1714">
      <c r="A1714" s="9" t="n">
        <v>1710</v>
      </c>
      <c r="B1714" s="9" t="inlineStr">
        <is>
          <t>Haridwar</t>
        </is>
      </c>
      <c r="C1714" s="9" t="inlineStr">
        <is>
          <t>Haridwar</t>
        </is>
      </c>
      <c r="D1714" s="9" t="inlineStr">
        <is>
          <t>Uttarakhand</t>
        </is>
      </c>
      <c r="E1714" s="9" t="inlineStr">
        <is>
          <t>India</t>
        </is>
      </c>
      <c r="F1714" s="9" t="n">
        <v>4</v>
      </c>
      <c r="G1714" s="9" t="n">
        <v>4</v>
      </c>
      <c r="H1714" s="9" t="n">
        <v>4</v>
      </c>
      <c r="I1714" s="10" t="n">
        <v>43644</v>
      </c>
      <c r="J1714" s="10" t="n">
        <v>44715</v>
      </c>
      <c r="K1714" s="9" t="n">
        <v>29.95607</v>
      </c>
      <c r="L1714" s="9" t="n">
        <v>78.17131000000001</v>
      </c>
      <c r="M1714" s="9" t="inlineStr">
        <is>
          <t>https://www.google.com/maps/place/?q=place_id:ChIJq6qq6hlHCTkR2Howbt8qhiI</t>
        </is>
      </c>
    </row>
    <row r="1715">
      <c r="A1715" s="9" t="n">
        <v>1711</v>
      </c>
      <c r="B1715" s="9" t="inlineStr">
        <is>
          <t>Haridwar</t>
        </is>
      </c>
      <c r="C1715" s="9" t="inlineStr">
        <is>
          <t>Haridwar</t>
        </is>
      </c>
      <c r="D1715" s="9" t="inlineStr">
        <is>
          <t>Uttarakhand</t>
        </is>
      </c>
      <c r="E1715" s="9" t="inlineStr">
        <is>
          <t>India</t>
        </is>
      </c>
      <c r="F1715" s="9" t="n">
        <v>4</v>
      </c>
      <c r="G1715" s="9" t="n">
        <v>4</v>
      </c>
      <c r="H1715" s="9" t="n">
        <v>4</v>
      </c>
      <c r="I1715" s="10" t="n">
        <v>44709</v>
      </c>
      <c r="J1715" s="10" t="n">
        <v>45227</v>
      </c>
      <c r="K1715" s="9" t="n">
        <v>29.97094</v>
      </c>
      <c r="L1715" s="9" t="n">
        <v>78.18040000000001</v>
      </c>
      <c r="M1715" s="9" t="inlineStr">
        <is>
          <t>https://www.google.com/maps/place/?q=place_id:ChIJOaF2C0BHCTkR_Zdc3sy1YNc</t>
        </is>
      </c>
    </row>
    <row r="1716">
      <c r="A1716" s="9" t="n">
        <v>1712</v>
      </c>
      <c r="B1716" s="9" t="inlineStr">
        <is>
          <t>Haridwar</t>
        </is>
      </c>
      <c r="C1716" s="9" t="inlineStr">
        <is>
          <t>Haridwar</t>
        </is>
      </c>
      <c r="D1716" s="9" t="inlineStr">
        <is>
          <t>Uttarakhand</t>
        </is>
      </c>
      <c r="E1716" s="9" t="inlineStr">
        <is>
          <t>India</t>
        </is>
      </c>
      <c r="F1716" s="9" t="n">
        <v>3</v>
      </c>
      <c r="G1716" s="9" t="n">
        <v>3</v>
      </c>
      <c r="H1716" s="9" t="n">
        <v>3</v>
      </c>
      <c r="I1716" s="10" t="n">
        <v>43644</v>
      </c>
      <c r="J1716" s="10" t="n">
        <v>44692</v>
      </c>
      <c r="K1716" s="9" t="n">
        <v>29.94835</v>
      </c>
      <c r="L1716" s="9" t="n">
        <v>78.15548</v>
      </c>
      <c r="M1716" s="9" t="inlineStr">
        <is>
          <t>https://www.google.com/maps/place/?q=place_id:ChIJqYPKiapHCTkRW-gz32FFODE</t>
        </is>
      </c>
    </row>
    <row r="1717">
      <c r="A1717" s="9" t="n">
        <v>1713</v>
      </c>
      <c r="B1717" s="9" t="inlineStr">
        <is>
          <t>Haridwar</t>
        </is>
      </c>
      <c r="C1717" s="9" t="inlineStr">
        <is>
          <t>Haridwar</t>
        </is>
      </c>
      <c r="D1717" s="9" t="inlineStr">
        <is>
          <t>Uttarakhand</t>
        </is>
      </c>
      <c r="E1717" s="9" t="inlineStr">
        <is>
          <t>India</t>
        </is>
      </c>
      <c r="F1717" s="9" t="n">
        <v>3</v>
      </c>
      <c r="G1717" s="9" t="n">
        <v>3</v>
      </c>
      <c r="H1717" s="9" t="n">
        <v>3</v>
      </c>
      <c r="I1717" s="10" t="n">
        <v>43644</v>
      </c>
      <c r="J1717" s="10" t="n">
        <v>44717</v>
      </c>
      <c r="K1717" s="9" t="n">
        <v>29.92172</v>
      </c>
      <c r="L1717" s="9" t="n">
        <v>78.14601</v>
      </c>
      <c r="M1717" s="9" t="inlineStr">
        <is>
          <t>https://www.google.com/maps/place/?q=place_id:ChIJHeK_92dGCTkR2_JoxjK41HQ</t>
        </is>
      </c>
    </row>
    <row r="1718">
      <c r="A1718" s="9" t="n">
        <v>1714</v>
      </c>
      <c r="B1718" s="9" t="inlineStr">
        <is>
          <t>Haridwar</t>
        </is>
      </c>
      <c r="C1718" s="9" t="inlineStr">
        <is>
          <t>Haridwar</t>
        </is>
      </c>
      <c r="D1718" s="9" t="inlineStr">
        <is>
          <t>Uttarakhand</t>
        </is>
      </c>
      <c r="E1718" s="9" t="inlineStr">
        <is>
          <t>India</t>
        </is>
      </c>
      <c r="F1718" s="9" t="n">
        <v>3</v>
      </c>
      <c r="G1718" s="9" t="n">
        <v>3</v>
      </c>
      <c r="H1718" s="9" t="n">
        <v>2</v>
      </c>
      <c r="I1718" s="10" t="n">
        <v>43723</v>
      </c>
      <c r="J1718" s="10" t="n">
        <v>45227</v>
      </c>
      <c r="K1718" s="9" t="n">
        <v>29.95787</v>
      </c>
      <c r="L1718" s="9" t="n">
        <v>78.16529</v>
      </c>
      <c r="M1718" s="9" t="inlineStr">
        <is>
          <t>https://www.google.com/maps/place/?q=place_id:ChIJF9QPgA9HCTkRW4MPMP94WHo</t>
        </is>
      </c>
    </row>
    <row r="1719">
      <c r="A1719" s="9" t="n">
        <v>1715</v>
      </c>
      <c r="B1719" s="9" t="inlineStr">
        <is>
          <t>Haridwar</t>
        </is>
      </c>
      <c r="C1719" s="9" t="inlineStr">
        <is>
          <t>Haridwar</t>
        </is>
      </c>
      <c r="D1719" s="9" t="inlineStr">
        <is>
          <t>Uttarakhand</t>
        </is>
      </c>
      <c r="E1719" s="9" t="inlineStr">
        <is>
          <t>India</t>
        </is>
      </c>
      <c r="F1719" s="9" t="n">
        <v>3</v>
      </c>
      <c r="G1719" s="9" t="n">
        <v>3</v>
      </c>
      <c r="H1719" s="9" t="n">
        <v>2</v>
      </c>
      <c r="I1719" s="10" t="n">
        <v>45090</v>
      </c>
      <c r="J1719" s="10" t="n">
        <v>45227</v>
      </c>
      <c r="K1719" s="9" t="n">
        <v>29.95345</v>
      </c>
      <c r="L1719" s="9" t="n">
        <v>78.1652</v>
      </c>
      <c r="M1719" s="9" t="inlineStr">
        <is>
          <t>https://www.google.com/maps/place/?q=place_id:ChIJmY6pPkRHCTkRawS8iLZQkCs</t>
        </is>
      </c>
    </row>
    <row r="1720">
      <c r="A1720" s="9" t="n">
        <v>1716</v>
      </c>
      <c r="B1720" s="9" t="inlineStr">
        <is>
          <t>Haridwar</t>
        </is>
      </c>
      <c r="C1720" s="9" t="inlineStr">
        <is>
          <t>Haridwar</t>
        </is>
      </c>
      <c r="D1720" s="9" t="inlineStr">
        <is>
          <t>Uttarakhand</t>
        </is>
      </c>
      <c r="E1720" s="9" t="inlineStr">
        <is>
          <t>India</t>
        </is>
      </c>
      <c r="F1720" s="9" t="n">
        <v>2</v>
      </c>
      <c r="G1720" s="9" t="n">
        <v>2</v>
      </c>
      <c r="H1720" s="9" t="n">
        <v>1</v>
      </c>
      <c r="I1720" s="10" t="n">
        <v>43719</v>
      </c>
      <c r="J1720" s="10" t="n">
        <v>43721</v>
      </c>
      <c r="K1720" s="9" t="n">
        <v>29.99881</v>
      </c>
      <c r="L1720" s="9" t="n">
        <v>78.18953999999999</v>
      </c>
      <c r="M1720" s="9" t="inlineStr">
        <is>
          <t>https://www.google.com/maps/place/?q=place_id:ChIJHVML2645CTkRpy08yy1q6c4</t>
        </is>
      </c>
    </row>
    <row r="1721">
      <c r="A1721" s="9" t="n">
        <v>1717</v>
      </c>
      <c r="B1721" s="9" t="inlineStr">
        <is>
          <t>Haridwar</t>
        </is>
      </c>
      <c r="C1721" s="9" t="inlineStr">
        <is>
          <t>Haridwar</t>
        </is>
      </c>
      <c r="D1721" s="9" t="inlineStr">
        <is>
          <t>Uttarakhand</t>
        </is>
      </c>
      <c r="E1721" s="9" t="inlineStr">
        <is>
          <t>India</t>
        </is>
      </c>
      <c r="F1721" s="9" t="n">
        <v>2</v>
      </c>
      <c r="G1721" s="9" t="n">
        <v>1</v>
      </c>
      <c r="H1721" s="9" t="n">
        <v>1</v>
      </c>
      <c r="I1721" s="10" t="n">
        <v>43723</v>
      </c>
      <c r="J1721" s="10" t="n">
        <v>43723</v>
      </c>
      <c r="K1721" s="9" t="n">
        <v>29.95061</v>
      </c>
      <c r="L1721" s="9" t="n">
        <v>78.16330000000001</v>
      </c>
      <c r="M1721" s="9" t="inlineStr">
        <is>
          <t>https://www.google.com/maps/place/?q=place_id:ChIJG88Y6gNHCTkRO_18ypX8Vuk</t>
        </is>
      </c>
    </row>
    <row r="1722">
      <c r="A1722" s="9" t="n">
        <v>1718</v>
      </c>
      <c r="B1722" s="9" t="inlineStr">
        <is>
          <t>Haridwar</t>
        </is>
      </c>
      <c r="C1722" s="9" t="inlineStr">
        <is>
          <t>Haridwar</t>
        </is>
      </c>
      <c r="D1722" s="9" t="inlineStr">
        <is>
          <t>Uttarakhand</t>
        </is>
      </c>
      <c r="E1722" s="9" t="inlineStr">
        <is>
          <t>India</t>
        </is>
      </c>
      <c r="F1722" s="9" t="n">
        <v>2</v>
      </c>
      <c r="G1722" s="9" t="n">
        <v>2</v>
      </c>
      <c r="H1722" s="9" t="n">
        <v>1</v>
      </c>
      <c r="I1722" s="10" t="n">
        <v>45225</v>
      </c>
      <c r="J1722" s="10" t="n">
        <v>45227</v>
      </c>
      <c r="K1722" s="9" t="n">
        <v>29.94946</v>
      </c>
      <c r="L1722" s="9" t="n">
        <v>78.16166</v>
      </c>
      <c r="M1722" s="9" t="inlineStr">
        <is>
          <t>https://www.google.com/maps/place/?q=place_id:ChIJR-3-7AJHCTkRewF_-59mcq8</t>
        </is>
      </c>
    </row>
    <row r="1723">
      <c r="A1723" s="9" t="n">
        <v>1719</v>
      </c>
      <c r="B1723" s="9" t="inlineStr">
        <is>
          <t>Haridwar</t>
        </is>
      </c>
      <c r="C1723" s="9" t="inlineStr">
        <is>
          <t>Haridwar</t>
        </is>
      </c>
      <c r="D1723" s="9" t="inlineStr">
        <is>
          <t>Uttarakhand</t>
        </is>
      </c>
      <c r="E1723" s="9" t="inlineStr">
        <is>
          <t>India</t>
        </is>
      </c>
      <c r="F1723" s="9" t="n">
        <v>1</v>
      </c>
      <c r="G1723" s="9" t="n">
        <v>1</v>
      </c>
      <c r="H1723" s="9" t="n">
        <v>1</v>
      </c>
      <c r="I1723" s="10" t="n">
        <v>43613</v>
      </c>
      <c r="J1723" s="10" t="n">
        <v>43613</v>
      </c>
      <c r="K1723" s="9" t="n">
        <v>29.98943</v>
      </c>
      <c r="L1723" s="9" t="n">
        <v>78.1859</v>
      </c>
      <c r="M1723" s="9" t="inlineStr">
        <is>
          <t>https://www.google.com/maps/place/?q=place_id:ChIJk0zCg-RGCTkR9eaAbF4byYg</t>
        </is>
      </c>
    </row>
    <row r="1724">
      <c r="A1724" s="9" t="n">
        <v>1720</v>
      </c>
      <c r="B1724" s="9" t="inlineStr">
        <is>
          <t>Haridwar</t>
        </is>
      </c>
      <c r="C1724" s="9" t="inlineStr">
        <is>
          <t>Haridwar</t>
        </is>
      </c>
      <c r="D1724" s="9" t="inlineStr">
        <is>
          <t>Uttarakhand</t>
        </is>
      </c>
      <c r="E1724" s="9" t="inlineStr">
        <is>
          <t>India</t>
        </is>
      </c>
      <c r="F1724" s="9" t="n">
        <v>1</v>
      </c>
      <c r="G1724" s="9" t="n">
        <v>1</v>
      </c>
      <c r="H1724" s="9" t="n">
        <v>1</v>
      </c>
      <c r="I1724" s="10" t="n">
        <v>43644</v>
      </c>
      <c r="J1724" s="10" t="n">
        <v>43644</v>
      </c>
      <c r="K1724" s="9" t="n">
        <v>29.99605</v>
      </c>
      <c r="L1724" s="9" t="n">
        <v>78.19336</v>
      </c>
      <c r="M1724" s="9" t="inlineStr">
        <is>
          <t>https://www.google.com/maps/place/?q=place_id:ChIJNW0qIX05CTkRG07bnSnRJ4A</t>
        </is>
      </c>
    </row>
    <row r="1725">
      <c r="A1725" s="9" t="n">
        <v>1721</v>
      </c>
      <c r="B1725" s="9" t="inlineStr">
        <is>
          <t>Haridwar</t>
        </is>
      </c>
      <c r="C1725" s="9" t="inlineStr">
        <is>
          <t>Haridwar</t>
        </is>
      </c>
      <c r="D1725" s="9" t="inlineStr">
        <is>
          <t>Uttarakhand</t>
        </is>
      </c>
      <c r="E1725" s="9" t="inlineStr">
        <is>
          <t>India</t>
        </is>
      </c>
      <c r="F1725" s="9" t="n">
        <v>1</v>
      </c>
      <c r="G1725" s="9" t="n">
        <v>1</v>
      </c>
      <c r="H1725" s="9" t="n">
        <v>1</v>
      </c>
      <c r="I1725" s="10" t="n">
        <v>43644</v>
      </c>
      <c r="J1725" s="10" t="n">
        <v>43644</v>
      </c>
      <c r="K1725" s="9" t="n">
        <v>29.98024</v>
      </c>
      <c r="L1725" s="9" t="n">
        <v>78.18277999999999</v>
      </c>
      <c r="M1725" s="9" t="inlineStr">
        <is>
          <t>https://www.google.com/maps/place/?q=place_id:ChIJP_mKBkNHCTkRbgDmkt_xcKI</t>
        </is>
      </c>
    </row>
    <row r="1726">
      <c r="A1726" s="9" t="n">
        <v>1722</v>
      </c>
      <c r="B1726" s="9" t="inlineStr">
        <is>
          <t>Haridwar</t>
        </is>
      </c>
      <c r="C1726" s="9" t="inlineStr">
        <is>
          <t>Haridwar</t>
        </is>
      </c>
      <c r="D1726" s="9" t="inlineStr">
        <is>
          <t>Uttarakhand</t>
        </is>
      </c>
      <c r="E1726" s="9" t="inlineStr">
        <is>
          <t>India</t>
        </is>
      </c>
      <c r="F1726" s="9" t="n">
        <v>1</v>
      </c>
      <c r="G1726" s="9" t="n">
        <v>1</v>
      </c>
      <c r="H1726" s="9" t="n">
        <v>1</v>
      </c>
      <c r="I1726" s="10" t="n">
        <v>43644</v>
      </c>
      <c r="J1726" s="10" t="n">
        <v>43644</v>
      </c>
      <c r="K1726" s="9" t="n">
        <v>29.9268</v>
      </c>
      <c r="L1726" s="9" t="n">
        <v>78.1403</v>
      </c>
      <c r="M1726" s="9" t="inlineStr">
        <is>
          <t>https://www.google.com/maps/place/?q=place_id:ChIJk2XL9kNGCTkR9WRotn1qSH4</t>
        </is>
      </c>
    </row>
    <row r="1727">
      <c r="A1727" s="9" t="n">
        <v>1723</v>
      </c>
      <c r="B1727" s="9" t="inlineStr">
        <is>
          <t>Haridwar</t>
        </is>
      </c>
      <c r="C1727" s="9" t="inlineStr">
        <is>
          <t>Haridwar</t>
        </is>
      </c>
      <c r="D1727" s="9" t="inlineStr">
        <is>
          <t>Uttarakhand</t>
        </is>
      </c>
      <c r="E1727" s="9" t="inlineStr">
        <is>
          <t>India</t>
        </is>
      </c>
      <c r="F1727" s="9" t="n">
        <v>1</v>
      </c>
      <c r="G1727" s="9" t="n">
        <v>1</v>
      </c>
      <c r="H1727" s="9" t="n">
        <v>1</v>
      </c>
      <c r="I1727" s="10" t="n">
        <v>43654</v>
      </c>
      <c r="J1727" s="10" t="n">
        <v>43654</v>
      </c>
      <c r="K1727" s="9" t="n">
        <v>29.93913</v>
      </c>
      <c r="L1727" s="9" t="n">
        <v>78.1574</v>
      </c>
      <c r="M1727" s="9" t="inlineStr">
        <is>
          <t>https://www.google.com/maps/place/?q=place_id:ChIJ998tvvtHCTkRrKDW8CFD3Ik</t>
        </is>
      </c>
    </row>
    <row r="1728">
      <c r="A1728" s="9" t="n">
        <v>1724</v>
      </c>
      <c r="B1728" s="9" t="inlineStr">
        <is>
          <t>Haridwar</t>
        </is>
      </c>
      <c r="C1728" s="9" t="inlineStr">
        <is>
          <t>Haridwar</t>
        </is>
      </c>
      <c r="D1728" s="9" t="inlineStr">
        <is>
          <t>Uttarakhand</t>
        </is>
      </c>
      <c r="E1728" s="9" t="inlineStr">
        <is>
          <t>India</t>
        </is>
      </c>
      <c r="F1728" s="9" t="n">
        <v>1</v>
      </c>
      <c r="G1728" s="9" t="n">
        <v>1</v>
      </c>
      <c r="H1728" s="9" t="n">
        <v>1</v>
      </c>
      <c r="I1728" s="10" t="n">
        <v>43654</v>
      </c>
      <c r="J1728" s="10" t="n">
        <v>43654</v>
      </c>
      <c r="K1728" s="9" t="n">
        <v>29.94569</v>
      </c>
      <c r="L1728" s="9" t="n">
        <v>78.16425</v>
      </c>
      <c r="M1728" s="9" t="inlineStr">
        <is>
          <t>https://www.google.com/maps/place/?q=place_id:ChIJyVfuuA5HCTkR8_VApnaRRE4</t>
        </is>
      </c>
    </row>
    <row r="1729">
      <c r="A1729" s="9" t="n">
        <v>1725</v>
      </c>
      <c r="B1729" s="9" t="inlineStr">
        <is>
          <t>Haridwar</t>
        </is>
      </c>
      <c r="C1729" s="9" t="inlineStr">
        <is>
          <t>Haridwar</t>
        </is>
      </c>
      <c r="D1729" s="9" t="inlineStr">
        <is>
          <t>Uttarakhand</t>
        </is>
      </c>
      <c r="E1729" s="9" t="inlineStr">
        <is>
          <t>India</t>
        </is>
      </c>
      <c r="F1729" s="9" t="n">
        <v>1</v>
      </c>
      <c r="G1729" s="9" t="n">
        <v>1</v>
      </c>
      <c r="H1729" s="9" t="n">
        <v>1</v>
      </c>
      <c r="I1729" s="10" t="n">
        <v>43654</v>
      </c>
      <c r="J1729" s="10" t="n">
        <v>43654</v>
      </c>
      <c r="K1729" s="9" t="n">
        <v>29.9519</v>
      </c>
      <c r="L1729" s="9" t="n">
        <v>78.16370000000001</v>
      </c>
      <c r="M1729" s="9" t="inlineStr">
        <is>
          <t>https://www.google.com/maps/place/?q=place_id:ChIJwSjjigNHCTkRctaKyd3uO2Y</t>
        </is>
      </c>
    </row>
    <row r="1730">
      <c r="A1730" s="9" t="n">
        <v>1726</v>
      </c>
      <c r="B1730" s="9" t="inlineStr">
        <is>
          <t>Haridwar</t>
        </is>
      </c>
      <c r="C1730" s="9" t="inlineStr">
        <is>
          <t>Haridwar</t>
        </is>
      </c>
      <c r="D1730" s="9" t="inlineStr">
        <is>
          <t>Uttarakhand</t>
        </is>
      </c>
      <c r="E1730" s="9" t="inlineStr">
        <is>
          <t>India</t>
        </is>
      </c>
      <c r="F1730" s="9" t="n">
        <v>1</v>
      </c>
      <c r="G1730" s="9" t="n">
        <v>1</v>
      </c>
      <c r="H1730" s="9" t="n">
        <v>1</v>
      </c>
      <c r="I1730" s="10" t="n">
        <v>43723</v>
      </c>
      <c r="J1730" s="10" t="n">
        <v>43723</v>
      </c>
      <c r="K1730" s="9" t="n">
        <v>29.92628</v>
      </c>
      <c r="L1730" s="9" t="n">
        <v>78.14646999999999</v>
      </c>
      <c r="M1730" s="9" t="inlineStr">
        <is>
          <t>https://www.google.com/maps/place/?q=place_id:ChIJ-QpSJ9xHCTkR3Sf4y7xFwEE</t>
        </is>
      </c>
    </row>
    <row r="1731">
      <c r="A1731" s="9" t="n">
        <v>1727</v>
      </c>
      <c r="B1731" s="9" t="inlineStr">
        <is>
          <t>Haridwar</t>
        </is>
      </c>
      <c r="C1731" s="9" t="inlineStr">
        <is>
          <t>Haridwar</t>
        </is>
      </c>
      <c r="D1731" s="9" t="inlineStr">
        <is>
          <t>Uttarakhand</t>
        </is>
      </c>
      <c r="E1731" s="9" t="inlineStr">
        <is>
          <t>India</t>
        </is>
      </c>
      <c r="F1731" s="9" t="n">
        <v>1</v>
      </c>
      <c r="G1731" s="9" t="n">
        <v>1</v>
      </c>
      <c r="H1731" s="9" t="n">
        <v>1</v>
      </c>
      <c r="I1731" s="10" t="n">
        <v>43723</v>
      </c>
      <c r="J1731" s="10" t="n">
        <v>43723</v>
      </c>
      <c r="K1731" s="9" t="n">
        <v>29.94323</v>
      </c>
      <c r="L1731" s="9" t="n">
        <v>78.15956</v>
      </c>
      <c r="M1731" s="9" t="inlineStr">
        <is>
          <t>https://www.google.com/maps/place/?q=place_id:ChIJi6FRVP5GCTkR1YJLZa7TqhQ</t>
        </is>
      </c>
    </row>
    <row r="1732">
      <c r="A1732" s="9" t="n">
        <v>1728</v>
      </c>
      <c r="B1732" s="9" t="inlineStr">
        <is>
          <t>Haridwar</t>
        </is>
      </c>
      <c r="C1732" s="9" t="inlineStr">
        <is>
          <t>Haridwar</t>
        </is>
      </c>
      <c r="D1732" s="9" t="inlineStr">
        <is>
          <t>Uttarakhand</t>
        </is>
      </c>
      <c r="E1732" s="9" t="inlineStr">
        <is>
          <t>India</t>
        </is>
      </c>
      <c r="F1732" s="9" t="n">
        <v>1</v>
      </c>
      <c r="G1732" s="9" t="n">
        <v>1</v>
      </c>
      <c r="H1732" s="9" t="n">
        <v>1</v>
      </c>
      <c r="I1732" s="10" t="n">
        <v>44709</v>
      </c>
      <c r="J1732" s="10" t="n">
        <v>44709</v>
      </c>
      <c r="K1732" s="9" t="n">
        <v>29.94409</v>
      </c>
      <c r="L1732" s="9" t="n">
        <v>78.15773</v>
      </c>
      <c r="M1732" s="9" t="inlineStr">
        <is>
          <t>https://www.google.com/maps/place/?q=place_id:ChIJjxrXj-5HCTkRrNrFVUxoE8Q</t>
        </is>
      </c>
    </row>
    <row r="1733">
      <c r="A1733" s="9" t="n">
        <v>1729</v>
      </c>
      <c r="B1733" s="9" t="inlineStr">
        <is>
          <t>Haridwar</t>
        </is>
      </c>
      <c r="C1733" s="9" t="inlineStr">
        <is>
          <t>Haridwar</t>
        </is>
      </c>
      <c r="D1733" s="9" t="inlineStr">
        <is>
          <t>Uttarakhand</t>
        </is>
      </c>
      <c r="E1733" s="9" t="inlineStr">
        <is>
          <t>India</t>
        </is>
      </c>
      <c r="F1733" s="9" t="n">
        <v>1</v>
      </c>
      <c r="G1733" s="9" t="n">
        <v>1</v>
      </c>
      <c r="H1733" s="9" t="n">
        <v>1</v>
      </c>
      <c r="I1733" s="10" t="n">
        <v>44713</v>
      </c>
      <c r="J1733" s="10" t="n">
        <v>44713</v>
      </c>
      <c r="K1733" s="9" t="n">
        <v>29.98454</v>
      </c>
      <c r="L1733" s="9" t="n">
        <v>78.19189</v>
      </c>
      <c r="M1733" s="9" t="inlineStr">
        <is>
          <t>https://www.google.com/maps/place/?q=place_id:ChIJIZoqa1BHCTkRp_3ygDnC8rU</t>
        </is>
      </c>
    </row>
    <row r="1734">
      <c r="A1734" s="9" t="n">
        <v>1730</v>
      </c>
      <c r="B1734" s="9" t="inlineStr">
        <is>
          <t>Haridwar</t>
        </is>
      </c>
      <c r="C1734" s="9" t="inlineStr">
        <is>
          <t>Haridwar</t>
        </is>
      </c>
      <c r="D1734" s="9" t="inlineStr">
        <is>
          <t>Uttarakhand</t>
        </is>
      </c>
      <c r="E1734" s="9" t="inlineStr">
        <is>
          <t>India</t>
        </is>
      </c>
      <c r="F1734" s="9" t="n">
        <v>1</v>
      </c>
      <c r="G1734" s="9" t="n">
        <v>1</v>
      </c>
      <c r="H1734" s="9" t="n">
        <v>1</v>
      </c>
      <c r="I1734" s="10" t="n">
        <v>44714</v>
      </c>
      <c r="J1734" s="10" t="n">
        <v>44714</v>
      </c>
      <c r="K1734" s="9" t="n">
        <v>29.94788</v>
      </c>
      <c r="L1734" s="9" t="n">
        <v>78.07547</v>
      </c>
      <c r="M1734" s="9" t="inlineStr">
        <is>
          <t>https://www.google.com/maps/place/?q=place_id:ChIJq6qqqptICTkRaFHjHb2hrPM</t>
        </is>
      </c>
    </row>
    <row r="1735">
      <c r="A1735" s="9" t="n">
        <v>1731</v>
      </c>
      <c r="B1735" s="9" t="inlineStr">
        <is>
          <t>Haridwar</t>
        </is>
      </c>
      <c r="C1735" s="9" t="inlineStr">
        <is>
          <t>Haridwar</t>
        </is>
      </c>
      <c r="D1735" s="9" t="inlineStr">
        <is>
          <t>Uttarakhand</t>
        </is>
      </c>
      <c r="E1735" s="9" t="inlineStr">
        <is>
          <t>India</t>
        </is>
      </c>
      <c r="F1735" s="9" t="n">
        <v>1</v>
      </c>
      <c r="G1735" s="9" t="n">
        <v>1</v>
      </c>
      <c r="H1735" s="9" t="n">
        <v>1</v>
      </c>
      <c r="I1735" s="10" t="n">
        <v>44720</v>
      </c>
      <c r="J1735" s="10" t="n">
        <v>44720</v>
      </c>
      <c r="K1735" s="9" t="n">
        <v>29.99506</v>
      </c>
      <c r="L1735" s="9" t="n">
        <v>78.1948</v>
      </c>
      <c r="M1735" s="9" t="inlineStr">
        <is>
          <t>https://www.google.com/maps/place/?q=place_id:ChIJAQAA8Kg4CTkRRviANrV3PtY</t>
        </is>
      </c>
    </row>
    <row r="1736">
      <c r="A1736" s="9" t="n">
        <v>1732</v>
      </c>
      <c r="B1736" s="9" t="inlineStr">
        <is>
          <t>Haridwar</t>
        </is>
      </c>
      <c r="C1736" s="9" t="inlineStr">
        <is>
          <t>Haridwar</t>
        </is>
      </c>
      <c r="D1736" s="9" t="inlineStr">
        <is>
          <t>Uttarakhand</t>
        </is>
      </c>
      <c r="E1736" s="9" t="inlineStr">
        <is>
          <t>India</t>
        </is>
      </c>
      <c r="F1736" s="9" t="n">
        <v>1</v>
      </c>
      <c r="G1736" s="9" t="n">
        <v>1</v>
      </c>
      <c r="H1736" s="9" t="n">
        <v>1</v>
      </c>
      <c r="I1736" s="10" t="n">
        <v>44720</v>
      </c>
      <c r="J1736" s="10" t="n">
        <v>44720</v>
      </c>
      <c r="K1736" s="9" t="n">
        <v>29.98263</v>
      </c>
      <c r="L1736" s="9" t="n">
        <v>78.18991</v>
      </c>
      <c r="M1736" s="9" t="inlineStr">
        <is>
          <t>https://www.google.com/maps/place/?q=place_id:ChIJ_yYeUkVHCTkRht65V27ZGLU</t>
        </is>
      </c>
    </row>
    <row r="1737">
      <c r="A1737" s="9" t="n">
        <v>1733</v>
      </c>
      <c r="B1737" s="9" t="inlineStr">
        <is>
          <t>Haridwar</t>
        </is>
      </c>
      <c r="C1737" s="9" t="inlineStr">
        <is>
          <t>Haridwar</t>
        </is>
      </c>
      <c r="D1737" s="9" t="inlineStr">
        <is>
          <t>Uttarakhand</t>
        </is>
      </c>
      <c r="E1737" s="9" t="inlineStr">
        <is>
          <t>India</t>
        </is>
      </c>
      <c r="F1737" s="9" t="n">
        <v>1</v>
      </c>
      <c r="G1737" s="9" t="n">
        <v>1</v>
      </c>
      <c r="H1737" s="9" t="n">
        <v>1</v>
      </c>
      <c r="I1737" s="10" t="n">
        <v>44734</v>
      </c>
      <c r="J1737" s="10" t="n">
        <v>44734</v>
      </c>
      <c r="K1737" s="9" t="n">
        <v>29.98059</v>
      </c>
      <c r="L1737" s="9" t="n">
        <v>78.18247</v>
      </c>
      <c r="M1737" s="9" t="inlineStr">
        <is>
          <t>https://www.google.com/maps/place/?q=place_id:ChIJvR03GUNHCTkRvyNzZbkvwBg</t>
        </is>
      </c>
    </row>
    <row r="1738">
      <c r="A1738" s="9" t="n">
        <v>1734</v>
      </c>
      <c r="B1738" s="9" t="inlineStr">
        <is>
          <t>Haridwar</t>
        </is>
      </c>
      <c r="C1738" s="9" t="inlineStr">
        <is>
          <t>Haridwar</t>
        </is>
      </c>
      <c r="D1738" s="9" t="inlineStr">
        <is>
          <t>Uttarakhand</t>
        </is>
      </c>
      <c r="E1738" s="9" t="inlineStr">
        <is>
          <t>India</t>
        </is>
      </c>
      <c r="F1738" s="9" t="n">
        <v>1</v>
      </c>
      <c r="G1738" s="9" t="n">
        <v>1</v>
      </c>
      <c r="H1738" s="9" t="n">
        <v>1</v>
      </c>
      <c r="I1738" s="10" t="n">
        <v>45227</v>
      </c>
      <c r="J1738" s="10" t="n">
        <v>45227</v>
      </c>
      <c r="K1738" s="9" t="n">
        <v>29.92148</v>
      </c>
      <c r="L1738" s="9" t="n">
        <v>78.1459</v>
      </c>
      <c r="M1738" s="9" t="inlineStr">
        <is>
          <t>https://www.google.com/maps/place/?q=place_id:ChIJq6qqqptICTkR0wa2r1wA-Xk</t>
        </is>
      </c>
    </row>
    <row r="1739">
      <c r="A1739" s="9" t="n">
        <v>1735</v>
      </c>
      <c r="B1739" s="9" t="inlineStr">
        <is>
          <t>Mussoorie</t>
        </is>
      </c>
      <c r="C1739" s="9" t="inlineStr">
        <is>
          <t>Mussoorie</t>
        </is>
      </c>
      <c r="D1739" s="9" t="inlineStr">
        <is>
          <t>Uttarakhand</t>
        </is>
      </c>
      <c r="E1739" s="9" t="inlineStr">
        <is>
          <t>India</t>
        </is>
      </c>
      <c r="F1739" s="9" t="n">
        <v>2</v>
      </c>
      <c r="G1739" s="9" t="n">
        <v>2</v>
      </c>
      <c r="H1739" s="9" t="n">
        <v>2</v>
      </c>
      <c r="I1739" s="10" t="n">
        <v>43733</v>
      </c>
      <c r="J1739" s="10" t="n">
        <v>44699</v>
      </c>
      <c r="K1739" s="9" t="n">
        <v>30.64975</v>
      </c>
      <c r="L1739" s="9" t="n">
        <v>78.01545</v>
      </c>
      <c r="M1739" s="9" t="inlineStr">
        <is>
          <t>https://www.google.com/maps/place/?q=place_id:ChIJE5x3adfLCDkRvw91bdops70</t>
        </is>
      </c>
    </row>
    <row r="1740">
      <c r="A1740" s="9" t="n">
        <v>1736</v>
      </c>
      <c r="B1740" s="9" t="inlineStr">
        <is>
          <t>Pauri</t>
        </is>
      </c>
      <c r="C1740" s="9" t="inlineStr">
        <is>
          <t>Pauri</t>
        </is>
      </c>
      <c r="D1740" s="9" t="inlineStr">
        <is>
          <t>Uttarakhand</t>
        </is>
      </c>
      <c r="E1740" s="9" t="inlineStr">
        <is>
          <t>India</t>
        </is>
      </c>
      <c r="F1740" s="9" t="n">
        <v>2</v>
      </c>
      <c r="G1740" s="9" t="n">
        <v>2</v>
      </c>
      <c r="H1740" s="9" t="n">
        <v>2</v>
      </c>
      <c r="I1740" s="10" t="n">
        <v>44696</v>
      </c>
      <c r="J1740" s="10" t="n">
        <v>44732</v>
      </c>
      <c r="K1740" s="9" t="n">
        <v>30.14534</v>
      </c>
      <c r="L1740" s="9" t="n">
        <v>78.59764</v>
      </c>
      <c r="M1740" s="9" t="inlineStr">
        <is>
          <t>https://www.google.com/maps/place/?q=place_id:ChIJ7xOTzRMJCTkRR5c2ToCXDY8</t>
        </is>
      </c>
    </row>
    <row r="1741">
      <c r="A1741" s="9" t="n">
        <v>1737</v>
      </c>
      <c r="B1741" s="9" t="inlineStr">
        <is>
          <t>Pauri</t>
        </is>
      </c>
      <c r="C1741" s="9" t="inlineStr">
        <is>
          <t>Pauri</t>
        </is>
      </c>
      <c r="D1741" s="9" t="inlineStr">
        <is>
          <t>Uttarakhand</t>
        </is>
      </c>
      <c r="E1741" s="9" t="inlineStr">
        <is>
          <t>India</t>
        </is>
      </c>
      <c r="F1741" s="9" t="n">
        <v>1</v>
      </c>
      <c r="G1741" s="9" t="n">
        <v>1</v>
      </c>
      <c r="H1741" s="9" t="n">
        <v>1</v>
      </c>
      <c r="I1741" s="10" t="n">
        <v>43617</v>
      </c>
      <c r="J1741" s="10" t="n">
        <v>43617</v>
      </c>
      <c r="K1741" s="9" t="n">
        <v>30.09822</v>
      </c>
      <c r="L1741" s="9" t="n">
        <v>78.57656</v>
      </c>
      <c r="M1741" s="9" t="inlineStr">
        <is>
          <t>https://www.google.com/maps/place/?q=place_id:ChIJuS_kq5wLCTkRlfA6TTLK2Aw</t>
        </is>
      </c>
    </row>
    <row r="1742">
      <c r="A1742" s="9" t="n">
        <v>1738</v>
      </c>
      <c r="B1742" s="9" t="inlineStr">
        <is>
          <t>Pauri</t>
        </is>
      </c>
      <c r="C1742" s="9" t="inlineStr">
        <is>
          <t>Pauri</t>
        </is>
      </c>
      <c r="D1742" s="9" t="inlineStr">
        <is>
          <t>Uttarakhand</t>
        </is>
      </c>
      <c r="E1742" s="9" t="inlineStr">
        <is>
          <t>India</t>
        </is>
      </c>
      <c r="F1742" s="9" t="n">
        <v>1</v>
      </c>
      <c r="G1742" s="9" t="n">
        <v>1</v>
      </c>
      <c r="H1742" s="9" t="n">
        <v>1</v>
      </c>
      <c r="I1742" s="10" t="n">
        <v>45426</v>
      </c>
      <c r="J1742" s="10" t="n">
        <v>45426</v>
      </c>
      <c r="K1742" s="9" t="n">
        <v>30.14716</v>
      </c>
      <c r="L1742" s="9" t="n">
        <v>78.59781</v>
      </c>
      <c r="M1742" s="9" t="inlineStr">
        <is>
          <t>https://www.google.com/maps/place/?q=place_id:ChIJ3SIN-RIJCTkRWPnjUBZlzwg</t>
        </is>
      </c>
    </row>
    <row r="1743">
      <c r="A1743" s="9" t="n">
        <v>1739</v>
      </c>
      <c r="B1743" s="9" t="inlineStr">
        <is>
          <t>Rishikesh</t>
        </is>
      </c>
      <c r="C1743" s="9" t="inlineStr">
        <is>
          <t>Rishikesh</t>
        </is>
      </c>
      <c r="D1743" s="9" t="inlineStr">
        <is>
          <t>Uttarakhand</t>
        </is>
      </c>
      <c r="E1743" s="9" t="inlineStr">
        <is>
          <t>India</t>
        </is>
      </c>
      <c r="F1743" s="9" t="n">
        <v>13</v>
      </c>
      <c r="G1743" s="9" t="n">
        <v>12</v>
      </c>
      <c r="H1743" s="9" t="n">
        <v>4</v>
      </c>
      <c r="I1743" s="10" t="n">
        <v>43653</v>
      </c>
      <c r="J1743" s="10" t="n">
        <v>45230</v>
      </c>
      <c r="K1743" s="9" t="n">
        <v>30.1175</v>
      </c>
      <c r="L1743" s="9" t="n">
        <v>78.30497</v>
      </c>
      <c r="M1743" s="9" t="inlineStr">
        <is>
          <t>https://www.google.com/maps/place/?q=place_id:ChIJK_FjgHQ-CTkRnEkkF7Mgva0</t>
        </is>
      </c>
    </row>
    <row r="1744">
      <c r="A1744" s="9" t="n">
        <v>1740</v>
      </c>
      <c r="B1744" s="9" t="inlineStr">
        <is>
          <t>Rishikesh</t>
        </is>
      </c>
      <c r="C1744" s="9" t="inlineStr">
        <is>
          <t>Rishikesh</t>
        </is>
      </c>
      <c r="D1744" s="9" t="inlineStr">
        <is>
          <t>Uttarakhand</t>
        </is>
      </c>
      <c r="E1744" s="9" t="inlineStr">
        <is>
          <t>India</t>
        </is>
      </c>
      <c r="F1744" s="9" t="n">
        <v>6</v>
      </c>
      <c r="G1744" s="9" t="n">
        <v>7</v>
      </c>
      <c r="H1744" s="9" t="n">
        <v>1</v>
      </c>
      <c r="I1744" s="10" t="n">
        <v>44728</v>
      </c>
      <c r="J1744" s="10" t="n">
        <v>44734</v>
      </c>
      <c r="K1744" s="9" t="n">
        <v>30.14819</v>
      </c>
      <c r="L1744" s="9" t="n">
        <v>78.31518</v>
      </c>
      <c r="M1744" s="9" t="inlineStr">
        <is>
          <t>https://www.google.com/maps/place/?q=place_id:ChIJM-Kd98kXCTkR0XkBdk2cZ6g</t>
        </is>
      </c>
    </row>
    <row r="1745">
      <c r="A1745" s="9" t="n">
        <v>1741</v>
      </c>
      <c r="B1745" s="9" t="inlineStr">
        <is>
          <t>Rishikesh</t>
        </is>
      </c>
      <c r="C1745" s="9" t="inlineStr">
        <is>
          <t>Rishikesh</t>
        </is>
      </c>
      <c r="D1745" s="9" t="inlineStr">
        <is>
          <t>Uttarakhand</t>
        </is>
      </c>
      <c r="E1745" s="9" t="inlineStr">
        <is>
          <t>India</t>
        </is>
      </c>
      <c r="F1745" s="9" t="n">
        <v>6</v>
      </c>
      <c r="G1745" s="9" t="n">
        <v>8</v>
      </c>
      <c r="H1745" s="9" t="n">
        <v>2</v>
      </c>
      <c r="I1745" s="10" t="n">
        <v>45082</v>
      </c>
      <c r="J1745" s="10" t="n">
        <v>45228</v>
      </c>
      <c r="K1745" s="9" t="n">
        <v>30.13024</v>
      </c>
      <c r="L1745" s="9" t="n">
        <v>78.32241</v>
      </c>
      <c r="M1745" s="9" t="inlineStr">
        <is>
          <t>https://www.google.com/maps/place/?q=place_id:ChIJk0nwBLAXCTkRJZQRX8Q3Doc</t>
        </is>
      </c>
    </row>
    <row r="1746">
      <c r="A1746" s="9" t="n">
        <v>1742</v>
      </c>
      <c r="B1746" s="9" t="inlineStr">
        <is>
          <t>Rishikesh</t>
        </is>
      </c>
      <c r="C1746" s="9" t="inlineStr">
        <is>
          <t>Rishikesh</t>
        </is>
      </c>
      <c r="D1746" s="9" t="inlineStr">
        <is>
          <t>Uttarakhand</t>
        </is>
      </c>
      <c r="E1746" s="9" t="inlineStr">
        <is>
          <t>India</t>
        </is>
      </c>
      <c r="F1746" s="9" t="n">
        <v>4</v>
      </c>
      <c r="G1746" s="9" t="n">
        <v>4</v>
      </c>
      <c r="H1746" s="9" t="n">
        <v>2</v>
      </c>
      <c r="I1746" s="10" t="n">
        <v>45089</v>
      </c>
      <c r="J1746" s="10" t="n">
        <v>45427</v>
      </c>
      <c r="K1746" s="9" t="n">
        <v>30.11754</v>
      </c>
      <c r="L1746" s="9" t="n">
        <v>78.30493</v>
      </c>
      <c r="M1746" s="9" t="inlineStr">
        <is>
          <t>https://www.google.com/maps/place/?q=place_id:ChIJoRO2i4AXCTkRXJgeVN41xPQ</t>
        </is>
      </c>
    </row>
    <row r="1747">
      <c r="A1747" s="9" t="n">
        <v>1743</v>
      </c>
      <c r="B1747" s="9" t="inlineStr">
        <is>
          <t>Rishikesh</t>
        </is>
      </c>
      <c r="C1747" s="9" t="inlineStr">
        <is>
          <t>Rishikesh</t>
        </is>
      </c>
      <c r="D1747" s="9" t="inlineStr">
        <is>
          <t>Uttarakhand</t>
        </is>
      </c>
      <c r="E1747" s="9" t="inlineStr">
        <is>
          <t>India</t>
        </is>
      </c>
      <c r="F1747" s="9" t="n">
        <v>3</v>
      </c>
      <c r="G1747" s="9" t="n">
        <v>2</v>
      </c>
      <c r="H1747" s="9" t="n">
        <v>2</v>
      </c>
      <c r="I1747" s="10" t="n">
        <v>44712</v>
      </c>
      <c r="J1747" s="10" t="n">
        <v>45433</v>
      </c>
      <c r="K1747" s="9" t="n">
        <v>30.11761</v>
      </c>
      <c r="L1747" s="9" t="n">
        <v>78.30497</v>
      </c>
      <c r="M1747" s="9" t="inlineStr">
        <is>
          <t>https://www.google.com/maps/place/?q=place_id:ChIJDV4_Q8AXCTkR5u6a_LYGQZw</t>
        </is>
      </c>
    </row>
    <row r="1748">
      <c r="A1748" s="9" t="n">
        <v>1744</v>
      </c>
      <c r="B1748" s="9" t="inlineStr">
        <is>
          <t>Rishikesh</t>
        </is>
      </c>
      <c r="C1748" s="9" t="inlineStr">
        <is>
          <t>Rishikesh</t>
        </is>
      </c>
      <c r="D1748" s="9" t="inlineStr">
        <is>
          <t>Uttarakhand</t>
        </is>
      </c>
      <c r="E1748" s="9" t="inlineStr">
        <is>
          <t>India</t>
        </is>
      </c>
      <c r="F1748" s="9" t="n">
        <v>3</v>
      </c>
      <c r="G1748" s="9" t="n">
        <v>3</v>
      </c>
      <c r="H1748" s="9" t="n">
        <v>2</v>
      </c>
      <c r="I1748" s="10" t="n">
        <v>44724</v>
      </c>
      <c r="J1748" s="10" t="n">
        <v>45077</v>
      </c>
      <c r="K1748" s="9" t="n">
        <v>30.08966</v>
      </c>
      <c r="L1748" s="9" t="n">
        <v>78.28843999999999</v>
      </c>
      <c r="M1748" s="9" t="inlineStr">
        <is>
          <t>https://www.google.com/maps/place/?q=place_id:ChIJhefqpDA_CTkRUMakuZMft3U</t>
        </is>
      </c>
    </row>
    <row r="1749">
      <c r="A1749" s="9" t="n">
        <v>1745</v>
      </c>
      <c r="B1749" s="9" t="inlineStr">
        <is>
          <t>Rishikesh</t>
        </is>
      </c>
      <c r="C1749" s="9" t="inlineStr">
        <is>
          <t>Rishikesh</t>
        </is>
      </c>
      <c r="D1749" s="9" t="inlineStr">
        <is>
          <t>Uttarakhand</t>
        </is>
      </c>
      <c r="E1749" s="9" t="inlineStr">
        <is>
          <t>India</t>
        </is>
      </c>
      <c r="F1749" s="9" t="n">
        <v>2</v>
      </c>
      <c r="G1749" s="9" t="n">
        <v>2</v>
      </c>
      <c r="H1749" s="9" t="n">
        <v>2</v>
      </c>
      <c r="I1749" s="10" t="n">
        <v>43613</v>
      </c>
      <c r="J1749" s="10" t="n">
        <v>43733</v>
      </c>
      <c r="K1749" s="9" t="n">
        <v>29.99173</v>
      </c>
      <c r="L1749" s="9" t="n">
        <v>78.28964000000001</v>
      </c>
      <c r="M1749" s="9" t="inlineStr">
        <is>
          <t>https://www.google.com/maps/place/?q=place_id:ChIJQe430EdGCTkRvKAlIoQjlN8</t>
        </is>
      </c>
    </row>
    <row r="1750">
      <c r="A1750" s="9" t="n">
        <v>1746</v>
      </c>
      <c r="B1750" s="9" t="inlineStr">
        <is>
          <t>Rishikesh</t>
        </is>
      </c>
      <c r="C1750" s="9" t="inlineStr">
        <is>
          <t>Rishikesh</t>
        </is>
      </c>
      <c r="D1750" s="9" t="inlineStr">
        <is>
          <t>Uttarakhand</t>
        </is>
      </c>
      <c r="E1750" s="9" t="inlineStr">
        <is>
          <t>India</t>
        </is>
      </c>
      <c r="F1750" s="9" t="n">
        <v>2</v>
      </c>
      <c r="G1750" s="9" t="n">
        <v>4</v>
      </c>
      <c r="H1750" s="9" t="n">
        <v>2</v>
      </c>
      <c r="I1750" s="10" t="n">
        <v>43644</v>
      </c>
      <c r="J1750" s="10" t="n">
        <v>43655</v>
      </c>
      <c r="K1750" s="9" t="n">
        <v>30.11749</v>
      </c>
      <c r="L1750" s="9" t="n">
        <v>78.30482000000001</v>
      </c>
      <c r="M1750" s="9" t="inlineStr">
        <is>
          <t>https://www.google.com/maps/place/?q=place_id:ChIJ3yNY8RcWCTkRufGQ_kROWjc</t>
        </is>
      </c>
    </row>
    <row r="1751">
      <c r="A1751" s="9" t="n">
        <v>1747</v>
      </c>
      <c r="B1751" s="9" t="inlineStr">
        <is>
          <t>Rishikesh</t>
        </is>
      </c>
      <c r="C1751" s="9" t="inlineStr">
        <is>
          <t>Rishikesh</t>
        </is>
      </c>
      <c r="D1751" s="9" t="inlineStr">
        <is>
          <t>Uttarakhand</t>
        </is>
      </c>
      <c r="E1751" s="9" t="inlineStr">
        <is>
          <t>India</t>
        </is>
      </c>
      <c r="F1751" s="9" t="n">
        <v>2</v>
      </c>
      <c r="G1751" s="9" t="n">
        <v>2</v>
      </c>
      <c r="H1751" s="9" t="n">
        <v>2</v>
      </c>
      <c r="I1751" s="10" t="n">
        <v>43654</v>
      </c>
      <c r="J1751" s="10" t="n">
        <v>43717</v>
      </c>
      <c r="K1751" s="9" t="n">
        <v>30.11407</v>
      </c>
      <c r="L1751" s="9" t="n">
        <v>78.28258</v>
      </c>
      <c r="M1751" s="9" t="inlineStr">
        <is>
          <t>https://www.google.com/maps/place/?q=place_id:ChIJEX-uh_I9CTkRfgX9J2qzlGc</t>
        </is>
      </c>
    </row>
    <row r="1752">
      <c r="A1752" s="9" t="n">
        <v>1748</v>
      </c>
      <c r="B1752" s="9" t="inlineStr">
        <is>
          <t>Rishikesh</t>
        </is>
      </c>
      <c r="C1752" s="9" t="inlineStr">
        <is>
          <t>Rishikesh</t>
        </is>
      </c>
      <c r="D1752" s="9" t="inlineStr">
        <is>
          <t>Uttarakhand</t>
        </is>
      </c>
      <c r="E1752" s="9" t="inlineStr">
        <is>
          <t>India</t>
        </is>
      </c>
      <c r="F1752" s="9" t="n">
        <v>2</v>
      </c>
      <c r="G1752" s="9" t="n">
        <v>1</v>
      </c>
      <c r="H1752" s="9" t="n">
        <v>1</v>
      </c>
      <c r="I1752" s="10" t="n">
        <v>44733</v>
      </c>
      <c r="J1752" s="10" t="n">
        <v>44733</v>
      </c>
      <c r="K1752" s="9" t="n">
        <v>30.10388</v>
      </c>
      <c r="L1752" s="9" t="n">
        <v>78.2991</v>
      </c>
      <c r="M1752" s="9" t="inlineStr">
        <is>
          <t>https://www.google.com/maps/place/?q=place_id:ChIJJ6F4g8Y9CTkRywQ8V2Rjtls</t>
        </is>
      </c>
    </row>
    <row r="1753">
      <c r="A1753" s="9" t="n">
        <v>1749</v>
      </c>
      <c r="B1753" s="9" t="inlineStr">
        <is>
          <t>Rishikesh</t>
        </is>
      </c>
      <c r="C1753" s="9" t="inlineStr">
        <is>
          <t>Rishikesh</t>
        </is>
      </c>
      <c r="D1753" s="9" t="inlineStr">
        <is>
          <t>Uttarakhand</t>
        </is>
      </c>
      <c r="E1753" s="9" t="inlineStr">
        <is>
          <t>India</t>
        </is>
      </c>
      <c r="F1753" s="9" t="n">
        <v>2</v>
      </c>
      <c r="G1753" s="9" t="n">
        <v>2</v>
      </c>
      <c r="H1753" s="9" t="n">
        <v>2</v>
      </c>
      <c r="I1753" s="10" t="n">
        <v>45229</v>
      </c>
      <c r="J1753" s="10" t="n">
        <v>45427</v>
      </c>
      <c r="K1753" s="9" t="n">
        <v>30.11919</v>
      </c>
      <c r="L1753" s="9" t="n">
        <v>78.31246</v>
      </c>
      <c r="M1753" s="9" t="inlineStr">
        <is>
          <t>https://www.google.com/maps/place/?q=place_id:ChIJN065thUWCTkRrpCI3XVLzsQ</t>
        </is>
      </c>
    </row>
    <row r="1754">
      <c r="A1754" s="9" t="n">
        <v>1750</v>
      </c>
      <c r="B1754" s="9" t="inlineStr">
        <is>
          <t>Rishikesh</t>
        </is>
      </c>
      <c r="C1754" s="9" t="inlineStr">
        <is>
          <t>Rishikesh</t>
        </is>
      </c>
      <c r="D1754" s="9" t="inlineStr">
        <is>
          <t>Uttarakhand</t>
        </is>
      </c>
      <c r="E1754" s="9" t="inlineStr">
        <is>
          <t>India</t>
        </is>
      </c>
      <c r="F1754" s="9" t="n">
        <v>1</v>
      </c>
      <c r="G1754" s="9" t="n">
        <v>1</v>
      </c>
      <c r="H1754" s="9" t="n">
        <v>1</v>
      </c>
      <c r="I1754" s="10" t="n">
        <v>43613</v>
      </c>
      <c r="J1754" s="10" t="n">
        <v>43613</v>
      </c>
      <c r="K1754" s="9" t="n">
        <v>30.13783</v>
      </c>
      <c r="L1754" s="9" t="n">
        <v>78.33839999999999</v>
      </c>
      <c r="M1754" s="9" t="inlineStr">
        <is>
          <t>https://www.google.com/maps/place/?q=place_id:ChIJMSiQHFYWCTkR0sYNPWbm47w</t>
        </is>
      </c>
    </row>
    <row r="1755">
      <c r="A1755" s="9" t="n">
        <v>1751</v>
      </c>
      <c r="B1755" s="9" t="inlineStr">
        <is>
          <t>Rishikesh</t>
        </is>
      </c>
      <c r="C1755" s="9" t="inlineStr">
        <is>
          <t>Rishikesh</t>
        </is>
      </c>
      <c r="D1755" s="9" t="inlineStr">
        <is>
          <t>Uttarakhand</t>
        </is>
      </c>
      <c r="E1755" s="9" t="inlineStr">
        <is>
          <t>India</t>
        </is>
      </c>
      <c r="F1755" s="9" t="n">
        <v>1</v>
      </c>
      <c r="G1755" s="9" t="n">
        <v>1</v>
      </c>
      <c r="H1755" s="9" t="n">
        <v>1</v>
      </c>
      <c r="I1755" s="10" t="n">
        <v>43645</v>
      </c>
      <c r="J1755" s="10" t="n">
        <v>43645</v>
      </c>
      <c r="K1755" s="9" t="n">
        <v>30.12432</v>
      </c>
      <c r="L1755" s="9" t="n">
        <v>78.30645</v>
      </c>
      <c r="M1755" s="9" t="inlineStr">
        <is>
          <t>https://www.google.com/maps/place/?q=place_id:ChIJ0XMLuuQXCTkR9W-nWKocY8o</t>
        </is>
      </c>
    </row>
    <row r="1756">
      <c r="A1756" s="9" t="n">
        <v>1752</v>
      </c>
      <c r="B1756" s="9" t="inlineStr">
        <is>
          <t>Rishikesh</t>
        </is>
      </c>
      <c r="C1756" s="9" t="inlineStr">
        <is>
          <t>Rishikesh</t>
        </is>
      </c>
      <c r="D1756" s="9" t="inlineStr">
        <is>
          <t>Uttarakhand</t>
        </is>
      </c>
      <c r="E1756" s="9" t="inlineStr">
        <is>
          <t>India</t>
        </is>
      </c>
      <c r="F1756" s="9" t="n">
        <v>1</v>
      </c>
      <c r="G1756" s="9" t="n">
        <v>1</v>
      </c>
      <c r="H1756" s="9" t="n">
        <v>1</v>
      </c>
      <c r="I1756" s="10" t="n">
        <v>43654</v>
      </c>
      <c r="J1756" s="10" t="n">
        <v>43654</v>
      </c>
      <c r="K1756" s="9" t="n">
        <v>30.11298</v>
      </c>
      <c r="L1756" s="9" t="n">
        <v>78.29568999999999</v>
      </c>
      <c r="M1756" s="9" t="inlineStr">
        <is>
          <t>https://www.google.com/maps/place/?q=place_id:ChIJMwcE1dUXCTkRR8IW_TKam9g</t>
        </is>
      </c>
    </row>
    <row r="1757">
      <c r="A1757" s="9" t="n">
        <v>1753</v>
      </c>
      <c r="B1757" s="9" t="inlineStr">
        <is>
          <t>Rishikesh</t>
        </is>
      </c>
      <c r="C1757" s="9" t="inlineStr">
        <is>
          <t>Rishikesh</t>
        </is>
      </c>
      <c r="D1757" s="9" t="inlineStr">
        <is>
          <t>Uttarakhand</t>
        </is>
      </c>
      <c r="E1757" s="9" t="inlineStr">
        <is>
          <t>India</t>
        </is>
      </c>
      <c r="F1757" s="9" t="n">
        <v>1</v>
      </c>
      <c r="G1757" s="9" t="n">
        <v>1</v>
      </c>
      <c r="H1757" s="9" t="n">
        <v>1</v>
      </c>
      <c r="I1757" s="10" t="n">
        <v>43654</v>
      </c>
      <c r="J1757" s="10" t="n">
        <v>43654</v>
      </c>
      <c r="K1757" s="9" t="n">
        <v>30.06015</v>
      </c>
      <c r="L1757" s="9" t="n">
        <v>78.23374</v>
      </c>
      <c r="M1757" s="9" t="inlineStr">
        <is>
          <t>https://www.google.com/maps/place/?q=place_id:ChIJtZSgZO4-CTkR8Qp4xd7IRMw</t>
        </is>
      </c>
    </row>
    <row r="1758">
      <c r="A1758" s="9" t="n">
        <v>1754</v>
      </c>
      <c r="B1758" s="9" t="inlineStr">
        <is>
          <t>Rishikesh</t>
        </is>
      </c>
      <c r="C1758" s="9" t="inlineStr">
        <is>
          <t>Rishikesh</t>
        </is>
      </c>
      <c r="D1758" s="9" t="inlineStr">
        <is>
          <t>Uttarakhand</t>
        </is>
      </c>
      <c r="E1758" s="9" t="inlineStr">
        <is>
          <t>India</t>
        </is>
      </c>
      <c r="F1758" s="9" t="n">
        <v>1</v>
      </c>
      <c r="G1758" s="9" t="n">
        <v>1</v>
      </c>
      <c r="H1758" s="9" t="n">
        <v>1</v>
      </c>
      <c r="I1758" s="10" t="n">
        <v>43717</v>
      </c>
      <c r="J1758" s="10" t="n">
        <v>43717</v>
      </c>
      <c r="K1758" s="9" t="n">
        <v>30.07723</v>
      </c>
      <c r="L1758" s="9" t="n">
        <v>78.25123000000001</v>
      </c>
      <c r="M1758" s="9" t="inlineStr">
        <is>
          <t>https://www.google.com/maps/place/?q=place_id:ChIJr4xRv3I_CTkRGfc43PbqRGY</t>
        </is>
      </c>
    </row>
    <row r="1759">
      <c r="A1759" s="9" t="n">
        <v>1755</v>
      </c>
      <c r="B1759" s="9" t="inlineStr">
        <is>
          <t>Rishikesh</t>
        </is>
      </c>
      <c r="C1759" s="9" t="inlineStr">
        <is>
          <t>Rishikesh</t>
        </is>
      </c>
      <c r="D1759" s="9" t="inlineStr">
        <is>
          <t>Uttarakhand</t>
        </is>
      </c>
      <c r="E1759" s="9" t="inlineStr">
        <is>
          <t>India</t>
        </is>
      </c>
      <c r="F1759" s="9" t="n">
        <v>1</v>
      </c>
      <c r="G1759" s="9" t="n">
        <v>1</v>
      </c>
      <c r="H1759" s="9" t="n">
        <v>1</v>
      </c>
      <c r="I1759" s="10" t="n">
        <v>43724</v>
      </c>
      <c r="J1759" s="10" t="n">
        <v>43724</v>
      </c>
      <c r="K1759" s="9" t="n">
        <v>30.10024</v>
      </c>
      <c r="L1759" s="9" t="n">
        <v>78.27752</v>
      </c>
      <c r="M1759" s="9" t="inlineStr">
        <is>
          <t>https://www.google.com/maps/place/?q=place_id:ChIJwa7QauQ9CTkRSfcZHs2pfAs</t>
        </is>
      </c>
    </row>
    <row r="1760">
      <c r="A1760" s="9" t="n">
        <v>1756</v>
      </c>
      <c r="B1760" s="9" t="inlineStr">
        <is>
          <t>Rishikesh</t>
        </is>
      </c>
      <c r="C1760" s="9" t="inlineStr">
        <is>
          <t>Rishikesh</t>
        </is>
      </c>
      <c r="D1760" s="9" t="inlineStr">
        <is>
          <t>Uttarakhand</t>
        </is>
      </c>
      <c r="E1760" s="9" t="inlineStr">
        <is>
          <t>India</t>
        </is>
      </c>
      <c r="F1760" s="9" t="n">
        <v>1</v>
      </c>
      <c r="G1760" s="9" t="n">
        <v>1</v>
      </c>
      <c r="H1760" s="9" t="n">
        <v>1</v>
      </c>
      <c r="I1760" s="10" t="n">
        <v>44692</v>
      </c>
      <c r="J1760" s="10" t="n">
        <v>44692</v>
      </c>
      <c r="K1760" s="9" t="n">
        <v>30.07201</v>
      </c>
      <c r="L1760" s="9" t="n">
        <v>78.20231</v>
      </c>
      <c r="M1760" s="9" t="inlineStr">
        <is>
          <t>https://www.google.com/maps/place/?q=place_id:ChIJKWEaf4s_CTkR6JVf4rFnAUc</t>
        </is>
      </c>
    </row>
    <row r="1761">
      <c r="A1761" s="9" t="n">
        <v>1757</v>
      </c>
      <c r="B1761" s="9" t="inlineStr">
        <is>
          <t>Rishikesh</t>
        </is>
      </c>
      <c r="C1761" s="9" t="inlineStr">
        <is>
          <t>Rishikesh</t>
        </is>
      </c>
      <c r="D1761" s="9" t="inlineStr">
        <is>
          <t>Uttarakhand</t>
        </is>
      </c>
      <c r="E1761" s="9" t="inlineStr">
        <is>
          <t>India</t>
        </is>
      </c>
      <c r="F1761" s="9" t="n">
        <v>1</v>
      </c>
      <c r="G1761" s="9" t="n">
        <v>1</v>
      </c>
      <c r="H1761" s="9" t="n">
        <v>1</v>
      </c>
      <c r="I1761" s="10" t="n">
        <v>44728</v>
      </c>
      <c r="J1761" s="10" t="n">
        <v>44728</v>
      </c>
      <c r="K1761" s="9" t="n">
        <v>30.11605</v>
      </c>
      <c r="L1761" s="9" t="n">
        <v>78.30311</v>
      </c>
      <c r="M1761" s="9" t="inlineStr">
        <is>
          <t>https://www.google.com/maps/place/?q=place_id:ChIJD1YLNhgWCTkRaKwCS8kpa00</t>
        </is>
      </c>
    </row>
    <row r="1762">
      <c r="A1762" s="9" t="n">
        <v>1758</v>
      </c>
      <c r="B1762" s="9" t="inlineStr">
        <is>
          <t>Rishikesh</t>
        </is>
      </c>
      <c r="C1762" s="9" t="inlineStr">
        <is>
          <t>Rishikesh</t>
        </is>
      </c>
      <c r="D1762" s="9" t="inlineStr">
        <is>
          <t>Uttarakhand</t>
        </is>
      </c>
      <c r="E1762" s="9" t="inlineStr">
        <is>
          <t>India</t>
        </is>
      </c>
      <c r="F1762" s="9" t="n">
        <v>1</v>
      </c>
      <c r="G1762" s="9" t="n">
        <v>1</v>
      </c>
      <c r="H1762" s="9" t="n">
        <v>1</v>
      </c>
      <c r="I1762" s="10" t="n">
        <v>44728</v>
      </c>
      <c r="J1762" s="10" t="n">
        <v>44728</v>
      </c>
      <c r="K1762" s="9" t="n">
        <v>30.13089</v>
      </c>
      <c r="L1762" s="9" t="n">
        <v>78.32386</v>
      </c>
      <c r="M1762" s="9" t="inlineStr">
        <is>
          <t>https://www.google.com/maps/place/?q=place_id:ChIJY1BzvEQWCTkRdFbBgfpEm2I</t>
        </is>
      </c>
    </row>
    <row r="1763">
      <c r="A1763" s="9" t="n">
        <v>1759</v>
      </c>
      <c r="B1763" s="9" t="inlineStr">
        <is>
          <t>Rishikesh</t>
        </is>
      </c>
      <c r="C1763" s="9" t="inlineStr">
        <is>
          <t>Rishikesh</t>
        </is>
      </c>
      <c r="D1763" s="9" t="inlineStr">
        <is>
          <t>Uttarakhand</t>
        </is>
      </c>
      <c r="E1763" s="9" t="inlineStr">
        <is>
          <t>India</t>
        </is>
      </c>
      <c r="F1763" s="9" t="n">
        <v>1</v>
      </c>
      <c r="G1763" s="9" t="n">
        <v>1</v>
      </c>
      <c r="H1763" s="9" t="n">
        <v>1</v>
      </c>
      <c r="I1763" s="10" t="n">
        <v>44733</v>
      </c>
      <c r="J1763" s="10" t="n">
        <v>44733</v>
      </c>
      <c r="K1763" s="9" t="n">
        <v>30.12241</v>
      </c>
      <c r="L1763" s="9" t="n">
        <v>78.31021</v>
      </c>
      <c r="M1763" s="9" t="inlineStr">
        <is>
          <t>https://www.google.com/maps/place/?q=place_id:ChIJ46zHJNMXCTkRJ-jtda9wxys</t>
        </is>
      </c>
    </row>
    <row r="1764">
      <c r="A1764" s="9" t="n">
        <v>1760</v>
      </c>
      <c r="B1764" s="9" t="inlineStr">
        <is>
          <t>Rishikesh</t>
        </is>
      </c>
      <c r="C1764" s="9" t="inlineStr">
        <is>
          <t>Rishikesh</t>
        </is>
      </c>
      <c r="D1764" s="9" t="inlineStr">
        <is>
          <t>Uttarakhand</t>
        </is>
      </c>
      <c r="E1764" s="9" t="inlineStr">
        <is>
          <t>India</t>
        </is>
      </c>
      <c r="F1764" s="9" t="n">
        <v>1</v>
      </c>
      <c r="G1764" s="9" t="n">
        <v>1</v>
      </c>
      <c r="H1764" s="9" t="n">
        <v>1</v>
      </c>
      <c r="I1764" s="10" t="n">
        <v>44733</v>
      </c>
      <c r="J1764" s="10" t="n">
        <v>44733</v>
      </c>
      <c r="K1764" s="9" t="n">
        <v>30.11064</v>
      </c>
      <c r="L1764" s="9" t="n">
        <v>78.30305</v>
      </c>
      <c r="M1764" s="9" t="inlineStr">
        <is>
          <t>https://www.google.com/maps/place/?q=place_id:ChIJweW3QhoWCTkRfFvJd9mJFLM</t>
        </is>
      </c>
    </row>
    <row r="1765">
      <c r="A1765" s="9" t="n">
        <v>1761</v>
      </c>
      <c r="B1765" s="9" t="inlineStr">
        <is>
          <t>Rishikesh</t>
        </is>
      </c>
      <c r="C1765" s="9" t="inlineStr">
        <is>
          <t>Rishikesh</t>
        </is>
      </c>
      <c r="D1765" s="9" t="inlineStr">
        <is>
          <t>Uttarakhand</t>
        </is>
      </c>
      <c r="E1765" s="9" t="inlineStr">
        <is>
          <t>India</t>
        </is>
      </c>
      <c r="F1765" s="9" t="n">
        <v>1</v>
      </c>
      <c r="G1765" s="9" t="n">
        <v>1</v>
      </c>
      <c r="H1765" s="9" t="n">
        <v>1</v>
      </c>
      <c r="I1765" s="10" t="n">
        <v>44733</v>
      </c>
      <c r="J1765" s="10" t="n">
        <v>44733</v>
      </c>
      <c r="K1765" s="9" t="n">
        <v>30.12454</v>
      </c>
      <c r="L1765" s="9" t="n">
        <v>78.3546</v>
      </c>
      <c r="M1765" s="9" t="inlineStr">
        <is>
          <t>https://www.google.com/maps/place/?q=place_id:ChIJP-4kT-wWCTkRLlcAqwGYsrs</t>
        </is>
      </c>
    </row>
    <row r="1766">
      <c r="A1766" s="9" t="n">
        <v>1762</v>
      </c>
      <c r="B1766" s="9" t="inlineStr">
        <is>
          <t>Rishikesh</t>
        </is>
      </c>
      <c r="C1766" s="9" t="inlineStr">
        <is>
          <t>Rishikesh</t>
        </is>
      </c>
      <c r="D1766" s="9" t="inlineStr">
        <is>
          <t>Uttarakhand</t>
        </is>
      </c>
      <c r="E1766" s="9" t="inlineStr">
        <is>
          <t>India</t>
        </is>
      </c>
      <c r="F1766" s="9" t="n">
        <v>1</v>
      </c>
      <c r="G1766" s="9" t="n">
        <v>1</v>
      </c>
      <c r="H1766" s="9" t="n">
        <v>1</v>
      </c>
      <c r="I1766" s="10" t="n">
        <v>44734</v>
      </c>
      <c r="J1766" s="10" t="n">
        <v>44734</v>
      </c>
      <c r="K1766" s="9" t="n">
        <v>30.11156</v>
      </c>
      <c r="L1766" s="9" t="n">
        <v>78.30277</v>
      </c>
      <c r="M1766" s="9" t="inlineStr">
        <is>
          <t>https://www.google.com/maps/place/?q=place_id:ChIJSWK8XhoWCTkRlDqr6KPgC2g</t>
        </is>
      </c>
    </row>
    <row r="1767">
      <c r="A1767" s="9" t="n">
        <v>1763</v>
      </c>
      <c r="B1767" s="9" t="inlineStr">
        <is>
          <t>Rishikesh</t>
        </is>
      </c>
      <c r="C1767" s="9" t="inlineStr">
        <is>
          <t>Rishikesh</t>
        </is>
      </c>
      <c r="D1767" s="9" t="inlineStr">
        <is>
          <t>Uttarakhand</t>
        </is>
      </c>
      <c r="E1767" s="9" t="inlineStr">
        <is>
          <t>India</t>
        </is>
      </c>
      <c r="F1767" s="9" t="n">
        <v>1</v>
      </c>
      <c r="G1767" s="9" t="n">
        <v>1</v>
      </c>
      <c r="H1767" s="9" t="n">
        <v>1</v>
      </c>
      <c r="I1767" s="10" t="n">
        <v>45077</v>
      </c>
      <c r="J1767" s="10" t="n">
        <v>45077</v>
      </c>
      <c r="K1767" s="9" t="n">
        <v>30.11936</v>
      </c>
      <c r="L1767" s="9" t="n">
        <v>78.31168</v>
      </c>
      <c r="M1767" s="9" t="inlineStr">
        <is>
          <t>https://www.google.com/maps/place/?q=place_id:ChIJW3mHHz4WCTkRM_QL-PaZPVg</t>
        </is>
      </c>
    </row>
    <row r="1768">
      <c r="A1768" s="9" t="n">
        <v>1764</v>
      </c>
      <c r="B1768" s="9" t="inlineStr">
        <is>
          <t>Rishikesh</t>
        </is>
      </c>
      <c r="C1768" s="9" t="inlineStr">
        <is>
          <t>Rishikesh</t>
        </is>
      </c>
      <c r="D1768" s="9" t="inlineStr">
        <is>
          <t>Uttarakhand</t>
        </is>
      </c>
      <c r="E1768" s="9" t="inlineStr">
        <is>
          <t>India</t>
        </is>
      </c>
      <c r="F1768" s="9" t="n">
        <v>1</v>
      </c>
      <c r="G1768" s="9" t="n">
        <v>1</v>
      </c>
      <c r="H1768" s="9" t="n">
        <v>1</v>
      </c>
      <c r="I1768" s="10" t="n">
        <v>45077</v>
      </c>
      <c r="J1768" s="10" t="n">
        <v>45077</v>
      </c>
      <c r="K1768" s="9" t="n">
        <v>30.10235</v>
      </c>
      <c r="L1768" s="9" t="n">
        <v>78.29266</v>
      </c>
      <c r="M1768" s="9" t="inlineStr">
        <is>
          <t>https://www.google.com/maps/place/?q=place_id:ChIJifyym_g9CTkRk1H_9nynifw</t>
        </is>
      </c>
    </row>
    <row r="1769">
      <c r="A1769" s="9" t="n">
        <v>1765</v>
      </c>
      <c r="B1769" s="9" t="inlineStr">
        <is>
          <t>Rishikesh</t>
        </is>
      </c>
      <c r="C1769" s="9" t="inlineStr">
        <is>
          <t>Rishikesh</t>
        </is>
      </c>
      <c r="D1769" s="9" t="inlineStr">
        <is>
          <t>Uttarakhand</t>
        </is>
      </c>
      <c r="E1769" s="9" t="inlineStr">
        <is>
          <t>India</t>
        </is>
      </c>
      <c r="F1769" s="9" t="n">
        <v>1</v>
      </c>
      <c r="G1769" s="9" t="n">
        <v>1</v>
      </c>
      <c r="H1769" s="9" t="n">
        <v>1</v>
      </c>
      <c r="I1769" s="10" t="n">
        <v>45082</v>
      </c>
      <c r="J1769" s="10" t="n">
        <v>45082</v>
      </c>
      <c r="K1769" s="9" t="n">
        <v>30.12474</v>
      </c>
      <c r="L1769" s="9" t="n">
        <v>78.30408</v>
      </c>
      <c r="M1769" s="9" t="inlineStr">
        <is>
          <t>https://www.google.com/maps/place/?q=place_id:ChIJgWruqjwWCTkRehwA1wmXvRY</t>
        </is>
      </c>
    </row>
    <row r="1770">
      <c r="A1770" s="9" t="n">
        <v>1766</v>
      </c>
      <c r="B1770" s="9" t="inlineStr">
        <is>
          <t>Rishikesh</t>
        </is>
      </c>
      <c r="C1770" s="9" t="inlineStr">
        <is>
          <t>Rishikesh</t>
        </is>
      </c>
      <c r="D1770" s="9" t="inlineStr">
        <is>
          <t>Uttarakhand</t>
        </is>
      </c>
      <c r="E1770" s="9" t="inlineStr">
        <is>
          <t>India</t>
        </is>
      </c>
      <c r="F1770" s="9" t="n">
        <v>1</v>
      </c>
      <c r="G1770" s="9" t="n">
        <v>1</v>
      </c>
      <c r="H1770" s="9" t="n">
        <v>1</v>
      </c>
      <c r="I1770" s="10" t="n">
        <v>45086</v>
      </c>
      <c r="J1770" s="10" t="n">
        <v>45086</v>
      </c>
      <c r="K1770" s="9" t="n">
        <v>30.09639</v>
      </c>
      <c r="L1770" s="9" t="n">
        <v>78.28644</v>
      </c>
      <c r="M1770" s="9" t="inlineStr">
        <is>
          <t>https://www.google.com/maps/place/?q=place_id:ChIJbQ44z_09CTkRbnAvLYW7n3w</t>
        </is>
      </c>
    </row>
    <row r="1771">
      <c r="A1771" s="9" t="n">
        <v>1767</v>
      </c>
      <c r="B1771" s="9" t="inlineStr">
        <is>
          <t>Rishikesh</t>
        </is>
      </c>
      <c r="C1771" s="9" t="inlineStr">
        <is>
          <t>Rishikesh</t>
        </is>
      </c>
      <c r="D1771" s="9" t="inlineStr">
        <is>
          <t>Uttarakhand</t>
        </is>
      </c>
      <c r="E1771" s="9" t="inlineStr">
        <is>
          <t>India</t>
        </is>
      </c>
      <c r="F1771" s="9" t="n">
        <v>1</v>
      </c>
      <c r="G1771" s="9" t="n">
        <v>2</v>
      </c>
      <c r="H1771" s="9" t="n">
        <v>1</v>
      </c>
      <c r="I1771" s="10" t="n">
        <v>45086</v>
      </c>
      <c r="J1771" s="10" t="n">
        <v>45087</v>
      </c>
      <c r="K1771" s="9" t="n">
        <v>30.1267</v>
      </c>
      <c r="L1771" s="9" t="n">
        <v>78.35348999999999</v>
      </c>
      <c r="M1771" s="9" t="inlineStr">
        <is>
          <t>https://www.google.com/maps/place/?q=place_id:ChIJX8MGT-wWCTkRASlNCx4s3nM</t>
        </is>
      </c>
    </row>
    <row r="1772">
      <c r="A1772" s="9" t="n">
        <v>1768</v>
      </c>
      <c r="B1772" s="9" t="inlineStr">
        <is>
          <t>Rishikesh</t>
        </is>
      </c>
      <c r="C1772" s="9" t="inlineStr">
        <is>
          <t>Rishikesh</t>
        </is>
      </c>
      <c r="D1772" s="9" t="inlineStr">
        <is>
          <t>Uttarakhand</t>
        </is>
      </c>
      <c r="E1772" s="9" t="inlineStr">
        <is>
          <t>India</t>
        </is>
      </c>
      <c r="F1772" s="9" t="n">
        <v>1</v>
      </c>
      <c r="G1772" s="9" t="n">
        <v>1</v>
      </c>
      <c r="H1772" s="9" t="n">
        <v>1</v>
      </c>
      <c r="I1772" s="10" t="n">
        <v>45229</v>
      </c>
      <c r="J1772" s="10" t="n">
        <v>45229</v>
      </c>
      <c r="K1772" s="9" t="n">
        <v>30.12279</v>
      </c>
      <c r="L1772" s="9" t="n">
        <v>78.31092</v>
      </c>
      <c r="M1772" s="9" t="inlineStr">
        <is>
          <t>https://www.google.com/maps/place/?q=place_id:ChIJJd-rmj4WCTkR6NFcUyljo2Y</t>
        </is>
      </c>
    </row>
    <row r="1773">
      <c r="A1773" s="9" t="n">
        <v>1769</v>
      </c>
      <c r="B1773" s="9" t="inlineStr">
        <is>
          <t>Rishikesh</t>
        </is>
      </c>
      <c r="C1773" s="9" t="inlineStr">
        <is>
          <t>Rishikesh</t>
        </is>
      </c>
      <c r="D1773" s="9" t="inlineStr">
        <is>
          <t>Uttarakhand</t>
        </is>
      </c>
      <c r="E1773" s="9" t="inlineStr">
        <is>
          <t>India</t>
        </is>
      </c>
      <c r="F1773" s="9" t="n">
        <v>1</v>
      </c>
      <c r="G1773" s="9" t="n">
        <v>1</v>
      </c>
      <c r="H1773" s="9" t="n">
        <v>1</v>
      </c>
      <c r="I1773" s="10" t="n">
        <v>45229</v>
      </c>
      <c r="J1773" s="10" t="n">
        <v>45229</v>
      </c>
      <c r="K1773" s="9" t="n">
        <v>30.04821</v>
      </c>
      <c r="L1773" s="9" t="n">
        <v>78.25046</v>
      </c>
      <c r="M1773" s="9" t="inlineStr">
        <is>
          <t>https://www.google.com/maps/place/?q=place_id:ChIJp61aXFwWCTkRKmKw6vsLwLU</t>
        </is>
      </c>
    </row>
    <row r="1774">
      <c r="A1774" s="9" t="n">
        <v>1770</v>
      </c>
      <c r="B1774" s="9" t="inlineStr">
        <is>
          <t>Rishikesh</t>
        </is>
      </c>
      <c r="C1774" s="9" t="inlineStr">
        <is>
          <t>Rishikesh</t>
        </is>
      </c>
      <c r="D1774" s="9" t="inlineStr">
        <is>
          <t>Uttarakhand</t>
        </is>
      </c>
      <c r="E1774" s="9" t="inlineStr">
        <is>
          <t>India</t>
        </is>
      </c>
      <c r="F1774" s="9" t="n">
        <v>1</v>
      </c>
      <c r="G1774" s="9" t="n">
        <v>1</v>
      </c>
      <c r="H1774" s="9" t="n">
        <v>1</v>
      </c>
      <c r="I1774" s="10" t="n">
        <v>45427</v>
      </c>
      <c r="J1774" s="10" t="n">
        <v>45427</v>
      </c>
      <c r="K1774" s="9" t="n">
        <v>30.10739</v>
      </c>
      <c r="L1774" s="9" t="n">
        <v>78.30163</v>
      </c>
      <c r="M1774" s="9" t="inlineStr">
        <is>
          <t>https://www.google.com/maps/place/?q=place_id:ChIJD1bDKRsWCTkREH9E-MKofsc</t>
        </is>
      </c>
    </row>
    <row r="1775">
      <c r="A1775" s="9" t="n">
        <v>1771</v>
      </c>
      <c r="B1775" s="9" t="inlineStr">
        <is>
          <t>Rishikesh</t>
        </is>
      </c>
      <c r="C1775" s="9" t="inlineStr">
        <is>
          <t>Rishikesh</t>
        </is>
      </c>
      <c r="D1775" s="9" t="inlineStr">
        <is>
          <t>Uttarakhand</t>
        </is>
      </c>
      <c r="E1775" s="9" t="inlineStr">
        <is>
          <t>India</t>
        </is>
      </c>
      <c r="F1775" s="9" t="n">
        <v>1</v>
      </c>
      <c r="G1775" s="9" t="n">
        <v>1</v>
      </c>
      <c r="H1775" s="9" t="n">
        <v>1</v>
      </c>
      <c r="I1775" s="10" t="n">
        <v>45433</v>
      </c>
      <c r="J1775" s="10" t="n">
        <v>45433</v>
      </c>
      <c r="K1775" s="9" t="n">
        <v>30.08106</v>
      </c>
      <c r="L1775" s="9" t="n">
        <v>78.34056</v>
      </c>
      <c r="M1775" s="9" t="inlineStr">
        <is>
          <t>https://www.google.com/maps/place/?q=place_id:ChIJuc7MjTQUCTkRl1VQmnFMLxw</t>
        </is>
      </c>
    </row>
    <row r="1776">
      <c r="A1776" s="9" t="n">
        <v>1772</v>
      </c>
      <c r="B1776" s="9" t="inlineStr">
        <is>
          <t>Roorkee</t>
        </is>
      </c>
      <c r="C1776" s="9" t="inlineStr">
        <is>
          <t>Roorkee</t>
        </is>
      </c>
      <c r="D1776" s="9" t="inlineStr">
        <is>
          <t>Uttarakhand</t>
        </is>
      </c>
      <c r="E1776" s="9" t="inlineStr">
        <is>
          <t>India</t>
        </is>
      </c>
      <c r="F1776" s="9" t="n">
        <v>3</v>
      </c>
      <c r="G1776" s="9" t="n">
        <v>4</v>
      </c>
      <c r="H1776" s="9" t="n">
        <v>2</v>
      </c>
      <c r="I1776" s="10" t="n">
        <v>44698</v>
      </c>
      <c r="J1776" s="10" t="n">
        <v>44723</v>
      </c>
      <c r="K1776" s="9" t="n">
        <v>29.90067</v>
      </c>
      <c r="L1776" s="9" t="n">
        <v>77.98820000000001</v>
      </c>
      <c r="M1776" s="9" t="inlineStr">
        <is>
          <t>https://www.google.com/maps/place/?q=place_id:ChIJrSPoI2xJCTkRScYHUMRqZYs</t>
        </is>
      </c>
    </row>
    <row r="1777">
      <c r="A1777" s="9" t="n">
        <v>1773</v>
      </c>
      <c r="B1777" s="9" t="inlineStr">
        <is>
          <t>Srinagar</t>
        </is>
      </c>
      <c r="C1777" s="9" t="inlineStr">
        <is>
          <t>Srinagar</t>
        </is>
      </c>
      <c r="D1777" s="9" t="inlineStr">
        <is>
          <t>Uttarakhand</t>
        </is>
      </c>
      <c r="E1777" s="9" t="inlineStr">
        <is>
          <t>India</t>
        </is>
      </c>
      <c r="F1777" s="9" t="n">
        <v>11</v>
      </c>
      <c r="G1777" s="9" t="n">
        <v>9</v>
      </c>
      <c r="H1777" s="9" t="n">
        <v>8</v>
      </c>
      <c r="I1777" s="10" t="n">
        <v>43616</v>
      </c>
      <c r="J1777" s="10" t="n">
        <v>45462</v>
      </c>
      <c r="K1777" s="9" t="n">
        <v>30.74481</v>
      </c>
      <c r="L1777" s="9" t="n">
        <v>79.49126</v>
      </c>
      <c r="M1777" s="9" t="inlineStr">
        <is>
          <t>https://www.google.com/maps/place/?q=place_id:ChIJ5ag2xx-MpzkR75QOCiSXnLE</t>
        </is>
      </c>
    </row>
    <row r="1778">
      <c r="A1778" s="9" t="n">
        <v>1774</v>
      </c>
      <c r="B1778" s="9" t="inlineStr">
        <is>
          <t>Srinagar</t>
        </is>
      </c>
      <c r="C1778" s="9" t="inlineStr">
        <is>
          <t>Srinagar</t>
        </is>
      </c>
      <c r="D1778" s="9" t="inlineStr">
        <is>
          <t>Uttarakhand</t>
        </is>
      </c>
      <c r="E1778" s="9" t="inlineStr">
        <is>
          <t>India</t>
        </is>
      </c>
      <c r="F1778" s="9" t="n">
        <v>8</v>
      </c>
      <c r="G1778" s="9" t="n">
        <v>6</v>
      </c>
      <c r="H1778" s="9" t="n">
        <v>3</v>
      </c>
      <c r="I1778" s="10" t="n">
        <v>44849</v>
      </c>
      <c r="J1778" s="10" t="n">
        <v>45462</v>
      </c>
      <c r="K1778" s="9" t="n">
        <v>30.60455</v>
      </c>
      <c r="L1778" s="9" t="n">
        <v>79.02073</v>
      </c>
      <c r="M1778" s="9" t="inlineStr">
        <is>
          <t>https://www.google.com/maps/place/?q=place_id:ChIJId66RKg3CDkR_y6Ux7oV_1s</t>
        </is>
      </c>
    </row>
    <row r="1779">
      <c r="A1779" s="9" t="n">
        <v>1775</v>
      </c>
      <c r="B1779" s="9" t="inlineStr">
        <is>
          <t>Srinagar</t>
        </is>
      </c>
      <c r="C1779" s="9" t="inlineStr">
        <is>
          <t>Srinagar</t>
        </is>
      </c>
      <c r="D1779" s="9" t="inlineStr">
        <is>
          <t>Uttarakhand</t>
        </is>
      </c>
      <c r="E1779" s="9" t="inlineStr">
        <is>
          <t>India</t>
        </is>
      </c>
      <c r="F1779" s="9" t="n">
        <v>7</v>
      </c>
      <c r="G1779" s="9" t="n">
        <v>6</v>
      </c>
      <c r="H1779" s="9" t="n">
        <v>2</v>
      </c>
      <c r="I1779" s="10" t="n">
        <v>43649</v>
      </c>
      <c r="J1779" s="10" t="n">
        <v>43726</v>
      </c>
      <c r="K1779" s="9" t="n">
        <v>30.62393</v>
      </c>
      <c r="L1779" s="9" t="n">
        <v>78.99787999999999</v>
      </c>
      <c r="M1779" s="9" t="inlineStr">
        <is>
          <t>https://www.google.com/maps/place/?q=place_id:ChIJj2erVZNHCDkRulg0Bnik3zc</t>
        </is>
      </c>
    </row>
    <row r="1780">
      <c r="A1780" s="9" t="n">
        <v>1776</v>
      </c>
      <c r="B1780" s="9" t="inlineStr">
        <is>
          <t>Srinagar</t>
        </is>
      </c>
      <c r="C1780" s="9" t="inlineStr">
        <is>
          <t>Srinagar</t>
        </is>
      </c>
      <c r="D1780" s="9" t="inlineStr">
        <is>
          <t>Uttarakhand</t>
        </is>
      </c>
      <c r="E1780" s="9" t="inlineStr">
        <is>
          <t>India</t>
        </is>
      </c>
      <c r="F1780" s="9" t="n">
        <v>7</v>
      </c>
      <c r="G1780" s="9" t="n">
        <v>6</v>
      </c>
      <c r="H1780" s="9" t="n">
        <v>4</v>
      </c>
      <c r="I1780" s="10" t="n">
        <v>43653</v>
      </c>
      <c r="J1780" s="10" t="n">
        <v>44732</v>
      </c>
      <c r="K1780" s="9" t="n">
        <v>30.3</v>
      </c>
      <c r="L1780" s="9" t="n">
        <v>79.01009999999999</v>
      </c>
      <c r="M1780" s="9" t="inlineStr">
        <is>
          <t>https://www.google.com/maps/place/?q=place_id:ChIJuQMM2ybKCTkRFl3W7yUCpqk</t>
        </is>
      </c>
    </row>
    <row r="1781">
      <c r="A1781" s="9" t="n">
        <v>1777</v>
      </c>
      <c r="B1781" s="9" t="inlineStr">
        <is>
          <t>Srinagar</t>
        </is>
      </c>
      <c r="C1781" s="9" t="inlineStr">
        <is>
          <t>Srinagar</t>
        </is>
      </c>
      <c r="D1781" s="9" t="inlineStr">
        <is>
          <t>Uttarakhand</t>
        </is>
      </c>
      <c r="E1781" s="9" t="inlineStr">
        <is>
          <t>India</t>
        </is>
      </c>
      <c r="F1781" s="9" t="n">
        <v>6</v>
      </c>
      <c r="G1781" s="9" t="n">
        <v>6</v>
      </c>
      <c r="H1781" s="9" t="n">
        <v>3</v>
      </c>
      <c r="I1781" s="10" t="n">
        <v>43651</v>
      </c>
      <c r="J1781" s="10" t="n">
        <v>44851</v>
      </c>
      <c r="K1781" s="9" t="n">
        <v>30.74029</v>
      </c>
      <c r="L1781" s="9" t="n">
        <v>79.49626000000001</v>
      </c>
      <c r="M1781" s="9" t="inlineStr">
        <is>
          <t>https://www.google.com/maps/place/?q=place_id:ChIJNQIxxx-MpzkRdACWuUzzkTo</t>
        </is>
      </c>
    </row>
    <row r="1782">
      <c r="A1782" s="9" t="n">
        <v>1778</v>
      </c>
      <c r="B1782" s="9" t="inlineStr">
        <is>
          <t>Srinagar</t>
        </is>
      </c>
      <c r="C1782" s="9" t="inlineStr">
        <is>
          <t>Srinagar</t>
        </is>
      </c>
      <c r="D1782" s="9" t="inlineStr">
        <is>
          <t>Uttarakhand</t>
        </is>
      </c>
      <c r="E1782" s="9" t="inlineStr">
        <is>
          <t>India</t>
        </is>
      </c>
      <c r="F1782" s="9" t="n">
        <v>5</v>
      </c>
      <c r="G1782" s="9" t="n">
        <v>6</v>
      </c>
      <c r="H1782" s="9" t="n">
        <v>4</v>
      </c>
      <c r="I1782" s="10" t="n">
        <v>43614</v>
      </c>
      <c r="J1782" s="10" t="n">
        <v>45462</v>
      </c>
      <c r="K1782" s="9" t="n">
        <v>30.73541</v>
      </c>
      <c r="L1782" s="9" t="n">
        <v>79.06694</v>
      </c>
      <c r="M1782" s="9" t="inlineStr">
        <is>
          <t>https://www.google.com/maps/place/?q=place_id:ChIJtbCmiuA-CDkRAu4Clouuvds</t>
        </is>
      </c>
    </row>
    <row r="1783">
      <c r="A1783" s="9" t="n">
        <v>1779</v>
      </c>
      <c r="B1783" s="9" t="inlineStr">
        <is>
          <t>Srinagar</t>
        </is>
      </c>
      <c r="C1783" s="9" t="inlineStr">
        <is>
          <t>Srinagar</t>
        </is>
      </c>
      <c r="D1783" s="9" t="inlineStr">
        <is>
          <t>Uttarakhand</t>
        </is>
      </c>
      <c r="E1783" s="9" t="inlineStr">
        <is>
          <t>India</t>
        </is>
      </c>
      <c r="F1783" s="9" t="n">
        <v>5</v>
      </c>
      <c r="G1783" s="9" t="n">
        <v>6</v>
      </c>
      <c r="H1783" s="9" t="n">
        <v>3</v>
      </c>
      <c r="I1783" s="10" t="n">
        <v>44692</v>
      </c>
      <c r="J1783" s="10" t="n">
        <v>44728</v>
      </c>
      <c r="K1783" s="9" t="n">
        <v>30.56797</v>
      </c>
      <c r="L1783" s="9" t="n">
        <v>79.06005999999999</v>
      </c>
      <c r="M1783" s="9" t="inlineStr">
        <is>
          <t>https://www.google.com/maps/place/?q=place_id:ChIJYSHkygM3CDkRVkFPOZTI6tE</t>
        </is>
      </c>
    </row>
    <row r="1784">
      <c r="A1784" s="9" t="n">
        <v>1780</v>
      </c>
      <c r="B1784" s="9" t="inlineStr">
        <is>
          <t>Srinagar</t>
        </is>
      </c>
      <c r="C1784" s="9" t="inlineStr">
        <is>
          <t>Srinagar</t>
        </is>
      </c>
      <c r="D1784" s="9" t="inlineStr">
        <is>
          <t>Uttarakhand</t>
        </is>
      </c>
      <c r="E1784" s="9" t="inlineStr">
        <is>
          <t>India</t>
        </is>
      </c>
      <c r="F1784" s="9" t="n">
        <v>4</v>
      </c>
      <c r="G1784" s="9" t="n">
        <v>2</v>
      </c>
      <c r="H1784" s="9" t="n">
        <v>1</v>
      </c>
      <c r="I1784" s="10" t="n">
        <v>43728</v>
      </c>
      <c r="J1784" s="10" t="n">
        <v>43729</v>
      </c>
      <c r="K1784" s="9" t="n">
        <v>30.29846</v>
      </c>
      <c r="L1784" s="9" t="n">
        <v>79.02012999999999</v>
      </c>
      <c r="M1784" s="9" t="inlineStr">
        <is>
          <t>https://www.google.com/maps/place/?q=place_id:ChIJr6qqGtTJCTkRE3U_n4cLNks</t>
        </is>
      </c>
    </row>
    <row r="1785">
      <c r="A1785" s="9" t="n">
        <v>1781</v>
      </c>
      <c r="B1785" s="9" t="inlineStr">
        <is>
          <t>Srinagar</t>
        </is>
      </c>
      <c r="C1785" s="9" t="inlineStr">
        <is>
          <t>Srinagar</t>
        </is>
      </c>
      <c r="D1785" s="9" t="inlineStr">
        <is>
          <t>Uttarakhand</t>
        </is>
      </c>
      <c r="E1785" s="9" t="inlineStr">
        <is>
          <t>India</t>
        </is>
      </c>
      <c r="F1785" s="9" t="n">
        <v>4</v>
      </c>
      <c r="G1785" s="9" t="n">
        <v>3</v>
      </c>
      <c r="H1785" s="9" t="n">
        <v>3</v>
      </c>
      <c r="I1785" s="10" t="n">
        <v>44694</v>
      </c>
      <c r="J1785" s="10" t="n">
        <v>45080</v>
      </c>
      <c r="K1785" s="9" t="n">
        <v>30.72953</v>
      </c>
      <c r="L1785" s="9" t="n">
        <v>79.06786</v>
      </c>
      <c r="M1785" s="9" t="inlineStr">
        <is>
          <t>https://www.google.com/maps/place/?q=place_id:ChIJORPOSd4-CDkRYU6D7deQqVM</t>
        </is>
      </c>
    </row>
    <row r="1786">
      <c r="A1786" s="9" t="n">
        <v>1782</v>
      </c>
      <c r="B1786" s="9" t="inlineStr">
        <is>
          <t>Srinagar</t>
        </is>
      </c>
      <c r="C1786" s="9" t="inlineStr">
        <is>
          <t>Srinagar</t>
        </is>
      </c>
      <c r="D1786" s="9" t="inlineStr">
        <is>
          <t>Uttarakhand</t>
        </is>
      </c>
      <c r="E1786" s="9" t="inlineStr">
        <is>
          <t>India</t>
        </is>
      </c>
      <c r="F1786" s="9" t="n">
        <v>4</v>
      </c>
      <c r="G1786" s="9" t="n">
        <v>4</v>
      </c>
      <c r="H1786" s="9" t="n">
        <v>3</v>
      </c>
      <c r="I1786" s="10" t="n">
        <v>44707</v>
      </c>
      <c r="J1786" s="10" t="n">
        <v>45082</v>
      </c>
      <c r="K1786" s="9" t="n">
        <v>30.73723</v>
      </c>
      <c r="L1786" s="9" t="n">
        <v>79.49424</v>
      </c>
      <c r="M1786" s="9" t="inlineStr">
        <is>
          <t>https://www.google.com/maps/place/?q=place_id:ChIJ39fmpZ6DGjkRj53MZW0A6CI</t>
        </is>
      </c>
    </row>
    <row r="1787">
      <c r="A1787" s="9" t="n">
        <v>1783</v>
      </c>
      <c r="B1787" s="9" t="inlineStr">
        <is>
          <t>Srinagar</t>
        </is>
      </c>
      <c r="C1787" s="9" t="inlineStr">
        <is>
          <t>Srinagar</t>
        </is>
      </c>
      <c r="D1787" s="9" t="inlineStr">
        <is>
          <t>Uttarakhand</t>
        </is>
      </c>
      <c r="E1787" s="9" t="inlineStr">
        <is>
          <t>India</t>
        </is>
      </c>
      <c r="F1787" s="9" t="n">
        <v>4</v>
      </c>
      <c r="G1787" s="9" t="n">
        <v>4</v>
      </c>
      <c r="H1787" s="9" t="n">
        <v>2</v>
      </c>
      <c r="I1787" s="10" t="n">
        <v>45081</v>
      </c>
      <c r="J1787" s="10" t="n">
        <v>45463</v>
      </c>
      <c r="K1787" s="9" t="n">
        <v>30.7362</v>
      </c>
      <c r="L1787" s="9" t="n">
        <v>79.49368</v>
      </c>
      <c r="M1787" s="9" t="inlineStr">
        <is>
          <t>https://www.google.com/maps/place/?q=place_id:ChIJFYEVzdqPpzkRATV6ZxNQuY8</t>
        </is>
      </c>
    </row>
    <row r="1788">
      <c r="A1788" s="9" t="n">
        <v>1784</v>
      </c>
      <c r="B1788" s="9" t="inlineStr">
        <is>
          <t>Srinagar</t>
        </is>
      </c>
      <c r="C1788" s="9" t="inlineStr">
        <is>
          <t>Srinagar</t>
        </is>
      </c>
      <c r="D1788" s="9" t="inlineStr">
        <is>
          <t>Uttarakhand</t>
        </is>
      </c>
      <c r="E1788" s="9" t="inlineStr">
        <is>
          <t>India</t>
        </is>
      </c>
      <c r="F1788" s="9" t="n">
        <v>3</v>
      </c>
      <c r="G1788" s="9" t="n">
        <v>3</v>
      </c>
      <c r="H1788" s="9" t="n">
        <v>1</v>
      </c>
      <c r="I1788" s="10" t="n">
        <v>45087</v>
      </c>
      <c r="J1788" s="10" t="n">
        <v>45089</v>
      </c>
      <c r="K1788" s="9" t="n">
        <v>30.737</v>
      </c>
      <c r="L1788" s="9" t="n">
        <v>79.49487000000001</v>
      </c>
      <c r="M1788" s="9" t="inlineStr">
        <is>
          <t>https://www.google.com/maps/place/?q=place_id:ChIJOZ-v7AaPpzkRCEIRac-ahSU</t>
        </is>
      </c>
    </row>
    <row r="1789">
      <c r="A1789" s="9" t="n">
        <v>1785</v>
      </c>
      <c r="B1789" s="9" t="inlineStr">
        <is>
          <t>Srinagar</t>
        </is>
      </c>
      <c r="C1789" s="9" t="inlineStr">
        <is>
          <t>Srinagar</t>
        </is>
      </c>
      <c r="D1789" s="9" t="inlineStr">
        <is>
          <t>Uttarakhand</t>
        </is>
      </c>
      <c r="E1789" s="9" t="inlineStr">
        <is>
          <t>India</t>
        </is>
      </c>
      <c r="F1789" s="9" t="n">
        <v>2</v>
      </c>
      <c r="G1789" s="9" t="n">
        <v>2</v>
      </c>
      <c r="H1789" s="9" t="n">
        <v>2</v>
      </c>
      <c r="I1789" s="10" t="n">
        <v>43614</v>
      </c>
      <c r="J1789" s="10" t="n">
        <v>43725</v>
      </c>
      <c r="K1789" s="9" t="n">
        <v>30.5113</v>
      </c>
      <c r="L1789" s="9" t="n">
        <v>79.03057</v>
      </c>
      <c r="M1789" s="9" t="inlineStr">
        <is>
          <t>https://www.google.com/maps/place/?q=place_id:ChIJN4FOZ6u3CTkRAku-CmZWPxU</t>
        </is>
      </c>
    </row>
    <row r="1790">
      <c r="A1790" s="9" t="n">
        <v>1786</v>
      </c>
      <c r="B1790" s="9" t="inlineStr">
        <is>
          <t>Srinagar</t>
        </is>
      </c>
      <c r="C1790" s="9" t="inlineStr">
        <is>
          <t>Srinagar</t>
        </is>
      </c>
      <c r="D1790" s="9" t="inlineStr">
        <is>
          <t>Uttarakhand</t>
        </is>
      </c>
      <c r="E1790" s="9" t="inlineStr">
        <is>
          <t>India</t>
        </is>
      </c>
      <c r="F1790" s="9" t="n">
        <v>2</v>
      </c>
      <c r="G1790" s="9" t="n">
        <v>2</v>
      </c>
      <c r="H1790" s="9" t="n">
        <v>2</v>
      </c>
      <c r="I1790" s="10" t="n">
        <v>43616</v>
      </c>
      <c r="J1790" s="10" t="n">
        <v>44731</v>
      </c>
      <c r="K1790" s="9" t="n">
        <v>30.56264</v>
      </c>
      <c r="L1790" s="9" t="n">
        <v>79.57632</v>
      </c>
      <c r="M1790" s="9" t="inlineStr">
        <is>
          <t>https://www.google.com/maps/place/?q=place_id:ChIJYbxtIKScpzkR1nWyJ6C3Ps8</t>
        </is>
      </c>
    </row>
    <row r="1791">
      <c r="A1791" s="9" t="n">
        <v>1787</v>
      </c>
      <c r="B1791" s="9" t="inlineStr">
        <is>
          <t>Srinagar</t>
        </is>
      </c>
      <c r="C1791" s="9" t="inlineStr">
        <is>
          <t>Srinagar</t>
        </is>
      </c>
      <c r="D1791" s="9" t="inlineStr">
        <is>
          <t>Uttarakhand</t>
        </is>
      </c>
      <c r="E1791" s="9" t="inlineStr">
        <is>
          <t>India</t>
        </is>
      </c>
      <c r="F1791" s="9" t="n">
        <v>2</v>
      </c>
      <c r="G1791" s="9" t="n">
        <v>2</v>
      </c>
      <c r="H1791" s="9" t="n">
        <v>2</v>
      </c>
      <c r="I1791" s="10" t="n">
        <v>43616</v>
      </c>
      <c r="J1791" s="10" t="n">
        <v>44707</v>
      </c>
      <c r="K1791" s="9" t="n">
        <v>30.55708</v>
      </c>
      <c r="L1791" s="9" t="n">
        <v>79.55123</v>
      </c>
      <c r="M1791" s="9" t="inlineStr">
        <is>
          <t>https://www.google.com/maps/place/?q=place_id:ChIJBcJ4T1CDpzkRpq5eR8iNXv0</t>
        </is>
      </c>
    </row>
    <row r="1792">
      <c r="A1792" s="9" t="n">
        <v>1788</v>
      </c>
      <c r="B1792" s="9" t="inlineStr">
        <is>
          <t>Srinagar</t>
        </is>
      </c>
      <c r="C1792" s="9" t="inlineStr">
        <is>
          <t>Srinagar</t>
        </is>
      </c>
      <c r="D1792" s="9" t="inlineStr">
        <is>
          <t>Uttarakhand</t>
        </is>
      </c>
      <c r="E1792" s="9" t="inlineStr">
        <is>
          <t>India</t>
        </is>
      </c>
      <c r="F1792" s="9" t="n">
        <v>2</v>
      </c>
      <c r="G1792" s="9" t="n">
        <v>1</v>
      </c>
      <c r="H1792" s="9" t="n">
        <v>1</v>
      </c>
      <c r="I1792" s="10" t="n">
        <v>43616</v>
      </c>
      <c r="J1792" s="10" t="n">
        <v>43616</v>
      </c>
      <c r="K1792" s="9" t="n">
        <v>30.49112</v>
      </c>
      <c r="L1792" s="9" t="n">
        <v>79.08569</v>
      </c>
      <c r="M1792" s="9" t="inlineStr">
        <is>
          <t>https://www.google.com/maps/place/?q=place_id:ChIJlXLqNq0JCTkRsXKcdfbKw3A</t>
        </is>
      </c>
    </row>
    <row r="1793">
      <c r="A1793" s="9" t="n">
        <v>1789</v>
      </c>
      <c r="B1793" s="9" t="inlineStr">
        <is>
          <t>Srinagar</t>
        </is>
      </c>
      <c r="C1793" s="9" t="inlineStr">
        <is>
          <t>Srinagar</t>
        </is>
      </c>
      <c r="D1793" s="9" t="inlineStr">
        <is>
          <t>Uttarakhand</t>
        </is>
      </c>
      <c r="E1793" s="9" t="inlineStr">
        <is>
          <t>India</t>
        </is>
      </c>
      <c r="F1793" s="9" t="n">
        <v>2</v>
      </c>
      <c r="G1793" s="9" t="n">
        <v>2</v>
      </c>
      <c r="H1793" s="9" t="n">
        <v>2</v>
      </c>
      <c r="I1793" s="10" t="n">
        <v>43725</v>
      </c>
      <c r="J1793" s="10" t="n">
        <v>44694</v>
      </c>
      <c r="K1793" s="9" t="n">
        <v>30.57572</v>
      </c>
      <c r="L1793" s="9" t="n">
        <v>79.04918000000001</v>
      </c>
      <c r="M1793" s="9" t="inlineStr">
        <is>
          <t>https://www.google.com/maps/place/?q=place_id:ChIJ8wg7gGc3CDkRSX8Oa7-vgNs</t>
        </is>
      </c>
    </row>
    <row r="1794">
      <c r="A1794" s="9" t="n">
        <v>1790</v>
      </c>
      <c r="B1794" s="9" t="inlineStr">
        <is>
          <t>Srinagar</t>
        </is>
      </c>
      <c r="C1794" s="9" t="inlineStr">
        <is>
          <t>Srinagar</t>
        </is>
      </c>
      <c r="D1794" s="9" t="inlineStr">
        <is>
          <t>Uttarakhand</t>
        </is>
      </c>
      <c r="E1794" s="9" t="inlineStr">
        <is>
          <t>India</t>
        </is>
      </c>
      <c r="F1794" s="9" t="n">
        <v>2</v>
      </c>
      <c r="G1794" s="9" t="n">
        <v>2</v>
      </c>
      <c r="H1794" s="9" t="n">
        <v>2</v>
      </c>
      <c r="I1794" s="10" t="n">
        <v>44693</v>
      </c>
      <c r="J1794" s="10" t="n">
        <v>44706</v>
      </c>
      <c r="K1794" s="9" t="n">
        <v>30.583</v>
      </c>
      <c r="L1794" s="9" t="n">
        <v>79.03386999999999</v>
      </c>
      <c r="M1794" s="9" t="inlineStr">
        <is>
          <t>https://www.google.com/maps/place/?q=place_id:ChIJ0xueAQo3CDkRjwrtPAPQDLo</t>
        </is>
      </c>
    </row>
    <row r="1795">
      <c r="A1795" s="9" t="n">
        <v>1791</v>
      </c>
      <c r="B1795" s="9" t="inlineStr">
        <is>
          <t>Srinagar</t>
        </is>
      </c>
      <c r="C1795" s="9" t="inlineStr">
        <is>
          <t>Srinagar</t>
        </is>
      </c>
      <c r="D1795" s="9" t="inlineStr">
        <is>
          <t>Uttarakhand</t>
        </is>
      </c>
      <c r="E1795" s="9" t="inlineStr">
        <is>
          <t>India</t>
        </is>
      </c>
      <c r="F1795" s="9" t="n">
        <v>2</v>
      </c>
      <c r="G1795" s="9" t="n">
        <v>3</v>
      </c>
      <c r="H1795" s="9" t="n">
        <v>1</v>
      </c>
      <c r="I1795" s="10" t="n">
        <v>44729</v>
      </c>
      <c r="J1795" s="10" t="n">
        <v>44731</v>
      </c>
      <c r="K1795" s="9" t="n">
        <v>30.74331</v>
      </c>
      <c r="L1795" s="9" t="n">
        <v>79.49375999999999</v>
      </c>
      <c r="M1795" s="9" t="inlineStr">
        <is>
          <t>https://www.google.com/maps/place/?q=place_id:ChIJDeOJ5J-OpzkRfHfi6GDFw7s</t>
        </is>
      </c>
    </row>
    <row r="1796">
      <c r="A1796" s="9" t="n">
        <v>1792</v>
      </c>
      <c r="B1796" s="9" t="inlineStr">
        <is>
          <t>Srinagar</t>
        </is>
      </c>
      <c r="C1796" s="9" t="inlineStr">
        <is>
          <t>Srinagar</t>
        </is>
      </c>
      <c r="D1796" s="9" t="inlineStr">
        <is>
          <t>Uttarakhand</t>
        </is>
      </c>
      <c r="E1796" s="9" t="inlineStr">
        <is>
          <t>India</t>
        </is>
      </c>
      <c r="F1796" s="9" t="n">
        <v>2</v>
      </c>
      <c r="G1796" s="9" t="n">
        <v>2</v>
      </c>
      <c r="H1796" s="9" t="n">
        <v>1</v>
      </c>
      <c r="I1796" s="10" t="n">
        <v>44850</v>
      </c>
      <c r="J1796" s="10" t="n">
        <v>44851</v>
      </c>
      <c r="K1796" s="9" t="n">
        <v>30.73866</v>
      </c>
      <c r="L1796" s="9" t="n">
        <v>79.49482</v>
      </c>
      <c r="M1796" s="9" t="inlineStr">
        <is>
          <t>https://www.google.com/maps/place/?q=place_id:ChIJ3VUBNJ-OpzkRAajTCHC6ZRE</t>
        </is>
      </c>
    </row>
    <row r="1797">
      <c r="A1797" s="9" t="n">
        <v>1793</v>
      </c>
      <c r="B1797" s="9" t="inlineStr">
        <is>
          <t>Srinagar</t>
        </is>
      </c>
      <c r="C1797" s="9" t="inlineStr">
        <is>
          <t>Srinagar</t>
        </is>
      </c>
      <c r="D1797" s="9" t="inlineStr">
        <is>
          <t>Uttarakhand</t>
        </is>
      </c>
      <c r="E1797" s="9" t="inlineStr">
        <is>
          <t>India</t>
        </is>
      </c>
      <c r="F1797" s="9" t="n">
        <v>2</v>
      </c>
      <c r="G1797" s="9" t="n">
        <v>2</v>
      </c>
      <c r="H1797" s="9" t="n">
        <v>2</v>
      </c>
      <c r="I1797" s="10" t="n">
        <v>45081</v>
      </c>
      <c r="J1797" s="10" t="n">
        <v>45088</v>
      </c>
      <c r="K1797" s="9" t="n">
        <v>30.74544</v>
      </c>
      <c r="L1797" s="9" t="n">
        <v>79.49334</v>
      </c>
      <c r="M1797" s="9" t="inlineStr">
        <is>
          <t>https://www.google.com/maps/place/?q=place_id:ChIJ_dxH4g6NpzkRxEmYJ8eQvjk</t>
        </is>
      </c>
    </row>
    <row r="1798">
      <c r="A1798" s="9" t="n">
        <v>1794</v>
      </c>
      <c r="B1798" s="9" t="inlineStr">
        <is>
          <t>Srinagar</t>
        </is>
      </c>
      <c r="C1798" s="9" t="inlineStr">
        <is>
          <t>Srinagar</t>
        </is>
      </c>
      <c r="D1798" s="9" t="inlineStr">
        <is>
          <t>Uttarakhand</t>
        </is>
      </c>
      <c r="E1798" s="9" t="inlineStr">
        <is>
          <t>India</t>
        </is>
      </c>
      <c r="F1798" s="9" t="n">
        <v>1</v>
      </c>
      <c r="G1798" s="9" t="n">
        <v>2</v>
      </c>
      <c r="H1798" s="9" t="n">
        <v>1</v>
      </c>
      <c r="I1798" s="10" t="n">
        <v>43613</v>
      </c>
      <c r="J1798" s="10" t="n">
        <v>43614</v>
      </c>
      <c r="K1798" s="9" t="n">
        <v>30.57757</v>
      </c>
      <c r="L1798" s="9" t="n">
        <v>79.03952</v>
      </c>
      <c r="M1798" s="9" t="inlineStr">
        <is>
          <t>https://www.google.com/maps/place/?q=place_id:ChIJHUwKr8k3CDkRI4PEOCE978s</t>
        </is>
      </c>
    </row>
    <row r="1799">
      <c r="A1799" s="9" t="n">
        <v>1795</v>
      </c>
      <c r="B1799" s="9" t="inlineStr">
        <is>
          <t>Srinagar</t>
        </is>
      </c>
      <c r="C1799" s="9" t="inlineStr">
        <is>
          <t>Srinagar</t>
        </is>
      </c>
      <c r="D1799" s="9" t="inlineStr">
        <is>
          <t>Uttarakhand</t>
        </is>
      </c>
      <c r="E1799" s="9" t="inlineStr">
        <is>
          <t>India</t>
        </is>
      </c>
      <c r="F1799" s="9" t="n">
        <v>1</v>
      </c>
      <c r="G1799" s="9" t="n">
        <v>1</v>
      </c>
      <c r="H1799" s="9" t="n">
        <v>1</v>
      </c>
      <c r="I1799" s="10" t="n">
        <v>43614</v>
      </c>
      <c r="J1799" s="10" t="n">
        <v>43614</v>
      </c>
      <c r="K1799" s="9" t="n">
        <v>30.39073</v>
      </c>
      <c r="L1799" s="9" t="n">
        <v>79.02636</v>
      </c>
      <c r="M1799" s="9" t="inlineStr">
        <is>
          <t>https://www.google.com/maps/place/?q=place_id:ChIJ84jXvYXKCTkRDmA3-CyAfQM</t>
        </is>
      </c>
    </row>
    <row r="1800">
      <c r="A1800" s="9" t="n">
        <v>1796</v>
      </c>
      <c r="B1800" s="9" t="inlineStr">
        <is>
          <t>Srinagar</t>
        </is>
      </c>
      <c r="C1800" s="9" t="inlineStr">
        <is>
          <t>Srinagar</t>
        </is>
      </c>
      <c r="D1800" s="9" t="inlineStr">
        <is>
          <t>Uttarakhand</t>
        </is>
      </c>
      <c r="E1800" s="9" t="inlineStr">
        <is>
          <t>India</t>
        </is>
      </c>
      <c r="F1800" s="9" t="n">
        <v>1</v>
      </c>
      <c r="G1800" s="9" t="n">
        <v>1</v>
      </c>
      <c r="H1800" s="9" t="n">
        <v>1</v>
      </c>
      <c r="I1800" s="10" t="n">
        <v>43614</v>
      </c>
      <c r="J1800" s="10" t="n">
        <v>43614</v>
      </c>
      <c r="K1800" s="9" t="n">
        <v>30.70681</v>
      </c>
      <c r="L1800" s="9" t="n">
        <v>79.06525999999999</v>
      </c>
      <c r="M1800" s="9" t="inlineStr">
        <is>
          <t>https://www.google.com/maps/place/?q=place_id:ChIJQ5x4lso5CDkR-_DM8fxqRTI</t>
        </is>
      </c>
    </row>
    <row r="1801">
      <c r="A1801" s="9" t="n">
        <v>1797</v>
      </c>
      <c r="B1801" s="9" t="inlineStr">
        <is>
          <t>Srinagar</t>
        </is>
      </c>
      <c r="C1801" s="9" t="inlineStr">
        <is>
          <t>Srinagar</t>
        </is>
      </c>
      <c r="D1801" s="9" t="inlineStr">
        <is>
          <t>Uttarakhand</t>
        </is>
      </c>
      <c r="E1801" s="9" t="inlineStr">
        <is>
          <t>India</t>
        </is>
      </c>
      <c r="F1801" s="9" t="n">
        <v>1</v>
      </c>
      <c r="G1801" s="9" t="n">
        <v>1</v>
      </c>
      <c r="H1801" s="9" t="n">
        <v>1</v>
      </c>
      <c r="I1801" s="10" t="n">
        <v>43614</v>
      </c>
      <c r="J1801" s="10" t="n">
        <v>43614</v>
      </c>
      <c r="K1801" s="9" t="n">
        <v>30.70953</v>
      </c>
      <c r="L1801" s="9" t="n">
        <v>79.06899</v>
      </c>
      <c r="M1801" s="9" t="inlineStr">
        <is>
          <t>https://www.google.com/maps/place/?q=place_id:ChIJFxl0nWk_CDkRN6S_PluHpkc</t>
        </is>
      </c>
    </row>
    <row r="1802">
      <c r="A1802" s="9" t="n">
        <v>1798</v>
      </c>
      <c r="B1802" s="9" t="inlineStr">
        <is>
          <t>Srinagar</t>
        </is>
      </c>
      <c r="C1802" s="9" t="inlineStr">
        <is>
          <t>Srinagar</t>
        </is>
      </c>
      <c r="D1802" s="9" t="inlineStr">
        <is>
          <t>Uttarakhand</t>
        </is>
      </c>
      <c r="E1802" s="9" t="inlineStr">
        <is>
          <t>India</t>
        </is>
      </c>
      <c r="F1802" s="9" t="n">
        <v>1</v>
      </c>
      <c r="G1802" s="9" t="n">
        <v>1</v>
      </c>
      <c r="H1802" s="9" t="n">
        <v>1</v>
      </c>
      <c r="I1802" s="10" t="n">
        <v>43615</v>
      </c>
      <c r="J1802" s="10" t="n">
        <v>43615</v>
      </c>
      <c r="K1802" s="9" t="n">
        <v>30.52651</v>
      </c>
      <c r="L1802" s="9" t="n">
        <v>79.08505</v>
      </c>
      <c r="M1802" s="9" t="inlineStr">
        <is>
          <t>https://www.google.com/maps/place/?q=place_id:ChIJt8ymQiA0CDkRLR0mq8Q_rCc</t>
        </is>
      </c>
    </row>
    <row r="1803">
      <c r="A1803" s="9" t="n">
        <v>1799</v>
      </c>
      <c r="B1803" s="9" t="inlineStr">
        <is>
          <t>Srinagar</t>
        </is>
      </c>
      <c r="C1803" s="9" t="inlineStr">
        <is>
          <t>Srinagar</t>
        </is>
      </c>
      <c r="D1803" s="9" t="inlineStr">
        <is>
          <t>Uttarakhand</t>
        </is>
      </c>
      <c r="E1803" s="9" t="inlineStr">
        <is>
          <t>India</t>
        </is>
      </c>
      <c r="F1803" s="9" t="n">
        <v>1</v>
      </c>
      <c r="G1803" s="9" t="n">
        <v>1</v>
      </c>
      <c r="H1803" s="9" t="n">
        <v>1</v>
      </c>
      <c r="I1803" s="10" t="n">
        <v>43615</v>
      </c>
      <c r="J1803" s="10" t="n">
        <v>43615</v>
      </c>
      <c r="K1803" s="9" t="n">
        <v>30.41695</v>
      </c>
      <c r="L1803" s="9" t="n">
        <v>79.31947</v>
      </c>
      <c r="M1803" s="9" t="inlineStr">
        <is>
          <t>https://www.google.com/maps/place/?q=place_id:ChIJt0v5S_HUCTkR5tSFEBBsGUk</t>
        </is>
      </c>
    </row>
    <row r="1804">
      <c r="A1804" s="9" t="n">
        <v>1800</v>
      </c>
      <c r="B1804" s="9" t="inlineStr">
        <is>
          <t>Srinagar</t>
        </is>
      </c>
      <c r="C1804" s="9" t="inlineStr">
        <is>
          <t>Srinagar</t>
        </is>
      </c>
      <c r="D1804" s="9" t="inlineStr">
        <is>
          <t>Uttarakhand</t>
        </is>
      </c>
      <c r="E1804" s="9" t="inlineStr">
        <is>
          <t>India</t>
        </is>
      </c>
      <c r="F1804" s="9" t="n">
        <v>1</v>
      </c>
      <c r="G1804" s="9" t="n">
        <v>1</v>
      </c>
      <c r="H1804" s="9" t="n">
        <v>1</v>
      </c>
      <c r="I1804" s="10" t="n">
        <v>43615</v>
      </c>
      <c r="J1804" s="10" t="n">
        <v>43615</v>
      </c>
      <c r="K1804" s="9" t="n">
        <v>30.40969</v>
      </c>
      <c r="L1804" s="9" t="n">
        <v>79.31729</v>
      </c>
      <c r="M1804" s="9" t="inlineStr">
        <is>
          <t>https://www.google.com/maps/place/?q=place_id:ChIJ-7r8Q1_UCTkR6vhgXSiNOmQ</t>
        </is>
      </c>
    </row>
    <row r="1805">
      <c r="A1805" s="9" t="n">
        <v>1801</v>
      </c>
      <c r="B1805" s="9" t="inlineStr">
        <is>
          <t>Srinagar</t>
        </is>
      </c>
      <c r="C1805" s="9" t="inlineStr">
        <is>
          <t>Srinagar</t>
        </is>
      </c>
      <c r="D1805" s="9" t="inlineStr">
        <is>
          <t>Uttarakhand</t>
        </is>
      </c>
      <c r="E1805" s="9" t="inlineStr">
        <is>
          <t>India</t>
        </is>
      </c>
      <c r="F1805" s="9" t="n">
        <v>1</v>
      </c>
      <c r="G1805" s="9" t="n">
        <v>1</v>
      </c>
      <c r="H1805" s="9" t="n">
        <v>1</v>
      </c>
      <c r="I1805" s="10" t="n">
        <v>43615</v>
      </c>
      <c r="J1805" s="10" t="n">
        <v>43615</v>
      </c>
      <c r="K1805" s="9" t="n">
        <v>30.40165</v>
      </c>
      <c r="L1805" s="9" t="n">
        <v>79.33096</v>
      </c>
      <c r="M1805" s="9" t="inlineStr">
        <is>
          <t>https://www.google.com/maps/place/?q=place_id:ChIJQ3Hb1YHVCTkR4NgVSzrxqDk</t>
        </is>
      </c>
    </row>
    <row r="1806">
      <c r="A1806" s="9" t="n">
        <v>1802</v>
      </c>
      <c r="B1806" s="9" t="inlineStr">
        <is>
          <t>Srinagar</t>
        </is>
      </c>
      <c r="C1806" s="9" t="inlineStr">
        <is>
          <t>Srinagar</t>
        </is>
      </c>
      <c r="D1806" s="9" t="inlineStr">
        <is>
          <t>Uttarakhand</t>
        </is>
      </c>
      <c r="E1806" s="9" t="inlineStr">
        <is>
          <t>India</t>
        </is>
      </c>
      <c r="F1806" s="9" t="n">
        <v>1</v>
      </c>
      <c r="G1806" s="9" t="n">
        <v>1</v>
      </c>
      <c r="H1806" s="9" t="n">
        <v>1</v>
      </c>
      <c r="I1806" s="10" t="n">
        <v>43615</v>
      </c>
      <c r="J1806" s="10" t="n">
        <v>43615</v>
      </c>
      <c r="K1806" s="9" t="n">
        <v>30.46195</v>
      </c>
      <c r="L1806" s="9" t="n">
        <v>79.44486000000001</v>
      </c>
      <c r="M1806" s="9" t="inlineStr">
        <is>
          <t>https://www.google.com/maps/place/?q=place_id:ChIJfcX5JmF_pzkRPivJkcF1K5Y</t>
        </is>
      </c>
    </row>
    <row r="1807">
      <c r="A1807" s="9" t="n">
        <v>1803</v>
      </c>
      <c r="B1807" s="9" t="inlineStr">
        <is>
          <t>Srinagar</t>
        </is>
      </c>
      <c r="C1807" s="9" t="inlineStr">
        <is>
          <t>Srinagar</t>
        </is>
      </c>
      <c r="D1807" s="9" t="inlineStr">
        <is>
          <t>Uttarakhand</t>
        </is>
      </c>
      <c r="E1807" s="9" t="inlineStr">
        <is>
          <t>India</t>
        </is>
      </c>
      <c r="F1807" s="9" t="n">
        <v>1</v>
      </c>
      <c r="G1807" s="9" t="n">
        <v>1</v>
      </c>
      <c r="H1807" s="9" t="n">
        <v>1</v>
      </c>
      <c r="I1807" s="10" t="n">
        <v>43615</v>
      </c>
      <c r="J1807" s="10" t="n">
        <v>43615</v>
      </c>
      <c r="K1807" s="9" t="n">
        <v>30.55538</v>
      </c>
      <c r="L1807" s="9" t="n">
        <v>79.54522</v>
      </c>
      <c r="M1807" s="9" t="inlineStr">
        <is>
          <t>https://www.google.com/maps/place/?q=place_id:ChIJtWqLOVuDpzkRESWx5A14tp0</t>
        </is>
      </c>
    </row>
    <row r="1808">
      <c r="A1808" s="9" t="n">
        <v>1804</v>
      </c>
      <c r="B1808" s="9" t="inlineStr">
        <is>
          <t>Srinagar</t>
        </is>
      </c>
      <c r="C1808" s="9" t="inlineStr">
        <is>
          <t>Srinagar</t>
        </is>
      </c>
      <c r="D1808" s="9" t="inlineStr">
        <is>
          <t>Uttarakhand</t>
        </is>
      </c>
      <c r="E1808" s="9" t="inlineStr">
        <is>
          <t>India</t>
        </is>
      </c>
      <c r="F1808" s="9" t="n">
        <v>1</v>
      </c>
      <c r="G1808" s="9" t="n">
        <v>1</v>
      </c>
      <c r="H1808" s="9" t="n">
        <v>1</v>
      </c>
      <c r="I1808" s="10" t="n">
        <v>43616</v>
      </c>
      <c r="J1808" s="10" t="n">
        <v>43616</v>
      </c>
      <c r="K1808" s="9" t="n">
        <v>30.77262</v>
      </c>
      <c r="L1808" s="9" t="n">
        <v>79.49535</v>
      </c>
      <c r="M1808" s="9" t="inlineStr">
        <is>
          <t>https://www.google.com/maps/place/?q=place_id:ChIJ0-jKiUGMpzkRC6SXL7NcuNI</t>
        </is>
      </c>
    </row>
    <row r="1809">
      <c r="A1809" s="9" t="n">
        <v>1805</v>
      </c>
      <c r="B1809" s="9" t="inlineStr">
        <is>
          <t>Srinagar</t>
        </is>
      </c>
      <c r="C1809" s="9" t="inlineStr">
        <is>
          <t>Srinagar</t>
        </is>
      </c>
      <c r="D1809" s="9" t="inlineStr">
        <is>
          <t>Uttarakhand</t>
        </is>
      </c>
      <c r="E1809" s="9" t="inlineStr">
        <is>
          <t>India</t>
        </is>
      </c>
      <c r="F1809" s="9" t="n">
        <v>1</v>
      </c>
      <c r="G1809" s="9" t="n">
        <v>1</v>
      </c>
      <c r="H1809" s="9" t="n">
        <v>1</v>
      </c>
      <c r="I1809" s="10" t="n">
        <v>43616</v>
      </c>
      <c r="J1809" s="10" t="n">
        <v>43616</v>
      </c>
      <c r="K1809" s="9" t="n">
        <v>30.72812</v>
      </c>
      <c r="L1809" s="9" t="n">
        <v>79.49654</v>
      </c>
      <c r="M1809" s="9" t="inlineStr">
        <is>
          <t>https://www.google.com/maps/place/?q=place_id:ChIJ07O3k5aOpzkRRwZQDLHWleg</t>
        </is>
      </c>
    </row>
    <row r="1810">
      <c r="A1810" s="9" t="n">
        <v>1806</v>
      </c>
      <c r="B1810" s="9" t="inlineStr">
        <is>
          <t>Srinagar</t>
        </is>
      </c>
      <c r="C1810" s="9" t="inlineStr">
        <is>
          <t>Srinagar</t>
        </is>
      </c>
      <c r="D1810" s="9" t="inlineStr">
        <is>
          <t>Uttarakhand</t>
        </is>
      </c>
      <c r="E1810" s="9" t="inlineStr">
        <is>
          <t>India</t>
        </is>
      </c>
      <c r="F1810" s="9" t="n">
        <v>1</v>
      </c>
      <c r="G1810" s="9" t="n">
        <v>1</v>
      </c>
      <c r="H1810" s="9" t="n">
        <v>1</v>
      </c>
      <c r="I1810" s="10" t="n">
        <v>43616</v>
      </c>
      <c r="J1810" s="10" t="n">
        <v>43616</v>
      </c>
      <c r="K1810" s="9" t="n">
        <v>30.43299</v>
      </c>
      <c r="L1810" s="9" t="n">
        <v>79.42932999999999</v>
      </c>
      <c r="M1810" s="9" t="inlineStr">
        <is>
          <t>https://www.google.com/maps/place/?q=place_id:ChIJm3aV6wh_pzkRGJQkxrrNi-A</t>
        </is>
      </c>
    </row>
    <row r="1811">
      <c r="A1811" s="9" t="n">
        <v>1807</v>
      </c>
      <c r="B1811" s="9" t="inlineStr">
        <is>
          <t>Srinagar</t>
        </is>
      </c>
      <c r="C1811" s="9" t="inlineStr">
        <is>
          <t>Srinagar</t>
        </is>
      </c>
      <c r="D1811" s="9" t="inlineStr">
        <is>
          <t>Uttarakhand</t>
        </is>
      </c>
      <c r="E1811" s="9" t="inlineStr">
        <is>
          <t>India</t>
        </is>
      </c>
      <c r="F1811" s="9" t="n">
        <v>1</v>
      </c>
      <c r="G1811" s="9" t="n">
        <v>1</v>
      </c>
      <c r="H1811" s="9" t="n">
        <v>1</v>
      </c>
      <c r="I1811" s="10" t="n">
        <v>43616</v>
      </c>
      <c r="J1811" s="10" t="n">
        <v>43616</v>
      </c>
      <c r="K1811" s="9" t="n">
        <v>30.28504</v>
      </c>
      <c r="L1811" s="9" t="n">
        <v>78.98219</v>
      </c>
      <c r="M1811" s="9" t="inlineStr">
        <is>
          <t>https://www.google.com/maps/place/?q=place_id:ChIJ8SZvo663CTkRR43xfvI7tJ4</t>
        </is>
      </c>
    </row>
    <row r="1812">
      <c r="A1812" s="9" t="n">
        <v>1808</v>
      </c>
      <c r="B1812" s="9" t="inlineStr">
        <is>
          <t>Srinagar</t>
        </is>
      </c>
      <c r="C1812" s="9" t="inlineStr">
        <is>
          <t>Srinagar</t>
        </is>
      </c>
      <c r="D1812" s="9" t="inlineStr">
        <is>
          <t>Uttarakhand</t>
        </is>
      </c>
      <c r="E1812" s="9" t="inlineStr">
        <is>
          <t>India</t>
        </is>
      </c>
      <c r="F1812" s="9" t="n">
        <v>1</v>
      </c>
      <c r="G1812" s="9" t="n">
        <v>2</v>
      </c>
      <c r="H1812" s="9" t="n">
        <v>1</v>
      </c>
      <c r="I1812" s="10" t="n">
        <v>43616</v>
      </c>
      <c r="J1812" s="10" t="n">
        <v>43617</v>
      </c>
      <c r="K1812" s="9" t="n">
        <v>30.21898</v>
      </c>
      <c r="L1812" s="9" t="n">
        <v>78.79886999999999</v>
      </c>
      <c r="M1812" s="9" t="inlineStr">
        <is>
          <t>https://www.google.com/maps/place/?q=place_id:ChIJMRSf_nmlCTkRhkQ7j8hZJRk</t>
        </is>
      </c>
    </row>
    <row r="1813">
      <c r="A1813" s="9" t="n">
        <v>1809</v>
      </c>
      <c r="B1813" s="9" t="inlineStr">
        <is>
          <t>Srinagar</t>
        </is>
      </c>
      <c r="C1813" s="9" t="inlineStr">
        <is>
          <t>Srinagar</t>
        </is>
      </c>
      <c r="D1813" s="9" t="inlineStr">
        <is>
          <t>Uttarakhand</t>
        </is>
      </c>
      <c r="E1813" s="9" t="inlineStr">
        <is>
          <t>India</t>
        </is>
      </c>
      <c r="F1813" s="9" t="n">
        <v>1</v>
      </c>
      <c r="G1813" s="9" t="n">
        <v>1</v>
      </c>
      <c r="H1813" s="9" t="n">
        <v>1</v>
      </c>
      <c r="I1813" s="10" t="n">
        <v>43649</v>
      </c>
      <c r="J1813" s="10" t="n">
        <v>43649</v>
      </c>
      <c r="K1813" s="9" t="n">
        <v>30.57593</v>
      </c>
      <c r="L1813" s="9" t="n">
        <v>79.04859999999999</v>
      </c>
      <c r="M1813" s="9" t="inlineStr">
        <is>
          <t>https://www.google.com/maps/place/?q=place_id:ChIJjd0PW7c3CDkRcCchIsw-Kt0</t>
        </is>
      </c>
    </row>
    <row r="1814">
      <c r="A1814" s="9" t="n">
        <v>1810</v>
      </c>
      <c r="B1814" s="9" t="inlineStr">
        <is>
          <t>Srinagar</t>
        </is>
      </c>
      <c r="C1814" s="9" t="inlineStr">
        <is>
          <t>Srinagar</t>
        </is>
      </c>
      <c r="D1814" s="9" t="inlineStr">
        <is>
          <t>Uttarakhand</t>
        </is>
      </c>
      <c r="E1814" s="9" t="inlineStr">
        <is>
          <t>India</t>
        </is>
      </c>
      <c r="F1814" s="9" t="n">
        <v>1</v>
      </c>
      <c r="G1814" s="9" t="n">
        <v>1</v>
      </c>
      <c r="H1814" s="9" t="n">
        <v>1</v>
      </c>
      <c r="I1814" s="10" t="n">
        <v>43651</v>
      </c>
      <c r="J1814" s="10" t="n">
        <v>43651</v>
      </c>
      <c r="K1814" s="9" t="n">
        <v>30.55589</v>
      </c>
      <c r="L1814" s="9" t="n">
        <v>79.55698</v>
      </c>
      <c r="M1814" s="9" t="inlineStr">
        <is>
          <t>https://www.google.com/maps/place/?q=place_id:ChIJyWopelKDpzkRDjLJHGYT-AM</t>
        </is>
      </c>
    </row>
    <row r="1815">
      <c r="A1815" s="9" t="n">
        <v>1811</v>
      </c>
      <c r="B1815" s="9" t="inlineStr">
        <is>
          <t>Srinagar</t>
        </is>
      </c>
      <c r="C1815" s="9" t="inlineStr">
        <is>
          <t>Srinagar</t>
        </is>
      </c>
      <c r="D1815" s="9" t="inlineStr">
        <is>
          <t>Uttarakhand</t>
        </is>
      </c>
      <c r="E1815" s="9" t="inlineStr">
        <is>
          <t>India</t>
        </is>
      </c>
      <c r="F1815" s="9" t="n">
        <v>1</v>
      </c>
      <c r="G1815" s="9" t="n">
        <v>1</v>
      </c>
      <c r="H1815" s="9" t="n">
        <v>1</v>
      </c>
      <c r="I1815" s="10" t="n">
        <v>43653</v>
      </c>
      <c r="J1815" s="10" t="n">
        <v>43653</v>
      </c>
      <c r="K1815" s="9" t="n">
        <v>30.43453</v>
      </c>
      <c r="L1815" s="9" t="n">
        <v>79.42815</v>
      </c>
      <c r="M1815" s="9" t="inlineStr">
        <is>
          <t>https://www.google.com/maps/place/?q=place_id:ChIJSRku-cJ_pzkRYJ54lXNsChY</t>
        </is>
      </c>
    </row>
    <row r="1816">
      <c r="A1816" s="9" t="n">
        <v>1812</v>
      </c>
      <c r="B1816" s="9" t="inlineStr">
        <is>
          <t>Srinagar</t>
        </is>
      </c>
      <c r="C1816" s="9" t="inlineStr">
        <is>
          <t>Srinagar</t>
        </is>
      </c>
      <c r="D1816" s="9" t="inlineStr">
        <is>
          <t>Uttarakhand</t>
        </is>
      </c>
      <c r="E1816" s="9" t="inlineStr">
        <is>
          <t>India</t>
        </is>
      </c>
      <c r="F1816" s="9" t="n">
        <v>1</v>
      </c>
      <c r="G1816" s="9" t="n">
        <v>1</v>
      </c>
      <c r="H1816" s="9" t="n">
        <v>1</v>
      </c>
      <c r="I1816" s="10" t="n">
        <v>43653</v>
      </c>
      <c r="J1816" s="10" t="n">
        <v>43653</v>
      </c>
      <c r="K1816" s="9" t="n">
        <v>30.22272</v>
      </c>
      <c r="L1816" s="9" t="n">
        <v>78.81406</v>
      </c>
      <c r="M1816" s="9" t="inlineStr">
        <is>
          <t>https://www.google.com/maps/place/?q=place_id:ChIJXahrT2WlCTkRyyTEC5y1Pxc</t>
        </is>
      </c>
    </row>
    <row r="1817">
      <c r="A1817" s="9" t="n">
        <v>1813</v>
      </c>
      <c r="B1817" s="9" t="inlineStr">
        <is>
          <t>Srinagar</t>
        </is>
      </c>
      <c r="C1817" s="9" t="inlineStr">
        <is>
          <t>Srinagar</t>
        </is>
      </c>
      <c r="D1817" s="9" t="inlineStr">
        <is>
          <t>Uttarakhand</t>
        </is>
      </c>
      <c r="E1817" s="9" t="inlineStr">
        <is>
          <t>India</t>
        </is>
      </c>
      <c r="F1817" s="9" t="n">
        <v>1</v>
      </c>
      <c r="G1817" s="9" t="n">
        <v>1</v>
      </c>
      <c r="H1817" s="9" t="n">
        <v>1</v>
      </c>
      <c r="I1817" s="10" t="n">
        <v>43724</v>
      </c>
      <c r="J1817" s="10" t="n">
        <v>43724</v>
      </c>
      <c r="K1817" s="9" t="n">
        <v>30.55762</v>
      </c>
      <c r="L1817" s="9" t="n">
        <v>79.05395</v>
      </c>
      <c r="M1817" s="9" t="inlineStr">
        <is>
          <t>https://www.google.com/maps/place/?q=place_id:ChIJqU1Ql4Q3CDkRroIeMSlqVD8</t>
        </is>
      </c>
    </row>
    <row r="1818">
      <c r="A1818" s="9" t="n">
        <v>1814</v>
      </c>
      <c r="B1818" s="9" t="inlineStr">
        <is>
          <t>Srinagar</t>
        </is>
      </c>
      <c r="C1818" s="9" t="inlineStr">
        <is>
          <t>Srinagar</t>
        </is>
      </c>
      <c r="D1818" s="9" t="inlineStr">
        <is>
          <t>Uttarakhand</t>
        </is>
      </c>
      <c r="E1818" s="9" t="inlineStr">
        <is>
          <t>India</t>
        </is>
      </c>
      <c r="F1818" s="9" t="n">
        <v>1</v>
      </c>
      <c r="G1818" s="9" t="n">
        <v>1</v>
      </c>
      <c r="H1818" s="9" t="n">
        <v>1</v>
      </c>
      <c r="I1818" s="10" t="n">
        <v>43726</v>
      </c>
      <c r="J1818" s="10" t="n">
        <v>43726</v>
      </c>
      <c r="K1818" s="9" t="n">
        <v>30.6414</v>
      </c>
      <c r="L1818" s="9" t="n">
        <v>78.97695</v>
      </c>
      <c r="M1818" s="9" t="inlineStr">
        <is>
          <t>https://www.google.com/maps/place/?q=place_id:ChIJAQAAAKVHCDkRv9XW1scYysI</t>
        </is>
      </c>
    </row>
    <row r="1819">
      <c r="A1819" s="9" t="n">
        <v>1815</v>
      </c>
      <c r="B1819" s="9" t="inlineStr">
        <is>
          <t>Srinagar</t>
        </is>
      </c>
      <c r="C1819" s="9" t="inlineStr">
        <is>
          <t>Srinagar</t>
        </is>
      </c>
      <c r="D1819" s="9" t="inlineStr">
        <is>
          <t>Uttarakhand</t>
        </is>
      </c>
      <c r="E1819" s="9" t="inlineStr">
        <is>
          <t>India</t>
        </is>
      </c>
      <c r="F1819" s="9" t="n">
        <v>1</v>
      </c>
      <c r="G1819" s="9" t="n">
        <v>1</v>
      </c>
      <c r="H1819" s="9" t="n">
        <v>1</v>
      </c>
      <c r="I1819" s="10" t="n">
        <v>43727</v>
      </c>
      <c r="J1819" s="10" t="n">
        <v>43727</v>
      </c>
      <c r="K1819" s="9" t="n">
        <v>30.62517</v>
      </c>
      <c r="L1819" s="9" t="n">
        <v>78.99930000000001</v>
      </c>
      <c r="M1819" s="9" t="inlineStr">
        <is>
          <t>https://www.google.com/maps/place/?q=place_id:ChIJ1zu0nC1HCDkRJKbItx8NK38</t>
        </is>
      </c>
    </row>
    <row r="1820">
      <c r="A1820" s="9" t="n">
        <v>1816</v>
      </c>
      <c r="B1820" s="9" t="inlineStr">
        <is>
          <t>Srinagar</t>
        </is>
      </c>
      <c r="C1820" s="9" t="inlineStr">
        <is>
          <t>Srinagar</t>
        </is>
      </c>
      <c r="D1820" s="9" t="inlineStr">
        <is>
          <t>Uttarakhand</t>
        </is>
      </c>
      <c r="E1820" s="9" t="inlineStr">
        <is>
          <t>India</t>
        </is>
      </c>
      <c r="F1820" s="9" t="n">
        <v>1</v>
      </c>
      <c r="G1820" s="9" t="n">
        <v>1</v>
      </c>
      <c r="H1820" s="9" t="n">
        <v>1</v>
      </c>
      <c r="I1820" s="10" t="n">
        <v>43727</v>
      </c>
      <c r="J1820" s="10" t="n">
        <v>43727</v>
      </c>
      <c r="K1820" s="9" t="n">
        <v>30.52749</v>
      </c>
      <c r="L1820" s="9" t="n">
        <v>79.08096</v>
      </c>
      <c r="M1820" s="9" t="inlineStr">
        <is>
          <t>https://www.google.com/maps/place/?q=place_id:ChIJV9euaSY0CDkRYUD2dthISz0</t>
        </is>
      </c>
    </row>
    <row r="1821">
      <c r="A1821" s="9" t="n">
        <v>1817</v>
      </c>
      <c r="B1821" s="9" t="inlineStr">
        <is>
          <t>Srinagar</t>
        </is>
      </c>
      <c r="C1821" s="9" t="inlineStr">
        <is>
          <t>Srinagar</t>
        </is>
      </c>
      <c r="D1821" s="9" t="inlineStr">
        <is>
          <t>Uttarakhand</t>
        </is>
      </c>
      <c r="E1821" s="9" t="inlineStr">
        <is>
          <t>India</t>
        </is>
      </c>
      <c r="F1821" s="9" t="n">
        <v>1</v>
      </c>
      <c r="G1821" s="9" t="n">
        <v>1</v>
      </c>
      <c r="H1821" s="9" t="n">
        <v>1</v>
      </c>
      <c r="I1821" s="10" t="n">
        <v>43727</v>
      </c>
      <c r="J1821" s="10" t="n">
        <v>43727</v>
      </c>
      <c r="K1821" s="9" t="n">
        <v>30.51842</v>
      </c>
      <c r="L1821" s="9" t="n">
        <v>79.09531</v>
      </c>
      <c r="M1821" s="9" t="inlineStr">
        <is>
          <t>https://www.google.com/maps/place/?q=place_id:ChIJrRTQYxo0CDkRhNqtOG_keg4</t>
        </is>
      </c>
    </row>
    <row r="1822">
      <c r="A1822" s="9" t="n">
        <v>1818</v>
      </c>
      <c r="B1822" s="9" t="inlineStr">
        <is>
          <t>Srinagar</t>
        </is>
      </c>
      <c r="C1822" s="9" t="inlineStr">
        <is>
          <t>Srinagar</t>
        </is>
      </c>
      <c r="D1822" s="9" t="inlineStr">
        <is>
          <t>Uttarakhand</t>
        </is>
      </c>
      <c r="E1822" s="9" t="inlineStr">
        <is>
          <t>India</t>
        </is>
      </c>
      <c r="F1822" s="9" t="n">
        <v>1</v>
      </c>
      <c r="G1822" s="9" t="n">
        <v>1</v>
      </c>
      <c r="H1822" s="9" t="n">
        <v>1</v>
      </c>
      <c r="I1822" s="10" t="n">
        <v>43727</v>
      </c>
      <c r="J1822" s="10" t="n">
        <v>43727</v>
      </c>
      <c r="K1822" s="9" t="n">
        <v>30.51549</v>
      </c>
      <c r="L1822" s="9" t="n">
        <v>79.09116</v>
      </c>
      <c r="M1822" s="9" t="inlineStr">
        <is>
          <t>https://www.google.com/maps/place/?q=place_id:ChIJWfguvNE1CDkR2Bf7NqgAVCU</t>
        </is>
      </c>
    </row>
    <row r="1823">
      <c r="A1823" s="9" t="n">
        <v>1819</v>
      </c>
      <c r="B1823" s="9" t="inlineStr">
        <is>
          <t>Srinagar</t>
        </is>
      </c>
      <c r="C1823" s="9" t="inlineStr">
        <is>
          <t>Srinagar</t>
        </is>
      </c>
      <c r="D1823" s="9" t="inlineStr">
        <is>
          <t>Uttarakhand</t>
        </is>
      </c>
      <c r="E1823" s="9" t="inlineStr">
        <is>
          <t>India</t>
        </is>
      </c>
      <c r="F1823" s="9" t="n">
        <v>1</v>
      </c>
      <c r="G1823" s="9" t="n">
        <v>1</v>
      </c>
      <c r="H1823" s="9" t="n">
        <v>1</v>
      </c>
      <c r="I1823" s="10" t="n">
        <v>43727</v>
      </c>
      <c r="J1823" s="10" t="n">
        <v>43727</v>
      </c>
      <c r="K1823" s="9" t="n">
        <v>30.41012</v>
      </c>
      <c r="L1823" s="9" t="n">
        <v>79.37555999999999</v>
      </c>
      <c r="M1823" s="9" t="inlineStr">
        <is>
          <t>https://www.google.com/maps/place/?q=place_id:ChIJG5G_up7VCTkR75iU6qO3Sec</t>
        </is>
      </c>
    </row>
    <row r="1824">
      <c r="A1824" s="9" t="n">
        <v>1820</v>
      </c>
      <c r="B1824" s="9" t="inlineStr">
        <is>
          <t>Srinagar</t>
        </is>
      </c>
      <c r="C1824" s="9" t="inlineStr">
        <is>
          <t>Srinagar</t>
        </is>
      </c>
      <c r="D1824" s="9" t="inlineStr">
        <is>
          <t>Uttarakhand</t>
        </is>
      </c>
      <c r="E1824" s="9" t="inlineStr">
        <is>
          <t>India</t>
        </is>
      </c>
      <c r="F1824" s="9" t="n">
        <v>1</v>
      </c>
      <c r="G1824" s="9" t="n">
        <v>1</v>
      </c>
      <c r="H1824" s="9" t="n">
        <v>1</v>
      </c>
      <c r="I1824" s="10" t="n">
        <v>43727</v>
      </c>
      <c r="J1824" s="10" t="n">
        <v>43727</v>
      </c>
      <c r="K1824" s="9" t="n">
        <v>30.53889</v>
      </c>
      <c r="L1824" s="9" t="n">
        <v>79.52522999999999</v>
      </c>
      <c r="M1824" s="9" t="inlineStr">
        <is>
          <t>https://www.google.com/maps/place/?q=place_id:ChIJRZQrdQ2DpzkRzT4IafqwRhs</t>
        </is>
      </c>
    </row>
    <row r="1825">
      <c r="A1825" s="9" t="n">
        <v>1821</v>
      </c>
      <c r="B1825" s="9" t="inlineStr">
        <is>
          <t>Srinagar</t>
        </is>
      </c>
      <c r="C1825" s="9" t="inlineStr">
        <is>
          <t>Srinagar</t>
        </is>
      </c>
      <c r="D1825" s="9" t="inlineStr">
        <is>
          <t>Uttarakhand</t>
        </is>
      </c>
      <c r="E1825" s="9" t="inlineStr">
        <is>
          <t>India</t>
        </is>
      </c>
      <c r="F1825" s="9" t="n">
        <v>1</v>
      </c>
      <c r="G1825" s="9" t="n">
        <v>1</v>
      </c>
      <c r="H1825" s="9" t="n">
        <v>1</v>
      </c>
      <c r="I1825" s="10" t="n">
        <v>43727</v>
      </c>
      <c r="J1825" s="10" t="n">
        <v>43727</v>
      </c>
      <c r="K1825" s="9" t="n">
        <v>30.62451</v>
      </c>
      <c r="L1825" s="9" t="n">
        <v>79.55779</v>
      </c>
      <c r="M1825" s="9" t="inlineStr">
        <is>
          <t>https://www.google.com/maps/place/?q=place_id:ChIJeUzgiDKFpzkRInKI05q163o</t>
        </is>
      </c>
    </row>
    <row r="1826">
      <c r="A1826" s="9" t="n">
        <v>1822</v>
      </c>
      <c r="B1826" s="9" t="inlineStr">
        <is>
          <t>Srinagar</t>
        </is>
      </c>
      <c r="C1826" s="9" t="inlineStr">
        <is>
          <t>Srinagar</t>
        </is>
      </c>
      <c r="D1826" s="9" t="inlineStr">
        <is>
          <t>Uttarakhand</t>
        </is>
      </c>
      <c r="E1826" s="9" t="inlineStr">
        <is>
          <t>India</t>
        </is>
      </c>
      <c r="F1826" s="9" t="n">
        <v>1</v>
      </c>
      <c r="G1826" s="9" t="n">
        <v>1</v>
      </c>
      <c r="H1826" s="9" t="n">
        <v>1</v>
      </c>
      <c r="I1826" s="10" t="n">
        <v>43728</v>
      </c>
      <c r="J1826" s="10" t="n">
        <v>43728</v>
      </c>
      <c r="K1826" s="9" t="n">
        <v>30.65482</v>
      </c>
      <c r="L1826" s="9" t="n">
        <v>79.5176</v>
      </c>
      <c r="M1826" s="9" t="inlineStr">
        <is>
          <t>https://www.google.com/maps/place/?q=place_id:ChIJoUhCeICPpzkRoEvZaQ8I9Yc</t>
        </is>
      </c>
    </row>
    <row r="1827">
      <c r="A1827" s="9" t="n">
        <v>1823</v>
      </c>
      <c r="B1827" s="9" t="inlineStr">
        <is>
          <t>Srinagar</t>
        </is>
      </c>
      <c r="C1827" s="9" t="inlineStr">
        <is>
          <t>Srinagar</t>
        </is>
      </c>
      <c r="D1827" s="9" t="inlineStr">
        <is>
          <t>Uttarakhand</t>
        </is>
      </c>
      <c r="E1827" s="9" t="inlineStr">
        <is>
          <t>India</t>
        </is>
      </c>
      <c r="F1827" s="9" t="n">
        <v>1</v>
      </c>
      <c r="G1827" s="9" t="n">
        <v>1</v>
      </c>
      <c r="H1827" s="9" t="n">
        <v>1</v>
      </c>
      <c r="I1827" s="10" t="n">
        <v>43728</v>
      </c>
      <c r="J1827" s="10" t="n">
        <v>43728</v>
      </c>
      <c r="K1827" s="9" t="n">
        <v>30.43305</v>
      </c>
      <c r="L1827" s="9" t="n">
        <v>79.42845</v>
      </c>
      <c r="M1827" s="9" t="inlineStr">
        <is>
          <t>https://www.google.com/maps/place/?q=place_id:ChIJI-qv9gh_pzkR4SjrahWFpW8</t>
        </is>
      </c>
    </row>
    <row r="1828">
      <c r="A1828" s="9" t="n">
        <v>1824</v>
      </c>
      <c r="B1828" s="9" t="inlineStr">
        <is>
          <t>Srinagar</t>
        </is>
      </c>
      <c r="C1828" s="9" t="inlineStr">
        <is>
          <t>Srinagar</t>
        </is>
      </c>
      <c r="D1828" s="9" t="inlineStr">
        <is>
          <t>Uttarakhand</t>
        </is>
      </c>
      <c r="E1828" s="9" t="inlineStr">
        <is>
          <t>India</t>
        </is>
      </c>
      <c r="F1828" s="9" t="n">
        <v>1</v>
      </c>
      <c r="G1828" s="9" t="n">
        <v>1</v>
      </c>
      <c r="H1828" s="9" t="n">
        <v>1</v>
      </c>
      <c r="I1828" s="10" t="n">
        <v>43728</v>
      </c>
      <c r="J1828" s="10" t="n">
        <v>43728</v>
      </c>
      <c r="K1828" s="9" t="n">
        <v>30.29128</v>
      </c>
      <c r="L1828" s="9" t="n">
        <v>79.2794</v>
      </c>
      <c r="M1828" s="9" t="inlineStr">
        <is>
          <t>https://www.google.com/maps/place/?q=place_id:ChIJhfGQfMjRCTkRI2_pyZJcG60</t>
        </is>
      </c>
    </row>
    <row r="1829">
      <c r="A1829" s="9" t="n">
        <v>1825</v>
      </c>
      <c r="B1829" s="9" t="inlineStr">
        <is>
          <t>Srinagar</t>
        </is>
      </c>
      <c r="C1829" s="9" t="inlineStr">
        <is>
          <t>Srinagar</t>
        </is>
      </c>
      <c r="D1829" s="9" t="inlineStr">
        <is>
          <t>Uttarakhand</t>
        </is>
      </c>
      <c r="E1829" s="9" t="inlineStr">
        <is>
          <t>India</t>
        </is>
      </c>
      <c r="F1829" s="9" t="n">
        <v>1</v>
      </c>
      <c r="G1829" s="9" t="n">
        <v>1</v>
      </c>
      <c r="H1829" s="9" t="n">
        <v>1</v>
      </c>
      <c r="I1829" s="10" t="n">
        <v>43729</v>
      </c>
      <c r="J1829" s="10" t="n">
        <v>43729</v>
      </c>
      <c r="K1829" s="9" t="n">
        <v>30.22537</v>
      </c>
      <c r="L1829" s="9" t="n">
        <v>78.82041</v>
      </c>
      <c r="M1829" s="9" t="inlineStr">
        <is>
          <t>https://www.google.com/maps/place/?q=place_id:ChIJ0cnMfLKlCTkRcz9FOJu_W80</t>
        </is>
      </c>
    </row>
    <row r="1830">
      <c r="A1830" s="9" t="n">
        <v>1826</v>
      </c>
      <c r="B1830" s="9" t="inlineStr">
        <is>
          <t>Srinagar</t>
        </is>
      </c>
      <c r="C1830" s="9" t="inlineStr">
        <is>
          <t>Srinagar</t>
        </is>
      </c>
      <c r="D1830" s="9" t="inlineStr">
        <is>
          <t>Uttarakhand</t>
        </is>
      </c>
      <c r="E1830" s="9" t="inlineStr">
        <is>
          <t>India</t>
        </is>
      </c>
      <c r="F1830" s="9" t="n">
        <v>1</v>
      </c>
      <c r="G1830" s="9" t="n">
        <v>1</v>
      </c>
      <c r="H1830" s="9" t="n">
        <v>1</v>
      </c>
      <c r="I1830" s="10" t="n">
        <v>44693</v>
      </c>
      <c r="J1830" s="10" t="n">
        <v>44693</v>
      </c>
      <c r="K1830" s="9" t="n">
        <v>30.60598</v>
      </c>
      <c r="L1830" s="9" t="n">
        <v>79.01640999999999</v>
      </c>
      <c r="M1830" s="9" t="inlineStr">
        <is>
          <t>https://www.google.com/maps/place/?q=place_id:ChIJ5aZuacZJCDkRoXhvVpXnsxA</t>
        </is>
      </c>
    </row>
    <row r="1831">
      <c r="A1831" s="9" t="n">
        <v>1827</v>
      </c>
      <c r="B1831" s="9" t="inlineStr">
        <is>
          <t>Srinagar</t>
        </is>
      </c>
      <c r="C1831" s="9" t="inlineStr">
        <is>
          <t>Srinagar</t>
        </is>
      </c>
      <c r="D1831" s="9" t="inlineStr">
        <is>
          <t>Uttarakhand</t>
        </is>
      </c>
      <c r="E1831" s="9" t="inlineStr">
        <is>
          <t>India</t>
        </is>
      </c>
      <c r="F1831" s="9" t="n">
        <v>1</v>
      </c>
      <c r="G1831" s="9" t="n">
        <v>1</v>
      </c>
      <c r="H1831" s="9" t="n">
        <v>1</v>
      </c>
      <c r="I1831" s="10" t="n">
        <v>44693</v>
      </c>
      <c r="J1831" s="10" t="n">
        <v>44693</v>
      </c>
      <c r="K1831" s="9" t="n">
        <v>30.53551</v>
      </c>
      <c r="L1831" s="9" t="n">
        <v>79.06932</v>
      </c>
      <c r="M1831" s="9" t="inlineStr">
        <is>
          <t>https://www.google.com/maps/place/?q=place_id:ChIJG2mdZIY2CDkRcmJGdQNG5nA</t>
        </is>
      </c>
    </row>
    <row r="1832">
      <c r="A1832" s="9" t="n">
        <v>1828</v>
      </c>
      <c r="B1832" s="9" t="inlineStr">
        <is>
          <t>Srinagar</t>
        </is>
      </c>
      <c r="C1832" s="9" t="inlineStr">
        <is>
          <t>Srinagar</t>
        </is>
      </c>
      <c r="D1832" s="9" t="inlineStr">
        <is>
          <t>Uttarakhand</t>
        </is>
      </c>
      <c r="E1832" s="9" t="inlineStr">
        <is>
          <t>India</t>
        </is>
      </c>
      <c r="F1832" s="9" t="n">
        <v>1</v>
      </c>
      <c r="G1832" s="9" t="n">
        <v>1</v>
      </c>
      <c r="H1832" s="9" t="n">
        <v>1</v>
      </c>
      <c r="I1832" s="10" t="n">
        <v>44694</v>
      </c>
      <c r="J1832" s="10" t="n">
        <v>44694</v>
      </c>
      <c r="K1832" s="9" t="n">
        <v>30.52902</v>
      </c>
      <c r="L1832" s="9" t="n">
        <v>79.08459000000001</v>
      </c>
      <c r="M1832" s="9" t="inlineStr">
        <is>
          <t>https://www.google.com/maps/place/?q=place_id:ChIJ_____yY0CDkRvoIq3d1sDb4</t>
        </is>
      </c>
    </row>
    <row r="1833">
      <c r="A1833" s="9" t="n">
        <v>1829</v>
      </c>
      <c r="B1833" s="9" t="inlineStr">
        <is>
          <t>Srinagar</t>
        </is>
      </c>
      <c r="C1833" s="9" t="inlineStr">
        <is>
          <t>Srinagar</t>
        </is>
      </c>
      <c r="D1833" s="9" t="inlineStr">
        <is>
          <t>Uttarakhand</t>
        </is>
      </c>
      <c r="E1833" s="9" t="inlineStr">
        <is>
          <t>India</t>
        </is>
      </c>
      <c r="F1833" s="9" t="n">
        <v>1</v>
      </c>
      <c r="G1833" s="9" t="n">
        <v>1</v>
      </c>
      <c r="H1833" s="9" t="n">
        <v>1</v>
      </c>
      <c r="I1833" s="10" t="n">
        <v>44694</v>
      </c>
      <c r="J1833" s="10" t="n">
        <v>44694</v>
      </c>
      <c r="K1833" s="9" t="n">
        <v>30.30196</v>
      </c>
      <c r="L1833" s="9" t="n">
        <v>79.00541</v>
      </c>
      <c r="M1833" s="9" t="inlineStr">
        <is>
          <t>https://www.google.com/maps/place/?q=place_id:ChIJv-BuujG2CTkRDQtf9-ruV14</t>
        </is>
      </c>
    </row>
    <row r="1834">
      <c r="A1834" s="9" t="n">
        <v>1830</v>
      </c>
      <c r="B1834" s="9" t="inlineStr">
        <is>
          <t>Srinagar</t>
        </is>
      </c>
      <c r="C1834" s="9" t="inlineStr">
        <is>
          <t>Srinagar</t>
        </is>
      </c>
      <c r="D1834" s="9" t="inlineStr">
        <is>
          <t>Uttarakhand</t>
        </is>
      </c>
      <c r="E1834" s="9" t="inlineStr">
        <is>
          <t>India</t>
        </is>
      </c>
      <c r="F1834" s="9" t="n">
        <v>1</v>
      </c>
      <c r="G1834" s="9" t="n">
        <v>1</v>
      </c>
      <c r="H1834" s="9" t="n">
        <v>1</v>
      </c>
      <c r="I1834" s="10" t="n">
        <v>44694</v>
      </c>
      <c r="J1834" s="10" t="n">
        <v>44694</v>
      </c>
      <c r="K1834" s="9" t="n">
        <v>30.55736</v>
      </c>
      <c r="L1834" s="9" t="n">
        <v>79.55885000000001</v>
      </c>
      <c r="M1834" s="9" t="inlineStr">
        <is>
          <t>https://www.google.com/maps/place/?q=place_id:ChIJt-9f41KDpzkRt4eo55cQIcs</t>
        </is>
      </c>
    </row>
    <row r="1835">
      <c r="A1835" s="9" t="n">
        <v>1831</v>
      </c>
      <c r="B1835" s="9" t="inlineStr">
        <is>
          <t>Srinagar</t>
        </is>
      </c>
      <c r="C1835" s="9" t="inlineStr">
        <is>
          <t>Srinagar</t>
        </is>
      </c>
      <c r="D1835" s="9" t="inlineStr">
        <is>
          <t>Uttarakhand</t>
        </is>
      </c>
      <c r="E1835" s="9" t="inlineStr">
        <is>
          <t>India</t>
        </is>
      </c>
      <c r="F1835" s="9" t="n">
        <v>1</v>
      </c>
      <c r="G1835" s="9" t="n">
        <v>2</v>
      </c>
      <c r="H1835" s="9" t="n">
        <v>1</v>
      </c>
      <c r="I1835" s="10" t="n">
        <v>44694</v>
      </c>
      <c r="J1835" s="10" t="n">
        <v>44695</v>
      </c>
      <c r="K1835" s="9" t="n">
        <v>30.61847</v>
      </c>
      <c r="L1835" s="9" t="n">
        <v>79.56252000000001</v>
      </c>
      <c r="M1835" s="9" t="inlineStr">
        <is>
          <t>https://www.google.com/maps/place/?q=place_id:ChIJmzjCgiObpzkRHTR2T40RQKU</t>
        </is>
      </c>
    </row>
    <row r="1836">
      <c r="A1836" s="9" t="n">
        <v>1832</v>
      </c>
      <c r="B1836" s="9" t="inlineStr">
        <is>
          <t>Srinagar</t>
        </is>
      </c>
      <c r="C1836" s="9" t="inlineStr">
        <is>
          <t>Srinagar</t>
        </is>
      </c>
      <c r="D1836" s="9" t="inlineStr">
        <is>
          <t>Uttarakhand</t>
        </is>
      </c>
      <c r="E1836" s="9" t="inlineStr">
        <is>
          <t>India</t>
        </is>
      </c>
      <c r="F1836" s="9" t="n">
        <v>1</v>
      </c>
      <c r="G1836" s="9" t="n">
        <v>1</v>
      </c>
      <c r="H1836" s="9" t="n">
        <v>1</v>
      </c>
      <c r="I1836" s="10" t="n">
        <v>44696</v>
      </c>
      <c r="J1836" s="10" t="n">
        <v>44696</v>
      </c>
      <c r="K1836" s="9" t="n">
        <v>30.25789</v>
      </c>
      <c r="L1836" s="9" t="n">
        <v>78.87735000000001</v>
      </c>
      <c r="M1836" s="9" t="inlineStr">
        <is>
          <t>https://www.google.com/maps/place/?q=place_id:ChIJt4_5LGewCTkRq7zMGUlj9HQ</t>
        </is>
      </c>
    </row>
    <row r="1837">
      <c r="A1837" s="9" t="n">
        <v>1833</v>
      </c>
      <c r="B1837" s="9" t="inlineStr">
        <is>
          <t>Srinagar</t>
        </is>
      </c>
      <c r="C1837" s="9" t="inlineStr">
        <is>
          <t>Srinagar</t>
        </is>
      </c>
      <c r="D1837" s="9" t="inlineStr">
        <is>
          <t>Uttarakhand</t>
        </is>
      </c>
      <c r="E1837" s="9" t="inlineStr">
        <is>
          <t>India</t>
        </is>
      </c>
      <c r="F1837" s="9" t="n">
        <v>1</v>
      </c>
      <c r="G1837" s="9" t="n">
        <v>1</v>
      </c>
      <c r="H1837" s="9" t="n">
        <v>1</v>
      </c>
      <c r="I1837" s="10" t="n">
        <v>44696</v>
      </c>
      <c r="J1837" s="10" t="n">
        <v>44696</v>
      </c>
      <c r="K1837" s="9" t="n">
        <v>30.20121</v>
      </c>
      <c r="L1837" s="9" t="n">
        <v>78.63947</v>
      </c>
      <c r="M1837" s="9" t="inlineStr">
        <is>
          <t>https://www.google.com/maps/place/?q=place_id:ChIJK6oylOoJCTkRypdIX8majUs</t>
        </is>
      </c>
    </row>
    <row r="1838">
      <c r="A1838" s="9" t="n">
        <v>1834</v>
      </c>
      <c r="B1838" s="9" t="inlineStr">
        <is>
          <t>Srinagar</t>
        </is>
      </c>
      <c r="C1838" s="9" t="inlineStr">
        <is>
          <t>Srinagar</t>
        </is>
      </c>
      <c r="D1838" s="9" t="inlineStr">
        <is>
          <t>Uttarakhand</t>
        </is>
      </c>
      <c r="E1838" s="9" t="inlineStr">
        <is>
          <t>India</t>
        </is>
      </c>
      <c r="F1838" s="9" t="n">
        <v>1</v>
      </c>
      <c r="G1838" s="9" t="n">
        <v>1</v>
      </c>
      <c r="H1838" s="9" t="n">
        <v>1</v>
      </c>
      <c r="I1838" s="10" t="n">
        <v>44704</v>
      </c>
      <c r="J1838" s="10" t="n">
        <v>44704</v>
      </c>
      <c r="K1838" s="9" t="n">
        <v>30.25495</v>
      </c>
      <c r="L1838" s="9" t="n">
        <v>78.92189999999999</v>
      </c>
      <c r="M1838" s="9" t="inlineStr">
        <is>
          <t>https://www.google.com/maps/place/?q=place_id:ChIJIyQbn7GwCTkRztzIw93Tb-0</t>
        </is>
      </c>
    </row>
    <row r="1839">
      <c r="A1839" s="9" t="n">
        <v>1835</v>
      </c>
      <c r="B1839" s="9" t="inlineStr">
        <is>
          <t>Srinagar</t>
        </is>
      </c>
      <c r="C1839" s="9" t="inlineStr">
        <is>
          <t>Srinagar</t>
        </is>
      </c>
      <c r="D1839" s="9" t="inlineStr">
        <is>
          <t>Uttarakhand</t>
        </is>
      </c>
      <c r="E1839" s="9" t="inlineStr">
        <is>
          <t>India</t>
        </is>
      </c>
      <c r="F1839" s="9" t="n">
        <v>1</v>
      </c>
      <c r="G1839" s="9" t="n">
        <v>1</v>
      </c>
      <c r="H1839" s="9" t="n">
        <v>1</v>
      </c>
      <c r="I1839" s="10" t="n">
        <v>44706</v>
      </c>
      <c r="J1839" s="10" t="n">
        <v>44706</v>
      </c>
      <c r="K1839" s="9" t="n">
        <v>30.53809</v>
      </c>
      <c r="L1839" s="9" t="n">
        <v>79.08338999999999</v>
      </c>
      <c r="M1839" s="9" t="inlineStr">
        <is>
          <t>https://www.google.com/maps/place/?q=place_id:ChIJw2jp7ks3CDkRuDHjhGo4OEw</t>
        </is>
      </c>
    </row>
    <row r="1840">
      <c r="A1840" s="9" t="n">
        <v>1836</v>
      </c>
      <c r="B1840" s="9" t="inlineStr">
        <is>
          <t>Srinagar</t>
        </is>
      </c>
      <c r="C1840" s="9" t="inlineStr">
        <is>
          <t>Srinagar</t>
        </is>
      </c>
      <c r="D1840" s="9" t="inlineStr">
        <is>
          <t>Uttarakhand</t>
        </is>
      </c>
      <c r="E1840" s="9" t="inlineStr">
        <is>
          <t>India</t>
        </is>
      </c>
      <c r="F1840" s="9" t="n">
        <v>1</v>
      </c>
      <c r="G1840" s="9" t="n">
        <v>1</v>
      </c>
      <c r="H1840" s="9" t="n">
        <v>1</v>
      </c>
      <c r="I1840" s="10" t="n">
        <v>44706</v>
      </c>
      <c r="J1840" s="10" t="n">
        <v>44706</v>
      </c>
      <c r="K1840" s="9" t="n">
        <v>30.63294</v>
      </c>
      <c r="L1840" s="9" t="n">
        <v>79.54962</v>
      </c>
      <c r="M1840" s="9" t="inlineStr">
        <is>
          <t>https://www.google.com/maps/place/?q=place_id:ChIJRf1SjDeFpzkRoSLnjz09FC4</t>
        </is>
      </c>
    </row>
    <row r="1841">
      <c r="A1841" s="9" t="n">
        <v>1837</v>
      </c>
      <c r="B1841" s="9" t="inlineStr">
        <is>
          <t>Srinagar</t>
        </is>
      </c>
      <c r="C1841" s="9" t="inlineStr">
        <is>
          <t>Srinagar</t>
        </is>
      </c>
      <c r="D1841" s="9" t="inlineStr">
        <is>
          <t>Uttarakhand</t>
        </is>
      </c>
      <c r="E1841" s="9" t="inlineStr">
        <is>
          <t>India</t>
        </is>
      </c>
      <c r="F1841" s="9" t="n">
        <v>1</v>
      </c>
      <c r="G1841" s="9" t="n">
        <v>1</v>
      </c>
      <c r="H1841" s="9" t="n">
        <v>1</v>
      </c>
      <c r="I1841" s="10" t="n">
        <v>44707</v>
      </c>
      <c r="J1841" s="10" t="n">
        <v>44707</v>
      </c>
      <c r="K1841" s="9" t="n">
        <v>30.57024</v>
      </c>
      <c r="L1841" s="9" t="n">
        <v>79.56314999999999</v>
      </c>
      <c r="M1841" s="9" t="inlineStr">
        <is>
          <t>https://www.google.com/maps/place/?q=place_id:ChIJp9tK0FSbpzkR_3kg40DjVWc</t>
        </is>
      </c>
    </row>
    <row r="1842">
      <c r="A1842" s="9" t="n">
        <v>1838</v>
      </c>
      <c r="B1842" s="9" t="inlineStr">
        <is>
          <t>Srinagar</t>
        </is>
      </c>
      <c r="C1842" s="9" t="inlineStr">
        <is>
          <t>Srinagar</t>
        </is>
      </c>
      <c r="D1842" s="9" t="inlineStr">
        <is>
          <t>Uttarakhand</t>
        </is>
      </c>
      <c r="E1842" s="9" t="inlineStr">
        <is>
          <t>India</t>
        </is>
      </c>
      <c r="F1842" s="9" t="n">
        <v>1</v>
      </c>
      <c r="G1842" s="9" t="n">
        <v>1</v>
      </c>
      <c r="H1842" s="9" t="n">
        <v>1</v>
      </c>
      <c r="I1842" s="10" t="n">
        <v>44707</v>
      </c>
      <c r="J1842" s="10" t="n">
        <v>44707</v>
      </c>
      <c r="K1842" s="9" t="n">
        <v>30.55186</v>
      </c>
      <c r="L1842" s="9" t="n">
        <v>79.5397</v>
      </c>
      <c r="M1842" s="9" t="inlineStr">
        <is>
          <t>https://www.google.com/maps/place/?q=place_id:ChIJUbBJ3XuDpzkRzn8zx7IJVEQ</t>
        </is>
      </c>
    </row>
    <row r="1843">
      <c r="A1843" s="9" t="n">
        <v>1839</v>
      </c>
      <c r="B1843" s="9" t="inlineStr">
        <is>
          <t>Srinagar</t>
        </is>
      </c>
      <c r="C1843" s="9" t="inlineStr">
        <is>
          <t>Srinagar</t>
        </is>
      </c>
      <c r="D1843" s="9" t="inlineStr">
        <is>
          <t>Uttarakhand</t>
        </is>
      </c>
      <c r="E1843" s="9" t="inlineStr">
        <is>
          <t>India</t>
        </is>
      </c>
      <c r="F1843" s="9" t="n">
        <v>1</v>
      </c>
      <c r="G1843" s="9" t="n">
        <v>2</v>
      </c>
      <c r="H1843" s="9" t="n">
        <v>1</v>
      </c>
      <c r="I1843" s="10" t="n">
        <v>44707</v>
      </c>
      <c r="J1843" s="10" t="n">
        <v>44708</v>
      </c>
      <c r="K1843" s="9" t="n">
        <v>30.29942</v>
      </c>
      <c r="L1843" s="9" t="n">
        <v>79.02243</v>
      </c>
      <c r="M1843" s="9" t="inlineStr">
        <is>
          <t>https://www.google.com/maps/place/?q=place_id:ChIJYR3xNzq2CTkRgJwG31800sY</t>
        </is>
      </c>
    </row>
    <row r="1844">
      <c r="A1844" s="9" t="n">
        <v>1840</v>
      </c>
      <c r="B1844" s="9" t="inlineStr">
        <is>
          <t>Srinagar</t>
        </is>
      </c>
      <c r="C1844" s="9" t="inlineStr">
        <is>
          <t>Srinagar</t>
        </is>
      </c>
      <c r="D1844" s="9" t="inlineStr">
        <is>
          <t>Uttarakhand</t>
        </is>
      </c>
      <c r="E1844" s="9" t="inlineStr">
        <is>
          <t>India</t>
        </is>
      </c>
      <c r="F1844" s="9" t="n">
        <v>1</v>
      </c>
      <c r="G1844" s="9" t="n">
        <v>1</v>
      </c>
      <c r="H1844" s="9" t="n">
        <v>1</v>
      </c>
      <c r="I1844" s="10" t="n">
        <v>44713</v>
      </c>
      <c r="J1844" s="10" t="n">
        <v>44713</v>
      </c>
      <c r="K1844" s="9" t="n">
        <v>30.77426</v>
      </c>
      <c r="L1844" s="9" t="n">
        <v>79.49512</v>
      </c>
      <c r="M1844" s="9" t="inlineStr">
        <is>
          <t>https://www.google.com/maps/place/?q=place_id:ChIJB0zkXhqNpzkR8EN18nmGL2o</t>
        </is>
      </c>
    </row>
    <row r="1845">
      <c r="A1845" s="9" t="n">
        <v>1841</v>
      </c>
      <c r="B1845" s="9" t="inlineStr">
        <is>
          <t>Srinagar</t>
        </is>
      </c>
      <c r="C1845" s="9" t="inlineStr">
        <is>
          <t>Srinagar</t>
        </is>
      </c>
      <c r="D1845" s="9" t="inlineStr">
        <is>
          <t>Uttarakhand</t>
        </is>
      </c>
      <c r="E1845" s="9" t="inlineStr">
        <is>
          <t>India</t>
        </is>
      </c>
      <c r="F1845" s="9" t="n">
        <v>1</v>
      </c>
      <c r="G1845" s="9" t="n">
        <v>1</v>
      </c>
      <c r="H1845" s="9" t="n">
        <v>1</v>
      </c>
      <c r="I1845" s="10" t="n">
        <v>44728</v>
      </c>
      <c r="J1845" s="10" t="n">
        <v>44728</v>
      </c>
      <c r="K1845" s="9" t="n">
        <v>30.58188</v>
      </c>
      <c r="L1845" s="9" t="n">
        <v>79.03303</v>
      </c>
      <c r="M1845" s="9" t="inlineStr">
        <is>
          <t>https://www.google.com/maps/place/?q=place_id:ChIJWQQxVIY3CDkRV6_AVL6r2M0</t>
        </is>
      </c>
    </row>
    <row r="1846">
      <c r="A1846" s="9" t="n">
        <v>1842</v>
      </c>
      <c r="B1846" s="9" t="inlineStr">
        <is>
          <t>Srinagar</t>
        </is>
      </c>
      <c r="C1846" s="9" t="inlineStr">
        <is>
          <t>Srinagar</t>
        </is>
      </c>
      <c r="D1846" s="9" t="inlineStr">
        <is>
          <t>Uttarakhand</t>
        </is>
      </c>
      <c r="E1846" s="9" t="inlineStr">
        <is>
          <t>India</t>
        </is>
      </c>
      <c r="F1846" s="9" t="n">
        <v>1</v>
      </c>
      <c r="G1846" s="9" t="n">
        <v>1</v>
      </c>
      <c r="H1846" s="9" t="n">
        <v>1</v>
      </c>
      <c r="I1846" s="10" t="n">
        <v>44729</v>
      </c>
      <c r="J1846" s="10" t="n">
        <v>44729</v>
      </c>
      <c r="K1846" s="9" t="n">
        <v>30.3207</v>
      </c>
      <c r="L1846" s="9" t="n">
        <v>79.304</v>
      </c>
      <c r="M1846" s="9" t="inlineStr">
        <is>
          <t>https://www.google.com/maps/place/?q=place_id:ChIJgxJFV9jWCTkRgF9BA3L4fZk</t>
        </is>
      </c>
    </row>
    <row r="1847">
      <c r="A1847" s="9" t="n">
        <v>1843</v>
      </c>
      <c r="B1847" s="9" t="inlineStr">
        <is>
          <t>Srinagar</t>
        </is>
      </c>
      <c r="C1847" s="9" t="inlineStr">
        <is>
          <t>Srinagar</t>
        </is>
      </c>
      <c r="D1847" s="9" t="inlineStr">
        <is>
          <t>Uttarakhand</t>
        </is>
      </c>
      <c r="E1847" s="9" t="inlineStr">
        <is>
          <t>India</t>
        </is>
      </c>
      <c r="F1847" s="9" t="n">
        <v>1</v>
      </c>
      <c r="G1847" s="9" t="n">
        <v>1</v>
      </c>
      <c r="H1847" s="9" t="n">
        <v>1</v>
      </c>
      <c r="I1847" s="10" t="n">
        <v>44729</v>
      </c>
      <c r="J1847" s="10" t="n">
        <v>44729</v>
      </c>
      <c r="K1847" s="9" t="n">
        <v>30.55604</v>
      </c>
      <c r="L1847" s="9" t="n">
        <v>79.56502</v>
      </c>
      <c r="M1847" s="9" t="inlineStr">
        <is>
          <t>https://www.google.com/maps/place/?q=place_id:ChIJKTFDPJ2dpzkR2yQx19nfyE8</t>
        </is>
      </c>
    </row>
    <row r="1848">
      <c r="A1848" s="9" t="n">
        <v>1844</v>
      </c>
      <c r="B1848" s="9" t="inlineStr">
        <is>
          <t>Srinagar</t>
        </is>
      </c>
      <c r="C1848" s="9" t="inlineStr">
        <is>
          <t>Srinagar</t>
        </is>
      </c>
      <c r="D1848" s="9" t="inlineStr">
        <is>
          <t>Uttarakhand</t>
        </is>
      </c>
      <c r="E1848" s="9" t="inlineStr">
        <is>
          <t>India</t>
        </is>
      </c>
      <c r="F1848" s="9" t="n">
        <v>1</v>
      </c>
      <c r="G1848" s="9" t="n">
        <v>1</v>
      </c>
      <c r="H1848" s="9" t="n">
        <v>1</v>
      </c>
      <c r="I1848" s="10" t="n">
        <v>44730</v>
      </c>
      <c r="J1848" s="10" t="n">
        <v>44730</v>
      </c>
      <c r="K1848" s="9" t="n">
        <v>30.7743</v>
      </c>
      <c r="L1848" s="9" t="n">
        <v>79.49312999999999</v>
      </c>
      <c r="M1848" s="9" t="inlineStr">
        <is>
          <t>https://www.google.com/maps/place/?q=place_id:ChIJTxUyekKMpzkRt6I7dA6tqO4</t>
        </is>
      </c>
    </row>
    <row r="1849">
      <c r="A1849" s="9" t="n">
        <v>1845</v>
      </c>
      <c r="B1849" s="9" t="inlineStr">
        <is>
          <t>Srinagar</t>
        </is>
      </c>
      <c r="C1849" s="9" t="inlineStr">
        <is>
          <t>Srinagar</t>
        </is>
      </c>
      <c r="D1849" s="9" t="inlineStr">
        <is>
          <t>Uttarakhand</t>
        </is>
      </c>
      <c r="E1849" s="9" t="inlineStr">
        <is>
          <t>India</t>
        </is>
      </c>
      <c r="F1849" s="9" t="n">
        <v>1</v>
      </c>
      <c r="G1849" s="9" t="n">
        <v>1</v>
      </c>
      <c r="H1849" s="9" t="n">
        <v>1</v>
      </c>
      <c r="I1849" s="10" t="n">
        <v>44731</v>
      </c>
      <c r="J1849" s="10" t="n">
        <v>44731</v>
      </c>
      <c r="K1849" s="9" t="n">
        <v>30.43316</v>
      </c>
      <c r="L1849" s="9" t="n">
        <v>79.42832</v>
      </c>
      <c r="M1849" s="9" t="inlineStr">
        <is>
          <t>https://www.google.com/maps/place/?q=place_id:ChIJ3fWbI5F_pzkRNEmusoxfo14</t>
        </is>
      </c>
    </row>
    <row r="1850">
      <c r="A1850" s="9" t="n">
        <v>1846</v>
      </c>
      <c r="B1850" s="9" t="inlineStr">
        <is>
          <t>Srinagar</t>
        </is>
      </c>
      <c r="C1850" s="9" t="inlineStr">
        <is>
          <t>Srinagar</t>
        </is>
      </c>
      <c r="D1850" s="9" t="inlineStr">
        <is>
          <t>Uttarakhand</t>
        </is>
      </c>
      <c r="E1850" s="9" t="inlineStr">
        <is>
          <t>India</t>
        </is>
      </c>
      <c r="F1850" s="9" t="n">
        <v>1</v>
      </c>
      <c r="G1850" s="9" t="n">
        <v>1</v>
      </c>
      <c r="H1850" s="9" t="n">
        <v>1</v>
      </c>
      <c r="I1850" s="10" t="n">
        <v>44731</v>
      </c>
      <c r="J1850" s="10" t="n">
        <v>44731</v>
      </c>
      <c r="K1850" s="9" t="n">
        <v>30.26416</v>
      </c>
      <c r="L1850" s="9" t="n">
        <v>79.21425000000001</v>
      </c>
      <c r="M1850" s="9" t="inlineStr">
        <is>
          <t>https://www.google.com/maps/place/?q=place_id:ChIJkZ4ATPLbCTkRoe1kvWQIH18</t>
        </is>
      </c>
    </row>
    <row r="1851">
      <c r="A1851" s="9" t="n">
        <v>1847</v>
      </c>
      <c r="B1851" s="9" t="inlineStr">
        <is>
          <t>Srinagar</t>
        </is>
      </c>
      <c r="C1851" s="9" t="inlineStr">
        <is>
          <t>Srinagar</t>
        </is>
      </c>
      <c r="D1851" s="9" t="inlineStr">
        <is>
          <t>Uttarakhand</t>
        </is>
      </c>
      <c r="E1851" s="9" t="inlineStr">
        <is>
          <t>India</t>
        </is>
      </c>
      <c r="F1851" s="9" t="n">
        <v>1</v>
      </c>
      <c r="G1851" s="9" t="n">
        <v>1</v>
      </c>
      <c r="H1851" s="9" t="n">
        <v>1</v>
      </c>
      <c r="I1851" s="10" t="n">
        <v>44732</v>
      </c>
      <c r="J1851" s="10" t="n">
        <v>44732</v>
      </c>
      <c r="K1851" s="9" t="n">
        <v>30.28646</v>
      </c>
      <c r="L1851" s="9" t="n">
        <v>78.97913</v>
      </c>
      <c r="M1851" s="9" t="inlineStr">
        <is>
          <t>https://www.google.com/maps/place/?q=place_id:ChIJg1l48Ku3CTkR9LC-2kzjcS8</t>
        </is>
      </c>
    </row>
    <row r="1852">
      <c r="A1852" s="9" t="n">
        <v>1848</v>
      </c>
      <c r="B1852" s="9" t="inlineStr">
        <is>
          <t>Srinagar</t>
        </is>
      </c>
      <c r="C1852" s="9" t="inlineStr">
        <is>
          <t>Srinagar</t>
        </is>
      </c>
      <c r="D1852" s="9" t="inlineStr">
        <is>
          <t>Uttarakhand</t>
        </is>
      </c>
      <c r="E1852" s="9" t="inlineStr">
        <is>
          <t>India</t>
        </is>
      </c>
      <c r="F1852" s="9" t="n">
        <v>1</v>
      </c>
      <c r="G1852" s="9" t="n">
        <v>1</v>
      </c>
      <c r="H1852" s="9" t="n">
        <v>1</v>
      </c>
      <c r="I1852" s="10" t="n">
        <v>45080</v>
      </c>
      <c r="J1852" s="10" t="n">
        <v>45080</v>
      </c>
      <c r="K1852" s="9" t="n">
        <v>30.60445</v>
      </c>
      <c r="L1852" s="9" t="n">
        <v>79.02055</v>
      </c>
      <c r="M1852" s="9" t="inlineStr">
        <is>
          <t>https://www.google.com/maps/place/?q=place_id:ChIJyzEQc_03CDkRT6BADMU59nk</t>
        </is>
      </c>
    </row>
    <row r="1853">
      <c r="A1853" s="9" t="n">
        <v>1849</v>
      </c>
      <c r="B1853" s="9" t="inlineStr">
        <is>
          <t>Srinagar</t>
        </is>
      </c>
      <c r="C1853" s="9" t="inlineStr">
        <is>
          <t>Srinagar</t>
        </is>
      </c>
      <c r="D1853" s="9" t="inlineStr">
        <is>
          <t>Uttarakhand</t>
        </is>
      </c>
      <c r="E1853" s="9" t="inlineStr">
        <is>
          <t>India</t>
        </is>
      </c>
      <c r="F1853" s="9" t="n">
        <v>1</v>
      </c>
      <c r="G1853" s="9" t="n">
        <v>1</v>
      </c>
      <c r="H1853" s="9" t="n">
        <v>1</v>
      </c>
      <c r="I1853" s="10" t="n">
        <v>45082</v>
      </c>
      <c r="J1853" s="10" t="n">
        <v>45082</v>
      </c>
      <c r="K1853" s="9" t="n">
        <v>30.74377</v>
      </c>
      <c r="L1853" s="9" t="n">
        <v>79.49209</v>
      </c>
      <c r="M1853" s="9" t="inlineStr">
        <is>
          <t>https://www.google.com/maps/place/?q=place_id:ChIJg9Ef4x-MpzkRpjoT6SgNu6E</t>
        </is>
      </c>
    </row>
    <row r="1854">
      <c r="A1854" s="9" t="n">
        <v>1850</v>
      </c>
      <c r="B1854" s="9" t="inlineStr">
        <is>
          <t>Srinagar</t>
        </is>
      </c>
      <c r="C1854" s="9" t="inlineStr">
        <is>
          <t>Srinagar</t>
        </is>
      </c>
      <c r="D1854" s="9" t="inlineStr">
        <is>
          <t>Uttarakhand</t>
        </is>
      </c>
      <c r="E1854" s="9" t="inlineStr">
        <is>
          <t>India</t>
        </is>
      </c>
      <c r="F1854" s="9" t="n">
        <v>1</v>
      </c>
      <c r="G1854" s="9" t="n">
        <v>1</v>
      </c>
      <c r="H1854" s="9" t="n">
        <v>1</v>
      </c>
      <c r="I1854" s="10" t="n">
        <v>45087</v>
      </c>
      <c r="J1854" s="10" t="n">
        <v>45087</v>
      </c>
      <c r="K1854" s="9" t="n">
        <v>30.74333</v>
      </c>
      <c r="L1854" s="9" t="n">
        <v>79.49359</v>
      </c>
      <c r="M1854" s="9" t="inlineStr">
        <is>
          <t>https://www.google.com/maps/place/?q=place_id:ChIJr1VLCZ2PpzkRtxlcEXXpk-s</t>
        </is>
      </c>
    </row>
    <row r="1855">
      <c r="A1855" s="9" t="n">
        <v>1851</v>
      </c>
      <c r="B1855" s="9" t="inlineStr">
        <is>
          <t>Srinagar</t>
        </is>
      </c>
      <c r="C1855" s="9" t="inlineStr">
        <is>
          <t>Srinagar</t>
        </is>
      </c>
      <c r="D1855" s="9" t="inlineStr">
        <is>
          <t>Uttarakhand</t>
        </is>
      </c>
      <c r="E1855" s="9" t="inlineStr">
        <is>
          <t>India</t>
        </is>
      </c>
      <c r="F1855" s="9" t="n">
        <v>1</v>
      </c>
      <c r="G1855" s="9" t="n">
        <v>1</v>
      </c>
      <c r="H1855" s="9" t="n">
        <v>1</v>
      </c>
      <c r="I1855" s="10" t="n">
        <v>45089</v>
      </c>
      <c r="J1855" s="10" t="n">
        <v>45089</v>
      </c>
      <c r="K1855" s="9" t="n">
        <v>30.30562</v>
      </c>
      <c r="L1855" s="9" t="n">
        <v>79.03702</v>
      </c>
      <c r="M1855" s="9" t="inlineStr">
        <is>
          <t>https://www.google.com/maps/place/?q=place_id:ChIJWauhA7zJCTkR8tveRdCjmqM</t>
        </is>
      </c>
    </row>
    <row r="1856">
      <c r="A1856" s="9" t="n">
        <v>1852</v>
      </c>
      <c r="B1856" s="9" t="inlineStr">
        <is>
          <t>Srinagar</t>
        </is>
      </c>
      <c r="C1856" s="9" t="inlineStr">
        <is>
          <t>Srinagar</t>
        </is>
      </c>
      <c r="D1856" s="9" t="inlineStr">
        <is>
          <t>Uttarakhand</t>
        </is>
      </c>
      <c r="E1856" s="9" t="inlineStr">
        <is>
          <t>India</t>
        </is>
      </c>
      <c r="F1856" s="9" t="n">
        <v>1</v>
      </c>
      <c r="G1856" s="9" t="n">
        <v>1</v>
      </c>
      <c r="H1856" s="9" t="n">
        <v>1</v>
      </c>
      <c r="I1856" s="10" t="n">
        <v>45089</v>
      </c>
      <c r="J1856" s="10" t="n">
        <v>45089</v>
      </c>
      <c r="K1856" s="9" t="n">
        <v>30.22308</v>
      </c>
      <c r="L1856" s="9" t="n">
        <v>78.79004</v>
      </c>
      <c r="M1856" s="9" t="inlineStr">
        <is>
          <t>https://www.google.com/maps/place/?q=place_id:ChIJ3dNazYOlCTkR6nH_WFKfkBA</t>
        </is>
      </c>
    </row>
    <row r="1857">
      <c r="A1857" s="9" t="n">
        <v>1853</v>
      </c>
      <c r="B1857" s="9" t="inlineStr">
        <is>
          <t>Srinagar</t>
        </is>
      </c>
      <c r="C1857" s="9" t="inlineStr">
        <is>
          <t>Srinagar</t>
        </is>
      </c>
      <c r="D1857" s="9" t="inlineStr">
        <is>
          <t>Uttarakhand</t>
        </is>
      </c>
      <c r="E1857" s="9" t="inlineStr">
        <is>
          <t>India</t>
        </is>
      </c>
      <c r="F1857" s="9" t="n">
        <v>1</v>
      </c>
      <c r="G1857" s="9" t="n">
        <v>1</v>
      </c>
      <c r="H1857" s="9" t="n">
        <v>1</v>
      </c>
      <c r="I1857" s="10" t="n">
        <v>45461</v>
      </c>
      <c r="J1857" s="10" t="n">
        <v>45461</v>
      </c>
      <c r="K1857" s="9" t="n">
        <v>30.73107</v>
      </c>
      <c r="L1857" s="9" t="n">
        <v>79.06757</v>
      </c>
      <c r="M1857" s="9" t="inlineStr">
        <is>
          <t>https://www.google.com/maps/place/?q=place_id:ChIJd8z1zjg_CDkR4VN2ksU7JKM</t>
        </is>
      </c>
    </row>
    <row r="1858">
      <c r="A1858" s="9" t="n">
        <v>1854</v>
      </c>
      <c r="B1858" s="9" t="inlineStr">
        <is>
          <t>Tehri</t>
        </is>
      </c>
      <c r="C1858" s="9" t="inlineStr">
        <is>
          <t>Tehri</t>
        </is>
      </c>
      <c r="D1858" s="9" t="inlineStr">
        <is>
          <t>Uttarakhand</t>
        </is>
      </c>
      <c r="E1858" s="9" t="inlineStr">
        <is>
          <t>India</t>
        </is>
      </c>
      <c r="F1858" s="9" t="n">
        <v>1</v>
      </c>
      <c r="G1858" s="9" t="n">
        <v>1</v>
      </c>
      <c r="H1858" s="9" t="n">
        <v>1</v>
      </c>
      <c r="I1858" s="10" t="n">
        <v>43649</v>
      </c>
      <c r="J1858" s="10" t="n">
        <v>43649</v>
      </c>
      <c r="K1858" s="9" t="n">
        <v>30.52631</v>
      </c>
      <c r="L1858" s="9" t="n">
        <v>78.57109</v>
      </c>
      <c r="M1858" s="9" t="inlineStr">
        <is>
          <t>https://www.google.com/maps/place/?q=place_id:ChIJPRiMBFX5CDkR3bUDLVIpZJQ</t>
        </is>
      </c>
    </row>
    <row r="1859">
      <c r="A1859" s="9" t="n">
        <v>1855</v>
      </c>
      <c r="B1859" s="9" t="inlineStr">
        <is>
          <t>Tehri</t>
        </is>
      </c>
      <c r="C1859" s="9" t="inlineStr">
        <is>
          <t>Tehri</t>
        </is>
      </c>
      <c r="D1859" s="9" t="inlineStr">
        <is>
          <t>Uttarakhand</t>
        </is>
      </c>
      <c r="E1859" s="9" t="inlineStr">
        <is>
          <t>India</t>
        </is>
      </c>
      <c r="F1859" s="9" t="n">
        <v>1</v>
      </c>
      <c r="G1859" s="9" t="n">
        <v>1</v>
      </c>
      <c r="H1859" s="9" t="n">
        <v>1</v>
      </c>
      <c r="I1859" s="10" t="n">
        <v>43649</v>
      </c>
      <c r="J1859" s="10" t="n">
        <v>43649</v>
      </c>
      <c r="K1859" s="9" t="n">
        <v>30.42786</v>
      </c>
      <c r="L1859" s="9" t="n">
        <v>78.65997</v>
      </c>
      <c r="M1859" s="9" t="inlineStr">
        <is>
          <t>https://www.google.com/maps/place/?q=place_id:ChIJzydQ_MJVCDkRS6Ps3wbZ6Ps</t>
        </is>
      </c>
    </row>
    <row r="1860">
      <c r="A1860" s="9" t="n">
        <v>1856</v>
      </c>
      <c r="B1860" s="9" t="inlineStr">
        <is>
          <t>Tehri</t>
        </is>
      </c>
      <c r="C1860" s="9" t="inlineStr">
        <is>
          <t>Tehri</t>
        </is>
      </c>
      <c r="D1860" s="9" t="inlineStr">
        <is>
          <t>Uttarakhand</t>
        </is>
      </c>
      <c r="E1860" s="9" t="inlineStr">
        <is>
          <t>India</t>
        </is>
      </c>
      <c r="F1860" s="9" t="n">
        <v>1</v>
      </c>
      <c r="G1860" s="9" t="n">
        <v>1</v>
      </c>
      <c r="H1860" s="9" t="n">
        <v>1</v>
      </c>
      <c r="I1860" s="10" t="n">
        <v>43649</v>
      </c>
      <c r="J1860" s="10" t="n">
        <v>43649</v>
      </c>
      <c r="K1860" s="9" t="n">
        <v>30.42493</v>
      </c>
      <c r="L1860" s="9" t="n">
        <v>78.66446000000001</v>
      </c>
      <c r="M1860" s="9" t="inlineStr">
        <is>
          <t>https://www.google.com/maps/place/?q=place_id:ChIJsQ20crVVCDkRqduEbSUptbU</t>
        </is>
      </c>
    </row>
    <row r="1861">
      <c r="A1861" s="9" t="n">
        <v>1857</v>
      </c>
      <c r="B1861" s="9" t="inlineStr">
        <is>
          <t>Tehri</t>
        </is>
      </c>
      <c r="C1861" s="9" t="inlineStr">
        <is>
          <t>Tehri</t>
        </is>
      </c>
      <c r="D1861" s="9" t="inlineStr">
        <is>
          <t>Uttarakhand</t>
        </is>
      </c>
      <c r="E1861" s="9" t="inlineStr">
        <is>
          <t>India</t>
        </is>
      </c>
      <c r="F1861" s="9" t="n">
        <v>1</v>
      </c>
      <c r="G1861" s="9" t="n">
        <v>1</v>
      </c>
      <c r="H1861" s="9" t="n">
        <v>1</v>
      </c>
      <c r="I1861" s="10" t="n">
        <v>43729</v>
      </c>
      <c r="J1861" s="10" t="n">
        <v>43729</v>
      </c>
      <c r="K1861" s="9" t="n">
        <v>30.34862</v>
      </c>
      <c r="L1861" s="9" t="n">
        <v>78.62788999999999</v>
      </c>
      <c r="M1861" s="9" t="inlineStr">
        <is>
          <t>https://www.google.com/maps/place/?q=place_id:ChIJP1SBX0sBCTkR3DhLXfgtDcc</t>
        </is>
      </c>
    </row>
    <row r="1862">
      <c r="A1862" s="9" t="n">
        <v>1858</v>
      </c>
      <c r="B1862" s="9" t="inlineStr">
        <is>
          <t>Tehri</t>
        </is>
      </c>
      <c r="C1862" s="9" t="inlineStr">
        <is>
          <t>Tehri</t>
        </is>
      </c>
      <c r="D1862" s="9" t="inlineStr">
        <is>
          <t>Uttarakhand</t>
        </is>
      </c>
      <c r="E1862" s="9" t="inlineStr">
        <is>
          <t>India</t>
        </is>
      </c>
      <c r="F1862" s="9" t="n">
        <v>1</v>
      </c>
      <c r="G1862" s="9" t="n">
        <v>1</v>
      </c>
      <c r="H1862" s="9" t="n">
        <v>1</v>
      </c>
      <c r="I1862" s="10" t="n">
        <v>43729</v>
      </c>
      <c r="J1862" s="10" t="n">
        <v>43729</v>
      </c>
      <c r="K1862" s="9" t="n">
        <v>30.37831</v>
      </c>
      <c r="L1862" s="9" t="n">
        <v>78.4939</v>
      </c>
      <c r="M1862" s="9" t="inlineStr">
        <is>
          <t>https://www.google.com/maps/place/?q=place_id:ChIJm9smvKMCCTkRhLCISS8K7Fk</t>
        </is>
      </c>
    </row>
    <row r="1863">
      <c r="A1863" s="9" t="n">
        <v>1859</v>
      </c>
      <c r="B1863" s="9" t="inlineStr">
        <is>
          <t>Tehri</t>
        </is>
      </c>
      <c r="C1863" s="9" t="inlineStr">
        <is>
          <t>Tehri</t>
        </is>
      </c>
      <c r="D1863" s="9" t="inlineStr">
        <is>
          <t>Uttarakhand</t>
        </is>
      </c>
      <c r="E1863" s="9" t="inlineStr">
        <is>
          <t>India</t>
        </is>
      </c>
      <c r="F1863" s="9" t="n">
        <v>1</v>
      </c>
      <c r="G1863" s="9" t="n">
        <v>1</v>
      </c>
      <c r="H1863" s="9" t="n">
        <v>1</v>
      </c>
      <c r="I1863" s="10" t="n">
        <v>44704</v>
      </c>
      <c r="J1863" s="10" t="n">
        <v>44704</v>
      </c>
      <c r="K1863" s="9" t="n">
        <v>30.34507</v>
      </c>
      <c r="L1863" s="9" t="n">
        <v>78.39982000000001</v>
      </c>
      <c r="M1863" s="9" t="inlineStr">
        <is>
          <t>https://www.google.com/maps/place/?q=place_id:ChIJf0yyuMUdCTkR9yvQIH_yuTU</t>
        </is>
      </c>
    </row>
    <row r="1864">
      <c r="A1864" s="9" t="n">
        <v>1860</v>
      </c>
      <c r="B1864" s="9" t="inlineStr">
        <is>
          <t>Tehri</t>
        </is>
      </c>
      <c r="C1864" s="9" t="inlineStr">
        <is>
          <t>Tehri</t>
        </is>
      </c>
      <c r="D1864" s="9" t="inlineStr">
        <is>
          <t>Uttarakhand</t>
        </is>
      </c>
      <c r="E1864" s="9" t="inlineStr">
        <is>
          <t>India</t>
        </is>
      </c>
      <c r="F1864" s="9" t="n">
        <v>1</v>
      </c>
      <c r="G1864" s="9" t="n">
        <v>1</v>
      </c>
      <c r="H1864" s="9" t="n">
        <v>1</v>
      </c>
      <c r="I1864" s="10" t="n">
        <v>44704</v>
      </c>
      <c r="J1864" s="10" t="n">
        <v>44704</v>
      </c>
      <c r="K1864" s="9" t="n">
        <v>30.37819</v>
      </c>
      <c r="L1864" s="9" t="n">
        <v>78.48962</v>
      </c>
      <c r="M1864" s="9" t="inlineStr">
        <is>
          <t>https://www.google.com/maps/place/?q=place_id:ChIJi1hbSqQCCTkR-VUK0sulYTs</t>
        </is>
      </c>
    </row>
    <row r="1865">
      <c r="A1865" s="9" t="n">
        <v>1861</v>
      </c>
      <c r="B1865" s="9" t="inlineStr">
        <is>
          <t>Tehri</t>
        </is>
      </c>
      <c r="C1865" s="9" t="inlineStr">
        <is>
          <t>Tehri</t>
        </is>
      </c>
      <c r="D1865" s="9" t="inlineStr">
        <is>
          <t>Uttarakhand</t>
        </is>
      </c>
      <c r="E1865" s="9" t="inlineStr">
        <is>
          <t>India</t>
        </is>
      </c>
      <c r="F1865" s="9" t="n">
        <v>1</v>
      </c>
      <c r="G1865" s="9" t="n">
        <v>1</v>
      </c>
      <c r="H1865" s="9" t="n">
        <v>1</v>
      </c>
      <c r="I1865" s="10" t="n">
        <v>44704</v>
      </c>
      <c r="J1865" s="10" t="n">
        <v>44704</v>
      </c>
      <c r="K1865" s="9" t="n">
        <v>30.3929</v>
      </c>
      <c r="L1865" s="9" t="n">
        <v>78.47803999999999</v>
      </c>
      <c r="M1865" s="9" t="inlineStr">
        <is>
          <t>https://www.google.com/maps/place/?q=place_id:ChIJCQUQT9niCDkR85As8y_-wbo</t>
        </is>
      </c>
    </row>
    <row r="1866">
      <c r="A1866" s="9" t="n">
        <v>1862</v>
      </c>
      <c r="B1866" s="9" t="inlineStr">
        <is>
          <t>Tehri</t>
        </is>
      </c>
      <c r="C1866" s="9" t="inlineStr">
        <is>
          <t>Tehri</t>
        </is>
      </c>
      <c r="D1866" s="9" t="inlineStr">
        <is>
          <t>Uttarakhand</t>
        </is>
      </c>
      <c r="E1866" s="9" t="inlineStr">
        <is>
          <t>India</t>
        </is>
      </c>
      <c r="F1866" s="9" t="n">
        <v>1</v>
      </c>
      <c r="G1866" s="9" t="n">
        <v>1</v>
      </c>
      <c r="H1866" s="9" t="n">
        <v>1</v>
      </c>
      <c r="I1866" s="10" t="n">
        <v>44727</v>
      </c>
      <c r="J1866" s="10" t="n">
        <v>44727</v>
      </c>
      <c r="K1866" s="9" t="n">
        <v>30.46854</v>
      </c>
      <c r="L1866" s="9" t="n">
        <v>78.37018</v>
      </c>
      <c r="M1866" s="9" t="inlineStr">
        <is>
          <t>https://www.google.com/maps/place/?q=place_id:ChIJjyKUa5rnCDkRt0_98yeoLBs</t>
        </is>
      </c>
    </row>
    <row r="1867">
      <c r="A1867" s="9" t="n">
        <v>1863</v>
      </c>
      <c r="B1867" s="9" t="inlineStr">
        <is>
          <t>Tehri</t>
        </is>
      </c>
      <c r="C1867" s="9" t="inlineStr">
        <is>
          <t>Tehri</t>
        </is>
      </c>
      <c r="D1867" s="9" t="inlineStr">
        <is>
          <t>Uttarakhand</t>
        </is>
      </c>
      <c r="E1867" s="9" t="inlineStr">
        <is>
          <t>India</t>
        </is>
      </c>
      <c r="F1867" s="9" t="n">
        <v>1</v>
      </c>
      <c r="G1867" s="9" t="n">
        <v>1</v>
      </c>
      <c r="H1867" s="9" t="n">
        <v>1</v>
      </c>
      <c r="I1867" s="10" t="n">
        <v>44727</v>
      </c>
      <c r="J1867" s="10" t="n">
        <v>44727</v>
      </c>
      <c r="K1867" s="9" t="n">
        <v>30.49786</v>
      </c>
      <c r="L1867" s="9" t="n">
        <v>78.39702</v>
      </c>
      <c r="M1867" s="9" t="inlineStr">
        <is>
          <t>https://www.google.com/maps/place/?q=place_id:ChIJg2EU1i7kCDkRL01yZJSy8eI</t>
        </is>
      </c>
    </row>
    <row r="1868">
      <c r="A1868" s="9" t="n">
        <v>1864</v>
      </c>
      <c r="B1868" s="9" t="inlineStr">
        <is>
          <t>Uttarkashi</t>
        </is>
      </c>
      <c r="C1868" s="9" t="inlineStr">
        <is>
          <t>Uttarkashi</t>
        </is>
      </c>
      <c r="D1868" s="9" t="inlineStr">
        <is>
          <t>Uttarakhand</t>
        </is>
      </c>
      <c r="E1868" s="9" t="inlineStr">
        <is>
          <t>India</t>
        </is>
      </c>
      <c r="F1868" s="9" t="n">
        <v>9</v>
      </c>
      <c r="G1868" s="9" t="n">
        <v>9</v>
      </c>
      <c r="H1868" s="9" t="n">
        <v>4</v>
      </c>
      <c r="I1868" s="10" t="n">
        <v>43648</v>
      </c>
      <c r="J1868" s="10" t="n">
        <v>44726</v>
      </c>
      <c r="K1868" s="9" t="n">
        <v>30.73835</v>
      </c>
      <c r="L1868" s="9" t="n">
        <v>78.4538</v>
      </c>
      <c r="M1868" s="9" t="inlineStr">
        <is>
          <t>https://www.google.com/maps/place/?q=place_id:ChIJSTjfAFHzCDkR6fVcfnARxQM</t>
        </is>
      </c>
    </row>
    <row r="1869">
      <c r="A1869" s="9" t="n">
        <v>1865</v>
      </c>
      <c r="B1869" s="9" t="inlineStr">
        <is>
          <t>Uttarkashi</t>
        </is>
      </c>
      <c r="C1869" s="9" t="inlineStr">
        <is>
          <t>Uttarkashi</t>
        </is>
      </c>
      <c r="D1869" s="9" t="inlineStr">
        <is>
          <t>Uttarakhand</t>
        </is>
      </c>
      <c r="E1869" s="9" t="inlineStr">
        <is>
          <t>India</t>
        </is>
      </c>
      <c r="F1869" s="9" t="n">
        <v>4</v>
      </c>
      <c r="G1869" s="9" t="n">
        <v>4</v>
      </c>
      <c r="H1869" s="9" t="n">
        <v>2</v>
      </c>
      <c r="I1869" s="10" t="n">
        <v>43646</v>
      </c>
      <c r="J1869" s="10" t="n">
        <v>44701</v>
      </c>
      <c r="K1869" s="9" t="n">
        <v>30.8256</v>
      </c>
      <c r="L1869" s="9" t="n">
        <v>78.24986</v>
      </c>
      <c r="M1869" s="9" t="inlineStr">
        <is>
          <t>https://www.google.com/maps/place/?q=place_id:ChIJQ0nvcam-CDkR7nF3sY9xosw</t>
        </is>
      </c>
    </row>
    <row r="1870">
      <c r="A1870" s="9" t="n">
        <v>1866</v>
      </c>
      <c r="B1870" s="9" t="inlineStr">
        <is>
          <t>Uttarkashi</t>
        </is>
      </c>
      <c r="C1870" s="9" t="inlineStr">
        <is>
          <t>Uttarkashi</t>
        </is>
      </c>
      <c r="D1870" s="9" t="inlineStr">
        <is>
          <t>Uttarakhand</t>
        </is>
      </c>
      <c r="E1870" s="9" t="inlineStr">
        <is>
          <t>India</t>
        </is>
      </c>
      <c r="F1870" s="9" t="n">
        <v>4</v>
      </c>
      <c r="G1870" s="9" t="n">
        <v>4</v>
      </c>
      <c r="H1870" s="9" t="n">
        <v>4</v>
      </c>
      <c r="I1870" s="10" t="n">
        <v>43648</v>
      </c>
      <c r="J1870" s="10" t="n">
        <v>45460</v>
      </c>
      <c r="K1870" s="9" t="n">
        <v>30.99441</v>
      </c>
      <c r="L1870" s="9" t="n">
        <v>78.94118</v>
      </c>
      <c r="M1870" s="9" t="inlineStr">
        <is>
          <t>https://www.google.com/maps/place/?q=place_id:ChIJQ9_20yJyCDkRi-VZ5Zjr05Q</t>
        </is>
      </c>
    </row>
    <row r="1871">
      <c r="A1871" s="9" t="n">
        <v>1867</v>
      </c>
      <c r="B1871" s="9" t="inlineStr">
        <is>
          <t>Uttarkashi</t>
        </is>
      </c>
      <c r="C1871" s="9" t="inlineStr">
        <is>
          <t>Uttarkashi</t>
        </is>
      </c>
      <c r="D1871" s="9" t="inlineStr">
        <is>
          <t>Uttarakhand</t>
        </is>
      </c>
      <c r="E1871" s="9" t="inlineStr">
        <is>
          <t>India</t>
        </is>
      </c>
      <c r="F1871" s="9" t="n">
        <v>4</v>
      </c>
      <c r="G1871" s="9" t="n">
        <v>3</v>
      </c>
      <c r="H1871" s="9" t="n">
        <v>2</v>
      </c>
      <c r="I1871" s="10" t="n">
        <v>43731</v>
      </c>
      <c r="J1871" s="10" t="n">
        <v>44699</v>
      </c>
      <c r="K1871" s="9" t="n">
        <v>30.80575</v>
      </c>
      <c r="L1871" s="9" t="n">
        <v>78.22087000000001</v>
      </c>
      <c r="M1871" s="9" t="inlineStr">
        <is>
          <t>https://www.google.com/maps/place/?q=place_id:ChIJoZwFEqO-CDkR9xtHVeOUCgM</t>
        </is>
      </c>
    </row>
    <row r="1872">
      <c r="A1872" s="9" t="n">
        <v>1868</v>
      </c>
      <c r="B1872" s="9" t="inlineStr">
        <is>
          <t>Uttarkashi</t>
        </is>
      </c>
      <c r="C1872" s="9" t="inlineStr">
        <is>
          <t>Uttarkashi</t>
        </is>
      </c>
      <c r="D1872" s="9" t="inlineStr">
        <is>
          <t>Uttarakhand</t>
        </is>
      </c>
      <c r="E1872" s="9" t="inlineStr">
        <is>
          <t>India</t>
        </is>
      </c>
      <c r="F1872" s="9" t="n">
        <v>3</v>
      </c>
      <c r="G1872" s="9" t="n">
        <v>4</v>
      </c>
      <c r="H1872" s="9" t="n">
        <v>2</v>
      </c>
      <c r="I1872" s="10" t="n">
        <v>44848</v>
      </c>
      <c r="J1872" s="10" t="n">
        <v>45080</v>
      </c>
      <c r="K1872" s="9" t="n">
        <v>31.03775</v>
      </c>
      <c r="L1872" s="9" t="n">
        <v>78.74791999999999</v>
      </c>
      <c r="M1872" s="9" t="inlineStr">
        <is>
          <t>https://www.google.com/maps/place/?q=place_id:ChIJzW5KRpl9CDkRmOCWku0FI2A</t>
        </is>
      </c>
    </row>
    <row r="1873">
      <c r="A1873" s="9" t="n">
        <v>1869</v>
      </c>
      <c r="B1873" s="9" t="inlineStr">
        <is>
          <t>Uttarkashi</t>
        </is>
      </c>
      <c r="C1873" s="9" t="inlineStr">
        <is>
          <t>Uttarkashi</t>
        </is>
      </c>
      <c r="D1873" s="9" t="inlineStr">
        <is>
          <t>Uttarakhand</t>
        </is>
      </c>
      <c r="E1873" s="9" t="inlineStr">
        <is>
          <t>India</t>
        </is>
      </c>
      <c r="F1873" s="9" t="n">
        <v>2</v>
      </c>
      <c r="G1873" s="9" t="n">
        <v>2</v>
      </c>
      <c r="H1873" s="9" t="n">
        <v>2</v>
      </c>
      <c r="I1873" s="10" t="n">
        <v>43645</v>
      </c>
      <c r="J1873" s="10" t="n">
        <v>43731</v>
      </c>
      <c r="K1873" s="9" t="n">
        <v>30.80826</v>
      </c>
      <c r="L1873" s="9" t="n">
        <v>78.21008</v>
      </c>
      <c r="M1873" s="9" t="inlineStr">
        <is>
          <t>https://www.google.com/maps/place/?q=place_id:ChIJbXozpWC_CDkRQyWhoED-sk0</t>
        </is>
      </c>
    </row>
    <row r="1874">
      <c r="A1874" s="9" t="n">
        <v>1870</v>
      </c>
      <c r="B1874" s="9" t="inlineStr">
        <is>
          <t>Uttarkashi</t>
        </is>
      </c>
      <c r="C1874" s="9" t="inlineStr">
        <is>
          <t>Uttarkashi</t>
        </is>
      </c>
      <c r="D1874" s="9" t="inlineStr">
        <is>
          <t>Uttarakhand</t>
        </is>
      </c>
      <c r="E1874" s="9" t="inlineStr">
        <is>
          <t>India</t>
        </is>
      </c>
      <c r="F1874" s="9" t="n">
        <v>2</v>
      </c>
      <c r="G1874" s="9" t="n">
        <v>1</v>
      </c>
      <c r="H1874" s="9" t="n">
        <v>1</v>
      </c>
      <c r="I1874" s="10" t="n">
        <v>43646</v>
      </c>
      <c r="J1874" s="10" t="n">
        <v>43646</v>
      </c>
      <c r="K1874" s="9" t="n">
        <v>30.99605</v>
      </c>
      <c r="L1874" s="9" t="n">
        <v>78.46133</v>
      </c>
      <c r="M1874" s="9" t="inlineStr">
        <is>
          <t>https://www.google.com/maps/place/?q=place_id:ChIJ1aCLU1KbCDkRYsJvcYqWn28</t>
        </is>
      </c>
    </row>
    <row r="1875">
      <c r="A1875" s="9" t="n">
        <v>1871</v>
      </c>
      <c r="B1875" s="9" t="inlineStr">
        <is>
          <t>Uttarkashi</t>
        </is>
      </c>
      <c r="C1875" s="9" t="inlineStr">
        <is>
          <t>Uttarkashi</t>
        </is>
      </c>
      <c r="D1875" s="9" t="inlineStr">
        <is>
          <t>Uttarakhand</t>
        </is>
      </c>
      <c r="E1875" s="9" t="inlineStr">
        <is>
          <t>India</t>
        </is>
      </c>
      <c r="F1875" s="9" t="n">
        <v>2</v>
      </c>
      <c r="G1875" s="9" t="n">
        <v>2</v>
      </c>
      <c r="H1875" s="9" t="n">
        <v>1</v>
      </c>
      <c r="I1875" s="10" t="n">
        <v>43646</v>
      </c>
      <c r="J1875" s="10" t="n">
        <v>43647</v>
      </c>
      <c r="K1875" s="9" t="n">
        <v>30.80594</v>
      </c>
      <c r="L1875" s="9" t="n">
        <v>78.22022</v>
      </c>
      <c r="M1875" s="9" t="inlineStr">
        <is>
          <t>https://www.google.com/maps/place/?q=place_id:ChIJv4g3tCS_CDkRVdIrkhpedAM</t>
        </is>
      </c>
    </row>
    <row r="1876">
      <c r="A1876" s="9" t="n">
        <v>1872</v>
      </c>
      <c r="B1876" s="9" t="inlineStr">
        <is>
          <t>Uttarkashi</t>
        </is>
      </c>
      <c r="C1876" s="9" t="inlineStr">
        <is>
          <t>Uttarkashi</t>
        </is>
      </c>
      <c r="D1876" s="9" t="inlineStr">
        <is>
          <t>Uttarakhand</t>
        </is>
      </c>
      <c r="E1876" s="9" t="inlineStr">
        <is>
          <t>India</t>
        </is>
      </c>
      <c r="F1876" s="9" t="n">
        <v>2</v>
      </c>
      <c r="G1876" s="9" t="n">
        <v>2</v>
      </c>
      <c r="H1876" s="9" t="n">
        <v>2</v>
      </c>
      <c r="I1876" s="10" t="n">
        <v>43648</v>
      </c>
      <c r="J1876" s="10" t="n">
        <v>44726</v>
      </c>
      <c r="K1876" s="9" t="n">
        <v>30.99466</v>
      </c>
      <c r="L1876" s="9" t="n">
        <v>78.93785</v>
      </c>
      <c r="M1876" s="9" t="inlineStr">
        <is>
          <t>https://www.google.com/maps/place/?q=place_id:ChIJA-LRsyNyCDkR3ddKx4bTL98</t>
        </is>
      </c>
    </row>
    <row r="1877">
      <c r="A1877" s="9" t="n">
        <v>1873</v>
      </c>
      <c r="B1877" s="9" t="inlineStr">
        <is>
          <t>Uttarkashi</t>
        </is>
      </c>
      <c r="C1877" s="9" t="inlineStr">
        <is>
          <t>Uttarkashi</t>
        </is>
      </c>
      <c r="D1877" s="9" t="inlineStr">
        <is>
          <t>Uttarakhand</t>
        </is>
      </c>
      <c r="E1877" s="9" t="inlineStr">
        <is>
          <t>India</t>
        </is>
      </c>
      <c r="F1877" s="9" t="n">
        <v>2</v>
      </c>
      <c r="G1877" s="9" t="n">
        <v>2</v>
      </c>
      <c r="H1877" s="9" t="n">
        <v>2</v>
      </c>
      <c r="I1877" s="10" t="n">
        <v>43733</v>
      </c>
      <c r="J1877" s="10" t="n">
        <v>44700</v>
      </c>
      <c r="K1877" s="9" t="n">
        <v>30.80463</v>
      </c>
      <c r="L1877" s="9" t="n">
        <v>78.22411</v>
      </c>
      <c r="M1877" s="9" t="inlineStr">
        <is>
          <t>https://www.google.com/maps/place/?q=place_id:ChIJtbI3F9q_CDkR1WkF5j9RJJc</t>
        </is>
      </c>
    </row>
    <row r="1878">
      <c r="A1878" s="9" t="n">
        <v>1874</v>
      </c>
      <c r="B1878" s="9" t="inlineStr">
        <is>
          <t>Uttarkashi</t>
        </is>
      </c>
      <c r="C1878" s="9" t="inlineStr">
        <is>
          <t>Uttarkashi</t>
        </is>
      </c>
      <c r="D1878" s="9" t="inlineStr">
        <is>
          <t>Uttarakhand</t>
        </is>
      </c>
      <c r="E1878" s="9" t="inlineStr">
        <is>
          <t>India</t>
        </is>
      </c>
      <c r="F1878" s="9" t="n">
        <v>2</v>
      </c>
      <c r="G1878" s="9" t="n">
        <v>2</v>
      </c>
      <c r="H1878" s="9" t="n">
        <v>1</v>
      </c>
      <c r="I1878" s="10" t="n">
        <v>44723</v>
      </c>
      <c r="J1878" s="10" t="n">
        <v>44725</v>
      </c>
      <c r="K1878" s="9" t="n">
        <v>30.81248</v>
      </c>
      <c r="L1878" s="9" t="n">
        <v>78.25208000000001</v>
      </c>
      <c r="M1878" s="9" t="inlineStr">
        <is>
          <t>https://www.google.com/maps/place/?q=place_id:ChIJU5b6UGy_CDkRmheMO96FfI8</t>
        </is>
      </c>
    </row>
    <row r="1879">
      <c r="A1879" s="9" t="n">
        <v>1875</v>
      </c>
      <c r="B1879" s="9" t="inlineStr">
        <is>
          <t>Uttarkashi</t>
        </is>
      </c>
      <c r="C1879" s="9" t="inlineStr">
        <is>
          <t>Uttarkashi</t>
        </is>
      </c>
      <c r="D1879" s="9" t="inlineStr">
        <is>
          <t>Uttarakhand</t>
        </is>
      </c>
      <c r="E1879" s="9" t="inlineStr">
        <is>
          <t>India</t>
        </is>
      </c>
      <c r="F1879" s="9" t="n">
        <v>2</v>
      </c>
      <c r="G1879" s="9" t="n">
        <v>2</v>
      </c>
      <c r="H1879" s="9" t="n">
        <v>2</v>
      </c>
      <c r="I1879" s="10" t="n">
        <v>45079</v>
      </c>
      <c r="J1879" s="10" t="n">
        <v>45461</v>
      </c>
      <c r="K1879" s="9" t="n">
        <v>31.01033</v>
      </c>
      <c r="L1879" s="9" t="n">
        <v>78.70995000000001</v>
      </c>
      <c r="M1879" s="9" t="inlineStr">
        <is>
          <t>https://www.google.com/maps/place/?q=place_id:ChIJgZygwP19CDkRPw6TAHVwgnI</t>
        </is>
      </c>
    </row>
    <row r="1880">
      <c r="A1880" s="9" t="n">
        <v>1876</v>
      </c>
      <c r="B1880" s="9" t="inlineStr">
        <is>
          <t>Uttarkashi</t>
        </is>
      </c>
      <c r="C1880" s="9" t="inlineStr">
        <is>
          <t>Uttarkashi</t>
        </is>
      </c>
      <c r="D1880" s="9" t="inlineStr">
        <is>
          <t>Uttarakhand</t>
        </is>
      </c>
      <c r="E1880" s="9" t="inlineStr">
        <is>
          <t>India</t>
        </is>
      </c>
      <c r="F1880" s="9" t="n">
        <v>2</v>
      </c>
      <c r="G1880" s="9" t="n">
        <v>2</v>
      </c>
      <c r="H1880" s="9" t="n">
        <v>1</v>
      </c>
      <c r="I1880" s="10" t="n">
        <v>45459</v>
      </c>
      <c r="J1880" s="10" t="n">
        <v>45460</v>
      </c>
      <c r="K1880" s="9" t="n">
        <v>30.97425</v>
      </c>
      <c r="L1880" s="9" t="n">
        <v>78.44034000000001</v>
      </c>
      <c r="M1880" s="9" t="inlineStr">
        <is>
          <t>https://www.google.com/maps/place/?q=place_id:ChIJqZVcJQObCDkRd3CxLNi8tCs</t>
        </is>
      </c>
    </row>
    <row r="1881">
      <c r="A1881" s="9" t="n">
        <v>1877</v>
      </c>
      <c r="B1881" s="9" t="inlineStr">
        <is>
          <t>Uttarkashi</t>
        </is>
      </c>
      <c r="C1881" s="9" t="inlineStr">
        <is>
          <t>Uttarkashi</t>
        </is>
      </c>
      <c r="D1881" s="9" t="inlineStr">
        <is>
          <t>Uttarakhand</t>
        </is>
      </c>
      <c r="E1881" s="9" t="inlineStr">
        <is>
          <t>India</t>
        </is>
      </c>
      <c r="F1881" s="9" t="n">
        <v>2</v>
      </c>
      <c r="G1881" s="9" t="n">
        <v>2</v>
      </c>
      <c r="H1881" s="9" t="n">
        <v>1</v>
      </c>
      <c r="I1881" s="10" t="n">
        <v>45460</v>
      </c>
      <c r="J1881" s="10" t="n">
        <v>45461</v>
      </c>
      <c r="K1881" s="9" t="n">
        <v>31.03737</v>
      </c>
      <c r="L1881" s="9" t="n">
        <v>78.74856</v>
      </c>
      <c r="M1881" s="9" t="inlineStr">
        <is>
          <t>https://www.google.com/maps/place/?q=place_id:ChIJuV-5t_h7CDkRo0Z0mesAQTA</t>
        </is>
      </c>
    </row>
    <row r="1882">
      <c r="A1882" s="9" t="n">
        <v>1878</v>
      </c>
      <c r="B1882" s="9" t="inlineStr">
        <is>
          <t>Uttarkashi</t>
        </is>
      </c>
      <c r="C1882" s="9" t="inlineStr">
        <is>
          <t>Uttarkashi</t>
        </is>
      </c>
      <c r="D1882" s="9" t="inlineStr">
        <is>
          <t>Uttarakhand</t>
        </is>
      </c>
      <c r="E1882" s="9" t="inlineStr">
        <is>
          <t>India</t>
        </is>
      </c>
      <c r="F1882" s="9" t="n">
        <v>1</v>
      </c>
      <c r="G1882" s="9" t="n">
        <v>2</v>
      </c>
      <c r="H1882" s="9" t="n">
        <v>1</v>
      </c>
      <c r="I1882" s="10" t="n">
        <v>43645</v>
      </c>
      <c r="J1882" s="10" t="n">
        <v>43646</v>
      </c>
      <c r="K1882" s="9" t="n">
        <v>30.81696</v>
      </c>
      <c r="L1882" s="9" t="n">
        <v>78.24781</v>
      </c>
      <c r="M1882" s="9" t="inlineStr">
        <is>
          <t>https://www.google.com/maps/place/?q=place_id:ChIJx78XIPO_CDkR0wD3Z0wKQIM</t>
        </is>
      </c>
    </row>
    <row r="1883">
      <c r="A1883" s="9" t="n">
        <v>1879</v>
      </c>
      <c r="B1883" s="9" t="inlineStr">
        <is>
          <t>Uttarkashi</t>
        </is>
      </c>
      <c r="C1883" s="9" t="inlineStr">
        <is>
          <t>Uttarkashi</t>
        </is>
      </c>
      <c r="D1883" s="9" t="inlineStr">
        <is>
          <t>Uttarakhand</t>
        </is>
      </c>
      <c r="E1883" s="9" t="inlineStr">
        <is>
          <t>India</t>
        </is>
      </c>
      <c r="F1883" s="9" t="n">
        <v>1</v>
      </c>
      <c r="G1883" s="9" t="n">
        <v>1</v>
      </c>
      <c r="H1883" s="9" t="n">
        <v>1</v>
      </c>
      <c r="I1883" s="10" t="n">
        <v>43646</v>
      </c>
      <c r="J1883" s="10" t="n">
        <v>43646</v>
      </c>
      <c r="K1883" s="9" t="n">
        <v>30.99973</v>
      </c>
      <c r="L1883" s="9" t="n">
        <v>78.46292</v>
      </c>
      <c r="M1883" s="9" t="inlineStr">
        <is>
          <t>https://www.google.com/maps/place/?q=place_id:ChIJSZtcEE2bCDkRzOjSLzrGJ5k</t>
        </is>
      </c>
    </row>
    <row r="1884">
      <c r="A1884" s="9" t="n">
        <v>1880</v>
      </c>
      <c r="B1884" s="9" t="inlineStr">
        <is>
          <t>Uttarkashi</t>
        </is>
      </c>
      <c r="C1884" s="9" t="inlineStr">
        <is>
          <t>Uttarkashi</t>
        </is>
      </c>
      <c r="D1884" s="9" t="inlineStr">
        <is>
          <t>Uttarakhand</t>
        </is>
      </c>
      <c r="E1884" s="9" t="inlineStr">
        <is>
          <t>India</t>
        </is>
      </c>
      <c r="F1884" s="9" t="n">
        <v>1</v>
      </c>
      <c r="G1884" s="9" t="n">
        <v>1</v>
      </c>
      <c r="H1884" s="9" t="n">
        <v>1</v>
      </c>
      <c r="I1884" s="10" t="n">
        <v>43646</v>
      </c>
      <c r="J1884" s="10" t="n">
        <v>43646</v>
      </c>
      <c r="K1884" s="9" t="n">
        <v>30.97362</v>
      </c>
      <c r="L1884" s="9" t="n">
        <v>78.43488000000001</v>
      </c>
      <c r="M1884" s="9" t="inlineStr">
        <is>
          <t>https://www.google.com/maps/place/?q=place_id:ChIJVVVV5QObCDkR_Oj9x70IPTQ</t>
        </is>
      </c>
    </row>
    <row r="1885">
      <c r="A1885" s="9" t="n">
        <v>1881</v>
      </c>
      <c r="B1885" s="9" t="inlineStr">
        <is>
          <t>Uttarkashi</t>
        </is>
      </c>
      <c r="C1885" s="9" t="inlineStr">
        <is>
          <t>Uttarkashi</t>
        </is>
      </c>
      <c r="D1885" s="9" t="inlineStr">
        <is>
          <t>Uttarakhand</t>
        </is>
      </c>
      <c r="E1885" s="9" t="inlineStr">
        <is>
          <t>India</t>
        </is>
      </c>
      <c r="F1885" s="9" t="n">
        <v>1</v>
      </c>
      <c r="G1885" s="9" t="n">
        <v>1</v>
      </c>
      <c r="H1885" s="9" t="n">
        <v>1</v>
      </c>
      <c r="I1885" s="10" t="n">
        <v>43647</v>
      </c>
      <c r="J1885" s="10" t="n">
        <v>43647</v>
      </c>
      <c r="K1885" s="9" t="n">
        <v>30.80099</v>
      </c>
      <c r="L1885" s="9" t="n">
        <v>78.22602000000001</v>
      </c>
      <c r="M1885" s="9" t="inlineStr">
        <is>
          <t>https://www.google.com/maps/place/?q=place_id:ChIJqYGDjgO_CDkRzkQ8-LQTWWI</t>
        </is>
      </c>
    </row>
    <row r="1886">
      <c r="A1886" s="9" t="n">
        <v>1882</v>
      </c>
      <c r="B1886" s="9" t="inlineStr">
        <is>
          <t>Uttarkashi</t>
        </is>
      </c>
      <c r="C1886" s="9" t="inlineStr">
        <is>
          <t>Uttarkashi</t>
        </is>
      </c>
      <c r="D1886" s="9" t="inlineStr">
        <is>
          <t>Uttarakhand</t>
        </is>
      </c>
      <c r="E1886" s="9" t="inlineStr">
        <is>
          <t>India</t>
        </is>
      </c>
      <c r="F1886" s="9" t="n">
        <v>1</v>
      </c>
      <c r="G1886" s="9" t="n">
        <v>1</v>
      </c>
      <c r="H1886" s="9" t="n">
        <v>1</v>
      </c>
      <c r="I1886" s="10" t="n">
        <v>43647</v>
      </c>
      <c r="J1886" s="10" t="n">
        <v>43647</v>
      </c>
      <c r="K1886" s="9" t="n">
        <v>30.73171</v>
      </c>
      <c r="L1886" s="9" t="n">
        <v>78.27717</v>
      </c>
      <c r="M1886" s="9" t="inlineStr">
        <is>
          <t>https://www.google.com/maps/place/?q=place_id:ChIJqYty5vm_CDkR1GujRz3lOxo</t>
        </is>
      </c>
    </row>
    <row r="1887">
      <c r="A1887" s="9" t="n">
        <v>1883</v>
      </c>
      <c r="B1887" s="9" t="inlineStr">
        <is>
          <t>Uttarkashi</t>
        </is>
      </c>
      <c r="C1887" s="9" t="inlineStr">
        <is>
          <t>Uttarkashi</t>
        </is>
      </c>
      <c r="D1887" s="9" t="inlineStr">
        <is>
          <t>Uttarakhand</t>
        </is>
      </c>
      <c r="E1887" s="9" t="inlineStr">
        <is>
          <t>India</t>
        </is>
      </c>
      <c r="F1887" s="9" t="n">
        <v>1</v>
      </c>
      <c r="G1887" s="9" t="n">
        <v>1</v>
      </c>
      <c r="H1887" s="9" t="n">
        <v>1</v>
      </c>
      <c r="I1887" s="10" t="n">
        <v>43647</v>
      </c>
      <c r="J1887" s="10" t="n">
        <v>43647</v>
      </c>
      <c r="K1887" s="9" t="n">
        <v>30.73023</v>
      </c>
      <c r="L1887" s="9" t="n">
        <v>78.43724</v>
      </c>
      <c r="M1887" s="9" t="inlineStr">
        <is>
          <t>https://www.google.com/maps/place/?q=place_id:ChIJT_74EijtCDkRzV8k7SZ2mvk</t>
        </is>
      </c>
    </row>
    <row r="1888">
      <c r="A1888" s="9" t="n">
        <v>1884</v>
      </c>
      <c r="B1888" s="9" t="inlineStr">
        <is>
          <t>Uttarkashi</t>
        </is>
      </c>
      <c r="C1888" s="9" t="inlineStr">
        <is>
          <t>Uttarkashi</t>
        </is>
      </c>
      <c r="D1888" s="9" t="inlineStr">
        <is>
          <t>Uttarakhand</t>
        </is>
      </c>
      <c r="E1888" s="9" t="inlineStr">
        <is>
          <t>India</t>
        </is>
      </c>
      <c r="F1888" s="9" t="n">
        <v>1</v>
      </c>
      <c r="G1888" s="9" t="n">
        <v>1</v>
      </c>
      <c r="H1888" s="9" t="n">
        <v>1</v>
      </c>
      <c r="I1888" s="10" t="n">
        <v>43647</v>
      </c>
      <c r="J1888" s="10" t="n">
        <v>43647</v>
      </c>
      <c r="K1888" s="9" t="n">
        <v>30.7471</v>
      </c>
      <c r="L1888" s="9" t="n">
        <v>78.46169999999999</v>
      </c>
      <c r="M1888" s="9" t="inlineStr">
        <is>
          <t>https://www.google.com/maps/place/?q=place_id:ChIJbRhUPUjtCDkRm_3TOdwbuII</t>
        </is>
      </c>
    </row>
    <row r="1889">
      <c r="A1889" s="9" t="n">
        <v>1885</v>
      </c>
      <c r="B1889" s="9" t="inlineStr">
        <is>
          <t>Uttarkashi</t>
        </is>
      </c>
      <c r="C1889" s="9" t="inlineStr">
        <is>
          <t>Uttarkashi</t>
        </is>
      </c>
      <c r="D1889" s="9" t="inlineStr">
        <is>
          <t>Uttarakhand</t>
        </is>
      </c>
      <c r="E1889" s="9" t="inlineStr">
        <is>
          <t>India</t>
        </is>
      </c>
      <c r="F1889" s="9" t="n">
        <v>1</v>
      </c>
      <c r="G1889" s="9" t="n">
        <v>1</v>
      </c>
      <c r="H1889" s="9" t="n">
        <v>1</v>
      </c>
      <c r="I1889" s="10" t="n">
        <v>43729</v>
      </c>
      <c r="J1889" s="10" t="n">
        <v>43729</v>
      </c>
      <c r="K1889" s="9" t="n">
        <v>30.74212</v>
      </c>
      <c r="L1889" s="9" t="n">
        <v>78.45368999999999</v>
      </c>
      <c r="M1889" s="9" t="inlineStr">
        <is>
          <t>https://www.google.com/maps/place/?q=place_id:ChIJ7zGO8y_tCDkR_rudW3yXmMk</t>
        </is>
      </c>
    </row>
    <row r="1890">
      <c r="A1890" s="9" t="n">
        <v>1886</v>
      </c>
      <c r="B1890" s="9" t="inlineStr">
        <is>
          <t>Uttarkashi</t>
        </is>
      </c>
      <c r="C1890" s="9" t="inlineStr">
        <is>
          <t>Uttarkashi</t>
        </is>
      </c>
      <c r="D1890" s="9" t="inlineStr">
        <is>
          <t>Uttarakhand</t>
        </is>
      </c>
      <c r="E1890" s="9" t="inlineStr">
        <is>
          <t>India</t>
        </is>
      </c>
      <c r="F1890" s="9" t="n">
        <v>1</v>
      </c>
      <c r="G1890" s="9" t="n">
        <v>1</v>
      </c>
      <c r="H1890" s="9" t="n">
        <v>1</v>
      </c>
      <c r="I1890" s="10" t="n">
        <v>43730</v>
      </c>
      <c r="J1890" s="10" t="n">
        <v>43730</v>
      </c>
      <c r="K1890" s="9" t="n">
        <v>31.0078</v>
      </c>
      <c r="L1890" s="9" t="n">
        <v>78.70851</v>
      </c>
      <c r="M1890" s="9" t="inlineStr">
        <is>
          <t>https://www.google.com/maps/place/?q=place_id:ChIJi4sjB0x8CDkRiwxvXrR1j_4</t>
        </is>
      </c>
    </row>
    <row r="1891">
      <c r="A1891" s="9" t="n">
        <v>1887</v>
      </c>
      <c r="B1891" s="9" t="inlineStr">
        <is>
          <t>Uttarkashi</t>
        </is>
      </c>
      <c r="C1891" s="9" t="inlineStr">
        <is>
          <t>Uttarkashi</t>
        </is>
      </c>
      <c r="D1891" s="9" t="inlineStr">
        <is>
          <t>Uttarakhand</t>
        </is>
      </c>
      <c r="E1891" s="9" t="inlineStr">
        <is>
          <t>India</t>
        </is>
      </c>
      <c r="F1891" s="9" t="n">
        <v>1</v>
      </c>
      <c r="G1891" s="9" t="n">
        <v>1</v>
      </c>
      <c r="H1891" s="9" t="n">
        <v>1</v>
      </c>
      <c r="I1891" s="10" t="n">
        <v>43731</v>
      </c>
      <c r="J1891" s="10" t="n">
        <v>43731</v>
      </c>
      <c r="K1891" s="9" t="n">
        <v>30.72887</v>
      </c>
      <c r="L1891" s="9" t="n">
        <v>78.44135</v>
      </c>
      <c r="M1891" s="9" t="inlineStr">
        <is>
          <t>https://www.google.com/maps/place/?q=place_id:ChIJeUl3NjvtCDkRv8D8uJhMSaM</t>
        </is>
      </c>
    </row>
    <row r="1892">
      <c r="A1892" s="9" t="n">
        <v>1888</v>
      </c>
      <c r="B1892" s="9" t="inlineStr">
        <is>
          <t>Uttarkashi</t>
        </is>
      </c>
      <c r="C1892" s="9" t="inlineStr">
        <is>
          <t>Uttarkashi</t>
        </is>
      </c>
      <c r="D1892" s="9" t="inlineStr">
        <is>
          <t>Uttarakhand</t>
        </is>
      </c>
      <c r="E1892" s="9" t="inlineStr">
        <is>
          <t>India</t>
        </is>
      </c>
      <c r="F1892" s="9" t="n">
        <v>1</v>
      </c>
      <c r="G1892" s="9" t="n">
        <v>1</v>
      </c>
      <c r="H1892" s="9" t="n">
        <v>1</v>
      </c>
      <c r="I1892" s="10" t="n">
        <v>43731</v>
      </c>
      <c r="J1892" s="10" t="n">
        <v>43731</v>
      </c>
      <c r="K1892" s="9" t="n">
        <v>30.62981</v>
      </c>
      <c r="L1892" s="9" t="n">
        <v>78.33007000000001</v>
      </c>
      <c r="M1892" s="9" t="inlineStr">
        <is>
          <t>https://www.google.com/maps/place/?q=place_id:ChIJiasb_prpCDkRUc5jGO5OD7o</t>
        </is>
      </c>
    </row>
    <row r="1893">
      <c r="A1893" s="9" t="n">
        <v>1889</v>
      </c>
      <c r="B1893" s="9" t="inlineStr">
        <is>
          <t>Uttarkashi</t>
        </is>
      </c>
      <c r="C1893" s="9" t="inlineStr">
        <is>
          <t>Uttarkashi</t>
        </is>
      </c>
      <c r="D1893" s="9" t="inlineStr">
        <is>
          <t>Uttarakhand</t>
        </is>
      </c>
      <c r="E1893" s="9" t="inlineStr">
        <is>
          <t>India</t>
        </is>
      </c>
      <c r="F1893" s="9" t="n">
        <v>1</v>
      </c>
      <c r="G1893" s="9" t="n">
        <v>1</v>
      </c>
      <c r="H1893" s="9" t="n">
        <v>1</v>
      </c>
      <c r="I1893" s="10" t="n">
        <v>43731</v>
      </c>
      <c r="J1893" s="10" t="n">
        <v>43731</v>
      </c>
      <c r="K1893" s="9" t="n">
        <v>30.8219</v>
      </c>
      <c r="L1893" s="9" t="n">
        <v>78.24569</v>
      </c>
      <c r="M1893" s="9" t="inlineStr">
        <is>
          <t>https://www.google.com/maps/place/?q=place_id:ChIJlVZ-k3S9CDkR8JqdH_Ir6zg</t>
        </is>
      </c>
    </row>
    <row r="1894">
      <c r="A1894" s="9" t="n">
        <v>1890</v>
      </c>
      <c r="B1894" s="9" t="inlineStr">
        <is>
          <t>Uttarkashi</t>
        </is>
      </c>
      <c r="C1894" s="9" t="inlineStr">
        <is>
          <t>Uttarkashi</t>
        </is>
      </c>
      <c r="D1894" s="9" t="inlineStr">
        <is>
          <t>Uttarakhand</t>
        </is>
      </c>
      <c r="E1894" s="9" t="inlineStr">
        <is>
          <t>India</t>
        </is>
      </c>
      <c r="F1894" s="9" t="n">
        <v>1</v>
      </c>
      <c r="G1894" s="9" t="n">
        <v>1</v>
      </c>
      <c r="H1894" s="9" t="n">
        <v>1</v>
      </c>
      <c r="I1894" s="10" t="n">
        <v>43732</v>
      </c>
      <c r="J1894" s="10" t="n">
        <v>43732</v>
      </c>
      <c r="K1894" s="9" t="n">
        <v>30.87429</v>
      </c>
      <c r="L1894" s="9" t="n">
        <v>78.30333</v>
      </c>
      <c r="M1894" s="9" t="inlineStr">
        <is>
          <t>https://www.google.com/maps/place/?q=place_id:ChIJBUyh7dGXCDkRMleVNT5hQLs</t>
        </is>
      </c>
    </row>
    <row r="1895">
      <c r="A1895" s="9" t="n">
        <v>1891</v>
      </c>
      <c r="B1895" s="9" t="inlineStr">
        <is>
          <t>Uttarkashi</t>
        </is>
      </c>
      <c r="C1895" s="9" t="inlineStr">
        <is>
          <t>Uttarkashi</t>
        </is>
      </c>
      <c r="D1895" s="9" t="inlineStr">
        <is>
          <t>Uttarakhand</t>
        </is>
      </c>
      <c r="E1895" s="9" t="inlineStr">
        <is>
          <t>India</t>
        </is>
      </c>
      <c r="F1895" s="9" t="n">
        <v>1</v>
      </c>
      <c r="G1895" s="9" t="n">
        <v>1</v>
      </c>
      <c r="H1895" s="9" t="n">
        <v>1</v>
      </c>
      <c r="I1895" s="10" t="n">
        <v>43732</v>
      </c>
      <c r="J1895" s="10" t="n">
        <v>43732</v>
      </c>
      <c r="K1895" s="9" t="n">
        <v>30.9758</v>
      </c>
      <c r="L1895" s="9" t="n">
        <v>78.43743000000001</v>
      </c>
      <c r="M1895" s="9" t="inlineStr">
        <is>
          <t>https://www.google.com/maps/place/?q=place_id:ChIJB7jMiAObCDkRge8Mzghcb0I</t>
        </is>
      </c>
    </row>
    <row r="1896">
      <c r="A1896" s="9" t="n">
        <v>1892</v>
      </c>
      <c r="B1896" s="9" t="inlineStr">
        <is>
          <t>Uttarkashi</t>
        </is>
      </c>
      <c r="C1896" s="9" t="inlineStr">
        <is>
          <t>Uttarkashi</t>
        </is>
      </c>
      <c r="D1896" s="9" t="inlineStr">
        <is>
          <t>Uttarakhand</t>
        </is>
      </c>
      <c r="E1896" s="9" t="inlineStr">
        <is>
          <t>India</t>
        </is>
      </c>
      <c r="F1896" s="9" t="n">
        <v>1</v>
      </c>
      <c r="G1896" s="9" t="n">
        <v>1</v>
      </c>
      <c r="H1896" s="9" t="n">
        <v>1</v>
      </c>
      <c r="I1896" s="10" t="n">
        <v>44700</v>
      </c>
      <c r="J1896" s="10" t="n">
        <v>44700</v>
      </c>
      <c r="K1896" s="9" t="n">
        <v>30.80784</v>
      </c>
      <c r="L1896" s="9" t="n">
        <v>78.20652</v>
      </c>
      <c r="M1896" s="9" t="inlineStr">
        <is>
          <t>https://www.google.com/maps/place/?q=place_id:ChIJaZ9cCqy-CDkRW0mBJ0yE3Vg</t>
        </is>
      </c>
    </row>
    <row r="1897">
      <c r="A1897" s="9" t="n">
        <v>1893</v>
      </c>
      <c r="B1897" s="9" t="inlineStr">
        <is>
          <t>Uttarkashi</t>
        </is>
      </c>
      <c r="C1897" s="9" t="inlineStr">
        <is>
          <t>Uttarkashi</t>
        </is>
      </c>
      <c r="D1897" s="9" t="inlineStr">
        <is>
          <t>Uttarakhand</t>
        </is>
      </c>
      <c r="E1897" s="9" t="inlineStr">
        <is>
          <t>India</t>
        </is>
      </c>
      <c r="F1897" s="9" t="n">
        <v>1</v>
      </c>
      <c r="G1897" s="9" t="n">
        <v>2</v>
      </c>
      <c r="H1897" s="9" t="n">
        <v>1</v>
      </c>
      <c r="I1897" s="10" t="n">
        <v>44700</v>
      </c>
      <c r="J1897" s="10" t="n">
        <v>44701</v>
      </c>
      <c r="K1897" s="9" t="n">
        <v>30.80612</v>
      </c>
      <c r="L1897" s="9" t="n">
        <v>78.20276</v>
      </c>
      <c r="M1897" s="9" t="inlineStr">
        <is>
          <t>https://www.google.com/maps/place/?q=place_id:ChIJGdtmu6y-CDkRcQXNBv26zSQ</t>
        </is>
      </c>
    </row>
    <row r="1898">
      <c r="A1898" s="9" t="n">
        <v>1894</v>
      </c>
      <c r="B1898" s="9" t="inlineStr">
        <is>
          <t>Uttarkashi</t>
        </is>
      </c>
      <c r="C1898" s="9" t="inlineStr">
        <is>
          <t>Uttarkashi</t>
        </is>
      </c>
      <c r="D1898" s="9" t="inlineStr">
        <is>
          <t>Uttarakhand</t>
        </is>
      </c>
      <c r="E1898" s="9" t="inlineStr">
        <is>
          <t>India</t>
        </is>
      </c>
      <c r="F1898" s="9" t="n">
        <v>1</v>
      </c>
      <c r="G1898" s="9" t="n">
        <v>2</v>
      </c>
      <c r="H1898" s="9" t="n">
        <v>1</v>
      </c>
      <c r="I1898" s="10" t="n">
        <v>44701</v>
      </c>
      <c r="J1898" s="10" t="n">
        <v>44702</v>
      </c>
      <c r="K1898" s="9" t="n">
        <v>30.92707</v>
      </c>
      <c r="L1898" s="9" t="n">
        <v>78.36426</v>
      </c>
      <c r="M1898" s="9" t="inlineStr">
        <is>
          <t>https://www.google.com/maps/place/?q=place_id:ChIJBwE34nCXCDkRXBF98iYm3Kw</t>
        </is>
      </c>
    </row>
    <row r="1899">
      <c r="A1899" s="9" t="n">
        <v>1895</v>
      </c>
      <c r="B1899" s="9" t="inlineStr">
        <is>
          <t>Uttarkashi</t>
        </is>
      </c>
      <c r="C1899" s="9" t="inlineStr">
        <is>
          <t>Uttarkashi</t>
        </is>
      </c>
      <c r="D1899" s="9" t="inlineStr">
        <is>
          <t>Uttarakhand</t>
        </is>
      </c>
      <c r="E1899" s="9" t="inlineStr">
        <is>
          <t>India</t>
        </is>
      </c>
      <c r="F1899" s="9" t="n">
        <v>1</v>
      </c>
      <c r="G1899" s="9" t="n">
        <v>1</v>
      </c>
      <c r="H1899" s="9" t="n">
        <v>1</v>
      </c>
      <c r="I1899" s="10" t="n">
        <v>44702</v>
      </c>
      <c r="J1899" s="10" t="n">
        <v>44702</v>
      </c>
      <c r="K1899" s="9" t="n">
        <v>30.93254</v>
      </c>
      <c r="L1899" s="9" t="n">
        <v>78.39895</v>
      </c>
      <c r="M1899" s="9" t="inlineStr">
        <is>
          <t>https://www.google.com/maps/place/?q=place_id:ChIJlRSk7_CbCDkRewODAFoBbmU</t>
        </is>
      </c>
    </row>
    <row r="1900">
      <c r="A1900" s="9" t="n">
        <v>1896</v>
      </c>
      <c r="B1900" s="9" t="inlineStr">
        <is>
          <t>Uttarkashi</t>
        </is>
      </c>
      <c r="C1900" s="9" t="inlineStr">
        <is>
          <t>Uttarkashi</t>
        </is>
      </c>
      <c r="D1900" s="9" t="inlineStr">
        <is>
          <t>Uttarakhand</t>
        </is>
      </c>
      <c r="E1900" s="9" t="inlineStr">
        <is>
          <t>India</t>
        </is>
      </c>
      <c r="F1900" s="9" t="n">
        <v>1</v>
      </c>
      <c r="G1900" s="9" t="n">
        <v>1</v>
      </c>
      <c r="H1900" s="9" t="n">
        <v>1</v>
      </c>
      <c r="I1900" s="10" t="n">
        <v>44702</v>
      </c>
      <c r="J1900" s="10" t="n">
        <v>44702</v>
      </c>
      <c r="K1900" s="9" t="n">
        <v>30.89293</v>
      </c>
      <c r="L1900" s="9" t="n">
        <v>78.31795</v>
      </c>
      <c r="M1900" s="9" t="inlineStr">
        <is>
          <t>https://www.google.com/maps/place/?q=place_id:ChIJhXV7ykmXCDkRFQ76aYONXfg</t>
        </is>
      </c>
    </row>
    <row r="1901">
      <c r="A1901" s="9" t="n">
        <v>1897</v>
      </c>
      <c r="B1901" s="9" t="inlineStr">
        <is>
          <t>Uttarkashi</t>
        </is>
      </c>
      <c r="C1901" s="9" t="inlineStr">
        <is>
          <t>Uttarkashi</t>
        </is>
      </c>
      <c r="D1901" s="9" t="inlineStr">
        <is>
          <t>Uttarakhand</t>
        </is>
      </c>
      <c r="E1901" s="9" t="inlineStr">
        <is>
          <t>India</t>
        </is>
      </c>
      <c r="F1901" s="9" t="n">
        <v>1</v>
      </c>
      <c r="G1901" s="9" t="n">
        <v>1</v>
      </c>
      <c r="H1901" s="9" t="n">
        <v>1</v>
      </c>
      <c r="I1901" s="10" t="n">
        <v>44702</v>
      </c>
      <c r="J1901" s="10" t="n">
        <v>44702</v>
      </c>
      <c r="K1901" s="9" t="n">
        <v>30.63717</v>
      </c>
      <c r="L1901" s="9" t="n">
        <v>78.30888</v>
      </c>
      <c r="M1901" s="9" t="inlineStr">
        <is>
          <t>https://www.google.com/maps/place/?q=place_id:ChIJ9zeoTmPpCDkRIjsWgPg4Oqg</t>
        </is>
      </c>
    </row>
    <row r="1902">
      <c r="A1902" s="9" t="n">
        <v>1898</v>
      </c>
      <c r="B1902" s="9" t="inlineStr">
        <is>
          <t>Uttarkashi</t>
        </is>
      </c>
      <c r="C1902" s="9" t="inlineStr">
        <is>
          <t>Uttarkashi</t>
        </is>
      </c>
      <c r="D1902" s="9" t="inlineStr">
        <is>
          <t>Uttarakhand</t>
        </is>
      </c>
      <c r="E1902" s="9" t="inlineStr">
        <is>
          <t>India</t>
        </is>
      </c>
      <c r="F1902" s="9" t="n">
        <v>1</v>
      </c>
      <c r="G1902" s="9" t="n">
        <v>1</v>
      </c>
      <c r="H1902" s="9" t="n">
        <v>1</v>
      </c>
      <c r="I1902" s="10" t="n">
        <v>44702</v>
      </c>
      <c r="J1902" s="10" t="n">
        <v>44702</v>
      </c>
      <c r="K1902" s="9" t="n">
        <v>30.73207</v>
      </c>
      <c r="L1902" s="9" t="n">
        <v>78.42122999999999</v>
      </c>
      <c r="M1902" s="9" t="inlineStr">
        <is>
          <t>https://www.google.com/maps/place/?q=place_id:ChIJbRMh1sTtCDkRyUG7CgRagZc</t>
        </is>
      </c>
    </row>
    <row r="1903">
      <c r="A1903" s="9" t="n">
        <v>1899</v>
      </c>
      <c r="B1903" s="9" t="inlineStr">
        <is>
          <t>Uttarkashi</t>
        </is>
      </c>
      <c r="C1903" s="9" t="inlineStr">
        <is>
          <t>Uttarkashi</t>
        </is>
      </c>
      <c r="D1903" s="9" t="inlineStr">
        <is>
          <t>Uttarakhand</t>
        </is>
      </c>
      <c r="E1903" s="9" t="inlineStr">
        <is>
          <t>India</t>
        </is>
      </c>
      <c r="F1903" s="9" t="n">
        <v>1</v>
      </c>
      <c r="G1903" s="9" t="n">
        <v>1</v>
      </c>
      <c r="H1903" s="9" t="n">
        <v>1</v>
      </c>
      <c r="I1903" s="10" t="n">
        <v>44703</v>
      </c>
      <c r="J1903" s="10" t="n">
        <v>44703</v>
      </c>
      <c r="K1903" s="9" t="n">
        <v>30.99675</v>
      </c>
      <c r="L1903" s="9" t="n">
        <v>78.93344999999999</v>
      </c>
      <c r="M1903" s="9" t="inlineStr">
        <is>
          <t>https://www.google.com/maps/place/?q=place_id:ChIJiWKlj01zCDkRtO2q1HVRVxE</t>
        </is>
      </c>
    </row>
    <row r="1904">
      <c r="A1904" s="9" t="n">
        <v>1900</v>
      </c>
      <c r="B1904" s="9" t="inlineStr">
        <is>
          <t>Uttarkashi</t>
        </is>
      </c>
      <c r="C1904" s="9" t="inlineStr">
        <is>
          <t>Uttarkashi</t>
        </is>
      </c>
      <c r="D1904" s="9" t="inlineStr">
        <is>
          <t>Uttarakhand</t>
        </is>
      </c>
      <c r="E1904" s="9" t="inlineStr">
        <is>
          <t>India</t>
        </is>
      </c>
      <c r="F1904" s="9" t="n">
        <v>1</v>
      </c>
      <c r="G1904" s="9" t="n">
        <v>1</v>
      </c>
      <c r="H1904" s="9" t="n">
        <v>1</v>
      </c>
      <c r="I1904" s="10" t="n">
        <v>44703</v>
      </c>
      <c r="J1904" s="10" t="n">
        <v>44703</v>
      </c>
      <c r="K1904" s="9" t="n">
        <v>30.99574</v>
      </c>
      <c r="L1904" s="9" t="n">
        <v>78.93608</v>
      </c>
      <c r="M1904" s="9" t="inlineStr">
        <is>
          <t>https://www.google.com/maps/place/?q=place_id:ChIJqQYY53dzCDkRVNf07SP0VPE</t>
        </is>
      </c>
    </row>
    <row r="1905">
      <c r="A1905" s="9" t="n">
        <v>1901</v>
      </c>
      <c r="B1905" s="9" t="inlineStr">
        <is>
          <t>Uttarkashi</t>
        </is>
      </c>
      <c r="C1905" s="9" t="inlineStr">
        <is>
          <t>Uttarkashi</t>
        </is>
      </c>
      <c r="D1905" s="9" t="inlineStr">
        <is>
          <t>Uttarakhand</t>
        </is>
      </c>
      <c r="E1905" s="9" t="inlineStr">
        <is>
          <t>India</t>
        </is>
      </c>
      <c r="F1905" s="9" t="n">
        <v>1</v>
      </c>
      <c r="G1905" s="9" t="n">
        <v>1</v>
      </c>
      <c r="H1905" s="9" t="n">
        <v>1</v>
      </c>
      <c r="I1905" s="10" t="n">
        <v>44703</v>
      </c>
      <c r="J1905" s="10" t="n">
        <v>44703</v>
      </c>
      <c r="K1905" s="9" t="n">
        <v>30.81766</v>
      </c>
      <c r="L1905" s="9" t="n">
        <v>78.61854</v>
      </c>
      <c r="M1905" s="9" t="inlineStr">
        <is>
          <t>https://www.google.com/maps/place/?q=place_id:ChIJ2wHDF06KCDkRowoTpIcgO1Q</t>
        </is>
      </c>
    </row>
    <row r="1906">
      <c r="A1906" s="9" t="n">
        <v>1902</v>
      </c>
      <c r="B1906" s="9" t="inlineStr">
        <is>
          <t>Uttarkashi</t>
        </is>
      </c>
      <c r="C1906" s="9" t="inlineStr">
        <is>
          <t>Uttarkashi</t>
        </is>
      </c>
      <c r="D1906" s="9" t="inlineStr">
        <is>
          <t>Uttarakhand</t>
        </is>
      </c>
      <c r="E1906" s="9" t="inlineStr">
        <is>
          <t>India</t>
        </is>
      </c>
      <c r="F1906" s="9" t="n">
        <v>1</v>
      </c>
      <c r="G1906" s="9" t="n">
        <v>2</v>
      </c>
      <c r="H1906" s="9" t="n">
        <v>1</v>
      </c>
      <c r="I1906" s="10" t="n">
        <v>44724</v>
      </c>
      <c r="J1906" s="10" t="n">
        <v>44725</v>
      </c>
      <c r="K1906" s="9" t="n">
        <v>30.81821</v>
      </c>
      <c r="L1906" s="9" t="n">
        <v>78.24646</v>
      </c>
      <c r="M1906" s="9" t="inlineStr">
        <is>
          <t>https://www.google.com/maps/place/?q=place_id:ChIJLToXiue9CDkRLl5XPsM6C1Y</t>
        </is>
      </c>
    </row>
    <row r="1907">
      <c r="A1907" s="9" t="n">
        <v>1903</v>
      </c>
      <c r="B1907" s="9" t="inlineStr">
        <is>
          <t>Uttarkashi</t>
        </is>
      </c>
      <c r="C1907" s="9" t="inlineStr">
        <is>
          <t>Uttarkashi</t>
        </is>
      </c>
      <c r="D1907" s="9" t="inlineStr">
        <is>
          <t>Uttarakhand</t>
        </is>
      </c>
      <c r="E1907" s="9" t="inlineStr">
        <is>
          <t>India</t>
        </is>
      </c>
      <c r="F1907" s="9" t="n">
        <v>1</v>
      </c>
      <c r="G1907" s="9" t="n">
        <v>1</v>
      </c>
      <c r="H1907" s="9" t="n">
        <v>1</v>
      </c>
      <c r="I1907" s="10" t="n">
        <v>44725</v>
      </c>
      <c r="J1907" s="10" t="n">
        <v>44725</v>
      </c>
      <c r="K1907" s="9" t="n">
        <v>30.73157</v>
      </c>
      <c r="L1907" s="9" t="n">
        <v>78.28044</v>
      </c>
      <c r="M1907" s="9" t="inlineStr">
        <is>
          <t>https://www.google.com/maps/place/?q=place_id:ChIJo8GI-4K_CDkR8CgQ33omNw0</t>
        </is>
      </c>
    </row>
    <row r="1908">
      <c r="A1908" s="9" t="n">
        <v>1904</v>
      </c>
      <c r="B1908" s="9" t="inlineStr">
        <is>
          <t>Uttarkashi</t>
        </is>
      </c>
      <c r="C1908" s="9" t="inlineStr">
        <is>
          <t>Uttarkashi</t>
        </is>
      </c>
      <c r="D1908" s="9" t="inlineStr">
        <is>
          <t>Uttarakhand</t>
        </is>
      </c>
      <c r="E1908" s="9" t="inlineStr">
        <is>
          <t>India</t>
        </is>
      </c>
      <c r="F1908" s="9" t="n">
        <v>1</v>
      </c>
      <c r="G1908" s="9" t="n">
        <v>1</v>
      </c>
      <c r="H1908" s="9" t="n">
        <v>1</v>
      </c>
      <c r="I1908" s="10" t="n">
        <v>44725</v>
      </c>
      <c r="J1908" s="10" t="n">
        <v>44725</v>
      </c>
      <c r="K1908" s="9" t="n">
        <v>30.72932</v>
      </c>
      <c r="L1908" s="9" t="n">
        <v>78.44047</v>
      </c>
      <c r="M1908" s="9" t="inlineStr">
        <is>
          <t>https://www.google.com/maps/place/?q=place_id:ChIJL0FMziTtCDkRJh5GUkV8m2I</t>
        </is>
      </c>
    </row>
    <row r="1909">
      <c r="A1909" s="9" t="n">
        <v>1905</v>
      </c>
      <c r="B1909" s="9" t="inlineStr">
        <is>
          <t>Uttarkashi</t>
        </is>
      </c>
      <c r="C1909" s="9" t="inlineStr">
        <is>
          <t>Uttarkashi</t>
        </is>
      </c>
      <c r="D1909" s="9" t="inlineStr">
        <is>
          <t>Uttarakhand</t>
        </is>
      </c>
      <c r="E1909" s="9" t="inlineStr">
        <is>
          <t>India</t>
        </is>
      </c>
      <c r="F1909" s="9" t="n">
        <v>1</v>
      </c>
      <c r="G1909" s="9" t="n">
        <v>1</v>
      </c>
      <c r="H1909" s="9" t="n">
        <v>1</v>
      </c>
      <c r="I1909" s="10" t="n">
        <v>44725</v>
      </c>
      <c r="J1909" s="10" t="n">
        <v>44725</v>
      </c>
      <c r="K1909" s="9" t="n">
        <v>30.72973</v>
      </c>
      <c r="L1909" s="9" t="n">
        <v>78.43867</v>
      </c>
      <c r="M1909" s="9" t="inlineStr">
        <is>
          <t>https://www.google.com/maps/place/?q=place_id:ChIJxyb__CTtCDkRwL7aiT2OdH8</t>
        </is>
      </c>
    </row>
    <row r="1910">
      <c r="A1910" s="9" t="n">
        <v>1906</v>
      </c>
      <c r="B1910" s="9" t="inlineStr">
        <is>
          <t>Uttarkashi</t>
        </is>
      </c>
      <c r="C1910" s="9" t="inlineStr">
        <is>
          <t>Uttarkashi</t>
        </is>
      </c>
      <c r="D1910" s="9" t="inlineStr">
        <is>
          <t>Uttarakhand</t>
        </is>
      </c>
      <c r="E1910" s="9" t="inlineStr">
        <is>
          <t>India</t>
        </is>
      </c>
      <c r="F1910" s="9" t="n">
        <v>1</v>
      </c>
      <c r="G1910" s="9" t="n">
        <v>1</v>
      </c>
      <c r="H1910" s="9" t="n">
        <v>1</v>
      </c>
      <c r="I1910" s="10" t="n">
        <v>44726</v>
      </c>
      <c r="J1910" s="10" t="n">
        <v>44726</v>
      </c>
      <c r="K1910" s="9" t="n">
        <v>30.73856</v>
      </c>
      <c r="L1910" s="9" t="n">
        <v>78.50378000000001</v>
      </c>
      <c r="M1910" s="9" t="inlineStr">
        <is>
          <t>https://www.google.com/maps/place/?q=place_id:ChIJlW6NNvrzCDkRTZkTvBcFZKA</t>
        </is>
      </c>
    </row>
    <row r="1911">
      <c r="A1911" s="9" t="n">
        <v>1907</v>
      </c>
      <c r="B1911" s="9" t="inlineStr">
        <is>
          <t>Uttarkashi</t>
        </is>
      </c>
      <c r="C1911" s="9" t="inlineStr">
        <is>
          <t>Uttarkashi</t>
        </is>
      </c>
      <c r="D1911" s="9" t="inlineStr">
        <is>
          <t>Uttarakhand</t>
        </is>
      </c>
      <c r="E1911" s="9" t="inlineStr">
        <is>
          <t>India</t>
        </is>
      </c>
      <c r="F1911" s="9" t="n">
        <v>1</v>
      </c>
      <c r="G1911" s="9" t="n">
        <v>1</v>
      </c>
      <c r="H1911" s="9" t="n">
        <v>1</v>
      </c>
      <c r="I1911" s="10" t="n">
        <v>44726</v>
      </c>
      <c r="J1911" s="10" t="n">
        <v>44726</v>
      </c>
      <c r="K1911" s="9" t="n">
        <v>31.03278</v>
      </c>
      <c r="L1911" s="9" t="n">
        <v>78.75633000000001</v>
      </c>
      <c r="M1911" s="9" t="inlineStr">
        <is>
          <t>https://www.google.com/maps/place/?q=place_id:ChIJ3c1eaj17CDkRfqI0l80mELQ</t>
        </is>
      </c>
    </row>
    <row r="1912">
      <c r="A1912" s="9" t="n">
        <v>1908</v>
      </c>
      <c r="B1912" s="9" t="inlineStr">
        <is>
          <t>Uttarkashi</t>
        </is>
      </c>
      <c r="C1912" s="9" t="inlineStr">
        <is>
          <t>Uttarkashi</t>
        </is>
      </c>
      <c r="D1912" s="9" t="inlineStr">
        <is>
          <t>Uttarakhand</t>
        </is>
      </c>
      <c r="E1912" s="9" t="inlineStr">
        <is>
          <t>India</t>
        </is>
      </c>
      <c r="F1912" s="9" t="n">
        <v>1</v>
      </c>
      <c r="G1912" s="9" t="n">
        <v>1</v>
      </c>
      <c r="H1912" s="9" t="n">
        <v>1</v>
      </c>
      <c r="I1912" s="10" t="n">
        <v>44726</v>
      </c>
      <c r="J1912" s="10" t="n">
        <v>44726</v>
      </c>
      <c r="K1912" s="9" t="n">
        <v>30.99409</v>
      </c>
      <c r="L1912" s="9" t="n">
        <v>78.94182000000001</v>
      </c>
      <c r="M1912" s="9" t="inlineStr">
        <is>
          <t>https://www.google.com/maps/place/?q=place_id:ChIJ6VjsFT1yCDkRSLZJg6Vup0I</t>
        </is>
      </c>
    </row>
    <row r="1913">
      <c r="A1913" s="9" t="n">
        <v>1909</v>
      </c>
      <c r="B1913" s="9" t="inlineStr">
        <is>
          <t>Uttarkashi</t>
        </is>
      </c>
      <c r="C1913" s="9" t="inlineStr">
        <is>
          <t>Uttarkashi</t>
        </is>
      </c>
      <c r="D1913" s="9" t="inlineStr">
        <is>
          <t>Uttarakhand</t>
        </is>
      </c>
      <c r="E1913" s="9" t="inlineStr">
        <is>
          <t>India</t>
        </is>
      </c>
      <c r="F1913" s="9" t="n">
        <v>1</v>
      </c>
      <c r="G1913" s="9" t="n">
        <v>2</v>
      </c>
      <c r="H1913" s="9" t="n">
        <v>1</v>
      </c>
      <c r="I1913" s="10" t="n">
        <v>44847</v>
      </c>
      <c r="J1913" s="10" t="n">
        <v>44848</v>
      </c>
      <c r="K1913" s="9" t="n">
        <v>30.97505</v>
      </c>
      <c r="L1913" s="9" t="n">
        <v>78.43989000000001</v>
      </c>
      <c r="M1913" s="9" t="inlineStr">
        <is>
          <t>https://www.google.com/maps/place/?q=place_id:ChIJNSzUCgKbCDkRtK6tJ0XRQng</t>
        </is>
      </c>
    </row>
    <row r="1914">
      <c r="A1914" s="9" t="n">
        <v>1910</v>
      </c>
      <c r="B1914" s="9" t="inlineStr">
        <is>
          <t>Uttarkashi</t>
        </is>
      </c>
      <c r="C1914" s="9" t="inlineStr">
        <is>
          <t>Uttarkashi</t>
        </is>
      </c>
      <c r="D1914" s="9" t="inlineStr">
        <is>
          <t>Uttarakhand</t>
        </is>
      </c>
      <c r="E1914" s="9" t="inlineStr">
        <is>
          <t>India</t>
        </is>
      </c>
      <c r="F1914" s="9" t="n">
        <v>1</v>
      </c>
      <c r="G1914" s="9" t="n">
        <v>1</v>
      </c>
      <c r="H1914" s="9" t="n">
        <v>1</v>
      </c>
      <c r="I1914" s="10" t="n">
        <v>44848</v>
      </c>
      <c r="J1914" s="10" t="n">
        <v>44848</v>
      </c>
      <c r="K1914" s="9" t="n">
        <v>30.9723</v>
      </c>
      <c r="L1914" s="9" t="n">
        <v>78.43984</v>
      </c>
      <c r="M1914" s="9" t="inlineStr">
        <is>
          <t>https://www.google.com/maps/place/?q=place_id:ChIJq2Rz6pubCDkRJy6UVLk2dXM</t>
        </is>
      </c>
    </row>
    <row r="1915">
      <c r="A1915" s="9" t="n">
        <v>1911</v>
      </c>
      <c r="B1915" s="9" t="inlineStr">
        <is>
          <t>Uttarkashi</t>
        </is>
      </c>
      <c r="C1915" s="9" t="inlineStr">
        <is>
          <t>Uttarkashi</t>
        </is>
      </c>
      <c r="D1915" s="9" t="inlineStr">
        <is>
          <t>Uttarakhand</t>
        </is>
      </c>
      <c r="E1915" s="9" t="inlineStr">
        <is>
          <t>India</t>
        </is>
      </c>
      <c r="F1915" s="9" t="n">
        <v>1</v>
      </c>
      <c r="G1915" s="9" t="n">
        <v>2</v>
      </c>
      <c r="H1915" s="9" t="n">
        <v>1</v>
      </c>
      <c r="I1915" s="10" t="n">
        <v>44848</v>
      </c>
      <c r="J1915" s="10" t="n">
        <v>44849</v>
      </c>
      <c r="K1915" s="9" t="n">
        <v>31.03541</v>
      </c>
      <c r="L1915" s="9" t="n">
        <v>78.7527</v>
      </c>
      <c r="M1915" s="9" t="inlineStr">
        <is>
          <t>https://www.google.com/maps/place/?q=place_id:ChIJrxiaePl7CDkRKc3BQX8i1kk</t>
        </is>
      </c>
    </row>
    <row r="1916">
      <c r="A1916" s="9" t="n">
        <v>1912</v>
      </c>
      <c r="B1916" s="9" t="inlineStr">
        <is>
          <t>Uttarkashi</t>
        </is>
      </c>
      <c r="C1916" s="9" t="inlineStr">
        <is>
          <t>Uttarkashi</t>
        </is>
      </c>
      <c r="D1916" s="9" t="inlineStr">
        <is>
          <t>Uttarakhand</t>
        </is>
      </c>
      <c r="E1916" s="9" t="inlineStr">
        <is>
          <t>India</t>
        </is>
      </c>
      <c r="F1916" s="9" t="n">
        <v>1</v>
      </c>
      <c r="G1916" s="9" t="n">
        <v>1</v>
      </c>
      <c r="H1916" s="9" t="n">
        <v>1</v>
      </c>
      <c r="I1916" s="10" t="n">
        <v>44849</v>
      </c>
      <c r="J1916" s="10" t="n">
        <v>44849</v>
      </c>
      <c r="K1916" s="9" t="n">
        <v>30.89306</v>
      </c>
      <c r="L1916" s="9" t="n">
        <v>78.81524</v>
      </c>
      <c r="M1916" s="9" t="inlineStr">
        <is>
          <t>https://www.google.com/maps/place/?q=place_id:ChIJ9bGJVgmLCDkRyWXcKLt2GQE</t>
        </is>
      </c>
    </row>
    <row r="1917">
      <c r="A1917" s="9" t="n">
        <v>1913</v>
      </c>
      <c r="B1917" s="9" t="inlineStr">
        <is>
          <t>Uttarkashi</t>
        </is>
      </c>
      <c r="C1917" s="9" t="inlineStr">
        <is>
          <t>Uttarkashi</t>
        </is>
      </c>
      <c r="D1917" s="9" t="inlineStr">
        <is>
          <t>Uttarakhand</t>
        </is>
      </c>
      <c r="E1917" s="9" t="inlineStr">
        <is>
          <t>India</t>
        </is>
      </c>
      <c r="F1917" s="9" t="n">
        <v>1</v>
      </c>
      <c r="G1917" s="9" t="n">
        <v>2</v>
      </c>
      <c r="H1917" s="9" t="n">
        <v>1</v>
      </c>
      <c r="I1917" s="10" t="n">
        <v>45078</v>
      </c>
      <c r="J1917" s="10" t="n">
        <v>45079</v>
      </c>
      <c r="K1917" s="9" t="n">
        <v>30.97727</v>
      </c>
      <c r="L1917" s="9" t="n">
        <v>78.43925</v>
      </c>
      <c r="M1917" s="9" t="inlineStr">
        <is>
          <t>https://www.google.com/maps/place/?q=place_id:ChIJwTAkkQSbCDkRirz_sdQPP6c</t>
        </is>
      </c>
    </row>
    <row r="1918">
      <c r="A1918" s="9" t="n">
        <v>1914</v>
      </c>
      <c r="B1918" s="9" t="inlineStr">
        <is>
          <t>Uttarkashi</t>
        </is>
      </c>
      <c r="C1918" s="9" t="inlineStr">
        <is>
          <t>Uttarkashi</t>
        </is>
      </c>
      <c r="D1918" s="9" t="inlineStr">
        <is>
          <t>Uttarakhand</t>
        </is>
      </c>
      <c r="E1918" s="9" t="inlineStr">
        <is>
          <t>India</t>
        </is>
      </c>
      <c r="F1918" s="9" t="n">
        <v>1</v>
      </c>
      <c r="G1918" s="9" t="n">
        <v>1</v>
      </c>
      <c r="H1918" s="9" t="n">
        <v>1</v>
      </c>
      <c r="I1918" s="10" t="n">
        <v>45079</v>
      </c>
      <c r="J1918" s="10" t="n">
        <v>45079</v>
      </c>
      <c r="K1918" s="9" t="n">
        <v>31.03597</v>
      </c>
      <c r="L1918" s="9" t="n">
        <v>78.75037</v>
      </c>
      <c r="M1918" s="9" t="inlineStr">
        <is>
          <t>https://www.google.com/maps/place/?q=place_id:ChIJVYz_mbx7CDkRpo_dXJUXn5c</t>
        </is>
      </c>
    </row>
    <row r="1919">
      <c r="A1919" s="9" t="n">
        <v>1915</v>
      </c>
      <c r="B1919" s="9" t="inlineStr">
        <is>
          <t>Baharampur</t>
        </is>
      </c>
      <c r="C1919" s="9" t="inlineStr">
        <is>
          <t>Baharampur</t>
        </is>
      </c>
      <c r="D1919" s="9" t="inlineStr">
        <is>
          <t>West Bengal</t>
        </is>
      </c>
      <c r="E1919" s="9" t="inlineStr">
        <is>
          <t>India</t>
        </is>
      </c>
      <c r="F1919" s="9" t="n">
        <v>1</v>
      </c>
      <c r="G1919" s="9" t="n">
        <v>1</v>
      </c>
      <c r="H1919" s="9" t="n">
        <v>1</v>
      </c>
      <c r="I1919" s="10" t="n">
        <v>44907</v>
      </c>
      <c r="J1919" s="10" t="n">
        <v>44907</v>
      </c>
      <c r="K1919" s="9" t="n">
        <v>24.09227</v>
      </c>
      <c r="L1919" s="9" t="n">
        <v>88.26891999999999</v>
      </c>
      <c r="M1919" s="9" t="inlineStr">
        <is>
          <t>https://www.google.com/maps/place/?q=place_id:ChIJf-PWOhp9-TkRsnVnYCC6dKY</t>
        </is>
      </c>
    </row>
    <row r="1920">
      <c r="A1920" s="9" t="n">
        <v>1916</v>
      </c>
      <c r="B1920" s="9" t="inlineStr">
        <is>
          <t>Barddhaman</t>
        </is>
      </c>
      <c r="C1920" s="9" t="inlineStr">
        <is>
          <t>Barddhaman</t>
        </is>
      </c>
      <c r="D1920" s="9" t="inlineStr">
        <is>
          <t>West Bengal</t>
        </is>
      </c>
      <c r="E1920" s="9" t="inlineStr">
        <is>
          <t>India</t>
        </is>
      </c>
      <c r="F1920" s="9" t="n">
        <v>1</v>
      </c>
      <c r="G1920" s="9" t="n">
        <v>1</v>
      </c>
      <c r="H1920" s="9" t="n">
        <v>1</v>
      </c>
      <c r="I1920" s="10" t="n">
        <v>44908</v>
      </c>
      <c r="J1920" s="10" t="n">
        <v>44908</v>
      </c>
      <c r="K1920" s="9" t="n">
        <v>23.25888</v>
      </c>
      <c r="L1920" s="9" t="n">
        <v>87.83373</v>
      </c>
      <c r="M1920" s="9" t="inlineStr">
        <is>
          <t>https://www.google.com/maps/place/?q=place_id:ChIJZ-6obG02-DkRfyBqQmsKDmM</t>
        </is>
      </c>
    </row>
    <row r="1921">
      <c r="A1921" s="9" t="n">
        <v>1917</v>
      </c>
      <c r="B1921" s="9" t="inlineStr">
        <is>
          <t>Barddhaman</t>
        </is>
      </c>
      <c r="C1921" s="9" t="inlineStr">
        <is>
          <t>Barddhaman</t>
        </is>
      </c>
      <c r="D1921" s="9" t="inlineStr">
        <is>
          <t>West Bengal</t>
        </is>
      </c>
      <c r="E1921" s="9" t="inlineStr">
        <is>
          <t>India</t>
        </is>
      </c>
      <c r="F1921" s="9" t="n">
        <v>1</v>
      </c>
      <c r="G1921" s="9" t="n">
        <v>1</v>
      </c>
      <c r="H1921" s="9" t="n">
        <v>1</v>
      </c>
      <c r="I1921" s="10" t="n">
        <v>44908</v>
      </c>
      <c r="J1921" s="10" t="n">
        <v>44908</v>
      </c>
      <c r="K1921" s="9" t="n">
        <v>23.21009</v>
      </c>
      <c r="L1921" s="9" t="n">
        <v>87.95241</v>
      </c>
      <c r="M1921" s="9" t="inlineStr">
        <is>
          <t>https://www.google.com/maps/place/?q=place_id:ChIJWdvJGPVP-DkRKICPfaKzClw</t>
        </is>
      </c>
    </row>
    <row r="1922">
      <c r="A1922" s="9" t="n">
        <v>1918</v>
      </c>
      <c r="B1922" s="9" t="inlineStr">
        <is>
          <t>Bolpur</t>
        </is>
      </c>
      <c r="C1922" s="9" t="inlineStr">
        <is>
          <t>Bolpur</t>
        </is>
      </c>
      <c r="D1922" s="9" t="inlineStr">
        <is>
          <t>West Bengal</t>
        </is>
      </c>
      <c r="E1922" s="9" t="inlineStr">
        <is>
          <t>India</t>
        </is>
      </c>
      <c r="F1922" s="9" t="n">
        <v>1</v>
      </c>
      <c r="G1922" s="9" t="n">
        <v>1</v>
      </c>
      <c r="H1922" s="9" t="n">
        <v>1</v>
      </c>
      <c r="I1922" s="10" t="n">
        <v>44908</v>
      </c>
      <c r="J1922" s="10" t="n">
        <v>44908</v>
      </c>
      <c r="K1922" s="9" t="n">
        <v>23.66704</v>
      </c>
      <c r="L1922" s="9" t="n">
        <v>87.69484</v>
      </c>
      <c r="M1922" s="9" t="inlineStr">
        <is>
          <t>https://www.google.com/maps/place/?q=place_id:ChIJoT4_73Hd-TkRUr4RIqAaixU</t>
        </is>
      </c>
    </row>
    <row r="1923">
      <c r="A1923" s="9" t="n">
        <v>1919</v>
      </c>
      <c r="B1923" s="9" t="inlineStr">
        <is>
          <t>Howrah</t>
        </is>
      </c>
      <c r="C1923" s="9" t="inlineStr">
        <is>
          <t>Howrah</t>
        </is>
      </c>
      <c r="D1923" s="9" t="inlineStr">
        <is>
          <t>West Bengal</t>
        </is>
      </c>
      <c r="E1923" s="9" t="inlineStr">
        <is>
          <t>India</t>
        </is>
      </c>
      <c r="F1923" s="9" t="n">
        <v>3</v>
      </c>
      <c r="G1923" s="9" t="n">
        <v>3</v>
      </c>
      <c r="H1923" s="9" t="n">
        <v>3</v>
      </c>
      <c r="I1923" s="10" t="n">
        <v>42576</v>
      </c>
      <c r="J1923" s="10" t="n">
        <v>43393</v>
      </c>
      <c r="K1923" s="9" t="n">
        <v>22.58341</v>
      </c>
      <c r="L1923" s="9" t="n">
        <v>88.3429</v>
      </c>
      <c r="M1923" s="9" t="inlineStr">
        <is>
          <t>https://www.google.com/maps/place/?q=place_id:ChIJm3Gr2JV3AjoR8wX9Y1o370U</t>
        </is>
      </c>
    </row>
    <row r="1924">
      <c r="A1924" s="9" t="n">
        <v>1920</v>
      </c>
      <c r="B1924" s="9" t="inlineStr">
        <is>
          <t>Howrah</t>
        </is>
      </c>
      <c r="C1924" s="9" t="inlineStr">
        <is>
          <t>Howrah</t>
        </is>
      </c>
      <c r="D1924" s="9" t="inlineStr">
        <is>
          <t>West Bengal</t>
        </is>
      </c>
      <c r="E1924" s="9" t="inlineStr">
        <is>
          <t>India</t>
        </is>
      </c>
      <c r="F1924" s="9" t="n">
        <v>1</v>
      </c>
      <c r="G1924" s="9" t="n">
        <v>1</v>
      </c>
      <c r="H1924" s="9" t="n">
        <v>1</v>
      </c>
      <c r="I1924" s="10" t="n">
        <v>42576</v>
      </c>
      <c r="J1924" s="10" t="n">
        <v>42576</v>
      </c>
      <c r="K1924" s="9" t="n">
        <v>22.59856</v>
      </c>
      <c r="L1924" s="9" t="n">
        <v>88.32473</v>
      </c>
      <c r="M1924" s="9" t="inlineStr">
        <is>
          <t>https://www.google.com/maps/place/?q=place_id:ChIJp_uwg_d3AjoRayhpOWu267Y</t>
        </is>
      </c>
    </row>
    <row r="1925">
      <c r="A1925" s="9" t="n">
        <v>1921</v>
      </c>
      <c r="B1925" s="9" t="inlineStr">
        <is>
          <t>Panihati</t>
        </is>
      </c>
      <c r="C1925" s="9" t="inlineStr">
        <is>
          <t>Howrah</t>
        </is>
      </c>
      <c r="D1925" s="9" t="inlineStr">
        <is>
          <t>West Bengal</t>
        </is>
      </c>
      <c r="E1925" s="9" t="inlineStr">
        <is>
          <t>India</t>
        </is>
      </c>
      <c r="F1925" s="9" t="n">
        <v>1</v>
      </c>
      <c r="G1925" s="9" t="n">
        <v>1</v>
      </c>
      <c r="H1925" s="9" t="n">
        <v>1</v>
      </c>
      <c r="I1925" s="10" t="n">
        <v>44908</v>
      </c>
      <c r="J1925" s="10" t="n">
        <v>44908</v>
      </c>
      <c r="K1925" s="9" t="n">
        <v>22.70081</v>
      </c>
      <c r="L1925" s="9" t="n">
        <v>88.37475999999999</v>
      </c>
      <c r="M1925" s="9" t="inlineStr">
        <is>
          <t>https://www.google.com/maps/place/?q=place_id:ChIJK6Cv05md-DkR6Qwyhcr7yz8</t>
        </is>
      </c>
    </row>
    <row r="1926">
      <c r="A1926" s="9" t="n">
        <v>1922</v>
      </c>
      <c r="B1926" s="9" t="inlineStr">
        <is>
          <t>Panihati</t>
        </is>
      </c>
      <c r="C1926" s="9" t="inlineStr">
        <is>
          <t>Howrah</t>
        </is>
      </c>
      <c r="D1926" s="9" t="inlineStr">
        <is>
          <t>West Bengal</t>
        </is>
      </c>
      <c r="E1926" s="9" t="inlineStr">
        <is>
          <t>India</t>
        </is>
      </c>
      <c r="F1926" s="9" t="n">
        <v>1</v>
      </c>
      <c r="G1926" s="9" t="n">
        <v>1</v>
      </c>
      <c r="H1926" s="9" t="n">
        <v>1</v>
      </c>
      <c r="I1926" s="10" t="n">
        <v>44908</v>
      </c>
      <c r="J1926" s="10" t="n">
        <v>44908</v>
      </c>
      <c r="K1926" s="9" t="n">
        <v>22.69595</v>
      </c>
      <c r="L1926" s="9" t="n">
        <v>88.36569</v>
      </c>
      <c r="M1926" s="9" t="inlineStr">
        <is>
          <t>https://www.google.com/maps/place/?q=place_id:ChIJBbMCxXyc-DkRVbR0SEbjowI</t>
        </is>
      </c>
    </row>
    <row r="1927">
      <c r="A1927" s="9" t="n">
        <v>1923</v>
      </c>
      <c r="B1927" s="9" t="inlineStr">
        <is>
          <t>Panihati</t>
        </is>
      </c>
      <c r="C1927" s="9" t="inlineStr">
        <is>
          <t>Howrah</t>
        </is>
      </c>
      <c r="D1927" s="9" t="inlineStr">
        <is>
          <t>West Bengal</t>
        </is>
      </c>
      <c r="E1927" s="9" t="inlineStr">
        <is>
          <t>India</t>
        </is>
      </c>
      <c r="F1927" s="9" t="n">
        <v>1</v>
      </c>
      <c r="G1927" s="9" t="n">
        <v>1</v>
      </c>
      <c r="H1927" s="9" t="n">
        <v>1</v>
      </c>
      <c r="I1927" s="10" t="n">
        <v>44908</v>
      </c>
      <c r="J1927" s="10" t="n">
        <v>44908</v>
      </c>
      <c r="K1927" s="9" t="n">
        <v>22.70237</v>
      </c>
      <c r="L1927" s="9" t="n">
        <v>88.3749</v>
      </c>
      <c r="M1927" s="9" t="inlineStr">
        <is>
          <t>https://www.google.com/maps/place/?q=place_id:ChIJH6DUL9Kd-DkRhMg5FNKdyjI</t>
        </is>
      </c>
    </row>
    <row r="1928">
      <c r="A1928" s="9" t="n">
        <v>1924</v>
      </c>
      <c r="B1928" s="9" t="inlineStr">
        <is>
          <t>Panihati</t>
        </is>
      </c>
      <c r="C1928" s="9" t="inlineStr">
        <is>
          <t>Howrah</t>
        </is>
      </c>
      <c r="D1928" s="9" t="inlineStr">
        <is>
          <t>West Bengal</t>
        </is>
      </c>
      <c r="E1928" s="9" t="inlineStr">
        <is>
          <t>India</t>
        </is>
      </c>
      <c r="F1928" s="9" t="n">
        <v>1</v>
      </c>
      <c r="G1928" s="9" t="n">
        <v>1</v>
      </c>
      <c r="H1928" s="9" t="n">
        <v>1</v>
      </c>
      <c r="I1928" s="10" t="n">
        <v>45237</v>
      </c>
      <c r="J1928" s="10" t="n">
        <v>45237</v>
      </c>
      <c r="K1928" s="9" t="n">
        <v>22.69728</v>
      </c>
      <c r="L1928" s="9" t="n">
        <v>88.36608</v>
      </c>
      <c r="M1928" s="9" t="inlineStr">
        <is>
          <t>https://www.google.com/maps/place/?q=place_id:ChIJGavS8Xyc-DkRCNpXb2m8Vc4</t>
        </is>
      </c>
    </row>
    <row r="1929">
      <c r="A1929" s="9" t="n">
        <v>1925</v>
      </c>
      <c r="B1929" s="9" t="inlineStr">
        <is>
          <t>Kalna</t>
        </is>
      </c>
      <c r="C1929" s="9" t="inlineStr">
        <is>
          <t>Kalna</t>
        </is>
      </c>
      <c r="D1929" s="9" t="inlineStr">
        <is>
          <t>West Bengal</t>
        </is>
      </c>
      <c r="E1929" s="9" t="inlineStr">
        <is>
          <t>India</t>
        </is>
      </c>
      <c r="F1929" s="9" t="n">
        <v>1</v>
      </c>
      <c r="G1929" s="9" t="n">
        <v>1</v>
      </c>
      <c r="H1929" s="9" t="n">
        <v>1</v>
      </c>
      <c r="I1929" s="10" t="n">
        <v>42580</v>
      </c>
      <c r="J1929" s="10" t="n">
        <v>42580</v>
      </c>
      <c r="K1929" s="9" t="n">
        <v>23.22097</v>
      </c>
      <c r="L1929" s="9" t="n">
        <v>88.36987999999999</v>
      </c>
      <c r="M1929" s="9" t="inlineStr">
        <is>
          <t>https://www.google.com/maps/place/?q=place_id:ChIJfxbXC6_l-DkRQDrcclSgkFE</t>
        </is>
      </c>
    </row>
    <row r="1930">
      <c r="A1930" s="9" t="n">
        <v>1926</v>
      </c>
      <c r="B1930" s="9" t="inlineStr">
        <is>
          <t>Kalyani</t>
        </is>
      </c>
      <c r="C1930" s="9" t="inlineStr">
        <is>
          <t>Kalyani</t>
        </is>
      </c>
      <c r="D1930" s="9" t="inlineStr">
        <is>
          <t>West Bengal</t>
        </is>
      </c>
      <c r="E1930" s="9" t="inlineStr">
        <is>
          <t>India</t>
        </is>
      </c>
      <c r="F1930" s="9" t="n">
        <v>1</v>
      </c>
      <c r="G1930" s="9" t="n">
        <v>1</v>
      </c>
      <c r="H1930" s="9" t="n">
        <v>1</v>
      </c>
      <c r="I1930" s="10" t="n">
        <v>44905</v>
      </c>
      <c r="J1930" s="10" t="n">
        <v>44905</v>
      </c>
      <c r="K1930" s="9" t="n">
        <v>23.04323</v>
      </c>
      <c r="L1930" s="9" t="n">
        <v>88.53657</v>
      </c>
      <c r="M1930" s="9" t="inlineStr">
        <is>
          <t>https://www.google.com/maps/place/?q=place_id:ChIJVbVh8h_B-DkRPXWFGmP6etk</t>
        </is>
      </c>
    </row>
    <row r="1931">
      <c r="A1931" s="9" t="n">
        <v>1927</v>
      </c>
      <c r="B1931" s="9" t="inlineStr">
        <is>
          <t>Kharagpur</t>
        </is>
      </c>
      <c r="C1931" s="9" t="inlineStr">
        <is>
          <t>Kharagpur</t>
        </is>
      </c>
      <c r="D1931" s="9" t="inlineStr">
        <is>
          <t>West Bengal</t>
        </is>
      </c>
      <c r="E1931" s="9" t="inlineStr">
        <is>
          <t>India</t>
        </is>
      </c>
      <c r="F1931" s="9" t="n">
        <v>2</v>
      </c>
      <c r="G1931" s="9" t="n">
        <v>2</v>
      </c>
      <c r="H1931" s="9" t="n">
        <v>2</v>
      </c>
      <c r="I1931" s="10" t="n">
        <v>42576</v>
      </c>
      <c r="J1931" s="10" t="n">
        <v>43393</v>
      </c>
      <c r="K1931" s="9" t="n">
        <v>22.33986</v>
      </c>
      <c r="L1931" s="9" t="n">
        <v>87.32498</v>
      </c>
      <c r="M1931" s="9" t="inlineStr">
        <is>
          <t>https://www.google.com/maps/place/?q=place_id:ChIJ8U-Eg0ZEHToRN8gd9vWmdwU</t>
        </is>
      </c>
    </row>
    <row r="1932">
      <c r="A1932" s="9" t="n">
        <v>1928</v>
      </c>
      <c r="B1932" s="9" t="inlineStr">
        <is>
          <t>Dam Dam</t>
        </is>
      </c>
      <c r="C1932" s="9" t="inlineStr">
        <is>
          <t>Kolkata</t>
        </is>
      </c>
      <c r="D1932" s="9" t="inlineStr">
        <is>
          <t>West Bengal</t>
        </is>
      </c>
      <c r="E1932" s="9" t="inlineStr">
        <is>
          <t>India</t>
        </is>
      </c>
      <c r="F1932" s="9" t="n">
        <v>6</v>
      </c>
      <c r="G1932" s="9" t="n">
        <v>6</v>
      </c>
      <c r="H1932" s="9" t="n">
        <v>6</v>
      </c>
      <c r="I1932" s="10" t="n">
        <v>44905</v>
      </c>
      <c r="J1932" s="10" t="n">
        <v>45732</v>
      </c>
      <c r="K1932" s="9" t="n">
        <v>22.65356</v>
      </c>
      <c r="L1932" s="9" t="n">
        <v>88.44508</v>
      </c>
      <c r="M1932" s="9" t="inlineStr">
        <is>
          <t>https://www.google.com/maps/place/?q=place_id:ChIJA2nfWaqf-DkRg4tkQ0BEsQ0</t>
        </is>
      </c>
    </row>
    <row r="1933">
      <c r="A1933" s="9" t="n">
        <v>1929</v>
      </c>
      <c r="B1933" s="9" t="inlineStr">
        <is>
          <t>Kolkata</t>
        </is>
      </c>
      <c r="C1933" s="9" t="inlineStr">
        <is>
          <t>Kolkata</t>
        </is>
      </c>
      <c r="D1933" s="9" t="inlineStr">
        <is>
          <t>West Bengal</t>
        </is>
      </c>
      <c r="E1933" s="9" t="inlineStr">
        <is>
          <t>India</t>
        </is>
      </c>
      <c r="F1933" s="9" t="n">
        <v>1</v>
      </c>
      <c r="G1933" s="9" t="n">
        <v>1</v>
      </c>
      <c r="H1933" s="9" t="n">
        <v>1</v>
      </c>
      <c r="I1933" s="10" t="n">
        <v>42576</v>
      </c>
      <c r="J1933" s="10" t="n">
        <v>42576</v>
      </c>
      <c r="K1933" s="9" t="n">
        <v>22.57885</v>
      </c>
      <c r="L1933" s="9" t="n">
        <v>88.36024</v>
      </c>
      <c r="M1933" s="9" t="inlineStr">
        <is>
          <t>https://www.google.com/maps/place/?q=place_id:ChIJ397cqrN3AjoROG4O9i4azT8</t>
        </is>
      </c>
    </row>
    <row r="1934">
      <c r="A1934" s="9" t="n">
        <v>1930</v>
      </c>
      <c r="B1934" s="9" t="inlineStr">
        <is>
          <t>Barasat</t>
        </is>
      </c>
      <c r="C1934" s="9" t="inlineStr">
        <is>
          <t>Kolkata</t>
        </is>
      </c>
      <c r="D1934" s="9" t="inlineStr">
        <is>
          <t>West Bengal</t>
        </is>
      </c>
      <c r="E1934" s="9" t="inlineStr">
        <is>
          <t>India</t>
        </is>
      </c>
      <c r="F1934" s="9" t="n">
        <v>1</v>
      </c>
      <c r="G1934" s="9" t="n">
        <v>1</v>
      </c>
      <c r="H1934" s="9" t="n">
        <v>1</v>
      </c>
      <c r="I1934" s="10" t="n">
        <v>42576</v>
      </c>
      <c r="J1934" s="10" t="n">
        <v>42576</v>
      </c>
      <c r="K1934" s="9" t="n">
        <v>22.7087</v>
      </c>
      <c r="L1934" s="9" t="n">
        <v>88.47461</v>
      </c>
      <c r="M1934" s="9" t="inlineStr">
        <is>
          <t>https://www.google.com/maps/place/?q=place_id:ChIJPcW8UKuY-DkRipJeQdz9vfI</t>
        </is>
      </c>
    </row>
    <row r="1935">
      <c r="A1935" s="9" t="n">
        <v>1931</v>
      </c>
      <c r="B1935" s="9" t="inlineStr">
        <is>
          <t>Kolkata</t>
        </is>
      </c>
      <c r="C1935" s="9" t="inlineStr">
        <is>
          <t>Kolkata</t>
        </is>
      </c>
      <c r="D1935" s="9" t="inlineStr">
        <is>
          <t>West Bengal</t>
        </is>
      </c>
      <c r="E1935" s="9" t="inlineStr">
        <is>
          <t>India</t>
        </is>
      </c>
      <c r="F1935" s="9" t="n">
        <v>1</v>
      </c>
      <c r="G1935" s="9" t="n">
        <v>1</v>
      </c>
      <c r="H1935" s="9" t="n">
        <v>1</v>
      </c>
      <c r="I1935" s="10" t="n">
        <v>44908</v>
      </c>
      <c r="J1935" s="10" t="n">
        <v>44908</v>
      </c>
      <c r="K1935" s="9" t="n">
        <v>22.53823</v>
      </c>
      <c r="L1935" s="9" t="n">
        <v>88.34523</v>
      </c>
      <c r="M1935" s="9" t="inlineStr">
        <is>
          <t>https://www.google.com/maps/place/?q=place_id:ChIJg69SWb13AjoRIkH52pMkOGA</t>
        </is>
      </c>
    </row>
    <row r="1936">
      <c r="A1936" s="9" t="n">
        <v>1932</v>
      </c>
      <c r="B1936" s="9" t="inlineStr">
        <is>
          <t>Kolkata</t>
        </is>
      </c>
      <c r="C1936" s="9" t="inlineStr">
        <is>
          <t>Kolkata</t>
        </is>
      </c>
      <c r="D1936" s="9" t="inlineStr">
        <is>
          <t>West Bengal</t>
        </is>
      </c>
      <c r="E1936" s="9" t="inlineStr">
        <is>
          <t>India</t>
        </is>
      </c>
      <c r="F1936" s="9" t="n">
        <v>1</v>
      </c>
      <c r="G1936" s="9" t="n">
        <v>1</v>
      </c>
      <c r="H1936" s="9" t="n">
        <v>1</v>
      </c>
      <c r="I1936" s="10" t="n">
        <v>44908</v>
      </c>
      <c r="J1936" s="10" t="n">
        <v>44908</v>
      </c>
      <c r="K1936" s="9" t="n">
        <v>22.54365</v>
      </c>
      <c r="L1936" s="9" t="n">
        <v>88.3537</v>
      </c>
      <c r="M1936" s="9" t="inlineStr">
        <is>
          <t>https://www.google.com/maps/place/?q=place_id:ChIJs8EX0Bl3AjoRKkonija9hjA</t>
        </is>
      </c>
    </row>
    <row r="1937">
      <c r="A1937" s="9" t="n">
        <v>1933</v>
      </c>
      <c r="B1937" s="9" t="inlineStr">
        <is>
          <t>Kolkata</t>
        </is>
      </c>
      <c r="C1937" s="9" t="inlineStr">
        <is>
          <t>Kolkata</t>
        </is>
      </c>
      <c r="D1937" s="9" t="inlineStr">
        <is>
          <t>West Bengal</t>
        </is>
      </c>
      <c r="E1937" s="9" t="inlineStr">
        <is>
          <t>India</t>
        </is>
      </c>
      <c r="F1937" s="9" t="n">
        <v>1</v>
      </c>
      <c r="G1937" s="9" t="n">
        <v>2</v>
      </c>
      <c r="H1937" s="9" t="n">
        <v>1</v>
      </c>
      <c r="I1937" s="10" t="n">
        <v>44908</v>
      </c>
      <c r="J1937" s="10" t="n">
        <v>44909</v>
      </c>
      <c r="K1937" s="9" t="n">
        <v>22.53802</v>
      </c>
      <c r="L1937" s="9" t="n">
        <v>88.34520999999999</v>
      </c>
      <c r="M1937" s="9" t="inlineStr">
        <is>
          <t>https://www.google.com/maps/place/?q=place_id:ChIJeayuYNx3AjoR37cgPPghSL4</t>
        </is>
      </c>
    </row>
    <row r="1938">
      <c r="A1938" s="9" t="n">
        <v>1934</v>
      </c>
      <c r="B1938" s="9" t="inlineStr">
        <is>
          <t>Kolkata</t>
        </is>
      </c>
      <c r="C1938" s="9" t="inlineStr">
        <is>
          <t>Kolkata</t>
        </is>
      </c>
      <c r="D1938" s="9" t="inlineStr">
        <is>
          <t>West Bengal</t>
        </is>
      </c>
      <c r="E1938" s="9" t="inlineStr">
        <is>
          <t>India</t>
        </is>
      </c>
      <c r="F1938" s="9" t="n">
        <v>1</v>
      </c>
      <c r="G1938" s="9" t="n">
        <v>1</v>
      </c>
      <c r="H1938" s="9" t="n">
        <v>1</v>
      </c>
      <c r="I1938" s="10" t="n">
        <v>45237</v>
      </c>
      <c r="J1938" s="10" t="n">
        <v>45237</v>
      </c>
      <c r="K1938" s="9" t="n">
        <v>22.5906</v>
      </c>
      <c r="L1938" s="9" t="n">
        <v>88.37721999999999</v>
      </c>
      <c r="M1938" s="9" t="inlineStr">
        <is>
          <t>https://www.google.com/maps/place/?q=place_id:ChIJr-D06JB3AjoRXHQpRPgxls4</t>
        </is>
      </c>
    </row>
    <row r="1939">
      <c r="A1939" s="9" t="n">
        <v>1935</v>
      </c>
      <c r="B1939" s="9" t="inlineStr">
        <is>
          <t>Kolkata</t>
        </is>
      </c>
      <c r="C1939" s="9" t="inlineStr">
        <is>
          <t>Kolkata</t>
        </is>
      </c>
      <c r="D1939" s="9" t="inlineStr">
        <is>
          <t>West Bengal</t>
        </is>
      </c>
      <c r="E1939" s="9" t="inlineStr">
        <is>
          <t>India</t>
        </is>
      </c>
      <c r="F1939" s="9" t="n">
        <v>1</v>
      </c>
      <c r="G1939" s="9" t="n">
        <v>1</v>
      </c>
      <c r="H1939" s="9" t="n">
        <v>1</v>
      </c>
      <c r="I1939" s="10" t="n">
        <v>45237</v>
      </c>
      <c r="J1939" s="10" t="n">
        <v>45237</v>
      </c>
      <c r="K1939" s="9" t="n">
        <v>22.55186</v>
      </c>
      <c r="L1939" s="9" t="n">
        <v>88.35335000000001</v>
      </c>
      <c r="M1939" s="9" t="inlineStr">
        <is>
          <t>https://www.google.com/maps/place/?q=place_id:ChIJ0dAGtxp3AjoRZhUDLTKvt30</t>
        </is>
      </c>
    </row>
    <row r="1940">
      <c r="A1940" s="9" t="n">
        <v>1936</v>
      </c>
      <c r="B1940" s="9" t="inlineStr">
        <is>
          <t>Dam Dam</t>
        </is>
      </c>
      <c r="C1940" s="9" t="inlineStr">
        <is>
          <t>Kolkata</t>
        </is>
      </c>
      <c r="D1940" s="9" t="inlineStr">
        <is>
          <t>West Bengal</t>
        </is>
      </c>
      <c r="E1940" s="9" t="inlineStr">
        <is>
          <t>India</t>
        </is>
      </c>
      <c r="F1940" s="9" t="n">
        <v>1</v>
      </c>
      <c r="G1940" s="9" t="n">
        <v>1</v>
      </c>
      <c r="H1940" s="9" t="n">
        <v>1</v>
      </c>
      <c r="I1940" s="10" t="n">
        <v>45732</v>
      </c>
      <c r="J1940" s="10" t="n">
        <v>45732</v>
      </c>
      <c r="K1940" s="9" t="n">
        <v>22.62979</v>
      </c>
      <c r="L1940" s="9" t="n">
        <v>88.43352</v>
      </c>
      <c r="M1940" s="9" t="inlineStr">
        <is>
          <t>https://www.google.com/maps/place/?q=place_id:ChIJvdmi4eqf-DkRABIPLrZ1wu8</t>
        </is>
      </c>
    </row>
    <row r="1941">
      <c r="A1941" s="9" t="n">
        <v>1937</v>
      </c>
      <c r="B1941" s="9" t="inlineStr">
        <is>
          <t>Krishnanagar</t>
        </is>
      </c>
      <c r="C1941" s="9" t="inlineStr">
        <is>
          <t>Krishnanagar</t>
        </is>
      </c>
      <c r="D1941" s="9" t="inlineStr">
        <is>
          <t>West Bengal</t>
        </is>
      </c>
      <c r="E1941" s="9" t="inlineStr">
        <is>
          <t>India</t>
        </is>
      </c>
      <c r="F1941" s="9" t="n">
        <v>1</v>
      </c>
      <c r="G1941" s="9" t="n">
        <v>1</v>
      </c>
      <c r="H1941" s="9" t="n">
        <v>1</v>
      </c>
      <c r="I1941" s="10" t="n">
        <v>42577</v>
      </c>
      <c r="J1941" s="10" t="n">
        <v>42577</v>
      </c>
      <c r="K1941" s="9" t="n">
        <v>23.39872</v>
      </c>
      <c r="L1941" s="9" t="n">
        <v>88.47632</v>
      </c>
      <c r="M1941" s="9" t="inlineStr">
        <is>
          <t>https://www.google.com/maps/place/?q=place_id:ChIJaXA50_Qf-TkR9rM7QD7bNeM</t>
        </is>
      </c>
    </row>
    <row r="1942">
      <c r="A1942" s="9" t="n">
        <v>1938</v>
      </c>
      <c r="B1942" s="9" t="inlineStr">
        <is>
          <t>Krishnanagar</t>
        </is>
      </c>
      <c r="C1942" s="9" t="inlineStr">
        <is>
          <t>Krishnanagar</t>
        </is>
      </c>
      <c r="D1942" s="9" t="inlineStr">
        <is>
          <t>West Bengal</t>
        </is>
      </c>
      <c r="E1942" s="9" t="inlineStr">
        <is>
          <t>India</t>
        </is>
      </c>
      <c r="F1942" s="9" t="n">
        <v>1</v>
      </c>
      <c r="G1942" s="9" t="n">
        <v>1</v>
      </c>
      <c r="H1942" s="9" t="n">
        <v>1</v>
      </c>
      <c r="I1942" s="10" t="n">
        <v>45235</v>
      </c>
      <c r="J1942" s="10" t="n">
        <v>45235</v>
      </c>
      <c r="K1942" s="9" t="n">
        <v>23.38916</v>
      </c>
      <c r="L1942" s="9" t="n">
        <v>88.44311</v>
      </c>
      <c r="M1942" s="9" t="inlineStr">
        <is>
          <t>https://www.google.com/maps/place/?q=place_id:ChIJyds-ts0f-TkRqRVsbqE7BTw</t>
        </is>
      </c>
    </row>
    <row r="1943">
      <c r="A1943" s="9" t="n">
        <v>1939</v>
      </c>
      <c r="B1943" s="9" t="inlineStr">
        <is>
          <t>Nagarukhra City</t>
        </is>
      </c>
      <c r="C1943" s="9" t="inlineStr">
        <is>
          <t>Nagarukhra City</t>
        </is>
      </c>
      <c r="D1943" s="9" t="inlineStr">
        <is>
          <t>West Bengal</t>
        </is>
      </c>
      <c r="E1943" s="9" t="inlineStr">
        <is>
          <t>India</t>
        </is>
      </c>
      <c r="F1943" s="9" t="n">
        <v>1</v>
      </c>
      <c r="G1943" s="9" t="n">
        <v>1</v>
      </c>
      <c r="H1943" s="9" t="n">
        <v>1</v>
      </c>
      <c r="I1943" s="10" t="n">
        <v>45230</v>
      </c>
      <c r="J1943" s="10" t="n">
        <v>45230</v>
      </c>
      <c r="K1943" s="9" t="n">
        <v>22.92459</v>
      </c>
      <c r="L1943" s="9" t="n">
        <v>88.54086</v>
      </c>
      <c r="M1943" s="9" t="inlineStr">
        <is>
          <t>https://www.google.com/maps/place/?q=place_id:ChIJQfa9byi_-DkRfVvjp3k4I9Y</t>
        </is>
      </c>
    </row>
    <row r="1944">
      <c r="A1944" s="9" t="n">
        <v>1940</v>
      </c>
      <c r="B1944" s="9" t="inlineStr">
        <is>
          <t>Nagarukhra City</t>
        </is>
      </c>
      <c r="C1944" s="9" t="inlineStr">
        <is>
          <t>Nagarukhra City</t>
        </is>
      </c>
      <c r="D1944" s="9" t="inlineStr">
        <is>
          <t>West Bengal</t>
        </is>
      </c>
      <c r="E1944" s="9" t="inlineStr">
        <is>
          <t>India</t>
        </is>
      </c>
      <c r="F1944" s="9" t="n">
        <v>1</v>
      </c>
      <c r="G1944" s="9" t="n">
        <v>1</v>
      </c>
      <c r="H1944" s="9" t="n">
        <v>1</v>
      </c>
      <c r="I1944" s="10" t="n">
        <v>45237</v>
      </c>
      <c r="J1944" s="10" t="n">
        <v>45237</v>
      </c>
      <c r="K1944" s="9" t="n">
        <v>22.98916</v>
      </c>
      <c r="L1944" s="9" t="n">
        <v>88.54646</v>
      </c>
      <c r="M1944" s="9" t="inlineStr">
        <is>
          <t>https://www.google.com/maps/place/?q=place_id:ChIJj9hifh2_-DkRpTysAintl5U</t>
        </is>
      </c>
    </row>
    <row r="1945">
      <c r="A1945" s="9" t="n">
        <v>1941</v>
      </c>
      <c r="B1945" s="9" t="inlineStr">
        <is>
          <t>Navadwip</t>
        </is>
      </c>
      <c r="C1945" s="9" t="inlineStr">
        <is>
          <t>Navadwip</t>
        </is>
      </c>
      <c r="D1945" s="9" t="inlineStr">
        <is>
          <t>West Bengal</t>
        </is>
      </c>
      <c r="E1945" s="9" t="inlineStr">
        <is>
          <t>India</t>
        </is>
      </c>
      <c r="F1945" s="9" t="n">
        <v>14</v>
      </c>
      <c r="G1945" s="9" t="n">
        <v>10</v>
      </c>
      <c r="H1945" s="9" t="n">
        <v>4</v>
      </c>
      <c r="I1945" s="10" t="n">
        <v>44905</v>
      </c>
      <c r="J1945" s="10" t="n">
        <v>45731</v>
      </c>
      <c r="K1945" s="9" t="n">
        <v>23.42773</v>
      </c>
      <c r="L1945" s="9" t="n">
        <v>88.39201</v>
      </c>
      <c r="M1945" s="9" t="inlineStr">
        <is>
          <t>https://www.google.com/maps/place/?q=place_id:ChIJX3xHADIc-TkRB6HuJ_5elQQ</t>
        </is>
      </c>
    </row>
    <row r="1946">
      <c r="A1946" s="9" t="n">
        <v>1942</v>
      </c>
      <c r="B1946" s="9" t="inlineStr">
        <is>
          <t>Navadwip</t>
        </is>
      </c>
      <c r="C1946" s="9" t="inlineStr">
        <is>
          <t>Navadwip</t>
        </is>
      </c>
      <c r="D1946" s="9" t="inlineStr">
        <is>
          <t>West Bengal</t>
        </is>
      </c>
      <c r="E1946" s="9" t="inlineStr">
        <is>
          <t>India</t>
        </is>
      </c>
      <c r="F1946" s="9" t="n">
        <v>11</v>
      </c>
      <c r="G1946" s="9" t="n">
        <v>6</v>
      </c>
      <c r="H1946" s="9" t="n">
        <v>2</v>
      </c>
      <c r="I1946" s="10" t="n">
        <v>42577</v>
      </c>
      <c r="J1946" s="10" t="n">
        <v>43392</v>
      </c>
      <c r="K1946" s="9" t="n">
        <v>23.42341</v>
      </c>
      <c r="L1946" s="9" t="n">
        <v>88.38809000000001</v>
      </c>
      <c r="M1946" s="9" t="inlineStr">
        <is>
          <t>https://www.google.com/maps/place/?q=place_id:ChIJ4aQ7ajMc-TkRdDiBzjGRMHA</t>
        </is>
      </c>
    </row>
    <row r="1947">
      <c r="A1947" s="9" t="n">
        <v>1943</v>
      </c>
      <c r="B1947" s="9" t="inlineStr">
        <is>
          <t>Navadwip</t>
        </is>
      </c>
      <c r="C1947" s="9" t="inlineStr">
        <is>
          <t>Navadwip</t>
        </is>
      </c>
      <c r="D1947" s="9" t="inlineStr">
        <is>
          <t>West Bengal</t>
        </is>
      </c>
      <c r="E1947" s="9" t="inlineStr">
        <is>
          <t>India</t>
        </is>
      </c>
      <c r="F1947" s="9" t="n">
        <v>10</v>
      </c>
      <c r="G1947" s="9" t="n">
        <v>6</v>
      </c>
      <c r="H1947" s="9" t="n">
        <v>1</v>
      </c>
      <c r="I1947" s="10" t="n">
        <v>45231</v>
      </c>
      <c r="J1947" s="10" t="n">
        <v>45236</v>
      </c>
      <c r="K1947" s="9" t="n">
        <v>23.42584</v>
      </c>
      <c r="L1947" s="9" t="n">
        <v>88.38903999999999</v>
      </c>
      <c r="M1947" s="9" t="inlineStr">
        <is>
          <t>https://www.google.com/maps/place/?q=place_id:ChIJAR_7uTMc-TkRW6PCoq3MnwQ</t>
        </is>
      </c>
    </row>
    <row r="1948">
      <c r="A1948" s="9" t="n">
        <v>1944</v>
      </c>
      <c r="B1948" s="9" t="inlineStr">
        <is>
          <t>Navadwip</t>
        </is>
      </c>
      <c r="C1948" s="9" t="inlineStr">
        <is>
          <t>Navadwip</t>
        </is>
      </c>
      <c r="D1948" s="9" t="inlineStr">
        <is>
          <t>West Bengal</t>
        </is>
      </c>
      <c r="E1948" s="9" t="inlineStr">
        <is>
          <t>India</t>
        </is>
      </c>
      <c r="F1948" s="9" t="n">
        <v>6</v>
      </c>
      <c r="G1948" s="9" t="n">
        <v>6</v>
      </c>
      <c r="H1948" s="9" t="n">
        <v>3</v>
      </c>
      <c r="I1948" s="10" t="n">
        <v>45231</v>
      </c>
      <c r="J1948" s="10" t="n">
        <v>45730</v>
      </c>
      <c r="K1948" s="9" t="n">
        <v>23.4248</v>
      </c>
      <c r="L1948" s="9" t="n">
        <v>88.38854000000001</v>
      </c>
      <c r="M1948" s="9" t="inlineStr">
        <is>
          <t>https://www.google.com/maps/place/?q=place_id:ChIJzwcrATMc-TkRrWabHisFDp4</t>
        </is>
      </c>
    </row>
    <row r="1949">
      <c r="A1949" s="9" t="n">
        <v>1945</v>
      </c>
      <c r="B1949" s="9" t="inlineStr">
        <is>
          <t>Navadwip</t>
        </is>
      </c>
      <c r="C1949" s="9" t="inlineStr">
        <is>
          <t>Navadwip</t>
        </is>
      </c>
      <c r="D1949" s="9" t="inlineStr">
        <is>
          <t>West Bengal</t>
        </is>
      </c>
      <c r="E1949" s="9" t="inlineStr">
        <is>
          <t>India</t>
        </is>
      </c>
      <c r="F1949" s="9" t="n">
        <v>6</v>
      </c>
      <c r="G1949" s="9" t="n">
        <v>6</v>
      </c>
      <c r="H1949" s="9" t="n">
        <v>1</v>
      </c>
      <c r="I1949" s="10" t="n">
        <v>45727</v>
      </c>
      <c r="J1949" s="10" t="n">
        <v>45732</v>
      </c>
      <c r="K1949" s="9" t="n">
        <v>23.4313</v>
      </c>
      <c r="L1949" s="9" t="n">
        <v>88.39355999999999</v>
      </c>
      <c r="M1949" s="9" t="inlineStr">
        <is>
          <t>https://www.google.com/maps/place/?q=place_id:ChIJq8zG8D4d-TkRYTDvvAyMYk0</t>
        </is>
      </c>
    </row>
    <row r="1950">
      <c r="A1950" s="9" t="n">
        <v>1946</v>
      </c>
      <c r="B1950" s="9" t="inlineStr">
        <is>
          <t>Navadwip</t>
        </is>
      </c>
      <c r="C1950" s="9" t="inlineStr">
        <is>
          <t>Navadwip</t>
        </is>
      </c>
      <c r="D1950" s="9" t="inlineStr">
        <is>
          <t>West Bengal</t>
        </is>
      </c>
      <c r="E1950" s="9" t="inlineStr">
        <is>
          <t>India</t>
        </is>
      </c>
      <c r="F1950" s="9" t="n">
        <v>5</v>
      </c>
      <c r="G1950" s="9" t="n">
        <v>4</v>
      </c>
      <c r="H1950" s="9" t="n">
        <v>3</v>
      </c>
      <c r="I1950" s="10" t="n">
        <v>45232</v>
      </c>
      <c r="J1950" s="10" t="n">
        <v>45732</v>
      </c>
      <c r="K1950" s="9" t="n">
        <v>23.43017</v>
      </c>
      <c r="L1950" s="9" t="n">
        <v>88.39082000000001</v>
      </c>
      <c r="M1950" s="9" t="inlineStr">
        <is>
          <t>https://www.google.com/maps/place/?q=place_id:ChIJIcvYp20d-TkRk5LuhJmw-eo</t>
        </is>
      </c>
    </row>
    <row r="1951">
      <c r="A1951" s="9" t="n">
        <v>1947</v>
      </c>
      <c r="B1951" s="9" t="inlineStr">
        <is>
          <t>Navadwip</t>
        </is>
      </c>
      <c r="C1951" s="9" t="inlineStr">
        <is>
          <t>Navadwip</t>
        </is>
      </c>
      <c r="D1951" s="9" t="inlineStr">
        <is>
          <t>West Bengal</t>
        </is>
      </c>
      <c r="E1951" s="9" t="inlineStr">
        <is>
          <t>India</t>
        </is>
      </c>
      <c r="F1951" s="9" t="n">
        <v>4</v>
      </c>
      <c r="G1951" s="9" t="n">
        <v>2</v>
      </c>
      <c r="H1951" s="9" t="n">
        <v>1</v>
      </c>
      <c r="I1951" s="10" t="n">
        <v>44906</v>
      </c>
      <c r="J1951" s="10" t="n">
        <v>44907</v>
      </c>
      <c r="K1951" s="9" t="n">
        <v>23.4254</v>
      </c>
      <c r="L1951" s="9" t="n">
        <v>88.38982</v>
      </c>
      <c r="M1951" s="9" t="inlineStr">
        <is>
          <t>https://www.google.com/maps/place/?q=place_id:ChIJV7XSUzIc-TkRLATfAfCgz3o</t>
        </is>
      </c>
    </row>
    <row r="1952">
      <c r="A1952" s="9" t="n">
        <v>1948</v>
      </c>
      <c r="B1952" s="9" t="inlineStr">
        <is>
          <t>Navadwip</t>
        </is>
      </c>
      <c r="C1952" s="9" t="inlineStr">
        <is>
          <t>Navadwip</t>
        </is>
      </c>
      <c r="D1952" s="9" t="inlineStr">
        <is>
          <t>West Bengal</t>
        </is>
      </c>
      <c r="E1952" s="9" t="inlineStr">
        <is>
          <t>India</t>
        </is>
      </c>
      <c r="F1952" s="9" t="n">
        <v>3</v>
      </c>
      <c r="G1952" s="9" t="n">
        <v>3</v>
      </c>
      <c r="H1952" s="9" t="n">
        <v>2</v>
      </c>
      <c r="I1952" s="10" t="n">
        <v>43389</v>
      </c>
      <c r="J1952" s="10" t="n">
        <v>43393</v>
      </c>
      <c r="K1952" s="9" t="n">
        <v>23.4088</v>
      </c>
      <c r="L1952" s="9" t="n">
        <v>88.37663999999999</v>
      </c>
      <c r="M1952" s="9" t="inlineStr">
        <is>
          <t>https://www.google.com/maps/place/?q=place_id:ChIJKyBbELod-TkReSUtWw0G3HI</t>
        </is>
      </c>
    </row>
    <row r="1953">
      <c r="A1953" s="9" t="n">
        <v>1949</v>
      </c>
      <c r="B1953" s="9" t="inlineStr">
        <is>
          <t>Navadwip</t>
        </is>
      </c>
      <c r="C1953" s="9" t="inlineStr">
        <is>
          <t>Navadwip</t>
        </is>
      </c>
      <c r="D1953" s="9" t="inlineStr">
        <is>
          <t>West Bengal</t>
        </is>
      </c>
      <c r="E1953" s="9" t="inlineStr">
        <is>
          <t>India</t>
        </is>
      </c>
      <c r="F1953" s="9" t="n">
        <v>2</v>
      </c>
      <c r="G1953" s="9" t="n">
        <v>3</v>
      </c>
      <c r="H1953" s="9" t="n">
        <v>1</v>
      </c>
      <c r="I1953" s="10" t="n">
        <v>43389</v>
      </c>
      <c r="J1953" s="10" t="n">
        <v>43392</v>
      </c>
      <c r="K1953" s="9" t="n">
        <v>23.42722</v>
      </c>
      <c r="L1953" s="9" t="n">
        <v>88.38840999999999</v>
      </c>
      <c r="M1953" s="9" t="inlineStr">
        <is>
          <t>https://www.google.com/maps/place/?q=place_id:ChIJt_ym3TMc-TkRYJOkVGhEbDE</t>
        </is>
      </c>
    </row>
    <row r="1954">
      <c r="A1954" s="9" t="n">
        <v>1950</v>
      </c>
      <c r="B1954" s="9" t="inlineStr">
        <is>
          <t>Navadwip</t>
        </is>
      </c>
      <c r="C1954" s="9" t="inlineStr">
        <is>
          <t>Navadwip</t>
        </is>
      </c>
      <c r="D1954" s="9" t="inlineStr">
        <is>
          <t>West Bengal</t>
        </is>
      </c>
      <c r="E1954" s="9" t="inlineStr">
        <is>
          <t>India</t>
        </is>
      </c>
      <c r="F1954" s="9" t="n">
        <v>2</v>
      </c>
      <c r="G1954" s="9" t="n">
        <v>2</v>
      </c>
      <c r="H1954" s="9" t="n">
        <v>2</v>
      </c>
      <c r="I1954" s="10" t="n">
        <v>43390</v>
      </c>
      <c r="J1954" s="10" t="n">
        <v>44905</v>
      </c>
      <c r="K1954" s="9" t="n">
        <v>23.43757</v>
      </c>
      <c r="L1954" s="9" t="n">
        <v>88.39296</v>
      </c>
      <c r="M1954" s="9" t="inlineStr">
        <is>
          <t>https://www.google.com/maps/place/?q=place_id:ChIJ54lTwiQc-TkRzEcWQLoli9s</t>
        </is>
      </c>
    </row>
    <row r="1955">
      <c r="A1955" s="9" t="n">
        <v>1951</v>
      </c>
      <c r="B1955" s="9" t="inlineStr">
        <is>
          <t>Navadwip</t>
        </is>
      </c>
      <c r="C1955" s="9" t="inlineStr">
        <is>
          <t>Navadwip</t>
        </is>
      </c>
      <c r="D1955" s="9" t="inlineStr">
        <is>
          <t>West Bengal</t>
        </is>
      </c>
      <c r="E1955" s="9" t="inlineStr">
        <is>
          <t>India</t>
        </is>
      </c>
      <c r="F1955" s="9" t="n">
        <v>2</v>
      </c>
      <c r="G1955" s="9" t="n">
        <v>2</v>
      </c>
      <c r="H1955" s="9" t="n">
        <v>2</v>
      </c>
      <c r="I1955" s="10" t="n">
        <v>43393</v>
      </c>
      <c r="J1955" s="10" t="n">
        <v>44905</v>
      </c>
      <c r="K1955" s="9" t="n">
        <v>23.42795</v>
      </c>
      <c r="L1955" s="9" t="n">
        <v>88.39051000000001</v>
      </c>
      <c r="M1955" s="9" t="inlineStr">
        <is>
          <t>https://www.google.com/maps/place/?q=place_id:ChIJZ1iCijEc-TkR5NtMU6x5k_0</t>
        </is>
      </c>
    </row>
    <row r="1956">
      <c r="A1956" s="9" t="n">
        <v>1952</v>
      </c>
      <c r="B1956" s="9" t="inlineStr">
        <is>
          <t>Navadwip</t>
        </is>
      </c>
      <c r="C1956" s="9" t="inlineStr">
        <is>
          <t>Navadwip</t>
        </is>
      </c>
      <c r="D1956" s="9" t="inlineStr">
        <is>
          <t>West Bengal</t>
        </is>
      </c>
      <c r="E1956" s="9" t="inlineStr">
        <is>
          <t>India</t>
        </is>
      </c>
      <c r="F1956" s="9" t="n">
        <v>2</v>
      </c>
      <c r="G1956" s="9" t="n">
        <v>2</v>
      </c>
      <c r="H1956" s="9" t="n">
        <v>2</v>
      </c>
      <c r="I1956" s="10" t="n">
        <v>44906</v>
      </c>
      <c r="J1956" s="10" t="n">
        <v>45235</v>
      </c>
      <c r="K1956" s="9" t="n">
        <v>23.41479</v>
      </c>
      <c r="L1956" s="9" t="n">
        <v>88.39111</v>
      </c>
      <c r="M1956" s="9" t="inlineStr">
        <is>
          <t>https://www.google.com/maps/place/?q=place_id:ChIJf6L4NL8d-TkRC3bNJdWJifo</t>
        </is>
      </c>
    </row>
    <row r="1957">
      <c r="A1957" s="9" t="n">
        <v>1953</v>
      </c>
      <c r="B1957" s="9" t="inlineStr">
        <is>
          <t>Navadwip</t>
        </is>
      </c>
      <c r="C1957" s="9" t="inlineStr">
        <is>
          <t>Navadwip</t>
        </is>
      </c>
      <c r="D1957" s="9" t="inlineStr">
        <is>
          <t>West Bengal</t>
        </is>
      </c>
      <c r="E1957" s="9" t="inlineStr">
        <is>
          <t>India</t>
        </is>
      </c>
      <c r="F1957" s="9" t="n">
        <v>2</v>
      </c>
      <c r="G1957" s="9" t="n">
        <v>2</v>
      </c>
      <c r="H1957" s="9" t="n">
        <v>2</v>
      </c>
      <c r="I1957" s="10" t="n">
        <v>45234</v>
      </c>
      <c r="J1957" s="10" t="n">
        <v>45732</v>
      </c>
      <c r="K1957" s="9" t="n">
        <v>23.43828</v>
      </c>
      <c r="L1957" s="9" t="n">
        <v>88.39281</v>
      </c>
      <c r="M1957" s="9" t="inlineStr">
        <is>
          <t>https://www.google.com/maps/place/?q=place_id:ChIJq43nuCQc-TkRsTJcFqJHV4M</t>
        </is>
      </c>
    </row>
    <row r="1958">
      <c r="A1958" s="9" t="n">
        <v>1954</v>
      </c>
      <c r="B1958" s="9" t="inlineStr">
        <is>
          <t>Navadwip</t>
        </is>
      </c>
      <c r="C1958" s="9" t="inlineStr">
        <is>
          <t>Navadwip</t>
        </is>
      </c>
      <c r="D1958" s="9" t="inlineStr">
        <is>
          <t>West Bengal</t>
        </is>
      </c>
      <c r="E1958" s="9" t="inlineStr">
        <is>
          <t>India</t>
        </is>
      </c>
      <c r="F1958" s="9" t="n">
        <v>2</v>
      </c>
      <c r="G1958" s="9" t="n">
        <v>2</v>
      </c>
      <c r="H1958" s="9" t="n">
        <v>1</v>
      </c>
      <c r="I1958" s="10" t="n">
        <v>45235</v>
      </c>
      <c r="J1958" s="10" t="n">
        <v>45236</v>
      </c>
      <c r="K1958" s="9" t="n">
        <v>23.41373</v>
      </c>
      <c r="L1958" s="9" t="n">
        <v>88.38269</v>
      </c>
      <c r="M1958" s="9" t="inlineStr">
        <is>
          <t>https://www.google.com/maps/place/?q=place_id:ChIJl52otLcd-TkRjaCzqRvPz6s</t>
        </is>
      </c>
    </row>
    <row r="1959">
      <c r="A1959" s="9" t="n">
        <v>1955</v>
      </c>
      <c r="B1959" s="9" t="inlineStr">
        <is>
          <t>Navadwip</t>
        </is>
      </c>
      <c r="C1959" s="9" t="inlineStr">
        <is>
          <t>Navadwip</t>
        </is>
      </c>
      <c r="D1959" s="9" t="inlineStr">
        <is>
          <t>West Bengal</t>
        </is>
      </c>
      <c r="E1959" s="9" t="inlineStr">
        <is>
          <t>India</t>
        </is>
      </c>
      <c r="F1959" s="9" t="n">
        <v>2</v>
      </c>
      <c r="G1959" s="9" t="n">
        <v>1</v>
      </c>
      <c r="H1959" s="9" t="n">
        <v>1</v>
      </c>
      <c r="I1959" s="10" t="n">
        <v>45236</v>
      </c>
      <c r="J1959" s="10" t="n">
        <v>45236</v>
      </c>
      <c r="K1959" s="9" t="n">
        <v>23.4092</v>
      </c>
      <c r="L1959" s="9" t="n">
        <v>88.37689</v>
      </c>
      <c r="M1959" s="9" t="inlineStr">
        <is>
          <t>https://www.google.com/maps/place/?q=place_id:ChIJqzirG7od-TkR4GQVpaBHlb0</t>
        </is>
      </c>
    </row>
    <row r="1960">
      <c r="A1960" s="9" t="n">
        <v>1956</v>
      </c>
      <c r="B1960" s="9" t="inlineStr">
        <is>
          <t>Navadwip</t>
        </is>
      </c>
      <c r="C1960" s="9" t="inlineStr">
        <is>
          <t>Navadwip</t>
        </is>
      </c>
      <c r="D1960" s="9" t="inlineStr">
        <is>
          <t>West Bengal</t>
        </is>
      </c>
      <c r="E1960" s="9" t="inlineStr">
        <is>
          <t>India</t>
        </is>
      </c>
      <c r="F1960" s="9" t="n">
        <v>1</v>
      </c>
      <c r="G1960" s="9" t="n">
        <v>1</v>
      </c>
      <c r="H1960" s="9" t="n">
        <v>1</v>
      </c>
      <c r="I1960" s="10" t="n">
        <v>42578</v>
      </c>
      <c r="J1960" s="10" t="n">
        <v>42578</v>
      </c>
      <c r="K1960" s="9" t="n">
        <v>23.41164</v>
      </c>
      <c r="L1960" s="9" t="n">
        <v>88.38491999999999</v>
      </c>
      <c r="M1960" s="9" t="inlineStr">
        <is>
          <t>https://www.google.com/maps/place/?q=place_id:ChIJ41-q9sgd-TkR2xMfGiNXje8</t>
        </is>
      </c>
    </row>
    <row r="1961">
      <c r="A1961" s="9" t="n">
        <v>1957</v>
      </c>
      <c r="B1961" s="9" t="inlineStr">
        <is>
          <t>Navadwip</t>
        </is>
      </c>
      <c r="C1961" s="9" t="inlineStr">
        <is>
          <t>Navadwip</t>
        </is>
      </c>
      <c r="D1961" s="9" t="inlineStr">
        <is>
          <t>West Bengal</t>
        </is>
      </c>
      <c r="E1961" s="9" t="inlineStr">
        <is>
          <t>India</t>
        </is>
      </c>
      <c r="F1961" s="9" t="n">
        <v>1</v>
      </c>
      <c r="G1961" s="9" t="n">
        <v>1</v>
      </c>
      <c r="H1961" s="9" t="n">
        <v>1</v>
      </c>
      <c r="I1961" s="10" t="n">
        <v>43389</v>
      </c>
      <c r="J1961" s="10" t="n">
        <v>43389</v>
      </c>
      <c r="K1961" s="9" t="n">
        <v>23.39794</v>
      </c>
      <c r="L1961" s="9" t="n">
        <v>88.35684000000001</v>
      </c>
      <c r="M1961" s="9" t="inlineStr">
        <is>
          <t>https://www.google.com/maps/place/?q=place_id:ChIJm_LWtQwd-TkRzv6vw3p8xJs</t>
        </is>
      </c>
    </row>
    <row r="1962">
      <c r="A1962" s="9" t="n">
        <v>1958</v>
      </c>
      <c r="B1962" s="9" t="inlineStr">
        <is>
          <t>Navadwip</t>
        </is>
      </c>
      <c r="C1962" s="9" t="inlineStr">
        <is>
          <t>Navadwip</t>
        </is>
      </c>
      <c r="D1962" s="9" t="inlineStr">
        <is>
          <t>West Bengal</t>
        </is>
      </c>
      <c r="E1962" s="9" t="inlineStr">
        <is>
          <t>India</t>
        </is>
      </c>
      <c r="F1962" s="9" t="n">
        <v>1</v>
      </c>
      <c r="G1962" s="9" t="n">
        <v>1</v>
      </c>
      <c r="H1962" s="9" t="n">
        <v>1</v>
      </c>
      <c r="I1962" s="10" t="n">
        <v>43390</v>
      </c>
      <c r="J1962" s="10" t="n">
        <v>43390</v>
      </c>
      <c r="K1962" s="9" t="n">
        <v>23.44238</v>
      </c>
      <c r="L1962" s="9" t="n">
        <v>88.39939</v>
      </c>
      <c r="M1962" s="9" t="inlineStr">
        <is>
          <t>https://www.google.com/maps/place/?q=place_id:ChIJhQkA9CAc-TkRmN6KpO5s8T8</t>
        </is>
      </c>
    </row>
    <row r="1963">
      <c r="A1963" s="9" t="n">
        <v>1959</v>
      </c>
      <c r="B1963" s="9" t="inlineStr">
        <is>
          <t>Navadwip</t>
        </is>
      </c>
      <c r="C1963" s="9" t="inlineStr">
        <is>
          <t>Navadwip</t>
        </is>
      </c>
      <c r="D1963" s="9" t="inlineStr">
        <is>
          <t>West Bengal</t>
        </is>
      </c>
      <c r="E1963" s="9" t="inlineStr">
        <is>
          <t>India</t>
        </is>
      </c>
      <c r="F1963" s="9" t="n">
        <v>1</v>
      </c>
      <c r="G1963" s="9" t="n">
        <v>1</v>
      </c>
      <c r="H1963" s="9" t="n">
        <v>1</v>
      </c>
      <c r="I1963" s="10" t="n">
        <v>43390</v>
      </c>
      <c r="J1963" s="10" t="n">
        <v>43390</v>
      </c>
      <c r="K1963" s="9" t="n">
        <v>23.42671</v>
      </c>
      <c r="L1963" s="9" t="n">
        <v>88.39125</v>
      </c>
      <c r="M1963" s="9" t="inlineStr">
        <is>
          <t>https://www.google.com/maps/place/?q=place_id:ChIJMyPFETIc-TkR7WW4YM7v6cs</t>
        </is>
      </c>
    </row>
    <row r="1964">
      <c r="A1964" s="9" t="n">
        <v>1960</v>
      </c>
      <c r="B1964" s="9" t="inlineStr">
        <is>
          <t>Navadwip</t>
        </is>
      </c>
      <c r="C1964" s="9" t="inlineStr">
        <is>
          <t>Navadwip</t>
        </is>
      </c>
      <c r="D1964" s="9" t="inlineStr">
        <is>
          <t>West Bengal</t>
        </is>
      </c>
      <c r="E1964" s="9" t="inlineStr">
        <is>
          <t>India</t>
        </is>
      </c>
      <c r="F1964" s="9" t="n">
        <v>1</v>
      </c>
      <c r="G1964" s="9" t="n">
        <v>1</v>
      </c>
      <c r="H1964" s="9" t="n">
        <v>1</v>
      </c>
      <c r="I1964" s="10" t="n">
        <v>43390</v>
      </c>
      <c r="J1964" s="10" t="n">
        <v>43390</v>
      </c>
      <c r="K1964" s="9" t="n">
        <v>23.42726</v>
      </c>
      <c r="L1964" s="9" t="n">
        <v>88.3955</v>
      </c>
      <c r="M1964" s="9" t="inlineStr">
        <is>
          <t>https://www.google.com/maps/place/?q=place_id:ChIJW6JgqC4c-TkRyZVTM5oVO04</t>
        </is>
      </c>
    </row>
    <row r="1965">
      <c r="A1965" s="9" t="n">
        <v>1961</v>
      </c>
      <c r="B1965" s="9" t="inlineStr">
        <is>
          <t>Navadwip</t>
        </is>
      </c>
      <c r="C1965" s="9" t="inlineStr">
        <is>
          <t>Navadwip</t>
        </is>
      </c>
      <c r="D1965" s="9" t="inlineStr">
        <is>
          <t>West Bengal</t>
        </is>
      </c>
      <c r="E1965" s="9" t="inlineStr">
        <is>
          <t>India</t>
        </is>
      </c>
      <c r="F1965" s="9" t="n">
        <v>1</v>
      </c>
      <c r="G1965" s="9" t="n">
        <v>1</v>
      </c>
      <c r="H1965" s="9" t="n">
        <v>1</v>
      </c>
      <c r="I1965" s="10" t="n">
        <v>43390</v>
      </c>
      <c r="J1965" s="10" t="n">
        <v>43390</v>
      </c>
      <c r="K1965" s="9" t="n">
        <v>23.44775</v>
      </c>
      <c r="L1965" s="9" t="n">
        <v>88.41325000000001</v>
      </c>
      <c r="M1965" s="9" t="inlineStr">
        <is>
          <t>https://www.google.com/maps/place/?q=place_id:ChIJPWNJGb0e-TkRjEvR0c5NZfs</t>
        </is>
      </c>
    </row>
    <row r="1966">
      <c r="A1966" s="9" t="n">
        <v>1962</v>
      </c>
      <c r="B1966" s="9" t="inlineStr">
        <is>
          <t>Navadwip</t>
        </is>
      </c>
      <c r="C1966" s="9" t="inlineStr">
        <is>
          <t>Navadwip</t>
        </is>
      </c>
      <c r="D1966" s="9" t="inlineStr">
        <is>
          <t>West Bengal</t>
        </is>
      </c>
      <c r="E1966" s="9" t="inlineStr">
        <is>
          <t>India</t>
        </is>
      </c>
      <c r="F1966" s="9" t="n">
        <v>1</v>
      </c>
      <c r="G1966" s="9" t="n">
        <v>2</v>
      </c>
      <c r="H1966" s="9" t="n">
        <v>1</v>
      </c>
      <c r="I1966" s="10" t="n">
        <v>43390</v>
      </c>
      <c r="J1966" s="10" t="n">
        <v>43391</v>
      </c>
      <c r="K1966" s="9" t="n">
        <v>23.42778</v>
      </c>
      <c r="L1966" s="9" t="n">
        <v>88.38856</v>
      </c>
      <c r="M1966" s="9" t="inlineStr">
        <is>
          <t>https://www.google.com/maps/place/?q=place_id:ChIJs_TAYjEc-TkRR3boJ0jHIg4</t>
        </is>
      </c>
    </row>
    <row r="1967">
      <c r="A1967" s="9" t="n">
        <v>1963</v>
      </c>
      <c r="B1967" s="9" t="inlineStr">
        <is>
          <t>Navadwip</t>
        </is>
      </c>
      <c r="C1967" s="9" t="inlineStr">
        <is>
          <t>Navadwip</t>
        </is>
      </c>
      <c r="D1967" s="9" t="inlineStr">
        <is>
          <t>West Bengal</t>
        </is>
      </c>
      <c r="E1967" s="9" t="inlineStr">
        <is>
          <t>India</t>
        </is>
      </c>
      <c r="F1967" s="9" t="n">
        <v>1</v>
      </c>
      <c r="G1967" s="9" t="n">
        <v>1</v>
      </c>
      <c r="H1967" s="9" t="n">
        <v>1</v>
      </c>
      <c r="I1967" s="10" t="n">
        <v>43391</v>
      </c>
      <c r="J1967" s="10" t="n">
        <v>43391</v>
      </c>
      <c r="K1967" s="9" t="n">
        <v>23.41474</v>
      </c>
      <c r="L1967" s="9" t="n">
        <v>88.39107</v>
      </c>
      <c r="M1967" s="9" t="inlineStr">
        <is>
          <t>https://www.google.com/maps/place/?q=place_id:ChIJr3AoGM4d-TkRGM3A7WJq3c4</t>
        </is>
      </c>
    </row>
    <row r="1968">
      <c r="A1968" s="9" t="n">
        <v>1964</v>
      </c>
      <c r="B1968" s="9" t="inlineStr">
        <is>
          <t>Navadwip</t>
        </is>
      </c>
      <c r="C1968" s="9" t="inlineStr">
        <is>
          <t>Navadwip</t>
        </is>
      </c>
      <c r="D1968" s="9" t="inlineStr">
        <is>
          <t>West Bengal</t>
        </is>
      </c>
      <c r="E1968" s="9" t="inlineStr">
        <is>
          <t>India</t>
        </is>
      </c>
      <c r="F1968" s="9" t="n">
        <v>1</v>
      </c>
      <c r="G1968" s="9" t="n">
        <v>1</v>
      </c>
      <c r="H1968" s="9" t="n">
        <v>1</v>
      </c>
      <c r="I1968" s="10" t="n">
        <v>43391</v>
      </c>
      <c r="J1968" s="10" t="n">
        <v>43391</v>
      </c>
      <c r="K1968" s="9" t="n">
        <v>23.42693</v>
      </c>
      <c r="L1968" s="9" t="n">
        <v>88.38858999999999</v>
      </c>
      <c r="M1968" s="9" t="inlineStr">
        <is>
          <t>https://www.google.com/maps/place/?q=place_id:ChIJGRVT2zMc-TkRoFpBblr85yw</t>
        </is>
      </c>
    </row>
    <row r="1969">
      <c r="A1969" s="9" t="n">
        <v>1965</v>
      </c>
      <c r="B1969" s="9" t="inlineStr">
        <is>
          <t>Navadwip</t>
        </is>
      </c>
      <c r="C1969" s="9" t="inlineStr">
        <is>
          <t>Navadwip</t>
        </is>
      </c>
      <c r="D1969" s="9" t="inlineStr">
        <is>
          <t>West Bengal</t>
        </is>
      </c>
      <c r="E1969" s="9" t="inlineStr">
        <is>
          <t>India</t>
        </is>
      </c>
      <c r="F1969" s="9" t="n">
        <v>1</v>
      </c>
      <c r="G1969" s="9" t="n">
        <v>1</v>
      </c>
      <c r="H1969" s="9" t="n">
        <v>1</v>
      </c>
      <c r="I1969" s="10" t="n">
        <v>44907</v>
      </c>
      <c r="J1969" s="10" t="n">
        <v>44907</v>
      </c>
      <c r="K1969" s="9" t="n">
        <v>23.43008</v>
      </c>
      <c r="L1969" s="9" t="n">
        <v>88.38778000000001</v>
      </c>
      <c r="M1969" s="9" t="inlineStr">
        <is>
          <t>https://www.google.com/maps/place/?q=place_id:ChIJceCpJTEc-TkRfJRy9xr7s9E</t>
        </is>
      </c>
    </row>
    <row r="1970">
      <c r="A1970" s="9" t="n">
        <v>1966</v>
      </c>
      <c r="B1970" s="9" t="inlineStr">
        <is>
          <t>Navadwip</t>
        </is>
      </c>
      <c r="C1970" s="9" t="inlineStr">
        <is>
          <t>Navadwip</t>
        </is>
      </c>
      <c r="D1970" s="9" t="inlineStr">
        <is>
          <t>West Bengal</t>
        </is>
      </c>
      <c r="E1970" s="9" t="inlineStr">
        <is>
          <t>India</t>
        </is>
      </c>
      <c r="F1970" s="9" t="n">
        <v>1</v>
      </c>
      <c r="G1970" s="9" t="n">
        <v>1</v>
      </c>
      <c r="H1970" s="9" t="n">
        <v>1</v>
      </c>
      <c r="I1970" s="10" t="n">
        <v>44907</v>
      </c>
      <c r="J1970" s="10" t="n">
        <v>44907</v>
      </c>
      <c r="K1970" s="9" t="n">
        <v>23.6293</v>
      </c>
      <c r="L1970" s="9" t="n">
        <v>88.36008</v>
      </c>
      <c r="M1970" s="9" t="inlineStr">
        <is>
          <t>https://www.google.com/maps/place/?q=place_id:ChIJPzTGuckR-TkRKQq1DNA9tD8</t>
        </is>
      </c>
    </row>
    <row r="1971">
      <c r="A1971" s="9" t="n">
        <v>1967</v>
      </c>
      <c r="B1971" s="9" t="inlineStr">
        <is>
          <t>Navadwip</t>
        </is>
      </c>
      <c r="C1971" s="9" t="inlineStr">
        <is>
          <t>Navadwip</t>
        </is>
      </c>
      <c r="D1971" s="9" t="inlineStr">
        <is>
          <t>West Bengal</t>
        </is>
      </c>
      <c r="E1971" s="9" t="inlineStr">
        <is>
          <t>India</t>
        </is>
      </c>
      <c r="F1971" s="9" t="n">
        <v>1</v>
      </c>
      <c r="G1971" s="9" t="n">
        <v>1</v>
      </c>
      <c r="H1971" s="9" t="n">
        <v>1</v>
      </c>
      <c r="I1971" s="10" t="n">
        <v>45234</v>
      </c>
      <c r="J1971" s="10" t="n">
        <v>45234</v>
      </c>
      <c r="K1971" s="9" t="n">
        <v>23.44225</v>
      </c>
      <c r="L1971" s="9" t="n">
        <v>88.39972</v>
      </c>
      <c r="M1971" s="9" t="inlineStr">
        <is>
          <t>https://www.google.com/maps/place/?q=place_id:ChIJE64u-iAc-TkRAW6x774KIMA</t>
        </is>
      </c>
    </row>
    <row r="1972">
      <c r="A1972" s="9" t="n">
        <v>1968</v>
      </c>
      <c r="B1972" s="9" t="inlineStr">
        <is>
          <t>Navadwip</t>
        </is>
      </c>
      <c r="C1972" s="9" t="inlineStr">
        <is>
          <t>Navadwip</t>
        </is>
      </c>
      <c r="D1972" s="9" t="inlineStr">
        <is>
          <t>West Bengal</t>
        </is>
      </c>
      <c r="E1972" s="9" t="inlineStr">
        <is>
          <t>India</t>
        </is>
      </c>
      <c r="F1972" s="9" t="n">
        <v>1</v>
      </c>
      <c r="G1972" s="9" t="n">
        <v>1</v>
      </c>
      <c r="H1972" s="9" t="n">
        <v>1</v>
      </c>
      <c r="I1972" s="10" t="n">
        <v>45234</v>
      </c>
      <c r="J1972" s="10" t="n">
        <v>45234</v>
      </c>
      <c r="K1972" s="9" t="n">
        <v>23.44752</v>
      </c>
      <c r="L1972" s="9" t="n">
        <v>88.41631</v>
      </c>
      <c r="M1972" s="9" t="inlineStr">
        <is>
          <t>https://www.google.com/maps/place/?q=place_id:ChIJLYkMdL4e-TkRp4EiFt4Z8rk</t>
        </is>
      </c>
    </row>
    <row r="1973">
      <c r="A1973" s="9" t="n">
        <v>1969</v>
      </c>
      <c r="B1973" s="9" t="inlineStr">
        <is>
          <t>Navadwip</t>
        </is>
      </c>
      <c r="C1973" s="9" t="inlineStr">
        <is>
          <t>Navadwip</t>
        </is>
      </c>
      <c r="D1973" s="9" t="inlineStr">
        <is>
          <t>West Bengal</t>
        </is>
      </c>
      <c r="E1973" s="9" t="inlineStr">
        <is>
          <t>India</t>
        </is>
      </c>
      <c r="F1973" s="9" t="n">
        <v>1</v>
      </c>
      <c r="G1973" s="9" t="n">
        <v>1</v>
      </c>
      <c r="H1973" s="9" t="n">
        <v>1</v>
      </c>
      <c r="I1973" s="10" t="n">
        <v>45235</v>
      </c>
      <c r="J1973" s="10" t="n">
        <v>45235</v>
      </c>
      <c r="K1973" s="9" t="n">
        <v>23.40841</v>
      </c>
      <c r="L1973" s="9" t="n">
        <v>88.37999000000001</v>
      </c>
      <c r="M1973" s="9" t="inlineStr">
        <is>
          <t>https://www.google.com/maps/place/?q=place_id:ChIJI0-0Nbgd-TkRD1fw5Bh4or4</t>
        </is>
      </c>
    </row>
    <row r="1974">
      <c r="A1974" s="9" t="n">
        <v>1970</v>
      </c>
      <c r="B1974" s="9" t="inlineStr">
        <is>
          <t>Navadwip</t>
        </is>
      </c>
      <c r="C1974" s="9" t="inlineStr">
        <is>
          <t>Navadwip</t>
        </is>
      </c>
      <c r="D1974" s="9" t="inlineStr">
        <is>
          <t>West Bengal</t>
        </is>
      </c>
      <c r="E1974" s="9" t="inlineStr">
        <is>
          <t>India</t>
        </is>
      </c>
      <c r="F1974" s="9" t="n">
        <v>1</v>
      </c>
      <c r="G1974" s="9" t="n">
        <v>1</v>
      </c>
      <c r="H1974" s="9" t="n">
        <v>1</v>
      </c>
      <c r="I1974" s="10" t="n">
        <v>45235</v>
      </c>
      <c r="J1974" s="10" t="n">
        <v>45235</v>
      </c>
      <c r="K1974" s="9" t="n">
        <v>23.42836</v>
      </c>
      <c r="L1974" s="9" t="n">
        <v>88.32850000000001</v>
      </c>
      <c r="M1974" s="9" t="inlineStr">
        <is>
          <t>https://www.google.com/maps/place/?q=place_id:ChIJZxrn9dMc-TkRhWOV-DID_V4</t>
        </is>
      </c>
    </row>
    <row r="1975">
      <c r="A1975" s="9" t="n">
        <v>1971</v>
      </c>
      <c r="B1975" s="9" t="inlineStr">
        <is>
          <t>Navadwip</t>
        </is>
      </c>
      <c r="C1975" s="9" t="inlineStr">
        <is>
          <t>Navadwip</t>
        </is>
      </c>
      <c r="D1975" s="9" t="inlineStr">
        <is>
          <t>West Bengal</t>
        </is>
      </c>
      <c r="E1975" s="9" t="inlineStr">
        <is>
          <t>India</t>
        </is>
      </c>
      <c r="F1975" s="9" t="n">
        <v>1</v>
      </c>
      <c r="G1975" s="9" t="n">
        <v>1</v>
      </c>
      <c r="H1975" s="9" t="n">
        <v>1</v>
      </c>
      <c r="I1975" s="10" t="n">
        <v>45235</v>
      </c>
      <c r="J1975" s="10" t="n">
        <v>45235</v>
      </c>
      <c r="K1975" s="9" t="n">
        <v>23.41573</v>
      </c>
      <c r="L1975" s="9" t="n">
        <v>88.39478</v>
      </c>
      <c r="M1975" s="9" t="inlineStr">
        <is>
          <t>https://www.google.com/maps/place/?q=place_id:ChIJC0OgfdEd-TkRepiggm-qWy4</t>
        </is>
      </c>
    </row>
    <row r="1976">
      <c r="A1976" s="9" t="n">
        <v>1972</v>
      </c>
      <c r="B1976" s="9" t="inlineStr">
        <is>
          <t>Navadwip</t>
        </is>
      </c>
      <c r="C1976" s="9" t="inlineStr">
        <is>
          <t>Navadwip</t>
        </is>
      </c>
      <c r="D1976" s="9" t="inlineStr">
        <is>
          <t>West Bengal</t>
        </is>
      </c>
      <c r="E1976" s="9" t="inlineStr">
        <is>
          <t>India</t>
        </is>
      </c>
      <c r="F1976" s="9" t="n">
        <v>1</v>
      </c>
      <c r="G1976" s="9" t="n">
        <v>1</v>
      </c>
      <c r="H1976" s="9" t="n">
        <v>1</v>
      </c>
      <c r="I1976" s="10" t="n">
        <v>45236</v>
      </c>
      <c r="J1976" s="10" t="n">
        <v>45236</v>
      </c>
      <c r="K1976" s="9" t="n">
        <v>23.41044</v>
      </c>
      <c r="L1976" s="9" t="n">
        <v>88.37009</v>
      </c>
      <c r="M1976" s="9" t="inlineStr">
        <is>
          <t>https://www.google.com/maps/place/?q=place_id:ChIJL6K8nK8d-TkRQ8zzJ1Z3IKg</t>
        </is>
      </c>
    </row>
    <row r="1977">
      <c r="A1977" s="9" t="n">
        <v>1973</v>
      </c>
      <c r="B1977" s="9" t="inlineStr">
        <is>
          <t>Navadwip</t>
        </is>
      </c>
      <c r="C1977" s="9" t="inlineStr">
        <is>
          <t>Navadwip</t>
        </is>
      </c>
      <c r="D1977" s="9" t="inlineStr">
        <is>
          <t>West Bengal</t>
        </is>
      </c>
      <c r="E1977" s="9" t="inlineStr">
        <is>
          <t>India</t>
        </is>
      </c>
      <c r="F1977" s="9" t="n">
        <v>1</v>
      </c>
      <c r="G1977" s="9" t="n">
        <v>1</v>
      </c>
      <c r="H1977" s="9" t="n">
        <v>1</v>
      </c>
      <c r="I1977" s="10" t="n">
        <v>45236</v>
      </c>
      <c r="J1977" s="10" t="n">
        <v>45236</v>
      </c>
      <c r="K1977" s="9" t="n">
        <v>23.40763</v>
      </c>
      <c r="L1977" s="9" t="n">
        <v>88.36538</v>
      </c>
      <c r="M1977" s="9" t="inlineStr">
        <is>
          <t>https://www.google.com/maps/place/?q=place_id:ChIJmY9pTKYd-TkRLjJ3ijaEu0Q</t>
        </is>
      </c>
    </row>
    <row r="1978">
      <c r="A1978" s="9" t="n">
        <v>1974</v>
      </c>
      <c r="B1978" s="9" t="inlineStr">
        <is>
          <t>Navadwip</t>
        </is>
      </c>
      <c r="C1978" s="9" t="inlineStr">
        <is>
          <t>Navadwip</t>
        </is>
      </c>
      <c r="D1978" s="9" t="inlineStr">
        <is>
          <t>West Bengal</t>
        </is>
      </c>
      <c r="E1978" s="9" t="inlineStr">
        <is>
          <t>India</t>
        </is>
      </c>
      <c r="F1978" s="9" t="n">
        <v>1</v>
      </c>
      <c r="G1978" s="9" t="n">
        <v>1</v>
      </c>
      <c r="H1978" s="9" t="n">
        <v>1</v>
      </c>
      <c r="I1978" s="10" t="n">
        <v>45236</v>
      </c>
      <c r="J1978" s="10" t="n">
        <v>45236</v>
      </c>
      <c r="K1978" s="9" t="n">
        <v>23.39766</v>
      </c>
      <c r="L1978" s="9" t="n">
        <v>88.36309</v>
      </c>
      <c r="M1978" s="9" t="inlineStr">
        <is>
          <t>https://www.google.com/maps/place/?q=place_id:ChIJN-aOAaAd-TkRF1wy1i9dQ0Y</t>
        </is>
      </c>
    </row>
    <row r="1979">
      <c r="A1979" s="9" t="n">
        <v>1975</v>
      </c>
      <c r="B1979" s="9" t="inlineStr">
        <is>
          <t>Navadwip</t>
        </is>
      </c>
      <c r="C1979" s="9" t="inlineStr">
        <is>
          <t>Navadwip</t>
        </is>
      </c>
      <c r="D1979" s="9" t="inlineStr">
        <is>
          <t>West Bengal</t>
        </is>
      </c>
      <c r="E1979" s="9" t="inlineStr">
        <is>
          <t>India</t>
        </is>
      </c>
      <c r="F1979" s="9" t="n">
        <v>1</v>
      </c>
      <c r="G1979" s="9" t="n">
        <v>1</v>
      </c>
      <c r="H1979" s="9" t="n">
        <v>1</v>
      </c>
      <c r="I1979" s="10" t="n">
        <v>45236</v>
      </c>
      <c r="J1979" s="10" t="n">
        <v>45236</v>
      </c>
      <c r="K1979" s="9" t="n">
        <v>23.41256</v>
      </c>
      <c r="L1979" s="9" t="n">
        <v>88.36906</v>
      </c>
      <c r="M1979" s="9" t="inlineStr">
        <is>
          <t>https://www.google.com/maps/place/?q=place_id:ChIJDULk1q4d-TkR6PCebsj2vV0</t>
        </is>
      </c>
    </row>
    <row r="1980">
      <c r="A1980" s="9" t="n">
        <v>1976</v>
      </c>
      <c r="B1980" s="9" t="inlineStr">
        <is>
          <t>Navadwip</t>
        </is>
      </c>
      <c r="C1980" s="9" t="inlineStr">
        <is>
          <t>Navadwip</t>
        </is>
      </c>
      <c r="D1980" s="9" t="inlineStr">
        <is>
          <t>West Bengal</t>
        </is>
      </c>
      <c r="E1980" s="9" t="inlineStr">
        <is>
          <t>India</t>
        </is>
      </c>
      <c r="F1980" s="9" t="n">
        <v>1</v>
      </c>
      <c r="G1980" s="9" t="n">
        <v>1</v>
      </c>
      <c r="H1980" s="9" t="n">
        <v>1</v>
      </c>
      <c r="I1980" s="10" t="n">
        <v>45237</v>
      </c>
      <c r="J1980" s="10" t="n">
        <v>45237</v>
      </c>
      <c r="K1980" s="9" t="n">
        <v>23.43258</v>
      </c>
      <c r="L1980" s="9" t="n">
        <v>88.39026</v>
      </c>
      <c r="M1980" s="9" t="inlineStr">
        <is>
          <t>https://www.google.com/maps/place/?q=place_id:ChIJb7nbbjAc-TkRdtDrHr26sfM</t>
        </is>
      </c>
    </row>
    <row r="1981">
      <c r="A1981" s="9" t="n">
        <v>1977</v>
      </c>
      <c r="B1981" s="9" t="inlineStr">
        <is>
          <t>Navadwip</t>
        </is>
      </c>
      <c r="C1981" s="9" t="inlineStr">
        <is>
          <t>Navadwip</t>
        </is>
      </c>
      <c r="D1981" s="9" t="inlineStr">
        <is>
          <t>West Bengal</t>
        </is>
      </c>
      <c r="E1981" s="9" t="inlineStr">
        <is>
          <t>India</t>
        </is>
      </c>
      <c r="F1981" s="9" t="n">
        <v>1</v>
      </c>
      <c r="G1981" s="9" t="n">
        <v>1</v>
      </c>
      <c r="H1981" s="9" t="n">
        <v>1</v>
      </c>
      <c r="I1981" s="10" t="n">
        <v>45729</v>
      </c>
      <c r="J1981" s="10" t="n">
        <v>45729</v>
      </c>
      <c r="K1981" s="9" t="n">
        <v>23.42378</v>
      </c>
      <c r="L1981" s="9" t="n">
        <v>88.39042000000001</v>
      </c>
      <c r="M1981" s="9" t="inlineStr">
        <is>
          <t>https://www.google.com/maps/place/?q=place_id:ChIJI1ef7jIc-TkRMWXBQ9op4ro</t>
        </is>
      </c>
    </row>
    <row r="1982">
      <c r="A1982" s="9" t="n">
        <v>1978</v>
      </c>
      <c r="B1982" s="9" t="inlineStr">
        <is>
          <t>Navadwip</t>
        </is>
      </c>
      <c r="C1982" s="9" t="inlineStr">
        <is>
          <t>Navadwip</t>
        </is>
      </c>
      <c r="D1982" s="9" t="inlineStr">
        <is>
          <t>West Bengal</t>
        </is>
      </c>
      <c r="E1982" s="9" t="inlineStr">
        <is>
          <t>India</t>
        </is>
      </c>
      <c r="F1982" s="9" t="n">
        <v>1</v>
      </c>
      <c r="G1982" s="9" t="n">
        <v>1</v>
      </c>
      <c r="H1982" s="9" t="n">
        <v>1</v>
      </c>
      <c r="I1982" s="10" t="n">
        <v>45731</v>
      </c>
      <c r="J1982" s="10" t="n">
        <v>45731</v>
      </c>
      <c r="K1982" s="9" t="n">
        <v>23.42722</v>
      </c>
      <c r="L1982" s="9" t="n">
        <v>88.40595999999999</v>
      </c>
      <c r="M1982" s="9" t="inlineStr">
        <is>
          <t>https://www.google.com/maps/place/?q=place_id:ChIJKe6YcD0f-TkRFQWgqwFIqkY</t>
        </is>
      </c>
    </row>
    <row r="1983">
      <c r="A1983" s="9" t="n">
        <v>1979</v>
      </c>
      <c r="B1983" s="9" t="inlineStr">
        <is>
          <t>Rampur Hat</t>
        </is>
      </c>
      <c r="C1983" s="9" t="inlineStr">
        <is>
          <t>Rampur Hat</t>
        </is>
      </c>
      <c r="D1983" s="9" t="inlineStr">
        <is>
          <t>West Bengal</t>
        </is>
      </c>
      <c r="E1983" s="9" t="inlineStr">
        <is>
          <t>India</t>
        </is>
      </c>
      <c r="F1983" s="9" t="n">
        <v>1</v>
      </c>
      <c r="G1983" s="9" t="n">
        <v>2</v>
      </c>
      <c r="H1983" s="9" t="n">
        <v>1</v>
      </c>
      <c r="I1983" s="10" t="n">
        <v>44907</v>
      </c>
      <c r="J1983" s="10" t="n">
        <v>44908</v>
      </c>
      <c r="K1983" s="9" t="n">
        <v>24.06284</v>
      </c>
      <c r="L1983" s="9" t="n">
        <v>87.84392</v>
      </c>
      <c r="M1983" s="9" t="inlineStr">
        <is>
          <t>https://www.google.com/maps/place/?q=place_id:ChIJQaiBcsb0-TkRPeERwKRy0yM</t>
        </is>
      </c>
    </row>
    <row r="1984">
      <c r="A1984" s="9" t="n">
        <v>1980</v>
      </c>
      <c r="B1984" s="9" t="inlineStr">
        <is>
          <t>Ranaghat</t>
        </is>
      </c>
      <c r="C1984" s="9" t="inlineStr">
        <is>
          <t>Ranaghat</t>
        </is>
      </c>
      <c r="D1984" s="9" t="inlineStr">
        <is>
          <t>West Bengal</t>
        </is>
      </c>
      <c r="E1984" s="9" t="inlineStr">
        <is>
          <t>India</t>
        </is>
      </c>
      <c r="F1984" s="9" t="n">
        <v>1</v>
      </c>
      <c r="G1984" s="9" t="n">
        <v>1</v>
      </c>
      <c r="H1984" s="9" t="n">
        <v>1</v>
      </c>
      <c r="I1984" s="10" t="n">
        <v>45230</v>
      </c>
      <c r="J1984" s="10" t="n">
        <v>45230</v>
      </c>
      <c r="K1984" s="9" t="n">
        <v>23.17024</v>
      </c>
      <c r="L1984" s="9" t="n">
        <v>88.55755000000001</v>
      </c>
      <c r="M1984" s="9" t="inlineStr">
        <is>
          <t>https://www.google.com/maps/place/?q=place_id:ChIJ0y2BRKbE-DkR9g8V3pz22HA</t>
        </is>
      </c>
    </row>
    <row r="1985">
      <c r="A1985" s="9" t="n">
        <v>1981</v>
      </c>
      <c r="B1985" s="9" t="inlineStr">
        <is>
          <t>Sainthia</t>
        </is>
      </c>
      <c r="C1985" s="9" t="inlineStr">
        <is>
          <t>Sainthia</t>
        </is>
      </c>
      <c r="D1985" s="9" t="inlineStr">
        <is>
          <t>West Bengal</t>
        </is>
      </c>
      <c r="E1985" s="9" t="inlineStr">
        <is>
          <t>India</t>
        </is>
      </c>
      <c r="F1985" s="9" t="n">
        <v>1</v>
      </c>
      <c r="G1985" s="9" t="n">
        <v>1</v>
      </c>
      <c r="H1985" s="9" t="n">
        <v>1</v>
      </c>
      <c r="I1985" s="10" t="n">
        <v>44908</v>
      </c>
      <c r="J1985" s="10" t="n">
        <v>44908</v>
      </c>
      <c r="K1985" s="9" t="n">
        <v>23.89767</v>
      </c>
      <c r="L1985" s="9" t="n">
        <v>87.68154</v>
      </c>
      <c r="M1985" s="9" t="inlineStr">
        <is>
          <t>https://www.google.com/maps/place/?q=place_id:ChIJRx69aAvl-TkRIl6Xj11OM58</t>
        </is>
      </c>
    </row>
    <row r="1986">
      <c r="A1986" s="9" t="n">
        <v>1982</v>
      </c>
      <c r="B1986" s="9" t="inlineStr">
        <is>
          <t>Shantipur</t>
        </is>
      </c>
      <c r="C1986" s="9" t="inlineStr">
        <is>
          <t>Shantipur</t>
        </is>
      </c>
      <c r="D1986" s="9" t="inlineStr">
        <is>
          <t>West Bengal</t>
        </is>
      </c>
      <c r="E1986" s="9" t="inlineStr">
        <is>
          <t>India</t>
        </is>
      </c>
      <c r="F1986" s="9" t="n">
        <v>1</v>
      </c>
      <c r="G1986" s="9" t="n">
        <v>1</v>
      </c>
      <c r="H1986" s="9" t="n">
        <v>1</v>
      </c>
      <c r="I1986" s="10" t="n">
        <v>43391</v>
      </c>
      <c r="J1986" s="10" t="n">
        <v>43391</v>
      </c>
      <c r="K1986" s="9" t="n">
        <v>23.26506</v>
      </c>
      <c r="L1986" s="9" t="n">
        <v>88.44580000000001</v>
      </c>
      <c r="M1986" s="9" t="inlineStr">
        <is>
          <t>https://www.google.com/maps/place/?q=place_id:ChIJwSXV0SXn-DkR7W-XAfhnkCI</t>
        </is>
      </c>
    </row>
    <row r="1987">
      <c r="A1987" s="9" t="n">
        <v>1983</v>
      </c>
      <c r="B1987" s="9" t="inlineStr">
        <is>
          <t>Brussels</t>
        </is>
      </c>
      <c r="C1987" s="9" t="inlineStr">
        <is>
          <t>Brussels</t>
        </is>
      </c>
      <c r="D1987" s="9" t="inlineStr">
        <is>
          <t>Brussels Capital</t>
        </is>
      </c>
      <c r="E1987" s="9" t="inlineStr">
        <is>
          <t>Belgium</t>
        </is>
      </c>
      <c r="F1987" s="9" t="n">
        <v>2</v>
      </c>
      <c r="G1987" s="9" t="n">
        <v>1</v>
      </c>
      <c r="H1987" s="9" t="n">
        <v>1</v>
      </c>
      <c r="I1987" s="10" t="n">
        <v>45491</v>
      </c>
      <c r="J1987" s="10" t="n">
        <v>45491</v>
      </c>
      <c r="K1987" s="9" t="n">
        <v>50.84679</v>
      </c>
      <c r="L1987" s="9" t="n">
        <v>4.35244</v>
      </c>
      <c r="M1987" s="9" t="inlineStr">
        <is>
          <t>https://www.google.com/maps/place/?q=place_id:ChIJ8fEURn_Ew0cRts_ij101PLA</t>
        </is>
      </c>
    </row>
    <row r="1988">
      <c r="A1988" s="9" t="n">
        <v>1984</v>
      </c>
      <c r="B1988" s="9" t="inlineStr">
        <is>
          <t>Brussels</t>
        </is>
      </c>
      <c r="C1988" s="9" t="inlineStr">
        <is>
          <t>Brussels</t>
        </is>
      </c>
      <c r="D1988" s="9" t="inlineStr">
        <is>
          <t>Brussels Capital</t>
        </is>
      </c>
      <c r="E1988" s="9" t="inlineStr">
        <is>
          <t>Belgium</t>
        </is>
      </c>
      <c r="F1988" s="9" t="n">
        <v>1</v>
      </c>
      <c r="G1988" s="9" t="n">
        <v>1</v>
      </c>
      <c r="H1988" s="9" t="n">
        <v>1</v>
      </c>
      <c r="I1988" s="10" t="n">
        <v>45491</v>
      </c>
      <c r="J1988" s="10" t="n">
        <v>45491</v>
      </c>
      <c r="K1988" s="9" t="n">
        <v>50.84499</v>
      </c>
      <c r="L1988" s="9" t="n">
        <v>4.34999</v>
      </c>
      <c r="M1988" s="9" t="inlineStr">
        <is>
          <t>https://www.google.com/maps/place/?q=place_id:ChIJ0T1eGXnEw0cRH8GwIKZAuBc</t>
        </is>
      </c>
    </row>
    <row r="1989">
      <c r="A1989" s="9" t="n">
        <v>1985</v>
      </c>
      <c r="B1989" s="9" t="inlineStr">
        <is>
          <t>Brussels</t>
        </is>
      </c>
      <c r="C1989" s="9" t="inlineStr">
        <is>
          <t>Brussels</t>
        </is>
      </c>
      <c r="D1989" s="9" t="inlineStr">
        <is>
          <t>Brussels Capital</t>
        </is>
      </c>
      <c r="E1989" s="9" t="inlineStr">
        <is>
          <t>Belgium</t>
        </is>
      </c>
      <c r="F1989" s="9" t="n">
        <v>1</v>
      </c>
      <c r="G1989" s="9" t="n">
        <v>1</v>
      </c>
      <c r="H1989" s="9" t="n">
        <v>1</v>
      </c>
      <c r="I1989" s="10" t="n">
        <v>45491</v>
      </c>
      <c r="J1989" s="10" t="n">
        <v>45491</v>
      </c>
      <c r="K1989" s="9" t="n">
        <v>50.84791</v>
      </c>
      <c r="L1989" s="9" t="n">
        <v>4.36015</v>
      </c>
      <c r="M1989" s="9" t="inlineStr">
        <is>
          <t>https://www.google.com/maps/place/?q=place_id:ChIJvTZ4_3_Dw0cRzSOE0556hYQ</t>
        </is>
      </c>
    </row>
    <row r="1990">
      <c r="A1990" s="9" t="n">
        <v>1986</v>
      </c>
      <c r="B1990" s="9" t="inlineStr">
        <is>
          <t>Jette</t>
        </is>
      </c>
      <c r="C1990" s="9" t="inlineStr">
        <is>
          <t>Brussels</t>
        </is>
      </c>
      <c r="D1990" s="9" t="inlineStr">
        <is>
          <t>Brussels Capital</t>
        </is>
      </c>
      <c r="E1990" s="9" t="inlineStr">
        <is>
          <t>Belgium</t>
        </is>
      </c>
      <c r="F1990" s="9" t="n">
        <v>1</v>
      </c>
      <c r="G1990" s="9" t="n">
        <v>1</v>
      </c>
      <c r="H1990" s="9" t="n">
        <v>1</v>
      </c>
      <c r="I1990" s="10" t="n">
        <v>45492</v>
      </c>
      <c r="J1990" s="10" t="n">
        <v>45492</v>
      </c>
      <c r="K1990" s="9" t="n">
        <v>50.90178</v>
      </c>
      <c r="L1990" s="9" t="n">
        <v>4.35493</v>
      </c>
      <c r="M1990" s="9" t="inlineStr">
        <is>
          <t>https://www.google.com/maps/place/?q=place_id:ChIJdQFozFrCw0cREgJv0vyHzJc</t>
        </is>
      </c>
    </row>
    <row r="1991">
      <c r="A1991" s="9" t="n">
        <v>1987</v>
      </c>
      <c r="B1991" s="9" t="inlineStr">
        <is>
          <t>Leuven</t>
        </is>
      </c>
      <c r="C1991" s="9" t="inlineStr">
        <is>
          <t>Brussels</t>
        </is>
      </c>
      <c r="D1991" s="9" t="inlineStr">
        <is>
          <t>Brussels Capital</t>
        </is>
      </c>
      <c r="E1991" s="9" t="inlineStr">
        <is>
          <t>Belgium</t>
        </is>
      </c>
      <c r="F1991" s="9" t="n">
        <v>1</v>
      </c>
      <c r="G1991" s="9" t="n">
        <v>1</v>
      </c>
      <c r="H1991" s="9" t="n">
        <v>1</v>
      </c>
      <c r="I1991" s="10" t="n">
        <v>45492</v>
      </c>
      <c r="J1991" s="10" t="n">
        <v>45492</v>
      </c>
      <c r="K1991" s="9" t="n">
        <v>50.88578</v>
      </c>
      <c r="L1991" s="9" t="n">
        <v>4.71063</v>
      </c>
      <c r="M1991" s="9" t="inlineStr">
        <is>
          <t>https://www.google.com/maps/place/?q=place_id:ChIJWXJIAM5gwUcRJkI58xn1810</t>
        </is>
      </c>
    </row>
    <row r="1992">
      <c r="A1992" s="9" t="n">
        <v>1988</v>
      </c>
      <c r="B1992" s="9" t="inlineStr">
        <is>
          <t>Jette</t>
        </is>
      </c>
      <c r="C1992" s="9" t="inlineStr">
        <is>
          <t>Brussels</t>
        </is>
      </c>
      <c r="D1992" s="9" t="inlineStr">
        <is>
          <t>Brussels Capital</t>
        </is>
      </c>
      <c r="E1992" s="9" t="inlineStr">
        <is>
          <t>Belgium</t>
        </is>
      </c>
      <c r="F1992" s="9" t="n">
        <v>1</v>
      </c>
      <c r="G1992" s="9" t="n">
        <v>1</v>
      </c>
      <c r="H1992" s="9" t="n">
        <v>1</v>
      </c>
      <c r="I1992" s="10" t="n">
        <v>45492</v>
      </c>
      <c r="J1992" s="10" t="n">
        <v>45492</v>
      </c>
      <c r="K1992" s="9" t="n">
        <v>50.89488</v>
      </c>
      <c r="L1992" s="9" t="n">
        <v>4.34155</v>
      </c>
      <c r="M1992" s="9" t="inlineStr">
        <is>
          <t>https://www.google.com/maps/place/?q=place_id:ChIJAQAAAKzDw0cRCTemaB0Hk1I</t>
        </is>
      </c>
    </row>
    <row r="1993">
      <c r="A1993" s="9" t="n">
        <v>1989</v>
      </c>
      <c r="B1993" s="9" t="inlineStr">
        <is>
          <t>Hoogstraten</t>
        </is>
      </c>
      <c r="C1993" s="9" t="inlineStr">
        <is>
          <t>Hoogstraten</t>
        </is>
      </c>
      <c r="D1993" s="9" t="inlineStr">
        <is>
          <t>Flanders</t>
        </is>
      </c>
      <c r="E1993" s="9" t="inlineStr">
        <is>
          <t>Belgium</t>
        </is>
      </c>
      <c r="F1993" s="9" t="n">
        <v>1</v>
      </c>
      <c r="G1993" s="9" t="n">
        <v>1</v>
      </c>
      <c r="H1993" s="9" t="n">
        <v>1</v>
      </c>
      <c r="I1993" s="10" t="n">
        <v>45492</v>
      </c>
      <c r="J1993" s="10" t="n">
        <v>45492</v>
      </c>
      <c r="K1993" s="9" t="n">
        <v>51.482</v>
      </c>
      <c r="L1993" s="9" t="n">
        <v>4.72815</v>
      </c>
      <c r="M1993" s="9" t="inlineStr">
        <is>
          <t>https://www.google.com/maps/place/?q=place_id:ChIJrzT2CWinxkcR1Uidl2H-PiQ</t>
        </is>
      </c>
    </row>
    <row r="1994">
      <c r="A1994" s="9" t="n">
        <v>1990</v>
      </c>
      <c r="B1994" s="9" t="inlineStr">
        <is>
          <t>Marche-en-Famenne</t>
        </is>
      </c>
      <c r="C1994" s="9" t="inlineStr">
        <is>
          <t>Marche-en-Famenne</t>
        </is>
      </c>
      <c r="D1994" s="9" t="inlineStr">
        <is>
          <t>Wallonia</t>
        </is>
      </c>
      <c r="E1994" s="9" t="inlineStr">
        <is>
          <t>Belgium</t>
        </is>
      </c>
      <c r="F1994" s="9" t="n">
        <v>1</v>
      </c>
      <c r="G1994" s="9" t="n">
        <v>1</v>
      </c>
      <c r="H1994" s="9" t="n">
        <v>1</v>
      </c>
      <c r="I1994" s="10" t="n">
        <v>45491</v>
      </c>
      <c r="J1994" s="10" t="n">
        <v>45491</v>
      </c>
      <c r="K1994" s="9" t="n">
        <v>50.34765</v>
      </c>
      <c r="L1994" s="9" t="n">
        <v>5.4061</v>
      </c>
      <c r="M1994" s="9" t="inlineStr">
        <is>
          <t>https://www.google.com/maps/place/?q=place_id:ChIJwTCWXctNwEcRTNcU0bSS2zY</t>
        </is>
      </c>
    </row>
    <row r="1995">
      <c r="A1995" s="9" t="n">
        <v>1991</v>
      </c>
      <c r="B1995" s="9" t="inlineStr">
        <is>
          <t>Siem Reap</t>
        </is>
      </c>
      <c r="C1995" s="9" t="inlineStr">
        <is>
          <t>Siem Reap</t>
        </is>
      </c>
      <c r="D1995" s="9" t="inlineStr">
        <is>
          <t>Siem Reap</t>
        </is>
      </c>
      <c r="E1995" s="9" t="inlineStr">
        <is>
          <t>Cambodia</t>
        </is>
      </c>
      <c r="F1995" s="9" t="n">
        <v>8</v>
      </c>
      <c r="G1995" s="9" t="n">
        <v>7</v>
      </c>
      <c r="H1995" s="9" t="n">
        <v>2</v>
      </c>
      <c r="I1995" s="10" t="n">
        <v>44965</v>
      </c>
      <c r="J1995" s="10" t="n">
        <v>45107</v>
      </c>
      <c r="K1995" s="9" t="n">
        <v>13.37321</v>
      </c>
      <c r="L1995" s="9" t="n">
        <v>103.86221</v>
      </c>
      <c r="M1995" s="9" t="inlineStr">
        <is>
          <t>https://www.google.com/maps/place/?q=place_id:ChIJ0bePQzMXEDER5GxpmizKteg</t>
        </is>
      </c>
    </row>
    <row r="1996">
      <c r="A1996" s="9" t="n">
        <v>1992</v>
      </c>
      <c r="B1996" s="9" t="inlineStr">
        <is>
          <t>Siem Reap</t>
        </is>
      </c>
      <c r="C1996" s="9" t="inlineStr">
        <is>
          <t>Siem Reap</t>
        </is>
      </c>
      <c r="D1996" s="9" t="inlineStr">
        <is>
          <t>Siem Reap</t>
        </is>
      </c>
      <c r="E1996" s="9" t="inlineStr">
        <is>
          <t>Cambodia</t>
        </is>
      </c>
      <c r="F1996" s="9" t="n">
        <v>4</v>
      </c>
      <c r="G1996" s="9" t="n">
        <v>4</v>
      </c>
      <c r="H1996" s="9" t="n">
        <v>3</v>
      </c>
      <c r="I1996" s="10" t="n">
        <v>44965</v>
      </c>
      <c r="J1996" s="10" t="n">
        <v>45107</v>
      </c>
      <c r="K1996" s="9" t="n">
        <v>13.40761</v>
      </c>
      <c r="L1996" s="9" t="n">
        <v>103.81461</v>
      </c>
      <c r="M1996" s="9" t="inlineStr">
        <is>
          <t>https://www.google.com/maps/place/?q=place_id:ChIJj8_VBjcREDERGWRzOvF7MHU</t>
        </is>
      </c>
    </row>
    <row r="1997">
      <c r="A1997" s="9" t="n">
        <v>1993</v>
      </c>
      <c r="B1997" s="9" t="inlineStr">
        <is>
          <t>Siem Reap</t>
        </is>
      </c>
      <c r="C1997" s="9" t="inlineStr">
        <is>
          <t>Siem Reap</t>
        </is>
      </c>
      <c r="D1997" s="9" t="inlineStr">
        <is>
          <t>Siem Reap</t>
        </is>
      </c>
      <c r="E1997" s="9" t="inlineStr">
        <is>
          <t>Cambodia</t>
        </is>
      </c>
      <c r="F1997" s="9" t="n">
        <v>2</v>
      </c>
      <c r="G1997" s="9" t="n">
        <v>2</v>
      </c>
      <c r="H1997" s="9" t="n">
        <v>1</v>
      </c>
      <c r="I1997" s="10" t="n">
        <v>44965</v>
      </c>
      <c r="J1997" s="10" t="n">
        <v>44966</v>
      </c>
      <c r="K1997" s="9" t="n">
        <v>13.35526</v>
      </c>
      <c r="L1997" s="9" t="n">
        <v>103.85446</v>
      </c>
      <c r="M1997" s="9" t="inlineStr">
        <is>
          <t>https://www.google.com/maps/place/?q=place_id:ChIJMfvlpG8XEDERxXEnT5bJqzw</t>
        </is>
      </c>
    </row>
    <row r="1998">
      <c r="A1998" s="9" t="n">
        <v>1994</v>
      </c>
      <c r="B1998" s="9" t="inlineStr">
        <is>
          <t>Siem Reap</t>
        </is>
      </c>
      <c r="C1998" s="9" t="inlineStr">
        <is>
          <t>Siem Reap</t>
        </is>
      </c>
      <c r="D1998" s="9" t="inlineStr">
        <is>
          <t>Siem Reap</t>
        </is>
      </c>
      <c r="E1998" s="9" t="inlineStr">
        <is>
          <t>Cambodia</t>
        </is>
      </c>
      <c r="F1998" s="9" t="n">
        <v>1</v>
      </c>
      <c r="G1998" s="9" t="n">
        <v>1</v>
      </c>
      <c r="H1998" s="9" t="n">
        <v>1</v>
      </c>
      <c r="I1998" s="10" t="n">
        <v>44965</v>
      </c>
      <c r="J1998" s="10" t="n">
        <v>44965</v>
      </c>
      <c r="K1998" s="9" t="n">
        <v>13.37675</v>
      </c>
      <c r="L1998" s="9" t="n">
        <v>103.88017</v>
      </c>
      <c r="M1998" s="9" t="inlineStr">
        <is>
          <t>https://www.google.com/maps/place/?q=place_id:ChIJjT3NBbAXEDERN4jlWjz6kcM</t>
        </is>
      </c>
    </row>
    <row r="1999">
      <c r="A1999" s="9" t="n">
        <v>1995</v>
      </c>
      <c r="B1999" s="9" t="inlineStr">
        <is>
          <t>Siem Reap</t>
        </is>
      </c>
      <c r="C1999" s="9" t="inlineStr">
        <is>
          <t>Siem Reap</t>
        </is>
      </c>
      <c r="D1999" s="9" t="inlineStr">
        <is>
          <t>Siem Reap</t>
        </is>
      </c>
      <c r="E1999" s="9" t="inlineStr">
        <is>
          <t>Cambodia</t>
        </is>
      </c>
      <c r="F1999" s="9" t="n">
        <v>1</v>
      </c>
      <c r="G1999" s="9" t="n">
        <v>1</v>
      </c>
      <c r="H1999" s="9" t="n">
        <v>1</v>
      </c>
      <c r="I1999" s="10" t="n">
        <v>44965</v>
      </c>
      <c r="J1999" s="10" t="n">
        <v>44965</v>
      </c>
      <c r="K1999" s="9" t="n">
        <v>13.41197</v>
      </c>
      <c r="L1999" s="9" t="n">
        <v>103.85553</v>
      </c>
      <c r="M1999" s="9" t="inlineStr">
        <is>
          <t>https://www.google.com/maps/place/?q=place_id:ChIJE-PAwDMXEDERC7doMsQYY3w</t>
        </is>
      </c>
    </row>
    <row r="2000">
      <c r="A2000" s="9" t="n">
        <v>1996</v>
      </c>
      <c r="B2000" s="9" t="inlineStr">
        <is>
          <t>Siem Reap</t>
        </is>
      </c>
      <c r="C2000" s="9" t="inlineStr">
        <is>
          <t>Siem Reap</t>
        </is>
      </c>
      <c r="D2000" s="9" t="inlineStr">
        <is>
          <t>Siem Reap</t>
        </is>
      </c>
      <c r="E2000" s="9" t="inlineStr">
        <is>
          <t>Cambodia</t>
        </is>
      </c>
      <c r="F2000" s="9" t="n">
        <v>1</v>
      </c>
      <c r="G2000" s="9" t="n">
        <v>1</v>
      </c>
      <c r="H2000" s="9" t="n">
        <v>1</v>
      </c>
      <c r="I2000" s="10" t="n">
        <v>44965</v>
      </c>
      <c r="J2000" s="10" t="n">
        <v>44965</v>
      </c>
      <c r="K2000" s="9" t="n">
        <v>13.35435</v>
      </c>
      <c r="L2000" s="9" t="n">
        <v>103.85205</v>
      </c>
      <c r="M2000" s="9" t="inlineStr">
        <is>
          <t>https://www.google.com/maps/place/?q=place_id:ChIJ8xhFPtQXEDERzvV0Sx9Donw</t>
        </is>
      </c>
    </row>
    <row r="2001">
      <c r="A2001" s="9" t="n">
        <v>1997</v>
      </c>
      <c r="B2001" s="9" t="inlineStr">
        <is>
          <t>Siem Reap</t>
        </is>
      </c>
      <c r="C2001" s="9" t="inlineStr">
        <is>
          <t>Siem Reap</t>
        </is>
      </c>
      <c r="D2001" s="9" t="inlineStr">
        <is>
          <t>Siem Reap</t>
        </is>
      </c>
      <c r="E2001" s="9" t="inlineStr">
        <is>
          <t>Cambodia</t>
        </is>
      </c>
      <c r="F2001" s="9" t="n">
        <v>1</v>
      </c>
      <c r="G2001" s="9" t="n">
        <v>1</v>
      </c>
      <c r="H2001" s="9" t="n">
        <v>1</v>
      </c>
      <c r="I2001" s="10" t="n">
        <v>44967</v>
      </c>
      <c r="J2001" s="10" t="n">
        <v>44967</v>
      </c>
      <c r="K2001" s="9" t="n">
        <v>13.38113</v>
      </c>
      <c r="L2001" s="9" t="n">
        <v>103.86154</v>
      </c>
      <c r="M2001" s="9" t="inlineStr">
        <is>
          <t>https://www.google.com/maps/place/?q=place_id:ChIJ6UIkJQQXEDERnRadnwD8Kpg</t>
        </is>
      </c>
    </row>
    <row r="2002">
      <c r="A2002" s="9" t="n">
        <v>1998</v>
      </c>
      <c r="B2002" s="9" t="inlineStr">
        <is>
          <t>Siem Reap</t>
        </is>
      </c>
      <c r="C2002" s="9" t="inlineStr">
        <is>
          <t>Siem Reap</t>
        </is>
      </c>
      <c r="D2002" s="9" t="inlineStr">
        <is>
          <t>Siem Reap</t>
        </is>
      </c>
      <c r="E2002" s="9" t="inlineStr">
        <is>
          <t>Cambodia</t>
        </is>
      </c>
      <c r="F2002" s="9" t="n">
        <v>1</v>
      </c>
      <c r="G2002" s="9" t="n">
        <v>1</v>
      </c>
      <c r="H2002" s="9" t="n">
        <v>1</v>
      </c>
      <c r="I2002" s="10" t="n">
        <v>45104</v>
      </c>
      <c r="J2002" s="10" t="n">
        <v>45104</v>
      </c>
      <c r="K2002" s="9" t="n">
        <v>13.35787</v>
      </c>
      <c r="L2002" s="9" t="n">
        <v>103.85769</v>
      </c>
      <c r="M2002" s="9" t="inlineStr">
        <is>
          <t>https://www.google.com/maps/place/?q=place_id:ChIJiWPNrG8XEDERcT6glvZu99k</t>
        </is>
      </c>
    </row>
    <row r="2003">
      <c r="A2003" s="9" t="n">
        <v>1999</v>
      </c>
      <c r="B2003" s="9" t="inlineStr">
        <is>
          <t>Siem Reap</t>
        </is>
      </c>
      <c r="C2003" s="9" t="inlineStr">
        <is>
          <t>Siem Reap</t>
        </is>
      </c>
      <c r="D2003" s="9" t="inlineStr">
        <is>
          <t>Siem Reap</t>
        </is>
      </c>
      <c r="E2003" s="9" t="inlineStr">
        <is>
          <t>Cambodia</t>
        </is>
      </c>
      <c r="F2003" s="9" t="n">
        <v>1</v>
      </c>
      <c r="G2003" s="9" t="n">
        <v>1</v>
      </c>
      <c r="H2003" s="9" t="n">
        <v>1</v>
      </c>
      <c r="I2003" s="10" t="n">
        <v>45104</v>
      </c>
      <c r="J2003" s="10" t="n">
        <v>45104</v>
      </c>
      <c r="K2003" s="9" t="n">
        <v>13.35433</v>
      </c>
      <c r="L2003" s="9" t="n">
        <v>103.85666</v>
      </c>
      <c r="M2003" s="9" t="inlineStr">
        <is>
          <t>https://www.google.com/maps/place/?q=place_id:ChIJkcqSsnoXEDERqiwfrXtpvp4</t>
        </is>
      </c>
    </row>
    <row r="2004">
      <c r="A2004" s="9" t="n">
        <v>2000</v>
      </c>
      <c r="B2004" s="9" t="inlineStr">
        <is>
          <t>Siem Reap</t>
        </is>
      </c>
      <c r="C2004" s="9" t="inlineStr">
        <is>
          <t>Siem Reap</t>
        </is>
      </c>
      <c r="D2004" s="9" t="inlineStr">
        <is>
          <t>Siem Reap</t>
        </is>
      </c>
      <c r="E2004" s="9" t="inlineStr">
        <is>
          <t>Cambodia</t>
        </is>
      </c>
      <c r="F2004" s="9" t="n">
        <v>1</v>
      </c>
      <c r="G2004" s="9" t="n">
        <v>1</v>
      </c>
      <c r="H2004" s="9" t="n">
        <v>1</v>
      </c>
      <c r="I2004" s="10" t="n">
        <v>45104</v>
      </c>
      <c r="J2004" s="10" t="n">
        <v>45104</v>
      </c>
      <c r="K2004" s="9" t="n">
        <v>13.34835</v>
      </c>
      <c r="L2004" s="9" t="n">
        <v>103.85077</v>
      </c>
      <c r="M2004" s="9" t="inlineStr">
        <is>
          <t>https://www.google.com/maps/place/?q=place_id:ChIJ7UBNM2MXEDERVWYj0uJAjbc</t>
        </is>
      </c>
    </row>
    <row r="2005">
      <c r="A2005" s="9" t="n">
        <v>2001</v>
      </c>
      <c r="B2005" s="9" t="inlineStr">
        <is>
          <t>Siem Reap</t>
        </is>
      </c>
      <c r="C2005" s="9" t="inlineStr">
        <is>
          <t>Siem Reap</t>
        </is>
      </c>
      <c r="D2005" s="9" t="inlineStr">
        <is>
          <t>Siem Reap</t>
        </is>
      </c>
      <c r="E2005" s="9" t="inlineStr">
        <is>
          <t>Cambodia</t>
        </is>
      </c>
      <c r="F2005" s="9" t="n">
        <v>1</v>
      </c>
      <c r="G2005" s="9" t="n">
        <v>1</v>
      </c>
      <c r="H2005" s="9" t="n">
        <v>1</v>
      </c>
      <c r="I2005" s="10" t="n">
        <v>45105</v>
      </c>
      <c r="J2005" s="10" t="n">
        <v>45105</v>
      </c>
      <c r="K2005" s="9" t="n">
        <v>13.35427</v>
      </c>
      <c r="L2005" s="9" t="n">
        <v>103.85351</v>
      </c>
      <c r="M2005" s="9" t="inlineStr">
        <is>
          <t>https://www.google.com/maps/place/?q=place_id:ChIJAfWN914XEDERZtFr3f6M2LE</t>
        </is>
      </c>
    </row>
    <row r="2006">
      <c r="A2006" s="9" t="n">
        <v>2002</v>
      </c>
      <c r="B2006" s="9" t="inlineStr">
        <is>
          <t>Siem Reap</t>
        </is>
      </c>
      <c r="C2006" s="9" t="inlineStr">
        <is>
          <t>Siem Reap</t>
        </is>
      </c>
      <c r="D2006" s="9" t="inlineStr">
        <is>
          <t>Siem Reap</t>
        </is>
      </c>
      <c r="E2006" s="9" t="inlineStr">
        <is>
          <t>Cambodia</t>
        </is>
      </c>
      <c r="F2006" s="9" t="n">
        <v>1</v>
      </c>
      <c r="G2006" s="9" t="n">
        <v>1</v>
      </c>
      <c r="H2006" s="9" t="n">
        <v>1</v>
      </c>
      <c r="I2006" s="10" t="n">
        <v>45105</v>
      </c>
      <c r="J2006" s="10" t="n">
        <v>45105</v>
      </c>
      <c r="K2006" s="9" t="n">
        <v>13.35485</v>
      </c>
      <c r="L2006" s="9" t="n">
        <v>103.85538</v>
      </c>
      <c r="M2006" s="9" t="inlineStr">
        <is>
          <t>https://www.google.com/maps/place/?q=place_id:ChIJKVy6aJ8XEDERdAwXpK6yXQw</t>
        </is>
      </c>
    </row>
    <row r="2007">
      <c r="A2007" s="9" t="n">
        <v>2003</v>
      </c>
      <c r="B2007" s="9" t="inlineStr">
        <is>
          <t>Siem Reap</t>
        </is>
      </c>
      <c r="C2007" s="9" t="inlineStr">
        <is>
          <t>Siem Reap</t>
        </is>
      </c>
      <c r="D2007" s="9" t="inlineStr">
        <is>
          <t>Siem Reap</t>
        </is>
      </c>
      <c r="E2007" s="9" t="inlineStr">
        <is>
          <t>Cambodia</t>
        </is>
      </c>
      <c r="F2007" s="9" t="n">
        <v>1</v>
      </c>
      <c r="G2007" s="9" t="n">
        <v>1</v>
      </c>
      <c r="H2007" s="9" t="n">
        <v>1</v>
      </c>
      <c r="I2007" s="10" t="n">
        <v>45105</v>
      </c>
      <c r="J2007" s="10" t="n">
        <v>45105</v>
      </c>
      <c r="K2007" s="9" t="n">
        <v>13.35496</v>
      </c>
      <c r="L2007" s="9" t="n">
        <v>103.85202</v>
      </c>
      <c r="M2007" s="9" t="inlineStr">
        <is>
          <t>https://www.google.com/maps/place/?q=place_id:ChIJa37Kt4sZEDERlASfkUzkRlY</t>
        </is>
      </c>
    </row>
    <row r="2008">
      <c r="A2008" s="9" t="n">
        <v>2004</v>
      </c>
      <c r="B2008" s="9" t="inlineStr">
        <is>
          <t>Siem Reap</t>
        </is>
      </c>
      <c r="C2008" s="9" t="inlineStr">
        <is>
          <t>Siem Reap</t>
        </is>
      </c>
      <c r="D2008" s="9" t="inlineStr">
        <is>
          <t>Siem Reap</t>
        </is>
      </c>
      <c r="E2008" s="9" t="inlineStr">
        <is>
          <t>Cambodia</t>
        </is>
      </c>
      <c r="F2008" s="9" t="n">
        <v>1</v>
      </c>
      <c r="G2008" s="9" t="n">
        <v>1</v>
      </c>
      <c r="H2008" s="9" t="n">
        <v>1</v>
      </c>
      <c r="I2008" s="10" t="n">
        <v>45106</v>
      </c>
      <c r="J2008" s="10" t="n">
        <v>45106</v>
      </c>
      <c r="K2008" s="9" t="n">
        <v>13.35406</v>
      </c>
      <c r="L2008" s="9" t="n">
        <v>103.85267</v>
      </c>
      <c r="M2008" s="9" t="inlineStr">
        <is>
          <t>https://www.google.com/maps/place/?q=place_id:ChIJM0gLl2UXEDERTs_nITfgzjU</t>
        </is>
      </c>
    </row>
    <row r="2009">
      <c r="A2009" s="9" t="n">
        <v>2005</v>
      </c>
      <c r="B2009" s="9" t="inlineStr">
        <is>
          <t>Siem Reap</t>
        </is>
      </c>
      <c r="C2009" s="9" t="inlineStr">
        <is>
          <t>Siem Reap</t>
        </is>
      </c>
      <c r="D2009" s="9" t="inlineStr">
        <is>
          <t>Siem Reap</t>
        </is>
      </c>
      <c r="E2009" s="9" t="inlineStr">
        <is>
          <t>Cambodia</t>
        </is>
      </c>
      <c r="F2009" s="9" t="n">
        <v>1</v>
      </c>
      <c r="G2009" s="9" t="n">
        <v>1</v>
      </c>
      <c r="H2009" s="9" t="n">
        <v>1</v>
      </c>
      <c r="I2009" s="10" t="n">
        <v>45106</v>
      </c>
      <c r="J2009" s="10" t="n">
        <v>45106</v>
      </c>
      <c r="K2009" s="9" t="n">
        <v>13.64364</v>
      </c>
      <c r="L2009" s="9" t="n">
        <v>104.1466</v>
      </c>
      <c r="M2009" s="9" t="inlineStr">
        <is>
          <t>https://www.google.com/maps/place/?q=place_id:ChIJxywwe41PEDERJAaS50uBYng</t>
        </is>
      </c>
    </row>
    <row r="2010">
      <c r="A2010" s="9" t="n">
        <v>2006</v>
      </c>
      <c r="B2010" s="9" t="inlineStr">
        <is>
          <t>Siem Reap</t>
        </is>
      </c>
      <c r="C2010" s="9" t="inlineStr">
        <is>
          <t>Siem Reap</t>
        </is>
      </c>
      <c r="D2010" s="9" t="inlineStr">
        <is>
          <t>Siem Reap</t>
        </is>
      </c>
      <c r="E2010" s="9" t="inlineStr">
        <is>
          <t>Cambodia</t>
        </is>
      </c>
      <c r="F2010" s="9" t="n">
        <v>1</v>
      </c>
      <c r="G2010" s="9" t="n">
        <v>1</v>
      </c>
      <c r="H2010" s="9" t="n">
        <v>1</v>
      </c>
      <c r="I2010" s="10" t="n">
        <v>45106</v>
      </c>
      <c r="J2010" s="10" t="n">
        <v>45106</v>
      </c>
      <c r="K2010" s="9" t="n">
        <v>13.34326</v>
      </c>
      <c r="L2010" s="9" t="n">
        <v>104.00004</v>
      </c>
      <c r="M2010" s="9" t="inlineStr">
        <is>
          <t>https://www.google.com/maps/place/?q=place_id:ChIJ1RLxwa48EDERznz1y3BND3E</t>
        </is>
      </c>
    </row>
    <row r="2011">
      <c r="A2011" s="9" t="n">
        <v>2007</v>
      </c>
      <c r="B2011" s="9" t="inlineStr">
        <is>
          <t>Siem Reap</t>
        </is>
      </c>
      <c r="C2011" s="9" t="inlineStr">
        <is>
          <t>Siem Reap</t>
        </is>
      </c>
      <c r="D2011" s="9" t="inlineStr">
        <is>
          <t>Siem Reap</t>
        </is>
      </c>
      <c r="E2011" s="9" t="inlineStr">
        <is>
          <t>Cambodia</t>
        </is>
      </c>
      <c r="F2011" s="9" t="n">
        <v>1</v>
      </c>
      <c r="G2011" s="9" t="n">
        <v>1</v>
      </c>
      <c r="H2011" s="9" t="n">
        <v>1</v>
      </c>
      <c r="I2011" s="10" t="n">
        <v>45106</v>
      </c>
      <c r="J2011" s="10" t="n">
        <v>45106</v>
      </c>
      <c r="K2011" s="9" t="n">
        <v>13.35499</v>
      </c>
      <c r="L2011" s="9" t="n">
        <v>103.85217</v>
      </c>
      <c r="M2011" s="9" t="inlineStr">
        <is>
          <t>https://www.google.com/maps/place/?q=place_id:ChIJGR5Ji2UXEDERFKR6hpnKC1s</t>
        </is>
      </c>
    </row>
    <row r="2012">
      <c r="A2012" s="9" t="n">
        <v>2008</v>
      </c>
      <c r="B2012" s="9" t="inlineStr">
        <is>
          <t>Siem Reap</t>
        </is>
      </c>
      <c r="C2012" s="9" t="inlineStr">
        <is>
          <t>Siem Reap</t>
        </is>
      </c>
      <c r="D2012" s="9" t="inlineStr">
        <is>
          <t>Siem Reap</t>
        </is>
      </c>
      <c r="E2012" s="9" t="inlineStr">
        <is>
          <t>Cambodia</t>
        </is>
      </c>
      <c r="F2012" s="9" t="n">
        <v>1</v>
      </c>
      <c r="G2012" s="9" t="n">
        <v>1</v>
      </c>
      <c r="H2012" s="9" t="n">
        <v>1</v>
      </c>
      <c r="I2012" s="10" t="n">
        <v>45106</v>
      </c>
      <c r="J2012" s="10" t="n">
        <v>45106</v>
      </c>
      <c r="K2012" s="9" t="n">
        <v>13.35376</v>
      </c>
      <c r="L2012" s="9" t="n">
        <v>103.85524</v>
      </c>
      <c r="M2012" s="9" t="inlineStr">
        <is>
          <t>https://www.google.com/maps/place/?q=place_id:ChIJTZt2P2UXEDERHaSTLjP2DU4</t>
        </is>
      </c>
    </row>
    <row r="2013">
      <c r="A2013" s="9" t="n">
        <v>2009</v>
      </c>
      <c r="B2013" s="9" t="inlineStr">
        <is>
          <t>Cambrai</t>
        </is>
      </c>
      <c r="C2013" s="9" t="inlineStr">
        <is>
          <t>Cambrai</t>
        </is>
      </c>
      <c r="D2013" s="9" t="inlineStr">
        <is>
          <t>Hauts-de-France</t>
        </is>
      </c>
      <c r="E2013" s="9" t="inlineStr">
        <is>
          <t>France</t>
        </is>
      </c>
      <c r="F2013" s="9" t="n">
        <v>1</v>
      </c>
      <c r="G2013" s="9" t="n">
        <v>1</v>
      </c>
      <c r="H2013" s="9" t="n">
        <v>1</v>
      </c>
      <c r="I2013" s="10" t="n">
        <v>45491</v>
      </c>
      <c r="J2013" s="10" t="n">
        <v>45491</v>
      </c>
      <c r="K2013" s="9" t="n">
        <v>50.12237</v>
      </c>
      <c r="L2013" s="9" t="n">
        <v>3.08961</v>
      </c>
      <c r="M2013" s="9" t="inlineStr">
        <is>
          <t>https://www.google.com/maps/place/?q=place_id:ChIJX_aCf0-uwkcRe1IUsC9OC_w</t>
        </is>
      </c>
    </row>
    <row r="2014">
      <c r="A2014" s="9" t="n">
        <v>2010</v>
      </c>
      <c r="B2014" s="9" t="inlineStr">
        <is>
          <t>Lagny-sur-Marne</t>
        </is>
      </c>
      <c r="C2014" s="9" t="inlineStr">
        <is>
          <t>Lagny-sur-Marne</t>
        </is>
      </c>
      <c r="D2014" s="9" t="inlineStr">
        <is>
          <t>Ile-de-France</t>
        </is>
      </c>
      <c r="E2014" s="9" t="inlineStr">
        <is>
          <t>France</t>
        </is>
      </c>
      <c r="F2014" s="9" t="n">
        <v>1</v>
      </c>
      <c r="G2014" s="9" t="n">
        <v>1</v>
      </c>
      <c r="H2014" s="9" t="n">
        <v>1</v>
      </c>
      <c r="I2014" s="10" t="n">
        <v>45489</v>
      </c>
      <c r="J2014" s="10" t="n">
        <v>45489</v>
      </c>
      <c r="K2014" s="9" t="n">
        <v>48.87044</v>
      </c>
      <c r="L2014" s="9" t="n">
        <v>2.78282</v>
      </c>
      <c r="M2014" s="9" t="inlineStr">
        <is>
          <t>https://www.google.com/maps/place/?q=place_id:ChIJFUf8DRkd5kcR4qoYlC3JcMc</t>
        </is>
      </c>
    </row>
    <row r="2015">
      <c r="A2015" s="9" t="n">
        <v>2011</v>
      </c>
      <c r="B2015" s="9" t="inlineStr">
        <is>
          <t>Aulnay-sous-Bois</t>
        </is>
      </c>
      <c r="C2015" s="9" t="inlineStr">
        <is>
          <t>Paris</t>
        </is>
      </c>
      <c r="D2015" s="9" t="inlineStr">
        <is>
          <t>Ile-de-France</t>
        </is>
      </c>
      <c r="E2015" s="9" t="inlineStr">
        <is>
          <t>France</t>
        </is>
      </c>
      <c r="F2015" s="9" t="n">
        <v>4</v>
      </c>
      <c r="G2015" s="9" t="n">
        <v>4</v>
      </c>
      <c r="H2015" s="9" t="n">
        <v>1</v>
      </c>
      <c r="I2015" s="10" t="n">
        <v>45488</v>
      </c>
      <c r="J2015" s="10" t="n">
        <v>45491</v>
      </c>
      <c r="K2015" s="9" t="n">
        <v>48.95245</v>
      </c>
      <c r="L2015" s="9" t="n">
        <v>2.48576</v>
      </c>
      <c r="M2015" s="9" t="inlineStr">
        <is>
          <t>https://www.google.com/maps/place/?q=place_id:ChIJJSO7ob8U5kcRDmWLaLivv2A</t>
        </is>
      </c>
    </row>
    <row r="2016">
      <c r="A2016" s="9" t="n">
        <v>2012</v>
      </c>
      <c r="B2016" s="9" t="inlineStr">
        <is>
          <t>Paris</t>
        </is>
      </c>
      <c r="C2016" s="9" t="inlineStr">
        <is>
          <t>Paris</t>
        </is>
      </c>
      <c r="D2016" s="9" t="inlineStr">
        <is>
          <t>Ile-de-France</t>
        </is>
      </c>
      <c r="E2016" s="9" t="inlineStr">
        <is>
          <t>France</t>
        </is>
      </c>
      <c r="F2016" s="9" t="n">
        <v>2</v>
      </c>
      <c r="G2016" s="9" t="n">
        <v>1</v>
      </c>
      <c r="H2016" s="9" t="n">
        <v>1</v>
      </c>
      <c r="I2016" s="10" t="n">
        <v>45490</v>
      </c>
      <c r="J2016" s="10" t="n">
        <v>45490</v>
      </c>
      <c r="K2016" s="9" t="n">
        <v>48.86061</v>
      </c>
      <c r="L2016" s="9" t="n">
        <v>2.33764</v>
      </c>
      <c r="M2016" s="9" t="inlineStr">
        <is>
          <t>https://www.google.com/maps/place/?q=place_id:ChIJD3uTd9hx5kcR1IQvGfr8dbk</t>
        </is>
      </c>
    </row>
    <row r="2017">
      <c r="A2017" s="9" t="n">
        <v>2013</v>
      </c>
      <c r="B2017" s="9" t="inlineStr">
        <is>
          <t>Villepinte</t>
        </is>
      </c>
      <c r="C2017" s="9" t="inlineStr">
        <is>
          <t>Paris</t>
        </is>
      </c>
      <c r="D2017" s="9" t="inlineStr">
        <is>
          <t>Ile-de-France</t>
        </is>
      </c>
      <c r="E2017" s="9" t="inlineStr">
        <is>
          <t>France</t>
        </is>
      </c>
      <c r="F2017" s="9" t="n">
        <v>1</v>
      </c>
      <c r="G2017" s="9" t="n">
        <v>1</v>
      </c>
      <c r="H2017" s="9" t="n">
        <v>1</v>
      </c>
      <c r="I2017" s="10" t="n">
        <v>45488</v>
      </c>
      <c r="J2017" s="10" t="n">
        <v>45488</v>
      </c>
      <c r="K2017" s="9" t="n">
        <v>49.00788</v>
      </c>
      <c r="L2017" s="9" t="n">
        <v>2.55079</v>
      </c>
      <c r="M2017" s="9" t="inlineStr">
        <is>
          <t>https://www.google.com/maps/place/?q=place_id:ChIJW89MjgM-5kcRLKZbL5jgKwQ</t>
        </is>
      </c>
    </row>
    <row r="2018">
      <c r="A2018" s="9" t="n">
        <v>2014</v>
      </c>
      <c r="B2018" s="9" t="inlineStr">
        <is>
          <t>Saint-Vincent de Paul</t>
        </is>
      </c>
      <c r="C2018" s="9" t="inlineStr">
        <is>
          <t>Paris</t>
        </is>
      </c>
      <c r="D2018" s="9" t="inlineStr">
        <is>
          <t>Ile-de-France</t>
        </is>
      </c>
      <c r="E2018" s="9" t="inlineStr">
        <is>
          <t>France</t>
        </is>
      </c>
      <c r="F2018" s="9" t="n">
        <v>1</v>
      </c>
      <c r="G2018" s="9" t="n">
        <v>1</v>
      </c>
      <c r="H2018" s="9" t="n">
        <v>1</v>
      </c>
      <c r="I2018" s="10" t="n">
        <v>45488</v>
      </c>
      <c r="J2018" s="10" t="n">
        <v>45488</v>
      </c>
      <c r="K2018" s="9" t="n">
        <v>48.89969</v>
      </c>
      <c r="L2018" s="9" t="n">
        <v>2.36059</v>
      </c>
      <c r="M2018" s="9" t="inlineStr">
        <is>
          <t>https://www.google.com/maps/place/?q=place_id:ChIJazz3_aNv5kcR2589zLg1FYY</t>
        </is>
      </c>
    </row>
    <row r="2019">
      <c r="A2019" s="9" t="n">
        <v>2015</v>
      </c>
      <c r="B2019" s="9" t="inlineStr">
        <is>
          <t>Levallois-Perret</t>
        </is>
      </c>
      <c r="C2019" s="9" t="inlineStr">
        <is>
          <t>Paris</t>
        </is>
      </c>
      <c r="D2019" s="9" t="inlineStr">
        <is>
          <t>Ile-de-France</t>
        </is>
      </c>
      <c r="E2019" s="9" t="inlineStr">
        <is>
          <t>France</t>
        </is>
      </c>
      <c r="F2019" s="9" t="n">
        <v>1</v>
      </c>
      <c r="G2019" s="9" t="n">
        <v>1</v>
      </c>
      <c r="H2019" s="9" t="n">
        <v>1</v>
      </c>
      <c r="I2019" s="10" t="n">
        <v>45489</v>
      </c>
      <c r="J2019" s="10" t="n">
        <v>45489</v>
      </c>
      <c r="K2019" s="9" t="n">
        <v>48.86401</v>
      </c>
      <c r="L2019" s="9" t="n">
        <v>2.30594</v>
      </c>
      <c r="M2019" s="9" t="inlineStr">
        <is>
          <t>https://www.google.com/maps/place/?q=place_id:ChIJSSjNVtpv5kcR06opbMVDFes</t>
        </is>
      </c>
    </row>
    <row r="2020">
      <c r="A2020" s="9" t="n">
        <v>2016</v>
      </c>
      <c r="B2020" s="9" t="inlineStr">
        <is>
          <t>Levallois-Perret</t>
        </is>
      </c>
      <c r="C2020" s="9" t="inlineStr">
        <is>
          <t>Paris</t>
        </is>
      </c>
      <c r="D2020" s="9" t="inlineStr">
        <is>
          <t>Ile-de-France</t>
        </is>
      </c>
      <c r="E2020" s="9" t="inlineStr">
        <is>
          <t>France</t>
        </is>
      </c>
      <c r="F2020" s="9" t="n">
        <v>1</v>
      </c>
      <c r="G2020" s="9" t="n">
        <v>1</v>
      </c>
      <c r="H2020" s="9" t="n">
        <v>1</v>
      </c>
      <c r="I2020" s="10" t="n">
        <v>45489</v>
      </c>
      <c r="J2020" s="10" t="n">
        <v>45489</v>
      </c>
      <c r="K2020" s="9" t="n">
        <v>48.86309</v>
      </c>
      <c r="L2020" s="9" t="n">
        <v>2.30934</v>
      </c>
      <c r="M2020" s="9" t="inlineStr">
        <is>
          <t>https://www.google.com/maps/place/?q=place_id:ChIJKdIzjYBv5kcRvvhpPfJktq0</t>
        </is>
      </c>
    </row>
    <row r="2021">
      <c r="A2021" s="9" t="n">
        <v>2017</v>
      </c>
      <c r="B2021" s="9" t="inlineStr">
        <is>
          <t>Sarcelles</t>
        </is>
      </c>
      <c r="C2021" s="9" t="inlineStr">
        <is>
          <t>Paris</t>
        </is>
      </c>
      <c r="D2021" s="9" t="inlineStr">
        <is>
          <t>Ile-de-France</t>
        </is>
      </c>
      <c r="E2021" s="9" t="inlineStr">
        <is>
          <t>France</t>
        </is>
      </c>
      <c r="F2021" s="9" t="n">
        <v>1</v>
      </c>
      <c r="G2021" s="9" t="n">
        <v>1</v>
      </c>
      <c r="H2021" s="9" t="n">
        <v>1</v>
      </c>
      <c r="I2021" s="10" t="n">
        <v>45490</v>
      </c>
      <c r="J2021" s="10" t="n">
        <v>45490</v>
      </c>
      <c r="K2021" s="9" t="n">
        <v>48.98985</v>
      </c>
      <c r="L2021" s="9" t="n">
        <v>2.37386</v>
      </c>
      <c r="M2021" s="9" t="inlineStr">
        <is>
          <t>https://www.google.com/maps/place/?q=place_id:ChIJkVRRPYlp5kcRSFvtjZz3Wsk</t>
        </is>
      </c>
    </row>
    <row r="2022">
      <c r="A2022" s="9" t="n">
        <v>2018</v>
      </c>
      <c r="B2022" s="9" t="inlineStr">
        <is>
          <t>Vanves</t>
        </is>
      </c>
      <c r="C2022" s="9" t="inlineStr">
        <is>
          <t>Paris</t>
        </is>
      </c>
      <c r="D2022" s="9" t="inlineStr">
        <is>
          <t>Ile-de-France</t>
        </is>
      </c>
      <c r="E2022" s="9" t="inlineStr">
        <is>
          <t>France</t>
        </is>
      </c>
      <c r="F2022" s="9" t="n">
        <v>1</v>
      </c>
      <c r="G2022" s="9" t="n">
        <v>1</v>
      </c>
      <c r="H2022" s="9" t="n">
        <v>1</v>
      </c>
      <c r="I2022" s="10" t="n">
        <v>45490</v>
      </c>
      <c r="J2022" s="10" t="n">
        <v>45490</v>
      </c>
      <c r="K2022" s="9" t="n">
        <v>48.8558</v>
      </c>
      <c r="L2022" s="9" t="n">
        <v>2.29838</v>
      </c>
      <c r="M2022" s="9" t="inlineStr">
        <is>
          <t>https://www.google.com/maps/place/?q=place_id:ChIJB0gcnCBw5kcRHoIAPcTEApc</t>
        </is>
      </c>
    </row>
    <row r="2023">
      <c r="A2023" s="9" t="n">
        <v>2019</v>
      </c>
      <c r="B2023" s="9" t="inlineStr">
        <is>
          <t>Levallois-Perret</t>
        </is>
      </c>
      <c r="C2023" s="9" t="inlineStr">
        <is>
          <t>Paris</t>
        </is>
      </c>
      <c r="D2023" s="9" t="inlineStr">
        <is>
          <t>Ile-de-France</t>
        </is>
      </c>
      <c r="E2023" s="9" t="inlineStr">
        <is>
          <t>France</t>
        </is>
      </c>
      <c r="F2023" s="9" t="n">
        <v>1</v>
      </c>
      <c r="G2023" s="9" t="n">
        <v>1</v>
      </c>
      <c r="H2023" s="9" t="n">
        <v>1</v>
      </c>
      <c r="I2023" s="10" t="n">
        <v>45491</v>
      </c>
      <c r="J2023" s="10" t="n">
        <v>45491</v>
      </c>
      <c r="K2023" s="9" t="n">
        <v>48.87379</v>
      </c>
      <c r="L2023" s="9" t="n">
        <v>2.29503</v>
      </c>
      <c r="M2023" s="9" t="inlineStr">
        <is>
          <t>https://www.google.com/maps/place/?q=place_id:ChIJjx37cOxv5kcRPWQuEW5ntdk</t>
        </is>
      </c>
    </row>
    <row r="2024">
      <c r="A2024" s="9" t="n">
        <v>2020</v>
      </c>
      <c r="B2024" s="9" t="inlineStr">
        <is>
          <t>Offenburg</t>
        </is>
      </c>
      <c r="C2024" s="9" t="inlineStr">
        <is>
          <t>Offenburg</t>
        </is>
      </c>
      <c r="D2024" s="9" t="inlineStr">
        <is>
          <t>Baden-Wurttemberg</t>
        </is>
      </c>
      <c r="E2024" s="9" t="inlineStr">
        <is>
          <t>Germany</t>
        </is>
      </c>
      <c r="F2024" s="9" t="n">
        <v>1</v>
      </c>
      <c r="G2024" s="9" t="n">
        <v>1</v>
      </c>
      <c r="H2024" s="9" t="n">
        <v>1</v>
      </c>
      <c r="I2024" s="10" t="n">
        <v>45494</v>
      </c>
      <c r="J2024" s="10" t="n">
        <v>45494</v>
      </c>
      <c r="K2024" s="9" t="n">
        <v>48.58274</v>
      </c>
      <c r="L2024" s="9" t="n">
        <v>7.95333</v>
      </c>
      <c r="M2024" s="9" t="inlineStr">
        <is>
          <t>https://www.google.com/maps/place/?q=place_id:ChIJddNLm6nRlkcRnjTWP2lkYT8</t>
        </is>
      </c>
    </row>
    <row r="2025">
      <c r="A2025" s="9" t="n">
        <v>2021</v>
      </c>
      <c r="B2025" s="9" t="inlineStr">
        <is>
          <t>Offenburg</t>
        </is>
      </c>
      <c r="C2025" s="9" t="inlineStr">
        <is>
          <t>Offenburg</t>
        </is>
      </c>
      <c r="D2025" s="9" t="inlineStr">
        <is>
          <t>Baden-Wurttemberg</t>
        </is>
      </c>
      <c r="E2025" s="9" t="inlineStr">
        <is>
          <t>Germany</t>
        </is>
      </c>
      <c r="F2025" s="9" t="n">
        <v>1</v>
      </c>
      <c r="G2025" s="9" t="n">
        <v>1</v>
      </c>
      <c r="H2025" s="9" t="n">
        <v>1</v>
      </c>
      <c r="I2025" s="10" t="n">
        <v>45494</v>
      </c>
      <c r="J2025" s="10" t="n">
        <v>45494</v>
      </c>
      <c r="K2025" s="9" t="n">
        <v>48.56379</v>
      </c>
      <c r="L2025" s="9" t="n">
        <v>7.95693</v>
      </c>
      <c r="M2025" s="9" t="inlineStr">
        <is>
          <t>https://www.google.com/maps/place/?q=place_id:ChIJN_N-af7QlkcRViiH8wEZzMs</t>
        </is>
      </c>
    </row>
    <row r="2026">
      <c r="A2026" s="9" t="n">
        <v>2022</v>
      </c>
      <c r="B2026" s="9" t="inlineStr">
        <is>
          <t>Waldkirch</t>
        </is>
      </c>
      <c r="C2026" s="9" t="inlineStr">
        <is>
          <t>Waldkirch</t>
        </is>
      </c>
      <c r="D2026" s="9" t="inlineStr">
        <is>
          <t>Baden-Wurttemberg</t>
        </is>
      </c>
      <c r="E2026" s="9" t="inlineStr">
        <is>
          <t>Germany</t>
        </is>
      </c>
      <c r="F2026" s="9" t="n">
        <v>1</v>
      </c>
      <c r="G2026" s="9" t="n">
        <v>1</v>
      </c>
      <c r="H2026" s="9" t="n">
        <v>1</v>
      </c>
      <c r="I2026" s="10" t="n">
        <v>45494</v>
      </c>
      <c r="J2026" s="10" t="n">
        <v>45494</v>
      </c>
      <c r="K2026" s="9" t="n">
        <v>47.9176</v>
      </c>
      <c r="L2026" s="9" t="n">
        <v>8.073919999999999</v>
      </c>
      <c r="M2026" s="9" t="inlineStr">
        <is>
          <t>https://www.google.com/maps/place/?q=place_id:ChIJ42-M7PT6kEcRojnj-mDABGw</t>
        </is>
      </c>
    </row>
    <row r="2027">
      <c r="A2027" s="9" t="n">
        <v>2023</v>
      </c>
      <c r="B2027" s="9" t="inlineStr">
        <is>
          <t>Oberursel</t>
        </is>
      </c>
      <c r="C2027" s="9" t="inlineStr">
        <is>
          <t>Frankfurt am Main</t>
        </is>
      </c>
      <c r="D2027" s="9" t="inlineStr">
        <is>
          <t>Hesse</t>
        </is>
      </c>
      <c r="E2027" s="9" t="inlineStr">
        <is>
          <t>Germany</t>
        </is>
      </c>
      <c r="F2027" s="9" t="n">
        <v>1</v>
      </c>
      <c r="G2027" s="9" t="n">
        <v>1</v>
      </c>
      <c r="H2027" s="9" t="n">
        <v>1</v>
      </c>
      <c r="I2027" s="10" t="n">
        <v>45494</v>
      </c>
      <c r="J2027" s="10" t="n">
        <v>45494</v>
      </c>
      <c r="K2027" s="9" t="n">
        <v>50.19141</v>
      </c>
      <c r="L2027" s="9" t="n">
        <v>8.587249999999999</v>
      </c>
      <c r="M2027" s="9" t="inlineStr">
        <is>
          <t>https://www.google.com/maps/place/?q=place_id:ChIJs1WA-gEIvUcRqS0-Z4K-ulQ</t>
        </is>
      </c>
    </row>
    <row r="2028">
      <c r="A2028" s="9" t="n">
        <v>2024</v>
      </c>
      <c r="B2028" s="9" t="inlineStr">
        <is>
          <t>Monchengladbach</t>
        </is>
      </c>
      <c r="C2028" s="9" t="inlineStr">
        <is>
          <t>Dusseldorf</t>
        </is>
      </c>
      <c r="D2028" s="9" t="inlineStr">
        <is>
          <t>North Rhine-Westphalia</t>
        </is>
      </c>
      <c r="E2028" s="9" t="inlineStr">
        <is>
          <t>Germany</t>
        </is>
      </c>
      <c r="F2028" s="9" t="n">
        <v>1</v>
      </c>
      <c r="G2028" s="9" t="n">
        <v>1</v>
      </c>
      <c r="H2028" s="9" t="n">
        <v>1</v>
      </c>
      <c r="I2028" s="10" t="n">
        <v>45493</v>
      </c>
      <c r="J2028" s="10" t="n">
        <v>45493</v>
      </c>
      <c r="K2028" s="9" t="n">
        <v>51.12039</v>
      </c>
      <c r="L2028" s="9" t="n">
        <v>6.43049</v>
      </c>
      <c r="M2028" s="9" t="inlineStr">
        <is>
          <t>https://www.google.com/maps/place/?q=place_id:ChIJ6Zw9oplTv0cRcFU5tYPD09w</t>
        </is>
      </c>
    </row>
    <row r="2029">
      <c r="A2029" s="9" t="n">
        <v>2025</v>
      </c>
      <c r="B2029" s="9" t="inlineStr">
        <is>
          <t>Neustadt/Nord</t>
        </is>
      </c>
      <c r="C2029" s="9" t="inlineStr">
        <is>
          <t>Koln</t>
        </is>
      </c>
      <c r="D2029" s="9" t="inlineStr">
        <is>
          <t>North Rhine-Westphalia</t>
        </is>
      </c>
      <c r="E2029" s="9" t="inlineStr">
        <is>
          <t>Germany</t>
        </is>
      </c>
      <c r="F2029" s="9" t="n">
        <v>1</v>
      </c>
      <c r="G2029" s="9" t="n">
        <v>1</v>
      </c>
      <c r="H2029" s="9" t="n">
        <v>1</v>
      </c>
      <c r="I2029" s="10" t="n">
        <v>45493</v>
      </c>
      <c r="J2029" s="10" t="n">
        <v>45493</v>
      </c>
      <c r="K2029" s="9" t="n">
        <v>50.94305</v>
      </c>
      <c r="L2029" s="9" t="n">
        <v>6.95091</v>
      </c>
      <c r="M2029" s="9" t="inlineStr">
        <is>
          <t>https://www.google.com/maps/place/?q=place_id:ChIJVYmuc6Ylv0cRXmcwhmHoAcs</t>
        </is>
      </c>
    </row>
    <row r="2030">
      <c r="A2030" s="9" t="n">
        <v>2026</v>
      </c>
      <c r="B2030" s="9" t="inlineStr">
        <is>
          <t>Humboldtkolonie</t>
        </is>
      </c>
      <c r="C2030" s="9" t="inlineStr">
        <is>
          <t>Koln</t>
        </is>
      </c>
      <c r="D2030" s="9" t="inlineStr">
        <is>
          <t>North Rhine-Westphalia</t>
        </is>
      </c>
      <c r="E2030" s="9" t="inlineStr">
        <is>
          <t>Germany</t>
        </is>
      </c>
      <c r="F2030" s="9" t="n">
        <v>1</v>
      </c>
      <c r="G2030" s="9" t="n">
        <v>1</v>
      </c>
      <c r="H2030" s="9" t="n">
        <v>1</v>
      </c>
      <c r="I2030" s="10" t="n">
        <v>45493</v>
      </c>
      <c r="J2030" s="10" t="n">
        <v>45493</v>
      </c>
      <c r="K2030" s="9" t="n">
        <v>50.93173</v>
      </c>
      <c r="L2030" s="9" t="n">
        <v>6.99622</v>
      </c>
      <c r="M2030" s="9" t="inlineStr">
        <is>
          <t>https://www.google.com/maps/place/?q=place_id:ChIJN3UobH8mv0cR3dg4E90WgGY</t>
        </is>
      </c>
    </row>
    <row r="2031">
      <c r="A2031" s="9" t="n">
        <v>2027</v>
      </c>
      <c r="B2031" s="9" t="inlineStr">
        <is>
          <t>Neustadt/Nord</t>
        </is>
      </c>
      <c r="C2031" s="9" t="inlineStr">
        <is>
          <t>Koln</t>
        </is>
      </c>
      <c r="D2031" s="9" t="inlineStr">
        <is>
          <t>North Rhine-Westphalia</t>
        </is>
      </c>
      <c r="E2031" s="9" t="inlineStr">
        <is>
          <t>Germany</t>
        </is>
      </c>
      <c r="F2031" s="9" t="n">
        <v>1</v>
      </c>
      <c r="G2031" s="9" t="n">
        <v>1</v>
      </c>
      <c r="H2031" s="9" t="n">
        <v>1</v>
      </c>
      <c r="I2031" s="10" t="n">
        <v>45493</v>
      </c>
      <c r="J2031" s="10" t="n">
        <v>45493</v>
      </c>
      <c r="K2031" s="9" t="n">
        <v>50.94286</v>
      </c>
      <c r="L2031" s="9" t="n">
        <v>6.95113</v>
      </c>
      <c r="M2031" s="9" t="inlineStr">
        <is>
          <t>https://www.google.com/maps/place/?q=place_id:ChIJsWXFbaYlv0cROQd7WoWrA-I</t>
        </is>
      </c>
    </row>
    <row r="2032">
      <c r="A2032" s="9" t="n">
        <v>2028</v>
      </c>
      <c r="B2032" s="9" t="inlineStr">
        <is>
          <t>Sankt Wendel</t>
        </is>
      </c>
      <c r="C2032" s="9" t="inlineStr">
        <is>
          <t>Sankt Wendel</t>
        </is>
      </c>
      <c r="D2032" s="9" t="inlineStr">
        <is>
          <t>Saarland</t>
        </is>
      </c>
      <c r="E2032" s="9" t="inlineStr">
        <is>
          <t>Germany</t>
        </is>
      </c>
      <c r="F2032" s="9" t="n">
        <v>1</v>
      </c>
      <c r="G2032" s="9" t="n">
        <v>1</v>
      </c>
      <c r="H2032" s="9" t="n">
        <v>1</v>
      </c>
      <c r="I2032" s="10" t="n">
        <v>45494</v>
      </c>
      <c r="J2032" s="10" t="n">
        <v>45494</v>
      </c>
      <c r="K2032" s="9" t="n">
        <v>49.6608</v>
      </c>
      <c r="L2032" s="9" t="n">
        <v>7.08701</v>
      </c>
      <c r="M2032" s="9" t="inlineStr">
        <is>
          <t>https://www.google.com/maps/place/?q=place_id:ChIJR7BqAXWOlUcRS_o5s-gFdQ0</t>
        </is>
      </c>
    </row>
    <row r="2033">
      <c r="A2033" s="9" t="n">
        <v>2029</v>
      </c>
      <c r="B2033" s="9" t="inlineStr">
        <is>
          <t>Modena</t>
        </is>
      </c>
      <c r="C2033" s="9" t="inlineStr">
        <is>
          <t>Modena</t>
        </is>
      </c>
      <c r="D2033" s="9" t="inlineStr">
        <is>
          <t>Emilia-Romagna</t>
        </is>
      </c>
      <c r="E2033" s="9" t="inlineStr">
        <is>
          <t>Italy</t>
        </is>
      </c>
      <c r="F2033" s="9" t="n">
        <v>1</v>
      </c>
      <c r="G2033" s="9" t="n">
        <v>1</v>
      </c>
      <c r="H2033" s="9" t="n">
        <v>1</v>
      </c>
      <c r="I2033" s="10" t="n">
        <v>45499</v>
      </c>
      <c r="J2033" s="10" t="n">
        <v>45499</v>
      </c>
      <c r="K2033" s="9" t="n">
        <v>44.66282</v>
      </c>
      <c r="L2033" s="9" t="n">
        <v>10.85745</v>
      </c>
      <c r="M2033" s="9" t="inlineStr">
        <is>
          <t>https://www.google.com/maps/place/?q=place_id:ChIJRwzOsi_wf0cRX3iWw4roxBM</t>
        </is>
      </c>
    </row>
    <row r="2034">
      <c r="A2034" s="9" t="n">
        <v>2030</v>
      </c>
      <c r="B2034" s="9" t="inlineStr">
        <is>
          <t>Rome</t>
        </is>
      </c>
      <c r="C2034" s="9" t="inlineStr">
        <is>
          <t>Rome</t>
        </is>
      </c>
      <c r="D2034" s="9" t="inlineStr">
        <is>
          <t>Lazio</t>
        </is>
      </c>
      <c r="E2034" s="9" t="inlineStr">
        <is>
          <t>Italy</t>
        </is>
      </c>
      <c r="F2034" s="9" t="n">
        <v>1</v>
      </c>
      <c r="G2034" s="9" t="n">
        <v>1</v>
      </c>
      <c r="H2034" s="9" t="n">
        <v>1</v>
      </c>
      <c r="I2034" s="10" t="n">
        <v>45498</v>
      </c>
      <c r="J2034" s="10" t="n">
        <v>45498</v>
      </c>
      <c r="K2034" s="9" t="n">
        <v>41.89976</v>
      </c>
      <c r="L2034" s="9" t="n">
        <v>12.4601</v>
      </c>
      <c r="M2034" s="9" t="inlineStr">
        <is>
          <t>https://www.google.com/maps/place/?q=place_id:ChIJAz3c2QthLxMRfdcZWfov3vg</t>
        </is>
      </c>
    </row>
    <row r="2035">
      <c r="A2035" s="9" t="n">
        <v>2031</v>
      </c>
      <c r="B2035" s="9" t="inlineStr">
        <is>
          <t>Rome</t>
        </is>
      </c>
      <c r="C2035" s="9" t="inlineStr">
        <is>
          <t>Rome</t>
        </is>
      </c>
      <c r="D2035" s="9" t="inlineStr">
        <is>
          <t>Lazio</t>
        </is>
      </c>
      <c r="E2035" s="9" t="inlineStr">
        <is>
          <t>Italy</t>
        </is>
      </c>
      <c r="F2035" s="9" t="n">
        <v>1</v>
      </c>
      <c r="G2035" s="9" t="n">
        <v>1</v>
      </c>
      <c r="H2035" s="9" t="n">
        <v>1</v>
      </c>
      <c r="I2035" s="10" t="n">
        <v>45498</v>
      </c>
      <c r="J2035" s="10" t="n">
        <v>45498</v>
      </c>
      <c r="K2035" s="9" t="n">
        <v>41.90217</v>
      </c>
      <c r="L2035" s="9" t="n">
        <v>12.45394</v>
      </c>
      <c r="M2035" s="9" t="inlineStr">
        <is>
          <t>https://www.google.com/maps/place/?q=place_id:ChIJWZsUt2FgLxMRg1KHzXfwS3I</t>
        </is>
      </c>
    </row>
    <row r="2036">
      <c r="A2036" s="9" t="n">
        <v>2032</v>
      </c>
      <c r="B2036" s="9" t="inlineStr">
        <is>
          <t>Rome</t>
        </is>
      </c>
      <c r="C2036" s="9" t="inlineStr">
        <is>
          <t>Rome</t>
        </is>
      </c>
      <c r="D2036" s="9" t="inlineStr">
        <is>
          <t>Lazio</t>
        </is>
      </c>
      <c r="E2036" s="9" t="inlineStr">
        <is>
          <t>Italy</t>
        </is>
      </c>
      <c r="F2036" s="9" t="n">
        <v>1</v>
      </c>
      <c r="G2036" s="9" t="n">
        <v>1</v>
      </c>
      <c r="H2036" s="9" t="n">
        <v>1</v>
      </c>
      <c r="I2036" s="10" t="n">
        <v>45498</v>
      </c>
      <c r="J2036" s="10" t="n">
        <v>45498</v>
      </c>
      <c r="K2036" s="9" t="n">
        <v>41.89021</v>
      </c>
      <c r="L2036" s="9" t="n">
        <v>12.49223</v>
      </c>
      <c r="M2036" s="9" t="inlineStr">
        <is>
          <t>https://www.google.com/maps/place/?q=place_id:ChIJrRMgU7ZhLxMRxAOFkC7I8Sg</t>
        </is>
      </c>
    </row>
    <row r="2037">
      <c r="A2037" s="9" t="n">
        <v>2033</v>
      </c>
      <c r="B2037" s="9" t="inlineStr">
        <is>
          <t>Casal de' Pazzi</t>
        </is>
      </c>
      <c r="C2037" s="9" t="inlineStr">
        <is>
          <t>Rome</t>
        </is>
      </c>
      <c r="D2037" s="9" t="inlineStr">
        <is>
          <t>Lazio</t>
        </is>
      </c>
      <c r="E2037" s="9" t="inlineStr">
        <is>
          <t>Italy</t>
        </is>
      </c>
      <c r="F2037" s="9" t="n">
        <v>1</v>
      </c>
      <c r="G2037" s="9" t="n">
        <v>1</v>
      </c>
      <c r="H2037" s="9" t="n">
        <v>1</v>
      </c>
      <c r="I2037" s="10" t="n">
        <v>45498</v>
      </c>
      <c r="J2037" s="10" t="n">
        <v>45498</v>
      </c>
      <c r="K2037" s="9" t="n">
        <v>42.00362</v>
      </c>
      <c r="L2037" s="9" t="n">
        <v>12.52783</v>
      </c>
      <c r="M2037" s="9" t="inlineStr">
        <is>
          <t>https://www.google.com/maps/place/?q=place_id:ChIJGwDHi8ZxLxMRHNjNvAzqee4</t>
        </is>
      </c>
    </row>
    <row r="2038">
      <c r="A2038" s="9" t="n">
        <v>2034</v>
      </c>
      <c r="B2038" s="9" t="inlineStr">
        <is>
          <t>Gallarate</t>
        </is>
      </c>
      <c r="C2038" s="9" t="inlineStr">
        <is>
          <t>Gallarate</t>
        </is>
      </c>
      <c r="D2038" s="9" t="inlineStr">
        <is>
          <t>Lombardy</t>
        </is>
      </c>
      <c r="E2038" s="9" t="inlineStr">
        <is>
          <t>Italy</t>
        </is>
      </c>
      <c r="F2038" s="9" t="n">
        <v>1</v>
      </c>
      <c r="G2038" s="9" t="n">
        <v>1</v>
      </c>
      <c r="H2038" s="9" t="n">
        <v>1</v>
      </c>
      <c r="I2038" s="10" t="n">
        <v>45499</v>
      </c>
      <c r="J2038" s="10" t="n">
        <v>45499</v>
      </c>
      <c r="K2038" s="9" t="n">
        <v>45.65187</v>
      </c>
      <c r="L2038" s="9" t="n">
        <v>8.78486</v>
      </c>
      <c r="M2038" s="9" t="inlineStr">
        <is>
          <t>https://www.google.com/maps/place/?q=place_id:ChIJEbJ5NvuJhkcRoBivxFo3rWg</t>
        </is>
      </c>
    </row>
    <row r="2039">
      <c r="A2039" s="9" t="n">
        <v>2035</v>
      </c>
      <c r="B2039" s="9" t="inlineStr">
        <is>
          <t>Gallarate</t>
        </is>
      </c>
      <c r="C2039" s="9" t="inlineStr">
        <is>
          <t>Gallarate</t>
        </is>
      </c>
      <c r="D2039" s="9" t="inlineStr">
        <is>
          <t>Lombardy</t>
        </is>
      </c>
      <c r="E2039" s="9" t="inlineStr">
        <is>
          <t>Italy</t>
        </is>
      </c>
      <c r="F2039" s="9" t="n">
        <v>1</v>
      </c>
      <c r="G2039" s="9" t="n">
        <v>2</v>
      </c>
      <c r="H2039" s="9" t="n">
        <v>1</v>
      </c>
      <c r="I2039" s="10" t="n">
        <v>45499</v>
      </c>
      <c r="J2039" s="10" t="n">
        <v>45500</v>
      </c>
      <c r="K2039" s="9" t="n">
        <v>45.69225</v>
      </c>
      <c r="L2039" s="9" t="n">
        <v>8.70205</v>
      </c>
      <c r="M2039" s="9" t="inlineStr">
        <is>
          <t>https://www.google.com/maps/place/?q=place_id:ChIJra7YqS9jhkcRPybinVLUtWw</t>
        </is>
      </c>
    </row>
    <row r="2040">
      <c r="A2040" s="9" t="n">
        <v>2036</v>
      </c>
      <c r="B2040" s="9" t="inlineStr">
        <is>
          <t>Gallarate</t>
        </is>
      </c>
      <c r="C2040" s="9" t="inlineStr">
        <is>
          <t>Gallarate</t>
        </is>
      </c>
      <c r="D2040" s="9" t="inlineStr">
        <is>
          <t>Lombardy</t>
        </is>
      </c>
      <c r="E2040" s="9" t="inlineStr">
        <is>
          <t>Italy</t>
        </is>
      </c>
      <c r="F2040" s="9" t="n">
        <v>1</v>
      </c>
      <c r="G2040" s="9" t="n">
        <v>2</v>
      </c>
      <c r="H2040" s="9" t="n">
        <v>1</v>
      </c>
      <c r="I2040" s="10" t="n">
        <v>45500</v>
      </c>
      <c r="J2040" s="10" t="n">
        <v>45501</v>
      </c>
      <c r="K2040" s="9" t="n">
        <v>45.62848</v>
      </c>
      <c r="L2040" s="9" t="n">
        <v>8.725989999999999</v>
      </c>
      <c r="M2040" s="9" t="inlineStr">
        <is>
          <t>https://www.google.com/maps/place/?q=place_id:ChIJt6eEfHVhhkcR_n7HoFcK8aM</t>
        </is>
      </c>
    </row>
    <row r="2041">
      <c r="A2041" s="9" t="n">
        <v>2037</v>
      </c>
      <c r="B2041" s="9" t="inlineStr">
        <is>
          <t>Gorgonzola</t>
        </is>
      </c>
      <c r="C2041" s="9" t="inlineStr">
        <is>
          <t>Milan</t>
        </is>
      </c>
      <c r="D2041" s="9" t="inlineStr">
        <is>
          <t>Lombardy</t>
        </is>
      </c>
      <c r="E2041" s="9" t="inlineStr">
        <is>
          <t>Italy</t>
        </is>
      </c>
      <c r="F2041" s="9" t="n">
        <v>1</v>
      </c>
      <c r="G2041" s="9" t="n">
        <v>1</v>
      </c>
      <c r="H2041" s="9" t="n">
        <v>1</v>
      </c>
      <c r="I2041" s="10" t="n">
        <v>45496</v>
      </c>
      <c r="J2041" s="10" t="n">
        <v>45496</v>
      </c>
      <c r="K2041" s="9" t="n">
        <v>45.57389</v>
      </c>
      <c r="L2041" s="9" t="n">
        <v>9.392569999999999</v>
      </c>
      <c r="M2041" s="9" t="inlineStr">
        <is>
          <t>https://www.google.com/maps/place/?q=place_id:ChIJWZ4TPY7rgUcRWuO-1zJGRc4</t>
        </is>
      </c>
    </row>
    <row r="2042">
      <c r="A2042" s="9" t="n">
        <v>2038</v>
      </c>
      <c r="B2042" s="9" t="inlineStr">
        <is>
          <t>Florence</t>
        </is>
      </c>
      <c r="C2042" s="9" t="inlineStr">
        <is>
          <t>Florence</t>
        </is>
      </c>
      <c r="D2042" s="9" t="inlineStr">
        <is>
          <t>Tuscany</t>
        </is>
      </c>
      <c r="E2042" s="9" t="inlineStr">
        <is>
          <t>Italy</t>
        </is>
      </c>
      <c r="F2042" s="9" t="n">
        <v>1</v>
      </c>
      <c r="G2042" s="9" t="n">
        <v>1</v>
      </c>
      <c r="H2042" s="9" t="n">
        <v>1</v>
      </c>
      <c r="I2042" s="10" t="n">
        <v>45497</v>
      </c>
      <c r="J2042" s="10" t="n">
        <v>45497</v>
      </c>
      <c r="K2042" s="9" t="n">
        <v>43.7664</v>
      </c>
      <c r="L2042" s="9" t="n">
        <v>11.26838</v>
      </c>
      <c r="M2042" s="9" t="inlineStr">
        <is>
          <t>https://www.google.com/maps/place/?q=place_id:ChIJacWD4QlUKhMRe0UzIaICD-s</t>
        </is>
      </c>
    </row>
    <row r="2043">
      <c r="A2043" s="9" t="n">
        <v>2039</v>
      </c>
      <c r="B2043" s="9" t="inlineStr">
        <is>
          <t>Florence</t>
        </is>
      </c>
      <c r="C2043" s="9" t="inlineStr">
        <is>
          <t>Florence</t>
        </is>
      </c>
      <c r="D2043" s="9" t="inlineStr">
        <is>
          <t>Tuscany</t>
        </is>
      </c>
      <c r="E2043" s="9" t="inlineStr">
        <is>
          <t>Italy</t>
        </is>
      </c>
      <c r="F2043" s="9" t="n">
        <v>1</v>
      </c>
      <c r="G2043" s="9" t="n">
        <v>1</v>
      </c>
      <c r="H2043" s="9" t="n">
        <v>1</v>
      </c>
      <c r="I2043" s="10" t="n">
        <v>45497</v>
      </c>
      <c r="J2043" s="10" t="n">
        <v>45497</v>
      </c>
      <c r="K2043" s="9" t="n">
        <v>43.76293</v>
      </c>
      <c r="L2043" s="9" t="n">
        <v>11.26506</v>
      </c>
      <c r="M2043" s="9" t="inlineStr">
        <is>
          <t>https://www.google.com/maps/place/?q=place_id:ChIJQzhmQ_dTKhMRGVENguFo97Q</t>
        </is>
      </c>
    </row>
    <row r="2044">
      <c r="A2044" s="9" t="n">
        <v>2040</v>
      </c>
      <c r="B2044" s="9" t="inlineStr">
        <is>
          <t>Florence</t>
        </is>
      </c>
      <c r="C2044" s="9" t="inlineStr">
        <is>
          <t>Florence</t>
        </is>
      </c>
      <c r="D2044" s="9" t="inlineStr">
        <is>
          <t>Tuscany</t>
        </is>
      </c>
      <c r="E2044" s="9" t="inlineStr">
        <is>
          <t>Italy</t>
        </is>
      </c>
      <c r="F2044" s="9" t="n">
        <v>1</v>
      </c>
      <c r="G2044" s="9" t="n">
        <v>1</v>
      </c>
      <c r="H2044" s="9" t="n">
        <v>1</v>
      </c>
      <c r="I2044" s="10" t="n">
        <v>45497</v>
      </c>
      <c r="J2044" s="10" t="n">
        <v>45497</v>
      </c>
      <c r="K2044" s="9" t="n">
        <v>43.77463</v>
      </c>
      <c r="L2044" s="9" t="n">
        <v>11.24939</v>
      </c>
      <c r="M2044" s="9" t="inlineStr">
        <is>
          <t>https://www.google.com/maps/place/?q=place_id:ChIJYZMhdalWKhMRsm6GSXl05YU</t>
        </is>
      </c>
    </row>
    <row r="2045">
      <c r="A2045" s="9" t="n">
        <v>2041</v>
      </c>
      <c r="B2045" s="9" t="inlineStr">
        <is>
          <t>Florence</t>
        </is>
      </c>
      <c r="C2045" s="9" t="inlineStr">
        <is>
          <t>Florence</t>
        </is>
      </c>
      <c r="D2045" s="9" t="inlineStr">
        <is>
          <t>Tuscany</t>
        </is>
      </c>
      <c r="E2045" s="9" t="inlineStr">
        <is>
          <t>Italy</t>
        </is>
      </c>
      <c r="F2045" s="9" t="n">
        <v>1</v>
      </c>
      <c r="G2045" s="9" t="n">
        <v>1</v>
      </c>
      <c r="H2045" s="9" t="n">
        <v>1</v>
      </c>
      <c r="I2045" s="10" t="n">
        <v>45497</v>
      </c>
      <c r="J2045" s="10" t="n">
        <v>45497</v>
      </c>
      <c r="K2045" s="9" t="n">
        <v>43.76515</v>
      </c>
      <c r="L2045" s="9" t="n">
        <v>11.25001</v>
      </c>
      <c r="M2045" s="9" t="inlineStr">
        <is>
          <t>https://www.google.com/maps/place/?q=place_id:ChIJ8ZnbQVRRKhMRKlDx5uTM0Fw</t>
        </is>
      </c>
    </row>
    <row r="2046">
      <c r="A2046" s="9" t="n">
        <v>2042</v>
      </c>
      <c r="B2046" s="9" t="inlineStr">
        <is>
          <t>Florence</t>
        </is>
      </c>
      <c r="C2046" s="9" t="inlineStr">
        <is>
          <t>Florence</t>
        </is>
      </c>
      <c r="D2046" s="9" t="inlineStr">
        <is>
          <t>Tuscany</t>
        </is>
      </c>
      <c r="E2046" s="9" t="inlineStr">
        <is>
          <t>Italy</t>
        </is>
      </c>
      <c r="F2046" s="9" t="n">
        <v>1</v>
      </c>
      <c r="G2046" s="9" t="n">
        <v>1</v>
      </c>
      <c r="H2046" s="9" t="n">
        <v>1</v>
      </c>
      <c r="I2046" s="10" t="n">
        <v>45498</v>
      </c>
      <c r="J2046" s="10" t="n">
        <v>45498</v>
      </c>
      <c r="K2046" s="9" t="n">
        <v>43.7664</v>
      </c>
      <c r="L2046" s="9" t="n">
        <v>11.26739</v>
      </c>
      <c r="M2046" s="9" t="inlineStr">
        <is>
          <t>https://www.google.com/maps/place/?q=place_id:ChIJ7xGZJ_ZTKhMRspXDmUK8OgM</t>
        </is>
      </c>
    </row>
    <row r="2047">
      <c r="A2047" s="9" t="n">
        <v>2043</v>
      </c>
      <c r="B2047" s="9" t="inlineStr">
        <is>
          <t>Pisa</t>
        </is>
      </c>
      <c r="C2047" s="9" t="inlineStr">
        <is>
          <t>Pisa</t>
        </is>
      </c>
      <c r="D2047" s="9" t="inlineStr">
        <is>
          <t>Tuscany</t>
        </is>
      </c>
      <c r="E2047" s="9" t="inlineStr">
        <is>
          <t>Italy</t>
        </is>
      </c>
      <c r="F2047" s="9" t="n">
        <v>1</v>
      </c>
      <c r="G2047" s="9" t="n">
        <v>1</v>
      </c>
      <c r="H2047" s="9" t="n">
        <v>1</v>
      </c>
      <c r="I2047" s="10" t="n">
        <v>45497</v>
      </c>
      <c r="J2047" s="10" t="n">
        <v>45497</v>
      </c>
      <c r="K2047" s="9" t="n">
        <v>43.68704</v>
      </c>
      <c r="L2047" s="9" t="n">
        <v>10.43189</v>
      </c>
      <c r="M2047" s="9" t="inlineStr">
        <is>
          <t>https://www.google.com/maps/place/?q=place_id:ChIJlds4xzsLKhMRhawgi0NqXGk</t>
        </is>
      </c>
    </row>
    <row r="2048">
      <c r="A2048" s="9" t="n">
        <v>2044</v>
      </c>
      <c r="B2048" s="9" t="inlineStr">
        <is>
          <t>Pisa</t>
        </is>
      </c>
      <c r="C2048" s="9" t="inlineStr">
        <is>
          <t>Pisa</t>
        </is>
      </c>
      <c r="D2048" s="9" t="inlineStr">
        <is>
          <t>Tuscany</t>
        </is>
      </c>
      <c r="E2048" s="9" t="inlineStr">
        <is>
          <t>Italy</t>
        </is>
      </c>
      <c r="F2048" s="9" t="n">
        <v>1</v>
      </c>
      <c r="G2048" s="9" t="n">
        <v>1</v>
      </c>
      <c r="H2048" s="9" t="n">
        <v>1</v>
      </c>
      <c r="I2048" s="10" t="n">
        <v>45497</v>
      </c>
      <c r="J2048" s="10" t="n">
        <v>45497</v>
      </c>
      <c r="K2048" s="9" t="n">
        <v>43.72323</v>
      </c>
      <c r="L2048" s="9" t="n">
        <v>10.39472</v>
      </c>
      <c r="M2048" s="9" t="inlineStr">
        <is>
          <t>https://www.google.com/maps/place/?q=place_id:ChIJi3qta6eR1RIRmH8uMC615Es</t>
        </is>
      </c>
    </row>
    <row r="2049">
      <c r="A2049" s="9" t="n">
        <v>2045</v>
      </c>
      <c r="B2049" s="9" t="inlineStr">
        <is>
          <t>Prato</t>
        </is>
      </c>
      <c r="C2049" s="9" t="inlineStr">
        <is>
          <t>Prato</t>
        </is>
      </c>
      <c r="D2049" s="9" t="inlineStr">
        <is>
          <t>Tuscany</t>
        </is>
      </c>
      <c r="E2049" s="9" t="inlineStr">
        <is>
          <t>Italy</t>
        </is>
      </c>
      <c r="F2049" s="9" t="n">
        <v>1</v>
      </c>
      <c r="G2049" s="9" t="n">
        <v>1</v>
      </c>
      <c r="H2049" s="9" t="n">
        <v>1</v>
      </c>
      <c r="I2049" s="10" t="n">
        <v>45499</v>
      </c>
      <c r="J2049" s="10" t="n">
        <v>45499</v>
      </c>
      <c r="K2049" s="9" t="n">
        <v>44.02958</v>
      </c>
      <c r="L2049" s="9" t="n">
        <v>11.22591</v>
      </c>
      <c r="M2049" s="9" t="inlineStr">
        <is>
          <t>https://www.google.com/maps/place/?q=place_id:ChIJK-uR7PPkKhMR-djjVBFcHVY</t>
        </is>
      </c>
    </row>
    <row r="2050">
      <c r="A2050" s="9" t="n">
        <v>2046</v>
      </c>
      <c r="B2050" s="9" t="inlineStr">
        <is>
          <t>Scandicci</t>
        </is>
      </c>
      <c r="C2050" s="9" t="inlineStr">
        <is>
          <t>Scandicci</t>
        </is>
      </c>
      <c r="D2050" s="9" t="inlineStr">
        <is>
          <t>Tuscany</t>
        </is>
      </c>
      <c r="E2050" s="9" t="inlineStr">
        <is>
          <t>Italy</t>
        </is>
      </c>
      <c r="F2050" s="9" t="n">
        <v>1</v>
      </c>
      <c r="G2050" s="9" t="n">
        <v>1</v>
      </c>
      <c r="H2050" s="9" t="n">
        <v>1</v>
      </c>
      <c r="I2050" s="10" t="n">
        <v>45499</v>
      </c>
      <c r="J2050" s="10" t="n">
        <v>45499</v>
      </c>
      <c r="K2050" s="9" t="n">
        <v>43.6862</v>
      </c>
      <c r="L2050" s="9" t="n">
        <v>11.20527</v>
      </c>
      <c r="M2050" s="9" t="inlineStr">
        <is>
          <t>https://www.google.com/maps/place/?q=place_id:ChIJdeVXE81PKhMRp4LWpf6ZAhU</t>
        </is>
      </c>
    </row>
    <row r="2051">
      <c r="A2051" s="9" t="n">
        <v>2047</v>
      </c>
      <c r="B2051" s="9" t="inlineStr">
        <is>
          <t>Perugia</t>
        </is>
      </c>
      <c r="C2051" s="9" t="inlineStr">
        <is>
          <t>Perugia</t>
        </is>
      </c>
      <c r="D2051" s="9" t="inlineStr">
        <is>
          <t>Umbria</t>
        </is>
      </c>
      <c r="E2051" s="9" t="inlineStr">
        <is>
          <t>Italy</t>
        </is>
      </c>
      <c r="F2051" s="9" t="n">
        <v>2</v>
      </c>
      <c r="G2051" s="9" t="n">
        <v>2</v>
      </c>
      <c r="H2051" s="9" t="n">
        <v>1</v>
      </c>
      <c r="I2051" s="10" t="n">
        <v>45498</v>
      </c>
      <c r="J2051" s="10" t="n">
        <v>45499</v>
      </c>
      <c r="K2051" s="9" t="n">
        <v>43.09595</v>
      </c>
      <c r="L2051" s="9" t="n">
        <v>12.38599</v>
      </c>
      <c r="M2051" s="9" t="inlineStr">
        <is>
          <t>https://www.google.com/maps/place/?q=place_id:ChIJkaYbcPOgLhMRDVE40ddql9g</t>
        </is>
      </c>
    </row>
    <row r="2052">
      <c r="A2052" s="9" t="n">
        <v>2048</v>
      </c>
      <c r="B2052" s="9" t="inlineStr">
        <is>
          <t>Este</t>
        </is>
      </c>
      <c r="C2052" s="9" t="inlineStr">
        <is>
          <t>Este</t>
        </is>
      </c>
      <c r="D2052" s="9" t="inlineStr">
        <is>
          <t>Veneto</t>
        </is>
      </c>
      <c r="E2052" s="9" t="inlineStr">
        <is>
          <t>Italy</t>
        </is>
      </c>
      <c r="F2052" s="9" t="n">
        <v>1</v>
      </c>
      <c r="G2052" s="9" t="n">
        <v>1</v>
      </c>
      <c r="H2052" s="9" t="n">
        <v>1</v>
      </c>
      <c r="I2052" s="10" t="n">
        <v>45497</v>
      </c>
      <c r="J2052" s="10" t="n">
        <v>45497</v>
      </c>
      <c r="K2052" s="9" t="n">
        <v>45.36226</v>
      </c>
      <c r="L2052" s="9" t="n">
        <v>11.58906</v>
      </c>
      <c r="M2052" s="9" t="inlineStr">
        <is>
          <t>https://www.google.com/maps/place/?q=place_id:ChIJ1Ye5b7Ajf0cRzsBoSjX1bcM</t>
        </is>
      </c>
    </row>
    <row r="2053">
      <c r="A2053" s="9" t="n">
        <v>2049</v>
      </c>
      <c r="B2053" s="9" t="inlineStr">
        <is>
          <t>Venice</t>
        </is>
      </c>
      <c r="C2053" s="9" t="inlineStr">
        <is>
          <t>Venice</t>
        </is>
      </c>
      <c r="D2053" s="9" t="inlineStr">
        <is>
          <t>Veneto</t>
        </is>
      </c>
      <c r="E2053" s="9" t="inlineStr">
        <is>
          <t>Italy</t>
        </is>
      </c>
      <c r="F2053" s="9" t="n">
        <v>1</v>
      </c>
      <c r="G2053" s="9" t="n">
        <v>1</v>
      </c>
      <c r="H2053" s="9" t="n">
        <v>1</v>
      </c>
      <c r="I2053" s="10" t="n">
        <v>45496</v>
      </c>
      <c r="J2053" s="10" t="n">
        <v>45496</v>
      </c>
      <c r="K2053" s="9" t="n">
        <v>45.44211</v>
      </c>
      <c r="L2053" s="9" t="n">
        <v>12.30816</v>
      </c>
      <c r="M2053" s="9" t="inlineStr">
        <is>
          <t>https://www.google.com/maps/place/?q=place_id:ChIJn1SZs6SxfkcROtZOldhZNH4</t>
        </is>
      </c>
    </row>
    <row r="2054">
      <c r="A2054" s="9" t="n">
        <v>2050</v>
      </c>
      <c r="B2054" s="9" t="inlineStr">
        <is>
          <t>Venice</t>
        </is>
      </c>
      <c r="C2054" s="9" t="inlineStr">
        <is>
          <t>Venice</t>
        </is>
      </c>
      <c r="D2054" s="9" t="inlineStr">
        <is>
          <t>Veneto</t>
        </is>
      </c>
      <c r="E2054" s="9" t="inlineStr">
        <is>
          <t>Italy</t>
        </is>
      </c>
      <c r="F2054" s="9" t="n">
        <v>1</v>
      </c>
      <c r="G2054" s="9" t="n">
        <v>1</v>
      </c>
      <c r="H2054" s="9" t="n">
        <v>1</v>
      </c>
      <c r="I2054" s="10" t="n">
        <v>45496</v>
      </c>
      <c r="J2054" s="10" t="n">
        <v>45496</v>
      </c>
      <c r="K2054" s="9" t="n">
        <v>45.43405</v>
      </c>
      <c r="L2054" s="9" t="n">
        <v>12.34085</v>
      </c>
      <c r="M2054" s="9" t="inlineStr">
        <is>
          <t>https://www.google.com/maps/place/?q=place_id:ChIJwwEk49exfkcR0BTo2j_W1Xo</t>
        </is>
      </c>
    </row>
    <row r="2055">
      <c r="A2055" s="9" t="n">
        <v>2051</v>
      </c>
      <c r="B2055" s="9" t="inlineStr">
        <is>
          <t>Vicenza</t>
        </is>
      </c>
      <c r="C2055" s="9" t="inlineStr">
        <is>
          <t>Vicenza</t>
        </is>
      </c>
      <c r="D2055" s="9" t="inlineStr">
        <is>
          <t>Veneto</t>
        </is>
      </c>
      <c r="E2055" s="9" t="inlineStr">
        <is>
          <t>Italy</t>
        </is>
      </c>
      <c r="F2055" s="9" t="n">
        <v>1</v>
      </c>
      <c r="G2055" s="9" t="n">
        <v>1</v>
      </c>
      <c r="H2055" s="9" t="n">
        <v>1</v>
      </c>
      <c r="I2055" s="10" t="n">
        <v>45497</v>
      </c>
      <c r="J2055" s="10" t="n">
        <v>45497</v>
      </c>
      <c r="K2055" s="9" t="n">
        <v>45.54294</v>
      </c>
      <c r="L2055" s="9" t="n">
        <v>11.52823</v>
      </c>
      <c r="M2055" s="9" t="inlineStr">
        <is>
          <t>https://www.google.com/maps/place/?q=place_id:ChIJayGtbmcxf0cRzfbXhj_Tu8I</t>
        </is>
      </c>
    </row>
    <row r="2056">
      <c r="A2056" s="9" t="n">
        <v>2052</v>
      </c>
      <c r="B2056" s="9" t="inlineStr">
        <is>
          <t>Bharatpur</t>
        </is>
      </c>
      <c r="C2056" s="9" t="inlineStr">
        <is>
          <t>Bharatpur</t>
        </is>
      </c>
      <c r="D2056" s="9" t="inlineStr">
        <is>
          <t>Bagmati Province</t>
        </is>
      </c>
      <c r="E2056" s="9" t="inlineStr">
        <is>
          <t>Nepal</t>
        </is>
      </c>
      <c r="F2056" s="9" t="n">
        <v>5</v>
      </c>
      <c r="G2056" s="9" t="n">
        <v>3</v>
      </c>
      <c r="H2056" s="9" t="n">
        <v>3</v>
      </c>
      <c r="I2056" s="10" t="n">
        <v>43601</v>
      </c>
      <c r="J2056" s="10" t="n">
        <v>44666</v>
      </c>
      <c r="K2056" s="9" t="n">
        <v>27.87854</v>
      </c>
      <c r="L2056" s="9" t="n">
        <v>84.59017</v>
      </c>
      <c r="M2056" s="9" t="inlineStr">
        <is>
          <t>https://www.google.com/maps/place/?q=place_id:ChIJjy2-CW4flTkRaBK8egEbMfY</t>
        </is>
      </c>
    </row>
    <row r="2057">
      <c r="A2057" s="9" t="n">
        <v>2053</v>
      </c>
      <c r="B2057" s="9" t="inlineStr">
        <is>
          <t>Bharatpur</t>
        </is>
      </c>
      <c r="C2057" s="9" t="inlineStr">
        <is>
          <t>Bharatpur</t>
        </is>
      </c>
      <c r="D2057" s="9" t="inlineStr">
        <is>
          <t>Bagmati Province</t>
        </is>
      </c>
      <c r="E2057" s="9" t="inlineStr">
        <is>
          <t>Nepal</t>
        </is>
      </c>
      <c r="F2057" s="9" t="n">
        <v>4</v>
      </c>
      <c r="G2057" s="9" t="n">
        <v>3</v>
      </c>
      <c r="H2057" s="9" t="n">
        <v>3</v>
      </c>
      <c r="I2057" s="10" t="n">
        <v>43601</v>
      </c>
      <c r="J2057" s="10" t="n">
        <v>44666</v>
      </c>
      <c r="K2057" s="9" t="n">
        <v>27.97059</v>
      </c>
      <c r="L2057" s="9" t="n">
        <v>84.26784000000001</v>
      </c>
      <c r="M2057" s="9" t="inlineStr">
        <is>
          <t>https://www.google.com/maps/place/?q=place_id:ChIJz7BBmx-olTkRQX0QCKCK2Cs</t>
        </is>
      </c>
    </row>
    <row r="2058">
      <c r="A2058" s="9" t="n">
        <v>2054</v>
      </c>
      <c r="B2058" s="9" t="inlineStr">
        <is>
          <t>Bharatpur</t>
        </is>
      </c>
      <c r="C2058" s="9" t="inlineStr">
        <is>
          <t>Bharatpur</t>
        </is>
      </c>
      <c r="D2058" s="9" t="inlineStr">
        <is>
          <t>Bagmati Province</t>
        </is>
      </c>
      <c r="E2058" s="9" t="inlineStr">
        <is>
          <t>Nepal</t>
        </is>
      </c>
      <c r="F2058" s="9" t="n">
        <v>2</v>
      </c>
      <c r="G2058" s="9" t="n">
        <v>2</v>
      </c>
      <c r="H2058" s="9" t="n">
        <v>2</v>
      </c>
      <c r="I2058" s="10" t="n">
        <v>43601</v>
      </c>
      <c r="J2058" s="10" t="n">
        <v>43606</v>
      </c>
      <c r="K2058" s="9" t="n">
        <v>27.90415</v>
      </c>
      <c r="L2058" s="9" t="n">
        <v>84.584</v>
      </c>
      <c r="M2058" s="9" t="inlineStr">
        <is>
          <t>https://www.google.com/maps/place/?q=place_id:ChIJoXMxMTYflTkRanQtDto3m0E</t>
        </is>
      </c>
    </row>
    <row r="2059">
      <c r="A2059" s="9" t="n">
        <v>2055</v>
      </c>
      <c r="B2059" s="9" t="inlineStr">
        <is>
          <t>Bharatpur</t>
        </is>
      </c>
      <c r="C2059" s="9" t="inlineStr">
        <is>
          <t>Bharatpur</t>
        </is>
      </c>
      <c r="D2059" s="9" t="inlineStr">
        <is>
          <t>Bagmati Province</t>
        </is>
      </c>
      <c r="E2059" s="9" t="inlineStr">
        <is>
          <t>Nepal</t>
        </is>
      </c>
      <c r="F2059" s="9" t="n">
        <v>2</v>
      </c>
      <c r="G2059" s="9" t="n">
        <v>2</v>
      </c>
      <c r="H2059" s="9" t="n">
        <v>2</v>
      </c>
      <c r="I2059" s="10" t="n">
        <v>43609</v>
      </c>
      <c r="J2059" s="10" t="n">
        <v>44670</v>
      </c>
      <c r="K2059" s="9" t="n">
        <v>27.85892</v>
      </c>
      <c r="L2059" s="9" t="n">
        <v>84.64610999999999</v>
      </c>
      <c r="M2059" s="9" t="inlineStr">
        <is>
          <t>https://www.google.com/maps/place/?q=place_id:ChIJz_hyWksglTkR8BjUASNaVAY</t>
        </is>
      </c>
    </row>
    <row r="2060">
      <c r="A2060" s="9" t="n">
        <v>2056</v>
      </c>
      <c r="B2060" s="9" t="inlineStr">
        <is>
          <t>Bharatpur</t>
        </is>
      </c>
      <c r="C2060" s="9" t="inlineStr">
        <is>
          <t>Bharatpur</t>
        </is>
      </c>
      <c r="D2060" s="9" t="inlineStr">
        <is>
          <t>Bagmati Province</t>
        </is>
      </c>
      <c r="E2060" s="9" t="inlineStr">
        <is>
          <t>Nepal</t>
        </is>
      </c>
      <c r="F2060" s="9" t="n">
        <v>1</v>
      </c>
      <c r="G2060" s="9" t="n">
        <v>1</v>
      </c>
      <c r="H2060" s="9" t="n">
        <v>1</v>
      </c>
      <c r="I2060" s="10" t="n">
        <v>43603</v>
      </c>
      <c r="J2060" s="10" t="n">
        <v>43603</v>
      </c>
      <c r="K2060" s="9" t="n">
        <v>27.79961</v>
      </c>
      <c r="L2060" s="9" t="n">
        <v>84.73833</v>
      </c>
      <c r="M2060" s="9" t="inlineStr">
        <is>
          <t>https://www.google.com/maps/place/?q=place_id:ChIJz6EwtF3YlDkR5uJOsY1i9AU</t>
        </is>
      </c>
    </row>
    <row r="2061">
      <c r="A2061" s="9" t="n">
        <v>2057</v>
      </c>
      <c r="B2061" s="9" t="inlineStr">
        <is>
          <t>Bharatpur</t>
        </is>
      </c>
      <c r="C2061" s="9" t="inlineStr">
        <is>
          <t>Bharatpur</t>
        </is>
      </c>
      <c r="D2061" s="9" t="inlineStr">
        <is>
          <t>Bagmati Province</t>
        </is>
      </c>
      <c r="E2061" s="9" t="inlineStr">
        <is>
          <t>Nepal</t>
        </is>
      </c>
      <c r="F2061" s="9" t="n">
        <v>1</v>
      </c>
      <c r="G2061" s="9" t="n">
        <v>1</v>
      </c>
      <c r="H2061" s="9" t="n">
        <v>1</v>
      </c>
      <c r="I2061" s="10" t="n">
        <v>43606</v>
      </c>
      <c r="J2061" s="10" t="n">
        <v>43606</v>
      </c>
      <c r="K2061" s="9" t="n">
        <v>27.94989</v>
      </c>
      <c r="L2061" s="9" t="n">
        <v>84.42874999999999</v>
      </c>
      <c r="M2061" s="9" t="inlineStr">
        <is>
          <t>https://www.google.com/maps/place/?q=place_id:ChIJ2cYaTP0FlTkR_fOFSO684lg</t>
        </is>
      </c>
    </row>
    <row r="2062">
      <c r="A2062" s="9" t="n">
        <v>2058</v>
      </c>
      <c r="B2062" s="9" t="inlineStr">
        <is>
          <t>Bharatpur</t>
        </is>
      </c>
      <c r="C2062" s="9" t="inlineStr">
        <is>
          <t>Bharatpur</t>
        </is>
      </c>
      <c r="D2062" s="9" t="inlineStr">
        <is>
          <t>Bagmati Province</t>
        </is>
      </c>
      <c r="E2062" s="9" t="inlineStr">
        <is>
          <t>Nepal</t>
        </is>
      </c>
      <c r="F2062" s="9" t="n">
        <v>1</v>
      </c>
      <c r="G2062" s="9" t="n">
        <v>1</v>
      </c>
      <c r="H2062" s="9" t="n">
        <v>1</v>
      </c>
      <c r="I2062" s="10" t="n">
        <v>43609</v>
      </c>
      <c r="J2062" s="10" t="n">
        <v>43609</v>
      </c>
      <c r="K2062" s="9" t="n">
        <v>27.96774</v>
      </c>
      <c r="L2062" s="9" t="n">
        <v>84.26105</v>
      </c>
      <c r="M2062" s="9" t="inlineStr">
        <is>
          <t>https://www.google.com/maps/place/?q=place_id:ChIJa_cAhIuplTkRl0iW2Jkacn0</t>
        </is>
      </c>
    </row>
    <row r="2063">
      <c r="A2063" s="9" t="n">
        <v>2059</v>
      </c>
      <c r="B2063" s="9" t="inlineStr">
        <is>
          <t>Bharatpur</t>
        </is>
      </c>
      <c r="C2063" s="9" t="inlineStr">
        <is>
          <t>Bharatpur</t>
        </is>
      </c>
      <c r="D2063" s="9" t="inlineStr">
        <is>
          <t>Bagmati Province</t>
        </is>
      </c>
      <c r="E2063" s="9" t="inlineStr">
        <is>
          <t>Nepal</t>
        </is>
      </c>
      <c r="F2063" s="9" t="n">
        <v>1</v>
      </c>
      <c r="G2063" s="9" t="n">
        <v>1</v>
      </c>
      <c r="H2063" s="9" t="n">
        <v>1</v>
      </c>
      <c r="I2063" s="10" t="n">
        <v>43609</v>
      </c>
      <c r="J2063" s="10" t="n">
        <v>43609</v>
      </c>
      <c r="K2063" s="9" t="n">
        <v>27.97865</v>
      </c>
      <c r="L2063" s="9" t="n">
        <v>84.27397000000001</v>
      </c>
      <c r="M2063" s="9" t="inlineStr">
        <is>
          <t>https://www.google.com/maps/place/?q=place_id:ChIJDViw4PYHlTkRshe7JLAMZoo</t>
        </is>
      </c>
    </row>
    <row r="2064">
      <c r="A2064" s="9" t="n">
        <v>2060</v>
      </c>
      <c r="B2064" s="9" t="inlineStr">
        <is>
          <t>Bharatpur</t>
        </is>
      </c>
      <c r="C2064" s="9" t="inlineStr">
        <is>
          <t>Bharatpur</t>
        </is>
      </c>
      <c r="D2064" s="9" t="inlineStr">
        <is>
          <t>Bagmati Province</t>
        </is>
      </c>
      <c r="E2064" s="9" t="inlineStr">
        <is>
          <t>Nepal</t>
        </is>
      </c>
      <c r="F2064" s="9" t="n">
        <v>1</v>
      </c>
      <c r="G2064" s="9" t="n">
        <v>1</v>
      </c>
      <c r="H2064" s="9" t="n">
        <v>1</v>
      </c>
      <c r="I2064" s="10" t="n">
        <v>44669</v>
      </c>
      <c r="J2064" s="10" t="n">
        <v>44669</v>
      </c>
      <c r="K2064" s="9" t="n">
        <v>27.92769</v>
      </c>
      <c r="L2064" s="9" t="n">
        <v>84.48312</v>
      </c>
      <c r="M2064" s="9" t="inlineStr">
        <is>
          <t>https://www.google.com/maps/place/?q=place_id:ChIJYYZA9J4blTkRBQwLQ1How8g</t>
        </is>
      </c>
    </row>
    <row r="2065">
      <c r="A2065" s="9" t="n">
        <v>2061</v>
      </c>
      <c r="B2065" s="9" t="inlineStr">
        <is>
          <t>Bharatpur</t>
        </is>
      </c>
      <c r="C2065" s="9" t="inlineStr">
        <is>
          <t>Bharatpur</t>
        </is>
      </c>
      <c r="D2065" s="9" t="inlineStr">
        <is>
          <t>Bagmati Province</t>
        </is>
      </c>
      <c r="E2065" s="9" t="inlineStr">
        <is>
          <t>Nepal</t>
        </is>
      </c>
      <c r="F2065" s="9" t="n">
        <v>1</v>
      </c>
      <c r="G2065" s="9" t="n">
        <v>1</v>
      </c>
      <c r="H2065" s="9" t="n">
        <v>1</v>
      </c>
      <c r="I2065" s="10" t="n">
        <v>44669</v>
      </c>
      <c r="J2065" s="10" t="n">
        <v>44669</v>
      </c>
      <c r="K2065" s="9" t="n">
        <v>27.58344</v>
      </c>
      <c r="L2065" s="9" t="n">
        <v>84.73393</v>
      </c>
      <c r="M2065" s="9" t="inlineStr">
        <is>
          <t>https://www.google.com/maps/place/?q=place_id:ChIJu0PRdQ3FlDkRVR59IjdFhv0</t>
        </is>
      </c>
    </row>
    <row r="2066">
      <c r="A2066" s="9" t="n">
        <v>2062</v>
      </c>
      <c r="B2066" s="9" t="inlineStr">
        <is>
          <t>Bharatpur</t>
        </is>
      </c>
      <c r="C2066" s="9" t="inlineStr">
        <is>
          <t>Bharatpur</t>
        </is>
      </c>
      <c r="D2066" s="9" t="inlineStr">
        <is>
          <t>Bagmati Province</t>
        </is>
      </c>
      <c r="E2066" s="9" t="inlineStr">
        <is>
          <t>Nepal</t>
        </is>
      </c>
      <c r="F2066" s="9" t="n">
        <v>1</v>
      </c>
      <c r="G2066" s="9" t="n">
        <v>1</v>
      </c>
      <c r="H2066" s="9" t="n">
        <v>1</v>
      </c>
      <c r="I2066" s="10" t="n">
        <v>44670</v>
      </c>
      <c r="J2066" s="10" t="n">
        <v>44670</v>
      </c>
      <c r="K2066" s="9" t="n">
        <v>27.80273</v>
      </c>
      <c r="L2066" s="9" t="n">
        <v>84.70659000000001</v>
      </c>
      <c r="M2066" s="9" t="inlineStr">
        <is>
          <t>https://www.google.com/maps/place/?q=place_id:ChIJNVCdEPrZlDkRnTZDuEqx9HE</t>
        </is>
      </c>
    </row>
    <row r="2067">
      <c r="A2067" s="9" t="n">
        <v>2063</v>
      </c>
      <c r="B2067" s="9" t="inlineStr">
        <is>
          <t>Hetauda</t>
        </is>
      </c>
      <c r="C2067" s="9" t="inlineStr">
        <is>
          <t>Hetauda</t>
        </is>
      </c>
      <c r="D2067" s="9" t="inlineStr">
        <is>
          <t>Bagmati Province</t>
        </is>
      </c>
      <c r="E2067" s="9" t="inlineStr">
        <is>
          <t>Nepal</t>
        </is>
      </c>
      <c r="F2067" s="9" t="n">
        <v>1</v>
      </c>
      <c r="G2067" s="9" t="n">
        <v>1</v>
      </c>
      <c r="H2067" s="9" t="n">
        <v>1</v>
      </c>
      <c r="I2067" s="10" t="n">
        <v>43606</v>
      </c>
      <c r="J2067" s="10" t="n">
        <v>43606</v>
      </c>
      <c r="K2067" s="9" t="n">
        <v>27.80486</v>
      </c>
      <c r="L2067" s="9" t="n">
        <v>84.87672999999999</v>
      </c>
      <c r="M2067" s="9" t="inlineStr">
        <is>
          <t>https://www.google.com/maps/place/?q=place_id:ChIJHw2jbsDVlDkRpK7aBQbKzm8</t>
        </is>
      </c>
    </row>
    <row r="2068">
      <c r="A2068" s="9" t="n">
        <v>2064</v>
      </c>
      <c r="B2068" s="9" t="inlineStr">
        <is>
          <t>Hetauda</t>
        </is>
      </c>
      <c r="C2068" s="9" t="inlineStr">
        <is>
          <t>Hetauda</t>
        </is>
      </c>
      <c r="D2068" s="9" t="inlineStr">
        <is>
          <t>Bagmati Province</t>
        </is>
      </c>
      <c r="E2068" s="9" t="inlineStr">
        <is>
          <t>Nepal</t>
        </is>
      </c>
      <c r="F2068" s="9" t="n">
        <v>1</v>
      </c>
      <c r="G2068" s="9" t="n">
        <v>1</v>
      </c>
      <c r="H2068" s="9" t="n">
        <v>1</v>
      </c>
      <c r="I2068" s="10" t="n">
        <v>44669</v>
      </c>
      <c r="J2068" s="10" t="n">
        <v>44669</v>
      </c>
      <c r="K2068" s="9" t="n">
        <v>27.42751</v>
      </c>
      <c r="L2068" s="9" t="n">
        <v>85.03185000000001</v>
      </c>
      <c r="M2068" s="9" t="inlineStr">
        <is>
          <t>https://www.google.com/maps/place/?q=place_id:ChIJyVPCl49J6zkR43ePzCXYNhE</t>
        </is>
      </c>
    </row>
    <row r="2069">
      <c r="A2069" s="9" t="n">
        <v>2065</v>
      </c>
      <c r="B2069" s="9" t="inlineStr">
        <is>
          <t>Hetauda</t>
        </is>
      </c>
      <c r="C2069" s="9" t="inlineStr">
        <is>
          <t>Hetauda</t>
        </is>
      </c>
      <c r="D2069" s="9" t="inlineStr">
        <is>
          <t>Bagmati Province</t>
        </is>
      </c>
      <c r="E2069" s="9" t="inlineStr">
        <is>
          <t>Nepal</t>
        </is>
      </c>
      <c r="F2069" s="9" t="n">
        <v>1</v>
      </c>
      <c r="G2069" s="9" t="n">
        <v>1</v>
      </c>
      <c r="H2069" s="9" t="n">
        <v>1</v>
      </c>
      <c r="I2069" s="10" t="n">
        <v>44670</v>
      </c>
      <c r="J2069" s="10" t="n">
        <v>44670</v>
      </c>
      <c r="K2069" s="9" t="n">
        <v>27.18087</v>
      </c>
      <c r="L2069" s="9" t="n">
        <v>85.18252</v>
      </c>
      <c r="M2069" s="9" t="inlineStr">
        <is>
          <t>https://www.google.com/maps/place/?q=place_id:ChIJiW-i6VZZ6zkRkSLpksI-1cg</t>
        </is>
      </c>
    </row>
    <row r="2070">
      <c r="A2070" s="9" t="n">
        <v>2066</v>
      </c>
      <c r="B2070" s="9" t="inlineStr">
        <is>
          <t>Hetauda</t>
        </is>
      </c>
      <c r="C2070" s="9" t="inlineStr">
        <is>
          <t>Hetauda</t>
        </is>
      </c>
      <c r="D2070" s="9" t="inlineStr">
        <is>
          <t>Bagmati Province</t>
        </is>
      </c>
      <c r="E2070" s="9" t="inlineStr">
        <is>
          <t>Nepal</t>
        </is>
      </c>
      <c r="F2070" s="9" t="n">
        <v>1</v>
      </c>
      <c r="G2070" s="9" t="n">
        <v>1</v>
      </c>
      <c r="H2070" s="9" t="n">
        <v>1</v>
      </c>
      <c r="I2070" s="10" t="n">
        <v>44670</v>
      </c>
      <c r="J2070" s="10" t="n">
        <v>44670</v>
      </c>
      <c r="K2070" s="9" t="n">
        <v>27.5066</v>
      </c>
      <c r="L2070" s="9" t="n">
        <v>84.83351999999999</v>
      </c>
      <c r="M2070" s="9" t="inlineStr">
        <is>
          <t>https://www.google.com/maps/place/?q=place_id:ChIJh8L2hrHJlDkR4wJEnC9I1Sk</t>
        </is>
      </c>
    </row>
    <row r="2071">
      <c r="A2071" s="9" t="n">
        <v>2067</v>
      </c>
      <c r="B2071" s="9" t="inlineStr">
        <is>
          <t>Madhyapur Thimi</t>
        </is>
      </c>
      <c r="C2071" s="9" t="inlineStr">
        <is>
          <t>Kathmandu</t>
        </is>
      </c>
      <c r="D2071" s="9" t="inlineStr">
        <is>
          <t>Bagmati Province</t>
        </is>
      </c>
      <c r="E2071" s="9" t="inlineStr">
        <is>
          <t>Nepal</t>
        </is>
      </c>
      <c r="F2071" s="9" t="n">
        <v>9</v>
      </c>
      <c r="G2071" s="9" t="n">
        <v>8</v>
      </c>
      <c r="H2071" s="9" t="n">
        <v>7</v>
      </c>
      <c r="I2071" s="10" t="n">
        <v>43530</v>
      </c>
      <c r="J2071" s="10" t="n">
        <v>46185</v>
      </c>
      <c r="K2071" s="9" t="n">
        <v>27.69919</v>
      </c>
      <c r="L2071" s="9" t="n">
        <v>85.35666999999999</v>
      </c>
      <c r="M2071" s="9" t="inlineStr">
        <is>
          <t>https://www.google.com/maps/place/?q=place_id:ChIJxSs0ayYa6zkRG6-JmoL6u3M</t>
        </is>
      </c>
    </row>
    <row r="2072">
      <c r="A2072" s="9" t="n">
        <v>2068</v>
      </c>
      <c r="B2072" s="9" t="inlineStr">
        <is>
          <t>Kathmandu</t>
        </is>
      </c>
      <c r="C2072" s="9" t="inlineStr">
        <is>
          <t>Kathmandu</t>
        </is>
      </c>
      <c r="D2072" s="9" t="inlineStr">
        <is>
          <t>Bagmati Province</t>
        </is>
      </c>
      <c r="E2072" s="9" t="inlineStr">
        <is>
          <t>Nepal</t>
        </is>
      </c>
      <c r="F2072" s="9" t="n">
        <v>8</v>
      </c>
      <c r="G2072" s="9" t="n">
        <v>7</v>
      </c>
      <c r="H2072" s="9" t="n">
        <v>2</v>
      </c>
      <c r="I2072" s="10" t="n">
        <v>43601</v>
      </c>
      <c r="J2072" s="10" t="n">
        <v>43610</v>
      </c>
      <c r="K2072" s="9" t="n">
        <v>27.71041</v>
      </c>
      <c r="L2072" s="9" t="n">
        <v>85.3152</v>
      </c>
      <c r="M2072" s="9" t="inlineStr">
        <is>
          <t>https://www.google.com/maps/place/?q=place_id:ChIJ5SiTjQEZ6zkR0PYGAyo_9bM</t>
        </is>
      </c>
    </row>
    <row r="2073">
      <c r="A2073" s="9" t="n">
        <v>2069</v>
      </c>
      <c r="B2073" s="9" t="inlineStr">
        <is>
          <t>Kathmandu</t>
        </is>
      </c>
      <c r="C2073" s="9" t="inlineStr">
        <is>
          <t>Kathmandu</t>
        </is>
      </c>
      <c r="D2073" s="9" t="inlineStr">
        <is>
          <t>Bagmati Province</t>
        </is>
      </c>
      <c r="E2073" s="9" t="inlineStr">
        <is>
          <t>Nepal</t>
        </is>
      </c>
      <c r="F2073" s="9" t="n">
        <v>5</v>
      </c>
      <c r="G2073" s="9" t="n">
        <v>6</v>
      </c>
      <c r="H2073" s="9" t="n">
        <v>2</v>
      </c>
      <c r="I2073" s="10" t="n">
        <v>43528</v>
      </c>
      <c r="J2073" s="10" t="n">
        <v>43601</v>
      </c>
      <c r="K2073" s="9" t="n">
        <v>27.68633</v>
      </c>
      <c r="L2073" s="9" t="n">
        <v>85.33881</v>
      </c>
      <c r="M2073" s="9" t="inlineStr">
        <is>
          <t>https://www.google.com/maps/place/?q=place_id:ChIJn8GadpQZ6zkR7dsEu9rdFQ0</t>
        </is>
      </c>
    </row>
    <row r="2074">
      <c r="A2074" s="9" t="n">
        <v>2070</v>
      </c>
      <c r="B2074" s="9" t="inlineStr">
        <is>
          <t>Kathmandu</t>
        </is>
      </c>
      <c r="C2074" s="9" t="inlineStr">
        <is>
          <t>Kathmandu</t>
        </is>
      </c>
      <c r="D2074" s="9" t="inlineStr">
        <is>
          <t>Bagmati Province</t>
        </is>
      </c>
      <c r="E2074" s="9" t="inlineStr">
        <is>
          <t>Nepal</t>
        </is>
      </c>
      <c r="F2074" s="9" t="n">
        <v>4</v>
      </c>
      <c r="G2074" s="9" t="n">
        <v>4</v>
      </c>
      <c r="H2074" s="9" t="n">
        <v>4</v>
      </c>
      <c r="I2074" s="10" t="n">
        <v>43605</v>
      </c>
      <c r="J2074" s="10" t="n">
        <v>46174</v>
      </c>
      <c r="K2074" s="9" t="n">
        <v>27.71051</v>
      </c>
      <c r="L2074" s="9" t="n">
        <v>85.34881</v>
      </c>
      <c r="M2074" s="9" t="inlineStr">
        <is>
          <t>https://www.google.com/maps/place/?q=place_id:ChIJq6qqqhoZ6zkRkZDfYAp9TEI</t>
        </is>
      </c>
    </row>
    <row r="2075">
      <c r="A2075" s="9" t="n">
        <v>2071</v>
      </c>
      <c r="B2075" s="9" t="inlineStr">
        <is>
          <t>Kirtipur</t>
        </is>
      </c>
      <c r="C2075" s="9" t="inlineStr">
        <is>
          <t>Kathmandu</t>
        </is>
      </c>
      <c r="D2075" s="9" t="inlineStr">
        <is>
          <t>Bagmati Province</t>
        </is>
      </c>
      <c r="E2075" s="9" t="inlineStr">
        <is>
          <t>Nepal</t>
        </is>
      </c>
      <c r="F2075" s="9" t="n">
        <v>4</v>
      </c>
      <c r="G2075" s="9" t="n">
        <v>4</v>
      </c>
      <c r="H2075" s="9" t="n">
        <v>2</v>
      </c>
      <c r="I2075" s="10" t="n">
        <v>44665</v>
      </c>
      <c r="J2075" s="10" t="n">
        <v>44672</v>
      </c>
      <c r="K2075" s="9" t="n">
        <v>27.7006</v>
      </c>
      <c r="L2075" s="9" t="n">
        <v>85.29101</v>
      </c>
      <c r="M2075" s="9" t="inlineStr">
        <is>
          <t>https://www.google.com/maps/place/?q=place_id:ChIJt82IlGAY6zkRY68XmvzY7UQ</t>
        </is>
      </c>
    </row>
    <row r="2076">
      <c r="A2076" s="9" t="n">
        <v>2072</v>
      </c>
      <c r="B2076" s="9" t="inlineStr">
        <is>
          <t>Madhyapur Thimi</t>
        </is>
      </c>
      <c r="C2076" s="9" t="inlineStr">
        <is>
          <t>Kathmandu</t>
        </is>
      </c>
      <c r="D2076" s="9" t="inlineStr">
        <is>
          <t>Bagmati Province</t>
        </is>
      </c>
      <c r="E2076" s="9" t="inlineStr">
        <is>
          <t>Nepal</t>
        </is>
      </c>
      <c r="F2076" s="9" t="n">
        <v>4</v>
      </c>
      <c r="G2076" s="9" t="n">
        <v>6</v>
      </c>
      <c r="H2076" s="9" t="n">
        <v>2</v>
      </c>
      <c r="I2076" s="10" t="n">
        <v>46172</v>
      </c>
      <c r="J2076" s="10" t="n">
        <v>46185</v>
      </c>
      <c r="K2076" s="9" t="n">
        <v>27.72677</v>
      </c>
      <c r="L2076" s="9" t="n">
        <v>85.39834</v>
      </c>
      <c r="M2076" s="9" t="inlineStr">
        <is>
          <t>https://www.google.com/maps/place/?q=place_id:ChIJdW5xcAAZ6zkRw03uIL2PJE0</t>
        </is>
      </c>
    </row>
    <row r="2077">
      <c r="A2077" s="9" t="n">
        <v>2073</v>
      </c>
      <c r="B2077" s="9" t="inlineStr">
        <is>
          <t>Kathmandu</t>
        </is>
      </c>
      <c r="C2077" s="9" t="inlineStr">
        <is>
          <t>Kathmandu</t>
        </is>
      </c>
      <c r="D2077" s="9" t="inlineStr">
        <is>
          <t>Bagmati Province</t>
        </is>
      </c>
      <c r="E2077" s="9" t="inlineStr">
        <is>
          <t>Nepal</t>
        </is>
      </c>
      <c r="F2077" s="9" t="n">
        <v>3</v>
      </c>
      <c r="G2077" s="9" t="n">
        <v>3</v>
      </c>
      <c r="H2077" s="9" t="n">
        <v>3</v>
      </c>
      <c r="I2077" s="10" t="n">
        <v>43604</v>
      </c>
      <c r="J2077" s="10" t="n">
        <v>46174</v>
      </c>
      <c r="K2077" s="9" t="n">
        <v>27.77805</v>
      </c>
      <c r="L2077" s="9" t="n">
        <v>85.36232</v>
      </c>
      <c r="M2077" s="9" t="inlineStr">
        <is>
          <t>https://www.google.com/maps/place/?q=place_id:ChIJm3AkYiIc6zkR8f6LoTRRpkU</t>
        </is>
      </c>
    </row>
    <row r="2078">
      <c r="A2078" s="9" t="n">
        <v>2074</v>
      </c>
      <c r="B2078" s="9" t="inlineStr">
        <is>
          <t>Madhyapur Thimi</t>
        </is>
      </c>
      <c r="C2078" s="9" t="inlineStr">
        <is>
          <t>Kathmandu</t>
        </is>
      </c>
      <c r="D2078" s="9" t="inlineStr">
        <is>
          <t>Bagmati Province</t>
        </is>
      </c>
      <c r="E2078" s="9" t="inlineStr">
        <is>
          <t>Nepal</t>
        </is>
      </c>
      <c r="F2078" s="9" t="n">
        <v>2</v>
      </c>
      <c r="G2078" s="9" t="n">
        <v>2</v>
      </c>
      <c r="H2078" s="9" t="n">
        <v>2</v>
      </c>
      <c r="I2078" s="10" t="n">
        <v>43529</v>
      </c>
      <c r="J2078" s="10" t="n">
        <v>43605</v>
      </c>
      <c r="K2078" s="9" t="n">
        <v>27.71648</v>
      </c>
      <c r="L2078" s="9" t="n">
        <v>85.42783</v>
      </c>
      <c r="M2078" s="9" t="inlineStr">
        <is>
          <t>https://www.google.com/maps/place/?q=place_id:ChIJc-mWZy8b6zkRwPZSGAUAyAo</t>
        </is>
      </c>
    </row>
    <row r="2079">
      <c r="A2079" s="9" t="n">
        <v>2075</v>
      </c>
      <c r="B2079" s="9" t="inlineStr">
        <is>
          <t>Kathmandu</t>
        </is>
      </c>
      <c r="C2079" s="9" t="inlineStr">
        <is>
          <t>Kathmandu</t>
        </is>
      </c>
      <c r="D2079" s="9" t="inlineStr">
        <is>
          <t>Bagmati Province</t>
        </is>
      </c>
      <c r="E2079" s="9" t="inlineStr">
        <is>
          <t>Nepal</t>
        </is>
      </c>
      <c r="F2079" s="9" t="n">
        <v>2</v>
      </c>
      <c r="G2079" s="9" t="n">
        <v>2</v>
      </c>
      <c r="H2079" s="9" t="n">
        <v>2</v>
      </c>
      <c r="I2079" s="10" t="n">
        <v>43604</v>
      </c>
      <c r="J2079" s="10" t="n">
        <v>44671</v>
      </c>
      <c r="K2079" s="9" t="n">
        <v>27.78365</v>
      </c>
      <c r="L2079" s="9" t="n">
        <v>85.357</v>
      </c>
      <c r="M2079" s="9" t="inlineStr">
        <is>
          <t>https://www.google.com/maps/place/?q=place_id:ChIJn5HmJCcc6zkR9MN0N1dZtqQ</t>
        </is>
      </c>
    </row>
    <row r="2080">
      <c r="A2080" s="9" t="n">
        <v>2076</v>
      </c>
      <c r="B2080" s="9" t="inlineStr">
        <is>
          <t>Kathmandu</t>
        </is>
      </c>
      <c r="C2080" s="9" t="inlineStr">
        <is>
          <t>Kathmandu</t>
        </is>
      </c>
      <c r="D2080" s="9" t="inlineStr">
        <is>
          <t>Bagmati Province</t>
        </is>
      </c>
      <c r="E2080" s="9" t="inlineStr">
        <is>
          <t>Nepal</t>
        </is>
      </c>
      <c r="F2080" s="9" t="n">
        <v>2</v>
      </c>
      <c r="G2080" s="9" t="n">
        <v>2</v>
      </c>
      <c r="H2080" s="9" t="n">
        <v>2</v>
      </c>
      <c r="I2080" s="10" t="n">
        <v>44671</v>
      </c>
      <c r="J2080" s="10" t="n">
        <v>46174</v>
      </c>
      <c r="K2080" s="9" t="n">
        <v>27.71119</v>
      </c>
      <c r="L2080" s="9" t="n">
        <v>85.35334</v>
      </c>
      <c r="M2080" s="9" t="inlineStr">
        <is>
          <t>https://www.google.com/maps/place/?q=place_id:ChIJeZv8a34Z6zkRUpXABVlVjWw</t>
        </is>
      </c>
    </row>
    <row r="2081">
      <c r="A2081" s="9" t="n">
        <v>2077</v>
      </c>
      <c r="B2081" s="9" t="inlineStr">
        <is>
          <t>Kathmandu</t>
        </is>
      </c>
      <c r="C2081" s="9" t="inlineStr">
        <is>
          <t>Kathmandu</t>
        </is>
      </c>
      <c r="D2081" s="9" t="inlineStr">
        <is>
          <t>Bagmati Province</t>
        </is>
      </c>
      <c r="E2081" s="9" t="inlineStr">
        <is>
          <t>Nepal</t>
        </is>
      </c>
      <c r="F2081" s="9" t="n">
        <v>2</v>
      </c>
      <c r="G2081" s="9" t="n">
        <v>1</v>
      </c>
      <c r="H2081" s="9" t="n">
        <v>1</v>
      </c>
      <c r="I2081" s="10" t="n">
        <v>46175</v>
      </c>
      <c r="J2081" s="10" t="n">
        <v>46175</v>
      </c>
      <c r="K2081" s="9" t="n">
        <v>28.26456</v>
      </c>
      <c r="L2081" s="9" t="n">
        <v>85.37426000000001</v>
      </c>
      <c r="M2081" s="9" t="inlineStr">
        <is>
          <t>https://www.google.com/maps/place/?q=place_id:ChIJhQi3SeST6jkR3b2VcZ2lSG0</t>
        </is>
      </c>
    </row>
    <row r="2082">
      <c r="A2082" s="9" t="n">
        <v>2078</v>
      </c>
      <c r="B2082" s="9" t="inlineStr">
        <is>
          <t>Kathmandu</t>
        </is>
      </c>
      <c r="C2082" s="9" t="inlineStr">
        <is>
          <t>Kathmandu</t>
        </is>
      </c>
      <c r="D2082" s="9" t="inlineStr">
        <is>
          <t>Bagmati Province</t>
        </is>
      </c>
      <c r="E2082" s="9" t="inlineStr">
        <is>
          <t>Nepal</t>
        </is>
      </c>
      <c r="F2082" s="9" t="n">
        <v>2</v>
      </c>
      <c r="G2082" s="9" t="n">
        <v>4</v>
      </c>
      <c r="H2082" s="9" t="n">
        <v>2</v>
      </c>
      <c r="I2082" s="10" t="n">
        <v>46178</v>
      </c>
      <c r="J2082" s="10" t="n">
        <v>46184</v>
      </c>
      <c r="K2082" s="9" t="n">
        <v>29.33672</v>
      </c>
      <c r="L2082" s="9" t="n">
        <v>85.23313</v>
      </c>
      <c r="M2082" s="9" t="inlineStr">
        <is>
          <t>https://www.google.com/maps/place/?q=place_id:ChIJg0dR44CKwDkRTUSKPZnJ5WM</t>
        </is>
      </c>
    </row>
    <row r="2083">
      <c r="A2083" s="9" t="n">
        <v>2079</v>
      </c>
      <c r="B2083" s="9" t="inlineStr">
        <is>
          <t>Kathmandu</t>
        </is>
      </c>
      <c r="C2083" s="9" t="inlineStr">
        <is>
          <t>Kathmandu</t>
        </is>
      </c>
      <c r="D2083" s="9" t="inlineStr">
        <is>
          <t>Bagmati Province</t>
        </is>
      </c>
      <c r="E2083" s="9" t="inlineStr">
        <is>
          <t>Nepal</t>
        </is>
      </c>
      <c r="F2083" s="9" t="n">
        <v>1</v>
      </c>
      <c r="G2083" s="9" t="n">
        <v>1</v>
      </c>
      <c r="H2083" s="9" t="n">
        <v>1</v>
      </c>
      <c r="I2083" s="10" t="n">
        <v>43528</v>
      </c>
      <c r="J2083" s="10" t="n">
        <v>43528</v>
      </c>
      <c r="K2083" s="9" t="n">
        <v>27.71478</v>
      </c>
      <c r="L2083" s="9" t="n">
        <v>85.29038</v>
      </c>
      <c r="M2083" s="9" t="inlineStr">
        <is>
          <t>https://www.google.com/maps/place/?q=place_id:ChIJrciCm40Y6zkR93t5EOS9Ma4</t>
        </is>
      </c>
    </row>
    <row r="2084">
      <c r="A2084" s="9" t="n">
        <v>2080</v>
      </c>
      <c r="B2084" s="9" t="inlineStr">
        <is>
          <t>Kathmandu</t>
        </is>
      </c>
      <c r="C2084" s="9" t="inlineStr">
        <is>
          <t>Kathmandu</t>
        </is>
      </c>
      <c r="D2084" s="9" t="inlineStr">
        <is>
          <t>Bagmati Province</t>
        </is>
      </c>
      <c r="E2084" s="9" t="inlineStr">
        <is>
          <t>Nepal</t>
        </is>
      </c>
      <c r="F2084" s="9" t="n">
        <v>1</v>
      </c>
      <c r="G2084" s="9" t="n">
        <v>2</v>
      </c>
      <c r="H2084" s="9" t="n">
        <v>1</v>
      </c>
      <c r="I2084" s="10" t="n">
        <v>43528</v>
      </c>
      <c r="J2084" s="10" t="n">
        <v>43529</v>
      </c>
      <c r="K2084" s="9" t="n">
        <v>27.68497</v>
      </c>
      <c r="L2084" s="9" t="n">
        <v>85.34013</v>
      </c>
      <c r="M2084" s="9" t="inlineStr">
        <is>
          <t>https://www.google.com/maps/place/?q=place_id:ChIJ_zYyZZMZ6zkRml6d57QLj3Y</t>
        </is>
      </c>
    </row>
    <row r="2085">
      <c r="A2085" s="9" t="n">
        <v>2081</v>
      </c>
      <c r="B2085" s="9" t="inlineStr">
        <is>
          <t>Madhyapur Thimi</t>
        </is>
      </c>
      <c r="C2085" s="9" t="inlineStr">
        <is>
          <t>Kathmandu</t>
        </is>
      </c>
      <c r="D2085" s="9" t="inlineStr">
        <is>
          <t>Bagmati Province</t>
        </is>
      </c>
      <c r="E2085" s="9" t="inlineStr">
        <is>
          <t>Nepal</t>
        </is>
      </c>
      <c r="F2085" s="9" t="n">
        <v>1</v>
      </c>
      <c r="G2085" s="9" t="n">
        <v>1</v>
      </c>
      <c r="H2085" s="9" t="n">
        <v>1</v>
      </c>
      <c r="I2085" s="10" t="n">
        <v>43529</v>
      </c>
      <c r="J2085" s="10" t="n">
        <v>43529</v>
      </c>
      <c r="K2085" s="9" t="n">
        <v>27.67432</v>
      </c>
      <c r="L2085" s="9" t="n">
        <v>85.39100999999999</v>
      </c>
      <c r="M2085" s="9" t="inlineStr">
        <is>
          <t>https://www.google.com/maps/place/?q=place_id:ChIJ0-Udn2Qa6zkRfPw4gNRScsY</t>
        </is>
      </c>
    </row>
    <row r="2086">
      <c r="A2086" s="9" t="n">
        <v>2082</v>
      </c>
      <c r="B2086" s="9" t="inlineStr">
        <is>
          <t>Madhyapur Thimi</t>
        </is>
      </c>
      <c r="C2086" s="9" t="inlineStr">
        <is>
          <t>Kathmandu</t>
        </is>
      </c>
      <c r="D2086" s="9" t="inlineStr">
        <is>
          <t>Bagmati Province</t>
        </is>
      </c>
      <c r="E2086" s="9" t="inlineStr">
        <is>
          <t>Nepal</t>
        </is>
      </c>
      <c r="F2086" s="9" t="n">
        <v>1</v>
      </c>
      <c r="G2086" s="9" t="n">
        <v>1</v>
      </c>
      <c r="H2086" s="9" t="n">
        <v>1</v>
      </c>
      <c r="I2086" s="10" t="n">
        <v>43529</v>
      </c>
      <c r="J2086" s="10" t="n">
        <v>43529</v>
      </c>
      <c r="K2086" s="9" t="n">
        <v>27.67207</v>
      </c>
      <c r="L2086" s="9" t="n">
        <v>85.4281</v>
      </c>
      <c r="M2086" s="9" t="inlineStr">
        <is>
          <t>https://www.google.com/maps/place/?q=place_id:ChIJMd8y7K8a6zkR_ZuvMec5o90</t>
        </is>
      </c>
    </row>
    <row r="2087">
      <c r="A2087" s="9" t="n">
        <v>2083</v>
      </c>
      <c r="B2087" s="9" t="inlineStr">
        <is>
          <t>Kathmandu</t>
        </is>
      </c>
      <c r="C2087" s="9" t="inlineStr">
        <is>
          <t>Kathmandu</t>
        </is>
      </c>
      <c r="D2087" s="9" t="inlineStr">
        <is>
          <t>Bagmati Province</t>
        </is>
      </c>
      <c r="E2087" s="9" t="inlineStr">
        <is>
          <t>Nepal</t>
        </is>
      </c>
      <c r="F2087" s="9" t="n">
        <v>1</v>
      </c>
      <c r="G2087" s="9" t="n">
        <v>1</v>
      </c>
      <c r="H2087" s="9" t="n">
        <v>1</v>
      </c>
      <c r="I2087" s="10" t="n">
        <v>43530</v>
      </c>
      <c r="J2087" s="10" t="n">
        <v>43530</v>
      </c>
      <c r="K2087" s="9" t="n">
        <v>27.72566</v>
      </c>
      <c r="L2087" s="9" t="n">
        <v>85.32017999999999</v>
      </c>
      <c r="M2087" s="9" t="inlineStr">
        <is>
          <t>https://www.google.com/maps/place/?q=place_id:ChIJGbx2hR4Z6zkRmI7fQY-YolI</t>
        </is>
      </c>
    </row>
    <row r="2088">
      <c r="A2088" s="9" t="n">
        <v>2084</v>
      </c>
      <c r="B2088" s="9" t="inlineStr">
        <is>
          <t>Kathmandu</t>
        </is>
      </c>
      <c r="C2088" s="9" t="inlineStr">
        <is>
          <t>Kathmandu</t>
        </is>
      </c>
      <c r="D2088" s="9" t="inlineStr">
        <is>
          <t>Bagmati Province</t>
        </is>
      </c>
      <c r="E2088" s="9" t="inlineStr">
        <is>
          <t>Nepal</t>
        </is>
      </c>
      <c r="F2088" s="9" t="n">
        <v>1</v>
      </c>
      <c r="G2088" s="9" t="n">
        <v>1</v>
      </c>
      <c r="H2088" s="9" t="n">
        <v>1</v>
      </c>
      <c r="I2088" s="10" t="n">
        <v>43600</v>
      </c>
      <c r="J2088" s="10" t="n">
        <v>43600</v>
      </c>
      <c r="K2088" s="9" t="n">
        <v>27.71525</v>
      </c>
      <c r="L2088" s="9" t="n">
        <v>85.3128</v>
      </c>
      <c r="M2088" s="9" t="inlineStr">
        <is>
          <t>https://www.google.com/maps/place/?q=place_id:ChIJ5QdTreIY6zkRDZ9W9_jLv0s</t>
        </is>
      </c>
    </row>
    <row r="2089">
      <c r="A2089" s="9" t="n">
        <v>2085</v>
      </c>
      <c r="B2089" s="9" t="inlineStr">
        <is>
          <t>Kathmandu</t>
        </is>
      </c>
      <c r="C2089" s="9" t="inlineStr">
        <is>
          <t>Kathmandu</t>
        </is>
      </c>
      <c r="D2089" s="9" t="inlineStr">
        <is>
          <t>Bagmati Province</t>
        </is>
      </c>
      <c r="E2089" s="9" t="inlineStr">
        <is>
          <t>Nepal</t>
        </is>
      </c>
      <c r="F2089" s="9" t="n">
        <v>1</v>
      </c>
      <c r="G2089" s="9" t="n">
        <v>1</v>
      </c>
      <c r="H2089" s="9" t="n">
        <v>1</v>
      </c>
      <c r="I2089" s="10" t="n">
        <v>43601</v>
      </c>
      <c r="J2089" s="10" t="n">
        <v>43601</v>
      </c>
      <c r="K2089" s="9" t="n">
        <v>27.72617</v>
      </c>
      <c r="L2089" s="9" t="n">
        <v>85.30512</v>
      </c>
      <c r="M2089" s="9" t="inlineStr">
        <is>
          <t>https://www.google.com/maps/place/?q=place_id:ChIJEWsKsOcY6zkRDkBHS_SpItw</t>
        </is>
      </c>
    </row>
    <row r="2090">
      <c r="A2090" s="9" t="n">
        <v>2086</v>
      </c>
      <c r="B2090" s="9" t="inlineStr">
        <is>
          <t>Kirtipur</t>
        </is>
      </c>
      <c r="C2090" s="9" t="inlineStr">
        <is>
          <t>Kathmandu</t>
        </is>
      </c>
      <c r="D2090" s="9" t="inlineStr">
        <is>
          <t>Bagmati Province</t>
        </is>
      </c>
      <c r="E2090" s="9" t="inlineStr">
        <is>
          <t>Nepal</t>
        </is>
      </c>
      <c r="F2090" s="9" t="n">
        <v>1</v>
      </c>
      <c r="G2090" s="9" t="n">
        <v>1</v>
      </c>
      <c r="H2090" s="9" t="n">
        <v>1</v>
      </c>
      <c r="I2090" s="10" t="n">
        <v>43603</v>
      </c>
      <c r="J2090" s="10" t="n">
        <v>43603</v>
      </c>
      <c r="K2090" s="9" t="n">
        <v>27.68772</v>
      </c>
      <c r="L2090" s="9" t="n">
        <v>85.23943</v>
      </c>
      <c r="M2090" s="9" t="inlineStr">
        <is>
          <t>https://www.google.com/maps/place/?q=place_id:ChIJxx-GpuUi6zkRHw-MavJvCbA</t>
        </is>
      </c>
    </row>
    <row r="2091">
      <c r="A2091" s="9" t="n">
        <v>2087</v>
      </c>
      <c r="B2091" s="9" t="inlineStr">
        <is>
          <t>Kirtipur</t>
        </is>
      </c>
      <c r="C2091" s="9" t="inlineStr">
        <is>
          <t>Kathmandu</t>
        </is>
      </c>
      <c r="D2091" s="9" t="inlineStr">
        <is>
          <t>Bagmati Province</t>
        </is>
      </c>
      <c r="E2091" s="9" t="inlineStr">
        <is>
          <t>Nepal</t>
        </is>
      </c>
      <c r="F2091" s="9" t="n">
        <v>1</v>
      </c>
      <c r="G2091" s="9" t="n">
        <v>1</v>
      </c>
      <c r="H2091" s="9" t="n">
        <v>1</v>
      </c>
      <c r="I2091" s="10" t="n">
        <v>43606</v>
      </c>
      <c r="J2091" s="10" t="n">
        <v>43606</v>
      </c>
      <c r="K2091" s="9" t="n">
        <v>27.6866</v>
      </c>
      <c r="L2091" s="9" t="n">
        <v>85.25776999999999</v>
      </c>
      <c r="M2091" s="9" t="inlineStr">
        <is>
          <t>https://www.google.com/maps/place/?q=place_id:ChIJjaXcqeIj6zkRU5c0OjXjd-o</t>
        </is>
      </c>
    </row>
    <row r="2092">
      <c r="A2092" s="9" t="n">
        <v>2088</v>
      </c>
      <c r="B2092" s="9" t="inlineStr">
        <is>
          <t>Kirtipur</t>
        </is>
      </c>
      <c r="C2092" s="9" t="inlineStr">
        <is>
          <t>Kathmandu</t>
        </is>
      </c>
      <c r="D2092" s="9" t="inlineStr">
        <is>
          <t>Bagmati Province</t>
        </is>
      </c>
      <c r="E2092" s="9" t="inlineStr">
        <is>
          <t>Nepal</t>
        </is>
      </c>
      <c r="F2092" s="9" t="n">
        <v>1</v>
      </c>
      <c r="G2092" s="9" t="n">
        <v>1</v>
      </c>
      <c r="H2092" s="9" t="n">
        <v>1</v>
      </c>
      <c r="I2092" s="10" t="n">
        <v>43609</v>
      </c>
      <c r="J2092" s="10" t="n">
        <v>43609</v>
      </c>
      <c r="K2092" s="9" t="n">
        <v>27.71166</v>
      </c>
      <c r="L2092" s="9" t="n">
        <v>85.2024</v>
      </c>
      <c r="M2092" s="9" t="inlineStr">
        <is>
          <t>https://www.google.com/maps/place/?q=place_id:ChIJjUUPYJoj6zkRJS6Yt3HDZ78</t>
        </is>
      </c>
    </row>
    <row r="2093">
      <c r="A2093" s="9" t="n">
        <v>2089</v>
      </c>
      <c r="B2093" s="9" t="inlineStr">
        <is>
          <t>Kirtipur</t>
        </is>
      </c>
      <c r="C2093" s="9" t="inlineStr">
        <is>
          <t>Kathmandu</t>
        </is>
      </c>
      <c r="D2093" s="9" t="inlineStr">
        <is>
          <t>Bagmati Province</t>
        </is>
      </c>
      <c r="E2093" s="9" t="inlineStr">
        <is>
          <t>Nepal</t>
        </is>
      </c>
      <c r="F2093" s="9" t="n">
        <v>1</v>
      </c>
      <c r="G2093" s="9" t="n">
        <v>1</v>
      </c>
      <c r="H2093" s="9" t="n">
        <v>1</v>
      </c>
      <c r="I2093" s="10" t="n">
        <v>44666</v>
      </c>
      <c r="J2093" s="10" t="n">
        <v>44666</v>
      </c>
      <c r="K2093" s="9" t="n">
        <v>27.71371</v>
      </c>
      <c r="L2093" s="9" t="n">
        <v>85.18033</v>
      </c>
      <c r="M2093" s="9" t="inlineStr">
        <is>
          <t>https://www.google.com/maps/place/?q=place_id:ChIJOahKFXAk6zkRxPuQr-o7NCY</t>
        </is>
      </c>
    </row>
    <row r="2094">
      <c r="A2094" s="9" t="n">
        <v>2090</v>
      </c>
      <c r="B2094" s="9" t="inlineStr">
        <is>
          <t>Kathmandu</t>
        </is>
      </c>
      <c r="C2094" s="9" t="inlineStr">
        <is>
          <t>Kathmandu</t>
        </is>
      </c>
      <c r="D2094" s="9" t="inlineStr">
        <is>
          <t>Bagmati Province</t>
        </is>
      </c>
      <c r="E2094" s="9" t="inlineStr">
        <is>
          <t>Nepal</t>
        </is>
      </c>
      <c r="F2094" s="9" t="n">
        <v>1</v>
      </c>
      <c r="G2094" s="9" t="n">
        <v>1</v>
      </c>
      <c r="H2094" s="9" t="n">
        <v>1</v>
      </c>
      <c r="I2094" s="10" t="n">
        <v>46174</v>
      </c>
      <c r="J2094" s="10" t="n">
        <v>46174</v>
      </c>
      <c r="K2094" s="9" t="n">
        <v>27.70541</v>
      </c>
      <c r="L2094" s="9" t="n">
        <v>85.34782</v>
      </c>
      <c r="M2094" s="9" t="inlineStr">
        <is>
          <t>https://www.google.com/maps/place/?q=place_id:ChIJfVWGyMcZ6zkR4wd-niFEO6I</t>
        </is>
      </c>
    </row>
    <row r="2095">
      <c r="A2095" s="9" t="n">
        <v>2091</v>
      </c>
      <c r="B2095" s="9" t="inlineStr">
        <is>
          <t>Kirtipur</t>
        </is>
      </c>
      <c r="C2095" s="9" t="inlineStr">
        <is>
          <t>Kathmandu</t>
        </is>
      </c>
      <c r="D2095" s="9" t="inlineStr">
        <is>
          <t>Bagmati Province</t>
        </is>
      </c>
      <c r="E2095" s="9" t="inlineStr">
        <is>
          <t>Nepal</t>
        </is>
      </c>
      <c r="F2095" s="9" t="n">
        <v>1</v>
      </c>
      <c r="G2095" s="9" t="n">
        <v>1</v>
      </c>
      <c r="H2095" s="9" t="n">
        <v>1</v>
      </c>
      <c r="I2095" s="10" t="n">
        <v>46175</v>
      </c>
      <c r="J2095" s="10" t="n">
        <v>46175</v>
      </c>
      <c r="K2095" s="9" t="n">
        <v>27.91594</v>
      </c>
      <c r="L2095" s="9" t="n">
        <v>85.14169</v>
      </c>
      <c r="M2095" s="9" t="inlineStr">
        <is>
          <t>https://www.google.com/maps/place/?q=place_id:ChIJwShu4ZvZ6jkRWcxAYSSbIb4</t>
        </is>
      </c>
    </row>
    <row r="2096">
      <c r="A2096" s="9" t="n">
        <v>2092</v>
      </c>
      <c r="B2096" s="9" t="inlineStr">
        <is>
          <t>Kirtipur</t>
        </is>
      </c>
      <c r="C2096" s="9" t="inlineStr">
        <is>
          <t>Kathmandu</t>
        </is>
      </c>
      <c r="D2096" s="9" t="inlineStr">
        <is>
          <t>Bagmati Province</t>
        </is>
      </c>
      <c r="E2096" s="9" t="inlineStr">
        <is>
          <t>Nepal</t>
        </is>
      </c>
      <c r="F2096" s="9" t="n">
        <v>1</v>
      </c>
      <c r="G2096" s="9" t="n">
        <v>1</v>
      </c>
      <c r="H2096" s="9" t="n">
        <v>1</v>
      </c>
      <c r="I2096" s="10" t="n">
        <v>46175</v>
      </c>
      <c r="J2096" s="10" t="n">
        <v>46175</v>
      </c>
      <c r="K2096" s="9" t="n">
        <v>27.922</v>
      </c>
      <c r="L2096" s="9" t="n">
        <v>85.1519</v>
      </c>
      <c r="M2096" s="9" t="inlineStr">
        <is>
          <t>https://www.google.com/maps/place/?q=place_id:ChIJb0hn4HnZ6jkRP82NAxPVtg4</t>
        </is>
      </c>
    </row>
    <row r="2097">
      <c r="A2097" s="9" t="n">
        <v>2093</v>
      </c>
      <c r="B2097" s="9" t="inlineStr">
        <is>
          <t>Kathmandu</t>
        </is>
      </c>
      <c r="C2097" s="9" t="inlineStr">
        <is>
          <t>Kathmandu</t>
        </is>
      </c>
      <c r="D2097" s="9" t="inlineStr">
        <is>
          <t>Bagmati Province</t>
        </is>
      </c>
      <c r="E2097" s="9" t="inlineStr">
        <is>
          <t>Nepal</t>
        </is>
      </c>
      <c r="F2097" s="9" t="n">
        <v>1</v>
      </c>
      <c r="G2097" s="9" t="n">
        <v>1</v>
      </c>
      <c r="H2097" s="9" t="n">
        <v>1</v>
      </c>
      <c r="I2097" s="10" t="n">
        <v>46175</v>
      </c>
      <c r="J2097" s="10" t="n">
        <v>46175</v>
      </c>
      <c r="K2097" s="9" t="n">
        <v>28.25371</v>
      </c>
      <c r="L2097" s="9" t="n">
        <v>85.36642000000001</v>
      </c>
      <c r="M2097" s="9" t="inlineStr">
        <is>
          <t>https://www.google.com/maps/place/?q=place_id:ChIJafogmW-T6jkRWz9EdigTvMw</t>
        </is>
      </c>
    </row>
    <row r="2098">
      <c r="A2098" s="9" t="n">
        <v>2094</v>
      </c>
      <c r="B2098" s="9" t="inlineStr">
        <is>
          <t>Kathmandu</t>
        </is>
      </c>
      <c r="C2098" s="9" t="inlineStr">
        <is>
          <t>Kathmandu</t>
        </is>
      </c>
      <c r="D2098" s="9" t="inlineStr">
        <is>
          <t>Bagmati Province</t>
        </is>
      </c>
      <c r="E2098" s="9" t="inlineStr">
        <is>
          <t>Nepal</t>
        </is>
      </c>
      <c r="F2098" s="9" t="n">
        <v>1</v>
      </c>
      <c r="G2098" s="9" t="n">
        <v>2</v>
      </c>
      <c r="H2098" s="9" t="n">
        <v>1</v>
      </c>
      <c r="I2098" s="10" t="n">
        <v>46175</v>
      </c>
      <c r="J2098" s="10" t="n">
        <v>46176</v>
      </c>
      <c r="K2098" s="9" t="n">
        <v>28.25207</v>
      </c>
      <c r="L2098" s="9" t="n">
        <v>85.36606999999999</v>
      </c>
      <c r="M2098" s="9" t="inlineStr">
        <is>
          <t>https://www.google.com/maps/place/?q=place_id:ChIJ65rlaG-T6jkRBmv4JzYEsl0</t>
        </is>
      </c>
    </row>
    <row r="2099">
      <c r="A2099" s="9" t="n">
        <v>2095</v>
      </c>
      <c r="B2099" s="9" t="inlineStr">
        <is>
          <t>Kathmandu</t>
        </is>
      </c>
      <c r="C2099" s="9" t="inlineStr">
        <is>
          <t>Kathmandu</t>
        </is>
      </c>
      <c r="D2099" s="9" t="inlineStr">
        <is>
          <t>Bagmati Province</t>
        </is>
      </c>
      <c r="E2099" s="9" t="inlineStr">
        <is>
          <t>Nepal</t>
        </is>
      </c>
      <c r="F2099" s="9" t="n">
        <v>1</v>
      </c>
      <c r="G2099" s="9" t="n">
        <v>1</v>
      </c>
      <c r="H2099" s="9" t="n">
        <v>1</v>
      </c>
      <c r="I2099" s="10" t="n">
        <v>46176</v>
      </c>
      <c r="J2099" s="10" t="n">
        <v>46176</v>
      </c>
      <c r="K2099" s="9" t="n">
        <v>28.27763</v>
      </c>
      <c r="L2099" s="9" t="n">
        <v>85.37765</v>
      </c>
      <c r="M2099" s="9" t="inlineStr">
        <is>
          <t>https://www.google.com/maps/place/?q=place_id:ChIJt5js-qKT6jkR_jfHPpWPJDI</t>
        </is>
      </c>
    </row>
    <row r="2100">
      <c r="A2100" s="9" t="n">
        <v>2096</v>
      </c>
      <c r="B2100" s="9" t="inlineStr">
        <is>
          <t>Kathmandu</t>
        </is>
      </c>
      <c r="C2100" s="9" t="inlineStr">
        <is>
          <t>Kathmandu</t>
        </is>
      </c>
      <c r="D2100" s="9" t="inlineStr">
        <is>
          <t>Bagmati Province</t>
        </is>
      </c>
      <c r="E2100" s="9" t="inlineStr">
        <is>
          <t>Nepal</t>
        </is>
      </c>
      <c r="F2100" s="9" t="n">
        <v>1</v>
      </c>
      <c r="G2100" s="9" t="n">
        <v>1</v>
      </c>
      <c r="H2100" s="9" t="n">
        <v>1</v>
      </c>
      <c r="I2100" s="10" t="n">
        <v>46176</v>
      </c>
      <c r="J2100" s="10" t="n">
        <v>46176</v>
      </c>
      <c r="K2100" s="9" t="n">
        <v>28.39297</v>
      </c>
      <c r="L2100" s="9" t="n">
        <v>85.32844</v>
      </c>
      <c r="M2100" s="9" t="inlineStr">
        <is>
          <t>https://www.google.com/maps/place/?q=place_id:ChIJm3dtOm-X6jkRydObux02JeA</t>
        </is>
      </c>
    </row>
    <row r="2101">
      <c r="A2101" s="9" t="n">
        <v>2097</v>
      </c>
      <c r="B2101" s="9" t="inlineStr">
        <is>
          <t>Kathmandu</t>
        </is>
      </c>
      <c r="C2101" s="9" t="inlineStr">
        <is>
          <t>Kathmandu</t>
        </is>
      </c>
      <c r="D2101" s="9" t="inlineStr">
        <is>
          <t>Bagmati Province</t>
        </is>
      </c>
      <c r="E2101" s="9" t="inlineStr">
        <is>
          <t>Nepal</t>
        </is>
      </c>
      <c r="F2101" s="9" t="n">
        <v>1</v>
      </c>
      <c r="G2101" s="9" t="n">
        <v>1</v>
      </c>
      <c r="H2101" s="9" t="n">
        <v>1</v>
      </c>
      <c r="I2101" s="10" t="n">
        <v>46176</v>
      </c>
      <c r="J2101" s="10" t="n">
        <v>46176</v>
      </c>
      <c r="K2101" s="9" t="n">
        <v>28.39469</v>
      </c>
      <c r="L2101" s="9" t="n">
        <v>85.32883</v>
      </c>
      <c r="M2101" s="9" t="inlineStr">
        <is>
          <t>https://www.google.com/maps/place/?q=place_id:ChIJp7MuVG-X6jkR4RvzysxK5m8</t>
        </is>
      </c>
    </row>
    <row r="2102">
      <c r="A2102" s="9" t="n">
        <v>2098</v>
      </c>
      <c r="B2102" s="9" t="inlineStr">
        <is>
          <t>Kathmandu</t>
        </is>
      </c>
      <c r="C2102" s="9" t="inlineStr">
        <is>
          <t>Kathmandu</t>
        </is>
      </c>
      <c r="D2102" s="9" t="inlineStr">
        <is>
          <t>Bagmati Province</t>
        </is>
      </c>
      <c r="E2102" s="9" t="inlineStr">
        <is>
          <t>Nepal</t>
        </is>
      </c>
      <c r="F2102" s="9" t="n">
        <v>1</v>
      </c>
      <c r="G2102" s="9" t="n">
        <v>3</v>
      </c>
      <c r="H2102" s="9" t="n">
        <v>1</v>
      </c>
      <c r="I2102" s="10" t="n">
        <v>46176</v>
      </c>
      <c r="J2102" s="10" t="n">
        <v>46178</v>
      </c>
      <c r="K2102" s="9" t="n">
        <v>28.39488</v>
      </c>
      <c r="L2102" s="9" t="n">
        <v>85.32814</v>
      </c>
      <c r="M2102" s="9" t="inlineStr">
        <is>
          <t>https://www.google.com/maps/place/?q=place_id:ChIJdQ9WX2-X6jkRTAyqqnE9x5c</t>
        </is>
      </c>
    </row>
    <row r="2103">
      <c r="A2103" s="9" t="n">
        <v>2099</v>
      </c>
      <c r="B2103" s="9" t="inlineStr">
        <is>
          <t>Kathmandu</t>
        </is>
      </c>
      <c r="C2103" s="9" t="inlineStr">
        <is>
          <t>Kathmandu</t>
        </is>
      </c>
      <c r="D2103" s="9" t="inlineStr">
        <is>
          <t>Bagmati Province</t>
        </is>
      </c>
      <c r="E2103" s="9" t="inlineStr">
        <is>
          <t>Nepal</t>
        </is>
      </c>
      <c r="F2103" s="9" t="n">
        <v>1</v>
      </c>
      <c r="G2103" s="9" t="n">
        <v>1</v>
      </c>
      <c r="H2103" s="9" t="n">
        <v>1</v>
      </c>
      <c r="I2103" s="10" t="n">
        <v>46184</v>
      </c>
      <c r="J2103" s="10" t="n">
        <v>46184</v>
      </c>
      <c r="K2103" s="9" t="n">
        <v>28.27868</v>
      </c>
      <c r="L2103" s="9" t="n">
        <v>85.37806</v>
      </c>
      <c r="M2103" s="9" t="inlineStr">
        <is>
          <t>https://www.google.com/maps/place/?q=place_id:ChIJwWCpiHWT6jkRdk09ng_zHVE</t>
        </is>
      </c>
    </row>
    <row r="2104">
      <c r="A2104" s="9" t="n">
        <v>2100</v>
      </c>
      <c r="B2104" s="9" t="inlineStr">
        <is>
          <t>Kathmandu</t>
        </is>
      </c>
      <c r="C2104" s="9" t="inlineStr">
        <is>
          <t>Kathmandu</t>
        </is>
      </c>
      <c r="D2104" s="9" t="inlineStr">
        <is>
          <t>Bagmati Province</t>
        </is>
      </c>
      <c r="E2104" s="9" t="inlineStr">
        <is>
          <t>Nepal</t>
        </is>
      </c>
      <c r="F2104" s="9" t="n">
        <v>1</v>
      </c>
      <c r="G2104" s="9" t="n">
        <v>1</v>
      </c>
      <c r="H2104" s="9" t="n">
        <v>1</v>
      </c>
      <c r="I2104" s="10" t="n">
        <v>46184</v>
      </c>
      <c r="J2104" s="10" t="n">
        <v>46184</v>
      </c>
      <c r="K2104" s="9" t="n">
        <v>28.26449</v>
      </c>
      <c r="L2104" s="9" t="n">
        <v>85.37451</v>
      </c>
      <c r="M2104" s="9" t="inlineStr">
        <is>
          <t>https://www.google.com/maps/place/?q=place_id:ChIJX4Sv5XST6jkR3FZSoexEaBo</t>
        </is>
      </c>
    </row>
    <row r="2105">
      <c r="A2105" s="9" t="n">
        <v>2101</v>
      </c>
      <c r="B2105" s="9" t="inlineStr">
        <is>
          <t>Kathmandu</t>
        </is>
      </c>
      <c r="C2105" s="9" t="inlineStr">
        <is>
          <t>Kathmandu</t>
        </is>
      </c>
      <c r="D2105" s="9" t="inlineStr">
        <is>
          <t>Bagmati Province</t>
        </is>
      </c>
      <c r="E2105" s="9" t="inlineStr">
        <is>
          <t>Nepal</t>
        </is>
      </c>
      <c r="F2105" s="9" t="n">
        <v>1</v>
      </c>
      <c r="G2105" s="9" t="n">
        <v>1</v>
      </c>
      <c r="H2105" s="9" t="n">
        <v>1</v>
      </c>
      <c r="I2105" s="10" t="n">
        <v>46184</v>
      </c>
      <c r="J2105" s="10" t="n">
        <v>46184</v>
      </c>
      <c r="K2105" s="9" t="n">
        <v>27.97419</v>
      </c>
      <c r="L2105" s="9" t="n">
        <v>85.18576</v>
      </c>
      <c r="M2105" s="9" t="inlineStr">
        <is>
          <t>https://www.google.com/maps/place/?q=place_id:ChIJsSUZwYbb6jkR4GwS5MUjDAs</t>
        </is>
      </c>
    </row>
    <row r="2106">
      <c r="A2106" s="9" t="n">
        <v>2102</v>
      </c>
      <c r="B2106" s="9" t="inlineStr">
        <is>
          <t>Kathmandu</t>
        </is>
      </c>
      <c r="C2106" s="9" t="inlineStr">
        <is>
          <t>Kathmandu</t>
        </is>
      </c>
      <c r="D2106" s="9" t="inlineStr">
        <is>
          <t>Bagmati Province</t>
        </is>
      </c>
      <c r="E2106" s="9" t="inlineStr">
        <is>
          <t>Nepal</t>
        </is>
      </c>
      <c r="F2106" s="9" t="n">
        <v>1</v>
      </c>
      <c r="G2106" s="9" t="n">
        <v>1</v>
      </c>
      <c r="H2106" s="9" t="n">
        <v>1</v>
      </c>
      <c r="I2106" s="10" t="n">
        <v>46184</v>
      </c>
      <c r="J2106" s="10" t="n">
        <v>46184</v>
      </c>
      <c r="K2106" s="9" t="n">
        <v>27.87253</v>
      </c>
      <c r="L2106" s="9" t="n">
        <v>85.27124000000001</v>
      </c>
      <c r="M2106" s="9" t="inlineStr">
        <is>
          <t>https://www.google.com/maps/place/?q=place_id:ChIJO7xI8vnf6jkRkw6WdvKU3Ow</t>
        </is>
      </c>
    </row>
    <row r="2107">
      <c r="A2107" s="9" t="n">
        <v>2103</v>
      </c>
      <c r="B2107" s="9" t="inlineStr">
        <is>
          <t>Kirtipur</t>
        </is>
      </c>
      <c r="C2107" s="9" t="inlineStr">
        <is>
          <t>Kirtipur</t>
        </is>
      </c>
      <c r="D2107" s="9" t="inlineStr">
        <is>
          <t>Bagmati Province</t>
        </is>
      </c>
      <c r="E2107" s="9" t="inlineStr">
        <is>
          <t>Nepal</t>
        </is>
      </c>
      <c r="F2107" s="9" t="n">
        <v>1</v>
      </c>
      <c r="G2107" s="9" t="n">
        <v>1</v>
      </c>
      <c r="H2107" s="9" t="n">
        <v>1</v>
      </c>
      <c r="I2107" s="10" t="n">
        <v>43601</v>
      </c>
      <c r="J2107" s="10" t="n">
        <v>43601</v>
      </c>
      <c r="K2107" s="9" t="n">
        <v>27.81047</v>
      </c>
      <c r="L2107" s="9" t="n">
        <v>84.96297</v>
      </c>
      <c r="M2107" s="9" t="inlineStr">
        <is>
          <t>https://www.google.com/maps/place/?q=place_id:ChIJi3HIL5Uq6zkRHtMoeSBQ9yw</t>
        </is>
      </c>
    </row>
    <row r="2108">
      <c r="A2108" s="9" t="n">
        <v>2104</v>
      </c>
      <c r="B2108" s="9" t="inlineStr">
        <is>
          <t>Kirtipur</t>
        </is>
      </c>
      <c r="C2108" s="9" t="inlineStr">
        <is>
          <t>Kirtipur</t>
        </is>
      </c>
      <c r="D2108" s="9" t="inlineStr">
        <is>
          <t>Bagmati Province</t>
        </is>
      </c>
      <c r="E2108" s="9" t="inlineStr">
        <is>
          <t>Nepal</t>
        </is>
      </c>
      <c r="F2108" s="9" t="n">
        <v>1</v>
      </c>
      <c r="G2108" s="9" t="n">
        <v>1</v>
      </c>
      <c r="H2108" s="9" t="n">
        <v>1</v>
      </c>
      <c r="I2108" s="10" t="n">
        <v>44666</v>
      </c>
      <c r="J2108" s="10" t="n">
        <v>44666</v>
      </c>
      <c r="K2108" s="9" t="n">
        <v>27.80063</v>
      </c>
      <c r="L2108" s="9" t="n">
        <v>84.97508999999999</v>
      </c>
      <c r="M2108" s="9" t="inlineStr">
        <is>
          <t>https://www.google.com/maps/place/?q=place_id:ChIJwV1_HVQr6zkRqPUxp6cL9OI</t>
        </is>
      </c>
    </row>
    <row r="2109">
      <c r="A2109" s="9" t="n">
        <v>2105</v>
      </c>
      <c r="B2109" s="9" t="inlineStr">
        <is>
          <t>Dailekh</t>
        </is>
      </c>
      <c r="C2109" s="9" t="inlineStr">
        <is>
          <t>Dailekh</t>
        </is>
      </c>
      <c r="D2109" s="9" t="inlineStr">
        <is>
          <t>Karnali Pradesh</t>
        </is>
      </c>
      <c r="E2109" s="9" t="inlineStr">
        <is>
          <t>Nepal</t>
        </is>
      </c>
      <c r="F2109" s="9" t="n">
        <v>1</v>
      </c>
      <c r="G2109" s="9" t="n">
        <v>1</v>
      </c>
      <c r="H2109" s="9" t="n">
        <v>1</v>
      </c>
      <c r="I2109" s="10" t="n">
        <v>46183</v>
      </c>
      <c r="J2109" s="10" t="n">
        <v>46183</v>
      </c>
      <c r="K2109" s="9" t="n">
        <v>30.49991</v>
      </c>
      <c r="L2109" s="9" t="n">
        <v>82.61414000000001</v>
      </c>
      <c r="M2109" s="9" t="inlineStr">
        <is>
          <t>https://www.google.com/maps/place/?q=place_id:ChIJt8X94XwXuzkRnjRri28g-74</t>
        </is>
      </c>
    </row>
    <row r="2110">
      <c r="A2110" s="9" t="n">
        <v>2106</v>
      </c>
      <c r="B2110" s="9" t="inlineStr">
        <is>
          <t>Siddharthanagar</t>
        </is>
      </c>
      <c r="C2110" s="9" t="inlineStr">
        <is>
          <t>Siddharthanagar</t>
        </is>
      </c>
      <c r="D2110" s="9" t="inlineStr">
        <is>
          <t>Lumbini Province</t>
        </is>
      </c>
      <c r="E2110" s="9" t="inlineStr">
        <is>
          <t>Nepal</t>
        </is>
      </c>
      <c r="F2110" s="9" t="n">
        <v>1</v>
      </c>
      <c r="G2110" s="9" t="n">
        <v>1</v>
      </c>
      <c r="H2110" s="9" t="n">
        <v>1</v>
      </c>
      <c r="I2110" s="10" t="n">
        <v>43527</v>
      </c>
      <c r="J2110" s="10" t="n">
        <v>43527</v>
      </c>
      <c r="K2110" s="9" t="n">
        <v>27.47589</v>
      </c>
      <c r="L2110" s="9" t="n">
        <v>83.46987</v>
      </c>
      <c r="M2110" s="9" t="inlineStr">
        <is>
          <t>https://www.google.com/maps/place/?q=place_id:ChIJsRKB1XCZljkRrVMZHtQPsn0</t>
        </is>
      </c>
    </row>
    <row r="2111">
      <c r="A2111" s="9" t="n">
        <v>2107</v>
      </c>
      <c r="B2111" s="9" t="inlineStr">
        <is>
          <t>Janakpur</t>
        </is>
      </c>
      <c r="C2111" s="9" t="inlineStr">
        <is>
          <t>Janakpur</t>
        </is>
      </c>
      <c r="D2111" s="9" t="inlineStr">
        <is>
          <t>Madhesh</t>
        </is>
      </c>
      <c r="E2111" s="9" t="inlineStr">
        <is>
          <t>Nepal</t>
        </is>
      </c>
      <c r="F2111" s="9" t="n">
        <v>3</v>
      </c>
      <c r="G2111" s="9" t="n">
        <v>4</v>
      </c>
      <c r="H2111" s="9" t="n">
        <v>2</v>
      </c>
      <c r="I2111" s="10" t="n">
        <v>43610</v>
      </c>
      <c r="J2111" s="10" t="n">
        <v>44670</v>
      </c>
      <c r="K2111" s="9" t="n">
        <v>26.72988</v>
      </c>
      <c r="L2111" s="9" t="n">
        <v>85.92956</v>
      </c>
      <c r="M2111" s="9" t="inlineStr">
        <is>
          <t>https://www.google.com/maps/place/?q=place_id:ChIJ8_4WdgdA7DkR8BDAhjGNf1w</t>
        </is>
      </c>
    </row>
    <row r="2112">
      <c r="A2112" s="9" t="n">
        <v>2108</v>
      </c>
      <c r="B2112" s="9" t="inlineStr">
        <is>
          <t>Janakpur</t>
        </is>
      </c>
      <c r="C2112" s="9" t="inlineStr">
        <is>
          <t>Janakpur</t>
        </is>
      </c>
      <c r="D2112" s="9" t="inlineStr">
        <is>
          <t>Madhesh</t>
        </is>
      </c>
      <c r="E2112" s="9" t="inlineStr">
        <is>
          <t>Nepal</t>
        </is>
      </c>
      <c r="F2112" s="9" t="n">
        <v>2</v>
      </c>
      <c r="G2112" s="9" t="n">
        <v>2</v>
      </c>
      <c r="H2112" s="9" t="n">
        <v>2</v>
      </c>
      <c r="I2112" s="10" t="n">
        <v>43611</v>
      </c>
      <c r="J2112" s="10" t="n">
        <v>44670</v>
      </c>
      <c r="K2112" s="9" t="n">
        <v>26.73042</v>
      </c>
      <c r="L2112" s="9" t="n">
        <v>85.92569</v>
      </c>
      <c r="M2112" s="9" t="inlineStr">
        <is>
          <t>https://www.google.com/maps/place/?q=place_id:ChIJB9XjnQZA7DkRfx2VCvFCmF4</t>
        </is>
      </c>
    </row>
    <row r="2113">
      <c r="A2113" s="9" t="n">
        <v>2109</v>
      </c>
      <c r="B2113" s="9" t="inlineStr">
        <is>
          <t>Janakpur</t>
        </is>
      </c>
      <c r="C2113" s="9" t="inlineStr">
        <is>
          <t>Janakpur</t>
        </is>
      </c>
      <c r="D2113" s="9" t="inlineStr">
        <is>
          <t>Madhesh</t>
        </is>
      </c>
      <c r="E2113" s="9" t="inlineStr">
        <is>
          <t>Nepal</t>
        </is>
      </c>
      <c r="F2113" s="9" t="n">
        <v>2</v>
      </c>
      <c r="G2113" s="9" t="n">
        <v>2</v>
      </c>
      <c r="H2113" s="9" t="n">
        <v>2</v>
      </c>
      <c r="I2113" s="10" t="n">
        <v>43611</v>
      </c>
      <c r="J2113" s="10" t="n">
        <v>44670</v>
      </c>
      <c r="K2113" s="9" t="n">
        <v>26.73739</v>
      </c>
      <c r="L2113" s="9" t="n">
        <v>85.91253</v>
      </c>
      <c r="M2113" s="9" t="inlineStr">
        <is>
          <t>https://www.google.com/maps/place/?q=place_id:ChIJ-czYNeJB7DkRw8_hkpCv9VM</t>
        </is>
      </c>
    </row>
    <row r="2114">
      <c r="A2114" s="9" t="n">
        <v>2110</v>
      </c>
      <c r="B2114" s="9" t="inlineStr">
        <is>
          <t>Janakpur</t>
        </is>
      </c>
      <c r="C2114" s="9" t="inlineStr">
        <is>
          <t>Janakpur</t>
        </is>
      </c>
      <c r="D2114" s="9" t="inlineStr">
        <is>
          <t>Madhesh</t>
        </is>
      </c>
      <c r="E2114" s="9" t="inlineStr">
        <is>
          <t>Nepal</t>
        </is>
      </c>
      <c r="F2114" s="9" t="n">
        <v>1</v>
      </c>
      <c r="G2114" s="9" t="n">
        <v>1</v>
      </c>
      <c r="H2114" s="9" t="n">
        <v>1</v>
      </c>
      <c r="I2114" s="10" t="n">
        <v>43610</v>
      </c>
      <c r="J2114" s="10" t="n">
        <v>43610</v>
      </c>
      <c r="K2114" s="9" t="n">
        <v>26.70883</v>
      </c>
      <c r="L2114" s="9" t="n">
        <v>85.92403</v>
      </c>
      <c r="M2114" s="9" t="inlineStr">
        <is>
          <t>https://www.google.com/maps/place/?q=place_id:ChIJoRojMXJA7DkRRLjhQDyJWKs</t>
        </is>
      </c>
    </row>
    <row r="2115">
      <c r="A2115" s="9" t="n">
        <v>2111</v>
      </c>
      <c r="B2115" s="9" t="inlineStr">
        <is>
          <t>Janakpur</t>
        </is>
      </c>
      <c r="C2115" s="9" t="inlineStr">
        <is>
          <t>Janakpur</t>
        </is>
      </c>
      <c r="D2115" s="9" t="inlineStr">
        <is>
          <t>Madhesh</t>
        </is>
      </c>
      <c r="E2115" s="9" t="inlineStr">
        <is>
          <t>Nepal</t>
        </is>
      </c>
      <c r="F2115" s="9" t="n">
        <v>1</v>
      </c>
      <c r="G2115" s="9" t="n">
        <v>1</v>
      </c>
      <c r="H2115" s="9" t="n">
        <v>1</v>
      </c>
      <c r="I2115" s="10" t="n">
        <v>44670</v>
      </c>
      <c r="J2115" s="10" t="n">
        <v>44670</v>
      </c>
      <c r="K2115" s="9" t="n">
        <v>26.83067</v>
      </c>
      <c r="L2115" s="9" t="n">
        <v>86.0569</v>
      </c>
      <c r="M2115" s="9" t="inlineStr">
        <is>
          <t>https://www.google.com/maps/place/?q=place_id:ChIJ3ZXo4CsX7DkRSfi-RseXhhA</t>
        </is>
      </c>
    </row>
    <row r="2116">
      <c r="A2116" s="9" t="n">
        <v>2112</v>
      </c>
      <c r="B2116" s="9" t="inlineStr">
        <is>
          <t>Malangawa</t>
        </is>
      </c>
      <c r="C2116" s="9" t="inlineStr">
        <is>
          <t>Malangawa</t>
        </is>
      </c>
      <c r="D2116" s="9" t="inlineStr">
        <is>
          <t>Madhesh</t>
        </is>
      </c>
      <c r="E2116" s="9" t="inlineStr">
        <is>
          <t>Nepal</t>
        </is>
      </c>
      <c r="F2116" s="9" t="n">
        <v>1</v>
      </c>
      <c r="G2116" s="9" t="n">
        <v>1</v>
      </c>
      <c r="H2116" s="9" t="n">
        <v>1</v>
      </c>
      <c r="I2116" s="10" t="n">
        <v>44669</v>
      </c>
      <c r="J2116" s="10" t="n">
        <v>44669</v>
      </c>
      <c r="K2116" s="9" t="n">
        <v>27.1258</v>
      </c>
      <c r="L2116" s="9" t="n">
        <v>85.48788999999999</v>
      </c>
      <c r="M2116" s="9" t="inlineStr">
        <is>
          <t>https://www.google.com/maps/place/?q=place_id:ChIJe3b6ub596zkR5pXaWvjx30I</t>
        </is>
      </c>
    </row>
    <row r="2117">
      <c r="A2117" s="9" t="n">
        <v>2113</v>
      </c>
      <c r="B2117" s="9" t="inlineStr">
        <is>
          <t>Baglun</t>
        </is>
      </c>
      <c r="C2117" s="9" t="inlineStr">
        <is>
          <t>Baglun</t>
        </is>
      </c>
      <c r="D2117" s="9" t="inlineStr">
        <is>
          <t>Province 4</t>
        </is>
      </c>
      <c r="E2117" s="9" t="inlineStr">
        <is>
          <t>Nepal</t>
        </is>
      </c>
      <c r="F2117" s="9" t="n">
        <v>3</v>
      </c>
      <c r="G2117" s="9" t="n">
        <v>6</v>
      </c>
      <c r="H2117" s="9" t="n">
        <v>3</v>
      </c>
      <c r="I2117" s="10" t="n">
        <v>43602</v>
      </c>
      <c r="J2117" s="10" t="n">
        <v>44668</v>
      </c>
      <c r="K2117" s="9" t="n">
        <v>28.7819</v>
      </c>
      <c r="L2117" s="9" t="n">
        <v>83.72315999999999</v>
      </c>
      <c r="M2117" s="9" t="inlineStr">
        <is>
          <t>https://www.google.com/maps/place/?q=place_id:ChIJ-3lH-l4OvjkR9eIROogx_EI</t>
        </is>
      </c>
    </row>
    <row r="2118">
      <c r="A2118" s="9" t="n">
        <v>2114</v>
      </c>
      <c r="B2118" s="9" t="inlineStr">
        <is>
          <t>Baglun</t>
        </is>
      </c>
      <c r="C2118" s="9" t="inlineStr">
        <is>
          <t>Baglun</t>
        </is>
      </c>
      <c r="D2118" s="9" t="inlineStr">
        <is>
          <t>Province 4</t>
        </is>
      </c>
      <c r="E2118" s="9" t="inlineStr">
        <is>
          <t>Nepal</t>
        </is>
      </c>
      <c r="F2118" s="9" t="n">
        <v>2</v>
      </c>
      <c r="G2118" s="9" t="n">
        <v>2</v>
      </c>
      <c r="H2118" s="9" t="n">
        <v>2</v>
      </c>
      <c r="I2118" s="10" t="n">
        <v>43602</v>
      </c>
      <c r="J2118" s="10" t="n">
        <v>43607</v>
      </c>
      <c r="K2118" s="9" t="n">
        <v>28.78261</v>
      </c>
      <c r="L2118" s="9" t="n">
        <v>83.72392000000001</v>
      </c>
      <c r="M2118" s="9" t="inlineStr">
        <is>
          <t>https://www.google.com/maps/place/?q=place_id:ChIJ6_hvP14OvjkRHkFGxpgTUko</t>
        </is>
      </c>
    </row>
    <row r="2119">
      <c r="A2119" s="9" t="n">
        <v>2115</v>
      </c>
      <c r="B2119" s="9" t="inlineStr">
        <is>
          <t>Baglun</t>
        </is>
      </c>
      <c r="C2119" s="9" t="inlineStr">
        <is>
          <t>Baglun</t>
        </is>
      </c>
      <c r="D2119" s="9" t="inlineStr">
        <is>
          <t>Province 4</t>
        </is>
      </c>
      <c r="E2119" s="9" t="inlineStr">
        <is>
          <t>Nepal</t>
        </is>
      </c>
      <c r="F2119" s="9" t="n">
        <v>2</v>
      </c>
      <c r="G2119" s="9" t="n">
        <v>2</v>
      </c>
      <c r="H2119" s="9" t="n">
        <v>1</v>
      </c>
      <c r="I2119" s="10" t="n">
        <v>44667</v>
      </c>
      <c r="J2119" s="10" t="n">
        <v>44668</v>
      </c>
      <c r="K2119" s="9" t="n">
        <v>28.78186</v>
      </c>
      <c r="L2119" s="9" t="n">
        <v>83.72216</v>
      </c>
      <c r="M2119" s="9" t="inlineStr">
        <is>
          <t>https://www.google.com/maps/place/?q=place_id:ChIJfY96R14OvjkRGaPrTU_R0og</t>
        </is>
      </c>
    </row>
    <row r="2120">
      <c r="A2120" s="9" t="n">
        <v>2116</v>
      </c>
      <c r="B2120" s="9" t="inlineStr">
        <is>
          <t>Pokhara</t>
        </is>
      </c>
      <c r="C2120" s="9" t="inlineStr">
        <is>
          <t>Pokhara</t>
        </is>
      </c>
      <c r="D2120" s="9" t="inlineStr">
        <is>
          <t>Province 4</t>
        </is>
      </c>
      <c r="E2120" s="9" t="inlineStr">
        <is>
          <t>Nepal</t>
        </is>
      </c>
      <c r="F2120" s="9" t="n">
        <v>5</v>
      </c>
      <c r="G2120" s="9" t="n">
        <v>6</v>
      </c>
      <c r="H2120" s="9" t="n">
        <v>2</v>
      </c>
      <c r="I2120" s="10" t="n">
        <v>43601</v>
      </c>
      <c r="J2120" s="10" t="n">
        <v>43609</v>
      </c>
      <c r="K2120" s="9" t="n">
        <v>28.20945</v>
      </c>
      <c r="L2120" s="9" t="n">
        <v>83.96185</v>
      </c>
      <c r="M2120" s="9" t="inlineStr">
        <is>
          <t>https://www.google.com/maps/place/?q=place_id:ChIJY19V-hyVlTkRPiRExNSk8Ys</t>
        </is>
      </c>
    </row>
    <row r="2121">
      <c r="A2121" s="9" t="n">
        <v>2117</v>
      </c>
      <c r="B2121" s="9" t="inlineStr">
        <is>
          <t>Pokhara</t>
        </is>
      </c>
      <c r="C2121" s="9" t="inlineStr">
        <is>
          <t>Pokhara</t>
        </is>
      </c>
      <c r="D2121" s="9" t="inlineStr">
        <is>
          <t>Province 4</t>
        </is>
      </c>
      <c r="E2121" s="9" t="inlineStr">
        <is>
          <t>Nepal</t>
        </is>
      </c>
      <c r="F2121" s="9" t="n">
        <v>4</v>
      </c>
      <c r="G2121" s="9" t="n">
        <v>4</v>
      </c>
      <c r="H2121" s="9" t="n">
        <v>3</v>
      </c>
      <c r="I2121" s="10" t="n">
        <v>43602</v>
      </c>
      <c r="J2121" s="10" t="n">
        <v>44668</v>
      </c>
      <c r="K2121" s="9" t="n">
        <v>28.19939</v>
      </c>
      <c r="L2121" s="9" t="n">
        <v>83.97841</v>
      </c>
      <c r="M2121" s="9" t="inlineStr">
        <is>
          <t>https://www.google.com/maps/place/?q=place_id:ChIJBTRVuaWVlTkR3SO1W9S-8Es</t>
        </is>
      </c>
    </row>
    <row r="2122">
      <c r="A2122" s="9" t="n">
        <v>2118</v>
      </c>
      <c r="B2122" s="9" t="inlineStr">
        <is>
          <t>Pokhara</t>
        </is>
      </c>
      <c r="C2122" s="9" t="inlineStr">
        <is>
          <t>Pokhara</t>
        </is>
      </c>
      <c r="D2122" s="9" t="inlineStr">
        <is>
          <t>Province 4</t>
        </is>
      </c>
      <c r="E2122" s="9" t="inlineStr">
        <is>
          <t>Nepal</t>
        </is>
      </c>
      <c r="F2122" s="9" t="n">
        <v>3</v>
      </c>
      <c r="G2122" s="9" t="n">
        <v>4</v>
      </c>
      <c r="H2122" s="9" t="n">
        <v>1</v>
      </c>
      <c r="I2122" s="10" t="n">
        <v>44666</v>
      </c>
      <c r="J2122" s="10" t="n">
        <v>44669</v>
      </c>
      <c r="K2122" s="9" t="n">
        <v>28.1918</v>
      </c>
      <c r="L2122" s="9" t="n">
        <v>83.9747</v>
      </c>
      <c r="M2122" s="9" t="inlineStr">
        <is>
          <t>https://www.google.com/maps/place/?q=place_id:ChIJ8YXCRn-UlTkRPhmQOjfJ1PU</t>
        </is>
      </c>
    </row>
    <row r="2123">
      <c r="A2123" s="9" t="n">
        <v>2119</v>
      </c>
      <c r="B2123" s="9" t="inlineStr">
        <is>
          <t>Pokhara</t>
        </is>
      </c>
      <c r="C2123" s="9" t="inlineStr">
        <is>
          <t>Pokhara</t>
        </is>
      </c>
      <c r="D2123" s="9" t="inlineStr">
        <is>
          <t>Province 4</t>
        </is>
      </c>
      <c r="E2123" s="9" t="inlineStr">
        <is>
          <t>Nepal</t>
        </is>
      </c>
      <c r="F2123" s="9" t="n">
        <v>2</v>
      </c>
      <c r="G2123" s="9" t="n">
        <v>2</v>
      </c>
      <c r="H2123" s="9" t="n">
        <v>2</v>
      </c>
      <c r="I2123" s="10" t="n">
        <v>43602</v>
      </c>
      <c r="J2123" s="10" t="n">
        <v>43607</v>
      </c>
      <c r="K2123" s="9" t="n">
        <v>28.81674</v>
      </c>
      <c r="L2123" s="9" t="n">
        <v>83.87127</v>
      </c>
      <c r="M2123" s="9" t="inlineStr">
        <is>
          <t>https://www.google.com/maps/place/?q=place_id:ChIJL_o1-SAUvjkRf6mwFzs29LY</t>
        </is>
      </c>
    </row>
    <row r="2124">
      <c r="A2124" s="9" t="n">
        <v>2120</v>
      </c>
      <c r="B2124" s="9" t="inlineStr">
        <is>
          <t>Pokhara</t>
        </is>
      </c>
      <c r="C2124" s="9" t="inlineStr">
        <is>
          <t>Pokhara</t>
        </is>
      </c>
      <c r="D2124" s="9" t="inlineStr">
        <is>
          <t>Province 4</t>
        </is>
      </c>
      <c r="E2124" s="9" t="inlineStr">
        <is>
          <t>Nepal</t>
        </is>
      </c>
      <c r="F2124" s="9" t="n">
        <v>2</v>
      </c>
      <c r="G2124" s="9" t="n">
        <v>2</v>
      </c>
      <c r="H2124" s="9" t="n">
        <v>2</v>
      </c>
      <c r="I2124" s="10" t="n">
        <v>43603</v>
      </c>
      <c r="J2124" s="10" t="n">
        <v>44668</v>
      </c>
      <c r="K2124" s="9" t="n">
        <v>28.23782</v>
      </c>
      <c r="L2124" s="9" t="n">
        <v>83.98421</v>
      </c>
      <c r="M2124" s="9" t="inlineStr">
        <is>
          <t>https://www.google.com/maps/place/?q=place_id:ChIJpYvSV12UlTkRRpUnGJKGUt0</t>
        </is>
      </c>
    </row>
    <row r="2125">
      <c r="A2125" s="9" t="n">
        <v>2121</v>
      </c>
      <c r="B2125" s="9" t="inlineStr">
        <is>
          <t>Pokhara</t>
        </is>
      </c>
      <c r="C2125" s="9" t="inlineStr">
        <is>
          <t>Pokhara</t>
        </is>
      </c>
      <c r="D2125" s="9" t="inlineStr">
        <is>
          <t>Province 4</t>
        </is>
      </c>
      <c r="E2125" s="9" t="inlineStr">
        <is>
          <t>Nepal</t>
        </is>
      </c>
      <c r="F2125" s="9" t="n">
        <v>1</v>
      </c>
      <c r="G2125" s="9" t="n">
        <v>1</v>
      </c>
      <c r="H2125" s="9" t="n">
        <v>1</v>
      </c>
      <c r="I2125" s="10" t="n">
        <v>43602</v>
      </c>
      <c r="J2125" s="10" t="n">
        <v>43602</v>
      </c>
      <c r="K2125" s="9" t="n">
        <v>28.82048</v>
      </c>
      <c r="L2125" s="9" t="n">
        <v>84.01674</v>
      </c>
      <c r="M2125" s="9" t="inlineStr">
        <is>
          <t>https://www.google.com/maps/place/?q=place_id:ChIJfQ-iMaQ9vjkRYyyWxi8WCnA</t>
        </is>
      </c>
    </row>
    <row r="2126">
      <c r="A2126" s="9" t="n">
        <v>2122</v>
      </c>
      <c r="B2126" s="9" t="inlineStr">
        <is>
          <t>Pokhara</t>
        </is>
      </c>
      <c r="C2126" s="9" t="inlineStr">
        <is>
          <t>Pokhara</t>
        </is>
      </c>
      <c r="D2126" s="9" t="inlineStr">
        <is>
          <t>Province 4</t>
        </is>
      </c>
      <c r="E2126" s="9" t="inlineStr">
        <is>
          <t>Nepal</t>
        </is>
      </c>
      <c r="F2126" s="9" t="n">
        <v>1</v>
      </c>
      <c r="G2126" s="9" t="n">
        <v>1</v>
      </c>
      <c r="H2126" s="9" t="n">
        <v>1</v>
      </c>
      <c r="I2126" s="10" t="n">
        <v>43602</v>
      </c>
      <c r="J2126" s="10" t="n">
        <v>43602</v>
      </c>
      <c r="K2126" s="9" t="n">
        <v>28.81601</v>
      </c>
      <c r="L2126" s="9" t="n">
        <v>83.86275999999999</v>
      </c>
      <c r="M2126" s="9" t="inlineStr">
        <is>
          <t>https://www.google.com/maps/place/?q=place_id:ChIJcWBOjWcVvjkRtsCzNUUehgM</t>
        </is>
      </c>
    </row>
    <row r="2127">
      <c r="A2127" s="9" t="n">
        <v>2123</v>
      </c>
      <c r="B2127" s="9" t="inlineStr">
        <is>
          <t>Pokhara</t>
        </is>
      </c>
      <c r="C2127" s="9" t="inlineStr">
        <is>
          <t>Pokhara</t>
        </is>
      </c>
      <c r="D2127" s="9" t="inlineStr">
        <is>
          <t>Province 4</t>
        </is>
      </c>
      <c r="E2127" s="9" t="inlineStr">
        <is>
          <t>Nepal</t>
        </is>
      </c>
      <c r="F2127" s="9" t="n">
        <v>1</v>
      </c>
      <c r="G2127" s="9" t="n">
        <v>1</v>
      </c>
      <c r="H2127" s="9" t="n">
        <v>1</v>
      </c>
      <c r="I2127" s="10" t="n">
        <v>43607</v>
      </c>
      <c r="J2127" s="10" t="n">
        <v>43607</v>
      </c>
      <c r="K2127" s="9" t="n">
        <v>28.20777</v>
      </c>
      <c r="L2127" s="9" t="n">
        <v>83.95941000000001</v>
      </c>
      <c r="M2127" s="9" t="inlineStr">
        <is>
          <t>https://www.google.com/maps/place/?q=place_id:ChIJ4QXtDhyVlTkRjMqUfzSnlyc</t>
        </is>
      </c>
    </row>
    <row r="2128">
      <c r="A2128" s="9" t="n">
        <v>2124</v>
      </c>
      <c r="B2128" s="9" t="inlineStr">
        <is>
          <t>Pokhara</t>
        </is>
      </c>
      <c r="C2128" s="9" t="inlineStr">
        <is>
          <t>Pokhara</t>
        </is>
      </c>
      <c r="D2128" s="9" t="inlineStr">
        <is>
          <t>Province 4</t>
        </is>
      </c>
      <c r="E2128" s="9" t="inlineStr">
        <is>
          <t>Nepal</t>
        </is>
      </c>
      <c r="F2128" s="9" t="n">
        <v>1</v>
      </c>
      <c r="G2128" s="9" t="n">
        <v>1</v>
      </c>
      <c r="H2128" s="9" t="n">
        <v>1</v>
      </c>
      <c r="I2128" s="10" t="n">
        <v>43607</v>
      </c>
      <c r="J2128" s="10" t="n">
        <v>43607</v>
      </c>
      <c r="K2128" s="9" t="n">
        <v>28.252</v>
      </c>
      <c r="L2128" s="9" t="n">
        <v>83.98065</v>
      </c>
      <c r="M2128" s="9" t="inlineStr">
        <is>
          <t>https://www.google.com/maps/place/?q=place_id:ChIJT-nDnXuUlTkRz46OA7Sv1P0</t>
        </is>
      </c>
    </row>
    <row r="2129">
      <c r="A2129" s="9" t="n">
        <v>2125</v>
      </c>
      <c r="B2129" s="9" t="inlineStr">
        <is>
          <t>Pokhara</t>
        </is>
      </c>
      <c r="C2129" s="9" t="inlineStr">
        <is>
          <t>Pokhara</t>
        </is>
      </c>
      <c r="D2129" s="9" t="inlineStr">
        <is>
          <t>Province 4</t>
        </is>
      </c>
      <c r="E2129" s="9" t="inlineStr">
        <is>
          <t>Nepal</t>
        </is>
      </c>
      <c r="F2129" s="9" t="n">
        <v>1</v>
      </c>
      <c r="G2129" s="9" t="n">
        <v>1</v>
      </c>
      <c r="H2129" s="9" t="n">
        <v>1</v>
      </c>
      <c r="I2129" s="10" t="n">
        <v>43607</v>
      </c>
      <c r="J2129" s="10" t="n">
        <v>43607</v>
      </c>
      <c r="K2129" s="9" t="n">
        <v>28.81521</v>
      </c>
      <c r="L2129" s="9" t="n">
        <v>83.86194</v>
      </c>
      <c r="M2129" s="9" t="inlineStr">
        <is>
          <t>https://www.google.com/maps/place/?q=place_id:ChIJcUeOwB0UvjkR5YCAn0YbLzk</t>
        </is>
      </c>
    </row>
    <row r="2130">
      <c r="A2130" s="9" t="n">
        <v>2126</v>
      </c>
      <c r="B2130" s="9" t="inlineStr">
        <is>
          <t>Pokhara</t>
        </is>
      </c>
      <c r="C2130" s="9" t="inlineStr">
        <is>
          <t>Pokhara</t>
        </is>
      </c>
      <c r="D2130" s="9" t="inlineStr">
        <is>
          <t>Province 4</t>
        </is>
      </c>
      <c r="E2130" s="9" t="inlineStr">
        <is>
          <t>Nepal</t>
        </is>
      </c>
      <c r="F2130" s="9" t="n">
        <v>1</v>
      </c>
      <c r="G2130" s="9" t="n">
        <v>1</v>
      </c>
      <c r="H2130" s="9" t="n">
        <v>1</v>
      </c>
      <c r="I2130" s="10" t="n">
        <v>44667</v>
      </c>
      <c r="J2130" s="10" t="n">
        <v>44667</v>
      </c>
      <c r="K2130" s="9" t="n">
        <v>28.81661</v>
      </c>
      <c r="L2130" s="9" t="n">
        <v>83.86673</v>
      </c>
      <c r="M2130" s="9" t="inlineStr">
        <is>
          <t>https://www.google.com/maps/place/?q=place_id:ChIJ_RN2Ca8VvjkRSvQAuATjIXs</t>
        </is>
      </c>
    </row>
    <row r="2131">
      <c r="A2131" s="9" t="n">
        <v>2127</v>
      </c>
      <c r="B2131" s="9" t="inlineStr">
        <is>
          <t>Pokhara</t>
        </is>
      </c>
      <c r="C2131" s="9" t="inlineStr">
        <is>
          <t>Pokhara</t>
        </is>
      </c>
      <c r="D2131" s="9" t="inlineStr">
        <is>
          <t>Province 4</t>
        </is>
      </c>
      <c r="E2131" s="9" t="inlineStr">
        <is>
          <t>Nepal</t>
        </is>
      </c>
      <c r="F2131" s="9" t="n">
        <v>1</v>
      </c>
      <c r="G2131" s="9" t="n">
        <v>1</v>
      </c>
      <c r="H2131" s="9" t="n">
        <v>1</v>
      </c>
      <c r="I2131" s="10" t="n">
        <v>44667</v>
      </c>
      <c r="J2131" s="10" t="n">
        <v>44667</v>
      </c>
      <c r="K2131" s="9" t="n">
        <v>28.81586</v>
      </c>
      <c r="L2131" s="9" t="n">
        <v>83.86320000000001</v>
      </c>
      <c r="M2131" s="9" t="inlineStr">
        <is>
          <t>https://www.google.com/maps/place/?q=place_id:ChIJB3hla5IVvjkRCo65kzOvu68</t>
        </is>
      </c>
    </row>
    <row r="2132">
      <c r="A2132" s="9" t="n">
        <v>2128</v>
      </c>
      <c r="B2132" s="9" t="inlineStr">
        <is>
          <t>Pokhara</t>
        </is>
      </c>
      <c r="C2132" s="9" t="inlineStr">
        <is>
          <t>Pokhara</t>
        </is>
      </c>
      <c r="D2132" s="9" t="inlineStr">
        <is>
          <t>Province 4</t>
        </is>
      </c>
      <c r="E2132" s="9" t="inlineStr">
        <is>
          <t>Nepal</t>
        </is>
      </c>
      <c r="F2132" s="9" t="n">
        <v>1</v>
      </c>
      <c r="G2132" s="9" t="n">
        <v>1</v>
      </c>
      <c r="H2132" s="9" t="n">
        <v>1</v>
      </c>
      <c r="I2132" s="10" t="n">
        <v>44668</v>
      </c>
      <c r="J2132" s="10" t="n">
        <v>44668</v>
      </c>
      <c r="K2132" s="9" t="n">
        <v>28.19019</v>
      </c>
      <c r="L2132" s="9" t="n">
        <v>83.95921</v>
      </c>
      <c r="M2132" s="9" t="inlineStr">
        <is>
          <t>https://www.google.com/maps/place/?q=place_id:ChIJjzeCThOVlTkRay8WO2xxgbU</t>
        </is>
      </c>
    </row>
    <row r="2133">
      <c r="A2133" s="9" t="n">
        <v>2129</v>
      </c>
      <c r="B2133" s="9" t="inlineStr">
        <is>
          <t>Pokhara</t>
        </is>
      </c>
      <c r="C2133" s="9" t="inlineStr">
        <is>
          <t>Pokhara</t>
        </is>
      </c>
      <c r="D2133" s="9" t="inlineStr">
        <is>
          <t>Province 4</t>
        </is>
      </c>
      <c r="E2133" s="9" t="inlineStr">
        <is>
          <t>Nepal</t>
        </is>
      </c>
      <c r="F2133" s="9" t="n">
        <v>1</v>
      </c>
      <c r="G2133" s="9" t="n">
        <v>1</v>
      </c>
      <c r="H2133" s="9" t="n">
        <v>1</v>
      </c>
      <c r="I2133" s="10" t="n">
        <v>44668</v>
      </c>
      <c r="J2133" s="10" t="n">
        <v>44668</v>
      </c>
      <c r="K2133" s="9" t="n">
        <v>28.21538</v>
      </c>
      <c r="L2133" s="9" t="n">
        <v>83.94532</v>
      </c>
      <c r="M2133" s="9" t="inlineStr">
        <is>
          <t>https://www.google.com/maps/place/?q=place_id:ChIJu5iEkSCVlTkRx9ZvM_qtpvw</t>
        </is>
      </c>
    </row>
    <row r="2134">
      <c r="A2134" s="9" t="n">
        <v>2130</v>
      </c>
      <c r="B2134" s="9" t="inlineStr">
        <is>
          <t>Breda</t>
        </is>
      </c>
      <c r="C2134" s="9" t="inlineStr">
        <is>
          <t>Breda</t>
        </is>
      </c>
      <c r="D2134" s="9" t="inlineStr">
        <is>
          <t>North Brabant</t>
        </is>
      </c>
      <c r="E2134" s="9" t="inlineStr">
        <is>
          <t>Netherlands</t>
        </is>
      </c>
      <c r="F2134" s="9" t="n">
        <v>1</v>
      </c>
      <c r="G2134" s="9" t="n">
        <v>1</v>
      </c>
      <c r="H2134" s="9" t="n">
        <v>1</v>
      </c>
      <c r="I2134" s="10" t="n">
        <v>45492</v>
      </c>
      <c r="J2134" s="10" t="n">
        <v>45492</v>
      </c>
      <c r="K2134" s="9" t="n">
        <v>51.57158</v>
      </c>
      <c r="L2134" s="9" t="n">
        <v>4.77704</v>
      </c>
      <c r="M2134" s="9" t="inlineStr">
        <is>
          <t>https://www.google.com/maps/place/?q=place_id:ChIJR9F96zOgxkcRATww-jGuQN0</t>
        </is>
      </c>
    </row>
    <row r="2135">
      <c r="A2135" s="9" t="n">
        <v>2131</v>
      </c>
      <c r="B2135" s="9" t="inlineStr">
        <is>
          <t>Oosterhout</t>
        </is>
      </c>
      <c r="C2135" s="9" t="inlineStr">
        <is>
          <t>Oosterhout</t>
        </is>
      </c>
      <c r="D2135" s="9" t="inlineStr">
        <is>
          <t>North Brabant</t>
        </is>
      </c>
      <c r="E2135" s="9" t="inlineStr">
        <is>
          <t>Netherlands</t>
        </is>
      </c>
      <c r="F2135" s="9" t="n">
        <v>1</v>
      </c>
      <c r="G2135" s="9" t="n">
        <v>1</v>
      </c>
      <c r="H2135" s="9" t="n">
        <v>1</v>
      </c>
      <c r="I2135" s="10" t="n">
        <v>45492</v>
      </c>
      <c r="J2135" s="10" t="n">
        <v>45492</v>
      </c>
      <c r="K2135" s="9" t="n">
        <v>51.61167</v>
      </c>
      <c r="L2135" s="9" t="n">
        <v>4.85619</v>
      </c>
      <c r="M2135" s="9" t="inlineStr">
        <is>
          <t>https://www.google.com/maps/place/?q=place_id:ChIJgWqRq8WYxkcRZaP33AWZ_6Y</t>
        </is>
      </c>
    </row>
    <row r="2136">
      <c r="A2136" s="9" t="n">
        <v>2132</v>
      </c>
      <c r="B2136" s="9" t="inlineStr">
        <is>
          <t>Volendam</t>
        </is>
      </c>
      <c r="C2136" s="9" t="inlineStr">
        <is>
          <t>Amsterdam</t>
        </is>
      </c>
      <c r="D2136" s="9" t="inlineStr">
        <is>
          <t>North Holland</t>
        </is>
      </c>
      <c r="E2136" s="9" t="inlineStr">
        <is>
          <t>Netherlands</t>
        </is>
      </c>
      <c r="F2136" s="9" t="n">
        <v>1</v>
      </c>
      <c r="G2136" s="9" t="n">
        <v>1</v>
      </c>
      <c r="H2136" s="9" t="n">
        <v>1</v>
      </c>
      <c r="I2136" s="10" t="n">
        <v>45492</v>
      </c>
      <c r="J2136" s="10" t="n">
        <v>45492</v>
      </c>
      <c r="K2136" s="9" t="n">
        <v>52.48736</v>
      </c>
      <c r="L2136" s="9" t="n">
        <v>5.03415</v>
      </c>
      <c r="M2136" s="9" t="inlineStr">
        <is>
          <t>https://www.google.com/maps/place/?q=place_id:ChIJ_95B4UIExkcRsAjrL_9WO_s</t>
        </is>
      </c>
    </row>
    <row r="2137">
      <c r="A2137" s="9" t="n">
        <v>2133</v>
      </c>
      <c r="B2137" s="9" t="inlineStr">
        <is>
          <t>Amsterdam</t>
        </is>
      </c>
      <c r="C2137" s="9" t="inlineStr">
        <is>
          <t>Amsterdam</t>
        </is>
      </c>
      <c r="D2137" s="9" t="inlineStr">
        <is>
          <t>North Holland</t>
        </is>
      </c>
      <c r="E2137" s="9" t="inlineStr">
        <is>
          <t>Netherlands</t>
        </is>
      </c>
      <c r="F2137" s="9" t="n">
        <v>1</v>
      </c>
      <c r="G2137" s="9" t="n">
        <v>1</v>
      </c>
      <c r="H2137" s="9" t="n">
        <v>1</v>
      </c>
      <c r="I2137" s="10" t="n">
        <v>45492</v>
      </c>
      <c r="J2137" s="10" t="n">
        <v>45492</v>
      </c>
      <c r="K2137" s="9" t="n">
        <v>52.37459</v>
      </c>
      <c r="L2137" s="9" t="n">
        <v>4.8947</v>
      </c>
      <c r="M2137" s="9" t="inlineStr">
        <is>
          <t>https://www.google.com/maps/place/?q=place_id:ChIJfYd2dscJxkcRH_Q4a1amSDo</t>
        </is>
      </c>
    </row>
    <row r="2138">
      <c r="A2138" s="9" t="n">
        <v>2134</v>
      </c>
      <c r="B2138" s="9" t="inlineStr">
        <is>
          <t>Amsterdam</t>
        </is>
      </c>
      <c r="C2138" s="9" t="inlineStr">
        <is>
          <t>Amsterdam</t>
        </is>
      </c>
      <c r="D2138" s="9" t="inlineStr">
        <is>
          <t>North Holland</t>
        </is>
      </c>
      <c r="E2138" s="9" t="inlineStr">
        <is>
          <t>Netherlands</t>
        </is>
      </c>
      <c r="F2138" s="9" t="n">
        <v>1</v>
      </c>
      <c r="G2138" s="9" t="n">
        <v>1</v>
      </c>
      <c r="H2138" s="9" t="n">
        <v>1</v>
      </c>
      <c r="I2138" s="10" t="n">
        <v>45492</v>
      </c>
      <c r="J2138" s="10" t="n">
        <v>45492</v>
      </c>
      <c r="K2138" s="9" t="n">
        <v>52.37858</v>
      </c>
      <c r="L2138" s="9" t="n">
        <v>4.89721</v>
      </c>
      <c r="M2138" s="9" t="inlineStr">
        <is>
          <t>https://www.google.com/maps/place/?q=place_id:ChIJiQhfercJxkcR1DlLN4TNjSs</t>
        </is>
      </c>
    </row>
    <row r="2139">
      <c r="A2139" s="9" t="n">
        <v>2135</v>
      </c>
      <c r="B2139" s="9" t="inlineStr">
        <is>
          <t>Amstelveen</t>
        </is>
      </c>
      <c r="C2139" s="9" t="inlineStr">
        <is>
          <t>Amsterdam</t>
        </is>
      </c>
      <c r="D2139" s="9" t="inlineStr">
        <is>
          <t>North Holland</t>
        </is>
      </c>
      <c r="E2139" s="9" t="inlineStr">
        <is>
          <t>Netherlands</t>
        </is>
      </c>
      <c r="F2139" s="9" t="n">
        <v>1</v>
      </c>
      <c r="G2139" s="9" t="n">
        <v>1</v>
      </c>
      <c r="H2139" s="9" t="n">
        <v>1</v>
      </c>
      <c r="I2139" s="10" t="n">
        <v>45493</v>
      </c>
      <c r="J2139" s="10" t="n">
        <v>45493</v>
      </c>
      <c r="K2139" s="9" t="n">
        <v>52.32149</v>
      </c>
      <c r="L2139" s="9" t="n">
        <v>4.88153</v>
      </c>
      <c r="M2139" s="9" t="inlineStr">
        <is>
          <t>https://www.google.com/maps/place/?q=place_id:ChIJ-Xw-3GsKxkcRgTuinoTZors</t>
        </is>
      </c>
    </row>
    <row r="2140">
      <c r="A2140" s="9" t="n">
        <v>2136</v>
      </c>
      <c r="B2140" s="9" t="inlineStr">
        <is>
          <t>Dambulla</t>
        </is>
      </c>
      <c r="C2140" s="9" t="inlineStr">
        <is>
          <t>Dambulla</t>
        </is>
      </c>
      <c r="D2140" s="9" t="inlineStr">
        <is>
          <t>Central Province</t>
        </is>
      </c>
      <c r="E2140" s="9" t="inlineStr">
        <is>
          <t>Sri Lanka</t>
        </is>
      </c>
      <c r="F2140" s="9" t="n">
        <v>1</v>
      </c>
      <c r="G2140" s="9" t="n">
        <v>1</v>
      </c>
      <c r="H2140" s="9" t="n">
        <v>1</v>
      </c>
      <c r="I2140" s="10" t="n">
        <v>43739</v>
      </c>
      <c r="J2140" s="10" t="n">
        <v>43739</v>
      </c>
      <c r="K2140" s="9" t="n">
        <v>7.7126</v>
      </c>
      <c r="L2140" s="9" t="n">
        <v>80.65313</v>
      </c>
      <c r="M2140" s="9" t="inlineStr">
        <is>
          <t>https://www.google.com/maps/place/?q=place_id:ChIJfc3fHW2t_DoRN5DKYA2vVu4</t>
        </is>
      </c>
    </row>
    <row r="2141">
      <c r="A2141" s="9" t="n">
        <v>2137</v>
      </c>
      <c r="B2141" s="9" t="inlineStr">
        <is>
          <t>Dambulla</t>
        </is>
      </c>
      <c r="C2141" s="9" t="inlineStr">
        <is>
          <t>Dambulla</t>
        </is>
      </c>
      <c r="D2141" s="9" t="inlineStr">
        <is>
          <t>Central Province</t>
        </is>
      </c>
      <c r="E2141" s="9" t="inlineStr">
        <is>
          <t>Sri Lanka</t>
        </is>
      </c>
      <c r="F2141" s="9" t="n">
        <v>1</v>
      </c>
      <c r="G2141" s="9" t="n">
        <v>1</v>
      </c>
      <c r="H2141" s="9" t="n">
        <v>1</v>
      </c>
      <c r="I2141" s="10" t="n">
        <v>43822</v>
      </c>
      <c r="J2141" s="10" t="n">
        <v>43822</v>
      </c>
      <c r="K2141" s="9" t="n">
        <v>7.90085</v>
      </c>
      <c r="L2141" s="9" t="n">
        <v>80.66795999999999</v>
      </c>
      <c r="M2141" s="9" t="inlineStr">
        <is>
          <t>https://www.google.com/maps/place/?q=place_id:ChIJxx0Y4vyk_DoRSWDfMjkNw_o</t>
        </is>
      </c>
    </row>
    <row r="2142">
      <c r="A2142" s="9" t="n">
        <v>2138</v>
      </c>
      <c r="B2142" s="9" t="inlineStr">
        <is>
          <t>Dambulla</t>
        </is>
      </c>
      <c r="C2142" s="9" t="inlineStr">
        <is>
          <t>Dambulla</t>
        </is>
      </c>
      <c r="D2142" s="9" t="inlineStr">
        <is>
          <t>Central Province</t>
        </is>
      </c>
      <c r="E2142" s="9" t="inlineStr">
        <is>
          <t>Sri Lanka</t>
        </is>
      </c>
      <c r="F2142" s="9" t="n">
        <v>1</v>
      </c>
      <c r="G2142" s="9" t="n">
        <v>1</v>
      </c>
      <c r="H2142" s="9" t="n">
        <v>1</v>
      </c>
      <c r="I2142" s="10" t="n">
        <v>44588</v>
      </c>
      <c r="J2142" s="10" t="n">
        <v>44588</v>
      </c>
      <c r="K2142" s="9" t="n">
        <v>7.92005</v>
      </c>
      <c r="L2142" s="9" t="n">
        <v>80.67957</v>
      </c>
      <c r="M2142" s="9" t="inlineStr">
        <is>
          <t>https://www.google.com/maps/place/?q=place_id:ChIJc0jp1V-k_DoRl8K_PRYVSws</t>
        </is>
      </c>
    </row>
    <row r="2143">
      <c r="A2143" s="9" t="n">
        <v>2139</v>
      </c>
      <c r="B2143" s="9" t="inlineStr">
        <is>
          <t>Gampola</t>
        </is>
      </c>
      <c r="C2143" s="9" t="inlineStr">
        <is>
          <t>Gampola</t>
        </is>
      </c>
      <c r="D2143" s="9" t="inlineStr">
        <is>
          <t>Central Province</t>
        </is>
      </c>
      <c r="E2143" s="9" t="inlineStr">
        <is>
          <t>Sri Lanka</t>
        </is>
      </c>
      <c r="F2143" s="9" t="n">
        <v>4</v>
      </c>
      <c r="G2143" s="9" t="n">
        <v>4</v>
      </c>
      <c r="H2143" s="9" t="n">
        <v>3</v>
      </c>
      <c r="I2143" s="10" t="n">
        <v>43740</v>
      </c>
      <c r="J2143" s="10" t="n">
        <v>44589</v>
      </c>
      <c r="K2143" s="9" t="n">
        <v>7.07423</v>
      </c>
      <c r="L2143" s="9" t="n">
        <v>80.68031999999999</v>
      </c>
      <c r="M2143" s="9" t="inlineStr">
        <is>
          <t>https://www.google.com/maps/place/?q=place_id:ChIJBWRlcHd54zoR5vbq_-B7mG4</t>
        </is>
      </c>
    </row>
    <row r="2144">
      <c r="A2144" s="9" t="n">
        <v>2140</v>
      </c>
      <c r="B2144" s="9" t="inlineStr">
        <is>
          <t>Gampola</t>
        </is>
      </c>
      <c r="C2144" s="9" t="inlineStr">
        <is>
          <t>Gampola</t>
        </is>
      </c>
      <c r="D2144" s="9" t="inlineStr">
        <is>
          <t>Central Province</t>
        </is>
      </c>
      <c r="E2144" s="9" t="inlineStr">
        <is>
          <t>Sri Lanka</t>
        </is>
      </c>
      <c r="F2144" s="9" t="n">
        <v>1</v>
      </c>
      <c r="G2144" s="9" t="n">
        <v>1</v>
      </c>
      <c r="H2144" s="9" t="n">
        <v>1</v>
      </c>
      <c r="I2144" s="10" t="n">
        <v>43823</v>
      </c>
      <c r="J2144" s="10" t="n">
        <v>43823</v>
      </c>
      <c r="K2144" s="9" t="n">
        <v>7.09352</v>
      </c>
      <c r="L2144" s="9" t="n">
        <v>80.65299</v>
      </c>
      <c r="M2144" s="9" t="inlineStr">
        <is>
          <t>https://www.google.com/maps/place/?q=place_id:ChIJmx4LAxl64zoR935IpdNgo-M</t>
        </is>
      </c>
    </row>
    <row r="2145">
      <c r="A2145" s="9" t="n">
        <v>2141</v>
      </c>
      <c r="B2145" s="9" t="inlineStr">
        <is>
          <t>Gampola</t>
        </is>
      </c>
      <c r="C2145" s="9" t="inlineStr">
        <is>
          <t>Gampola</t>
        </is>
      </c>
      <c r="D2145" s="9" t="inlineStr">
        <is>
          <t>Central Province</t>
        </is>
      </c>
      <c r="E2145" s="9" t="inlineStr">
        <is>
          <t>Sri Lanka</t>
        </is>
      </c>
      <c r="F2145" s="9" t="n">
        <v>1</v>
      </c>
      <c r="G2145" s="9" t="n">
        <v>1</v>
      </c>
      <c r="H2145" s="9" t="n">
        <v>1</v>
      </c>
      <c r="I2145" s="10" t="n">
        <v>43824</v>
      </c>
      <c r="J2145" s="10" t="n">
        <v>43824</v>
      </c>
      <c r="K2145" s="9" t="n">
        <v>7.10726</v>
      </c>
      <c r="L2145" s="9" t="n">
        <v>80.63614</v>
      </c>
      <c r="M2145" s="9" t="inlineStr">
        <is>
          <t>https://www.google.com/maps/place/?q=place_id:ChIJke7-5XR64zoRgOep7NzAdCs</t>
        </is>
      </c>
    </row>
    <row r="2146">
      <c r="A2146" s="9" t="n">
        <v>2142</v>
      </c>
      <c r="B2146" s="9" t="inlineStr">
        <is>
          <t>Hatton</t>
        </is>
      </c>
      <c r="C2146" s="9" t="inlineStr">
        <is>
          <t>Hatton</t>
        </is>
      </c>
      <c r="D2146" s="9" t="inlineStr">
        <is>
          <t>Central Province</t>
        </is>
      </c>
      <c r="E2146" s="9" t="inlineStr">
        <is>
          <t>Sri Lanka</t>
        </is>
      </c>
      <c r="F2146" s="9" t="n">
        <v>13</v>
      </c>
      <c r="G2146" s="9" t="n">
        <v>11</v>
      </c>
      <c r="H2146" s="9" t="n">
        <v>8</v>
      </c>
      <c r="I2146" s="10" t="n">
        <v>44593</v>
      </c>
      <c r="J2146" s="10" t="n">
        <v>44625</v>
      </c>
      <c r="K2146" s="9" t="n">
        <v>6.88922</v>
      </c>
      <c r="L2146" s="9" t="n">
        <v>80.59887000000001</v>
      </c>
      <c r="M2146" s="9" t="inlineStr">
        <is>
          <t>https://www.google.com/maps/place/?q=place_id:ChIJRdCghQ2b4zoRtO5kNKGJFbg</t>
        </is>
      </c>
    </row>
    <row r="2147">
      <c r="A2147" s="9" t="n">
        <v>2143</v>
      </c>
      <c r="B2147" s="9" t="inlineStr">
        <is>
          <t>Hatton</t>
        </is>
      </c>
      <c r="C2147" s="9" t="inlineStr">
        <is>
          <t>Hatton</t>
        </is>
      </c>
      <c r="D2147" s="9" t="inlineStr">
        <is>
          <t>Central Province</t>
        </is>
      </c>
      <c r="E2147" s="9" t="inlineStr">
        <is>
          <t>Sri Lanka</t>
        </is>
      </c>
      <c r="F2147" s="9" t="n">
        <v>4</v>
      </c>
      <c r="G2147" s="9" t="n">
        <v>4</v>
      </c>
      <c r="H2147" s="9" t="n">
        <v>3</v>
      </c>
      <c r="I2147" s="10" t="n">
        <v>44593</v>
      </c>
      <c r="J2147" s="10" t="n">
        <v>44616</v>
      </c>
      <c r="K2147" s="9" t="n">
        <v>6.83418</v>
      </c>
      <c r="L2147" s="9" t="n">
        <v>80.57246000000001</v>
      </c>
      <c r="M2147" s="9" t="inlineStr">
        <is>
          <t>https://www.google.com/maps/place/?q=place_id:ChIJXw4HV3Ga4zoRtk29lvZNPH4</t>
        </is>
      </c>
    </row>
    <row r="2148">
      <c r="A2148" s="9" t="n">
        <v>2144</v>
      </c>
      <c r="B2148" s="9" t="inlineStr">
        <is>
          <t>Hatton</t>
        </is>
      </c>
      <c r="C2148" s="9" t="inlineStr">
        <is>
          <t>Hatton</t>
        </is>
      </c>
      <c r="D2148" s="9" t="inlineStr">
        <is>
          <t>Central Province</t>
        </is>
      </c>
      <c r="E2148" s="9" t="inlineStr">
        <is>
          <t>Sri Lanka</t>
        </is>
      </c>
      <c r="F2148" s="9" t="n">
        <v>3</v>
      </c>
      <c r="G2148" s="9" t="n">
        <v>3</v>
      </c>
      <c r="H2148" s="9" t="n">
        <v>3</v>
      </c>
      <c r="I2148" s="10" t="n">
        <v>44598</v>
      </c>
      <c r="J2148" s="10" t="n">
        <v>44615</v>
      </c>
      <c r="K2148" s="9" t="n">
        <v>6.83316</v>
      </c>
      <c r="L2148" s="9" t="n">
        <v>80.57236</v>
      </c>
      <c r="M2148" s="9" t="inlineStr">
        <is>
          <t>https://www.google.com/maps/place/?q=place_id:ChIJee7IsXaa4zoR9ngtKBzh1zU</t>
        </is>
      </c>
    </row>
    <row r="2149">
      <c r="A2149" s="9" t="n">
        <v>2145</v>
      </c>
      <c r="B2149" s="9" t="inlineStr">
        <is>
          <t>Hatton</t>
        </is>
      </c>
      <c r="C2149" s="9" t="inlineStr">
        <is>
          <t>Hatton</t>
        </is>
      </c>
      <c r="D2149" s="9" t="inlineStr">
        <is>
          <t>Central Province</t>
        </is>
      </c>
      <c r="E2149" s="9" t="inlineStr">
        <is>
          <t>Sri Lanka</t>
        </is>
      </c>
      <c r="F2149" s="9" t="n">
        <v>1</v>
      </c>
      <c r="G2149" s="9" t="n">
        <v>2</v>
      </c>
      <c r="H2149" s="9" t="n">
        <v>1</v>
      </c>
      <c r="I2149" s="10" t="n">
        <v>44592</v>
      </c>
      <c r="J2149" s="10" t="n">
        <v>44593</v>
      </c>
      <c r="K2149" s="9" t="n">
        <v>6.92821</v>
      </c>
      <c r="L2149" s="9" t="n">
        <v>80.61441000000001</v>
      </c>
      <c r="M2149" s="9" t="inlineStr">
        <is>
          <t>https://www.google.com/maps/place/?q=place_id:ChIJLUbMguud4zoRbEQUY_FLwzw</t>
        </is>
      </c>
    </row>
    <row r="2150">
      <c r="A2150" s="9" t="n">
        <v>2146</v>
      </c>
      <c r="B2150" s="9" t="inlineStr">
        <is>
          <t>Hatton</t>
        </is>
      </c>
      <c r="C2150" s="9" t="inlineStr">
        <is>
          <t>Hatton</t>
        </is>
      </c>
      <c r="D2150" s="9" t="inlineStr">
        <is>
          <t>Central Province</t>
        </is>
      </c>
      <c r="E2150" s="9" t="inlineStr">
        <is>
          <t>Sri Lanka</t>
        </is>
      </c>
      <c r="F2150" s="9" t="n">
        <v>1</v>
      </c>
      <c r="G2150" s="9" t="n">
        <v>1</v>
      </c>
      <c r="H2150" s="9" t="n">
        <v>1</v>
      </c>
      <c r="I2150" s="10" t="n">
        <v>44597</v>
      </c>
      <c r="J2150" s="10" t="n">
        <v>44597</v>
      </c>
      <c r="K2150" s="9" t="n">
        <v>6.89596</v>
      </c>
      <c r="L2150" s="9" t="n">
        <v>80.595</v>
      </c>
      <c r="M2150" s="9" t="inlineStr">
        <is>
          <t>https://www.google.com/maps/place/?q=place_id:ChIJ0d30lnOb4zoRSs1zjw6Tkn8</t>
        </is>
      </c>
    </row>
    <row r="2151">
      <c r="A2151" s="9" t="n">
        <v>2147</v>
      </c>
      <c r="B2151" s="9" t="inlineStr">
        <is>
          <t>Hatton</t>
        </is>
      </c>
      <c r="C2151" s="9" t="inlineStr">
        <is>
          <t>Hatton</t>
        </is>
      </c>
      <c r="D2151" s="9" t="inlineStr">
        <is>
          <t>Central Province</t>
        </is>
      </c>
      <c r="E2151" s="9" t="inlineStr">
        <is>
          <t>Sri Lanka</t>
        </is>
      </c>
      <c r="F2151" s="9" t="n">
        <v>1</v>
      </c>
      <c r="G2151" s="9" t="n">
        <v>1</v>
      </c>
      <c r="H2151" s="9" t="n">
        <v>1</v>
      </c>
      <c r="I2151" s="10" t="n">
        <v>44599</v>
      </c>
      <c r="J2151" s="10" t="n">
        <v>44599</v>
      </c>
      <c r="K2151" s="9" t="n">
        <v>6.92683</v>
      </c>
      <c r="L2151" s="9" t="n">
        <v>80.6156</v>
      </c>
      <c r="M2151" s="9" t="inlineStr">
        <is>
          <t>https://www.google.com/maps/place/?q=place_id:ChIJszfAKQid4zoRtR2V1d5TEAw</t>
        </is>
      </c>
    </row>
    <row r="2152">
      <c r="A2152" s="9" t="n">
        <v>2148</v>
      </c>
      <c r="B2152" s="9" t="inlineStr">
        <is>
          <t>Hatton</t>
        </is>
      </c>
      <c r="C2152" s="9" t="inlineStr">
        <is>
          <t>Hatton</t>
        </is>
      </c>
      <c r="D2152" s="9" t="inlineStr">
        <is>
          <t>Central Province</t>
        </is>
      </c>
      <c r="E2152" s="9" t="inlineStr">
        <is>
          <t>Sri Lanka</t>
        </is>
      </c>
      <c r="F2152" s="9" t="n">
        <v>1</v>
      </c>
      <c r="G2152" s="9" t="n">
        <v>1</v>
      </c>
      <c r="H2152" s="9" t="n">
        <v>1</v>
      </c>
      <c r="I2152" s="10" t="n">
        <v>44601</v>
      </c>
      <c r="J2152" s="10" t="n">
        <v>44601</v>
      </c>
      <c r="K2152" s="9" t="n">
        <v>6.89332</v>
      </c>
      <c r="L2152" s="9" t="n">
        <v>80.5981</v>
      </c>
      <c r="M2152" s="9" t="inlineStr">
        <is>
          <t>https://www.google.com/maps/place/?q=place_id:ChIJgb1Jq42b4zoRamUxpa7hcVk</t>
        </is>
      </c>
    </row>
    <row r="2153">
      <c r="A2153" s="9" t="n">
        <v>2149</v>
      </c>
      <c r="B2153" s="9" t="inlineStr">
        <is>
          <t>Hatton</t>
        </is>
      </c>
      <c r="C2153" s="9" t="inlineStr">
        <is>
          <t>Hatton</t>
        </is>
      </c>
      <c r="D2153" s="9" t="inlineStr">
        <is>
          <t>Central Province</t>
        </is>
      </c>
      <c r="E2153" s="9" t="inlineStr">
        <is>
          <t>Sri Lanka</t>
        </is>
      </c>
      <c r="F2153" s="9" t="n">
        <v>1</v>
      </c>
      <c r="G2153" s="9" t="n">
        <v>1</v>
      </c>
      <c r="H2153" s="9" t="n">
        <v>1</v>
      </c>
      <c r="I2153" s="10" t="n">
        <v>44602</v>
      </c>
      <c r="J2153" s="10" t="n">
        <v>44602</v>
      </c>
      <c r="K2153" s="9" t="n">
        <v>6.82441</v>
      </c>
      <c r="L2153" s="9" t="n">
        <v>80.5201</v>
      </c>
      <c r="M2153" s="9" t="inlineStr">
        <is>
          <t>https://www.google.com/maps/place/?q=place_id:ChIJr-J792-X4zoR4wpXrCAmv9Q</t>
        </is>
      </c>
    </row>
    <row r="2154">
      <c r="A2154" s="9" t="n">
        <v>2150</v>
      </c>
      <c r="B2154" s="9" t="inlineStr">
        <is>
          <t>Hatton</t>
        </is>
      </c>
      <c r="C2154" s="9" t="inlineStr">
        <is>
          <t>Hatton</t>
        </is>
      </c>
      <c r="D2154" s="9" t="inlineStr">
        <is>
          <t>Central Province</t>
        </is>
      </c>
      <c r="E2154" s="9" t="inlineStr">
        <is>
          <t>Sri Lanka</t>
        </is>
      </c>
      <c r="F2154" s="9" t="n">
        <v>1</v>
      </c>
      <c r="G2154" s="9" t="n">
        <v>1</v>
      </c>
      <c r="H2154" s="9" t="n">
        <v>1</v>
      </c>
      <c r="I2154" s="10" t="n">
        <v>44602</v>
      </c>
      <c r="J2154" s="10" t="n">
        <v>44602</v>
      </c>
      <c r="K2154" s="9" t="n">
        <v>6.82592</v>
      </c>
      <c r="L2154" s="9" t="n">
        <v>80.52276999999999</v>
      </c>
      <c r="M2154" s="9" t="inlineStr">
        <is>
          <t>https://www.google.com/maps/place/?q=place_id:ChIJMStVwF-X4zoRtV3fL_U30E0</t>
        </is>
      </c>
    </row>
    <row r="2155">
      <c r="A2155" s="9" t="n">
        <v>2151</v>
      </c>
      <c r="B2155" s="9" t="inlineStr">
        <is>
          <t>Hatton</t>
        </is>
      </c>
      <c r="C2155" s="9" t="inlineStr">
        <is>
          <t>Hatton</t>
        </is>
      </c>
      <c r="D2155" s="9" t="inlineStr">
        <is>
          <t>Central Province</t>
        </is>
      </c>
      <c r="E2155" s="9" t="inlineStr">
        <is>
          <t>Sri Lanka</t>
        </is>
      </c>
      <c r="F2155" s="9" t="n">
        <v>1</v>
      </c>
      <c r="G2155" s="9" t="n">
        <v>1</v>
      </c>
      <c r="H2155" s="9" t="n">
        <v>1</v>
      </c>
      <c r="I2155" s="10" t="n">
        <v>44603</v>
      </c>
      <c r="J2155" s="10" t="n">
        <v>44603</v>
      </c>
      <c r="K2155" s="9" t="n">
        <v>6.88841</v>
      </c>
      <c r="L2155" s="9" t="n">
        <v>80.59894</v>
      </c>
      <c r="M2155" s="9" t="inlineStr">
        <is>
          <t>https://www.google.com/maps/place/?q=place_id:ChIJMwU58w2b4zoRvhhhD2QYodY</t>
        </is>
      </c>
    </row>
    <row r="2156">
      <c r="A2156" s="9" t="n">
        <v>2152</v>
      </c>
      <c r="B2156" s="9" t="inlineStr">
        <is>
          <t>Hatton</t>
        </is>
      </c>
      <c r="C2156" s="9" t="inlineStr">
        <is>
          <t>Hatton</t>
        </is>
      </c>
      <c r="D2156" s="9" t="inlineStr">
        <is>
          <t>Central Province</t>
        </is>
      </c>
      <c r="E2156" s="9" t="inlineStr">
        <is>
          <t>Sri Lanka</t>
        </is>
      </c>
      <c r="F2156" s="9" t="n">
        <v>1</v>
      </c>
      <c r="G2156" s="9" t="n">
        <v>1</v>
      </c>
      <c r="H2156" s="9" t="n">
        <v>1</v>
      </c>
      <c r="I2156" s="10" t="n">
        <v>44603</v>
      </c>
      <c r="J2156" s="10" t="n">
        <v>44603</v>
      </c>
      <c r="K2156" s="9" t="n">
        <v>6.89324</v>
      </c>
      <c r="L2156" s="9" t="n">
        <v>80.59747</v>
      </c>
      <c r="M2156" s="9" t="inlineStr">
        <is>
          <t>https://www.google.com/maps/place/?q=place_id:ChIJhWUfyHKb4zoR3dwTQocx8jg</t>
        </is>
      </c>
    </row>
    <row r="2157">
      <c r="A2157" s="9" t="n">
        <v>2153</v>
      </c>
      <c r="B2157" s="9" t="inlineStr">
        <is>
          <t>Hatton</t>
        </is>
      </c>
      <c r="C2157" s="9" t="inlineStr">
        <is>
          <t>Hatton</t>
        </is>
      </c>
      <c r="D2157" s="9" t="inlineStr">
        <is>
          <t>Central Province</t>
        </is>
      </c>
      <c r="E2157" s="9" t="inlineStr">
        <is>
          <t>Sri Lanka</t>
        </is>
      </c>
      <c r="F2157" s="9" t="n">
        <v>1</v>
      </c>
      <c r="G2157" s="9" t="n">
        <v>1</v>
      </c>
      <c r="H2157" s="9" t="n">
        <v>1</v>
      </c>
      <c r="I2157" s="10" t="n">
        <v>44609</v>
      </c>
      <c r="J2157" s="10" t="n">
        <v>44609</v>
      </c>
      <c r="K2157" s="9" t="n">
        <v>6.89806</v>
      </c>
      <c r="L2157" s="9" t="n">
        <v>80.59247999999999</v>
      </c>
      <c r="M2157" s="9" t="inlineStr">
        <is>
          <t>https://www.google.com/maps/place/?q=place_id:ChIJQVFwonab4zoRdelBjcFNGp8</t>
        </is>
      </c>
    </row>
    <row r="2158">
      <c r="A2158" s="9" t="n">
        <v>2154</v>
      </c>
      <c r="B2158" s="9" t="inlineStr">
        <is>
          <t>Hatton</t>
        </is>
      </c>
      <c r="C2158" s="9" t="inlineStr">
        <is>
          <t>Hatton</t>
        </is>
      </c>
      <c r="D2158" s="9" t="inlineStr">
        <is>
          <t>Central Province</t>
        </is>
      </c>
      <c r="E2158" s="9" t="inlineStr">
        <is>
          <t>Sri Lanka</t>
        </is>
      </c>
      <c r="F2158" s="9" t="n">
        <v>1</v>
      </c>
      <c r="G2158" s="9" t="n">
        <v>1</v>
      </c>
      <c r="H2158" s="9" t="n">
        <v>1</v>
      </c>
      <c r="I2158" s="10" t="n">
        <v>44609</v>
      </c>
      <c r="J2158" s="10" t="n">
        <v>44609</v>
      </c>
      <c r="K2158" s="9" t="n">
        <v>6.83401</v>
      </c>
      <c r="L2158" s="9" t="n">
        <v>80.56997</v>
      </c>
      <c r="M2158" s="9" t="inlineStr">
        <is>
          <t>https://www.google.com/maps/place/?q=place_id:ChIJE0JcjHOa4zoR754HkkPmNL8</t>
        </is>
      </c>
    </row>
    <row r="2159">
      <c r="A2159" s="9" t="n">
        <v>2155</v>
      </c>
      <c r="B2159" s="9" t="inlineStr">
        <is>
          <t>Hatton</t>
        </is>
      </c>
      <c r="C2159" s="9" t="inlineStr">
        <is>
          <t>Hatton</t>
        </is>
      </c>
      <c r="D2159" s="9" t="inlineStr">
        <is>
          <t>Central Province</t>
        </is>
      </c>
      <c r="E2159" s="9" t="inlineStr">
        <is>
          <t>Sri Lanka</t>
        </is>
      </c>
      <c r="F2159" s="9" t="n">
        <v>1</v>
      </c>
      <c r="G2159" s="9" t="n">
        <v>1</v>
      </c>
      <c r="H2159" s="9" t="n">
        <v>1</v>
      </c>
      <c r="I2159" s="10" t="n">
        <v>44612</v>
      </c>
      <c r="J2159" s="10" t="n">
        <v>44612</v>
      </c>
      <c r="K2159" s="9" t="n">
        <v>6.83418</v>
      </c>
      <c r="L2159" s="9" t="n">
        <v>80.57125000000001</v>
      </c>
      <c r="M2159" s="9" t="inlineStr">
        <is>
          <t>https://www.google.com/maps/place/?q=place_id:ChIJMcd4-3Oa4zoRkDcR5LV9cjM</t>
        </is>
      </c>
    </row>
    <row r="2160">
      <c r="A2160" s="9" t="n">
        <v>2156</v>
      </c>
      <c r="B2160" s="9" t="inlineStr">
        <is>
          <t>Hatton</t>
        </is>
      </c>
      <c r="C2160" s="9" t="inlineStr">
        <is>
          <t>Hatton</t>
        </is>
      </c>
      <c r="D2160" s="9" t="inlineStr">
        <is>
          <t>Central Province</t>
        </is>
      </c>
      <c r="E2160" s="9" t="inlineStr">
        <is>
          <t>Sri Lanka</t>
        </is>
      </c>
      <c r="F2160" s="9" t="n">
        <v>1</v>
      </c>
      <c r="G2160" s="9" t="n">
        <v>1</v>
      </c>
      <c r="H2160" s="9" t="n">
        <v>1</v>
      </c>
      <c r="I2160" s="10" t="n">
        <v>44615</v>
      </c>
      <c r="J2160" s="10" t="n">
        <v>44615</v>
      </c>
      <c r="K2160" s="9" t="n">
        <v>6.83549</v>
      </c>
      <c r="L2160" s="9" t="n">
        <v>80.57033</v>
      </c>
      <c r="M2160" s="9" t="inlineStr">
        <is>
          <t>https://www.google.com/maps/place/?q=place_id:ChIJiUvCx3Oa4zoRHhBsHlogmJ0</t>
        </is>
      </c>
    </row>
    <row r="2161">
      <c r="A2161" s="9" t="n">
        <v>2157</v>
      </c>
      <c r="B2161" s="9" t="inlineStr">
        <is>
          <t>Hatton</t>
        </is>
      </c>
      <c r="C2161" s="9" t="inlineStr">
        <is>
          <t>Hatton</t>
        </is>
      </c>
      <c r="D2161" s="9" t="inlineStr">
        <is>
          <t>Central Province</t>
        </is>
      </c>
      <c r="E2161" s="9" t="inlineStr">
        <is>
          <t>Sri Lanka</t>
        </is>
      </c>
      <c r="F2161" s="9" t="n">
        <v>1</v>
      </c>
      <c r="G2161" s="9" t="n">
        <v>1</v>
      </c>
      <c r="H2161" s="9" t="n">
        <v>1</v>
      </c>
      <c r="I2161" s="10" t="n">
        <v>44622</v>
      </c>
      <c r="J2161" s="10" t="n">
        <v>44622</v>
      </c>
      <c r="K2161" s="9" t="n">
        <v>6.89694</v>
      </c>
      <c r="L2161" s="9" t="n">
        <v>80.59459</v>
      </c>
      <c r="M2161" s="9" t="inlineStr">
        <is>
          <t>https://www.google.com/maps/place/?q=place_id:ChIJf4qR73Ob4zoR8u3r00n78nI</t>
        </is>
      </c>
    </row>
    <row r="2162">
      <c r="A2162" s="9" t="n">
        <v>2158</v>
      </c>
      <c r="B2162" s="9" t="inlineStr">
        <is>
          <t>Hatton</t>
        </is>
      </c>
      <c r="C2162" s="9" t="inlineStr">
        <is>
          <t>Hatton</t>
        </is>
      </c>
      <c r="D2162" s="9" t="inlineStr">
        <is>
          <t>Central Province</t>
        </is>
      </c>
      <c r="E2162" s="9" t="inlineStr">
        <is>
          <t>Sri Lanka</t>
        </is>
      </c>
      <c r="F2162" s="9" t="n">
        <v>1</v>
      </c>
      <c r="G2162" s="9" t="n">
        <v>1</v>
      </c>
      <c r="H2162" s="9" t="n">
        <v>1</v>
      </c>
      <c r="I2162" s="10" t="n">
        <v>44625</v>
      </c>
      <c r="J2162" s="10" t="n">
        <v>44625</v>
      </c>
      <c r="K2162" s="9" t="n">
        <v>6.79956</v>
      </c>
      <c r="L2162" s="9" t="n">
        <v>80.59106</v>
      </c>
      <c r="M2162" s="9" t="inlineStr">
        <is>
          <t>https://www.google.com/maps/place/?q=place_id:ChIJ7-qa8lmQ4zoRtaastff0Rz0</t>
        </is>
      </c>
    </row>
    <row r="2163">
      <c r="A2163" s="9" t="n">
        <v>2159</v>
      </c>
      <c r="B2163" s="9" t="inlineStr">
        <is>
          <t>Kandy</t>
        </is>
      </c>
      <c r="C2163" s="9" t="inlineStr">
        <is>
          <t>Kandy</t>
        </is>
      </c>
      <c r="D2163" s="9" t="inlineStr">
        <is>
          <t>Central Province</t>
        </is>
      </c>
      <c r="E2163" s="9" t="inlineStr">
        <is>
          <t>Sri Lanka</t>
        </is>
      </c>
      <c r="F2163" s="9" t="n">
        <v>3</v>
      </c>
      <c r="G2163" s="9" t="n">
        <v>3</v>
      </c>
      <c r="H2163" s="9" t="n">
        <v>2</v>
      </c>
      <c r="I2163" s="10" t="n">
        <v>43739</v>
      </c>
      <c r="J2163" s="10" t="n">
        <v>43822</v>
      </c>
      <c r="K2163" s="9" t="n">
        <v>7.29422</v>
      </c>
      <c r="L2163" s="9" t="n">
        <v>80.63771</v>
      </c>
      <c r="M2163" s="9" t="inlineStr">
        <is>
          <t>https://www.google.com/maps/place/?q=place_id:ChIJyRwzhStm4zoR8T0e2I6yCH8</t>
        </is>
      </c>
    </row>
    <row r="2164">
      <c r="A2164" s="9" t="n">
        <v>2160</v>
      </c>
      <c r="B2164" s="9" t="inlineStr">
        <is>
          <t>Kandy</t>
        </is>
      </c>
      <c r="C2164" s="9" t="inlineStr">
        <is>
          <t>Kandy</t>
        </is>
      </c>
      <c r="D2164" s="9" t="inlineStr">
        <is>
          <t>Central Province</t>
        </is>
      </c>
      <c r="E2164" s="9" t="inlineStr">
        <is>
          <t>Sri Lanka</t>
        </is>
      </c>
      <c r="F2164" s="9" t="n">
        <v>3</v>
      </c>
      <c r="G2164" s="9" t="n">
        <v>4</v>
      </c>
      <c r="H2164" s="9" t="n">
        <v>2</v>
      </c>
      <c r="I2164" s="10" t="n">
        <v>43822</v>
      </c>
      <c r="J2164" s="10" t="n">
        <v>44589</v>
      </c>
      <c r="K2164" s="9" t="n">
        <v>7.30584</v>
      </c>
      <c r="L2164" s="9" t="n">
        <v>80.62415</v>
      </c>
      <c r="M2164" s="9" t="inlineStr">
        <is>
          <t>https://www.google.com/maps/place/?q=place_id:ChIJ-XGT93po4zoRHShxzlBmszM</t>
        </is>
      </c>
    </row>
    <row r="2165">
      <c r="A2165" s="9" t="n">
        <v>2161</v>
      </c>
      <c r="B2165" s="9" t="inlineStr">
        <is>
          <t>Kandy</t>
        </is>
      </c>
      <c r="C2165" s="9" t="inlineStr">
        <is>
          <t>Kandy</t>
        </is>
      </c>
      <c r="D2165" s="9" t="inlineStr">
        <is>
          <t>Central Province</t>
        </is>
      </c>
      <c r="E2165" s="9" t="inlineStr">
        <is>
          <t>Sri Lanka</t>
        </is>
      </c>
      <c r="F2165" s="9" t="n">
        <v>1</v>
      </c>
      <c r="G2165" s="9" t="n">
        <v>2</v>
      </c>
      <c r="H2165" s="9" t="n">
        <v>1</v>
      </c>
      <c r="I2165" s="10" t="n">
        <v>43739</v>
      </c>
      <c r="J2165" s="10" t="n">
        <v>43740</v>
      </c>
      <c r="K2165" s="9" t="n">
        <v>7.28521</v>
      </c>
      <c r="L2165" s="9" t="n">
        <v>80.64344</v>
      </c>
      <c r="M2165" s="9" t="inlineStr">
        <is>
          <t>https://www.google.com/maps/place/?q=place_id:ChIJ6d8xPy9m4zoRfIPAi_om-io</t>
        </is>
      </c>
    </row>
    <row r="2166">
      <c r="A2166" s="9" t="n">
        <v>2162</v>
      </c>
      <c r="B2166" s="9" t="inlineStr">
        <is>
          <t>Kandy</t>
        </is>
      </c>
      <c r="C2166" s="9" t="inlineStr">
        <is>
          <t>Kandy</t>
        </is>
      </c>
      <c r="D2166" s="9" t="inlineStr">
        <is>
          <t>Central Province</t>
        </is>
      </c>
      <c r="E2166" s="9" t="inlineStr">
        <is>
          <t>Sri Lanka</t>
        </is>
      </c>
      <c r="F2166" s="9" t="n">
        <v>1</v>
      </c>
      <c r="G2166" s="9" t="n">
        <v>1</v>
      </c>
      <c r="H2166" s="9" t="n">
        <v>1</v>
      </c>
      <c r="I2166" s="10" t="n">
        <v>43823</v>
      </c>
      <c r="J2166" s="10" t="n">
        <v>43823</v>
      </c>
      <c r="K2166" s="9" t="n">
        <v>7.27519</v>
      </c>
      <c r="L2166" s="9" t="n">
        <v>80.61206</v>
      </c>
      <c r="M2166" s="9" t="inlineStr">
        <is>
          <t>https://www.google.com/maps/place/?q=place_id:ChIJceMy3L9o4zoRWqcrbb7zIbs</t>
        </is>
      </c>
    </row>
    <row r="2167">
      <c r="A2167" s="9" t="n">
        <v>2163</v>
      </c>
      <c r="B2167" s="9" t="inlineStr">
        <is>
          <t>Kandy</t>
        </is>
      </c>
      <c r="C2167" s="9" t="inlineStr">
        <is>
          <t>Kandy</t>
        </is>
      </c>
      <c r="D2167" s="9" t="inlineStr">
        <is>
          <t>Central Province</t>
        </is>
      </c>
      <c r="E2167" s="9" t="inlineStr">
        <is>
          <t>Sri Lanka</t>
        </is>
      </c>
      <c r="F2167" s="9" t="n">
        <v>1</v>
      </c>
      <c r="G2167" s="9" t="n">
        <v>1</v>
      </c>
      <c r="H2167" s="9" t="n">
        <v>1</v>
      </c>
      <c r="I2167" s="10" t="n">
        <v>43823</v>
      </c>
      <c r="J2167" s="10" t="n">
        <v>43823</v>
      </c>
      <c r="K2167" s="9" t="n">
        <v>7.28956</v>
      </c>
      <c r="L2167" s="9" t="n">
        <v>80.63236000000001</v>
      </c>
      <c r="M2167" s="9" t="inlineStr">
        <is>
          <t>https://www.google.com/maps/place/?q=place_id:ChIJUwo_iYJo4zoRt_HmvYSPV5Y</t>
        </is>
      </c>
    </row>
    <row r="2168">
      <c r="A2168" s="9" t="n">
        <v>2164</v>
      </c>
      <c r="B2168" s="9" t="inlineStr">
        <is>
          <t>Kandy</t>
        </is>
      </c>
      <c r="C2168" s="9" t="inlineStr">
        <is>
          <t>Kandy</t>
        </is>
      </c>
      <c r="D2168" s="9" t="inlineStr">
        <is>
          <t>Central Province</t>
        </is>
      </c>
      <c r="E2168" s="9" t="inlineStr">
        <is>
          <t>Sri Lanka</t>
        </is>
      </c>
      <c r="F2168" s="9" t="n">
        <v>1</v>
      </c>
      <c r="G2168" s="9" t="n">
        <v>1</v>
      </c>
      <c r="H2168" s="9" t="n">
        <v>1</v>
      </c>
      <c r="I2168" s="10" t="n">
        <v>43823</v>
      </c>
      <c r="J2168" s="10" t="n">
        <v>43823</v>
      </c>
      <c r="K2168" s="9" t="n">
        <v>7.31438</v>
      </c>
      <c r="L2168" s="9" t="n">
        <v>80.73529000000001</v>
      </c>
      <c r="M2168" s="9" t="inlineStr">
        <is>
          <t>https://www.google.com/maps/place/?q=place_id:ChIJiWk0y8Vg4zoR1BH5Zn5hfJA</t>
        </is>
      </c>
    </row>
    <row r="2169">
      <c r="A2169" s="9" t="n">
        <v>2165</v>
      </c>
      <c r="B2169" s="9" t="inlineStr">
        <is>
          <t>Kandy</t>
        </is>
      </c>
      <c r="C2169" s="9" t="inlineStr">
        <is>
          <t>Kandy</t>
        </is>
      </c>
      <c r="D2169" s="9" t="inlineStr">
        <is>
          <t>Central Province</t>
        </is>
      </c>
      <c r="E2169" s="9" t="inlineStr">
        <is>
          <t>Sri Lanka</t>
        </is>
      </c>
      <c r="F2169" s="9" t="n">
        <v>1</v>
      </c>
      <c r="G2169" s="9" t="n">
        <v>1</v>
      </c>
      <c r="H2169" s="9" t="n">
        <v>1</v>
      </c>
      <c r="I2169" s="10" t="n">
        <v>43823</v>
      </c>
      <c r="J2169" s="10" t="n">
        <v>43823</v>
      </c>
      <c r="K2169" s="9" t="n">
        <v>7.3412</v>
      </c>
      <c r="L2169" s="9" t="n">
        <v>80.92816999999999</v>
      </c>
      <c r="M2169" s="9" t="inlineStr">
        <is>
          <t>https://www.google.com/maps/place/?q=place_id:ChIJSUcYcZyY5DoRjIOuoKS3VaE</t>
        </is>
      </c>
    </row>
    <row r="2170">
      <c r="A2170" s="9" t="n">
        <v>2166</v>
      </c>
      <c r="B2170" s="9" t="inlineStr">
        <is>
          <t>Kandy</t>
        </is>
      </c>
      <c r="C2170" s="9" t="inlineStr">
        <is>
          <t>Kandy</t>
        </is>
      </c>
      <c r="D2170" s="9" t="inlineStr">
        <is>
          <t>Central Province</t>
        </is>
      </c>
      <c r="E2170" s="9" t="inlineStr">
        <is>
          <t>Sri Lanka</t>
        </is>
      </c>
      <c r="F2170" s="9" t="n">
        <v>1</v>
      </c>
      <c r="G2170" s="9" t="n">
        <v>1</v>
      </c>
      <c r="H2170" s="9" t="n">
        <v>1</v>
      </c>
      <c r="I2170" s="10" t="n">
        <v>44588</v>
      </c>
      <c r="J2170" s="10" t="n">
        <v>44588</v>
      </c>
      <c r="K2170" s="9" t="n">
        <v>7.34447</v>
      </c>
      <c r="L2170" s="9" t="n">
        <v>80.92961</v>
      </c>
      <c r="M2170" s="9" t="inlineStr">
        <is>
          <t>https://www.google.com/maps/place/?q=place_id:ChIJ-UmtjYOi5DoR8oerEHIiNEk</t>
        </is>
      </c>
    </row>
    <row r="2171">
      <c r="A2171" s="9" t="n">
        <v>2167</v>
      </c>
      <c r="B2171" s="9" t="inlineStr">
        <is>
          <t>Kandy</t>
        </is>
      </c>
      <c r="C2171" s="9" t="inlineStr">
        <is>
          <t>Kandy</t>
        </is>
      </c>
      <c r="D2171" s="9" t="inlineStr">
        <is>
          <t>Central Province</t>
        </is>
      </c>
      <c r="E2171" s="9" t="inlineStr">
        <is>
          <t>Sri Lanka</t>
        </is>
      </c>
      <c r="F2171" s="9" t="n">
        <v>1</v>
      </c>
      <c r="G2171" s="9" t="n">
        <v>1</v>
      </c>
      <c r="H2171" s="9" t="n">
        <v>1</v>
      </c>
      <c r="I2171" s="10" t="n">
        <v>44589</v>
      </c>
      <c r="J2171" s="10" t="n">
        <v>44589</v>
      </c>
      <c r="K2171" s="9" t="n">
        <v>7.29387</v>
      </c>
      <c r="L2171" s="9" t="n">
        <v>80.64066</v>
      </c>
      <c r="M2171" s="9" t="inlineStr">
        <is>
          <t>https://www.google.com/maps/place/?q=place_id:ChIJs81gTyxm4zoROFB_w3NwPOg</t>
        </is>
      </c>
    </row>
    <row r="2172">
      <c r="A2172" s="9" t="n">
        <v>2168</v>
      </c>
      <c r="B2172" s="9" t="inlineStr">
        <is>
          <t>Kandy</t>
        </is>
      </c>
      <c r="C2172" s="9" t="inlineStr">
        <is>
          <t>Kandy</t>
        </is>
      </c>
      <c r="D2172" s="9" t="inlineStr">
        <is>
          <t>Central Province</t>
        </is>
      </c>
      <c r="E2172" s="9" t="inlineStr">
        <is>
          <t>Sri Lanka</t>
        </is>
      </c>
      <c r="F2172" s="9" t="n">
        <v>1</v>
      </c>
      <c r="G2172" s="9" t="n">
        <v>1</v>
      </c>
      <c r="H2172" s="9" t="n">
        <v>1</v>
      </c>
      <c r="I2172" s="10" t="n">
        <v>44589</v>
      </c>
      <c r="J2172" s="10" t="n">
        <v>44589</v>
      </c>
      <c r="K2172" s="9" t="n">
        <v>7.29323</v>
      </c>
      <c r="L2172" s="9" t="n">
        <v>80.63838</v>
      </c>
      <c r="M2172" s="9" t="inlineStr">
        <is>
          <t>https://www.google.com/maps/place/?q=place_id:ChIJa1nc9Ctm4zoRQJYkW3DAHiQ</t>
        </is>
      </c>
    </row>
    <row r="2173">
      <c r="A2173" s="9" t="n">
        <v>2169</v>
      </c>
      <c r="B2173" s="9" t="inlineStr">
        <is>
          <t>Matale</t>
        </is>
      </c>
      <c r="C2173" s="9" t="inlineStr">
        <is>
          <t>Matale</t>
        </is>
      </c>
      <c r="D2173" s="9" t="inlineStr">
        <is>
          <t>Central Province</t>
        </is>
      </c>
      <c r="E2173" s="9" t="inlineStr">
        <is>
          <t>Sri Lanka</t>
        </is>
      </c>
      <c r="F2173" s="9" t="n">
        <v>1</v>
      </c>
      <c r="G2173" s="9" t="n">
        <v>1</v>
      </c>
      <c r="H2173" s="9" t="n">
        <v>1</v>
      </c>
      <c r="I2173" s="10" t="n">
        <v>43822</v>
      </c>
      <c r="J2173" s="10" t="n">
        <v>43822</v>
      </c>
      <c r="K2173" s="9" t="n">
        <v>7.58543</v>
      </c>
      <c r="L2173" s="9" t="n">
        <v>80.62547000000001</v>
      </c>
      <c r="M2173" s="9" t="inlineStr">
        <is>
          <t>https://www.google.com/maps/place/?q=place_id:ChIJj9IENBtO4zoRkbHB3iXxNQI</t>
        </is>
      </c>
    </row>
    <row r="2174">
      <c r="A2174" s="9" t="n">
        <v>2170</v>
      </c>
      <c r="B2174" s="9" t="inlineStr">
        <is>
          <t>Nuwara Eliya</t>
        </is>
      </c>
      <c r="C2174" s="9" t="inlineStr">
        <is>
          <t>Nuwara Eliya</t>
        </is>
      </c>
      <c r="D2174" s="9" t="inlineStr">
        <is>
          <t>Central Province</t>
        </is>
      </c>
      <c r="E2174" s="9" t="inlineStr">
        <is>
          <t>Sri Lanka</t>
        </is>
      </c>
      <c r="F2174" s="9" t="n">
        <v>4</v>
      </c>
      <c r="G2174" s="9" t="n">
        <v>5</v>
      </c>
      <c r="H2174" s="9" t="n">
        <v>2</v>
      </c>
      <c r="I2174" s="10" t="n">
        <v>43740</v>
      </c>
      <c r="J2174" s="10" t="n">
        <v>43825</v>
      </c>
      <c r="K2174" s="9" t="n">
        <v>7.05579</v>
      </c>
      <c r="L2174" s="9" t="n">
        <v>80.69898000000001</v>
      </c>
      <c r="M2174" s="9" t="inlineStr">
        <is>
          <t>https://www.google.com/maps/place/?q=place_id:ChIJoSN9QBZ54zoRcrb6rT77Sd4</t>
        </is>
      </c>
    </row>
    <row r="2175">
      <c r="A2175" s="9" t="n">
        <v>2171</v>
      </c>
      <c r="B2175" s="9" t="inlineStr">
        <is>
          <t>Nuwara Eliya</t>
        </is>
      </c>
      <c r="C2175" s="9" t="inlineStr">
        <is>
          <t>Nuwara Eliya</t>
        </is>
      </c>
      <c r="D2175" s="9" t="inlineStr">
        <is>
          <t>Central Province</t>
        </is>
      </c>
      <c r="E2175" s="9" t="inlineStr">
        <is>
          <t>Sri Lanka</t>
        </is>
      </c>
      <c r="F2175" s="9" t="n">
        <v>3</v>
      </c>
      <c r="G2175" s="9" t="n">
        <v>3</v>
      </c>
      <c r="H2175" s="9" t="n">
        <v>3</v>
      </c>
      <c r="I2175" s="10" t="n">
        <v>43741</v>
      </c>
      <c r="J2175" s="10" t="n">
        <v>44590</v>
      </c>
      <c r="K2175" s="9" t="n">
        <v>6.93323</v>
      </c>
      <c r="L2175" s="9" t="n">
        <v>80.8105</v>
      </c>
      <c r="M2175" s="9" t="inlineStr">
        <is>
          <t>https://www.google.com/maps/place/?q=place_id:ChIJfxzfrlh_5DoRkq7-ogNDk5A</t>
        </is>
      </c>
    </row>
    <row r="2176">
      <c r="A2176" s="9" t="n">
        <v>2172</v>
      </c>
      <c r="B2176" s="9" t="inlineStr">
        <is>
          <t>Nuwara Eliya</t>
        </is>
      </c>
      <c r="C2176" s="9" t="inlineStr">
        <is>
          <t>Nuwara Eliya</t>
        </is>
      </c>
      <c r="D2176" s="9" t="inlineStr">
        <is>
          <t>Central Province</t>
        </is>
      </c>
      <c r="E2176" s="9" t="inlineStr">
        <is>
          <t>Sri Lanka</t>
        </is>
      </c>
      <c r="F2176" s="9" t="n">
        <v>2</v>
      </c>
      <c r="G2176" s="9" t="n">
        <v>2</v>
      </c>
      <c r="H2176" s="9" t="n">
        <v>1</v>
      </c>
      <c r="I2176" s="10" t="n">
        <v>43741</v>
      </c>
      <c r="J2176" s="10" t="n">
        <v>43742</v>
      </c>
      <c r="K2176" s="9" t="n">
        <v>6.96374</v>
      </c>
      <c r="L2176" s="9" t="n">
        <v>80.76683</v>
      </c>
      <c r="M2176" s="9" t="inlineStr">
        <is>
          <t>https://www.google.com/maps/place/?q=place_id:ChIJi9oAvFSA4zoR3K3RDhTVuJ8</t>
        </is>
      </c>
    </row>
    <row r="2177">
      <c r="A2177" s="9" t="n">
        <v>2173</v>
      </c>
      <c r="B2177" s="9" t="inlineStr">
        <is>
          <t>Nuwara Eliya</t>
        </is>
      </c>
      <c r="C2177" s="9" t="inlineStr">
        <is>
          <t>Nuwara Eliya</t>
        </is>
      </c>
      <c r="D2177" s="9" t="inlineStr">
        <is>
          <t>Central Province</t>
        </is>
      </c>
      <c r="E2177" s="9" t="inlineStr">
        <is>
          <t>Sri Lanka</t>
        </is>
      </c>
      <c r="F2177" s="9" t="n">
        <v>2</v>
      </c>
      <c r="G2177" s="9" t="n">
        <v>2</v>
      </c>
      <c r="H2177" s="9" t="n">
        <v>2</v>
      </c>
      <c r="I2177" s="10" t="n">
        <v>43741</v>
      </c>
      <c r="J2177" s="10" t="n">
        <v>43824</v>
      </c>
      <c r="K2177" s="9" t="n">
        <v>6.97384</v>
      </c>
      <c r="L2177" s="9" t="n">
        <v>80.77616999999999</v>
      </c>
      <c r="M2177" s="9" t="inlineStr">
        <is>
          <t>https://www.google.com/maps/place/?q=place_id:ChIJ07r4ZU-A4zoRHGPtDnLskXQ</t>
        </is>
      </c>
    </row>
    <row r="2178">
      <c r="A2178" s="9" t="n">
        <v>2174</v>
      </c>
      <c r="B2178" s="9" t="inlineStr">
        <is>
          <t>Nuwara Eliya</t>
        </is>
      </c>
      <c r="C2178" s="9" t="inlineStr">
        <is>
          <t>Nuwara Eliya</t>
        </is>
      </c>
      <c r="D2178" s="9" t="inlineStr">
        <is>
          <t>Central Province</t>
        </is>
      </c>
      <c r="E2178" s="9" t="inlineStr">
        <is>
          <t>Sri Lanka</t>
        </is>
      </c>
      <c r="F2178" s="9" t="n">
        <v>2</v>
      </c>
      <c r="G2178" s="9" t="n">
        <v>2</v>
      </c>
      <c r="H2178" s="9" t="n">
        <v>2</v>
      </c>
      <c r="I2178" s="10" t="n">
        <v>43825</v>
      </c>
      <c r="J2178" s="10" t="n">
        <v>44590</v>
      </c>
      <c r="K2178" s="9" t="n">
        <v>6.9028</v>
      </c>
      <c r="L2178" s="9" t="n">
        <v>80.88499</v>
      </c>
      <c r="M2178" s="9" t="inlineStr">
        <is>
          <t>https://www.google.com/maps/place/?q=place_id:ChIJ8dZOgEN55DoRpSKZ38uTaDg</t>
        </is>
      </c>
    </row>
    <row r="2179">
      <c r="A2179" s="9" t="n">
        <v>2175</v>
      </c>
      <c r="B2179" s="9" t="inlineStr">
        <is>
          <t>Nuwara Eliya</t>
        </is>
      </c>
      <c r="C2179" s="9" t="inlineStr">
        <is>
          <t>Nuwara Eliya</t>
        </is>
      </c>
      <c r="D2179" s="9" t="inlineStr">
        <is>
          <t>Central Province</t>
        </is>
      </c>
      <c r="E2179" s="9" t="inlineStr">
        <is>
          <t>Sri Lanka</t>
        </is>
      </c>
      <c r="F2179" s="9" t="n">
        <v>2</v>
      </c>
      <c r="G2179" s="9" t="n">
        <v>2</v>
      </c>
      <c r="H2179" s="9" t="n">
        <v>1</v>
      </c>
      <c r="I2179" s="10" t="n">
        <v>44589</v>
      </c>
      <c r="J2179" s="10" t="n">
        <v>44590</v>
      </c>
      <c r="K2179" s="9" t="n">
        <v>6.96711</v>
      </c>
      <c r="L2179" s="9" t="n">
        <v>80.76461999999999</v>
      </c>
      <c r="M2179" s="9" t="inlineStr">
        <is>
          <t>https://www.google.com/maps/place/?q=place_id:ChIJMRyB3qyB4zoROFzoER8H0pE</t>
        </is>
      </c>
    </row>
    <row r="2180">
      <c r="A2180" s="9" t="n">
        <v>2176</v>
      </c>
      <c r="B2180" s="9" t="inlineStr">
        <is>
          <t>Nuwara Eliya</t>
        </is>
      </c>
      <c r="C2180" s="9" t="inlineStr">
        <is>
          <t>Nuwara Eliya</t>
        </is>
      </c>
      <c r="D2180" s="9" t="inlineStr">
        <is>
          <t>Central Province</t>
        </is>
      </c>
      <c r="E2180" s="9" t="inlineStr">
        <is>
          <t>Sri Lanka</t>
        </is>
      </c>
      <c r="F2180" s="9" t="n">
        <v>1</v>
      </c>
      <c r="G2180" s="9" t="n">
        <v>1</v>
      </c>
      <c r="H2180" s="9" t="n">
        <v>1</v>
      </c>
      <c r="I2180" s="10" t="n">
        <v>43741</v>
      </c>
      <c r="J2180" s="10" t="n">
        <v>43741</v>
      </c>
      <c r="K2180" s="9" t="n">
        <v>7.05707</v>
      </c>
      <c r="L2180" s="9" t="n">
        <v>80.69553000000001</v>
      </c>
      <c r="M2180" s="9" t="inlineStr">
        <is>
          <t>https://www.google.com/maps/place/?q=place_id:ChIJkwc97xZ54zoRj0Eg5BSUvo4</t>
        </is>
      </c>
    </row>
    <row r="2181">
      <c r="A2181" s="9" t="n">
        <v>2177</v>
      </c>
      <c r="B2181" s="9" t="inlineStr">
        <is>
          <t>Nuwara Eliya</t>
        </is>
      </c>
      <c r="C2181" s="9" t="inlineStr">
        <is>
          <t>Nuwara Eliya</t>
        </is>
      </c>
      <c r="D2181" s="9" t="inlineStr">
        <is>
          <t>Central Province</t>
        </is>
      </c>
      <c r="E2181" s="9" t="inlineStr">
        <is>
          <t>Sri Lanka</t>
        </is>
      </c>
      <c r="F2181" s="9" t="n">
        <v>1</v>
      </c>
      <c r="G2181" s="9" t="n">
        <v>1</v>
      </c>
      <c r="H2181" s="9" t="n">
        <v>1</v>
      </c>
      <c r="I2181" s="10" t="n">
        <v>43741</v>
      </c>
      <c r="J2181" s="10" t="n">
        <v>43741</v>
      </c>
      <c r="K2181" s="9" t="n">
        <v>7.0107</v>
      </c>
      <c r="L2181" s="9" t="n">
        <v>80.73262</v>
      </c>
      <c r="M2181" s="9" t="inlineStr">
        <is>
          <t>https://www.google.com/maps/place/?q=place_id:ChIJpcT0oFp_4zoREV-4_8g6JTA</t>
        </is>
      </c>
    </row>
    <row r="2182">
      <c r="A2182" s="9" t="n">
        <v>2178</v>
      </c>
      <c r="B2182" s="9" t="inlineStr">
        <is>
          <t>Nuwara Eliya</t>
        </is>
      </c>
      <c r="C2182" s="9" t="inlineStr">
        <is>
          <t>Nuwara Eliya</t>
        </is>
      </c>
      <c r="D2182" s="9" t="inlineStr">
        <is>
          <t>Central Province</t>
        </is>
      </c>
      <c r="E2182" s="9" t="inlineStr">
        <is>
          <t>Sri Lanka</t>
        </is>
      </c>
      <c r="F2182" s="9" t="n">
        <v>1</v>
      </c>
      <c r="G2182" s="9" t="n">
        <v>1</v>
      </c>
      <c r="H2182" s="9" t="n">
        <v>1</v>
      </c>
      <c r="I2182" s="10" t="n">
        <v>43741</v>
      </c>
      <c r="J2182" s="10" t="n">
        <v>43741</v>
      </c>
      <c r="K2182" s="9" t="n">
        <v>6.96259</v>
      </c>
      <c r="L2182" s="9" t="n">
        <v>80.76600999999999</v>
      </c>
      <c r="M2182" s="9" t="inlineStr">
        <is>
          <t>https://www.google.com/maps/place/?q=place_id:ChIJp4XB0lSA4zoReX3WIOgnyDI</t>
        </is>
      </c>
    </row>
    <row r="2183">
      <c r="A2183" s="9" t="n">
        <v>2179</v>
      </c>
      <c r="B2183" s="9" t="inlineStr">
        <is>
          <t>Nuwara Eliya</t>
        </is>
      </c>
      <c r="C2183" s="9" t="inlineStr">
        <is>
          <t>Nuwara Eliya</t>
        </is>
      </c>
      <c r="D2183" s="9" t="inlineStr">
        <is>
          <t>Central Province</t>
        </is>
      </c>
      <c r="E2183" s="9" t="inlineStr">
        <is>
          <t>Sri Lanka</t>
        </is>
      </c>
      <c r="F2183" s="9" t="n">
        <v>1</v>
      </c>
      <c r="G2183" s="9" t="n">
        <v>1</v>
      </c>
      <c r="H2183" s="9" t="n">
        <v>1</v>
      </c>
      <c r="I2183" s="10" t="n">
        <v>43741</v>
      </c>
      <c r="J2183" s="10" t="n">
        <v>43741</v>
      </c>
      <c r="K2183" s="9" t="n">
        <v>6.96777</v>
      </c>
      <c r="L2183" s="9" t="n">
        <v>80.76564</v>
      </c>
      <c r="M2183" s="9" t="inlineStr">
        <is>
          <t>https://www.google.com/maps/place/?q=place_id:ChIJM50aK62B4zoRudgAcfDFG4E</t>
        </is>
      </c>
    </row>
    <row r="2184">
      <c r="A2184" s="9" t="n">
        <v>2180</v>
      </c>
      <c r="B2184" s="9" t="inlineStr">
        <is>
          <t>Nuwara Eliya</t>
        </is>
      </c>
      <c r="C2184" s="9" t="inlineStr">
        <is>
          <t>Nuwara Eliya</t>
        </is>
      </c>
      <c r="D2184" s="9" t="inlineStr">
        <is>
          <t>Central Province</t>
        </is>
      </c>
      <c r="E2184" s="9" t="inlineStr">
        <is>
          <t>Sri Lanka</t>
        </is>
      </c>
      <c r="F2184" s="9" t="n">
        <v>1</v>
      </c>
      <c r="G2184" s="9" t="n">
        <v>1</v>
      </c>
      <c r="H2184" s="9" t="n">
        <v>1</v>
      </c>
      <c r="I2184" s="10" t="n">
        <v>43742</v>
      </c>
      <c r="J2184" s="10" t="n">
        <v>43742</v>
      </c>
      <c r="K2184" s="9" t="n">
        <v>6.89324</v>
      </c>
      <c r="L2184" s="9" t="n">
        <v>80.86537</v>
      </c>
      <c r="M2184" s="9" t="inlineStr">
        <is>
          <t>https://www.google.com/maps/place/?q=place_id:ChIJNZcM4hl55DoR7RmGFQeYThk</t>
        </is>
      </c>
    </row>
    <row r="2185">
      <c r="A2185" s="9" t="n">
        <v>2181</v>
      </c>
      <c r="B2185" s="9" t="inlineStr">
        <is>
          <t>Nuwara Eliya</t>
        </is>
      </c>
      <c r="C2185" s="9" t="inlineStr">
        <is>
          <t>Nuwara Eliya</t>
        </is>
      </c>
      <c r="D2185" s="9" t="inlineStr">
        <is>
          <t>Central Province</t>
        </is>
      </c>
      <c r="E2185" s="9" t="inlineStr">
        <is>
          <t>Sri Lanka</t>
        </is>
      </c>
      <c r="F2185" s="9" t="n">
        <v>1</v>
      </c>
      <c r="G2185" s="9" t="n">
        <v>1</v>
      </c>
      <c r="H2185" s="9" t="n">
        <v>1</v>
      </c>
      <c r="I2185" s="10" t="n">
        <v>43825</v>
      </c>
      <c r="J2185" s="10" t="n">
        <v>43825</v>
      </c>
      <c r="K2185" s="9" t="n">
        <v>7.04232</v>
      </c>
      <c r="L2185" s="9" t="n">
        <v>80.69844999999999</v>
      </c>
      <c r="M2185" s="9" t="inlineStr">
        <is>
          <t>https://www.google.com/maps/place/?q=place_id:ChIJ6wP5x3B54zoR9yghSouy4-w</t>
        </is>
      </c>
    </row>
    <row r="2186">
      <c r="A2186" s="9" t="n">
        <v>2182</v>
      </c>
      <c r="B2186" s="9" t="inlineStr">
        <is>
          <t>Nuwara Eliya</t>
        </is>
      </c>
      <c r="C2186" s="9" t="inlineStr">
        <is>
          <t>Nuwara Eliya</t>
        </is>
      </c>
      <c r="D2186" s="9" t="inlineStr">
        <is>
          <t>Central Province</t>
        </is>
      </c>
      <c r="E2186" s="9" t="inlineStr">
        <is>
          <t>Sri Lanka</t>
        </is>
      </c>
      <c r="F2186" s="9" t="n">
        <v>1</v>
      </c>
      <c r="G2186" s="9" t="n">
        <v>1</v>
      </c>
      <c r="H2186" s="9" t="n">
        <v>1</v>
      </c>
      <c r="I2186" s="10" t="n">
        <v>43825</v>
      </c>
      <c r="J2186" s="10" t="n">
        <v>43825</v>
      </c>
      <c r="K2186" s="9" t="n">
        <v>6.95233</v>
      </c>
      <c r="L2186" s="9" t="n">
        <v>80.78703</v>
      </c>
      <c r="M2186" s="9" t="inlineStr">
        <is>
          <t>https://www.google.com/maps/place/?q=place_id:ChIJD8d_JvOA4zoRc-6Nfx_DPYU</t>
        </is>
      </c>
    </row>
    <row r="2187">
      <c r="A2187" s="9" t="n">
        <v>2183</v>
      </c>
      <c r="B2187" s="9" t="inlineStr">
        <is>
          <t>Nuwara Eliya</t>
        </is>
      </c>
      <c r="C2187" s="9" t="inlineStr">
        <is>
          <t>Nuwara Eliya</t>
        </is>
      </c>
      <c r="D2187" s="9" t="inlineStr">
        <is>
          <t>Central Province</t>
        </is>
      </c>
      <c r="E2187" s="9" t="inlineStr">
        <is>
          <t>Sri Lanka</t>
        </is>
      </c>
      <c r="F2187" s="9" t="n">
        <v>1</v>
      </c>
      <c r="G2187" s="9" t="n">
        <v>1</v>
      </c>
      <c r="H2187" s="9" t="n">
        <v>1</v>
      </c>
      <c r="I2187" s="10" t="n">
        <v>43825</v>
      </c>
      <c r="J2187" s="10" t="n">
        <v>43825</v>
      </c>
      <c r="K2187" s="9" t="n">
        <v>6.90552</v>
      </c>
      <c r="L2187" s="9" t="n">
        <v>80.92057</v>
      </c>
      <c r="M2187" s="9" t="inlineStr">
        <is>
          <t>https://www.google.com/maps/place/?q=place_id:ChIJCwKly-x75DoRR1XhIHxE1hw</t>
        </is>
      </c>
    </row>
    <row r="2188">
      <c r="A2188" s="9" t="n">
        <v>2184</v>
      </c>
      <c r="B2188" s="9" t="inlineStr">
        <is>
          <t>Nuwara Eliya</t>
        </is>
      </c>
      <c r="C2188" s="9" t="inlineStr">
        <is>
          <t>Nuwara Eliya</t>
        </is>
      </c>
      <c r="D2188" s="9" t="inlineStr">
        <is>
          <t>Central Province</t>
        </is>
      </c>
      <c r="E2188" s="9" t="inlineStr">
        <is>
          <t>Sri Lanka</t>
        </is>
      </c>
      <c r="F2188" s="9" t="n">
        <v>1</v>
      </c>
      <c r="G2188" s="9" t="n">
        <v>1</v>
      </c>
      <c r="H2188" s="9" t="n">
        <v>1</v>
      </c>
      <c r="I2188" s="10" t="n">
        <v>44589</v>
      </c>
      <c r="J2188" s="10" t="n">
        <v>44589</v>
      </c>
      <c r="K2188" s="9" t="n">
        <v>6.96906</v>
      </c>
      <c r="L2188" s="9" t="n">
        <v>80.76819999999999</v>
      </c>
      <c r="M2188" s="9" t="inlineStr">
        <is>
          <t>https://www.google.com/maps/place/?q=place_id:ChIJS3H6iFKA4zoRTAAkU7-vRLs</t>
        </is>
      </c>
    </row>
    <row r="2189">
      <c r="A2189" s="9" t="n">
        <v>2185</v>
      </c>
      <c r="B2189" s="9" t="inlineStr">
        <is>
          <t>Trincomalee</t>
        </is>
      </c>
      <c r="C2189" s="9" t="inlineStr">
        <is>
          <t>Trincomalee</t>
        </is>
      </c>
      <c r="D2189" s="9" t="inlineStr">
        <is>
          <t>Eastern Province</t>
        </is>
      </c>
      <c r="E2189" s="9" t="inlineStr">
        <is>
          <t>Sri Lanka</t>
        </is>
      </c>
      <c r="F2189" s="9" t="n">
        <v>2</v>
      </c>
      <c r="G2189" s="9" t="n">
        <v>2</v>
      </c>
      <c r="H2189" s="9" t="n">
        <v>2</v>
      </c>
      <c r="I2189" s="10" t="n">
        <v>43739</v>
      </c>
      <c r="J2189" s="10" t="n">
        <v>44588</v>
      </c>
      <c r="K2189" s="9" t="n">
        <v>8.58264</v>
      </c>
      <c r="L2189" s="9" t="n">
        <v>81.24539</v>
      </c>
      <c r="M2189" s="9" t="inlineStr">
        <is>
          <t>https://www.google.com/maps/place/?q=place_id:ChIJV-_dCaK8-zoR3yIZhmhLni4</t>
        </is>
      </c>
    </row>
    <row r="2190">
      <c r="A2190" s="9" t="n">
        <v>2186</v>
      </c>
      <c r="B2190" s="9" t="inlineStr">
        <is>
          <t>Trincomalee</t>
        </is>
      </c>
      <c r="C2190" s="9" t="inlineStr">
        <is>
          <t>Trincomalee</t>
        </is>
      </c>
      <c r="D2190" s="9" t="inlineStr">
        <is>
          <t>Eastern Province</t>
        </is>
      </c>
      <c r="E2190" s="9" t="inlineStr">
        <is>
          <t>Sri Lanka</t>
        </is>
      </c>
      <c r="F2190" s="9" t="n">
        <v>2</v>
      </c>
      <c r="G2190" s="9" t="n">
        <v>4</v>
      </c>
      <c r="H2190" s="9" t="n">
        <v>2</v>
      </c>
      <c r="I2190" s="10" t="n">
        <v>43821</v>
      </c>
      <c r="J2190" s="10" t="n">
        <v>44588</v>
      </c>
      <c r="K2190" s="9" t="n">
        <v>8.617850000000001</v>
      </c>
      <c r="L2190" s="9" t="n">
        <v>81.21754</v>
      </c>
      <c r="M2190" s="9" t="inlineStr">
        <is>
          <t>https://www.google.com/maps/place/?q=place_id:ChIJKZE_cE-8-zoR1rF4o6Ud6NA</t>
        </is>
      </c>
    </row>
    <row r="2191">
      <c r="A2191" s="9" t="n">
        <v>2187</v>
      </c>
      <c r="B2191" s="9" t="inlineStr">
        <is>
          <t>Trincomalee</t>
        </is>
      </c>
      <c r="C2191" s="9" t="inlineStr">
        <is>
          <t>Trincomalee</t>
        </is>
      </c>
      <c r="D2191" s="9" t="inlineStr">
        <is>
          <t>Eastern Province</t>
        </is>
      </c>
      <c r="E2191" s="9" t="inlineStr">
        <is>
          <t>Sri Lanka</t>
        </is>
      </c>
      <c r="F2191" s="9" t="n">
        <v>2</v>
      </c>
      <c r="G2191" s="9" t="n">
        <v>2</v>
      </c>
      <c r="H2191" s="9" t="n">
        <v>2</v>
      </c>
      <c r="I2191" s="10" t="n">
        <v>43822</v>
      </c>
      <c r="J2191" s="10" t="n">
        <v>44588</v>
      </c>
      <c r="K2191" s="9" t="n">
        <v>8.6045</v>
      </c>
      <c r="L2191" s="9" t="n">
        <v>81.17134</v>
      </c>
      <c r="M2191" s="9" t="inlineStr">
        <is>
          <t>https://www.google.com/maps/place/?q=place_id:ChIJfdSvWoK9-zoRhjvGBOUSRJ0</t>
        </is>
      </c>
    </row>
    <row r="2192">
      <c r="A2192" s="9" t="n">
        <v>2188</v>
      </c>
      <c r="B2192" s="9" t="inlineStr">
        <is>
          <t>Trincomalee</t>
        </is>
      </c>
      <c r="C2192" s="9" t="inlineStr">
        <is>
          <t>Trincomalee</t>
        </is>
      </c>
      <c r="D2192" s="9" t="inlineStr">
        <is>
          <t>Eastern Province</t>
        </is>
      </c>
      <c r="E2192" s="9" t="inlineStr">
        <is>
          <t>Sri Lanka</t>
        </is>
      </c>
      <c r="F2192" s="9" t="n">
        <v>1</v>
      </c>
      <c r="G2192" s="9" t="n">
        <v>2</v>
      </c>
      <c r="H2192" s="9" t="n">
        <v>1</v>
      </c>
      <c r="I2192" s="10" t="n">
        <v>43738</v>
      </c>
      <c r="J2192" s="10" t="n">
        <v>43739</v>
      </c>
      <c r="K2192" s="9" t="n">
        <v>8.597950000000001</v>
      </c>
      <c r="L2192" s="9" t="n">
        <v>81.22177000000001</v>
      </c>
      <c r="M2192" s="9" t="inlineStr">
        <is>
          <t>https://www.google.com/maps/place/?q=place_id:ChIJO_e7uZ69-zoRjB1Nkv84RFM</t>
        </is>
      </c>
    </row>
    <row r="2193">
      <c r="A2193" s="9" t="n">
        <v>2189</v>
      </c>
      <c r="B2193" s="9" t="inlineStr">
        <is>
          <t>Trincomalee</t>
        </is>
      </c>
      <c r="C2193" s="9" t="inlineStr">
        <is>
          <t>Trincomalee</t>
        </is>
      </c>
      <c r="D2193" s="9" t="inlineStr">
        <is>
          <t>Eastern Province</t>
        </is>
      </c>
      <c r="E2193" s="9" t="inlineStr">
        <is>
          <t>Sri Lanka</t>
        </is>
      </c>
      <c r="F2193" s="9" t="n">
        <v>1</v>
      </c>
      <c r="G2193" s="9" t="n">
        <v>1</v>
      </c>
      <c r="H2193" s="9" t="n">
        <v>1</v>
      </c>
      <c r="I2193" s="10" t="n">
        <v>43739</v>
      </c>
      <c r="J2193" s="10" t="n">
        <v>43739</v>
      </c>
      <c r="K2193" s="9" t="n">
        <v>8.629720000000001</v>
      </c>
      <c r="L2193" s="9" t="n">
        <v>81.20395000000001</v>
      </c>
      <c r="M2193" s="9" t="inlineStr">
        <is>
          <t>https://www.google.com/maps/place/?q=place_id:ChIJC1Twkcu9-zoRpCQ7FUdyNpQ</t>
        </is>
      </c>
    </row>
    <row r="2194">
      <c r="A2194" s="9" t="n">
        <v>2190</v>
      </c>
      <c r="B2194" s="9" t="inlineStr">
        <is>
          <t>Trincomalee</t>
        </is>
      </c>
      <c r="C2194" s="9" t="inlineStr">
        <is>
          <t>Trincomalee</t>
        </is>
      </c>
      <c r="D2194" s="9" t="inlineStr">
        <is>
          <t>Eastern Province</t>
        </is>
      </c>
      <c r="E2194" s="9" t="inlineStr">
        <is>
          <t>Sri Lanka</t>
        </is>
      </c>
      <c r="F2194" s="9" t="n">
        <v>1</v>
      </c>
      <c r="G2194" s="9" t="n">
        <v>1</v>
      </c>
      <c r="H2194" s="9" t="n">
        <v>1</v>
      </c>
      <c r="I2194" s="10" t="n">
        <v>43739</v>
      </c>
      <c r="J2194" s="10" t="n">
        <v>43739</v>
      </c>
      <c r="K2194" s="9" t="n">
        <v>8.59605</v>
      </c>
      <c r="L2194" s="9" t="n">
        <v>81.22289000000001</v>
      </c>
      <c r="M2194" s="9" t="inlineStr">
        <is>
          <t>https://www.google.com/maps/place/?q=place_id:ChIJifUDdPG8-zoR0GibDYiJGcM</t>
        </is>
      </c>
    </row>
    <row r="2195">
      <c r="A2195" s="9" t="n">
        <v>2191</v>
      </c>
      <c r="B2195" s="9" t="inlineStr">
        <is>
          <t>Trincomalee</t>
        </is>
      </c>
      <c r="C2195" s="9" t="inlineStr">
        <is>
          <t>Trincomalee</t>
        </is>
      </c>
      <c r="D2195" s="9" t="inlineStr">
        <is>
          <t>Eastern Province</t>
        </is>
      </c>
      <c r="E2195" s="9" t="inlineStr">
        <is>
          <t>Sri Lanka</t>
        </is>
      </c>
      <c r="F2195" s="9" t="n">
        <v>1</v>
      </c>
      <c r="G2195" s="9" t="n">
        <v>1</v>
      </c>
      <c r="H2195" s="9" t="n">
        <v>1</v>
      </c>
      <c r="I2195" s="10" t="n">
        <v>43822</v>
      </c>
      <c r="J2195" s="10" t="n">
        <v>43822</v>
      </c>
      <c r="K2195" s="9" t="n">
        <v>8.618259999999999</v>
      </c>
      <c r="L2195" s="9" t="n">
        <v>81.21514000000001</v>
      </c>
      <c r="M2195" s="9" t="inlineStr">
        <is>
          <t>https://www.google.com/maps/place/?q=place_id:ChIJBaPo6E68-zoR7PH1yg2kktE</t>
        </is>
      </c>
    </row>
    <row r="2196">
      <c r="A2196" s="9" t="n">
        <v>2192</v>
      </c>
      <c r="B2196" s="9" t="inlineStr">
        <is>
          <t>Anuradhapura</t>
        </is>
      </c>
      <c r="C2196" s="9" t="inlineStr">
        <is>
          <t>Anuradhapura</t>
        </is>
      </c>
      <c r="D2196" s="9" t="inlineStr">
        <is>
          <t>North Central Province</t>
        </is>
      </c>
      <c r="E2196" s="9" t="inlineStr">
        <is>
          <t>Sri Lanka</t>
        </is>
      </c>
      <c r="F2196" s="9" t="n">
        <v>1</v>
      </c>
      <c r="G2196" s="9" t="n">
        <v>2</v>
      </c>
      <c r="H2196" s="9" t="n">
        <v>1</v>
      </c>
      <c r="I2196" s="10" t="n">
        <v>43819</v>
      </c>
      <c r="J2196" s="10" t="n">
        <v>43820</v>
      </c>
      <c r="K2196" s="9" t="n">
        <v>8.33062</v>
      </c>
      <c r="L2196" s="9" t="n">
        <v>80.41901</v>
      </c>
      <c r="M2196" s="9" t="inlineStr">
        <is>
          <t>https://www.google.com/maps/place/?q=place_id:ChIJQ0i6iQT1_DoRNYYQ00bheUs</t>
        </is>
      </c>
    </row>
    <row r="2197">
      <c r="A2197" s="9" t="n">
        <v>2193</v>
      </c>
      <c r="B2197" s="9" t="inlineStr">
        <is>
          <t>Chilaw</t>
        </is>
      </c>
      <c r="C2197" s="9" t="inlineStr">
        <is>
          <t>Chilaw</t>
        </is>
      </c>
      <c r="D2197" s="9" t="inlineStr">
        <is>
          <t>North Western Province</t>
        </is>
      </c>
      <c r="E2197" s="9" t="inlineStr">
        <is>
          <t>Sri Lanka</t>
        </is>
      </c>
      <c r="F2197" s="9" t="n">
        <v>2</v>
      </c>
      <c r="G2197" s="9" t="n">
        <v>2</v>
      </c>
      <c r="H2197" s="9" t="n">
        <v>2</v>
      </c>
      <c r="I2197" s="10" t="n">
        <v>43737</v>
      </c>
      <c r="J2197" s="10" t="n">
        <v>44586</v>
      </c>
      <c r="K2197" s="9" t="n">
        <v>7.58087</v>
      </c>
      <c r="L2197" s="9" t="n">
        <v>79.81673000000001</v>
      </c>
      <c r="M2197" s="9" t="inlineStr">
        <is>
          <t>https://www.google.com/maps/place/?q=place_id:ChIJy3XC4-LL4joRul8hcW17_ak</t>
        </is>
      </c>
    </row>
    <row r="2198">
      <c r="A2198" s="9" t="n">
        <v>2194</v>
      </c>
      <c r="B2198" s="9" t="inlineStr">
        <is>
          <t>Chilaw</t>
        </is>
      </c>
      <c r="C2198" s="9" t="inlineStr">
        <is>
          <t>Chilaw</t>
        </is>
      </c>
      <c r="D2198" s="9" t="inlineStr">
        <is>
          <t>North Western Province</t>
        </is>
      </c>
      <c r="E2198" s="9" t="inlineStr">
        <is>
          <t>Sri Lanka</t>
        </is>
      </c>
      <c r="F2198" s="9" t="n">
        <v>1</v>
      </c>
      <c r="G2198" s="9" t="n">
        <v>1</v>
      </c>
      <c r="H2198" s="9" t="n">
        <v>1</v>
      </c>
      <c r="I2198" s="10" t="n">
        <v>43737</v>
      </c>
      <c r="J2198" s="10" t="n">
        <v>43737</v>
      </c>
      <c r="K2198" s="9" t="n">
        <v>7.50985</v>
      </c>
      <c r="L2198" s="9" t="n">
        <v>79.82946</v>
      </c>
      <c r="M2198" s="9" t="inlineStr">
        <is>
          <t>https://www.google.com/maps/place/?q=place_id:ChIJM76jrbTI4joRPgVKSzkA7cA</t>
        </is>
      </c>
    </row>
    <row r="2199">
      <c r="A2199" s="9" t="n">
        <v>2195</v>
      </c>
      <c r="B2199" s="9" t="inlineStr">
        <is>
          <t>Chilaw</t>
        </is>
      </c>
      <c r="C2199" s="9" t="inlineStr">
        <is>
          <t>Chilaw</t>
        </is>
      </c>
      <c r="D2199" s="9" t="inlineStr">
        <is>
          <t>North Western Province</t>
        </is>
      </c>
      <c r="E2199" s="9" t="inlineStr">
        <is>
          <t>Sri Lanka</t>
        </is>
      </c>
      <c r="F2199" s="9" t="n">
        <v>1</v>
      </c>
      <c r="G2199" s="9" t="n">
        <v>1</v>
      </c>
      <c r="H2199" s="9" t="n">
        <v>1</v>
      </c>
      <c r="I2199" s="10" t="n">
        <v>43737</v>
      </c>
      <c r="J2199" s="10" t="n">
        <v>43737</v>
      </c>
      <c r="K2199" s="9" t="n">
        <v>7.66457</v>
      </c>
      <c r="L2199" s="9" t="n">
        <v>79.83682</v>
      </c>
      <c r="M2199" s="9" t="inlineStr">
        <is>
          <t>https://www.google.com/maps/place/?q=place_id:ChIJCedsupYz_ToRe8yKmnB7Kg4</t>
        </is>
      </c>
    </row>
    <row r="2200">
      <c r="A2200" s="9" t="n">
        <v>2196</v>
      </c>
      <c r="B2200" s="9" t="inlineStr">
        <is>
          <t>Chilaw</t>
        </is>
      </c>
      <c r="C2200" s="9" t="inlineStr">
        <is>
          <t>Chilaw</t>
        </is>
      </c>
      <c r="D2200" s="9" t="inlineStr">
        <is>
          <t>North Western Province</t>
        </is>
      </c>
      <c r="E2200" s="9" t="inlineStr">
        <is>
          <t>Sri Lanka</t>
        </is>
      </c>
      <c r="F2200" s="9" t="n">
        <v>1</v>
      </c>
      <c r="G2200" s="9" t="n">
        <v>1</v>
      </c>
      <c r="H2200" s="9" t="n">
        <v>1</v>
      </c>
      <c r="I2200" s="10" t="n">
        <v>43819</v>
      </c>
      <c r="J2200" s="10" t="n">
        <v>43819</v>
      </c>
      <c r="K2200" s="9" t="n">
        <v>7.50816</v>
      </c>
      <c r="L2200" s="9" t="n">
        <v>79.82809</v>
      </c>
      <c r="M2200" s="9" t="inlineStr">
        <is>
          <t>https://www.google.com/maps/place/?q=place_id:ChIJUXrUa7PI4joRpVNI4wXTv9E</t>
        </is>
      </c>
    </row>
    <row r="2201">
      <c r="A2201" s="9" t="n">
        <v>2197</v>
      </c>
      <c r="B2201" s="9" t="inlineStr">
        <is>
          <t>Chilaw</t>
        </is>
      </c>
      <c r="C2201" s="9" t="inlineStr">
        <is>
          <t>Chilaw</t>
        </is>
      </c>
      <c r="D2201" s="9" t="inlineStr">
        <is>
          <t>North Western Province</t>
        </is>
      </c>
      <c r="E2201" s="9" t="inlineStr">
        <is>
          <t>Sri Lanka</t>
        </is>
      </c>
      <c r="F2201" s="9" t="n">
        <v>1</v>
      </c>
      <c r="G2201" s="9" t="n">
        <v>1</v>
      </c>
      <c r="H2201" s="9" t="n">
        <v>1</v>
      </c>
      <c r="I2201" s="10" t="n">
        <v>44586</v>
      </c>
      <c r="J2201" s="10" t="n">
        <v>44586</v>
      </c>
      <c r="K2201" s="9" t="n">
        <v>7.50961</v>
      </c>
      <c r="L2201" s="9" t="n">
        <v>79.82913000000001</v>
      </c>
      <c r="M2201" s="9" t="inlineStr">
        <is>
          <t>https://www.google.com/maps/place/?q=place_id:ChIJARgxr7TI4joRUUYeLE4XSko</t>
        </is>
      </c>
    </row>
    <row r="2202">
      <c r="A2202" s="9" t="n">
        <v>2198</v>
      </c>
      <c r="B2202" s="9" t="inlineStr">
        <is>
          <t>Chilaw</t>
        </is>
      </c>
      <c r="C2202" s="9" t="inlineStr">
        <is>
          <t>Chilaw</t>
        </is>
      </c>
      <c r="D2202" s="9" t="inlineStr">
        <is>
          <t>North Western Province</t>
        </is>
      </c>
      <c r="E2202" s="9" t="inlineStr">
        <is>
          <t>Sri Lanka</t>
        </is>
      </c>
      <c r="F2202" s="9" t="n">
        <v>1</v>
      </c>
      <c r="G2202" s="9" t="n">
        <v>1</v>
      </c>
      <c r="H2202" s="9" t="n">
        <v>1</v>
      </c>
      <c r="I2202" s="10" t="n">
        <v>44586</v>
      </c>
      <c r="J2202" s="10" t="n">
        <v>44586</v>
      </c>
      <c r="K2202" s="9" t="n">
        <v>7.56301</v>
      </c>
      <c r="L2202" s="9" t="n">
        <v>79.80332</v>
      </c>
      <c r="M2202" s="9" t="inlineStr">
        <is>
          <t>https://www.google.com/maps/place/?q=place_id:ChIJDfPoPo3J4joR-MuXd_mP-l4</t>
        </is>
      </c>
    </row>
    <row r="2203">
      <c r="A2203" s="9" t="n">
        <v>2199</v>
      </c>
      <c r="B2203" s="9" t="inlineStr">
        <is>
          <t>Chilaw</t>
        </is>
      </c>
      <c r="C2203" s="9" t="inlineStr">
        <is>
          <t>Chilaw</t>
        </is>
      </c>
      <c r="D2203" s="9" t="inlineStr">
        <is>
          <t>North Western Province</t>
        </is>
      </c>
      <c r="E2203" s="9" t="inlineStr">
        <is>
          <t>Sri Lanka</t>
        </is>
      </c>
      <c r="F2203" s="9" t="n">
        <v>1</v>
      </c>
      <c r="G2203" s="9" t="n">
        <v>1</v>
      </c>
      <c r="H2203" s="9" t="n">
        <v>1</v>
      </c>
      <c r="I2203" s="10" t="n">
        <v>44586</v>
      </c>
      <c r="J2203" s="10" t="n">
        <v>44586</v>
      </c>
      <c r="K2203" s="9" t="n">
        <v>7.64732</v>
      </c>
      <c r="L2203" s="9" t="n">
        <v>79.83132000000001</v>
      </c>
      <c r="M2203" s="9" t="inlineStr">
        <is>
          <t>https://www.google.com/maps/place/?q=place_id:ChIJVVVVFXzL4joR3x67zTwoEBQ</t>
        </is>
      </c>
    </row>
    <row r="2204">
      <c r="A2204" s="9" t="n">
        <v>2200</v>
      </c>
      <c r="B2204" s="9" t="inlineStr">
        <is>
          <t>Jaffna</t>
        </is>
      </c>
      <c r="C2204" s="9" t="inlineStr">
        <is>
          <t>Jaffna</t>
        </is>
      </c>
      <c r="D2204" s="9" t="inlineStr">
        <is>
          <t>Northern Province</t>
        </is>
      </c>
      <c r="E2204" s="9" t="inlineStr">
        <is>
          <t>Sri Lanka</t>
        </is>
      </c>
      <c r="F2204" s="9" t="n">
        <v>5</v>
      </c>
      <c r="G2204" s="9" t="n">
        <v>3</v>
      </c>
      <c r="H2204" s="9" t="n">
        <v>2</v>
      </c>
      <c r="I2204" s="10" t="n">
        <v>43820</v>
      </c>
      <c r="J2204" s="10" t="n">
        <v>44587</v>
      </c>
      <c r="K2204" s="9" t="n">
        <v>9.67262</v>
      </c>
      <c r="L2204" s="9" t="n">
        <v>80.02880999999999</v>
      </c>
      <c r="M2204" s="9" t="inlineStr">
        <is>
          <t>https://www.google.com/maps/place/?q=place_id:ChIJQW8WLB9U_joRFTmybkZp09E</t>
        </is>
      </c>
    </row>
    <row r="2205">
      <c r="A2205" s="9" t="n">
        <v>2201</v>
      </c>
      <c r="B2205" s="9" t="inlineStr">
        <is>
          <t>Jaffna</t>
        </is>
      </c>
      <c r="C2205" s="9" t="inlineStr">
        <is>
          <t>Jaffna</t>
        </is>
      </c>
      <c r="D2205" s="9" t="inlineStr">
        <is>
          <t>Northern Province</t>
        </is>
      </c>
      <c r="E2205" s="9" t="inlineStr">
        <is>
          <t>Sri Lanka</t>
        </is>
      </c>
      <c r="F2205" s="9" t="n">
        <v>4</v>
      </c>
      <c r="G2205" s="9" t="n">
        <v>2</v>
      </c>
      <c r="H2205" s="9" t="n">
        <v>2</v>
      </c>
      <c r="I2205" s="10" t="n">
        <v>43738</v>
      </c>
      <c r="J2205" s="10" t="n">
        <v>43820</v>
      </c>
      <c r="K2205" s="9" t="n">
        <v>9.664490000000001</v>
      </c>
      <c r="L2205" s="9" t="n">
        <v>80.02058</v>
      </c>
      <c r="M2205" s="9" t="inlineStr">
        <is>
          <t>https://www.google.com/maps/place/?q=place_id:ChIJ8Yzt0adW_joRscVUYUjdBS0</t>
        </is>
      </c>
    </row>
    <row r="2206">
      <c r="A2206" s="9" t="n">
        <v>2202</v>
      </c>
      <c r="B2206" s="9" t="inlineStr">
        <is>
          <t>Jaffna</t>
        </is>
      </c>
      <c r="C2206" s="9" t="inlineStr">
        <is>
          <t>Jaffna</t>
        </is>
      </c>
      <c r="D2206" s="9" t="inlineStr">
        <is>
          <t>Northern Province</t>
        </is>
      </c>
      <c r="E2206" s="9" t="inlineStr">
        <is>
          <t>Sri Lanka</t>
        </is>
      </c>
      <c r="F2206" s="9" t="n">
        <v>4</v>
      </c>
      <c r="G2206" s="9" t="n">
        <v>4</v>
      </c>
      <c r="H2206" s="9" t="n">
        <v>2</v>
      </c>
      <c r="I2206" s="10" t="n">
        <v>43820</v>
      </c>
      <c r="J2206" s="10" t="n">
        <v>44587</v>
      </c>
      <c r="K2206" s="9" t="n">
        <v>9.66488</v>
      </c>
      <c r="L2206" s="9" t="n">
        <v>80.0136</v>
      </c>
      <c r="M2206" s="9" t="inlineStr">
        <is>
          <t>https://www.google.com/maps/place/?q=place_id:ChIJ0dVeO6pW_joRXmi1fuoIPIM</t>
        </is>
      </c>
    </row>
    <row r="2207">
      <c r="A2207" s="9" t="n">
        <v>2203</v>
      </c>
      <c r="B2207" s="9" t="inlineStr">
        <is>
          <t>Jaffna</t>
        </is>
      </c>
      <c r="C2207" s="9" t="inlineStr">
        <is>
          <t>Jaffna</t>
        </is>
      </c>
      <c r="D2207" s="9" t="inlineStr">
        <is>
          <t>Northern Province</t>
        </is>
      </c>
      <c r="E2207" s="9" t="inlineStr">
        <is>
          <t>Sri Lanka</t>
        </is>
      </c>
      <c r="F2207" s="9" t="n">
        <v>2</v>
      </c>
      <c r="G2207" s="9" t="n">
        <v>2</v>
      </c>
      <c r="H2207" s="9" t="n">
        <v>1</v>
      </c>
      <c r="I2207" s="10" t="n">
        <v>43737</v>
      </c>
      <c r="J2207" s="10" t="n">
        <v>43738</v>
      </c>
      <c r="K2207" s="9" t="n">
        <v>9.741210000000001</v>
      </c>
      <c r="L2207" s="9" t="n">
        <v>80.00877</v>
      </c>
      <c r="M2207" s="9" t="inlineStr">
        <is>
          <t>https://www.google.com/maps/place/?q=place_id:ChIJp3R6P-pT_joRXO1a5IEUK6w</t>
        </is>
      </c>
    </row>
    <row r="2208">
      <c r="A2208" s="9" t="n">
        <v>2204</v>
      </c>
      <c r="B2208" s="9" t="inlineStr">
        <is>
          <t>Jaffna</t>
        </is>
      </c>
      <c r="C2208" s="9" t="inlineStr">
        <is>
          <t>Jaffna</t>
        </is>
      </c>
      <c r="D2208" s="9" t="inlineStr">
        <is>
          <t>Northern Province</t>
        </is>
      </c>
      <c r="E2208" s="9" t="inlineStr">
        <is>
          <t>Sri Lanka</t>
        </is>
      </c>
      <c r="F2208" s="9" t="n">
        <v>2</v>
      </c>
      <c r="G2208" s="9" t="n">
        <v>2</v>
      </c>
      <c r="H2208" s="9" t="n">
        <v>2</v>
      </c>
      <c r="I2208" s="10" t="n">
        <v>43738</v>
      </c>
      <c r="J2208" s="10" t="n">
        <v>44587</v>
      </c>
      <c r="K2208" s="9" t="n">
        <v>9.66733</v>
      </c>
      <c r="L2208" s="9" t="n">
        <v>80.00991999999999</v>
      </c>
      <c r="M2208" s="9" t="inlineStr">
        <is>
          <t>https://www.google.com/maps/place/?q=place_id:ChIJ3zgUFwBU_joRQPU_VWzmdF8</t>
        </is>
      </c>
    </row>
    <row r="2209">
      <c r="A2209" s="9" t="n">
        <v>2205</v>
      </c>
      <c r="B2209" s="9" t="inlineStr">
        <is>
          <t>Jaffna</t>
        </is>
      </c>
      <c r="C2209" s="9" t="inlineStr">
        <is>
          <t>Jaffna</t>
        </is>
      </c>
      <c r="D2209" s="9" t="inlineStr">
        <is>
          <t>Northern Province</t>
        </is>
      </c>
      <c r="E2209" s="9" t="inlineStr">
        <is>
          <t>Sri Lanka</t>
        </is>
      </c>
      <c r="F2209" s="9" t="n">
        <v>1</v>
      </c>
      <c r="G2209" s="9" t="n">
        <v>1</v>
      </c>
      <c r="H2209" s="9" t="n">
        <v>1</v>
      </c>
      <c r="I2209" s="10" t="n">
        <v>43738</v>
      </c>
      <c r="J2209" s="10" t="n">
        <v>43738</v>
      </c>
      <c r="K2209" s="9" t="n">
        <v>9.600680000000001</v>
      </c>
      <c r="L2209" s="9" t="n">
        <v>79.78982999999999</v>
      </c>
      <c r="M2209" s="9" t="inlineStr">
        <is>
          <t>https://www.google.com/maps/place/?q=place_id:ChIJqYznuvNI_joRlccnnswPxIA</t>
        </is>
      </c>
    </row>
    <row r="2210">
      <c r="A2210" s="9" t="n">
        <v>2206</v>
      </c>
      <c r="B2210" s="9" t="inlineStr">
        <is>
          <t>Jaffna</t>
        </is>
      </c>
      <c r="C2210" s="9" t="inlineStr">
        <is>
          <t>Jaffna</t>
        </is>
      </c>
      <c r="D2210" s="9" t="inlineStr">
        <is>
          <t>Northern Province</t>
        </is>
      </c>
      <c r="E2210" s="9" t="inlineStr">
        <is>
          <t>Sri Lanka</t>
        </is>
      </c>
      <c r="F2210" s="9" t="n">
        <v>1</v>
      </c>
      <c r="G2210" s="9" t="n">
        <v>1</v>
      </c>
      <c r="H2210" s="9" t="n">
        <v>1</v>
      </c>
      <c r="I2210" s="10" t="n">
        <v>43738</v>
      </c>
      <c r="J2210" s="10" t="n">
        <v>43738</v>
      </c>
      <c r="K2210" s="9" t="n">
        <v>9.61908</v>
      </c>
      <c r="L2210" s="9" t="n">
        <v>79.7744</v>
      </c>
      <c r="M2210" s="9" t="inlineStr">
        <is>
          <t>https://www.google.com/maps/place/?q=place_id:ChIJsYm_ga1J_joRWzr1LDvwVmY</t>
        </is>
      </c>
    </row>
    <row r="2211">
      <c r="A2211" s="9" t="n">
        <v>2207</v>
      </c>
      <c r="B2211" s="9" t="inlineStr">
        <is>
          <t>Jaffna</t>
        </is>
      </c>
      <c r="C2211" s="9" t="inlineStr">
        <is>
          <t>Jaffna</t>
        </is>
      </c>
      <c r="D2211" s="9" t="inlineStr">
        <is>
          <t>Northern Province</t>
        </is>
      </c>
      <c r="E2211" s="9" t="inlineStr">
        <is>
          <t>Sri Lanka</t>
        </is>
      </c>
      <c r="F2211" s="9" t="n">
        <v>1</v>
      </c>
      <c r="G2211" s="9" t="n">
        <v>1</v>
      </c>
      <c r="H2211" s="9" t="n">
        <v>1</v>
      </c>
      <c r="I2211" s="10" t="n">
        <v>43738</v>
      </c>
      <c r="J2211" s="10" t="n">
        <v>43738</v>
      </c>
      <c r="K2211" s="9" t="n">
        <v>9.67043</v>
      </c>
      <c r="L2211" s="9" t="n">
        <v>80.01048</v>
      </c>
      <c r="M2211" s="9" t="inlineStr">
        <is>
          <t>https://www.google.com/maps/place/?q=place_id:ChIJA1UcL6lV_joRef-6sKi4Gj0</t>
        </is>
      </c>
    </row>
    <row r="2212">
      <c r="A2212" s="9" t="n">
        <v>2208</v>
      </c>
      <c r="B2212" s="9" t="inlineStr">
        <is>
          <t>Jaffna</t>
        </is>
      </c>
      <c r="C2212" s="9" t="inlineStr">
        <is>
          <t>Jaffna</t>
        </is>
      </c>
      <c r="D2212" s="9" t="inlineStr">
        <is>
          <t>Northern Province</t>
        </is>
      </c>
      <c r="E2212" s="9" t="inlineStr">
        <is>
          <t>Sri Lanka</t>
        </is>
      </c>
      <c r="F2212" s="9" t="n">
        <v>1</v>
      </c>
      <c r="G2212" s="9" t="n">
        <v>1</v>
      </c>
      <c r="H2212" s="9" t="n">
        <v>1</v>
      </c>
      <c r="I2212" s="10" t="n">
        <v>43820</v>
      </c>
      <c r="J2212" s="10" t="n">
        <v>43820</v>
      </c>
      <c r="K2212" s="9" t="n">
        <v>9.666829999999999</v>
      </c>
      <c r="L2212" s="9" t="n">
        <v>80.01197000000001</v>
      </c>
      <c r="M2212" s="9" t="inlineStr">
        <is>
          <t>https://www.google.com/maps/place/?q=place_id:ChIJSZWQ1gFU_joRjMDbPYSMgiE</t>
        </is>
      </c>
    </row>
    <row r="2213">
      <c r="A2213" s="9" t="n">
        <v>2209</v>
      </c>
      <c r="B2213" s="9" t="inlineStr">
        <is>
          <t>Jaffna</t>
        </is>
      </c>
      <c r="C2213" s="9" t="inlineStr">
        <is>
          <t>Jaffna</t>
        </is>
      </c>
      <c r="D2213" s="9" t="inlineStr">
        <is>
          <t>Northern Province</t>
        </is>
      </c>
      <c r="E2213" s="9" t="inlineStr">
        <is>
          <t>Sri Lanka</t>
        </is>
      </c>
      <c r="F2213" s="9" t="n">
        <v>1</v>
      </c>
      <c r="G2213" s="9" t="n">
        <v>1</v>
      </c>
      <c r="H2213" s="9" t="n">
        <v>1</v>
      </c>
      <c r="I2213" s="10" t="n">
        <v>43821</v>
      </c>
      <c r="J2213" s="10" t="n">
        <v>43821</v>
      </c>
      <c r="K2213" s="9" t="n">
        <v>9.528169999999999</v>
      </c>
      <c r="L2213" s="9" t="n">
        <v>79.71669</v>
      </c>
      <c r="M2213" s="9" t="inlineStr">
        <is>
          <t>https://www.google.com/maps/place/?q=place_id:ChIJWRzR1V84_joR_L22_mhDZBQ</t>
        </is>
      </c>
    </row>
    <row r="2214">
      <c r="A2214" s="9" t="n">
        <v>2210</v>
      </c>
      <c r="B2214" s="9" t="inlineStr">
        <is>
          <t>Jaffna</t>
        </is>
      </c>
      <c r="C2214" s="9" t="inlineStr">
        <is>
          <t>Jaffna</t>
        </is>
      </c>
      <c r="D2214" s="9" t="inlineStr">
        <is>
          <t>Northern Province</t>
        </is>
      </c>
      <c r="E2214" s="9" t="inlineStr">
        <is>
          <t>Sri Lanka</t>
        </is>
      </c>
      <c r="F2214" s="9" t="n">
        <v>1</v>
      </c>
      <c r="G2214" s="9" t="n">
        <v>1</v>
      </c>
      <c r="H2214" s="9" t="n">
        <v>1</v>
      </c>
      <c r="I2214" s="10" t="n">
        <v>44587</v>
      </c>
      <c r="J2214" s="10" t="n">
        <v>44587</v>
      </c>
      <c r="K2214" s="9" t="n">
        <v>9.81344</v>
      </c>
      <c r="L2214" s="9" t="n">
        <v>80.01212</v>
      </c>
      <c r="M2214" s="9" t="inlineStr">
        <is>
          <t>https://www.google.com/maps/place/?q=place_id:ChIJy0xhDomr_zoRJjzKgolYw2s</t>
        </is>
      </c>
    </row>
    <row r="2215">
      <c r="A2215" s="9" t="n">
        <v>2211</v>
      </c>
      <c r="B2215" s="9" t="inlineStr">
        <is>
          <t>Point Pedro</t>
        </is>
      </c>
      <c r="C2215" s="9" t="inlineStr">
        <is>
          <t>Point Pedro</t>
        </is>
      </c>
      <c r="D2215" s="9" t="inlineStr">
        <is>
          <t>Northern Province</t>
        </is>
      </c>
      <c r="E2215" s="9" t="inlineStr">
        <is>
          <t>Sri Lanka</t>
        </is>
      </c>
      <c r="F2215" s="9" t="n">
        <v>1</v>
      </c>
      <c r="G2215" s="9" t="n">
        <v>1</v>
      </c>
      <c r="H2215" s="9" t="n">
        <v>1</v>
      </c>
      <c r="I2215" s="10" t="n">
        <v>43820</v>
      </c>
      <c r="J2215" s="10" t="n">
        <v>43820</v>
      </c>
      <c r="K2215" s="9" t="n">
        <v>9.30406</v>
      </c>
      <c r="L2215" s="9" t="n">
        <v>80.40965</v>
      </c>
      <c r="M2215" s="9" t="inlineStr">
        <is>
          <t>https://www.google.com/maps/place/?q=place_id:ChIJMz92TvWW_joRijU2_6vEklU</t>
        </is>
      </c>
    </row>
    <row r="2216">
      <c r="A2216" s="9" t="n">
        <v>2212</v>
      </c>
      <c r="B2216" s="9" t="inlineStr">
        <is>
          <t>Point Pedro</t>
        </is>
      </c>
      <c r="C2216" s="9" t="inlineStr">
        <is>
          <t>Point Pedro</t>
        </is>
      </c>
      <c r="D2216" s="9" t="inlineStr">
        <is>
          <t>Northern Province</t>
        </is>
      </c>
      <c r="E2216" s="9" t="inlineStr">
        <is>
          <t>Sri Lanka</t>
        </is>
      </c>
      <c r="F2216" s="9" t="n">
        <v>1</v>
      </c>
      <c r="G2216" s="9" t="n">
        <v>1</v>
      </c>
      <c r="H2216" s="9" t="n">
        <v>1</v>
      </c>
      <c r="I2216" s="10" t="n">
        <v>43820</v>
      </c>
      <c r="J2216" s="10" t="n">
        <v>43820</v>
      </c>
      <c r="K2216" s="9" t="n">
        <v>9.408569999999999</v>
      </c>
      <c r="L2216" s="9" t="n">
        <v>80.40804</v>
      </c>
      <c r="M2216" s="9" t="inlineStr">
        <is>
          <t>https://www.google.com/maps/place/?q=place_id:ChIJj_fBeNaU_joRKVp89QhLY5A</t>
        </is>
      </c>
    </row>
    <row r="2217">
      <c r="A2217" s="9" t="n">
        <v>2213</v>
      </c>
      <c r="B2217" s="9" t="inlineStr">
        <is>
          <t>Point Pedro</t>
        </is>
      </c>
      <c r="C2217" s="9" t="inlineStr">
        <is>
          <t>Point Pedro</t>
        </is>
      </c>
      <c r="D2217" s="9" t="inlineStr">
        <is>
          <t>Northern Province</t>
        </is>
      </c>
      <c r="E2217" s="9" t="inlineStr">
        <is>
          <t>Sri Lanka</t>
        </is>
      </c>
      <c r="F2217" s="9" t="n">
        <v>1</v>
      </c>
      <c r="G2217" s="9" t="n">
        <v>1</v>
      </c>
      <c r="H2217" s="9" t="n">
        <v>1</v>
      </c>
      <c r="I2217" s="10" t="n">
        <v>44586</v>
      </c>
      <c r="J2217" s="10" t="n">
        <v>44586</v>
      </c>
      <c r="K2217" s="9" t="n">
        <v>9.60904</v>
      </c>
      <c r="L2217" s="9" t="n">
        <v>80.33058</v>
      </c>
      <c r="M2217" s="9" t="inlineStr">
        <is>
          <t>https://www.google.com/maps/place/?q=place_id:ChIJ48TZcZjl_joR2lPeCyB3sVA</t>
        </is>
      </c>
    </row>
    <row r="2218">
      <c r="A2218" s="9" t="n">
        <v>2214</v>
      </c>
      <c r="B2218" s="9" t="inlineStr">
        <is>
          <t>Valvedditturai</t>
        </is>
      </c>
      <c r="C2218" s="9" t="inlineStr">
        <is>
          <t>Valvedditturai</t>
        </is>
      </c>
      <c r="D2218" s="9" t="inlineStr">
        <is>
          <t>Northern Province</t>
        </is>
      </c>
      <c r="E2218" s="9" t="inlineStr">
        <is>
          <t>Sri Lanka</t>
        </is>
      </c>
      <c r="F2218" s="9" t="n">
        <v>2</v>
      </c>
      <c r="G2218" s="9" t="n">
        <v>2</v>
      </c>
      <c r="H2218" s="9" t="n">
        <v>2</v>
      </c>
      <c r="I2218" s="10" t="n">
        <v>43820</v>
      </c>
      <c r="J2218" s="10" t="n">
        <v>44587</v>
      </c>
      <c r="K2218" s="9" t="n">
        <v>9.754379999999999</v>
      </c>
      <c r="L2218" s="9" t="n">
        <v>80.08826000000001</v>
      </c>
      <c r="M2218" s="9" t="inlineStr">
        <is>
          <t>https://www.google.com/maps/place/?q=place_id:ChIJtw0Mi1JV_joRSQmCCaIES5c</t>
        </is>
      </c>
    </row>
    <row r="2219">
      <c r="A2219" s="9" t="n">
        <v>2215</v>
      </c>
      <c r="B2219" s="9" t="inlineStr">
        <is>
          <t>Vavuniya</t>
        </is>
      </c>
      <c r="C2219" s="9" t="inlineStr">
        <is>
          <t>Vavuniya</t>
        </is>
      </c>
      <c r="D2219" s="9" t="inlineStr">
        <is>
          <t>Northern Province</t>
        </is>
      </c>
      <c r="E2219" s="9" t="inlineStr">
        <is>
          <t>Sri Lanka</t>
        </is>
      </c>
      <c r="F2219" s="9" t="n">
        <v>1</v>
      </c>
      <c r="G2219" s="9" t="n">
        <v>1</v>
      </c>
      <c r="H2219" s="9" t="n">
        <v>1</v>
      </c>
      <c r="I2219" s="10" t="n">
        <v>43737</v>
      </c>
      <c r="J2219" s="10" t="n">
        <v>43737</v>
      </c>
      <c r="K2219" s="9" t="n">
        <v>8.55152</v>
      </c>
      <c r="L2219" s="9" t="n">
        <v>80.48703</v>
      </c>
      <c r="M2219" s="9" t="inlineStr">
        <is>
          <t>https://www.google.com/maps/place/?q=place_id:ChIJe_7RZ3Bo_DoRq6Bl4PSKvsU</t>
        </is>
      </c>
    </row>
    <row r="2220">
      <c r="A2220" s="9" t="n">
        <v>2216</v>
      </c>
      <c r="B2220" s="9" t="inlineStr">
        <is>
          <t>Vavuniya</t>
        </is>
      </c>
      <c r="C2220" s="9" t="inlineStr">
        <is>
          <t>Vavuniya</t>
        </is>
      </c>
      <c r="D2220" s="9" t="inlineStr">
        <is>
          <t>Northern Province</t>
        </is>
      </c>
      <c r="E2220" s="9" t="inlineStr">
        <is>
          <t>Sri Lanka</t>
        </is>
      </c>
      <c r="F2220" s="9" t="n">
        <v>1</v>
      </c>
      <c r="G2220" s="9" t="n">
        <v>1</v>
      </c>
      <c r="H2220" s="9" t="n">
        <v>1</v>
      </c>
      <c r="I2220" s="10" t="n">
        <v>44586</v>
      </c>
      <c r="J2220" s="10" t="n">
        <v>44586</v>
      </c>
      <c r="K2220" s="9" t="n">
        <v>8.78509</v>
      </c>
      <c r="L2220" s="9" t="n">
        <v>80.48531</v>
      </c>
      <c r="M2220" s="9" t="inlineStr">
        <is>
          <t>https://www.google.com/maps/place/?q=place_id:ChIJKywMkbgV_DoRb83S4cIBE48</t>
        </is>
      </c>
    </row>
    <row r="2221">
      <c r="A2221" s="9" t="n">
        <v>2217</v>
      </c>
      <c r="B2221" s="9" t="inlineStr">
        <is>
          <t>Vavuniya</t>
        </is>
      </c>
      <c r="C2221" s="9" t="inlineStr">
        <is>
          <t>Vavuniya</t>
        </is>
      </c>
      <c r="D2221" s="9" t="inlineStr">
        <is>
          <t>Northern Province</t>
        </is>
      </c>
      <c r="E2221" s="9" t="inlineStr">
        <is>
          <t>Sri Lanka</t>
        </is>
      </c>
      <c r="F2221" s="9" t="n">
        <v>1</v>
      </c>
      <c r="G2221" s="9" t="n">
        <v>1</v>
      </c>
      <c r="H2221" s="9" t="n">
        <v>1</v>
      </c>
      <c r="I2221" s="10" t="n">
        <v>44587</v>
      </c>
      <c r="J2221" s="10" t="n">
        <v>44587</v>
      </c>
      <c r="K2221" s="9" t="n">
        <v>8.844620000000001</v>
      </c>
      <c r="L2221" s="9" t="n">
        <v>80.49798</v>
      </c>
      <c r="M2221" s="9" t="inlineStr">
        <is>
          <t>https://www.google.com/maps/place/?q=place_id:ChIJO7ngoVUW_DoRl8Jlu71n28Y</t>
        </is>
      </c>
    </row>
    <row r="2222">
      <c r="A2222" s="9" t="n">
        <v>2218</v>
      </c>
      <c r="B2222" s="9" t="inlineStr">
        <is>
          <t>Vavuniya</t>
        </is>
      </c>
      <c r="C2222" s="9" t="inlineStr">
        <is>
          <t>Vavuniya</t>
        </is>
      </c>
      <c r="D2222" s="9" t="inlineStr">
        <is>
          <t>Northern Province</t>
        </is>
      </c>
      <c r="E2222" s="9" t="inlineStr">
        <is>
          <t>Sri Lanka</t>
        </is>
      </c>
      <c r="F2222" s="9" t="n">
        <v>1</v>
      </c>
      <c r="G2222" s="9" t="n">
        <v>1</v>
      </c>
      <c r="H2222" s="9" t="n">
        <v>1</v>
      </c>
      <c r="I2222" s="10" t="n">
        <v>44587</v>
      </c>
      <c r="J2222" s="10" t="n">
        <v>44587</v>
      </c>
      <c r="K2222" s="9" t="n">
        <v>8.76145</v>
      </c>
      <c r="L2222" s="9" t="n">
        <v>80.49843</v>
      </c>
      <c r="M2222" s="9" t="inlineStr">
        <is>
          <t>https://www.google.com/maps/place/?q=place_id:ChIJU5nnu6oV_DoRIu-251yT3Rc</t>
        </is>
      </c>
    </row>
    <row r="2223">
      <c r="A2223" s="9" t="n">
        <v>2219</v>
      </c>
      <c r="B2223" s="9" t="inlineStr">
        <is>
          <t>Devinuwara</t>
        </is>
      </c>
      <c r="C2223" s="9" t="inlineStr">
        <is>
          <t>Devinuwara</t>
        </is>
      </c>
      <c r="D2223" s="9" t="inlineStr">
        <is>
          <t>Southern Province</t>
        </is>
      </c>
      <c r="E2223" s="9" t="inlineStr">
        <is>
          <t>Sri Lanka</t>
        </is>
      </c>
      <c r="F2223" s="9" t="n">
        <v>3</v>
      </c>
      <c r="G2223" s="9" t="n">
        <v>3</v>
      </c>
      <c r="H2223" s="9" t="n">
        <v>3</v>
      </c>
      <c r="I2223" s="10" t="n">
        <v>43743</v>
      </c>
      <c r="J2223" s="10" t="n">
        <v>44591</v>
      </c>
      <c r="K2223" s="9" t="n">
        <v>5.92746</v>
      </c>
      <c r="L2223" s="9" t="n">
        <v>80.58891</v>
      </c>
      <c r="M2223" s="9" t="inlineStr">
        <is>
          <t>https://www.google.com/maps/place/?q=place_id:ChIJh1ieg6A54ToRo0bvaDbKM3Q</t>
        </is>
      </c>
    </row>
    <row r="2224">
      <c r="A2224" s="9" t="n">
        <v>2220</v>
      </c>
      <c r="B2224" s="9" t="inlineStr">
        <is>
          <t>Devinuwara</t>
        </is>
      </c>
      <c r="C2224" s="9" t="inlineStr">
        <is>
          <t>Devinuwara</t>
        </is>
      </c>
      <c r="D2224" s="9" t="inlineStr">
        <is>
          <t>Southern Province</t>
        </is>
      </c>
      <c r="E2224" s="9" t="inlineStr">
        <is>
          <t>Sri Lanka</t>
        </is>
      </c>
      <c r="F2224" s="9" t="n">
        <v>2</v>
      </c>
      <c r="G2224" s="9" t="n">
        <v>2</v>
      </c>
      <c r="H2224" s="9" t="n">
        <v>2</v>
      </c>
      <c r="I2224" s="10" t="n">
        <v>43826</v>
      </c>
      <c r="J2224" s="10" t="n">
        <v>44591</v>
      </c>
      <c r="K2224" s="9" t="n">
        <v>6.09927</v>
      </c>
      <c r="L2224" s="9" t="n">
        <v>80.99206</v>
      </c>
      <c r="M2224" s="9" t="inlineStr">
        <is>
          <t>https://www.google.com/maps/place/?q=place_id:ChIJ13hqo3S65joRU5WaSF6rT0c</t>
        </is>
      </c>
    </row>
    <row r="2225">
      <c r="A2225" s="9" t="n">
        <v>2221</v>
      </c>
      <c r="B2225" s="9" t="inlineStr">
        <is>
          <t>Weligama</t>
        </is>
      </c>
      <c r="C2225" s="9" t="inlineStr">
        <is>
          <t>Weligama</t>
        </is>
      </c>
      <c r="D2225" s="9" t="inlineStr">
        <is>
          <t>Southern Province</t>
        </is>
      </c>
      <c r="E2225" s="9" t="inlineStr">
        <is>
          <t>Sri Lanka</t>
        </is>
      </c>
      <c r="F2225" s="9" t="n">
        <v>1</v>
      </c>
      <c r="G2225" s="9" t="n">
        <v>1</v>
      </c>
      <c r="H2225" s="9" t="n">
        <v>1</v>
      </c>
      <c r="I2225" s="10" t="n">
        <v>44591</v>
      </c>
      <c r="J2225" s="10" t="n">
        <v>44591</v>
      </c>
      <c r="K2225" s="9" t="n">
        <v>5.97263</v>
      </c>
      <c r="L2225" s="9" t="n">
        <v>80.43288</v>
      </c>
      <c r="M2225" s="9" t="inlineStr">
        <is>
          <t>https://www.google.com/maps/place/?q=place_id:ChIJpaWeLPIV4ToRpud0HoWun7I</t>
        </is>
      </c>
    </row>
    <row r="2226">
      <c r="A2226" s="9" t="n">
        <v>2222</v>
      </c>
      <c r="B2226" s="9" t="inlineStr">
        <is>
          <t>Badulla</t>
        </is>
      </c>
      <c r="C2226" s="9" t="inlineStr">
        <is>
          <t>Badulla</t>
        </is>
      </c>
      <c r="D2226" s="9" t="inlineStr">
        <is>
          <t>Uva Province</t>
        </is>
      </c>
      <c r="E2226" s="9" t="inlineStr">
        <is>
          <t>Sri Lanka</t>
        </is>
      </c>
      <c r="F2226" s="9" t="n">
        <v>2</v>
      </c>
      <c r="G2226" s="9" t="n">
        <v>2</v>
      </c>
      <c r="H2226" s="9" t="n">
        <v>2</v>
      </c>
      <c r="I2226" s="10" t="n">
        <v>43825</v>
      </c>
      <c r="J2226" s="10" t="n">
        <v>44590</v>
      </c>
      <c r="K2226" s="9" t="n">
        <v>6.8407</v>
      </c>
      <c r="L2226" s="9" t="n">
        <v>81.05425</v>
      </c>
      <c r="M2226" s="9" t="inlineStr">
        <is>
          <t>https://www.google.com/maps/place/?q=place_id:ChIJkw-A2vRl5DoRgoaS4vqvUhE</t>
        </is>
      </c>
    </row>
    <row r="2227">
      <c r="A2227" s="9" t="n">
        <v>2223</v>
      </c>
      <c r="B2227" s="9" t="inlineStr">
        <is>
          <t>Badulla</t>
        </is>
      </c>
      <c r="C2227" s="9" t="inlineStr">
        <is>
          <t>Badulla</t>
        </is>
      </c>
      <c r="D2227" s="9" t="inlineStr">
        <is>
          <t>Uva Province</t>
        </is>
      </c>
      <c r="E2227" s="9" t="inlineStr">
        <is>
          <t>Sri Lanka</t>
        </is>
      </c>
      <c r="F2227" s="9" t="n">
        <v>1</v>
      </c>
      <c r="G2227" s="9" t="n">
        <v>1</v>
      </c>
      <c r="H2227" s="9" t="n">
        <v>1</v>
      </c>
      <c r="I2227" s="10" t="n">
        <v>43825</v>
      </c>
      <c r="J2227" s="10" t="n">
        <v>43825</v>
      </c>
      <c r="K2227" s="9" t="n">
        <v>6.72926</v>
      </c>
      <c r="L2227" s="9" t="n">
        <v>81.10169</v>
      </c>
      <c r="M2227" s="9" t="inlineStr">
        <is>
          <t>https://www.google.com/maps/place/?q=place_id:ChIJ0ejn575r5DoR2Ejk-FpPAgg</t>
        </is>
      </c>
    </row>
    <row r="2228">
      <c r="A2228" s="9" t="n">
        <v>2224</v>
      </c>
      <c r="B2228" s="9" t="inlineStr">
        <is>
          <t>Badulla</t>
        </is>
      </c>
      <c r="C2228" s="9" t="inlineStr">
        <is>
          <t>Badulla</t>
        </is>
      </c>
      <c r="D2228" s="9" t="inlineStr">
        <is>
          <t>Uva Province</t>
        </is>
      </c>
      <c r="E2228" s="9" t="inlineStr">
        <is>
          <t>Sri Lanka</t>
        </is>
      </c>
      <c r="F2228" s="9" t="n">
        <v>1</v>
      </c>
      <c r="G2228" s="9" t="n">
        <v>1</v>
      </c>
      <c r="H2228" s="9" t="n">
        <v>1</v>
      </c>
      <c r="I2228" s="10" t="n">
        <v>44590</v>
      </c>
      <c r="J2228" s="10" t="n">
        <v>44590</v>
      </c>
      <c r="K2228" s="9" t="n">
        <v>6.82606</v>
      </c>
      <c r="L2228" s="9" t="n">
        <v>81.07810000000001</v>
      </c>
      <c r="M2228" s="9" t="inlineStr">
        <is>
          <t>https://www.google.com/maps/place/?q=place_id:ChIJ-3Ih7PRl5DoRq9yT7yzIiXg</t>
        </is>
      </c>
    </row>
    <row r="2229">
      <c r="A2229" s="9" t="n">
        <v>2225</v>
      </c>
      <c r="B2229" s="9" t="inlineStr">
        <is>
          <t>Kataragama</t>
        </is>
      </c>
      <c r="C2229" s="9" t="inlineStr">
        <is>
          <t>Kataragama</t>
        </is>
      </c>
      <c r="D2229" s="9" t="inlineStr">
        <is>
          <t>Uva Province</t>
        </is>
      </c>
      <c r="E2229" s="9" t="inlineStr">
        <is>
          <t>Sri Lanka</t>
        </is>
      </c>
      <c r="F2229" s="9" t="n">
        <v>6</v>
      </c>
      <c r="G2229" s="9" t="n">
        <v>2</v>
      </c>
      <c r="H2229" s="9" t="n">
        <v>1</v>
      </c>
      <c r="I2229" s="10" t="n">
        <v>43825</v>
      </c>
      <c r="J2229" s="10" t="n">
        <v>43826</v>
      </c>
      <c r="K2229" s="9" t="n">
        <v>6.28755</v>
      </c>
      <c r="L2229" s="9" t="n">
        <v>81.25539000000001</v>
      </c>
      <c r="M2229" s="9" t="inlineStr">
        <is>
          <t>https://www.google.com/maps/place/?q=place_id:ChIJUQgXPkmc5joRoxtkTg2mH-o</t>
        </is>
      </c>
    </row>
    <row r="2230">
      <c r="A2230" s="9" t="n">
        <v>2226</v>
      </c>
      <c r="B2230" s="9" t="inlineStr">
        <is>
          <t>Kataragama</t>
        </is>
      </c>
      <c r="C2230" s="9" t="inlineStr">
        <is>
          <t>Kataragama</t>
        </is>
      </c>
      <c r="D2230" s="9" t="inlineStr">
        <is>
          <t>Uva Province</t>
        </is>
      </c>
      <c r="E2230" s="9" t="inlineStr">
        <is>
          <t>Sri Lanka</t>
        </is>
      </c>
      <c r="F2230" s="9" t="n">
        <v>4</v>
      </c>
      <c r="G2230" s="9" t="n">
        <v>4</v>
      </c>
      <c r="H2230" s="9" t="n">
        <v>2</v>
      </c>
      <c r="I2230" s="10" t="n">
        <v>43742</v>
      </c>
      <c r="J2230" s="10" t="n">
        <v>44591</v>
      </c>
      <c r="K2230" s="9" t="n">
        <v>6.29781</v>
      </c>
      <c r="L2230" s="9" t="n">
        <v>81.29947</v>
      </c>
      <c r="M2230" s="9" t="inlineStr">
        <is>
          <t>https://www.google.com/maps/place/?q=place_id:ChIJAborxgUm5DoReZN8WtO-_yM</t>
        </is>
      </c>
    </row>
    <row r="2231">
      <c r="A2231" s="9" t="n">
        <v>2227</v>
      </c>
      <c r="B2231" s="9" t="inlineStr">
        <is>
          <t>Kataragama</t>
        </is>
      </c>
      <c r="C2231" s="9" t="inlineStr">
        <is>
          <t>Kataragama</t>
        </is>
      </c>
      <c r="D2231" s="9" t="inlineStr">
        <is>
          <t>Uva Province</t>
        </is>
      </c>
      <c r="E2231" s="9" t="inlineStr">
        <is>
          <t>Sri Lanka</t>
        </is>
      </c>
      <c r="F2231" s="9" t="n">
        <v>3</v>
      </c>
      <c r="G2231" s="9" t="n">
        <v>3</v>
      </c>
      <c r="H2231" s="9" t="n">
        <v>3</v>
      </c>
      <c r="I2231" s="10" t="n">
        <v>43742</v>
      </c>
      <c r="J2231" s="10" t="n">
        <v>44590</v>
      </c>
      <c r="K2231" s="9" t="n">
        <v>6.42207</v>
      </c>
      <c r="L2231" s="9" t="n">
        <v>81.33168999999999</v>
      </c>
      <c r="M2231" s="9" t="inlineStr">
        <is>
          <t>https://www.google.com/maps/place/?q=place_id:ChIJ1-Kfwv0l5DoRFhs0y4dJDyk</t>
        </is>
      </c>
    </row>
    <row r="2232">
      <c r="A2232" s="9" t="n">
        <v>2228</v>
      </c>
      <c r="B2232" s="9" t="inlineStr">
        <is>
          <t>Kataragama</t>
        </is>
      </c>
      <c r="C2232" s="9" t="inlineStr">
        <is>
          <t>Kataragama</t>
        </is>
      </c>
      <c r="D2232" s="9" t="inlineStr">
        <is>
          <t>Uva Province</t>
        </is>
      </c>
      <c r="E2232" s="9" t="inlineStr">
        <is>
          <t>Sri Lanka</t>
        </is>
      </c>
      <c r="F2232" s="9" t="n">
        <v>2</v>
      </c>
      <c r="G2232" s="9" t="n">
        <v>2</v>
      </c>
      <c r="H2232" s="9" t="n">
        <v>1</v>
      </c>
      <c r="I2232" s="10" t="n">
        <v>43825</v>
      </c>
      <c r="J2232" s="10" t="n">
        <v>43826</v>
      </c>
      <c r="K2232" s="9" t="n">
        <v>6.29025</v>
      </c>
      <c r="L2232" s="9" t="n">
        <v>81.29481</v>
      </c>
      <c r="M2232" s="9" t="inlineStr">
        <is>
          <t>https://www.google.com/maps/place/?q=place_id:ChIJXbkRKE6c5joRoVlvhmvozyg</t>
        </is>
      </c>
    </row>
    <row r="2233">
      <c r="A2233" s="9" t="n">
        <v>2229</v>
      </c>
      <c r="B2233" s="9" t="inlineStr">
        <is>
          <t>Kataragama</t>
        </is>
      </c>
      <c r="C2233" s="9" t="inlineStr">
        <is>
          <t>Kataragama</t>
        </is>
      </c>
      <c r="D2233" s="9" t="inlineStr">
        <is>
          <t>Uva Province</t>
        </is>
      </c>
      <c r="E2233" s="9" t="inlineStr">
        <is>
          <t>Sri Lanka</t>
        </is>
      </c>
      <c r="F2233" s="9" t="n">
        <v>1</v>
      </c>
      <c r="G2233" s="9" t="n">
        <v>1</v>
      </c>
      <c r="H2233" s="9" t="n">
        <v>1</v>
      </c>
      <c r="I2233" s="10" t="n">
        <v>43742</v>
      </c>
      <c r="J2233" s="10" t="n">
        <v>43742</v>
      </c>
      <c r="K2233" s="9" t="n">
        <v>6.43821</v>
      </c>
      <c r="L2233" s="9" t="n">
        <v>81.3006</v>
      </c>
      <c r="M2233" s="9" t="inlineStr">
        <is>
          <t>https://www.google.com/maps/place/?q=place_id:ChIJKVYEO8ol5DoRAkidx3UuKxU</t>
        </is>
      </c>
    </row>
    <row r="2234">
      <c r="A2234" s="9" t="n">
        <v>2230</v>
      </c>
      <c r="B2234" s="9" t="inlineStr">
        <is>
          <t>Kataragama</t>
        </is>
      </c>
      <c r="C2234" s="9" t="inlineStr">
        <is>
          <t>Kataragama</t>
        </is>
      </c>
      <c r="D2234" s="9" t="inlineStr">
        <is>
          <t>Uva Province</t>
        </is>
      </c>
      <c r="E2234" s="9" t="inlineStr">
        <is>
          <t>Sri Lanka</t>
        </is>
      </c>
      <c r="F2234" s="9" t="n">
        <v>1</v>
      </c>
      <c r="G2234" s="9" t="n">
        <v>1</v>
      </c>
      <c r="H2234" s="9" t="n">
        <v>1</v>
      </c>
      <c r="I2234" s="10" t="n">
        <v>43742</v>
      </c>
      <c r="J2234" s="10" t="n">
        <v>43742</v>
      </c>
      <c r="K2234" s="9" t="n">
        <v>6.44084</v>
      </c>
      <c r="L2234" s="9" t="n">
        <v>81.29725999999999</v>
      </c>
      <c r="M2234" s="9" t="inlineStr">
        <is>
          <t>https://www.google.com/maps/place/?q=place_id:ChIJE4VyQrUl5DoRX0XdfmjC0_c</t>
        </is>
      </c>
    </row>
    <row r="2235">
      <c r="A2235" s="9" t="n">
        <v>2231</v>
      </c>
      <c r="B2235" s="9" t="inlineStr">
        <is>
          <t>Dehiwala-Mount Lavinia</t>
        </is>
      </c>
      <c r="C2235" s="9" t="inlineStr">
        <is>
          <t>Colombo</t>
        </is>
      </c>
      <c r="D2235" s="9" t="inlineStr">
        <is>
          <t>Western Province</t>
        </is>
      </c>
      <c r="E2235" s="9" t="inlineStr">
        <is>
          <t>Sri Lanka</t>
        </is>
      </c>
      <c r="F2235" s="9" t="n">
        <v>15</v>
      </c>
      <c r="G2235" s="9" t="n">
        <v>10</v>
      </c>
      <c r="H2235" s="9" t="n">
        <v>5</v>
      </c>
      <c r="I2235" s="10" t="n">
        <v>43744</v>
      </c>
      <c r="J2235" s="10" t="n">
        <v>44592</v>
      </c>
      <c r="K2235" s="9" t="n">
        <v>6.86484</v>
      </c>
      <c r="L2235" s="9" t="n">
        <v>79.86032</v>
      </c>
      <c r="M2235" s="9" t="inlineStr">
        <is>
          <t>https://www.google.com/maps/place/?q=place_id:ChIJcyXi4qRb4joR0MUDpoPYyWQ</t>
        </is>
      </c>
    </row>
    <row r="2236">
      <c r="A2236" s="9" t="n">
        <v>2232</v>
      </c>
      <c r="B2236" s="9" t="inlineStr">
        <is>
          <t>Colombo</t>
        </is>
      </c>
      <c r="C2236" s="9" t="inlineStr">
        <is>
          <t>Colombo</t>
        </is>
      </c>
      <c r="D2236" s="9" t="inlineStr">
        <is>
          <t>Western Province</t>
        </is>
      </c>
      <c r="E2236" s="9" t="inlineStr">
        <is>
          <t>Sri Lanka</t>
        </is>
      </c>
      <c r="F2236" s="9" t="n">
        <v>10</v>
      </c>
      <c r="G2236" s="9" t="n">
        <v>7</v>
      </c>
      <c r="H2236" s="9" t="n">
        <v>3</v>
      </c>
      <c r="I2236" s="10" t="n">
        <v>43826</v>
      </c>
      <c r="J2236" s="10" t="n">
        <v>44592</v>
      </c>
      <c r="K2236" s="9" t="n">
        <v>6.93167</v>
      </c>
      <c r="L2236" s="9" t="n">
        <v>79.84303</v>
      </c>
      <c r="M2236" s="9" t="inlineStr">
        <is>
          <t>https://www.google.com/maps/place/?q=place_id:ChIJMaRXGyVZ4joRfgrS1ibiRI8</t>
        </is>
      </c>
    </row>
    <row r="2237">
      <c r="A2237" s="9" t="n">
        <v>2233</v>
      </c>
      <c r="B2237" s="9" t="inlineStr">
        <is>
          <t>Katunayaka</t>
        </is>
      </c>
      <c r="C2237" s="9" t="inlineStr">
        <is>
          <t>Colombo</t>
        </is>
      </c>
      <c r="D2237" s="9" t="inlineStr">
        <is>
          <t>Western Province</t>
        </is>
      </c>
      <c r="E2237" s="9" t="inlineStr">
        <is>
          <t>Sri Lanka</t>
        </is>
      </c>
      <c r="F2237" s="9" t="n">
        <v>8</v>
      </c>
      <c r="G2237" s="9" t="n">
        <v>7</v>
      </c>
      <c r="H2237" s="9" t="n">
        <v>7</v>
      </c>
      <c r="I2237" s="10" t="n">
        <v>43736</v>
      </c>
      <c r="J2237" s="10" t="n">
        <v>44592</v>
      </c>
      <c r="K2237" s="9" t="n">
        <v>7.18016</v>
      </c>
      <c r="L2237" s="9" t="n">
        <v>79.88424999999999</v>
      </c>
      <c r="M2237" s="9" t="inlineStr">
        <is>
          <t>https://www.google.com/maps/place/?q=place_id:ChIJXS3yNbfv4joRN4uCAyFwvW4</t>
        </is>
      </c>
    </row>
    <row r="2238">
      <c r="A2238" s="9" t="n">
        <v>2234</v>
      </c>
      <c r="B2238" s="9" t="inlineStr">
        <is>
          <t>Dehiwala-Mount Lavinia</t>
        </is>
      </c>
      <c r="C2238" s="9" t="inlineStr">
        <is>
          <t>Colombo</t>
        </is>
      </c>
      <c r="D2238" s="9" t="inlineStr">
        <is>
          <t>Western Province</t>
        </is>
      </c>
      <c r="E2238" s="9" t="inlineStr">
        <is>
          <t>Sri Lanka</t>
        </is>
      </c>
      <c r="F2238" s="9" t="n">
        <v>6</v>
      </c>
      <c r="G2238" s="9" t="n">
        <v>4</v>
      </c>
      <c r="H2238" s="9" t="n">
        <v>1</v>
      </c>
      <c r="I2238" s="10" t="n">
        <v>43816</v>
      </c>
      <c r="J2238" s="10" t="n">
        <v>43819</v>
      </c>
      <c r="K2238" s="9" t="n">
        <v>6.86548</v>
      </c>
      <c r="L2238" s="9" t="n">
        <v>79.86127</v>
      </c>
      <c r="M2238" s="9" t="inlineStr">
        <is>
          <t>https://www.google.com/maps/place/?q=place_id:ChIJwbUePaVb4joR35PrIxBCBcc</t>
        </is>
      </c>
    </row>
    <row r="2239">
      <c r="A2239" s="9" t="n">
        <v>2235</v>
      </c>
      <c r="B2239" s="9" t="inlineStr">
        <is>
          <t>Colombo</t>
        </is>
      </c>
      <c r="C2239" s="9" t="inlineStr">
        <is>
          <t>Colombo</t>
        </is>
      </c>
      <c r="D2239" s="9" t="inlineStr">
        <is>
          <t>Western Province</t>
        </is>
      </c>
      <c r="E2239" s="9" t="inlineStr">
        <is>
          <t>Sri Lanka</t>
        </is>
      </c>
      <c r="F2239" s="9" t="n">
        <v>4</v>
      </c>
      <c r="G2239" s="9" t="n">
        <v>4</v>
      </c>
      <c r="H2239" s="9" t="n">
        <v>2</v>
      </c>
      <c r="I2239" s="10" t="n">
        <v>44592</v>
      </c>
      <c r="J2239" s="10" t="n">
        <v>44607</v>
      </c>
      <c r="K2239" s="9" t="n">
        <v>6.93501</v>
      </c>
      <c r="L2239" s="9" t="n">
        <v>79.85457</v>
      </c>
      <c r="M2239" s="9" t="inlineStr">
        <is>
          <t>https://www.google.com/maps/place/?q=place_id:ChIJqcKCKhlZ4joR6cMp1YBpBkg</t>
        </is>
      </c>
    </row>
    <row r="2240">
      <c r="A2240" s="9" t="n">
        <v>2236</v>
      </c>
      <c r="B2240" s="9" t="inlineStr">
        <is>
          <t>Colombo</t>
        </is>
      </c>
      <c r="C2240" s="9" t="inlineStr">
        <is>
          <t>Colombo</t>
        </is>
      </c>
      <c r="D2240" s="9" t="inlineStr">
        <is>
          <t>Western Province</t>
        </is>
      </c>
      <c r="E2240" s="9" t="inlineStr">
        <is>
          <t>Sri Lanka</t>
        </is>
      </c>
      <c r="F2240" s="9" t="n">
        <v>3</v>
      </c>
      <c r="G2240" s="9" t="n">
        <v>3</v>
      </c>
      <c r="H2240" s="9" t="n">
        <v>3</v>
      </c>
      <c r="I2240" s="10" t="n">
        <v>43736</v>
      </c>
      <c r="J2240" s="10" t="n">
        <v>44585</v>
      </c>
      <c r="K2240" s="9" t="n">
        <v>6.91669</v>
      </c>
      <c r="L2240" s="9" t="n">
        <v>79.85665</v>
      </c>
      <c r="M2240" s="9" t="inlineStr">
        <is>
          <t>https://www.google.com/maps/place/?q=place_id:ChIJQ9yCmWtZ4joRNu1evW41NTo</t>
        </is>
      </c>
    </row>
    <row r="2241">
      <c r="A2241" s="9" t="n">
        <v>2237</v>
      </c>
      <c r="B2241" s="9" t="inlineStr">
        <is>
          <t>Colombo</t>
        </is>
      </c>
      <c r="C2241" s="9" t="inlineStr">
        <is>
          <t>Colombo</t>
        </is>
      </c>
      <c r="D2241" s="9" t="inlineStr">
        <is>
          <t>Western Province</t>
        </is>
      </c>
      <c r="E2241" s="9" t="inlineStr">
        <is>
          <t>Sri Lanka</t>
        </is>
      </c>
      <c r="F2241" s="9" t="n">
        <v>3</v>
      </c>
      <c r="G2241" s="9" t="n">
        <v>3</v>
      </c>
      <c r="H2241" s="9" t="n">
        <v>2</v>
      </c>
      <c r="I2241" s="10" t="n">
        <v>43736</v>
      </c>
      <c r="J2241" s="10" t="n">
        <v>43743</v>
      </c>
      <c r="K2241" s="9" t="n">
        <v>6.94288</v>
      </c>
      <c r="L2241" s="9" t="n">
        <v>79.85447000000001</v>
      </c>
      <c r="M2241" s="9" t="inlineStr">
        <is>
          <t>https://www.google.com/maps/place/?q=place_id:ChIJ99pQUuBY4joRHUjDEf6KuGc</t>
        </is>
      </c>
    </row>
    <row r="2242">
      <c r="A2242" s="9" t="n">
        <v>2238</v>
      </c>
      <c r="B2242" s="9" t="inlineStr">
        <is>
          <t>Colombo</t>
        </is>
      </c>
      <c r="C2242" s="9" t="inlineStr">
        <is>
          <t>Colombo</t>
        </is>
      </c>
      <c r="D2242" s="9" t="inlineStr">
        <is>
          <t>Western Province</t>
        </is>
      </c>
      <c r="E2242" s="9" t="inlineStr">
        <is>
          <t>Sri Lanka</t>
        </is>
      </c>
      <c r="F2242" s="9" t="n">
        <v>3</v>
      </c>
      <c r="G2242" s="9" t="n">
        <v>3</v>
      </c>
      <c r="H2242" s="9" t="n">
        <v>3</v>
      </c>
      <c r="I2242" s="10" t="n">
        <v>43737</v>
      </c>
      <c r="J2242" s="10" t="n">
        <v>44606</v>
      </c>
      <c r="K2242" s="9" t="n">
        <v>6.9457</v>
      </c>
      <c r="L2242" s="9" t="n">
        <v>79.86005</v>
      </c>
      <c r="M2242" s="9" t="inlineStr">
        <is>
          <t>https://www.google.com/maps/place/?q=place_id:ChIJrW85hONY4joR5B8bkJvyvVo</t>
        </is>
      </c>
    </row>
    <row r="2243">
      <c r="A2243" s="9" t="n">
        <v>2239</v>
      </c>
      <c r="B2243" s="9" t="inlineStr">
        <is>
          <t>Dehiwala-Mount Lavinia</t>
        </is>
      </c>
      <c r="C2243" s="9" t="inlineStr">
        <is>
          <t>Colombo</t>
        </is>
      </c>
      <c r="D2243" s="9" t="inlineStr">
        <is>
          <t>Western Province</t>
        </is>
      </c>
      <c r="E2243" s="9" t="inlineStr">
        <is>
          <t>Sri Lanka</t>
        </is>
      </c>
      <c r="F2243" s="9" t="n">
        <v>2</v>
      </c>
      <c r="G2243" s="9" t="n">
        <v>2</v>
      </c>
      <c r="H2243" s="9" t="n">
        <v>1</v>
      </c>
      <c r="I2243" s="10" t="n">
        <v>43736</v>
      </c>
      <c r="J2243" s="10" t="n">
        <v>43737</v>
      </c>
      <c r="K2243" s="9" t="n">
        <v>6.87754</v>
      </c>
      <c r="L2243" s="9" t="n">
        <v>79.85720999999999</v>
      </c>
      <c r="M2243" s="9" t="inlineStr">
        <is>
          <t>https://www.google.com/maps/place/?q=place_id:ChIJhfsZ82tZ4joRcCgQ_cyMuAQ</t>
        </is>
      </c>
    </row>
    <row r="2244">
      <c r="A2244" s="9" t="n">
        <v>2240</v>
      </c>
      <c r="B2244" s="9" t="inlineStr">
        <is>
          <t>Kelaniya</t>
        </is>
      </c>
      <c r="C2244" s="9" t="inlineStr">
        <is>
          <t>Colombo</t>
        </is>
      </c>
      <c r="D2244" s="9" t="inlineStr">
        <is>
          <t>Western Province</t>
        </is>
      </c>
      <c r="E2244" s="9" t="inlineStr">
        <is>
          <t>Sri Lanka</t>
        </is>
      </c>
      <c r="F2244" s="9" t="n">
        <v>2</v>
      </c>
      <c r="G2244" s="9" t="n">
        <v>2</v>
      </c>
      <c r="H2244" s="9" t="n">
        <v>2</v>
      </c>
      <c r="I2244" s="10" t="n">
        <v>43737</v>
      </c>
      <c r="J2244" s="10" t="n">
        <v>44585</v>
      </c>
      <c r="K2244" s="9" t="n">
        <v>6.95136</v>
      </c>
      <c r="L2244" s="9" t="n">
        <v>79.91861</v>
      </c>
      <c r="M2244" s="9" t="inlineStr">
        <is>
          <t>https://www.google.com/maps/place/?q=place_id:ChIJZRPdHihY4joRRH3j8j-i36Y</t>
        </is>
      </c>
    </row>
    <row r="2245">
      <c r="A2245" s="9" t="n">
        <v>2241</v>
      </c>
      <c r="B2245" s="9" t="inlineStr">
        <is>
          <t>Colombo</t>
        </is>
      </c>
      <c r="C2245" s="9" t="inlineStr">
        <is>
          <t>Colombo</t>
        </is>
      </c>
      <c r="D2245" s="9" t="inlineStr">
        <is>
          <t>Western Province</t>
        </is>
      </c>
      <c r="E2245" s="9" t="inlineStr">
        <is>
          <t>Sri Lanka</t>
        </is>
      </c>
      <c r="F2245" s="9" t="n">
        <v>2</v>
      </c>
      <c r="G2245" s="9" t="n">
        <v>3</v>
      </c>
      <c r="H2245" s="9" t="n">
        <v>1</v>
      </c>
      <c r="I2245" s="10" t="n">
        <v>43743</v>
      </c>
      <c r="J2245" s="10" t="n">
        <v>43745</v>
      </c>
      <c r="K2245" s="9" t="n">
        <v>6.90817</v>
      </c>
      <c r="L2245" s="9" t="n">
        <v>79.84927</v>
      </c>
      <c r="M2245" s="9" t="inlineStr">
        <is>
          <t>https://www.google.com/maps/place/?q=place_id:ChIJyYD-11xZ4joRrAHFpxPdZBs</t>
        </is>
      </c>
    </row>
    <row r="2246">
      <c r="A2246" s="9" t="n">
        <v>2242</v>
      </c>
      <c r="B2246" s="9" t="inlineStr">
        <is>
          <t>Kelaniya</t>
        </is>
      </c>
      <c r="C2246" s="9" t="inlineStr">
        <is>
          <t>Colombo</t>
        </is>
      </c>
      <c r="D2246" s="9" t="inlineStr">
        <is>
          <t>Western Province</t>
        </is>
      </c>
      <c r="E2246" s="9" t="inlineStr">
        <is>
          <t>Sri Lanka</t>
        </is>
      </c>
      <c r="F2246" s="9" t="n">
        <v>2</v>
      </c>
      <c r="G2246" s="9" t="n">
        <v>2</v>
      </c>
      <c r="H2246" s="9" t="n">
        <v>2</v>
      </c>
      <c r="I2246" s="10" t="n">
        <v>43827</v>
      </c>
      <c r="J2246" s="10" t="n">
        <v>44585</v>
      </c>
      <c r="K2246" s="9" t="n">
        <v>6.96851</v>
      </c>
      <c r="L2246" s="9" t="n">
        <v>79.9085</v>
      </c>
      <c r="M2246" s="9" t="inlineStr">
        <is>
          <t>https://www.google.com/maps/place/?q=place_id:ChIJy7c0AhpY4joRzIrswDRUSXA</t>
        </is>
      </c>
    </row>
    <row r="2247">
      <c r="A2247" s="9" t="n">
        <v>2243</v>
      </c>
      <c r="B2247" s="9" t="inlineStr">
        <is>
          <t>Colombo</t>
        </is>
      </c>
      <c r="C2247" s="9" t="inlineStr">
        <is>
          <t>Colombo</t>
        </is>
      </c>
      <c r="D2247" s="9" t="inlineStr">
        <is>
          <t>Western Province</t>
        </is>
      </c>
      <c r="E2247" s="9" t="inlineStr">
        <is>
          <t>Sri Lanka</t>
        </is>
      </c>
      <c r="F2247" s="9" t="n">
        <v>1</v>
      </c>
      <c r="G2247" s="9" t="n">
        <v>1</v>
      </c>
      <c r="H2247" s="9" t="n">
        <v>1</v>
      </c>
      <c r="I2247" s="10" t="n">
        <v>43736</v>
      </c>
      <c r="J2247" s="10" t="n">
        <v>43736</v>
      </c>
      <c r="K2247" s="9" t="n">
        <v>6.94011</v>
      </c>
      <c r="L2247" s="9" t="n">
        <v>79.85411999999999</v>
      </c>
      <c r="M2247" s="9" t="inlineStr">
        <is>
          <t>https://www.google.com/maps/place/?q=place_id:ChIJg-vB2h9Z4joRv7m1z9MFMjU</t>
        </is>
      </c>
    </row>
    <row r="2248">
      <c r="A2248" s="9" t="n">
        <v>2244</v>
      </c>
      <c r="B2248" s="9" t="inlineStr">
        <is>
          <t>Kolonnawa</t>
        </is>
      </c>
      <c r="C2248" s="9" t="inlineStr">
        <is>
          <t>Colombo</t>
        </is>
      </c>
      <c r="D2248" s="9" t="inlineStr">
        <is>
          <t>Western Province</t>
        </is>
      </c>
      <c r="E2248" s="9" t="inlineStr">
        <is>
          <t>Sri Lanka</t>
        </is>
      </c>
      <c r="F2248" s="9" t="n">
        <v>1</v>
      </c>
      <c r="G2248" s="9" t="n">
        <v>1</v>
      </c>
      <c r="H2248" s="9" t="n">
        <v>1</v>
      </c>
      <c r="I2248" s="10" t="n">
        <v>43736</v>
      </c>
      <c r="J2248" s="10" t="n">
        <v>43736</v>
      </c>
      <c r="K2248" s="9" t="n">
        <v>6.94384</v>
      </c>
      <c r="L2248" s="9" t="n">
        <v>79.87748999999999</v>
      </c>
      <c r="M2248" s="9" t="inlineStr">
        <is>
          <t>https://www.google.com/maps/place/?q=place_id:ChIJVxeHVVRY4joRl9U9wnB8OiU</t>
        </is>
      </c>
    </row>
    <row r="2249">
      <c r="A2249" s="9" t="n">
        <v>2245</v>
      </c>
      <c r="B2249" s="9" t="inlineStr">
        <is>
          <t>Kelaniya</t>
        </is>
      </c>
      <c r="C2249" s="9" t="inlineStr">
        <is>
          <t>Colombo</t>
        </is>
      </c>
      <c r="D2249" s="9" t="inlineStr">
        <is>
          <t>Western Province</t>
        </is>
      </c>
      <c r="E2249" s="9" t="inlineStr">
        <is>
          <t>Sri Lanka</t>
        </is>
      </c>
      <c r="F2249" s="9" t="n">
        <v>1</v>
      </c>
      <c r="G2249" s="9" t="n">
        <v>1</v>
      </c>
      <c r="H2249" s="9" t="n">
        <v>1</v>
      </c>
      <c r="I2249" s="10" t="n">
        <v>43736</v>
      </c>
      <c r="J2249" s="10" t="n">
        <v>43736</v>
      </c>
      <c r="K2249" s="9" t="n">
        <v>6.9682</v>
      </c>
      <c r="L2249" s="9" t="n">
        <v>79.90982</v>
      </c>
      <c r="M2249" s="9" t="inlineStr">
        <is>
          <t>https://www.google.com/maps/place/?q=place_id:ChIJLcEqihlY4joRyQaEK4cbxZE</t>
        </is>
      </c>
    </row>
    <row r="2250">
      <c r="A2250" s="9" t="n">
        <v>2246</v>
      </c>
      <c r="B2250" s="9" t="inlineStr">
        <is>
          <t>Colombo</t>
        </is>
      </c>
      <c r="C2250" s="9" t="inlineStr">
        <is>
          <t>Colombo</t>
        </is>
      </c>
      <c r="D2250" s="9" t="inlineStr">
        <is>
          <t>Western Province</t>
        </is>
      </c>
      <c r="E2250" s="9" t="inlineStr">
        <is>
          <t>Sri Lanka</t>
        </is>
      </c>
      <c r="F2250" s="9" t="n">
        <v>1</v>
      </c>
      <c r="G2250" s="9" t="n">
        <v>1</v>
      </c>
      <c r="H2250" s="9" t="n">
        <v>1</v>
      </c>
      <c r="I2250" s="10" t="n">
        <v>43737</v>
      </c>
      <c r="J2250" s="10" t="n">
        <v>43737</v>
      </c>
      <c r="K2250" s="9" t="n">
        <v>6.93781</v>
      </c>
      <c r="L2250" s="9" t="n">
        <v>79.84926</v>
      </c>
      <c r="M2250" s="9" t="inlineStr">
        <is>
          <t>https://www.google.com/maps/place/?q=place_id:ChIJcUl3ACFZ4joRVHekb8GMHSM</t>
        </is>
      </c>
    </row>
    <row r="2251">
      <c r="A2251" s="9" t="n">
        <v>2247</v>
      </c>
      <c r="B2251" s="9" t="inlineStr">
        <is>
          <t>Dehiwala-Mount Lavinia</t>
        </is>
      </c>
      <c r="C2251" s="9" t="inlineStr">
        <is>
          <t>Colombo</t>
        </is>
      </c>
      <c r="D2251" s="9" t="inlineStr">
        <is>
          <t>Western Province</t>
        </is>
      </c>
      <c r="E2251" s="9" t="inlineStr">
        <is>
          <t>Sri Lanka</t>
        </is>
      </c>
      <c r="F2251" s="9" t="n">
        <v>1</v>
      </c>
      <c r="G2251" s="9" t="n">
        <v>1</v>
      </c>
      <c r="H2251" s="9" t="n">
        <v>1</v>
      </c>
      <c r="I2251" s="10" t="n">
        <v>43744</v>
      </c>
      <c r="J2251" s="10" t="n">
        <v>43744</v>
      </c>
      <c r="K2251" s="9" t="n">
        <v>6.85429</v>
      </c>
      <c r="L2251" s="9" t="n">
        <v>79.86548000000001</v>
      </c>
      <c r="M2251" s="9" t="inlineStr">
        <is>
          <t>https://www.google.com/maps/place/?q=place_id:ChIJWS1jpQdb4joRu9vfjH0zHPA</t>
        </is>
      </c>
    </row>
    <row r="2252">
      <c r="A2252" s="9" t="n">
        <v>2248</v>
      </c>
      <c r="B2252" s="9" t="inlineStr">
        <is>
          <t>Colombo</t>
        </is>
      </c>
      <c r="C2252" s="9" t="inlineStr">
        <is>
          <t>Colombo</t>
        </is>
      </c>
      <c r="D2252" s="9" t="inlineStr">
        <is>
          <t>Western Province</t>
        </is>
      </c>
      <c r="E2252" s="9" t="inlineStr">
        <is>
          <t>Sri Lanka</t>
        </is>
      </c>
      <c r="F2252" s="9" t="n">
        <v>1</v>
      </c>
      <c r="G2252" s="9" t="n">
        <v>1</v>
      </c>
      <c r="H2252" s="9" t="n">
        <v>1</v>
      </c>
      <c r="I2252" s="10" t="n">
        <v>43744</v>
      </c>
      <c r="J2252" s="10" t="n">
        <v>43744</v>
      </c>
      <c r="K2252" s="9" t="n">
        <v>6.93741</v>
      </c>
      <c r="L2252" s="9" t="n">
        <v>79.85420000000001</v>
      </c>
      <c r="M2252" s="9" t="inlineStr">
        <is>
          <t>https://www.google.com/maps/place/?q=place_id:ChIJvRhXBR9Z4joRovO1N_2S6EY</t>
        </is>
      </c>
    </row>
    <row r="2253">
      <c r="A2253" s="9" t="n">
        <v>2249</v>
      </c>
      <c r="B2253" s="9" t="inlineStr">
        <is>
          <t>Colombo</t>
        </is>
      </c>
      <c r="C2253" s="9" t="inlineStr">
        <is>
          <t>Colombo</t>
        </is>
      </c>
      <c r="D2253" s="9" t="inlineStr">
        <is>
          <t>Western Province</t>
        </is>
      </c>
      <c r="E2253" s="9" t="inlineStr">
        <is>
          <t>Sri Lanka</t>
        </is>
      </c>
      <c r="F2253" s="9" t="n">
        <v>1</v>
      </c>
      <c r="G2253" s="9" t="n">
        <v>1</v>
      </c>
      <c r="H2253" s="9" t="n">
        <v>1</v>
      </c>
      <c r="I2253" s="10" t="n">
        <v>43744</v>
      </c>
      <c r="J2253" s="10" t="n">
        <v>43744</v>
      </c>
      <c r="K2253" s="9" t="n">
        <v>6.93261</v>
      </c>
      <c r="L2253" s="9" t="n">
        <v>79.85531</v>
      </c>
      <c r="M2253" s="9" t="inlineStr">
        <is>
          <t>https://www.google.com/maps/place/?q=place_id:ChIJox84ARlZ4joRNMVZciEUZ0o</t>
        </is>
      </c>
    </row>
    <row r="2254">
      <c r="A2254" s="9" t="n">
        <v>2250</v>
      </c>
      <c r="B2254" s="9" t="inlineStr">
        <is>
          <t>Dehiwala-Mount Lavinia</t>
        </is>
      </c>
      <c r="C2254" s="9" t="inlineStr">
        <is>
          <t>Colombo</t>
        </is>
      </c>
      <c r="D2254" s="9" t="inlineStr">
        <is>
          <t>Western Province</t>
        </is>
      </c>
      <c r="E2254" s="9" t="inlineStr">
        <is>
          <t>Sri Lanka</t>
        </is>
      </c>
      <c r="F2254" s="9" t="n">
        <v>1</v>
      </c>
      <c r="G2254" s="9" t="n">
        <v>1</v>
      </c>
      <c r="H2254" s="9" t="n">
        <v>1</v>
      </c>
      <c r="I2254" s="10" t="n">
        <v>43744</v>
      </c>
      <c r="J2254" s="10" t="n">
        <v>43744</v>
      </c>
      <c r="K2254" s="9" t="n">
        <v>6.86736</v>
      </c>
      <c r="L2254" s="9" t="n">
        <v>79.86619</v>
      </c>
      <c r="M2254" s="9" t="inlineStr">
        <is>
          <t>https://www.google.com/maps/place/?q=place_id:ChIJTf3j0rFb4joRjxgfrl4zA1E</t>
        </is>
      </c>
    </row>
    <row r="2255">
      <c r="A2255" s="9" t="n">
        <v>2251</v>
      </c>
      <c r="B2255" s="9" t="inlineStr">
        <is>
          <t>Katunayaka</t>
        </is>
      </c>
      <c r="C2255" s="9" t="inlineStr">
        <is>
          <t>Colombo</t>
        </is>
      </c>
      <c r="D2255" s="9" t="inlineStr">
        <is>
          <t>Western Province</t>
        </is>
      </c>
      <c r="E2255" s="9" t="inlineStr">
        <is>
          <t>Sri Lanka</t>
        </is>
      </c>
      <c r="F2255" s="9" t="n">
        <v>1</v>
      </c>
      <c r="G2255" s="9" t="n">
        <v>1</v>
      </c>
      <c r="H2255" s="9" t="n">
        <v>1</v>
      </c>
      <c r="I2255" s="10" t="n">
        <v>43816</v>
      </c>
      <c r="J2255" s="10" t="n">
        <v>43816</v>
      </c>
      <c r="K2255" s="9" t="n">
        <v>7.16576</v>
      </c>
      <c r="L2255" s="9" t="n">
        <v>79.88158</v>
      </c>
      <c r="M2255" s="9" t="inlineStr">
        <is>
          <t>https://www.google.com/maps/place/?q=place_id:ChIJlc4DQs7v4joRlK7Qk2kj1zI</t>
        </is>
      </c>
    </row>
    <row r="2256">
      <c r="A2256" s="9" t="n">
        <v>2252</v>
      </c>
      <c r="B2256" s="9" t="inlineStr">
        <is>
          <t>Pita Kotte</t>
        </is>
      </c>
      <c r="C2256" s="9" t="inlineStr">
        <is>
          <t>Colombo</t>
        </is>
      </c>
      <c r="D2256" s="9" t="inlineStr">
        <is>
          <t>Western Province</t>
        </is>
      </c>
      <c r="E2256" s="9" t="inlineStr">
        <is>
          <t>Sri Lanka</t>
        </is>
      </c>
      <c r="F2256" s="9" t="n">
        <v>1</v>
      </c>
      <c r="G2256" s="9" t="n">
        <v>1</v>
      </c>
      <c r="H2256" s="9" t="n">
        <v>1</v>
      </c>
      <c r="I2256" s="10" t="n">
        <v>43817</v>
      </c>
      <c r="J2256" s="10" t="n">
        <v>43817</v>
      </c>
      <c r="K2256" s="9" t="n">
        <v>6.88574</v>
      </c>
      <c r="L2256" s="9" t="n">
        <v>79.85687</v>
      </c>
      <c r="M2256" s="9" t="inlineStr">
        <is>
          <t>https://www.google.com/maps/place/?q=place_id:ChIJVbw4cMNb4joRuqhCBpC6A7Q</t>
        </is>
      </c>
    </row>
    <row r="2257">
      <c r="A2257" s="9" t="n">
        <v>2253</v>
      </c>
      <c r="B2257" s="9" t="inlineStr">
        <is>
          <t>Colombo</t>
        </is>
      </c>
      <c r="C2257" s="9" t="inlineStr">
        <is>
          <t>Colombo</t>
        </is>
      </c>
      <c r="D2257" s="9" t="inlineStr">
        <is>
          <t>Western Province</t>
        </is>
      </c>
      <c r="E2257" s="9" t="inlineStr">
        <is>
          <t>Sri Lanka</t>
        </is>
      </c>
      <c r="F2257" s="9" t="n">
        <v>1</v>
      </c>
      <c r="G2257" s="9" t="n">
        <v>1</v>
      </c>
      <c r="H2257" s="9" t="n">
        <v>1</v>
      </c>
      <c r="I2257" s="10" t="n">
        <v>43819</v>
      </c>
      <c r="J2257" s="10" t="n">
        <v>43819</v>
      </c>
      <c r="K2257" s="9" t="n">
        <v>6.93352</v>
      </c>
      <c r="L2257" s="9" t="n">
        <v>79.84350999999999</v>
      </c>
      <c r="M2257" s="9" t="inlineStr">
        <is>
          <t>https://www.google.com/maps/place/?q=place_id:ChIJewdvsyVZ4joR58SE2_jbA0s</t>
        </is>
      </c>
    </row>
    <row r="2258">
      <c r="A2258" s="9" t="n">
        <v>2254</v>
      </c>
      <c r="B2258" s="9" t="inlineStr">
        <is>
          <t>Colombo</t>
        </is>
      </c>
      <c r="C2258" s="9" t="inlineStr">
        <is>
          <t>Colombo</t>
        </is>
      </c>
      <c r="D2258" s="9" t="inlineStr">
        <is>
          <t>Western Province</t>
        </is>
      </c>
      <c r="E2258" s="9" t="inlineStr">
        <is>
          <t>Sri Lanka</t>
        </is>
      </c>
      <c r="F2258" s="9" t="n">
        <v>1</v>
      </c>
      <c r="G2258" s="9" t="n">
        <v>1</v>
      </c>
      <c r="H2258" s="9" t="n">
        <v>1</v>
      </c>
      <c r="I2258" s="10" t="n">
        <v>44591</v>
      </c>
      <c r="J2258" s="10" t="n">
        <v>44591</v>
      </c>
      <c r="K2258" s="9" t="n">
        <v>6.91392</v>
      </c>
      <c r="L2258" s="9" t="n">
        <v>79.85781</v>
      </c>
      <c r="M2258" s="9" t="inlineStr">
        <is>
          <t>https://www.google.com/maps/place/?q=place_id:ChIJC9MjUGlZ4joR__EE4-oSkwk</t>
        </is>
      </c>
    </row>
    <row r="2259">
      <c r="A2259" s="9" t="n">
        <v>2255</v>
      </c>
      <c r="B2259" s="9" t="inlineStr">
        <is>
          <t>Colombo</t>
        </is>
      </c>
      <c r="C2259" s="9" t="inlineStr">
        <is>
          <t>Colombo</t>
        </is>
      </c>
      <c r="D2259" s="9" t="inlineStr">
        <is>
          <t>Western Province</t>
        </is>
      </c>
      <c r="E2259" s="9" t="inlineStr">
        <is>
          <t>Sri Lanka</t>
        </is>
      </c>
      <c r="F2259" s="9" t="n">
        <v>1</v>
      </c>
      <c r="G2259" s="9" t="n">
        <v>1</v>
      </c>
      <c r="H2259" s="9" t="n">
        <v>1</v>
      </c>
      <c r="I2259" s="10" t="n">
        <v>44591</v>
      </c>
      <c r="J2259" s="10" t="n">
        <v>44591</v>
      </c>
      <c r="K2259" s="9" t="n">
        <v>6.9168</v>
      </c>
      <c r="L2259" s="9" t="n">
        <v>79.86537</v>
      </c>
      <c r="M2259" s="9" t="inlineStr">
        <is>
          <t>https://www.google.com/maps/place/?q=place_id:ChIJe478WXJZ4joRr6xvHNiOcUs</t>
        </is>
      </c>
    </row>
    <row r="2260">
      <c r="A2260" s="9" t="n">
        <v>2256</v>
      </c>
      <c r="B2260" s="9" t="inlineStr">
        <is>
          <t>Dehiwala-Mount Lavinia</t>
        </is>
      </c>
      <c r="C2260" s="9" t="inlineStr">
        <is>
          <t>Colombo</t>
        </is>
      </c>
      <c r="D2260" s="9" t="inlineStr">
        <is>
          <t>Western Province</t>
        </is>
      </c>
      <c r="E2260" s="9" t="inlineStr">
        <is>
          <t>Sri Lanka</t>
        </is>
      </c>
      <c r="F2260" s="9" t="n">
        <v>1</v>
      </c>
      <c r="G2260" s="9" t="n">
        <v>1</v>
      </c>
      <c r="H2260" s="9" t="n">
        <v>1</v>
      </c>
      <c r="I2260" s="10" t="n">
        <v>44591</v>
      </c>
      <c r="J2260" s="10" t="n">
        <v>44591</v>
      </c>
      <c r="K2260" s="9" t="n">
        <v>6.86902</v>
      </c>
      <c r="L2260" s="9" t="n">
        <v>79.86217000000001</v>
      </c>
      <c r="M2260" s="9" t="inlineStr">
        <is>
          <t>https://www.google.com/maps/place/?q=place_id:ChIJkQ2djrpb4joRZwI3QrmeXEo</t>
        </is>
      </c>
    </row>
    <row r="2261">
      <c r="A2261" s="9" t="n">
        <v>2257</v>
      </c>
      <c r="B2261" s="9" t="inlineStr">
        <is>
          <t>Wattala</t>
        </is>
      </c>
      <c r="C2261" s="9" t="inlineStr">
        <is>
          <t>Colombo</t>
        </is>
      </c>
      <c r="D2261" s="9" t="inlineStr">
        <is>
          <t>Western Province</t>
        </is>
      </c>
      <c r="E2261" s="9" t="inlineStr">
        <is>
          <t>Sri Lanka</t>
        </is>
      </c>
      <c r="F2261" s="9" t="n">
        <v>1</v>
      </c>
      <c r="G2261" s="9" t="n">
        <v>1</v>
      </c>
      <c r="H2261" s="9" t="n">
        <v>1</v>
      </c>
      <c r="I2261" s="10" t="n">
        <v>44592</v>
      </c>
      <c r="J2261" s="10" t="n">
        <v>44592</v>
      </c>
      <c r="K2261" s="9" t="n">
        <v>6.98233</v>
      </c>
      <c r="L2261" s="9" t="n">
        <v>79.8879</v>
      </c>
      <c r="M2261" s="9" t="inlineStr">
        <is>
          <t>https://www.google.com/maps/place/?q=place_id:ChIJr9uTSnVZ4joR8CHIIV2zdyU</t>
        </is>
      </c>
    </row>
    <row r="2262">
      <c r="A2262" s="9" t="n">
        <v>2258</v>
      </c>
      <c r="B2262" s="9" t="inlineStr">
        <is>
          <t>Wattala</t>
        </is>
      </c>
      <c r="C2262" s="9" t="inlineStr">
        <is>
          <t>Colombo</t>
        </is>
      </c>
      <c r="D2262" s="9" t="inlineStr">
        <is>
          <t>Western Province</t>
        </is>
      </c>
      <c r="E2262" s="9" t="inlineStr">
        <is>
          <t>Sri Lanka</t>
        </is>
      </c>
      <c r="F2262" s="9" t="n">
        <v>1</v>
      </c>
      <c r="G2262" s="9" t="n">
        <v>1</v>
      </c>
      <c r="H2262" s="9" t="n">
        <v>1</v>
      </c>
      <c r="I2262" s="10" t="n">
        <v>44592</v>
      </c>
      <c r="J2262" s="10" t="n">
        <v>44592</v>
      </c>
      <c r="K2262" s="9" t="n">
        <v>6.97857</v>
      </c>
      <c r="L2262" s="9" t="n">
        <v>79.89552</v>
      </c>
      <c r="M2262" s="9" t="inlineStr">
        <is>
          <t>https://www.google.com/maps/place/?q=place_id:ChIJAY5MOiFZ4joRVnxRUoaigDE</t>
        </is>
      </c>
    </row>
    <row r="2263">
      <c r="A2263" s="9" t="n">
        <v>2259</v>
      </c>
      <c r="B2263" s="9" t="inlineStr">
        <is>
          <t>Wattala</t>
        </is>
      </c>
      <c r="C2263" s="9" t="inlineStr">
        <is>
          <t>Colombo</t>
        </is>
      </c>
      <c r="D2263" s="9" t="inlineStr">
        <is>
          <t>Western Province</t>
        </is>
      </c>
      <c r="E2263" s="9" t="inlineStr">
        <is>
          <t>Sri Lanka</t>
        </is>
      </c>
      <c r="F2263" s="9" t="n">
        <v>1</v>
      </c>
      <c r="G2263" s="9" t="n">
        <v>1</v>
      </c>
      <c r="H2263" s="9" t="n">
        <v>1</v>
      </c>
      <c r="I2263" s="10" t="n">
        <v>44592</v>
      </c>
      <c r="J2263" s="10" t="n">
        <v>44592</v>
      </c>
      <c r="K2263" s="9" t="n">
        <v>6.97566</v>
      </c>
      <c r="L2263" s="9" t="n">
        <v>79.89921</v>
      </c>
      <c r="M2263" s="9" t="inlineStr">
        <is>
          <t>https://www.google.com/maps/place/?q=place_id:ChIJ41VwDw1Y4joR0beF9Cg4Fb0</t>
        </is>
      </c>
    </row>
    <row r="2264">
      <c r="A2264" s="9" t="n">
        <v>2260</v>
      </c>
      <c r="B2264" s="9" t="inlineStr">
        <is>
          <t>Hendala</t>
        </is>
      </c>
      <c r="C2264" s="9" t="inlineStr">
        <is>
          <t>Colombo</t>
        </is>
      </c>
      <c r="D2264" s="9" t="inlineStr">
        <is>
          <t>Western Province</t>
        </is>
      </c>
      <c r="E2264" s="9" t="inlineStr">
        <is>
          <t>Sri Lanka</t>
        </is>
      </c>
      <c r="F2264" s="9" t="n">
        <v>1</v>
      </c>
      <c r="G2264" s="9" t="n">
        <v>2</v>
      </c>
      <c r="H2264" s="9" t="n">
        <v>1</v>
      </c>
      <c r="I2264" s="10" t="n">
        <v>44605</v>
      </c>
      <c r="J2264" s="10" t="n">
        <v>44606</v>
      </c>
      <c r="K2264" s="9" t="n">
        <v>6.98965</v>
      </c>
      <c r="L2264" s="9" t="n">
        <v>79.86878</v>
      </c>
      <c r="M2264" s="9" t="inlineStr">
        <is>
          <t>https://www.google.com/maps/place/?q=place_id:ChIJc7k2py724joRyf2cqx7Pxl0</t>
        </is>
      </c>
    </row>
    <row r="2265">
      <c r="A2265" s="9" t="n">
        <v>2261</v>
      </c>
      <c r="B2265" s="9" t="inlineStr">
        <is>
          <t>Hendala</t>
        </is>
      </c>
      <c r="C2265" s="9" t="inlineStr">
        <is>
          <t>Colombo</t>
        </is>
      </c>
      <c r="D2265" s="9" t="inlineStr">
        <is>
          <t>Western Province</t>
        </is>
      </c>
      <c r="E2265" s="9" t="inlineStr">
        <is>
          <t>Sri Lanka</t>
        </is>
      </c>
      <c r="F2265" s="9" t="n">
        <v>1</v>
      </c>
      <c r="G2265" s="9" t="n">
        <v>1</v>
      </c>
      <c r="H2265" s="9" t="n">
        <v>1</v>
      </c>
      <c r="I2265" s="10" t="n">
        <v>44606</v>
      </c>
      <c r="J2265" s="10" t="n">
        <v>44606</v>
      </c>
      <c r="K2265" s="9" t="n">
        <v>6.99429</v>
      </c>
      <c r="L2265" s="9" t="n">
        <v>79.87445</v>
      </c>
      <c r="M2265" s="9" t="inlineStr">
        <is>
          <t>https://www.google.com/maps/place/?q=place_id:ChIJ8Vf9qjL24joR0HZIvbVf3QQ</t>
        </is>
      </c>
    </row>
    <row r="2266">
      <c r="A2266" s="9" t="n">
        <v>2262</v>
      </c>
      <c r="B2266" s="9" t="inlineStr">
        <is>
          <t>Colombo</t>
        </is>
      </c>
      <c r="C2266" s="9" t="inlineStr">
        <is>
          <t>Colombo</t>
        </is>
      </c>
      <c r="D2266" s="9" t="inlineStr">
        <is>
          <t>Western Province</t>
        </is>
      </c>
      <c r="E2266" s="9" t="inlineStr">
        <is>
          <t>Sri Lanka</t>
        </is>
      </c>
      <c r="F2266" s="9" t="n">
        <v>1</v>
      </c>
      <c r="G2266" s="9" t="n">
        <v>1</v>
      </c>
      <c r="H2266" s="9" t="n">
        <v>1</v>
      </c>
      <c r="I2266" s="10" t="n">
        <v>44606</v>
      </c>
      <c r="J2266" s="10" t="n">
        <v>44606</v>
      </c>
      <c r="K2266" s="9" t="n">
        <v>6.93861</v>
      </c>
      <c r="L2266" s="9" t="n">
        <v>79.85363</v>
      </c>
      <c r="M2266" s="9" t="inlineStr">
        <is>
          <t>https://www.google.com/maps/place/?q=place_id:ChIJTba8oh9Z4joRi-iMVKaXxyY</t>
        </is>
      </c>
    </row>
    <row r="2267">
      <c r="A2267" s="9" t="n">
        <v>2263</v>
      </c>
      <c r="B2267" s="9" t="inlineStr">
        <is>
          <t>Colombo</t>
        </is>
      </c>
      <c r="C2267" s="9" t="inlineStr">
        <is>
          <t>Colombo</t>
        </is>
      </c>
      <c r="D2267" s="9" t="inlineStr">
        <is>
          <t>Western Province</t>
        </is>
      </c>
      <c r="E2267" s="9" t="inlineStr">
        <is>
          <t>Sri Lanka</t>
        </is>
      </c>
      <c r="F2267" s="9" t="n">
        <v>1</v>
      </c>
      <c r="G2267" s="9" t="n">
        <v>1</v>
      </c>
      <c r="H2267" s="9" t="n">
        <v>1</v>
      </c>
      <c r="I2267" s="10" t="n">
        <v>44606</v>
      </c>
      <c r="J2267" s="10" t="n">
        <v>44606</v>
      </c>
      <c r="K2267" s="9" t="n">
        <v>6.93806</v>
      </c>
      <c r="L2267" s="9" t="n">
        <v>79.85608999999999</v>
      </c>
      <c r="M2267" s="9" t="inlineStr">
        <is>
          <t>https://www.google.com/maps/place/?q=place_id:ChIJZw6v9R5Z4joRhkvgSYxFIAY</t>
        </is>
      </c>
    </row>
    <row r="2268">
      <c r="A2268" s="9" t="n">
        <v>2264</v>
      </c>
      <c r="B2268" s="9" t="inlineStr">
        <is>
          <t>Pita Kotte</t>
        </is>
      </c>
      <c r="C2268" s="9" t="inlineStr">
        <is>
          <t>Colombo</t>
        </is>
      </c>
      <c r="D2268" s="9" t="inlineStr">
        <is>
          <t>Western Province</t>
        </is>
      </c>
      <c r="E2268" s="9" t="inlineStr">
        <is>
          <t>Sri Lanka</t>
        </is>
      </c>
      <c r="F2268" s="9" t="n">
        <v>1</v>
      </c>
      <c r="G2268" s="9" t="n">
        <v>1</v>
      </c>
      <c r="H2268" s="9" t="n">
        <v>1</v>
      </c>
      <c r="I2268" s="10" t="n">
        <v>44606</v>
      </c>
      <c r="J2268" s="10" t="n">
        <v>44606</v>
      </c>
      <c r="K2268" s="9" t="n">
        <v>6.88212</v>
      </c>
      <c r="L2268" s="9" t="n">
        <v>79.8712</v>
      </c>
      <c r="M2268" s="9" t="inlineStr">
        <is>
          <t>https://www.google.com/maps/place/?q=place_id:ChIJjYzQdstb4joRS2mdKH-VMbA</t>
        </is>
      </c>
    </row>
    <row r="2269">
      <c r="A2269" s="9" t="n">
        <v>2265</v>
      </c>
      <c r="B2269" s="9" t="inlineStr">
        <is>
          <t>Negombo</t>
        </is>
      </c>
      <c r="C2269" s="9" t="inlineStr">
        <is>
          <t>Negombo</t>
        </is>
      </c>
      <c r="D2269" s="9" t="inlineStr">
        <is>
          <t>Western Province</t>
        </is>
      </c>
      <c r="E2269" s="9" t="inlineStr">
        <is>
          <t>Sri Lanka</t>
        </is>
      </c>
      <c r="F2269" s="9" t="n">
        <v>1</v>
      </c>
      <c r="G2269" s="9" t="n">
        <v>1</v>
      </c>
      <c r="H2269" s="9" t="n">
        <v>1</v>
      </c>
      <c r="I2269" s="10" t="n">
        <v>43819</v>
      </c>
      <c r="J2269" s="10" t="n">
        <v>43819</v>
      </c>
      <c r="K2269" s="9" t="n">
        <v>7.21717</v>
      </c>
      <c r="L2269" s="9" t="n">
        <v>79.84573</v>
      </c>
      <c r="M2269" s="9" t="inlineStr">
        <is>
          <t>https://www.google.com/maps/place/?q=place_id:ChIJbYL3kI7v4joR-GQFKWS75yE</t>
        </is>
      </c>
    </row>
    <row r="2270">
      <c r="A2270" s="9" t="n">
        <v>2266</v>
      </c>
      <c r="B2270" s="9" t="inlineStr">
        <is>
          <t>Kriens</t>
        </is>
      </c>
      <c r="C2270" s="9" t="inlineStr">
        <is>
          <t>Kriens</t>
        </is>
      </c>
      <c r="D2270" s="9" t="inlineStr">
        <is>
          <t>Lucerne</t>
        </is>
      </c>
      <c r="E2270" s="9" t="inlineStr">
        <is>
          <t>Switzerland</t>
        </is>
      </c>
      <c r="F2270" s="9" t="n">
        <v>2</v>
      </c>
      <c r="G2270" s="9" t="n">
        <v>1</v>
      </c>
      <c r="H2270" s="9" t="n">
        <v>1</v>
      </c>
      <c r="I2270" s="10" t="n">
        <v>45495</v>
      </c>
      <c r="J2270" s="10" t="n">
        <v>45495</v>
      </c>
      <c r="K2270" s="9" t="n">
        <v>46.81604</v>
      </c>
      <c r="L2270" s="9" t="n">
        <v>8.39561</v>
      </c>
      <c r="M2270" s="9" t="inlineStr">
        <is>
          <t>https://www.google.com/maps/place/?q=place_id:ChIJ0xOtTRJghUcRuAAlYsF1x3o</t>
        </is>
      </c>
    </row>
    <row r="2271">
      <c r="A2271" s="9" t="n">
        <v>2267</v>
      </c>
      <c r="B2271" s="9" t="inlineStr">
        <is>
          <t>Kriens</t>
        </is>
      </c>
      <c r="C2271" s="9" t="inlineStr">
        <is>
          <t>Kriens</t>
        </is>
      </c>
      <c r="D2271" s="9" t="inlineStr">
        <is>
          <t>Lucerne</t>
        </is>
      </c>
      <c r="E2271" s="9" t="inlineStr">
        <is>
          <t>Switzerland</t>
        </is>
      </c>
      <c r="F2271" s="9" t="n">
        <v>2</v>
      </c>
      <c r="G2271" s="9" t="n">
        <v>1</v>
      </c>
      <c r="H2271" s="9" t="n">
        <v>1</v>
      </c>
      <c r="I2271" s="10" t="n">
        <v>45495</v>
      </c>
      <c r="J2271" s="10" t="n">
        <v>45495</v>
      </c>
      <c r="K2271" s="9" t="n">
        <v>46.77067</v>
      </c>
      <c r="L2271" s="9" t="n">
        <v>8.426349999999999</v>
      </c>
      <c r="M2271" s="9" t="inlineStr">
        <is>
          <t>https://www.google.com/maps/place/?q=place_id:ChIJx1MSsBNhhUcR5gQgLxv7z_o</t>
        </is>
      </c>
    </row>
    <row r="2272">
      <c r="A2272" s="9" t="n">
        <v>2268</v>
      </c>
      <c r="B2272" s="9" t="inlineStr">
        <is>
          <t>Kriens</t>
        </is>
      </c>
      <c r="C2272" s="9" t="inlineStr">
        <is>
          <t>Kriens</t>
        </is>
      </c>
      <c r="D2272" s="9" t="inlineStr">
        <is>
          <t>Lucerne</t>
        </is>
      </c>
      <c r="E2272" s="9" t="inlineStr">
        <is>
          <t>Switzerland</t>
        </is>
      </c>
      <c r="F2272" s="9" t="n">
        <v>2</v>
      </c>
      <c r="G2272" s="9" t="n">
        <v>1</v>
      </c>
      <c r="H2272" s="9" t="n">
        <v>1</v>
      </c>
      <c r="I2272" s="10" t="n">
        <v>45495</v>
      </c>
      <c r="J2272" s="10" t="n">
        <v>45495</v>
      </c>
      <c r="K2272" s="9" t="n">
        <v>46.78251</v>
      </c>
      <c r="L2272" s="9" t="n">
        <v>8.417020000000001</v>
      </c>
      <c r="M2272" s="9" t="inlineStr">
        <is>
          <t>https://www.google.com/maps/place/?q=place_id:ChIJ4buD1gZhhUcRm7MgXLIPJh4</t>
        </is>
      </c>
    </row>
    <row r="2273">
      <c r="A2273" s="9" t="n">
        <v>2269</v>
      </c>
      <c r="B2273" s="9" t="inlineStr">
        <is>
          <t>Kriens</t>
        </is>
      </c>
      <c r="C2273" s="9" t="inlineStr">
        <is>
          <t>Kriens</t>
        </is>
      </c>
      <c r="D2273" s="9" t="inlineStr">
        <is>
          <t>Lucerne</t>
        </is>
      </c>
      <c r="E2273" s="9" t="inlineStr">
        <is>
          <t>Switzerland</t>
        </is>
      </c>
      <c r="F2273" s="9" t="n">
        <v>1</v>
      </c>
      <c r="G2273" s="9" t="n">
        <v>1</v>
      </c>
      <c r="H2273" s="9" t="n">
        <v>1</v>
      </c>
      <c r="I2273" s="10" t="n">
        <v>45495</v>
      </c>
      <c r="J2273" s="10" t="n">
        <v>45495</v>
      </c>
      <c r="K2273" s="9" t="n">
        <v>46.77083</v>
      </c>
      <c r="L2273" s="9" t="n">
        <v>8.423120000000001</v>
      </c>
      <c r="M2273" s="9" t="inlineStr">
        <is>
          <t>https://www.google.com/maps/place/?q=place_id:ChIJU9YvehJhhUcRTczBbHQzVvY</t>
        </is>
      </c>
    </row>
    <row r="2274">
      <c r="A2274" s="9" t="n">
        <v>2270</v>
      </c>
      <c r="B2274" s="9" t="inlineStr">
        <is>
          <t>Luzern</t>
        </is>
      </c>
      <c r="C2274" s="9" t="inlineStr">
        <is>
          <t>Luzern</t>
        </is>
      </c>
      <c r="D2274" s="9" t="inlineStr">
        <is>
          <t>Lucerne</t>
        </is>
      </c>
      <c r="E2274" s="9" t="inlineStr">
        <is>
          <t>Switzerland</t>
        </is>
      </c>
      <c r="F2274" s="9" t="n">
        <v>1</v>
      </c>
      <c r="G2274" s="9" t="n">
        <v>1</v>
      </c>
      <c r="H2274" s="9" t="n">
        <v>1</v>
      </c>
      <c r="I2274" s="10" t="n">
        <v>45495</v>
      </c>
      <c r="J2274" s="10" t="n">
        <v>45495</v>
      </c>
      <c r="K2274" s="9" t="n">
        <v>47.05843</v>
      </c>
      <c r="L2274" s="9" t="n">
        <v>8.310919999999999</v>
      </c>
      <c r="M2274" s="9" t="inlineStr">
        <is>
          <t>https://www.google.com/maps/place/?q=place_id:ChIJi-sFV5v7j0cRhMOPcsv-emI</t>
        </is>
      </c>
    </row>
    <row r="2275">
      <c r="A2275" s="9" t="n">
        <v>2271</v>
      </c>
      <c r="B2275" s="9" t="inlineStr">
        <is>
          <t>Schaffhausen</t>
        </is>
      </c>
      <c r="C2275" s="9" t="inlineStr">
        <is>
          <t>Schaffhausen</t>
        </is>
      </c>
      <c r="D2275" s="9" t="inlineStr">
        <is>
          <t>Schaffhausen</t>
        </is>
      </c>
      <c r="E2275" s="9" t="inlineStr">
        <is>
          <t>Switzerland</t>
        </is>
      </c>
      <c r="F2275" s="9" t="n">
        <v>1</v>
      </c>
      <c r="G2275" s="9" t="n">
        <v>1</v>
      </c>
      <c r="H2275" s="9" t="n">
        <v>1</v>
      </c>
      <c r="I2275" s="10" t="n">
        <v>45494</v>
      </c>
      <c r="J2275" s="10" t="n">
        <v>45494</v>
      </c>
      <c r="K2275" s="9" t="n">
        <v>47.67795</v>
      </c>
      <c r="L2275" s="9" t="n">
        <v>8.611929999999999</v>
      </c>
      <c r="M2275" s="9" t="inlineStr">
        <is>
          <t>https://www.google.com/maps/place/?q=place_id:ChIJS6Psykp_kEcRdehBBYYAf0c</t>
        </is>
      </c>
    </row>
    <row r="2276">
      <c r="A2276" s="9" t="n">
        <v>2272</v>
      </c>
      <c r="B2276" s="9" t="inlineStr">
        <is>
          <t>Bellinzona</t>
        </is>
      </c>
      <c r="C2276" s="9" t="inlineStr">
        <is>
          <t>Bellinzona</t>
        </is>
      </c>
      <c r="D2276" s="9" t="inlineStr">
        <is>
          <t>Ticino</t>
        </is>
      </c>
      <c r="E2276" s="9" t="inlineStr">
        <is>
          <t>Switzerland</t>
        </is>
      </c>
      <c r="F2276" s="9" t="n">
        <v>1</v>
      </c>
      <c r="G2276" s="9" t="n">
        <v>1</v>
      </c>
      <c r="H2276" s="9" t="n">
        <v>1</v>
      </c>
      <c r="I2276" s="10" t="n">
        <v>45496</v>
      </c>
      <c r="J2276" s="10" t="n">
        <v>45496</v>
      </c>
      <c r="K2276" s="9" t="n">
        <v>46.20993</v>
      </c>
      <c r="L2276" s="9" t="n">
        <v>9.027089999999999</v>
      </c>
      <c r="M2276" s="9" t="inlineStr">
        <is>
          <t>https://www.google.com/maps/place/?q=place_id:ChIJAQAAACxKhEcRMAfG7csUC1M</t>
        </is>
      </c>
    </row>
    <row r="2277">
      <c r="A2277" s="9" t="n">
        <v>2273</v>
      </c>
      <c r="B2277" s="9" t="inlineStr">
        <is>
          <t>Zurich (Kreis 11) / Affoltern</t>
        </is>
      </c>
      <c r="C2277" s="9" t="inlineStr">
        <is>
          <t>Zurich (Kreis 11) / Affoltern</t>
        </is>
      </c>
      <c r="D2277" s="9" t="inlineStr">
        <is>
          <t>Zurich</t>
        </is>
      </c>
      <c r="E2277" s="9" t="inlineStr">
        <is>
          <t>Switzerland</t>
        </is>
      </c>
      <c r="F2277" s="9" t="n">
        <v>1</v>
      </c>
      <c r="G2277" s="9" t="n">
        <v>1</v>
      </c>
      <c r="H2277" s="9" t="n">
        <v>1</v>
      </c>
      <c r="I2277" s="10" t="n">
        <v>45495</v>
      </c>
      <c r="J2277" s="10" t="n">
        <v>45495</v>
      </c>
      <c r="K2277" s="9" t="n">
        <v>47.42048</v>
      </c>
      <c r="L2277" s="9" t="n">
        <v>8.50817</v>
      </c>
      <c r="M2277" s="9" t="inlineStr">
        <is>
          <t>https://www.google.com/maps/place/?q=place_id:ChIJX0YjkOIKkEcRZDzIE1DlaOU</t>
        </is>
      </c>
    </row>
    <row r="2278">
      <c r="A2278" s="9" t="n">
        <v>2274</v>
      </c>
      <c r="B2278" s="9" t="inlineStr">
        <is>
          <t>Zurich (Kreis 11) / Seebach</t>
        </is>
      </c>
      <c r="C2278" s="9" t="inlineStr">
        <is>
          <t>Zurich (Kreis 11) / Seebach</t>
        </is>
      </c>
      <c r="D2278" s="9" t="inlineStr">
        <is>
          <t>Zurich</t>
        </is>
      </c>
      <c r="E2278" s="9" t="inlineStr">
        <is>
          <t>Switzerland</t>
        </is>
      </c>
      <c r="F2278" s="9" t="n">
        <v>2</v>
      </c>
      <c r="G2278" s="9" t="n">
        <v>2</v>
      </c>
      <c r="H2278" s="9" t="n">
        <v>1</v>
      </c>
      <c r="I2278" s="10" t="n">
        <v>45495</v>
      </c>
      <c r="J2278" s="10" t="n">
        <v>45496</v>
      </c>
      <c r="K2278" s="9" t="n">
        <v>47.42192</v>
      </c>
      <c r="L2278" s="9" t="n">
        <v>8.55837</v>
      </c>
      <c r="M2278" s="9" t="inlineStr">
        <is>
          <t>https://www.google.com/maps/place/?q=place_id:ChIJh7iLdnWgmkcRo3Nky4vb63A</t>
        </is>
      </c>
    </row>
    <row r="2279">
      <c r="A2279" s="9" t="n">
        <v>2275</v>
      </c>
      <c r="B2279" s="9" t="inlineStr">
        <is>
          <t>Ban Khlong Bang Sao Thong</t>
        </is>
      </c>
      <c r="C2279" s="9" t="inlineStr">
        <is>
          <t>Bangkok</t>
        </is>
      </c>
      <c r="D2279" s="9" t="inlineStr">
        <is>
          <t>Bangkok</t>
        </is>
      </c>
      <c r="E2279" s="9" t="inlineStr">
        <is>
          <t>Thailand</t>
        </is>
      </c>
      <c r="F2279" s="9" t="n">
        <v>9</v>
      </c>
      <c r="G2279" s="9" t="n">
        <v>7</v>
      </c>
      <c r="H2279" s="9" t="n">
        <v>3</v>
      </c>
      <c r="I2279" s="10" t="n">
        <v>44964</v>
      </c>
      <c r="J2279" s="10" t="n">
        <v>45107</v>
      </c>
      <c r="K2279" s="9" t="n">
        <v>13.69231</v>
      </c>
      <c r="L2279" s="9" t="n">
        <v>100.75071</v>
      </c>
      <c r="M2279" s="9" t="inlineStr">
        <is>
          <t>https://www.google.com/maps/place/?q=place_id:ChIJTydCFXdnHTERB3oVT1UZDRI</t>
        </is>
      </c>
    </row>
    <row r="2280">
      <c r="A2280" s="9" t="n">
        <v>2276</v>
      </c>
      <c r="B2280" s="9" t="inlineStr">
        <is>
          <t>Makkasan</t>
        </is>
      </c>
      <c r="C2280" s="9" t="inlineStr">
        <is>
          <t>Bangkok</t>
        </is>
      </c>
      <c r="D2280" s="9" t="inlineStr">
        <is>
          <t>Bangkok</t>
        </is>
      </c>
      <c r="E2280" s="9" t="inlineStr">
        <is>
          <t>Thailand</t>
        </is>
      </c>
      <c r="F2280" s="9" t="n">
        <v>5</v>
      </c>
      <c r="G2280" s="9" t="n">
        <v>4</v>
      </c>
      <c r="H2280" s="9" t="n">
        <v>2</v>
      </c>
      <c r="I2280" s="10" t="n">
        <v>44964</v>
      </c>
      <c r="J2280" s="10" t="n">
        <v>45103</v>
      </c>
      <c r="K2280" s="9" t="n">
        <v>13.75279</v>
      </c>
      <c r="L2280" s="9" t="n">
        <v>100.54767</v>
      </c>
      <c r="M2280" s="9" t="inlineStr">
        <is>
          <t>https://www.google.com/maps/place/?q=place_id:ChIJNSH6OMGe4jAR_J55xAKPYJo</t>
        </is>
      </c>
    </row>
    <row r="2281">
      <c r="A2281" s="9" t="n">
        <v>2277</v>
      </c>
      <c r="B2281" s="9" t="inlineStr">
        <is>
          <t>Makkasan</t>
        </is>
      </c>
      <c r="C2281" s="9" t="inlineStr">
        <is>
          <t>Bangkok</t>
        </is>
      </c>
      <c r="D2281" s="9" t="inlineStr">
        <is>
          <t>Bangkok</t>
        </is>
      </c>
      <c r="E2281" s="9" t="inlineStr">
        <is>
          <t>Thailand</t>
        </is>
      </c>
      <c r="F2281" s="9" t="n">
        <v>4</v>
      </c>
      <c r="G2281" s="9" t="n">
        <v>4</v>
      </c>
      <c r="H2281" s="9" t="n">
        <v>2</v>
      </c>
      <c r="I2281" s="10" t="n">
        <v>44967</v>
      </c>
      <c r="J2281" s="10" t="n">
        <v>45102</v>
      </c>
      <c r="K2281" s="9" t="n">
        <v>13.7528</v>
      </c>
      <c r="L2281" s="9" t="n">
        <v>100.54635</v>
      </c>
      <c r="M2281" s="9" t="inlineStr">
        <is>
          <t>https://www.google.com/maps/place/?q=place_id:ChIJj-lsWEWe4jARbS6k7VeQuR0</t>
        </is>
      </c>
    </row>
    <row r="2282">
      <c r="A2282" s="9" t="n">
        <v>2278</v>
      </c>
      <c r="B2282" s="9" t="inlineStr">
        <is>
          <t>Makkasan</t>
        </is>
      </c>
      <c r="C2282" s="9" t="inlineStr">
        <is>
          <t>Bangkok</t>
        </is>
      </c>
      <c r="D2282" s="9" t="inlineStr">
        <is>
          <t>Bangkok</t>
        </is>
      </c>
      <c r="E2282" s="9" t="inlineStr">
        <is>
          <t>Thailand</t>
        </is>
      </c>
      <c r="F2282" s="9" t="n">
        <v>2</v>
      </c>
      <c r="G2282" s="9" t="n">
        <v>3</v>
      </c>
      <c r="H2282" s="9" t="n">
        <v>1</v>
      </c>
      <c r="I2282" s="10" t="n">
        <v>45102</v>
      </c>
      <c r="J2282" s="10" t="n">
        <v>45104</v>
      </c>
      <c r="K2282" s="9" t="n">
        <v>13.74702</v>
      </c>
      <c r="L2282" s="9" t="n">
        <v>100.57026</v>
      </c>
      <c r="M2282" s="9" t="inlineStr">
        <is>
          <t>https://www.google.com/maps/place/?q=place_id:ChIJlX1_Jfee4jARxq7eqdDLgPU</t>
        </is>
      </c>
    </row>
    <row r="2283">
      <c r="A2283" s="9" t="n">
        <v>2279</v>
      </c>
      <c r="B2283" s="9" t="inlineStr">
        <is>
          <t>Makkasan</t>
        </is>
      </c>
      <c r="C2283" s="9" t="inlineStr">
        <is>
          <t>Bangkok</t>
        </is>
      </c>
      <c r="D2283" s="9" t="inlineStr">
        <is>
          <t>Bangkok</t>
        </is>
      </c>
      <c r="E2283" s="9" t="inlineStr">
        <is>
          <t>Thailand</t>
        </is>
      </c>
      <c r="F2283" s="9" t="n">
        <v>2</v>
      </c>
      <c r="G2283" s="9" t="n">
        <v>2</v>
      </c>
      <c r="H2283" s="9" t="n">
        <v>1</v>
      </c>
      <c r="I2283" s="10" t="n">
        <v>45103</v>
      </c>
      <c r="J2283" s="10" t="n">
        <v>45104</v>
      </c>
      <c r="K2283" s="9" t="n">
        <v>13.75502</v>
      </c>
      <c r="L2283" s="9" t="n">
        <v>100.54212</v>
      </c>
      <c r="M2283" s="9" t="inlineStr">
        <is>
          <t>https://www.google.com/maps/place/?q=place_id:ChIJeVg_xMee4jARA91swcj_6fY</t>
        </is>
      </c>
    </row>
    <row r="2284">
      <c r="A2284" s="9" t="n">
        <v>2280</v>
      </c>
      <c r="B2284" s="9" t="inlineStr">
        <is>
          <t>Makkasan</t>
        </is>
      </c>
      <c r="C2284" s="9" t="inlineStr">
        <is>
          <t>Bangkok</t>
        </is>
      </c>
      <c r="D2284" s="9" t="inlineStr">
        <is>
          <t>Bangkok</t>
        </is>
      </c>
      <c r="E2284" s="9" t="inlineStr">
        <is>
          <t>Thailand</t>
        </is>
      </c>
      <c r="F2284" s="9" t="n">
        <v>2</v>
      </c>
      <c r="G2284" s="9" t="n">
        <v>1</v>
      </c>
      <c r="H2284" s="9" t="n">
        <v>1</v>
      </c>
      <c r="I2284" s="10" t="n">
        <v>45103</v>
      </c>
      <c r="J2284" s="10" t="n">
        <v>45103</v>
      </c>
      <c r="K2284" s="9" t="n">
        <v>13.74653</v>
      </c>
      <c r="L2284" s="9" t="n">
        <v>100.53915</v>
      </c>
      <c r="M2284" s="9" t="inlineStr">
        <is>
          <t>https://www.google.com/maps/place/?q=place_id:ChIJ4VX0ws-e4jARBGaQ2IACrcQ</t>
        </is>
      </c>
    </row>
    <row r="2285">
      <c r="A2285" s="9" t="n">
        <v>2281</v>
      </c>
      <c r="B2285" s="9" t="inlineStr">
        <is>
          <t>Makkasan</t>
        </is>
      </c>
      <c r="C2285" s="9" t="inlineStr">
        <is>
          <t>Bangkok</t>
        </is>
      </c>
      <c r="D2285" s="9" t="inlineStr">
        <is>
          <t>Bangkok</t>
        </is>
      </c>
      <c r="E2285" s="9" t="inlineStr">
        <is>
          <t>Thailand</t>
        </is>
      </c>
      <c r="F2285" s="9" t="n">
        <v>1</v>
      </c>
      <c r="G2285" s="9" t="n">
        <v>1</v>
      </c>
      <c r="H2285" s="9" t="n">
        <v>1</v>
      </c>
      <c r="I2285" s="10" t="n">
        <v>44964</v>
      </c>
      <c r="J2285" s="10" t="n">
        <v>44964</v>
      </c>
      <c r="K2285" s="9" t="n">
        <v>13.75319</v>
      </c>
      <c r="L2285" s="9" t="n">
        <v>100.54437</v>
      </c>
      <c r="M2285" s="9" t="inlineStr">
        <is>
          <t>https://www.google.com/maps/place/?q=place_id:ChIJ66U5SCmf4jARzVOs1NFqR5s</t>
        </is>
      </c>
    </row>
    <row r="2286">
      <c r="A2286" s="9" t="n">
        <v>2282</v>
      </c>
      <c r="B2286" s="9" t="inlineStr">
        <is>
          <t>Bangkok</t>
        </is>
      </c>
      <c r="C2286" s="9" t="inlineStr">
        <is>
          <t>Bangkok</t>
        </is>
      </c>
      <c r="D2286" s="9" t="inlineStr">
        <is>
          <t>Bangkok</t>
        </is>
      </c>
      <c r="E2286" s="9" t="inlineStr">
        <is>
          <t>Thailand</t>
        </is>
      </c>
      <c r="F2286" s="9" t="n">
        <v>1</v>
      </c>
      <c r="G2286" s="9" t="n">
        <v>1</v>
      </c>
      <c r="H2286" s="9" t="n">
        <v>1</v>
      </c>
      <c r="I2286" s="10" t="n">
        <v>44964</v>
      </c>
      <c r="J2286" s="10" t="n">
        <v>44964</v>
      </c>
      <c r="K2286" s="9" t="n">
        <v>13.73771</v>
      </c>
      <c r="L2286" s="9" t="n">
        <v>100.51345</v>
      </c>
      <c r="M2286" s="9" t="inlineStr">
        <is>
          <t>https://www.google.com/maps/place/?q=place_id:ChIJWaoiBdmY4jAReVIX1maq_-I</t>
        </is>
      </c>
    </row>
    <row r="2287">
      <c r="A2287" s="9" t="n">
        <v>2283</v>
      </c>
      <c r="B2287" s="9" t="inlineStr">
        <is>
          <t>Bangkok</t>
        </is>
      </c>
      <c r="C2287" s="9" t="inlineStr">
        <is>
          <t>Bangkok</t>
        </is>
      </c>
      <c r="D2287" s="9" t="inlineStr">
        <is>
          <t>Bangkok</t>
        </is>
      </c>
      <c r="E2287" s="9" t="inlineStr">
        <is>
          <t>Thailand</t>
        </is>
      </c>
      <c r="F2287" s="9" t="n">
        <v>1</v>
      </c>
      <c r="G2287" s="9" t="n">
        <v>1</v>
      </c>
      <c r="H2287" s="9" t="n">
        <v>1</v>
      </c>
      <c r="I2287" s="10" t="n">
        <v>44964</v>
      </c>
      <c r="J2287" s="10" t="n">
        <v>44964</v>
      </c>
      <c r="K2287" s="9" t="n">
        <v>13.74661</v>
      </c>
      <c r="L2287" s="9" t="n">
        <v>100.49312</v>
      </c>
      <c r="M2287" s="9" t="inlineStr">
        <is>
          <t>https://www.google.com/maps/place/?q=place_id:ChIJgcxFcQWZ4jARLsIR9Qia9H0</t>
        </is>
      </c>
    </row>
    <row r="2288">
      <c r="A2288" s="9" t="n">
        <v>2284</v>
      </c>
      <c r="B2288" s="9" t="inlineStr">
        <is>
          <t>Bangkok</t>
        </is>
      </c>
      <c r="C2288" s="9" t="inlineStr">
        <is>
          <t>Bangkok</t>
        </is>
      </c>
      <c r="D2288" s="9" t="inlineStr">
        <is>
          <t>Bangkok</t>
        </is>
      </c>
      <c r="E2288" s="9" t="inlineStr">
        <is>
          <t>Thailand</t>
        </is>
      </c>
      <c r="F2288" s="9" t="n">
        <v>1</v>
      </c>
      <c r="G2288" s="9" t="n">
        <v>1</v>
      </c>
      <c r="H2288" s="9" t="n">
        <v>1</v>
      </c>
      <c r="I2288" s="10" t="n">
        <v>44964</v>
      </c>
      <c r="J2288" s="10" t="n">
        <v>44964</v>
      </c>
      <c r="K2288" s="9" t="n">
        <v>13.72978</v>
      </c>
      <c r="L2288" s="9" t="n">
        <v>100.49755</v>
      </c>
      <c r="M2288" s="9" t="inlineStr">
        <is>
          <t>https://www.google.com/maps/place/?q=place_id:ChIJFxkLmeSY4jARQHWps6kmhRU</t>
        </is>
      </c>
    </row>
    <row r="2289">
      <c r="A2289" s="9" t="n">
        <v>2285</v>
      </c>
      <c r="B2289" s="9" t="inlineStr">
        <is>
          <t>Makkasan</t>
        </is>
      </c>
      <c r="C2289" s="9" t="inlineStr">
        <is>
          <t>Bangkok</t>
        </is>
      </c>
      <c r="D2289" s="9" t="inlineStr">
        <is>
          <t>Bangkok</t>
        </is>
      </c>
      <c r="E2289" s="9" t="inlineStr">
        <is>
          <t>Thailand</t>
        </is>
      </c>
      <c r="F2289" s="9" t="n">
        <v>1</v>
      </c>
      <c r="G2289" s="9" t="n">
        <v>1</v>
      </c>
      <c r="H2289" s="9" t="n">
        <v>1</v>
      </c>
      <c r="I2289" s="10" t="n">
        <v>44967</v>
      </c>
      <c r="J2289" s="10" t="n">
        <v>44967</v>
      </c>
      <c r="K2289" s="9" t="n">
        <v>13.75323</v>
      </c>
      <c r="L2289" s="9" t="n">
        <v>100.5442</v>
      </c>
      <c r="M2289" s="9" t="inlineStr">
        <is>
          <t>https://www.google.com/maps/place/?q=place_id:ChIJ7ww37sae4jARjQUnM9yRa90</t>
        </is>
      </c>
    </row>
    <row r="2290">
      <c r="A2290" s="9" t="n">
        <v>2286</v>
      </c>
      <c r="B2290" s="9" t="inlineStr">
        <is>
          <t>Makkasan</t>
        </is>
      </c>
      <c r="C2290" s="9" t="inlineStr">
        <is>
          <t>Bangkok</t>
        </is>
      </c>
      <c r="D2290" s="9" t="inlineStr">
        <is>
          <t>Bangkok</t>
        </is>
      </c>
      <c r="E2290" s="9" t="inlineStr">
        <is>
          <t>Thailand</t>
        </is>
      </c>
      <c r="F2290" s="9" t="n">
        <v>1</v>
      </c>
      <c r="G2290" s="9" t="n">
        <v>1</v>
      </c>
      <c r="H2290" s="9" t="n">
        <v>1</v>
      </c>
      <c r="I2290" s="10" t="n">
        <v>44967</v>
      </c>
      <c r="J2290" s="10" t="n">
        <v>44967</v>
      </c>
      <c r="K2290" s="9" t="n">
        <v>13.75426</v>
      </c>
      <c r="L2290" s="9" t="n">
        <v>100.54039</v>
      </c>
      <c r="M2290" s="9" t="inlineStr">
        <is>
          <t>https://www.google.com/maps/place/?q=place_id:ChIJLxrEcMie4jARb4KfjpcicvA</t>
        </is>
      </c>
    </row>
    <row r="2291">
      <c r="A2291" s="9" t="n">
        <v>2287</v>
      </c>
      <c r="B2291" s="9" t="inlineStr">
        <is>
          <t>Bangkok</t>
        </is>
      </c>
      <c r="C2291" s="9" t="inlineStr">
        <is>
          <t>Bangkok</t>
        </is>
      </c>
      <c r="D2291" s="9" t="inlineStr">
        <is>
          <t>Bangkok</t>
        </is>
      </c>
      <c r="E2291" s="9" t="inlineStr">
        <is>
          <t>Thailand</t>
        </is>
      </c>
      <c r="F2291" s="9" t="n">
        <v>1</v>
      </c>
      <c r="G2291" s="9" t="n">
        <v>1</v>
      </c>
      <c r="H2291" s="9" t="n">
        <v>1</v>
      </c>
      <c r="I2291" s="10" t="n">
        <v>44968</v>
      </c>
      <c r="J2291" s="10" t="n">
        <v>44968</v>
      </c>
      <c r="K2291" s="9" t="n">
        <v>13.74422</v>
      </c>
      <c r="L2291" s="9" t="n">
        <v>100.48857</v>
      </c>
      <c r="M2291" s="9" t="inlineStr">
        <is>
          <t>https://www.google.com/maps/place/?q=place_id:ChIJaSv_6gaZ4jARnbiUVn6Z_YY</t>
        </is>
      </c>
    </row>
    <row r="2292">
      <c r="A2292" s="9" t="n">
        <v>2288</v>
      </c>
      <c r="B2292" s="9" t="inlineStr">
        <is>
          <t>Don Mueang City</t>
        </is>
      </c>
      <c r="C2292" s="9" t="inlineStr">
        <is>
          <t>Bangkok</t>
        </is>
      </c>
      <c r="D2292" s="9" t="inlineStr">
        <is>
          <t>Bangkok</t>
        </is>
      </c>
      <c r="E2292" s="9" t="inlineStr">
        <is>
          <t>Thailand</t>
        </is>
      </c>
      <c r="F2292" s="9" t="n">
        <v>1</v>
      </c>
      <c r="G2292" s="9" t="n">
        <v>1</v>
      </c>
      <c r="H2292" s="9" t="n">
        <v>1</v>
      </c>
      <c r="I2292" s="10" t="n">
        <v>44968</v>
      </c>
      <c r="J2292" s="10" t="n">
        <v>44968</v>
      </c>
      <c r="K2292" s="9" t="n">
        <v>13.86549</v>
      </c>
      <c r="L2292" s="9" t="n">
        <v>100.70301</v>
      </c>
      <c r="M2292" s="9" t="inlineStr">
        <is>
          <t>https://www.google.com/maps/place/?q=place_id:ChIJc50ygA1jHTERbHsyFbmUFV0</t>
        </is>
      </c>
    </row>
    <row r="2293">
      <c r="A2293" s="9" t="n">
        <v>2289</v>
      </c>
      <c r="B2293" s="9" t="inlineStr">
        <is>
          <t>Bangkok</t>
        </is>
      </c>
      <c r="C2293" s="9" t="inlineStr">
        <is>
          <t>Bangkok</t>
        </is>
      </c>
      <c r="D2293" s="9" t="inlineStr">
        <is>
          <t>Bangkok</t>
        </is>
      </c>
      <c r="E2293" s="9" t="inlineStr">
        <is>
          <t>Thailand</t>
        </is>
      </c>
      <c r="F2293" s="9" t="n">
        <v>1</v>
      </c>
      <c r="G2293" s="9" t="n">
        <v>1</v>
      </c>
      <c r="H2293" s="9" t="n">
        <v>1</v>
      </c>
      <c r="I2293" s="10" t="n">
        <v>45102</v>
      </c>
      <c r="J2293" s="10" t="n">
        <v>45102</v>
      </c>
      <c r="K2293" s="9" t="n">
        <v>13.74986</v>
      </c>
      <c r="L2293" s="9" t="n">
        <v>100.49158</v>
      </c>
      <c r="M2293" s="9" t="inlineStr">
        <is>
          <t>https://www.google.com/maps/place/?q=place_id:ChIJPzZsMU6Z4jARQUzvk913bCo</t>
        </is>
      </c>
    </row>
    <row r="2294">
      <c r="A2294" s="9" t="n">
        <v>2290</v>
      </c>
      <c r="B2294" s="9" t="inlineStr">
        <is>
          <t>Bangkok</t>
        </is>
      </c>
      <c r="C2294" s="9" t="inlineStr">
        <is>
          <t>Bangkok</t>
        </is>
      </c>
      <c r="D2294" s="9" t="inlineStr">
        <is>
          <t>Bangkok</t>
        </is>
      </c>
      <c r="E2294" s="9" t="inlineStr">
        <is>
          <t>Thailand</t>
        </is>
      </c>
      <c r="F2294" s="9" t="n">
        <v>1</v>
      </c>
      <c r="G2294" s="9" t="n">
        <v>1</v>
      </c>
      <c r="H2294" s="9" t="n">
        <v>1</v>
      </c>
      <c r="I2294" s="10" t="n">
        <v>45102</v>
      </c>
      <c r="J2294" s="10" t="n">
        <v>45102</v>
      </c>
      <c r="K2294" s="9" t="n">
        <v>13.74602</v>
      </c>
      <c r="L2294" s="9" t="n">
        <v>100.49087</v>
      </c>
      <c r="M2294" s="9" t="inlineStr">
        <is>
          <t>https://www.google.com/maps/place/?q=place_id:ChIJ1U9YwwWZ4jARAbVYcDWp8fs</t>
        </is>
      </c>
    </row>
    <row r="2295">
      <c r="A2295" s="9" t="n">
        <v>2291</v>
      </c>
      <c r="B2295" s="9" t="inlineStr">
        <is>
          <t>Bangkok</t>
        </is>
      </c>
      <c r="C2295" s="9" t="inlineStr">
        <is>
          <t>Bangkok</t>
        </is>
      </c>
      <c r="D2295" s="9" t="inlineStr">
        <is>
          <t>Bangkok</t>
        </is>
      </c>
      <c r="E2295" s="9" t="inlineStr">
        <is>
          <t>Thailand</t>
        </is>
      </c>
      <c r="F2295" s="9" t="n">
        <v>1</v>
      </c>
      <c r="G2295" s="9" t="n">
        <v>1</v>
      </c>
      <c r="H2295" s="9" t="n">
        <v>1</v>
      </c>
      <c r="I2295" s="10" t="n">
        <v>45103</v>
      </c>
      <c r="J2295" s="10" t="n">
        <v>45103</v>
      </c>
      <c r="K2295" s="9" t="n">
        <v>13.73783</v>
      </c>
      <c r="L2295" s="9" t="n">
        <v>100.51261</v>
      </c>
      <c r="M2295" s="9" t="inlineStr">
        <is>
          <t>https://www.google.com/maps/place/?q=place_id:ChIJ-R5LACMwEBERrA0iBplnhSQ</t>
        </is>
      </c>
    </row>
    <row r="2296">
      <c r="A2296" s="9" t="n">
        <v>2292</v>
      </c>
      <c r="B2296" s="9" t="inlineStr">
        <is>
          <t>Makkasan</t>
        </is>
      </c>
      <c r="C2296" s="9" t="inlineStr">
        <is>
          <t>Bangkok</t>
        </is>
      </c>
      <c r="D2296" s="9" t="inlineStr">
        <is>
          <t>Bangkok</t>
        </is>
      </c>
      <c r="E2296" s="9" t="inlineStr">
        <is>
          <t>Thailand</t>
        </is>
      </c>
      <c r="F2296" s="9" t="n">
        <v>1</v>
      </c>
      <c r="G2296" s="9" t="n">
        <v>1</v>
      </c>
      <c r="H2296" s="9" t="n">
        <v>1</v>
      </c>
      <c r="I2296" s="10" t="n">
        <v>45103</v>
      </c>
      <c r="J2296" s="10" t="n">
        <v>45103</v>
      </c>
      <c r="K2296" s="9" t="n">
        <v>13.74992</v>
      </c>
      <c r="L2296" s="9" t="n">
        <v>100.53969</v>
      </c>
      <c r="M2296" s="9" t="inlineStr">
        <is>
          <t>https://www.google.com/maps/place/?q=place_id:ChIJy2Zuas-e4jARIZfpm8_8Hxw</t>
        </is>
      </c>
    </row>
    <row r="2297">
      <c r="A2297" s="9" t="n">
        <v>2293</v>
      </c>
      <c r="B2297" s="9" t="inlineStr">
        <is>
          <t>Makkasan</t>
        </is>
      </c>
      <c r="C2297" s="9" t="inlineStr">
        <is>
          <t>Bangkok</t>
        </is>
      </c>
      <c r="D2297" s="9" t="inlineStr">
        <is>
          <t>Bangkok</t>
        </is>
      </c>
      <c r="E2297" s="9" t="inlineStr">
        <is>
          <t>Thailand</t>
        </is>
      </c>
      <c r="F2297" s="9" t="n">
        <v>1</v>
      </c>
      <c r="G2297" s="9" t="n">
        <v>1</v>
      </c>
      <c r="H2297" s="9" t="n">
        <v>1</v>
      </c>
      <c r="I2297" s="10" t="n">
        <v>45104</v>
      </c>
      <c r="J2297" s="10" t="n">
        <v>45104</v>
      </c>
      <c r="K2297" s="9" t="n">
        <v>13.75208</v>
      </c>
      <c r="L2297" s="9" t="n">
        <v>100.54612</v>
      </c>
      <c r="M2297" s="9" t="inlineStr">
        <is>
          <t>https://www.google.com/maps/place/?q=place_id:ChIJFWBitcae4jARKPj7LWAY2do</t>
        </is>
      </c>
    </row>
    <row r="2298">
      <c r="A2298" s="9" t="n">
        <v>2294</v>
      </c>
      <c r="B2298" s="9" t="inlineStr">
        <is>
          <t>Chachoengsao</t>
        </is>
      </c>
      <c r="C2298" s="9" t="inlineStr">
        <is>
          <t>Chachoengsao</t>
        </is>
      </c>
      <c r="D2298" s="9" t="inlineStr">
        <is>
          <t>Chachoengsao</t>
        </is>
      </c>
      <c r="E2298" s="9" t="inlineStr">
        <is>
          <t>Thailand</t>
        </is>
      </c>
      <c r="F2298" s="9" t="n">
        <v>1</v>
      </c>
      <c r="G2298" s="9" t="n">
        <v>1</v>
      </c>
      <c r="H2298" s="9" t="n">
        <v>1</v>
      </c>
      <c r="I2298" s="10" t="n">
        <v>44967</v>
      </c>
      <c r="J2298" s="10" t="n">
        <v>44967</v>
      </c>
      <c r="K2298" s="9" t="n">
        <v>13.70178</v>
      </c>
      <c r="L2298" s="9" t="n">
        <v>101.14045</v>
      </c>
      <c r="M2298" s="9" t="inlineStr">
        <is>
          <t>https://www.google.com/maps/place/?q=place_id:ChIJscSqy5gXHTERYtT8AoCwH9c</t>
        </is>
      </c>
    </row>
    <row r="2299">
      <c r="A2299" s="9" t="n">
        <v>2295</v>
      </c>
      <c r="B2299" s="9" t="inlineStr">
        <is>
          <t>Chachoengsao</t>
        </is>
      </c>
      <c r="C2299" s="9" t="inlineStr">
        <is>
          <t>Chachoengsao</t>
        </is>
      </c>
      <c r="D2299" s="9" t="inlineStr">
        <is>
          <t>Chachoengsao</t>
        </is>
      </c>
      <c r="E2299" s="9" t="inlineStr">
        <is>
          <t>Thailand</t>
        </is>
      </c>
      <c r="F2299" s="9" t="n">
        <v>1</v>
      </c>
      <c r="G2299" s="9" t="n">
        <v>1</v>
      </c>
      <c r="H2299" s="9" t="n">
        <v>1</v>
      </c>
      <c r="I2299" s="10" t="n">
        <v>45103</v>
      </c>
      <c r="J2299" s="10" t="n">
        <v>45103</v>
      </c>
      <c r="K2299" s="9" t="n">
        <v>13.70188</v>
      </c>
      <c r="L2299" s="9" t="n">
        <v>101.14152</v>
      </c>
      <c r="M2299" s="9" t="inlineStr">
        <is>
          <t>https://www.google.com/maps/place/?q=place_id:ChIJlfv__4gWHTER83PBWqY6KII</t>
        </is>
      </c>
    </row>
    <row r="2300">
      <c r="A2300" s="9" t="n">
        <v>2296</v>
      </c>
      <c r="B2300" s="9" t="inlineStr">
        <is>
          <t>Arnavutkoy</t>
        </is>
      </c>
      <c r="C2300" s="9" t="inlineStr">
        <is>
          <t>Bagcılar</t>
        </is>
      </c>
      <c r="D2300" s="9" t="inlineStr">
        <is>
          <t>Istanbul</t>
        </is>
      </c>
      <c r="E2300" s="9" t="inlineStr">
        <is>
          <t>Turkey</t>
        </is>
      </c>
      <c r="F2300" s="9" t="n">
        <v>1</v>
      </c>
      <c r="G2300" s="9" t="n">
        <v>1</v>
      </c>
      <c r="H2300" s="9" t="n">
        <v>1</v>
      </c>
      <c r="I2300" s="10" t="n">
        <v>45929</v>
      </c>
      <c r="J2300" s="10" t="n">
        <v>45929</v>
      </c>
      <c r="K2300" s="9" t="n">
        <v>41.26231</v>
      </c>
      <c r="L2300" s="9" t="n">
        <v>28.74326</v>
      </c>
      <c r="M2300" s="9" t="inlineStr">
        <is>
          <t>https://www.google.com/maps/place/?q=place_id:ChIJz38S2Cv_n0ARw7TevfLwP5E</t>
        </is>
      </c>
    </row>
    <row r="2301">
      <c r="A2301" s="9" t="n">
        <v>2297</v>
      </c>
      <c r="B2301" s="9" t="inlineStr">
        <is>
          <t>Arnavutkoy</t>
        </is>
      </c>
      <c r="C2301" s="9" t="inlineStr">
        <is>
          <t>Bagcılar</t>
        </is>
      </c>
      <c r="D2301" s="9" t="inlineStr">
        <is>
          <t>Istanbul</t>
        </is>
      </c>
      <c r="E2301" s="9" t="inlineStr">
        <is>
          <t>Turkey</t>
        </is>
      </c>
      <c r="F2301" s="9" t="n">
        <v>1</v>
      </c>
      <c r="G2301" s="9" t="n">
        <v>1</v>
      </c>
      <c r="H2301" s="9" t="n">
        <v>1</v>
      </c>
      <c r="I2301" s="10" t="n">
        <v>45929</v>
      </c>
      <c r="J2301" s="10" t="n">
        <v>45929</v>
      </c>
      <c r="K2301" s="9" t="n">
        <v>41.26148</v>
      </c>
      <c r="L2301" s="9" t="n">
        <v>28.739</v>
      </c>
      <c r="M2301" s="9" t="inlineStr">
        <is>
          <t>https://www.google.com/maps/place/?q=place_id:ChIJd6NyueL_n0AR3Ad4w-tK4Kw</t>
        </is>
      </c>
    </row>
    <row r="2302">
      <c r="A2302" s="9" t="n">
        <v>2298</v>
      </c>
      <c r="B2302" s="9" t="inlineStr">
        <is>
          <t>Sultanbeyli</t>
        </is>
      </c>
      <c r="C2302" s="9" t="inlineStr">
        <is>
          <t>Umraniye</t>
        </is>
      </c>
      <c r="D2302" s="9" t="inlineStr">
        <is>
          <t>Istanbul</t>
        </is>
      </c>
      <c r="E2302" s="9" t="inlineStr">
        <is>
          <t>Turkey</t>
        </is>
      </c>
      <c r="F2302" s="9" t="n">
        <v>1</v>
      </c>
      <c r="G2302" s="9" t="n">
        <v>2</v>
      </c>
      <c r="H2302" s="9" t="n">
        <v>1</v>
      </c>
      <c r="I2302" s="10" t="n">
        <v>45504</v>
      </c>
      <c r="J2302" s="10" t="n">
        <v>45505</v>
      </c>
      <c r="K2302" s="9" t="n">
        <v>40.90852</v>
      </c>
      <c r="L2302" s="9" t="n">
        <v>29.31517</v>
      </c>
      <c r="M2302" s="9" t="inlineStr">
        <is>
          <t>https://www.google.com/maps/place/?q=place_id:ChIJU6Ek9MvbyhQRdNqYgE3K76w</t>
        </is>
      </c>
    </row>
    <row r="2303">
      <c r="A2303" s="9" t="n">
        <v>2299</v>
      </c>
      <c r="B2303" s="9" t="inlineStr">
        <is>
          <t>Masdar City</t>
        </is>
      </c>
      <c r="C2303" s="9" t="inlineStr">
        <is>
          <t>Abu Dhabi</t>
        </is>
      </c>
      <c r="D2303" s="9" t="inlineStr">
        <is>
          <t>Abu Dhabi</t>
        </is>
      </c>
      <c r="E2303" s="9" t="inlineStr">
        <is>
          <t>United Arab Emirates</t>
        </is>
      </c>
      <c r="F2303" s="9" t="n">
        <v>1</v>
      </c>
      <c r="G2303" s="9" t="n">
        <v>1</v>
      </c>
      <c r="H2303" s="9" t="n">
        <v>1</v>
      </c>
      <c r="I2303" s="10" t="n">
        <v>45507</v>
      </c>
      <c r="J2303" s="10" t="n">
        <v>45507</v>
      </c>
      <c r="K2303" s="9" t="n">
        <v>24.48762</v>
      </c>
      <c r="L2303" s="9" t="n">
        <v>54.59965</v>
      </c>
      <c r="M2303" s="9" t="inlineStr">
        <is>
          <t>https://www.google.com/maps/place/?q=place_id:ChIJRailznpFXj4R2QA9cYTb0xI</t>
        </is>
      </c>
    </row>
    <row r="2304">
      <c r="A2304" s="9" t="n">
        <v>2300</v>
      </c>
      <c r="B2304" s="9" t="inlineStr">
        <is>
          <t>Masdar City</t>
        </is>
      </c>
      <c r="C2304" s="9" t="inlineStr">
        <is>
          <t>Abu Dhabi</t>
        </is>
      </c>
      <c r="D2304" s="9" t="inlineStr">
        <is>
          <t>Abu Dhabi</t>
        </is>
      </c>
      <c r="E2304" s="9" t="inlineStr">
        <is>
          <t>United Arab Emirates</t>
        </is>
      </c>
      <c r="F2304" s="9" t="n">
        <v>1</v>
      </c>
      <c r="G2304" s="9" t="n">
        <v>1</v>
      </c>
      <c r="H2304" s="9" t="n">
        <v>1</v>
      </c>
      <c r="I2304" s="10" t="n">
        <v>45507</v>
      </c>
      <c r="J2304" s="10" t="n">
        <v>45507</v>
      </c>
      <c r="K2304" s="9" t="n">
        <v>24.49093</v>
      </c>
      <c r="L2304" s="9" t="n">
        <v>54.59924</v>
      </c>
      <c r="M2304" s="9" t="inlineStr">
        <is>
          <t>https://www.google.com/maps/place/?q=place_id:ChIJpwKJI2lFXj4RuTP78zIkP1o</t>
        </is>
      </c>
    </row>
    <row r="2305">
      <c r="A2305" s="9" t="n">
        <v>2301</v>
      </c>
      <c r="B2305" s="9" t="inlineStr">
        <is>
          <t>Masdar City</t>
        </is>
      </c>
      <c r="C2305" s="9" t="inlineStr">
        <is>
          <t>Masdar City</t>
        </is>
      </c>
      <c r="D2305" s="9" t="inlineStr">
        <is>
          <t>Abu Dhabi</t>
        </is>
      </c>
      <c r="E2305" s="9" t="inlineStr">
        <is>
          <t>United Arab Emirates</t>
        </is>
      </c>
      <c r="F2305" s="9" t="n">
        <v>1</v>
      </c>
      <c r="G2305" s="9" t="n">
        <v>1</v>
      </c>
      <c r="H2305" s="9" t="n">
        <v>1</v>
      </c>
      <c r="I2305" s="10" t="n">
        <v>45507</v>
      </c>
      <c r="J2305" s="10" t="n">
        <v>45507</v>
      </c>
      <c r="K2305" s="9" t="n">
        <v>24.61607</v>
      </c>
      <c r="L2305" s="9" t="n">
        <v>54.73137</v>
      </c>
      <c r="M2305" s="9" t="inlineStr">
        <is>
          <t>https://www.google.com/maps/place/?q=place_id:ChIJ0VxvRjxTXj4Rm3GPgSFa7kU</t>
        </is>
      </c>
    </row>
    <row r="2306">
      <c r="A2306" s="9" t="n">
        <v>2302</v>
      </c>
      <c r="B2306" s="9" t="inlineStr">
        <is>
          <t>Dubai International Financial Centre</t>
        </is>
      </c>
      <c r="C2306" s="9" t="inlineStr">
        <is>
          <t>Dubai</t>
        </is>
      </c>
      <c r="D2306" s="9" t="inlineStr">
        <is>
          <t>Dubai</t>
        </is>
      </c>
      <c r="E2306" s="9" t="inlineStr">
        <is>
          <t>United Arab Emirates</t>
        </is>
      </c>
      <c r="F2306" s="9" t="n">
        <v>4</v>
      </c>
      <c r="G2306" s="9" t="n">
        <v>4</v>
      </c>
      <c r="H2306" s="9" t="n">
        <v>1</v>
      </c>
      <c r="I2306" s="10" t="n">
        <v>45505</v>
      </c>
      <c r="J2306" s="10" t="n">
        <v>45508</v>
      </c>
      <c r="K2306" s="9" t="n">
        <v>25.21242</v>
      </c>
      <c r="L2306" s="9" t="n">
        <v>55.27698</v>
      </c>
      <c r="M2306" s="9" t="inlineStr">
        <is>
          <t>https://www.google.com/maps/place/?q=place_id:ChIJWZVWoI5CXz4RnBlaz1gMeH4</t>
        </is>
      </c>
    </row>
    <row r="2307">
      <c r="A2307" s="9" t="n">
        <v>2303</v>
      </c>
      <c r="B2307" s="9" t="inlineStr">
        <is>
          <t>As Satwah</t>
        </is>
      </c>
      <c r="C2307" s="9" t="inlineStr">
        <is>
          <t>Dubai</t>
        </is>
      </c>
      <c r="D2307" s="9" t="inlineStr">
        <is>
          <t>Dubai</t>
        </is>
      </c>
      <c r="E2307" s="9" t="inlineStr">
        <is>
          <t>United Arab Emirates</t>
        </is>
      </c>
      <c r="F2307" s="9" t="n">
        <v>1</v>
      </c>
      <c r="G2307" s="9" t="n">
        <v>1</v>
      </c>
      <c r="H2307" s="9" t="n">
        <v>1</v>
      </c>
      <c r="I2307" s="10" t="n">
        <v>45506</v>
      </c>
      <c r="J2307" s="10" t="n">
        <v>45506</v>
      </c>
      <c r="K2307" s="9" t="n">
        <v>25.2192</v>
      </c>
      <c r="L2307" s="9" t="n">
        <v>55.28193</v>
      </c>
      <c r="M2307" s="9" t="inlineStr">
        <is>
          <t>https://www.google.com/maps/place/?q=place_id:ChIJqU_DoUtDXz4RxC8gnP8G_Ss</t>
        </is>
      </c>
    </row>
    <row r="2308">
      <c r="A2308" s="9" t="n">
        <v>2304</v>
      </c>
      <c r="B2308" s="9" t="inlineStr">
        <is>
          <t>Business Bay</t>
        </is>
      </c>
      <c r="C2308" s="9" t="inlineStr">
        <is>
          <t>Dubai</t>
        </is>
      </c>
      <c r="D2308" s="9" t="inlineStr">
        <is>
          <t>Dubai</t>
        </is>
      </c>
      <c r="E2308" s="9" t="inlineStr">
        <is>
          <t>United Arab Emirates</t>
        </is>
      </c>
      <c r="F2308" s="9" t="n">
        <v>1</v>
      </c>
      <c r="G2308" s="9" t="n">
        <v>1</v>
      </c>
      <c r="H2308" s="9" t="n">
        <v>1</v>
      </c>
      <c r="I2308" s="10" t="n">
        <v>45506</v>
      </c>
      <c r="J2308" s="10" t="n">
        <v>45506</v>
      </c>
      <c r="K2308" s="9" t="n">
        <v>25.1972</v>
      </c>
      <c r="L2308" s="9" t="n">
        <v>55.27438</v>
      </c>
      <c r="M2308" s="9" t="inlineStr">
        <is>
          <t>https://www.google.com/maps/place/?q=place_id:ChIJS-JnijRDXz4R4rfO4QLlRf8</t>
        </is>
      </c>
    </row>
    <row r="2309">
      <c r="A2309" s="9" t="n">
        <v>2305</v>
      </c>
      <c r="B2309" s="9" t="inlineStr">
        <is>
          <t>Dubai International Financial Centre</t>
        </is>
      </c>
      <c r="C2309" s="9" t="inlineStr">
        <is>
          <t>Dubai</t>
        </is>
      </c>
      <c r="D2309" s="9" t="inlineStr">
        <is>
          <t>Dubai</t>
        </is>
      </c>
      <c r="E2309" s="9" t="inlineStr">
        <is>
          <t>United Arab Emirates</t>
        </is>
      </c>
      <c r="F2309" s="9" t="n">
        <v>1</v>
      </c>
      <c r="G2309" s="9" t="n">
        <v>1</v>
      </c>
      <c r="H2309" s="9" t="n">
        <v>1</v>
      </c>
      <c r="I2309" s="10" t="n">
        <v>45506</v>
      </c>
      <c r="J2309" s="10" t="n">
        <v>45506</v>
      </c>
      <c r="K2309" s="9" t="n">
        <v>25.19723</v>
      </c>
      <c r="L2309" s="9" t="n">
        <v>55.27975</v>
      </c>
      <c r="M2309" s="9" t="inlineStr">
        <is>
          <t>https://www.google.com/maps/place/?q=place_id:ChIJB1zIKShoXz4RnbaTPPup7aU</t>
        </is>
      </c>
    </row>
    <row r="2310">
      <c r="A2310" s="9" t="n">
        <v>2306</v>
      </c>
      <c r="B2310" s="9" t="inlineStr">
        <is>
          <t>Al Qusais 1</t>
        </is>
      </c>
      <c r="C2310" s="9" t="inlineStr">
        <is>
          <t>Sharjah</t>
        </is>
      </c>
      <c r="D2310" s="9" t="inlineStr">
        <is>
          <t>Sharjah</t>
        </is>
      </c>
      <c r="E2310" s="9" t="inlineStr">
        <is>
          <t>United Arab Emirates</t>
        </is>
      </c>
      <c r="F2310" s="9" t="n">
        <v>3</v>
      </c>
      <c r="G2310" s="9" t="n">
        <v>4</v>
      </c>
      <c r="H2310" s="9" t="n">
        <v>3</v>
      </c>
      <c r="I2310" s="10" t="n">
        <v>45488</v>
      </c>
      <c r="J2310" s="10" t="n">
        <v>45509</v>
      </c>
      <c r="K2310" s="9" t="n">
        <v>25.25669</v>
      </c>
      <c r="L2310" s="9" t="n">
        <v>55.36432</v>
      </c>
      <c r="M2310" s="9" t="inlineStr">
        <is>
          <t>https://www.google.com/maps/place/?q=place_id:ChIJaQ4mkwZdXz4R6e5IegDUleY</t>
        </is>
      </c>
    </row>
    <row r="2311">
      <c r="A2311" s="9" t="n">
        <v>2307</v>
      </c>
      <c r="B2311" s="9" t="inlineStr">
        <is>
          <t>Bur Dubai</t>
        </is>
      </c>
      <c r="C2311" s="9" t="inlineStr">
        <is>
          <t>Sharjah</t>
        </is>
      </c>
      <c r="D2311" s="9" t="inlineStr">
        <is>
          <t>Sharjah</t>
        </is>
      </c>
      <c r="E2311" s="9" t="inlineStr">
        <is>
          <t>United Arab Emirates</t>
        </is>
      </c>
      <c r="F2311" s="9" t="n">
        <v>2</v>
      </c>
      <c r="G2311" s="9" t="n">
        <v>2</v>
      </c>
      <c r="H2311" s="9" t="n">
        <v>1</v>
      </c>
      <c r="I2311" s="10" t="n">
        <v>45505</v>
      </c>
      <c r="J2311" s="10" t="n">
        <v>45507</v>
      </c>
      <c r="K2311" s="9" t="n">
        <v>25.25272</v>
      </c>
      <c r="L2311" s="9" t="n">
        <v>55.30451</v>
      </c>
      <c r="M2311" s="9" t="inlineStr">
        <is>
          <t>https://www.google.com/maps/place/?q=place_id:ChIJhRwsay9DXz4RKd2awHG-Dho</t>
        </is>
      </c>
    </row>
    <row r="2312">
      <c r="A2312" s="9" t="n">
        <v>2308</v>
      </c>
      <c r="B2312" s="9" t="inlineStr">
        <is>
          <t>Al Karama</t>
        </is>
      </c>
      <c r="C2312" s="9" t="inlineStr">
        <is>
          <t>Sharjah</t>
        </is>
      </c>
      <c r="D2312" s="9" t="inlineStr">
        <is>
          <t>Sharjah</t>
        </is>
      </c>
      <c r="E2312" s="9" t="inlineStr">
        <is>
          <t>United Arab Emirates</t>
        </is>
      </c>
      <c r="F2312" s="9" t="n">
        <v>1</v>
      </c>
      <c r="G2312" s="9" t="n">
        <v>1</v>
      </c>
      <c r="H2312" s="9" t="n">
        <v>1</v>
      </c>
      <c r="I2312" s="10" t="n">
        <v>45505</v>
      </c>
      <c r="J2312" s="10" t="n">
        <v>45505</v>
      </c>
      <c r="K2312" s="9" t="n">
        <v>25.22976</v>
      </c>
      <c r="L2312" s="9" t="n">
        <v>55.31895</v>
      </c>
      <c r="M2312" s="9" t="inlineStr">
        <is>
          <t>https://www.google.com/maps/place/?q=place_id:ChIJM1pC8DVdXz4RG5jX8duwoUw</t>
        </is>
      </c>
    </row>
    <row r="2313">
      <c r="A2313" s="9" t="n">
        <v>2309</v>
      </c>
      <c r="B2313" s="9" t="inlineStr">
        <is>
          <t>Al Karama</t>
        </is>
      </c>
      <c r="C2313" s="9" t="inlineStr">
        <is>
          <t>Sharjah</t>
        </is>
      </c>
      <c r="D2313" s="9" t="inlineStr">
        <is>
          <t>Sharjah</t>
        </is>
      </c>
      <c r="E2313" s="9" t="inlineStr">
        <is>
          <t>United Arab Emirates</t>
        </is>
      </c>
      <c r="F2313" s="9" t="n">
        <v>1</v>
      </c>
      <c r="G2313" s="9" t="n">
        <v>1</v>
      </c>
      <c r="H2313" s="9" t="n">
        <v>1</v>
      </c>
      <c r="I2313" s="10" t="n">
        <v>45505</v>
      </c>
      <c r="J2313" s="10" t="n">
        <v>45505</v>
      </c>
      <c r="K2313" s="9" t="n">
        <v>25.23573</v>
      </c>
      <c r="L2313" s="9" t="n">
        <v>55.29693</v>
      </c>
      <c r="M2313" s="9" t="inlineStr">
        <is>
          <t>https://www.google.com/maps/place/?q=place_id:ChIJl_QEkvxCXz4RaDvjU4uu13w</t>
        </is>
      </c>
    </row>
    <row r="2314">
      <c r="A2314" s="9" t="n">
        <v>2310</v>
      </c>
      <c r="B2314" s="9" t="inlineStr">
        <is>
          <t>Al Karama</t>
        </is>
      </c>
      <c r="C2314" s="9" t="inlineStr">
        <is>
          <t>Sharjah</t>
        </is>
      </c>
      <c r="D2314" s="9" t="inlineStr">
        <is>
          <t>Sharjah</t>
        </is>
      </c>
      <c r="E2314" s="9" t="inlineStr">
        <is>
          <t>United Arab Emirates</t>
        </is>
      </c>
      <c r="F2314" s="9" t="n">
        <v>1</v>
      </c>
      <c r="G2314" s="9" t="n">
        <v>1</v>
      </c>
      <c r="H2314" s="9" t="n">
        <v>1</v>
      </c>
      <c r="I2314" s="10" t="n">
        <v>45508</v>
      </c>
      <c r="J2314" s="10" t="n">
        <v>45508</v>
      </c>
      <c r="K2314" s="9" t="n">
        <v>25.24829</v>
      </c>
      <c r="L2314" s="9" t="n">
        <v>55.3039</v>
      </c>
      <c r="M2314" s="9" t="inlineStr">
        <is>
          <t>https://www.google.com/maps/place/?q=place_id:ChIJQ29CfShDXz4RxbuWALjuXiw</t>
        </is>
      </c>
    </row>
    <row r="2315">
      <c r="A2315" s="9" t="n">
        <v>2311</v>
      </c>
      <c r="B2315" s="9" t="inlineStr">
        <is>
          <t>Bishops Stortford</t>
        </is>
      </c>
      <c r="C2315" s="9" t="inlineStr">
        <is>
          <t>Bishops Stortford</t>
        </is>
      </c>
      <c r="D2315" s="9" t="inlineStr">
        <is>
          <t>England</t>
        </is>
      </c>
      <c r="E2315" s="9" t="inlineStr">
        <is>
          <t>United Kingdom</t>
        </is>
      </c>
      <c r="F2315" s="9" t="n">
        <v>1</v>
      </c>
      <c r="G2315" s="9" t="n">
        <v>1</v>
      </c>
      <c r="H2315" s="9" t="n">
        <v>1</v>
      </c>
      <c r="I2315" s="10" t="n">
        <v>45504</v>
      </c>
      <c r="J2315" s="10" t="n">
        <v>45504</v>
      </c>
      <c r="K2315" s="9" t="n">
        <v>51.88858</v>
      </c>
      <c r="L2315" s="9" t="n">
        <v>0.26074</v>
      </c>
      <c r="M2315" s="9" t="inlineStr">
        <is>
          <t>https://www.google.com/maps/place/?q=place_id:ChIJi-hF512O2EcRs0rctnOVW50</t>
        </is>
      </c>
    </row>
    <row r="2316">
      <c r="A2316" s="9" t="n">
        <v>2312</v>
      </c>
      <c r="B2316" s="9" t="inlineStr">
        <is>
          <t>Bishops Stortford</t>
        </is>
      </c>
      <c r="C2316" s="9" t="inlineStr">
        <is>
          <t>Bishops Stortford</t>
        </is>
      </c>
      <c r="D2316" s="9" t="inlineStr">
        <is>
          <t>England</t>
        </is>
      </c>
      <c r="E2316" s="9" t="inlineStr">
        <is>
          <t>United Kingdom</t>
        </is>
      </c>
      <c r="F2316" s="9" t="n">
        <v>1</v>
      </c>
      <c r="G2316" s="9" t="n">
        <v>1</v>
      </c>
      <c r="H2316" s="9" t="n">
        <v>1</v>
      </c>
      <c r="I2316" s="10" t="n">
        <v>45504</v>
      </c>
      <c r="J2316" s="10" t="n">
        <v>45504</v>
      </c>
      <c r="K2316" s="9" t="n">
        <v>51.88637</v>
      </c>
      <c r="L2316" s="9" t="n">
        <v>0.24132</v>
      </c>
      <c r="M2316" s="9" t="inlineStr">
        <is>
          <t>https://www.google.com/maps/place/?q=place_id:ChIJtxsqpbgEdkgRSCY1a5fQpDA</t>
        </is>
      </c>
    </row>
    <row r="2317">
      <c r="A2317" s="9" t="n">
        <v>2313</v>
      </c>
      <c r="B2317" s="9" t="inlineStr">
        <is>
          <t>Horley</t>
        </is>
      </c>
      <c r="C2317" s="9" t="inlineStr">
        <is>
          <t>Horley</t>
        </is>
      </c>
      <c r="D2317" s="9" t="inlineStr">
        <is>
          <t>England</t>
        </is>
      </c>
      <c r="E2317" s="9" t="inlineStr">
        <is>
          <t>United Kingdom</t>
        </is>
      </c>
      <c r="F2317" s="9" t="n">
        <v>1</v>
      </c>
      <c r="G2317" s="9" t="n">
        <v>1</v>
      </c>
      <c r="H2317" s="9" t="n">
        <v>1</v>
      </c>
      <c r="I2317" s="10" t="n">
        <v>45501</v>
      </c>
      <c r="J2317" s="10" t="n">
        <v>45501</v>
      </c>
      <c r="K2317" s="9" t="n">
        <v>51.15366</v>
      </c>
      <c r="L2317" s="9" t="n">
        <v>-0.18206</v>
      </c>
      <c r="M2317" s="9" t="inlineStr">
        <is>
          <t>https://www.google.com/maps/place/?q=place_id:ChIJGzkffd7vdUgR_3OJAb-k3Vk</t>
        </is>
      </c>
    </row>
    <row r="2318">
      <c r="A2318" s="9" t="n">
        <v>2314</v>
      </c>
      <c r="B2318" s="9" t="inlineStr">
        <is>
          <t>Bushey</t>
        </is>
      </c>
      <c r="C2318" s="9" t="inlineStr">
        <is>
          <t>London</t>
        </is>
      </c>
      <c r="D2318" s="9" t="inlineStr">
        <is>
          <t>England</t>
        </is>
      </c>
      <c r="E2318" s="9" t="inlineStr">
        <is>
          <t>United Kingdom</t>
        </is>
      </c>
      <c r="F2318" s="9" t="n">
        <v>3</v>
      </c>
      <c r="G2318" s="9" t="n">
        <v>4</v>
      </c>
      <c r="H2318" s="9" t="n">
        <v>1</v>
      </c>
      <c r="I2318" s="10" t="n">
        <v>45501</v>
      </c>
      <c r="J2318" s="10" t="n">
        <v>45504</v>
      </c>
      <c r="K2318" s="9" t="n">
        <v>51.66771</v>
      </c>
      <c r="L2318" s="9" t="n">
        <v>-0.338</v>
      </c>
      <c r="M2318" s="9" t="inlineStr">
        <is>
          <t>https://www.google.com/maps/place/?q=place_id:ChIJyY4PUHEVdkgRShzrXoBbyC8</t>
        </is>
      </c>
    </row>
    <row r="2319">
      <c r="A2319" s="9" t="n">
        <v>2315</v>
      </c>
      <c r="B2319" s="9" t="inlineStr">
        <is>
          <t>Bushey</t>
        </is>
      </c>
      <c r="C2319" s="9" t="inlineStr">
        <is>
          <t>London</t>
        </is>
      </c>
      <c r="D2319" s="9" t="inlineStr">
        <is>
          <t>England</t>
        </is>
      </c>
      <c r="E2319" s="9" t="inlineStr">
        <is>
          <t>United Kingdom</t>
        </is>
      </c>
      <c r="F2319" s="9" t="n">
        <v>2</v>
      </c>
      <c r="G2319" s="9" t="n">
        <v>2</v>
      </c>
      <c r="H2319" s="9" t="n">
        <v>1</v>
      </c>
      <c r="I2319" s="10" t="n">
        <v>45503</v>
      </c>
      <c r="J2319" s="10" t="n">
        <v>45504</v>
      </c>
      <c r="K2319" s="9" t="n">
        <v>51.66547</v>
      </c>
      <c r="L2319" s="9" t="n">
        <v>-0.33829</v>
      </c>
      <c r="M2319" s="9" t="inlineStr">
        <is>
          <t>https://www.google.com/maps/place/?q=place_id:ChIJcXn9mnMVdkgRHDMyOPgdsN0</t>
        </is>
      </c>
    </row>
    <row r="2320">
      <c r="A2320" s="9" t="n">
        <v>2316</v>
      </c>
      <c r="B2320" s="9" t="inlineStr">
        <is>
          <t>Soho</t>
        </is>
      </c>
      <c r="C2320" s="9" t="inlineStr">
        <is>
          <t>London</t>
        </is>
      </c>
      <c r="D2320" s="9" t="inlineStr">
        <is>
          <t>England</t>
        </is>
      </c>
      <c r="E2320" s="9" t="inlineStr">
        <is>
          <t>United Kingdom</t>
        </is>
      </c>
      <c r="F2320" s="9" t="n">
        <v>1</v>
      </c>
      <c r="G2320" s="9" t="n">
        <v>1</v>
      </c>
      <c r="H2320" s="9" t="n">
        <v>1</v>
      </c>
      <c r="I2320" s="10" t="n">
        <v>45501</v>
      </c>
      <c r="J2320" s="10" t="n">
        <v>45501</v>
      </c>
      <c r="K2320" s="9" t="n">
        <v>51.52302</v>
      </c>
      <c r="L2320" s="9" t="n">
        <v>-0.15436</v>
      </c>
      <c r="M2320" s="9" t="inlineStr">
        <is>
          <t>https://www.google.com/maps/place/?q=place_id:ChIJgZ24Us4adkgRpDNAwNPO_SY</t>
        </is>
      </c>
    </row>
    <row r="2321">
      <c r="A2321" s="9" t="n">
        <v>2317</v>
      </c>
      <c r="B2321" s="9" t="inlineStr">
        <is>
          <t>Soho</t>
        </is>
      </c>
      <c r="C2321" s="9" t="inlineStr">
        <is>
          <t>London</t>
        </is>
      </c>
      <c r="D2321" s="9" t="inlineStr">
        <is>
          <t>England</t>
        </is>
      </c>
      <c r="E2321" s="9" t="inlineStr">
        <is>
          <t>United Kingdom</t>
        </is>
      </c>
      <c r="F2321" s="9" t="n">
        <v>1</v>
      </c>
      <c r="G2321" s="9" t="n">
        <v>1</v>
      </c>
      <c r="H2321" s="9" t="n">
        <v>1</v>
      </c>
      <c r="I2321" s="10" t="n">
        <v>45501</v>
      </c>
      <c r="J2321" s="10" t="n">
        <v>45501</v>
      </c>
      <c r="K2321" s="9" t="n">
        <v>51.51067</v>
      </c>
      <c r="L2321" s="9" t="n">
        <v>-0.13129</v>
      </c>
      <c r="M2321" s="9" t="inlineStr">
        <is>
          <t>https://www.google.com/maps/place/?q=place_id:ChIJv_CbOtIEdkgR-XVC-Vkqj3g</t>
        </is>
      </c>
    </row>
    <row r="2322">
      <c r="A2322" s="9" t="n">
        <v>2318</v>
      </c>
      <c r="B2322" s="9" t="inlineStr">
        <is>
          <t>London</t>
        </is>
      </c>
      <c r="C2322" s="9" t="inlineStr">
        <is>
          <t>London</t>
        </is>
      </c>
      <c r="D2322" s="9" t="inlineStr">
        <is>
          <t>England</t>
        </is>
      </c>
      <c r="E2322" s="9" t="inlineStr">
        <is>
          <t>United Kingdom</t>
        </is>
      </c>
      <c r="F2322" s="9" t="n">
        <v>1</v>
      </c>
      <c r="G2322" s="9" t="n">
        <v>1</v>
      </c>
      <c r="H2322" s="9" t="n">
        <v>1</v>
      </c>
      <c r="I2322" s="10" t="n">
        <v>45501</v>
      </c>
      <c r="J2322" s="10" t="n">
        <v>45501</v>
      </c>
      <c r="K2322" s="9" t="n">
        <v>51.50319</v>
      </c>
      <c r="L2322" s="9" t="n">
        <v>-0.11952</v>
      </c>
      <c r="M2322" s="9" t="inlineStr">
        <is>
          <t>https://www.google.com/maps/place/?q=place_id:ChIJc2nSALkEdkgRkuoJJBfzkUI</t>
        </is>
      </c>
    </row>
    <row r="2323">
      <c r="A2323" s="9" t="n">
        <v>2319</v>
      </c>
      <c r="B2323" s="9" t="inlineStr">
        <is>
          <t>Soho</t>
        </is>
      </c>
      <c r="C2323" s="9" t="inlineStr">
        <is>
          <t>London</t>
        </is>
      </c>
      <c r="D2323" s="9" t="inlineStr">
        <is>
          <t>England</t>
        </is>
      </c>
      <c r="E2323" s="9" t="inlineStr">
        <is>
          <t>United Kingdom</t>
        </is>
      </c>
      <c r="F2323" s="9" t="n">
        <v>1</v>
      </c>
      <c r="G2323" s="9" t="n">
        <v>1</v>
      </c>
      <c r="H2323" s="9" t="n">
        <v>1</v>
      </c>
      <c r="I2323" s="10" t="n">
        <v>45504</v>
      </c>
      <c r="J2323" s="10" t="n">
        <v>45504</v>
      </c>
      <c r="K2323" s="9" t="n">
        <v>51.51589</v>
      </c>
      <c r="L2323" s="9" t="n">
        <v>-0.13274</v>
      </c>
      <c r="M2323" s="9" t="inlineStr">
        <is>
          <t>https://www.google.com/maps/place/?q=place_id:ChIJLe2g2ywbdkgRDrTKK52JRWA</t>
        </is>
      </c>
    </row>
    <row r="2324">
      <c r="A2324" s="9" t="n">
        <v>2320</v>
      </c>
      <c r="B2324" s="9" t="inlineStr">
        <is>
          <t>North Watford</t>
        </is>
      </c>
      <c r="C2324" s="9" t="inlineStr">
        <is>
          <t>London</t>
        </is>
      </c>
      <c r="D2324" s="9" t="inlineStr">
        <is>
          <t>England</t>
        </is>
      </c>
      <c r="E2324" s="9" t="inlineStr">
        <is>
          <t>United Kingdom</t>
        </is>
      </c>
      <c r="F2324" s="9" t="n">
        <v>1</v>
      </c>
      <c r="G2324" s="9" t="n">
        <v>1</v>
      </c>
      <c r="H2324" s="9" t="n">
        <v>1</v>
      </c>
      <c r="I2324" s="10" t="n">
        <v>45504</v>
      </c>
      <c r="J2324" s="10" t="n">
        <v>45504</v>
      </c>
      <c r="K2324" s="9" t="n">
        <v>51.66807</v>
      </c>
      <c r="L2324" s="9" t="n">
        <v>-0.39176</v>
      </c>
      <c r="M2324" s="9" t="inlineStr">
        <is>
          <t>https://www.google.com/maps/place/?q=place_id:ChIJfx37DrpqdkgRUpmSGisIETQ</t>
        </is>
      </c>
    </row>
    <row r="2325">
      <c r="A2325" s="9" t="n">
        <v>2321</v>
      </c>
      <c r="B2325" s="9" t="inlineStr">
        <is>
          <t>El Segundo</t>
        </is>
      </c>
      <c r="C2325" s="9" t="inlineStr">
        <is>
          <t>Los Angeles</t>
        </is>
      </c>
      <c r="D2325" s="9" t="inlineStr">
        <is>
          <t>California</t>
        </is>
      </c>
      <c r="E2325" s="9" t="inlineStr">
        <is>
          <t>United States</t>
        </is>
      </c>
      <c r="F2325" s="9" t="n">
        <v>2</v>
      </c>
      <c r="G2325" s="9" t="n">
        <v>2</v>
      </c>
      <c r="H2325" s="9" t="n">
        <v>2</v>
      </c>
      <c r="I2325" s="10" t="n">
        <v>45917</v>
      </c>
      <c r="J2325" s="10" t="n">
        <v>45920</v>
      </c>
      <c r="K2325" s="9" t="n">
        <v>33.94215</v>
      </c>
      <c r="L2325" s="9" t="n">
        <v>-118.40361</v>
      </c>
      <c r="M2325" s="9" t="inlineStr">
        <is>
          <t>https://www.google.com/maps/place/?q=place_id:ChIJtU-yE9KwwoAR8a2LaVd7qHc</t>
        </is>
      </c>
    </row>
    <row r="2326">
      <c r="A2326" s="9" t="n">
        <v>2322</v>
      </c>
      <c r="B2326" s="9" t="inlineStr">
        <is>
          <t>Culver City</t>
        </is>
      </c>
      <c r="C2326" s="9" t="inlineStr">
        <is>
          <t>Los Angeles</t>
        </is>
      </c>
      <c r="D2326" s="9" t="inlineStr">
        <is>
          <t>California</t>
        </is>
      </c>
      <c r="E2326" s="9" t="inlineStr">
        <is>
          <t>United States</t>
        </is>
      </c>
      <c r="F2326" s="9" t="n">
        <v>1</v>
      </c>
      <c r="G2326" s="9" t="n">
        <v>4</v>
      </c>
      <c r="H2326" s="9" t="n">
        <v>1</v>
      </c>
      <c r="I2326" s="10" t="n">
        <v>45917</v>
      </c>
      <c r="J2326" s="10" t="n">
        <v>45920</v>
      </c>
      <c r="K2326" s="9" t="n">
        <v>34.02523</v>
      </c>
      <c r="L2326" s="9" t="n">
        <v>-118.39728</v>
      </c>
      <c r="M2326" s="9" t="inlineStr">
        <is>
          <t>https://www.google.com/maps/place/?q=place_id:ChIJNTpxwiu6woAR5OJvRDzhGms</t>
        </is>
      </c>
    </row>
    <row r="2327">
      <c r="A2327" s="9" t="n">
        <v>2323</v>
      </c>
      <c r="B2327" s="9" t="inlineStr">
        <is>
          <t>Gaithersburg</t>
        </is>
      </c>
      <c r="C2327" s="9" t="inlineStr">
        <is>
          <t>Washington</t>
        </is>
      </c>
      <c r="D2327" s="9" t="inlineStr">
        <is>
          <t>District of Columbia</t>
        </is>
      </c>
      <c r="E2327" s="9" t="inlineStr">
        <is>
          <t>United States</t>
        </is>
      </c>
      <c r="F2327" s="9" t="n">
        <v>2</v>
      </c>
      <c r="G2327" s="9" t="n">
        <v>2</v>
      </c>
      <c r="H2327" s="9" t="n">
        <v>1</v>
      </c>
      <c r="I2327" s="10" t="n">
        <v>45908</v>
      </c>
      <c r="J2327" s="10" t="n">
        <v>45909</v>
      </c>
      <c r="K2327" s="9" t="n">
        <v>39.11762</v>
      </c>
      <c r="L2327" s="9" t="n">
        <v>-77.18378</v>
      </c>
      <c r="M2327" s="9" t="inlineStr">
        <is>
          <t>https://www.google.com/maps/place/?q=place_id:ChIJOx3TWLrSt4kR9s9SzUuCuFw</t>
        </is>
      </c>
    </row>
    <row r="2328">
      <c r="A2328" s="9" t="n">
        <v>2324</v>
      </c>
      <c r="B2328" s="9" t="inlineStr">
        <is>
          <t>Potomac</t>
        </is>
      </c>
      <c r="C2328" s="9" t="inlineStr">
        <is>
          <t>Washington</t>
        </is>
      </c>
      <c r="D2328" s="9" t="inlineStr">
        <is>
          <t>District of Columbia</t>
        </is>
      </c>
      <c r="E2328" s="9" t="inlineStr">
        <is>
          <t>United States</t>
        </is>
      </c>
      <c r="F2328" s="9" t="n">
        <v>2</v>
      </c>
      <c r="G2328" s="9" t="n">
        <v>2</v>
      </c>
      <c r="H2328" s="9" t="n">
        <v>2</v>
      </c>
      <c r="I2328" s="10" t="n">
        <v>45908</v>
      </c>
      <c r="J2328" s="10" t="n">
        <v>45928</v>
      </c>
      <c r="K2328" s="9" t="n">
        <v>39.00264</v>
      </c>
      <c r="L2328" s="9" t="n">
        <v>-77.21391</v>
      </c>
      <c r="M2328" s="9" t="inlineStr">
        <is>
          <t>https://www.google.com/maps/place/?q=place_id:ChIJhe4Q58M0tokROhM2_0Ik-Oo</t>
        </is>
      </c>
    </row>
    <row r="2329">
      <c r="A2329" s="9" t="n">
        <v>2325</v>
      </c>
      <c r="B2329" s="9" t="inlineStr">
        <is>
          <t>Seabrook</t>
        </is>
      </c>
      <c r="C2329" s="9" t="inlineStr">
        <is>
          <t>Washington</t>
        </is>
      </c>
      <c r="D2329" s="9" t="inlineStr">
        <is>
          <t>District of Columbia</t>
        </is>
      </c>
      <c r="E2329" s="9" t="inlineStr">
        <is>
          <t>United States</t>
        </is>
      </c>
      <c r="F2329" s="9" t="n">
        <v>2</v>
      </c>
      <c r="G2329" s="9" t="n">
        <v>3</v>
      </c>
      <c r="H2329" s="9" t="n">
        <v>2</v>
      </c>
      <c r="I2329" s="10" t="n">
        <v>45909</v>
      </c>
      <c r="J2329" s="10" t="n">
        <v>45928</v>
      </c>
      <c r="K2329" s="9" t="n">
        <v>38.98462</v>
      </c>
      <c r="L2329" s="9" t="n">
        <v>-76.85343</v>
      </c>
      <c r="M2329" s="9" t="inlineStr">
        <is>
          <t>https://www.google.com/maps/place/?q=place_id:ChIJ94XVYorBt4kRifYvJbfi35U</t>
        </is>
      </c>
    </row>
    <row r="2330">
      <c r="A2330" s="9" t="n">
        <v>2326</v>
      </c>
      <c r="B2330" s="9" t="inlineStr">
        <is>
          <t>Washington</t>
        </is>
      </c>
      <c r="C2330" s="9" t="inlineStr">
        <is>
          <t>Washington</t>
        </is>
      </c>
      <c r="D2330" s="9" t="inlineStr">
        <is>
          <t>District of Columbia</t>
        </is>
      </c>
      <c r="E2330" s="9" t="inlineStr">
        <is>
          <t>United States</t>
        </is>
      </c>
      <c r="F2330" s="9" t="n">
        <v>1</v>
      </c>
      <c r="G2330" s="9" t="n">
        <v>1</v>
      </c>
      <c r="H2330" s="9" t="n">
        <v>1</v>
      </c>
      <c r="I2330" s="10" t="n">
        <v>45908</v>
      </c>
      <c r="J2330" s="10" t="n">
        <v>45908</v>
      </c>
      <c r="K2330" s="9" t="n">
        <v>38.88751</v>
      </c>
      <c r="L2330" s="9" t="n">
        <v>-77.03639</v>
      </c>
      <c r="M2330" s="9" t="inlineStr">
        <is>
          <t>https://www.google.com/maps/place/?q=place_id:ChIJMT3_Wpu3t4kRQScGokyrCDo</t>
        </is>
      </c>
    </row>
    <row r="2331">
      <c r="A2331" s="9" t="n">
        <v>2327</v>
      </c>
      <c r="B2331" s="9" t="inlineStr">
        <is>
          <t>Washington</t>
        </is>
      </c>
      <c r="C2331" s="9" t="inlineStr">
        <is>
          <t>Washington</t>
        </is>
      </c>
      <c r="D2331" s="9" t="inlineStr">
        <is>
          <t>District of Columbia</t>
        </is>
      </c>
      <c r="E2331" s="9" t="inlineStr">
        <is>
          <t>United States</t>
        </is>
      </c>
      <c r="F2331" s="9" t="n">
        <v>1</v>
      </c>
      <c r="G2331" s="9" t="n">
        <v>1</v>
      </c>
      <c r="H2331" s="9" t="n">
        <v>1</v>
      </c>
      <c r="I2331" s="10" t="n">
        <v>45908</v>
      </c>
      <c r="J2331" s="10" t="n">
        <v>45908</v>
      </c>
      <c r="K2331" s="9" t="n">
        <v>38.88821</v>
      </c>
      <c r="L2331" s="9" t="n">
        <v>-77.01982</v>
      </c>
      <c r="M2331" s="9" t="inlineStr">
        <is>
          <t>https://www.google.com/maps/place/?q=place_id:ChIJISQme4O3t4kRG-iM3TfJ5_g</t>
        </is>
      </c>
    </row>
    <row r="2332">
      <c r="A2332" s="9" t="n">
        <v>2328</v>
      </c>
      <c r="B2332" s="9" t="inlineStr">
        <is>
          <t>Washington</t>
        </is>
      </c>
      <c r="C2332" s="9" t="inlineStr">
        <is>
          <t>Washington</t>
        </is>
      </c>
      <c r="D2332" s="9" t="inlineStr">
        <is>
          <t>District of Columbia</t>
        </is>
      </c>
      <c r="E2332" s="9" t="inlineStr">
        <is>
          <t>United States</t>
        </is>
      </c>
      <c r="F2332" s="9" t="n">
        <v>1</v>
      </c>
      <c r="G2332" s="9" t="n">
        <v>1</v>
      </c>
      <c r="H2332" s="9" t="n">
        <v>1</v>
      </c>
      <c r="I2332" s="10" t="n">
        <v>45909</v>
      </c>
      <c r="J2332" s="10" t="n">
        <v>45909</v>
      </c>
      <c r="K2332" s="9" t="n">
        <v>38.89768</v>
      </c>
      <c r="L2332" s="9" t="n">
        <v>-77.03653</v>
      </c>
      <c r="M2332" s="9" t="inlineStr">
        <is>
          <t>https://www.google.com/maps/place/?q=place_id:ChIJ37HL3ry3t4kRv3YLbdhpWXE</t>
        </is>
      </c>
    </row>
    <row r="2333">
      <c r="A2333" s="9" t="n">
        <v>2329</v>
      </c>
      <c r="B2333" s="9" t="inlineStr">
        <is>
          <t>Washington</t>
        </is>
      </c>
      <c r="C2333" s="9" t="inlineStr">
        <is>
          <t>Washington</t>
        </is>
      </c>
      <c r="D2333" s="9" t="inlineStr">
        <is>
          <t>District of Columbia</t>
        </is>
      </c>
      <c r="E2333" s="9" t="inlineStr">
        <is>
          <t>United States</t>
        </is>
      </c>
      <c r="F2333" s="9" t="n">
        <v>1</v>
      </c>
      <c r="G2333" s="9" t="n">
        <v>1</v>
      </c>
      <c r="H2333" s="9" t="n">
        <v>1</v>
      </c>
      <c r="I2333" s="10" t="n">
        <v>45909</v>
      </c>
      <c r="J2333" s="10" t="n">
        <v>45909</v>
      </c>
      <c r="K2333" s="9" t="n">
        <v>38.89919</v>
      </c>
      <c r="L2333" s="9" t="n">
        <v>-77.03182</v>
      </c>
      <c r="M2333" s="9" t="inlineStr">
        <is>
          <t>https://www.google.com/maps/place/?q=place_id:ChIJN53jQJa3t4kRmESMMWw3USk</t>
        </is>
      </c>
    </row>
    <row r="2334">
      <c r="A2334" s="9" t="n">
        <v>2330</v>
      </c>
      <c r="B2334" s="9" t="inlineStr">
        <is>
          <t>McLean</t>
        </is>
      </c>
      <c r="C2334" s="9" t="inlineStr">
        <is>
          <t>Washington</t>
        </is>
      </c>
      <c r="D2334" s="9" t="inlineStr">
        <is>
          <t>District of Columbia</t>
        </is>
      </c>
      <c r="E2334" s="9" t="inlineStr">
        <is>
          <t>United States</t>
        </is>
      </c>
      <c r="F2334" s="9" t="n">
        <v>1</v>
      </c>
      <c r="G2334" s="9" t="n">
        <v>1</v>
      </c>
      <c r="H2334" s="9" t="n">
        <v>1</v>
      </c>
      <c r="I2334" s="10" t="n">
        <v>45920</v>
      </c>
      <c r="J2334" s="10" t="n">
        <v>45920</v>
      </c>
      <c r="K2334" s="9" t="n">
        <v>38.93978</v>
      </c>
      <c r="L2334" s="9" t="n">
        <v>-77.15245</v>
      </c>
      <c r="M2334" s="9" t="inlineStr">
        <is>
          <t>https://www.google.com/maps/place/?q=place_id:ChIJhW00J361t4kR3xVNk9rEOYU</t>
        </is>
      </c>
    </row>
    <row r="2335">
      <c r="A2335" s="9" t="n">
        <v>2331</v>
      </c>
      <c r="B2335" s="9" t="inlineStr">
        <is>
          <t>McLean</t>
        </is>
      </c>
      <c r="C2335" s="9" t="inlineStr">
        <is>
          <t>Washington</t>
        </is>
      </c>
      <c r="D2335" s="9" t="inlineStr">
        <is>
          <t>District of Columbia</t>
        </is>
      </c>
      <c r="E2335" s="9" t="inlineStr">
        <is>
          <t>United States</t>
        </is>
      </c>
      <c r="F2335" s="9" t="n">
        <v>1</v>
      </c>
      <c r="G2335" s="9" t="n">
        <v>2</v>
      </c>
      <c r="H2335" s="9" t="n">
        <v>1</v>
      </c>
      <c r="I2335" s="10" t="n">
        <v>45920</v>
      </c>
      <c r="J2335" s="10" t="n">
        <v>45921</v>
      </c>
      <c r="K2335" s="9" t="n">
        <v>38.93647</v>
      </c>
      <c r="L2335" s="9" t="n">
        <v>-77.14942000000001</v>
      </c>
      <c r="M2335" s="9" t="inlineStr">
        <is>
          <t>https://www.google.com/maps/place/?q=place_id:ChIJOa2fcX-1t4kRlmxjQZtHtBM</t>
        </is>
      </c>
    </row>
    <row r="2336">
      <c r="A2336" s="9" t="n">
        <v>2332</v>
      </c>
      <c r="B2336" s="9" t="inlineStr">
        <is>
          <t>Rockville</t>
        </is>
      </c>
      <c r="C2336" s="9" t="inlineStr">
        <is>
          <t>Washington</t>
        </is>
      </c>
      <c r="D2336" s="9" t="inlineStr">
        <is>
          <t>District of Columbia</t>
        </is>
      </c>
      <c r="E2336" s="9" t="inlineStr">
        <is>
          <t>United States</t>
        </is>
      </c>
      <c r="F2336" s="9" t="n">
        <v>1</v>
      </c>
      <c r="G2336" s="9" t="n">
        <v>1</v>
      </c>
      <c r="H2336" s="9" t="n">
        <v>1</v>
      </c>
      <c r="I2336" s="10" t="n">
        <v>45921</v>
      </c>
      <c r="J2336" s="10" t="n">
        <v>45921</v>
      </c>
      <c r="K2336" s="9" t="n">
        <v>39.07975</v>
      </c>
      <c r="L2336" s="9" t="n">
        <v>-77.16925999999999</v>
      </c>
      <c r="M2336" s="9" t="inlineStr">
        <is>
          <t>https://www.google.com/maps/place/?q=place_id:ChIJdQL4ehbNt4kRU4dmkoTBYqE</t>
        </is>
      </c>
    </row>
    <row r="2337">
      <c r="A2337" s="9" t="n">
        <v>2333</v>
      </c>
      <c r="B2337" s="9" t="inlineStr">
        <is>
          <t>North Potomac</t>
        </is>
      </c>
      <c r="C2337" s="9" t="inlineStr">
        <is>
          <t>Washington</t>
        </is>
      </c>
      <c r="D2337" s="9" t="inlineStr">
        <is>
          <t>District of Columbia</t>
        </is>
      </c>
      <c r="E2337" s="9" t="inlineStr">
        <is>
          <t>United States</t>
        </is>
      </c>
      <c r="F2337" s="9" t="n">
        <v>1</v>
      </c>
      <c r="G2337" s="9" t="n">
        <v>1</v>
      </c>
      <c r="H2337" s="9" t="n">
        <v>1</v>
      </c>
      <c r="I2337" s="10" t="n">
        <v>45922</v>
      </c>
      <c r="J2337" s="10" t="n">
        <v>45922</v>
      </c>
      <c r="K2337" s="9" t="n">
        <v>39.08172</v>
      </c>
      <c r="L2337" s="9" t="n">
        <v>-77.23359000000001</v>
      </c>
      <c r="M2337" s="9" t="inlineStr">
        <is>
          <t>https://www.google.com/maps/place/?q=place_id:ChIJMbm-DfoytokRLKwwj1AxQoc</t>
        </is>
      </c>
    </row>
    <row r="2338">
      <c r="A2338" s="9" t="n">
        <v>2334</v>
      </c>
      <c r="B2338" s="9" t="inlineStr">
        <is>
          <t>Fairfax</t>
        </is>
      </c>
      <c r="C2338" s="9" t="inlineStr">
        <is>
          <t>Washington</t>
        </is>
      </c>
      <c r="D2338" s="9" t="inlineStr">
        <is>
          <t>District of Columbia</t>
        </is>
      </c>
      <c r="E2338" s="9" t="inlineStr">
        <is>
          <t>United States</t>
        </is>
      </c>
      <c r="F2338" s="9" t="n">
        <v>1</v>
      </c>
      <c r="G2338" s="9" t="n">
        <v>2</v>
      </c>
      <c r="H2338" s="9" t="n">
        <v>1</v>
      </c>
      <c r="I2338" s="10" t="n">
        <v>45922</v>
      </c>
      <c r="J2338" s="10" t="n">
        <v>45923</v>
      </c>
      <c r="K2338" s="9" t="n">
        <v>38.85334</v>
      </c>
      <c r="L2338" s="9" t="n">
        <v>-77.33426</v>
      </c>
      <c r="M2338" s="9" t="inlineStr">
        <is>
          <t>https://www.google.com/maps/place/?q=place_id:ChIJ8Qq4Jh5PtokRgtM_6NLTuGY</t>
        </is>
      </c>
    </row>
    <row r="2339">
      <c r="A2339" s="9" t="n">
        <v>2335</v>
      </c>
      <c r="B2339" s="9" t="inlineStr">
        <is>
          <t>Washington</t>
        </is>
      </c>
      <c r="C2339" s="9" t="inlineStr">
        <is>
          <t>Washington</t>
        </is>
      </c>
      <c r="D2339" s="9" t="inlineStr">
        <is>
          <t>District of Columbia</t>
        </is>
      </c>
      <c r="E2339" s="9" t="inlineStr">
        <is>
          <t>United States</t>
        </is>
      </c>
      <c r="F2339" s="9" t="n">
        <v>1</v>
      </c>
      <c r="G2339" s="9" t="n">
        <v>1</v>
      </c>
      <c r="H2339" s="9" t="n">
        <v>1</v>
      </c>
      <c r="I2339" s="10" t="n">
        <v>45923</v>
      </c>
      <c r="J2339" s="10" t="n">
        <v>45923</v>
      </c>
      <c r="K2339" s="9" t="n">
        <v>38.85011</v>
      </c>
      <c r="L2339" s="9" t="n">
        <v>-77.03918</v>
      </c>
      <c r="M2339" s="9" t="inlineStr">
        <is>
          <t>https://www.google.com/maps/place/?q=place_id:ChIJleAvQDG3t4kRrWsHbQGvaEE</t>
        </is>
      </c>
    </row>
    <row r="2340">
      <c r="A2340" s="9" t="n">
        <v>2336</v>
      </c>
      <c r="B2340" s="9" t="inlineStr">
        <is>
          <t>Fairfax</t>
        </is>
      </c>
      <c r="C2340" s="9" t="inlineStr">
        <is>
          <t>Washington</t>
        </is>
      </c>
      <c r="D2340" s="9" t="inlineStr">
        <is>
          <t>District of Columbia</t>
        </is>
      </c>
      <c r="E2340" s="9" t="inlineStr">
        <is>
          <t>United States</t>
        </is>
      </c>
      <c r="F2340" s="9" t="n">
        <v>1</v>
      </c>
      <c r="G2340" s="9" t="n">
        <v>2</v>
      </c>
      <c r="H2340" s="9" t="n">
        <v>1</v>
      </c>
      <c r="I2340" s="10" t="n">
        <v>45928</v>
      </c>
      <c r="J2340" s="10" t="n">
        <v>45929</v>
      </c>
      <c r="K2340" s="9" t="n">
        <v>38.86598</v>
      </c>
      <c r="L2340" s="9" t="n">
        <v>-77.31879000000001</v>
      </c>
      <c r="M2340" s="9" t="inlineStr">
        <is>
          <t>https://www.google.com/maps/place/?q=place_id:ChIJcTgmhs9OtokRuhDqKOfY-ys</t>
        </is>
      </c>
    </row>
    <row r="2341">
      <c r="A2341" s="9" t="n">
        <v>2337</v>
      </c>
      <c r="B2341" s="9" t="inlineStr">
        <is>
          <t>Flagami</t>
        </is>
      </c>
      <c r="C2341" s="9" t="inlineStr">
        <is>
          <t>Flagami</t>
        </is>
      </c>
      <c r="D2341" s="9" t="inlineStr">
        <is>
          <t>Florida</t>
        </is>
      </c>
      <c r="E2341" s="9" t="inlineStr">
        <is>
          <t>United States</t>
        </is>
      </c>
      <c r="F2341" s="9" t="n">
        <v>1</v>
      </c>
      <c r="G2341" s="9" t="n">
        <v>1</v>
      </c>
      <c r="H2341" s="9" t="n">
        <v>1</v>
      </c>
      <c r="I2341" s="10" t="n">
        <v>45917</v>
      </c>
      <c r="J2341" s="10" t="n">
        <v>45917</v>
      </c>
      <c r="K2341" s="9" t="n">
        <v>25.79235</v>
      </c>
      <c r="L2341" s="9" t="n">
        <v>-80.28231</v>
      </c>
      <c r="M2341" s="9" t="inlineStr">
        <is>
          <t>https://www.google.com/maps/place/?q=place_id:ChIJwUq5Tk232YgR4fiiy-Dan5g</t>
        </is>
      </c>
    </row>
    <row r="2342">
      <c r="A2342" s="9" t="n">
        <v>2338</v>
      </c>
      <c r="B2342" s="9" t="inlineStr">
        <is>
          <t>Gainesville</t>
        </is>
      </c>
      <c r="C2342" s="9" t="inlineStr">
        <is>
          <t>Gainesville</t>
        </is>
      </c>
      <c r="D2342" s="9" t="inlineStr">
        <is>
          <t>Florida</t>
        </is>
      </c>
      <c r="E2342" s="9" t="inlineStr">
        <is>
          <t>United States</t>
        </is>
      </c>
      <c r="F2342" s="9" t="n">
        <v>1</v>
      </c>
      <c r="G2342" s="9" t="n">
        <v>1</v>
      </c>
      <c r="H2342" s="9" t="n">
        <v>1</v>
      </c>
      <c r="I2342" s="10" t="n">
        <v>45916</v>
      </c>
      <c r="J2342" s="10" t="n">
        <v>45916</v>
      </c>
      <c r="K2342" s="9" t="n">
        <v>29.81387</v>
      </c>
      <c r="L2342" s="9" t="n">
        <v>-82.46760999999999</v>
      </c>
      <c r="M2342" s="9" t="inlineStr">
        <is>
          <t>https://www.google.com/maps/place/?q=place_id:ChIJc3b7ai-x6IgRlOi3mwyMxtE</t>
        </is>
      </c>
    </row>
    <row r="2343">
      <c r="A2343" s="9" t="n">
        <v>2339</v>
      </c>
      <c r="B2343" s="9" t="inlineStr">
        <is>
          <t>Jacksonville</t>
        </is>
      </c>
      <c r="C2343" s="9" t="inlineStr">
        <is>
          <t>Jacksonville</t>
        </is>
      </c>
      <c r="D2343" s="9" t="inlineStr">
        <is>
          <t>Florida</t>
        </is>
      </c>
      <c r="E2343" s="9" t="inlineStr">
        <is>
          <t>United States</t>
        </is>
      </c>
      <c r="F2343" s="9" t="n">
        <v>2</v>
      </c>
      <c r="G2343" s="9" t="n">
        <v>1</v>
      </c>
      <c r="H2343" s="9" t="n">
        <v>1</v>
      </c>
      <c r="I2343" s="10" t="n">
        <v>45916</v>
      </c>
      <c r="J2343" s="10" t="n">
        <v>45916</v>
      </c>
      <c r="K2343" s="9" t="n">
        <v>30.24879</v>
      </c>
      <c r="L2343" s="9" t="n">
        <v>-81.59941999999999</v>
      </c>
      <c r="M2343" s="9" t="inlineStr">
        <is>
          <t>https://www.google.com/maps/place/?q=place_id:ChIJwwP2DAPK5YgRleWvQA2Qdtw</t>
        </is>
      </c>
    </row>
    <row r="2344">
      <c r="A2344" s="9" t="n">
        <v>2340</v>
      </c>
      <c r="B2344" s="9" t="inlineStr">
        <is>
          <t>Jacksonville</t>
        </is>
      </c>
      <c r="C2344" s="9" t="inlineStr">
        <is>
          <t>Jacksonville</t>
        </is>
      </c>
      <c r="D2344" s="9" t="inlineStr">
        <is>
          <t>Florida</t>
        </is>
      </c>
      <c r="E2344" s="9" t="inlineStr">
        <is>
          <t>United States</t>
        </is>
      </c>
      <c r="F2344" s="9" t="n">
        <v>1</v>
      </c>
      <c r="G2344" s="9" t="n">
        <v>1</v>
      </c>
      <c r="H2344" s="9" t="n">
        <v>1</v>
      </c>
      <c r="I2344" s="10" t="n">
        <v>45916</v>
      </c>
      <c r="J2344" s="10" t="n">
        <v>45916</v>
      </c>
      <c r="K2344" s="9" t="n">
        <v>30.25342</v>
      </c>
      <c r="L2344" s="9" t="n">
        <v>-81.64294</v>
      </c>
      <c r="M2344" s="9" t="inlineStr">
        <is>
          <t>https://www.google.com/maps/place/?q=place_id:ChIJK_ivxtPJ5YgRdrEqUszJZPI</t>
        </is>
      </c>
    </row>
    <row r="2345">
      <c r="A2345" s="9" t="n">
        <v>2341</v>
      </c>
      <c r="B2345" s="9" t="inlineStr">
        <is>
          <t>Jacksonville</t>
        </is>
      </c>
      <c r="C2345" s="9" t="inlineStr">
        <is>
          <t>Jacksonville</t>
        </is>
      </c>
      <c r="D2345" s="9" t="inlineStr">
        <is>
          <t>Florida</t>
        </is>
      </c>
      <c r="E2345" s="9" t="inlineStr">
        <is>
          <t>United States</t>
        </is>
      </c>
      <c r="F2345" s="9" t="n">
        <v>1</v>
      </c>
      <c r="G2345" s="9" t="n">
        <v>1</v>
      </c>
      <c r="H2345" s="9" t="n">
        <v>1</v>
      </c>
      <c r="I2345" s="10" t="n">
        <v>45916</v>
      </c>
      <c r="J2345" s="10" t="n">
        <v>45916</v>
      </c>
      <c r="K2345" s="9" t="n">
        <v>30.24665</v>
      </c>
      <c r="L2345" s="9" t="n">
        <v>-81.60169999999999</v>
      </c>
      <c r="M2345" s="9" t="inlineStr">
        <is>
          <t>https://www.google.com/maps/place/?q=place_id:ChIJo35kNh3K5YgRcKh-tyd8MpQ</t>
        </is>
      </c>
    </row>
    <row r="2346">
      <c r="A2346" s="9" t="n">
        <v>2342</v>
      </c>
      <c r="B2346" s="9" t="inlineStr">
        <is>
          <t>Jacksonville</t>
        </is>
      </c>
      <c r="C2346" s="9" t="inlineStr">
        <is>
          <t>Jacksonville</t>
        </is>
      </c>
      <c r="D2346" s="9" t="inlineStr">
        <is>
          <t>Florida</t>
        </is>
      </c>
      <c r="E2346" s="9" t="inlineStr">
        <is>
          <t>United States</t>
        </is>
      </c>
      <c r="F2346" s="9" t="n">
        <v>1</v>
      </c>
      <c r="G2346" s="9" t="n">
        <v>1</v>
      </c>
      <c r="H2346" s="9" t="n">
        <v>1</v>
      </c>
      <c r="I2346" s="10" t="n">
        <v>45916</v>
      </c>
      <c r="J2346" s="10" t="n">
        <v>45916</v>
      </c>
      <c r="K2346" s="9" t="n">
        <v>30.33623</v>
      </c>
      <c r="L2346" s="9" t="n">
        <v>-81.75748</v>
      </c>
      <c r="M2346" s="9" t="inlineStr">
        <is>
          <t>https://www.google.com/maps/place/?q=place_id:ChIJf_H8-j-55YgRTL4iuK6ShZc</t>
        </is>
      </c>
    </row>
    <row r="2347">
      <c r="A2347" s="9" t="n">
        <v>2343</v>
      </c>
      <c r="B2347" s="9" t="inlineStr">
        <is>
          <t>Jacksonville</t>
        </is>
      </c>
      <c r="C2347" s="9" t="inlineStr">
        <is>
          <t>Jacksonville</t>
        </is>
      </c>
      <c r="D2347" s="9" t="inlineStr">
        <is>
          <t>Florida</t>
        </is>
      </c>
      <c r="E2347" s="9" t="inlineStr">
        <is>
          <t>United States</t>
        </is>
      </c>
      <c r="F2347" s="9" t="n">
        <v>1</v>
      </c>
      <c r="G2347" s="9" t="n">
        <v>1</v>
      </c>
      <c r="H2347" s="9" t="n">
        <v>1</v>
      </c>
      <c r="I2347" s="10" t="n">
        <v>45917</v>
      </c>
      <c r="J2347" s="10" t="n">
        <v>45917</v>
      </c>
      <c r="K2347" s="9" t="n">
        <v>30.49433</v>
      </c>
      <c r="L2347" s="9" t="n">
        <v>-81.68715</v>
      </c>
      <c r="M2347" s="9" t="inlineStr">
        <is>
          <t>https://www.google.com/maps/place/?q=place_id:ChIJE0IKb3-v5YgRZnt9T4YY-Bk</t>
        </is>
      </c>
    </row>
    <row r="2348">
      <c r="A2348" s="9" t="n">
        <v>2344</v>
      </c>
      <c r="B2348" s="9" t="inlineStr">
        <is>
          <t>Kissimmee</t>
        </is>
      </c>
      <c r="C2348" s="9" t="inlineStr">
        <is>
          <t>Kissimmee</t>
        </is>
      </c>
      <c r="D2348" s="9" t="inlineStr">
        <is>
          <t>Florida</t>
        </is>
      </c>
      <c r="E2348" s="9" t="inlineStr">
        <is>
          <t>United States</t>
        </is>
      </c>
      <c r="F2348" s="9" t="n">
        <v>3</v>
      </c>
      <c r="G2348" s="9" t="n">
        <v>3</v>
      </c>
      <c r="H2348" s="9" t="n">
        <v>1</v>
      </c>
      <c r="I2348" s="10" t="n">
        <v>45913</v>
      </c>
      <c r="J2348" s="10" t="n">
        <v>45915</v>
      </c>
      <c r="K2348" s="9" t="n">
        <v>28.33856</v>
      </c>
      <c r="L2348" s="9" t="n">
        <v>-81.48417000000001</v>
      </c>
      <c r="M2348" s="9" t="inlineStr">
        <is>
          <t>https://www.google.com/maps/place/?q=place_id:ChIJnczZP72B3YgRvPMaAQSezv0</t>
        </is>
      </c>
    </row>
    <row r="2349">
      <c r="A2349" s="9" t="n">
        <v>2345</v>
      </c>
      <c r="B2349" s="9" t="inlineStr">
        <is>
          <t>Kissimmee</t>
        </is>
      </c>
      <c r="C2349" s="9" t="inlineStr">
        <is>
          <t>Kissimmee</t>
        </is>
      </c>
      <c r="D2349" s="9" t="inlineStr">
        <is>
          <t>Florida</t>
        </is>
      </c>
      <c r="E2349" s="9" t="inlineStr">
        <is>
          <t>United States</t>
        </is>
      </c>
      <c r="F2349" s="9" t="n">
        <v>2</v>
      </c>
      <c r="G2349" s="9" t="n">
        <v>2</v>
      </c>
      <c r="H2349" s="9" t="n">
        <v>1</v>
      </c>
      <c r="I2349" s="10" t="n">
        <v>45913</v>
      </c>
      <c r="J2349" s="10" t="n">
        <v>45915</v>
      </c>
      <c r="K2349" s="9" t="n">
        <v>28.34164</v>
      </c>
      <c r="L2349" s="9" t="n">
        <v>-81.48642</v>
      </c>
      <c r="M2349" s="9" t="inlineStr">
        <is>
          <t>https://www.google.com/maps/place/?q=place_id:ChIJseOTb7yB3YgRD_eB9lVqZ5A</t>
        </is>
      </c>
    </row>
    <row r="2350">
      <c r="A2350" s="9" t="n">
        <v>2346</v>
      </c>
      <c r="B2350" s="9" t="inlineStr">
        <is>
          <t>Kissimmee</t>
        </is>
      </c>
      <c r="C2350" s="9" t="inlineStr">
        <is>
          <t>Kissimmee</t>
        </is>
      </c>
      <c r="D2350" s="9" t="inlineStr">
        <is>
          <t>Florida</t>
        </is>
      </c>
      <c r="E2350" s="9" t="inlineStr">
        <is>
          <t>United States</t>
        </is>
      </c>
      <c r="F2350" s="9" t="n">
        <v>1</v>
      </c>
      <c r="G2350" s="9" t="n">
        <v>1</v>
      </c>
      <c r="H2350" s="9" t="n">
        <v>1</v>
      </c>
      <c r="I2350" s="10" t="n">
        <v>45915</v>
      </c>
      <c r="J2350" s="10" t="n">
        <v>45915</v>
      </c>
      <c r="K2350" s="9" t="n">
        <v>28.34092</v>
      </c>
      <c r="L2350" s="9" t="n">
        <v>-81.42125</v>
      </c>
      <c r="M2350" s="9" t="inlineStr">
        <is>
          <t>https://www.google.com/maps/place/?q=place_id:ChIJ2xaUfs6G3YgRf91bpRnwo5o</t>
        </is>
      </c>
    </row>
    <row r="2351">
      <c r="A2351" s="9" t="n">
        <v>2347</v>
      </c>
      <c r="B2351" s="9" t="inlineStr">
        <is>
          <t>Meadow Woods</t>
        </is>
      </c>
      <c r="C2351" s="9" t="inlineStr">
        <is>
          <t>Meadow Woods</t>
        </is>
      </c>
      <c r="D2351" s="9" t="inlineStr">
        <is>
          <t>Florida</t>
        </is>
      </c>
      <c r="E2351" s="9" t="inlineStr">
        <is>
          <t>United States</t>
        </is>
      </c>
      <c r="F2351" s="9" t="n">
        <v>1</v>
      </c>
      <c r="G2351" s="9" t="n">
        <v>2</v>
      </c>
      <c r="H2351" s="9" t="n">
        <v>1</v>
      </c>
      <c r="I2351" s="10" t="n">
        <v>45912</v>
      </c>
      <c r="J2351" s="10" t="n">
        <v>45913</v>
      </c>
      <c r="K2351" s="9" t="n">
        <v>28.42444</v>
      </c>
      <c r="L2351" s="9" t="n">
        <v>-81.31046000000001</v>
      </c>
      <c r="M2351" s="9" t="inlineStr">
        <is>
          <t>https://www.google.com/maps/place/?q=place_id:ChIJ85K0xidj54gRbeERlDa5Sq0</t>
        </is>
      </c>
    </row>
    <row r="2352">
      <c r="A2352" s="9" t="n">
        <v>2348</v>
      </c>
      <c r="B2352" s="9" t="inlineStr">
        <is>
          <t>Oak Ridge</t>
        </is>
      </c>
      <c r="C2352" s="9" t="inlineStr">
        <is>
          <t>Oak Ridge</t>
        </is>
      </c>
      <c r="D2352" s="9" t="inlineStr">
        <is>
          <t>Florida</t>
        </is>
      </c>
      <c r="E2352" s="9" t="inlineStr">
        <is>
          <t>United States</t>
        </is>
      </c>
      <c r="F2352" s="9" t="n">
        <v>1</v>
      </c>
      <c r="G2352" s="9" t="n">
        <v>1</v>
      </c>
      <c r="H2352" s="9" t="n">
        <v>1</v>
      </c>
      <c r="I2352" s="10" t="n">
        <v>45913</v>
      </c>
      <c r="J2352" s="10" t="n">
        <v>45913</v>
      </c>
      <c r="K2352" s="9" t="n">
        <v>28.46496</v>
      </c>
      <c r="L2352" s="9" t="n">
        <v>-81.38957000000001</v>
      </c>
      <c r="M2352" s="9" t="inlineStr">
        <is>
          <t>https://www.google.com/maps/place/?q=place_id:ChIJtSvhAlx854gR0Hq-x8sn7vM</t>
        </is>
      </c>
    </row>
    <row r="2353">
      <c r="A2353" s="9" t="n">
        <v>2349</v>
      </c>
      <c r="B2353" s="9" t="inlineStr">
        <is>
          <t>Columbia</t>
        </is>
      </c>
      <c r="C2353" s="9" t="inlineStr">
        <is>
          <t>Baltimore</t>
        </is>
      </c>
      <c r="D2353" s="9" t="inlineStr">
        <is>
          <t>Maryland</t>
        </is>
      </c>
      <c r="E2353" s="9" t="inlineStr">
        <is>
          <t>United States</t>
        </is>
      </c>
      <c r="F2353" s="9" t="n">
        <v>1</v>
      </c>
      <c r="G2353" s="9" t="n">
        <v>2</v>
      </c>
      <c r="H2353" s="9" t="n">
        <v>1</v>
      </c>
      <c r="I2353" s="10" t="n">
        <v>45908</v>
      </c>
      <c r="J2353" s="10" t="n">
        <v>45909</v>
      </c>
      <c r="K2353" s="9" t="n">
        <v>39.17659</v>
      </c>
      <c r="L2353" s="9" t="n">
        <v>-76.83741999999999</v>
      </c>
      <c r="M2353" s="9" t="inlineStr">
        <is>
          <t>https://www.google.com/maps/place/?q=place_id:ChIJN4RVrSTet4kRG-SZalHKFAk</t>
        </is>
      </c>
    </row>
    <row r="2354">
      <c r="A2354" s="9" t="n">
        <v>2350</v>
      </c>
      <c r="B2354" s="9" t="inlineStr">
        <is>
          <t>Catonsville</t>
        </is>
      </c>
      <c r="C2354" s="9" t="inlineStr">
        <is>
          <t>Baltimore</t>
        </is>
      </c>
      <c r="D2354" s="9" t="inlineStr">
        <is>
          <t>Maryland</t>
        </is>
      </c>
      <c r="E2354" s="9" t="inlineStr">
        <is>
          <t>United States</t>
        </is>
      </c>
      <c r="F2354" s="9" t="n">
        <v>1</v>
      </c>
      <c r="G2354" s="9" t="n">
        <v>1</v>
      </c>
      <c r="H2354" s="9" t="n">
        <v>1</v>
      </c>
      <c r="I2354" s="10" t="n">
        <v>45909</v>
      </c>
      <c r="J2354" s="10" t="n">
        <v>45909</v>
      </c>
      <c r="K2354" s="9" t="n">
        <v>39.26705</v>
      </c>
      <c r="L2354" s="9" t="n">
        <v>-76.73009999999999</v>
      </c>
      <c r="M2354" s="9" t="inlineStr">
        <is>
          <t>https://www.google.com/maps/place/?q=place_id:ChIJBQyUDSkcyIkRtu7vRo0FUCE</t>
        </is>
      </c>
    </row>
    <row r="2355">
      <c r="A2355" s="9" t="n">
        <v>2351</v>
      </c>
      <c r="B2355" s="9" t="inlineStr">
        <is>
          <t>Gaithersburg</t>
        </is>
      </c>
      <c r="C2355" s="9" t="inlineStr">
        <is>
          <t>Gaithersburg</t>
        </is>
      </c>
      <c r="D2355" s="9" t="inlineStr">
        <is>
          <t>Maryland</t>
        </is>
      </c>
      <c r="E2355" s="9" t="inlineStr">
        <is>
          <t>United States</t>
        </is>
      </c>
      <c r="F2355" s="9" t="n">
        <v>3</v>
      </c>
      <c r="G2355" s="9" t="n">
        <v>2</v>
      </c>
      <c r="H2355" s="9" t="n">
        <v>1</v>
      </c>
      <c r="I2355" s="10" t="n">
        <v>45908</v>
      </c>
      <c r="J2355" s="10" t="n">
        <v>45909</v>
      </c>
      <c r="K2355" s="9" t="n">
        <v>39.1494</v>
      </c>
      <c r="L2355" s="9" t="n">
        <v>-77.21332</v>
      </c>
      <c r="M2355" s="9" t="inlineStr">
        <is>
          <t>https://www.google.com/maps/place/?q=place_id:ChIJSV4ckSQttokRbkUcdLZW8mM</t>
        </is>
      </c>
    </row>
    <row r="2356">
      <c r="A2356" s="9" t="n">
        <v>2352</v>
      </c>
      <c r="B2356" s="9" t="inlineStr">
        <is>
          <t>Orient Heights</t>
        </is>
      </c>
      <c r="C2356" s="9" t="inlineStr">
        <is>
          <t>Boston</t>
        </is>
      </c>
      <c r="D2356" s="9" t="inlineStr">
        <is>
          <t>Massachusetts</t>
        </is>
      </c>
      <c r="E2356" s="9" t="inlineStr">
        <is>
          <t>United States</t>
        </is>
      </c>
      <c r="F2356" s="9" t="n">
        <v>2</v>
      </c>
      <c r="G2356" s="9" t="n">
        <v>2</v>
      </c>
      <c r="H2356" s="9" t="n">
        <v>1</v>
      </c>
      <c r="I2356" s="10" t="n">
        <v>45923</v>
      </c>
      <c r="J2356" s="10" t="n">
        <v>45925</v>
      </c>
      <c r="K2356" s="9" t="n">
        <v>42.3656</v>
      </c>
      <c r="L2356" s="9" t="n">
        <v>-71.00961</v>
      </c>
      <c r="M2356" s="9" t="inlineStr">
        <is>
          <t>https://www.google.com/maps/place/?q=place_id:ChIJN0na1RRw44kRRFEtH8OUkww</t>
        </is>
      </c>
    </row>
    <row r="2357">
      <c r="A2357" s="9" t="n">
        <v>2353</v>
      </c>
      <c r="B2357" s="9" t="inlineStr">
        <is>
          <t>Cambridge</t>
        </is>
      </c>
      <c r="C2357" s="9" t="inlineStr">
        <is>
          <t>Boston</t>
        </is>
      </c>
      <c r="D2357" s="9" t="inlineStr">
        <is>
          <t>Massachusetts</t>
        </is>
      </c>
      <c r="E2357" s="9" t="inlineStr">
        <is>
          <t>United States</t>
        </is>
      </c>
      <c r="F2357" s="9" t="n">
        <v>2</v>
      </c>
      <c r="G2357" s="9" t="n">
        <v>1</v>
      </c>
      <c r="H2357" s="9" t="n">
        <v>1</v>
      </c>
      <c r="I2357" s="10" t="n">
        <v>45925</v>
      </c>
      <c r="J2357" s="10" t="n">
        <v>45925</v>
      </c>
      <c r="K2357" s="9" t="n">
        <v>42.37444</v>
      </c>
      <c r="L2357" s="9" t="n">
        <v>-71.11825</v>
      </c>
      <c r="M2357" s="9" t="inlineStr">
        <is>
          <t>https://www.google.com/maps/place/?q=place_id:ChIJmQF_fUJ344kR8Cck7lzGN1k</t>
        </is>
      </c>
    </row>
    <row r="2358">
      <c r="A2358" s="9" t="n">
        <v>2354</v>
      </c>
      <c r="B2358" s="9" t="inlineStr">
        <is>
          <t>Waltham</t>
        </is>
      </c>
      <c r="C2358" s="9" t="inlineStr">
        <is>
          <t>Boston</t>
        </is>
      </c>
      <c r="D2358" s="9" t="inlineStr">
        <is>
          <t>Massachusetts</t>
        </is>
      </c>
      <c r="E2358" s="9" t="inlineStr">
        <is>
          <t>United States</t>
        </is>
      </c>
      <c r="F2358" s="9" t="n">
        <v>1</v>
      </c>
      <c r="G2358" s="9" t="n">
        <v>1</v>
      </c>
      <c r="H2358" s="9" t="n">
        <v>1</v>
      </c>
      <c r="I2358" s="10" t="n">
        <v>45924</v>
      </c>
      <c r="J2358" s="10" t="n">
        <v>45924</v>
      </c>
      <c r="K2358" s="9" t="n">
        <v>42.39441</v>
      </c>
      <c r="L2358" s="9" t="n">
        <v>-71.26545</v>
      </c>
      <c r="M2358" s="9" t="inlineStr">
        <is>
          <t>https://www.google.com/maps/place/?q=place_id:ChIJgV-zt7ec44kRsGv1cHTnsAo</t>
        </is>
      </c>
    </row>
    <row r="2359">
      <c r="A2359" s="9" t="n">
        <v>2355</v>
      </c>
      <c r="B2359" s="9" t="inlineStr">
        <is>
          <t>Back Bay</t>
        </is>
      </c>
      <c r="C2359" s="9" t="inlineStr">
        <is>
          <t>Boston</t>
        </is>
      </c>
      <c r="D2359" s="9" t="inlineStr">
        <is>
          <t>Massachusetts</t>
        </is>
      </c>
      <c r="E2359" s="9" t="inlineStr">
        <is>
          <t>United States</t>
        </is>
      </c>
      <c r="F2359" s="9" t="n">
        <v>1</v>
      </c>
      <c r="G2359" s="9" t="n">
        <v>1</v>
      </c>
      <c r="H2359" s="9" t="n">
        <v>1</v>
      </c>
      <c r="I2359" s="10" t="n">
        <v>45925</v>
      </c>
      <c r="J2359" s="10" t="n">
        <v>45925</v>
      </c>
      <c r="K2359" s="9" t="n">
        <v>42.36009</v>
      </c>
      <c r="L2359" s="9" t="n">
        <v>-71.09416</v>
      </c>
      <c r="M2359" s="9" t="inlineStr">
        <is>
          <t>https://www.google.com/maps/place/?q=place_id:ChIJh2oa9apw44kRPCAIs6WO4NA</t>
        </is>
      </c>
    </row>
    <row r="2360">
      <c r="A2360" s="9" t="n">
        <v>2356</v>
      </c>
      <c r="B2360" s="9" t="inlineStr">
        <is>
          <t>Shrewsbury</t>
        </is>
      </c>
      <c r="C2360" s="9" t="inlineStr">
        <is>
          <t>Shrewsbury</t>
        </is>
      </c>
      <c r="D2360" s="9" t="inlineStr">
        <is>
          <t>Massachusetts</t>
        </is>
      </c>
      <c r="E2360" s="9" t="inlineStr">
        <is>
          <t>United States</t>
        </is>
      </c>
      <c r="F2360" s="9" t="n">
        <v>3</v>
      </c>
      <c r="G2360" s="9" t="n">
        <v>3</v>
      </c>
      <c r="H2360" s="9" t="n">
        <v>1</v>
      </c>
      <c r="I2360" s="10" t="n">
        <v>45923</v>
      </c>
      <c r="J2360" s="10" t="n">
        <v>45925</v>
      </c>
      <c r="K2360" s="9" t="n">
        <v>42.28117</v>
      </c>
      <c r="L2360" s="9" t="n">
        <v>-71.71362000000001</v>
      </c>
      <c r="M2360" s="9" t="inlineStr">
        <is>
          <t>https://www.google.com/maps/place/?q=place_id:ChIJvfQ4kPx544kRYLPFsHfe-zk</t>
        </is>
      </c>
    </row>
    <row r="2361">
      <c r="A2361" s="9" t="n">
        <v>2357</v>
      </c>
      <c r="B2361" s="9" t="inlineStr">
        <is>
          <t>Shrewsbury</t>
        </is>
      </c>
      <c r="C2361" s="9" t="inlineStr">
        <is>
          <t>Shrewsbury</t>
        </is>
      </c>
      <c r="D2361" s="9" t="inlineStr">
        <is>
          <t>Massachusetts</t>
        </is>
      </c>
      <c r="E2361" s="9" t="inlineStr">
        <is>
          <t>United States</t>
        </is>
      </c>
      <c r="F2361" s="9" t="n">
        <v>1</v>
      </c>
      <c r="G2361" s="9" t="n">
        <v>1</v>
      </c>
      <c r="H2361" s="9" t="n">
        <v>1</v>
      </c>
      <c r="I2361" s="10" t="n">
        <v>45924</v>
      </c>
      <c r="J2361" s="10" t="n">
        <v>45924</v>
      </c>
      <c r="K2361" s="9" t="n">
        <v>42.28032</v>
      </c>
      <c r="L2361" s="9" t="n">
        <v>-71.65591000000001</v>
      </c>
      <c r="M2361" s="9" t="inlineStr">
        <is>
          <t>https://www.google.com/maps/place/?q=place_id:ChIJ3xEsixcK5IkRdD3UKj9qvQA</t>
        </is>
      </c>
    </row>
    <row r="2362">
      <c r="A2362" s="9" t="n">
        <v>2358</v>
      </c>
      <c r="B2362" s="9" t="inlineStr">
        <is>
          <t>Edison</t>
        </is>
      </c>
      <c r="C2362" s="9" t="inlineStr">
        <is>
          <t>Edison</t>
        </is>
      </c>
      <c r="D2362" s="9" t="inlineStr">
        <is>
          <t>New Jersey</t>
        </is>
      </c>
      <c r="E2362" s="9" t="inlineStr">
        <is>
          <t>United States</t>
        </is>
      </c>
      <c r="F2362" s="9" t="n">
        <v>3</v>
      </c>
      <c r="G2362" s="9" t="n">
        <v>2</v>
      </c>
      <c r="H2362" s="9" t="n">
        <v>2</v>
      </c>
      <c r="I2362" s="10" t="n">
        <v>45910</v>
      </c>
      <c r="J2362" s="10" t="n">
        <v>45927</v>
      </c>
      <c r="K2362" s="9" t="n">
        <v>40.52325</v>
      </c>
      <c r="L2362" s="9" t="n">
        <v>-74.41753</v>
      </c>
      <c r="M2362" s="9" t="inlineStr">
        <is>
          <t>https://www.google.com/maps/place/?q=place_id:ChIJ8y0FAubHw4kRdI0-dEYziRs</t>
        </is>
      </c>
    </row>
    <row r="2363">
      <c r="A2363" s="9" t="n">
        <v>2359</v>
      </c>
      <c r="B2363" s="9" t="inlineStr">
        <is>
          <t>Edison</t>
        </is>
      </c>
      <c r="C2363" s="9" t="inlineStr">
        <is>
          <t>Edison</t>
        </is>
      </c>
      <c r="D2363" s="9" t="inlineStr">
        <is>
          <t>New Jersey</t>
        </is>
      </c>
      <c r="E2363" s="9" t="inlineStr">
        <is>
          <t>United States</t>
        </is>
      </c>
      <c r="F2363" s="9" t="n">
        <v>3</v>
      </c>
      <c r="G2363" s="9" t="n">
        <v>3</v>
      </c>
      <c r="H2363" s="9" t="n">
        <v>1</v>
      </c>
      <c r="I2363" s="10" t="n">
        <v>45925</v>
      </c>
      <c r="J2363" s="10" t="n">
        <v>45927</v>
      </c>
      <c r="K2363" s="9" t="n">
        <v>40.51277</v>
      </c>
      <c r="L2363" s="9" t="n">
        <v>-74.40082</v>
      </c>
      <c r="M2363" s="9" t="inlineStr">
        <is>
          <t>https://www.google.com/maps/place/?q=place_id:ChIJh8zzbHTIw4kRoIIsBQM4b5Q</t>
        </is>
      </c>
    </row>
    <row r="2364">
      <c r="A2364" s="9" t="n">
        <v>2360</v>
      </c>
      <c r="B2364" s="9" t="inlineStr">
        <is>
          <t>Edison</t>
        </is>
      </c>
      <c r="C2364" s="9" t="inlineStr">
        <is>
          <t>Edison</t>
        </is>
      </c>
      <c r="D2364" s="9" t="inlineStr">
        <is>
          <t>New Jersey</t>
        </is>
      </c>
      <c r="E2364" s="9" t="inlineStr">
        <is>
          <t>United States</t>
        </is>
      </c>
      <c r="F2364" s="9" t="n">
        <v>2</v>
      </c>
      <c r="G2364" s="9" t="n">
        <v>2</v>
      </c>
      <c r="H2364" s="9" t="n">
        <v>1</v>
      </c>
      <c r="I2364" s="10" t="n">
        <v>45926</v>
      </c>
      <c r="J2364" s="10" t="n">
        <v>45927</v>
      </c>
      <c r="K2364" s="9" t="n">
        <v>40.51911</v>
      </c>
      <c r="L2364" s="9" t="n">
        <v>-74.41083</v>
      </c>
      <c r="M2364" s="9" t="inlineStr">
        <is>
          <t>https://www.google.com/maps/place/?q=place_id:ChIJ_yVVyODHw4kR-vG3w2JNI8E</t>
        </is>
      </c>
    </row>
    <row r="2365">
      <c r="A2365" s="9" t="n">
        <v>2361</v>
      </c>
      <c r="B2365" s="9" t="inlineStr">
        <is>
          <t>Edison</t>
        </is>
      </c>
      <c r="C2365" s="9" t="inlineStr">
        <is>
          <t>Edison</t>
        </is>
      </c>
      <c r="D2365" s="9" t="inlineStr">
        <is>
          <t>New Jersey</t>
        </is>
      </c>
      <c r="E2365" s="9" t="inlineStr">
        <is>
          <t>United States</t>
        </is>
      </c>
      <c r="F2365" s="9" t="n">
        <v>1</v>
      </c>
      <c r="G2365" s="9" t="n">
        <v>1</v>
      </c>
      <c r="H2365" s="9" t="n">
        <v>1</v>
      </c>
      <c r="I2365" s="10" t="n">
        <v>45927</v>
      </c>
      <c r="J2365" s="10" t="n">
        <v>45927</v>
      </c>
      <c r="K2365" s="9" t="n">
        <v>40.53074</v>
      </c>
      <c r="L2365" s="9" t="n">
        <v>-74.37715</v>
      </c>
      <c r="M2365" s="9" t="inlineStr">
        <is>
          <t>https://www.google.com/maps/place/?q=place_id:ChIJc_bAtSDIw4kRWd4yRnDZphA</t>
        </is>
      </c>
    </row>
    <row r="2366">
      <c r="A2366" s="9" t="n">
        <v>2362</v>
      </c>
      <c r="B2366" s="9" t="inlineStr">
        <is>
          <t>Edison</t>
        </is>
      </c>
      <c r="C2366" s="9" t="inlineStr">
        <is>
          <t>Edison</t>
        </is>
      </c>
      <c r="D2366" s="9" t="inlineStr">
        <is>
          <t>New Jersey</t>
        </is>
      </c>
      <c r="E2366" s="9" t="inlineStr">
        <is>
          <t>United States</t>
        </is>
      </c>
      <c r="F2366" s="9" t="n">
        <v>1</v>
      </c>
      <c r="G2366" s="9" t="n">
        <v>1</v>
      </c>
      <c r="H2366" s="9" t="n">
        <v>1</v>
      </c>
      <c r="I2366" s="10" t="n">
        <v>45927</v>
      </c>
      <c r="J2366" s="10" t="n">
        <v>45927</v>
      </c>
      <c r="K2366" s="9" t="n">
        <v>40.53644</v>
      </c>
      <c r="L2366" s="9" t="n">
        <v>-74.3967</v>
      </c>
      <c r="M2366" s="9" t="inlineStr">
        <is>
          <t>https://www.google.com/maps/place/?q=place_id:ChIJOUa1d_23w4kRCvMauLAjphs</t>
        </is>
      </c>
    </row>
    <row r="2367">
      <c r="A2367" s="9" t="n">
        <v>2363</v>
      </c>
      <c r="B2367" s="9" t="inlineStr">
        <is>
          <t>Mercerville-Hamilton Square</t>
        </is>
      </c>
      <c r="C2367" s="9" t="inlineStr">
        <is>
          <t>Mercerville-Hamilton Square</t>
        </is>
      </c>
      <c r="D2367" s="9" t="inlineStr">
        <is>
          <t>New Jersey</t>
        </is>
      </c>
      <c r="E2367" s="9" t="inlineStr">
        <is>
          <t>United States</t>
        </is>
      </c>
      <c r="F2367" s="9" t="n">
        <v>1</v>
      </c>
      <c r="G2367" s="9" t="n">
        <v>1</v>
      </c>
      <c r="H2367" s="9" t="n">
        <v>1</v>
      </c>
      <c r="I2367" s="10" t="n">
        <v>45910</v>
      </c>
      <c r="J2367" s="10" t="n">
        <v>45910</v>
      </c>
      <c r="K2367" s="9" t="n">
        <v>40.17627</v>
      </c>
      <c r="L2367" s="9" t="n">
        <v>-74.62866</v>
      </c>
      <c r="M2367" s="9" t="inlineStr">
        <is>
          <t>https://www.google.com/maps/place/?q=place_id:ChIJdcex9npewYkRwzeIGQ0pxD0</t>
        </is>
      </c>
    </row>
    <row r="2368">
      <c r="A2368" s="9" t="n">
        <v>2364</v>
      </c>
      <c r="B2368" s="9" t="inlineStr">
        <is>
          <t>Mercerville-Hamilton Square</t>
        </is>
      </c>
      <c r="C2368" s="9" t="inlineStr">
        <is>
          <t>Mercerville-Hamilton Square</t>
        </is>
      </c>
      <c r="D2368" s="9" t="inlineStr">
        <is>
          <t>New Jersey</t>
        </is>
      </c>
      <c r="E2368" s="9" t="inlineStr">
        <is>
          <t>United States</t>
        </is>
      </c>
      <c r="F2368" s="9" t="n">
        <v>1</v>
      </c>
      <c r="G2368" s="9" t="n">
        <v>1</v>
      </c>
      <c r="H2368" s="9" t="n">
        <v>1</v>
      </c>
      <c r="I2368" s="10" t="n">
        <v>45911</v>
      </c>
      <c r="J2368" s="10" t="n">
        <v>45911</v>
      </c>
      <c r="K2368" s="9" t="n">
        <v>40.26791</v>
      </c>
      <c r="L2368" s="9" t="n">
        <v>-74.54394000000001</v>
      </c>
      <c r="M2368" s="9" t="inlineStr">
        <is>
          <t>https://www.google.com/maps/place/?q=place_id:ChIJl_agywffw4kRZaOXS4haVzY</t>
        </is>
      </c>
    </row>
    <row r="2369">
      <c r="A2369" s="9" t="n">
        <v>2365</v>
      </c>
      <c r="B2369" s="9" t="inlineStr">
        <is>
          <t>Piscataway</t>
        </is>
      </c>
      <c r="C2369" s="9" t="inlineStr">
        <is>
          <t>Piscataway</t>
        </is>
      </c>
      <c r="D2369" s="9" t="inlineStr">
        <is>
          <t>New Jersey</t>
        </is>
      </c>
      <c r="E2369" s="9" t="inlineStr">
        <is>
          <t>United States</t>
        </is>
      </c>
      <c r="F2369" s="9" t="n">
        <v>1</v>
      </c>
      <c r="G2369" s="9" t="n">
        <v>1</v>
      </c>
      <c r="H2369" s="9" t="n">
        <v>1</v>
      </c>
      <c r="I2369" s="10" t="n">
        <v>45927</v>
      </c>
      <c r="J2369" s="10" t="n">
        <v>45927</v>
      </c>
      <c r="K2369" s="9" t="n">
        <v>40.51573</v>
      </c>
      <c r="L2369" s="9" t="n">
        <v>-74.39437</v>
      </c>
      <c r="M2369" s="9" t="inlineStr">
        <is>
          <t>https://www.google.com/maps/place/?q=place_id:ChIJJcJsNg3Iw4kRvc1MQWSTsi4</t>
        </is>
      </c>
    </row>
    <row r="2370">
      <c r="A2370" s="9" t="n">
        <v>2366</v>
      </c>
      <c r="B2370" s="9" t="inlineStr">
        <is>
          <t>Somerset</t>
        </is>
      </c>
      <c r="C2370" s="9" t="inlineStr">
        <is>
          <t>Somerset</t>
        </is>
      </c>
      <c r="D2370" s="9" t="inlineStr">
        <is>
          <t>New Jersey</t>
        </is>
      </c>
      <c r="E2370" s="9" t="inlineStr">
        <is>
          <t>United States</t>
        </is>
      </c>
      <c r="F2370" s="9" t="n">
        <v>3</v>
      </c>
      <c r="G2370" s="9" t="n">
        <v>3</v>
      </c>
      <c r="H2370" s="9" t="n">
        <v>1</v>
      </c>
      <c r="I2370" s="10" t="n">
        <v>45910</v>
      </c>
      <c r="J2370" s="10" t="n">
        <v>45912</v>
      </c>
      <c r="K2370" s="9" t="n">
        <v>40.53715</v>
      </c>
      <c r="L2370" s="9" t="n">
        <v>-74.51933</v>
      </c>
      <c r="M2370" s="9" t="inlineStr">
        <is>
          <t>https://www.google.com/maps/place/?q=place_id:ChIJEex_nr7Aw4kRZN4PQ8DAwLE</t>
        </is>
      </c>
    </row>
    <row r="2371">
      <c r="A2371" s="9" t="n">
        <v>2367</v>
      </c>
      <c r="B2371" s="9" t="inlineStr">
        <is>
          <t>Wyckoff</t>
        </is>
      </c>
      <c r="C2371" s="9" t="inlineStr">
        <is>
          <t>Wyckoff</t>
        </is>
      </c>
      <c r="D2371" s="9" t="inlineStr">
        <is>
          <t>New Jersey</t>
        </is>
      </c>
      <c r="E2371" s="9" t="inlineStr">
        <is>
          <t>United States</t>
        </is>
      </c>
      <c r="F2371" s="9" t="n">
        <v>1</v>
      </c>
      <c r="G2371" s="9" t="n">
        <v>1</v>
      </c>
      <c r="H2371" s="9" t="n">
        <v>1</v>
      </c>
      <c r="I2371" s="10" t="n">
        <v>45926</v>
      </c>
      <c r="J2371" s="10" t="n">
        <v>45926</v>
      </c>
      <c r="K2371" s="9" t="n">
        <v>41.042</v>
      </c>
      <c r="L2371" s="9" t="n">
        <v>-74.23927</v>
      </c>
      <c r="M2371" s="9" t="inlineStr">
        <is>
          <t>https://www.google.com/maps/place/?q=place_id:ChIJ08vgb5Ydw4kRy8cEJQ2I05M</t>
        </is>
      </c>
    </row>
    <row r="2372">
      <c r="A2372" s="9" t="n">
        <v>2368</v>
      </c>
      <c r="B2372" s="9" t="inlineStr">
        <is>
          <t>Amherst</t>
        </is>
      </c>
      <c r="C2372" s="9" t="inlineStr">
        <is>
          <t>Amherst</t>
        </is>
      </c>
      <c r="D2372" s="9" t="inlineStr">
        <is>
          <t>New York</t>
        </is>
      </c>
      <c r="E2372" s="9" t="inlineStr">
        <is>
          <t>United States</t>
        </is>
      </c>
      <c r="F2372" s="9" t="n">
        <v>3</v>
      </c>
      <c r="G2372" s="9" t="n">
        <v>2</v>
      </c>
      <c r="H2372" s="9" t="n">
        <v>1</v>
      </c>
      <c r="I2372" s="10" t="n">
        <v>45905</v>
      </c>
      <c r="J2372" s="10" t="n">
        <v>45906</v>
      </c>
      <c r="K2372" s="9" t="n">
        <v>42.99607</v>
      </c>
      <c r="L2372" s="9" t="n">
        <v>-78.80224</v>
      </c>
      <c r="M2372" s="9" t="inlineStr">
        <is>
          <t>https://www.google.com/maps/place/?q=place_id:ChIJpaSBwbxz04kRQmWiNvbf3Wk</t>
        </is>
      </c>
    </row>
    <row r="2373">
      <c r="A2373" s="9" t="n">
        <v>2369</v>
      </c>
      <c r="B2373" s="9" t="inlineStr">
        <is>
          <t>Amherst</t>
        </is>
      </c>
      <c r="C2373" s="9" t="inlineStr">
        <is>
          <t>Amherst</t>
        </is>
      </c>
      <c r="D2373" s="9" t="inlineStr">
        <is>
          <t>New York</t>
        </is>
      </c>
      <c r="E2373" s="9" t="inlineStr">
        <is>
          <t>United States</t>
        </is>
      </c>
      <c r="F2373" s="9" t="n">
        <v>1</v>
      </c>
      <c r="G2373" s="9" t="n">
        <v>1</v>
      </c>
      <c r="H2373" s="9" t="n">
        <v>1</v>
      </c>
      <c r="I2373" s="10" t="n">
        <v>45905</v>
      </c>
      <c r="J2373" s="10" t="n">
        <v>45905</v>
      </c>
      <c r="K2373" s="9" t="n">
        <v>42.98229</v>
      </c>
      <c r="L2373" s="9" t="n">
        <v>-78.81171999999999</v>
      </c>
      <c r="M2373" s="9" t="inlineStr">
        <is>
          <t>https://www.google.com/maps/place/?q=place_id:ChIJwzIKsl1y04kROwYIK2AjrqU</t>
        </is>
      </c>
    </row>
    <row r="2374">
      <c r="A2374" s="9" t="n">
        <v>2370</v>
      </c>
      <c r="B2374" s="9" t="inlineStr">
        <is>
          <t>Cheektowaga</t>
        </is>
      </c>
      <c r="C2374" s="9" t="inlineStr">
        <is>
          <t>Cheektowaga</t>
        </is>
      </c>
      <c r="D2374" s="9" t="inlineStr">
        <is>
          <t>New York</t>
        </is>
      </c>
      <c r="E2374" s="9" t="inlineStr">
        <is>
          <t>United States</t>
        </is>
      </c>
      <c r="F2374" s="9" t="n">
        <v>1</v>
      </c>
      <c r="G2374" s="9" t="n">
        <v>1</v>
      </c>
      <c r="H2374" s="9" t="n">
        <v>1</v>
      </c>
      <c r="I2374" s="10" t="n">
        <v>45905</v>
      </c>
      <c r="J2374" s="10" t="n">
        <v>45905</v>
      </c>
      <c r="K2374" s="9" t="n">
        <v>42.93941</v>
      </c>
      <c r="L2374" s="9" t="n">
        <v>-78.73350000000001</v>
      </c>
      <c r="M2374" s="9" t="inlineStr">
        <is>
          <t>https://www.google.com/maps/place/?q=place_id:ChIJXYa-zMh004kRiGrBvQBy4sA</t>
        </is>
      </c>
    </row>
    <row r="2375">
      <c r="A2375" s="9" t="n">
        <v>2371</v>
      </c>
      <c r="B2375" s="9" t="inlineStr">
        <is>
          <t>Gramercy Park</t>
        </is>
      </c>
      <c r="C2375" s="9" t="inlineStr">
        <is>
          <t>Manhattan</t>
        </is>
      </c>
      <c r="D2375" s="9" t="inlineStr">
        <is>
          <t>New York</t>
        </is>
      </c>
      <c r="E2375" s="9" t="inlineStr">
        <is>
          <t>United States</t>
        </is>
      </c>
      <c r="F2375" s="9" t="n">
        <v>1</v>
      </c>
      <c r="G2375" s="9" t="n">
        <v>1</v>
      </c>
      <c r="H2375" s="9" t="n">
        <v>1</v>
      </c>
      <c r="I2375" s="10" t="n">
        <v>45911</v>
      </c>
      <c r="J2375" s="10" t="n">
        <v>45911</v>
      </c>
      <c r="K2375" s="9" t="n">
        <v>40.74716</v>
      </c>
      <c r="L2375" s="9" t="n">
        <v>-73.98196</v>
      </c>
      <c r="M2375" s="9" t="inlineStr">
        <is>
          <t>https://www.google.com/maps/place/?q=place_id:ChIJR1HomwdZwokRhnHT0bz7Zp0</t>
        </is>
      </c>
    </row>
    <row r="2376">
      <c r="A2376" s="9" t="n">
        <v>2372</v>
      </c>
      <c r="B2376" s="9" t="inlineStr">
        <is>
          <t>Upper West Side</t>
        </is>
      </c>
      <c r="C2376" s="9" t="inlineStr">
        <is>
          <t>Manhattan</t>
        </is>
      </c>
      <c r="D2376" s="9" t="inlineStr">
        <is>
          <t>New York</t>
        </is>
      </c>
      <c r="E2376" s="9" t="inlineStr">
        <is>
          <t>United States</t>
        </is>
      </c>
      <c r="F2376" s="9" t="n">
        <v>1</v>
      </c>
      <c r="G2376" s="9" t="n">
        <v>1</v>
      </c>
      <c r="H2376" s="9" t="n">
        <v>1</v>
      </c>
      <c r="I2376" s="10" t="n">
        <v>45912</v>
      </c>
      <c r="J2376" s="10" t="n">
        <v>45912</v>
      </c>
      <c r="K2376" s="9" t="n">
        <v>40.78249</v>
      </c>
      <c r="L2376" s="9" t="n">
        <v>-73.97423000000001</v>
      </c>
      <c r="M2376" s="9" t="inlineStr">
        <is>
          <t>https://www.google.com/maps/place/?q=place_id:ChIJv8mWqY9YwokRIzh7-8yBA14</t>
        </is>
      </c>
    </row>
    <row r="2377">
      <c r="A2377" s="9" t="n">
        <v>2373</v>
      </c>
      <c r="B2377" s="9" t="inlineStr">
        <is>
          <t>Times Square</t>
        </is>
      </c>
      <c r="C2377" s="9" t="inlineStr">
        <is>
          <t>Manhattan</t>
        </is>
      </c>
      <c r="D2377" s="9" t="inlineStr">
        <is>
          <t>New York</t>
        </is>
      </c>
      <c r="E2377" s="9" t="inlineStr">
        <is>
          <t>United States</t>
        </is>
      </c>
      <c r="F2377" s="9" t="n">
        <v>1</v>
      </c>
      <c r="G2377" s="9" t="n">
        <v>1</v>
      </c>
      <c r="H2377" s="9" t="n">
        <v>1</v>
      </c>
      <c r="I2377" s="10" t="n">
        <v>45912</v>
      </c>
      <c r="J2377" s="10" t="n">
        <v>45912</v>
      </c>
      <c r="K2377" s="9" t="n">
        <v>40.75653</v>
      </c>
      <c r="L2377" s="9" t="n">
        <v>-73.98835</v>
      </c>
      <c r="M2377" s="9" t="inlineStr">
        <is>
          <t>https://www.google.com/maps/place/?q=place_id:ChIJ8VOfr1RYwokRhil9_pcMKuc</t>
        </is>
      </c>
    </row>
    <row r="2378">
      <c r="A2378" s="9" t="n">
        <v>2374</v>
      </c>
      <c r="B2378" s="9" t="inlineStr">
        <is>
          <t>Times Square</t>
        </is>
      </c>
      <c r="C2378" s="9" t="inlineStr">
        <is>
          <t>Manhattan</t>
        </is>
      </c>
      <c r="D2378" s="9" t="inlineStr">
        <is>
          <t>New York</t>
        </is>
      </c>
      <c r="E2378" s="9" t="inlineStr">
        <is>
          <t>United States</t>
        </is>
      </c>
      <c r="F2378" s="9" t="n">
        <v>1</v>
      </c>
      <c r="G2378" s="9" t="n">
        <v>1</v>
      </c>
      <c r="H2378" s="9" t="n">
        <v>1</v>
      </c>
      <c r="I2378" s="10" t="n">
        <v>45912</v>
      </c>
      <c r="J2378" s="10" t="n">
        <v>45912</v>
      </c>
      <c r="K2378" s="9" t="n">
        <v>40.75771</v>
      </c>
      <c r="L2378" s="9" t="n">
        <v>-73.98912</v>
      </c>
      <c r="M2378" s="9" t="inlineStr">
        <is>
          <t>https://www.google.com/maps/place/?q=place_id:ChIJheoaY1NYwokRpkXrShShXe8</t>
        </is>
      </c>
    </row>
    <row r="2379">
      <c r="A2379" s="9" t="n">
        <v>2375</v>
      </c>
      <c r="B2379" s="9" t="inlineStr">
        <is>
          <t>East Village</t>
        </is>
      </c>
      <c r="C2379" s="9" t="inlineStr">
        <is>
          <t>New York City</t>
        </is>
      </c>
      <c r="D2379" s="9" t="inlineStr">
        <is>
          <t>New York</t>
        </is>
      </c>
      <c r="E2379" s="9" t="inlineStr">
        <is>
          <t>United States</t>
        </is>
      </c>
      <c r="F2379" s="9" t="n">
        <v>2</v>
      </c>
      <c r="G2379" s="9" t="n">
        <v>3</v>
      </c>
      <c r="H2379" s="9" t="n">
        <v>2</v>
      </c>
      <c r="I2379" s="10" t="n">
        <v>45911</v>
      </c>
      <c r="J2379" s="10" t="n">
        <v>45927</v>
      </c>
      <c r="K2379" s="9" t="n">
        <v>40.72378</v>
      </c>
      <c r="L2379" s="9" t="n">
        <v>-73.98849</v>
      </c>
      <c r="M2379" s="9" t="inlineStr">
        <is>
          <t>https://www.google.com/maps/place/?q=place_id:ChIJ6fOreINZwokRn3xfDTYAnVg</t>
        </is>
      </c>
    </row>
    <row r="2380">
      <c r="A2380" s="9" t="n">
        <v>2376</v>
      </c>
      <c r="B2380" s="9" t="inlineStr">
        <is>
          <t>Elizabeth</t>
        </is>
      </c>
      <c r="C2380" s="9" t="inlineStr">
        <is>
          <t>New York City</t>
        </is>
      </c>
      <c r="D2380" s="9" t="inlineStr">
        <is>
          <t>New York</t>
        </is>
      </c>
      <c r="E2380" s="9" t="inlineStr">
        <is>
          <t>United States</t>
        </is>
      </c>
      <c r="F2380" s="9" t="n">
        <v>2</v>
      </c>
      <c r="G2380" s="9" t="n">
        <v>2</v>
      </c>
      <c r="H2380" s="9" t="n">
        <v>2</v>
      </c>
      <c r="I2380" s="10" t="n">
        <v>45912</v>
      </c>
      <c r="J2380" s="10" t="n">
        <v>45925</v>
      </c>
      <c r="K2380" s="9" t="n">
        <v>40.68848</v>
      </c>
      <c r="L2380" s="9" t="n">
        <v>-74.17686</v>
      </c>
      <c r="M2380" s="9" t="inlineStr">
        <is>
          <t>https://www.google.com/maps/place/?q=place_id:ChIJ7wzsxeFSwokRhvLXxTe087M</t>
        </is>
      </c>
    </row>
    <row r="2381">
      <c r="A2381" s="9" t="n">
        <v>2377</v>
      </c>
      <c r="B2381" s="9" t="inlineStr">
        <is>
          <t>Times Square</t>
        </is>
      </c>
      <c r="C2381" s="9" t="inlineStr">
        <is>
          <t>New York City</t>
        </is>
      </c>
      <c r="D2381" s="9" t="inlineStr">
        <is>
          <t>New York</t>
        </is>
      </c>
      <c r="E2381" s="9" t="inlineStr">
        <is>
          <t>United States</t>
        </is>
      </c>
      <c r="F2381" s="9" t="n">
        <v>2</v>
      </c>
      <c r="G2381" s="9" t="n">
        <v>2</v>
      </c>
      <c r="H2381" s="9" t="n">
        <v>1</v>
      </c>
      <c r="I2381" s="10" t="n">
        <v>45926</v>
      </c>
      <c r="J2381" s="10" t="n">
        <v>45927</v>
      </c>
      <c r="K2381" s="9" t="n">
        <v>40.75057</v>
      </c>
      <c r="L2381" s="9" t="n">
        <v>-73.99352</v>
      </c>
      <c r="M2381" s="9" t="inlineStr">
        <is>
          <t>https://www.google.com/maps/place/?q=place_id:ChIJy62yFa5ZwokRun79NAZCVXk</t>
        </is>
      </c>
    </row>
    <row r="2382">
      <c r="A2382" s="9" t="n">
        <v>2378</v>
      </c>
      <c r="B2382" s="9" t="inlineStr">
        <is>
          <t>Financial District</t>
        </is>
      </c>
      <c r="C2382" s="9" t="inlineStr">
        <is>
          <t>New York City</t>
        </is>
      </c>
      <c r="D2382" s="9" t="inlineStr">
        <is>
          <t>New York</t>
        </is>
      </c>
      <c r="E2382" s="9" t="inlineStr">
        <is>
          <t>United States</t>
        </is>
      </c>
      <c r="F2382" s="9" t="n">
        <v>1</v>
      </c>
      <c r="G2382" s="9" t="n">
        <v>2</v>
      </c>
      <c r="H2382" s="9" t="n">
        <v>1</v>
      </c>
      <c r="I2382" s="10" t="n">
        <v>45910</v>
      </c>
      <c r="J2382" s="10" t="n">
        <v>45911</v>
      </c>
      <c r="K2382" s="9" t="n">
        <v>40.71274</v>
      </c>
      <c r="L2382" s="9" t="n">
        <v>-74.01338</v>
      </c>
      <c r="M2382" s="9" t="inlineStr">
        <is>
          <t>https://www.google.com/maps/place/?q=place_id:ChIJy7cGfBlawokR5l2e93hsoEA</t>
        </is>
      </c>
    </row>
    <row r="2383">
      <c r="A2383" s="9" t="n">
        <v>2379</v>
      </c>
      <c r="B2383" s="9" t="inlineStr">
        <is>
          <t>Financial District</t>
        </is>
      </c>
      <c r="C2383" s="9" t="inlineStr">
        <is>
          <t>New York City</t>
        </is>
      </c>
      <c r="D2383" s="9" t="inlineStr">
        <is>
          <t>New York</t>
        </is>
      </c>
      <c r="E2383" s="9" t="inlineStr">
        <is>
          <t>United States</t>
        </is>
      </c>
      <c r="F2383" s="9" t="n">
        <v>1</v>
      </c>
      <c r="G2383" s="9" t="n">
        <v>1</v>
      </c>
      <c r="H2383" s="9" t="n">
        <v>1</v>
      </c>
      <c r="I2383" s="10" t="n">
        <v>45911</v>
      </c>
      <c r="J2383" s="10" t="n">
        <v>45911</v>
      </c>
      <c r="K2383" s="9" t="n">
        <v>40.70557</v>
      </c>
      <c r="L2383" s="9" t="n">
        <v>-74.01345000000001</v>
      </c>
      <c r="M2383" s="9" t="inlineStr">
        <is>
          <t>https://www.google.com/maps/place/?q=place_id:ChIJURWoF5pYwokRIfXv4To528c</t>
        </is>
      </c>
    </row>
    <row r="2384">
      <c r="A2384" s="9" t="n">
        <v>2380</v>
      </c>
      <c r="B2384" s="9" t="inlineStr">
        <is>
          <t>East Village</t>
        </is>
      </c>
      <c r="C2384" s="9" t="inlineStr">
        <is>
          <t>New York City</t>
        </is>
      </c>
      <c r="D2384" s="9" t="inlineStr">
        <is>
          <t>New York</t>
        </is>
      </c>
      <c r="E2384" s="9" t="inlineStr">
        <is>
          <t>United States</t>
        </is>
      </c>
      <c r="F2384" s="9" t="n">
        <v>1</v>
      </c>
      <c r="G2384" s="9" t="n">
        <v>1</v>
      </c>
      <c r="H2384" s="9" t="n">
        <v>1</v>
      </c>
      <c r="I2384" s="10" t="n">
        <v>45911</v>
      </c>
      <c r="J2384" s="10" t="n">
        <v>45911</v>
      </c>
      <c r="K2384" s="9" t="n">
        <v>40.72753</v>
      </c>
      <c r="L2384" s="9" t="n">
        <v>-73.98105</v>
      </c>
      <c r="M2384" s="9" t="inlineStr">
        <is>
          <t>https://www.google.com/maps/place/?q=place_id:ChIJHyQNRfJZwokRUKn6bIGEJy0</t>
        </is>
      </c>
    </row>
    <row r="2385">
      <c r="A2385" s="9" t="n">
        <v>2381</v>
      </c>
      <c r="B2385" s="9" t="inlineStr">
        <is>
          <t>Jersey City</t>
        </is>
      </c>
      <c r="C2385" s="9" t="inlineStr">
        <is>
          <t>New York City</t>
        </is>
      </c>
      <c r="D2385" s="9" t="inlineStr">
        <is>
          <t>New York</t>
        </is>
      </c>
      <c r="E2385" s="9" t="inlineStr">
        <is>
          <t>United States</t>
        </is>
      </c>
      <c r="F2385" s="9" t="n">
        <v>1</v>
      </c>
      <c r="G2385" s="9" t="n">
        <v>1</v>
      </c>
      <c r="H2385" s="9" t="n">
        <v>1</v>
      </c>
      <c r="I2385" s="10" t="n">
        <v>45911</v>
      </c>
      <c r="J2385" s="10" t="n">
        <v>45911</v>
      </c>
      <c r="K2385" s="9" t="n">
        <v>40.70575</v>
      </c>
      <c r="L2385" s="9" t="n">
        <v>-74.04915</v>
      </c>
      <c r="M2385" s="9" t="inlineStr">
        <is>
          <t>https://www.google.com/maps/place/?q=place_id:ChIJo8sCS5NQwokRzK_a4MI1YL0</t>
        </is>
      </c>
    </row>
    <row r="2386">
      <c r="A2386" s="9" t="n">
        <v>2382</v>
      </c>
      <c r="B2386" s="9" t="inlineStr">
        <is>
          <t>East Village</t>
        </is>
      </c>
      <c r="C2386" s="9" t="inlineStr">
        <is>
          <t>New York City</t>
        </is>
      </c>
      <c r="D2386" s="9" t="inlineStr">
        <is>
          <t>New York</t>
        </is>
      </c>
      <c r="E2386" s="9" t="inlineStr">
        <is>
          <t>United States</t>
        </is>
      </c>
      <c r="F2386" s="9" t="n">
        <v>1</v>
      </c>
      <c r="G2386" s="9" t="n">
        <v>1</v>
      </c>
      <c r="H2386" s="9" t="n">
        <v>1</v>
      </c>
      <c r="I2386" s="10" t="n">
        <v>45926</v>
      </c>
      <c r="J2386" s="10" t="n">
        <v>45926</v>
      </c>
      <c r="K2386" s="9" t="n">
        <v>40.72447</v>
      </c>
      <c r="L2386" s="9" t="n">
        <v>-73.99045</v>
      </c>
      <c r="M2386" s="9" t="inlineStr">
        <is>
          <t>https://www.google.com/maps/place/?q=place_id:ChIJwVsY84RZwokRf55NUjmkKLQ</t>
        </is>
      </c>
    </row>
    <row r="2387">
      <c r="A2387" s="9" t="n">
        <v>2383</v>
      </c>
      <c r="B2387" s="9" t="inlineStr">
        <is>
          <t>Niagara Falls</t>
        </is>
      </c>
      <c r="C2387" s="9" t="inlineStr">
        <is>
          <t>Niagara Falls</t>
        </is>
      </c>
      <c r="D2387" s="9" t="inlineStr">
        <is>
          <t>New York</t>
        </is>
      </c>
      <c r="E2387" s="9" t="inlineStr">
        <is>
          <t>United States</t>
        </is>
      </c>
      <c r="F2387" s="9" t="n">
        <v>1</v>
      </c>
      <c r="G2387" s="9" t="n">
        <v>1</v>
      </c>
      <c r="H2387" s="9" t="n">
        <v>1</v>
      </c>
      <c r="I2387" s="10" t="n">
        <v>45905</v>
      </c>
      <c r="J2387" s="10" t="n">
        <v>45905</v>
      </c>
      <c r="K2387" s="9" t="n">
        <v>43.08914</v>
      </c>
      <c r="L2387" s="9" t="n">
        <v>-79.0591</v>
      </c>
      <c r="M2387" s="9" t="inlineStr">
        <is>
          <t>https://www.google.com/maps/place/?q=place_id:ChIJKcO5VOFC04kR_CkozwyMzAM</t>
        </is>
      </c>
    </row>
    <row r="2388">
      <c r="A2388" s="9" t="n">
        <v>2384</v>
      </c>
      <c r="B2388" s="9" t="inlineStr">
        <is>
          <t>Niagara Falls</t>
        </is>
      </c>
      <c r="C2388" s="9" t="inlineStr">
        <is>
          <t>Niagara Falls</t>
        </is>
      </c>
      <c r="D2388" s="9" t="inlineStr">
        <is>
          <t>New York</t>
        </is>
      </c>
      <c r="E2388" s="9" t="inlineStr">
        <is>
          <t>United States</t>
        </is>
      </c>
      <c r="F2388" s="9" t="n">
        <v>1</v>
      </c>
      <c r="G2388" s="9" t="n">
        <v>1</v>
      </c>
      <c r="H2388" s="9" t="n">
        <v>1</v>
      </c>
      <c r="I2388" s="10" t="n">
        <v>45906</v>
      </c>
      <c r="J2388" s="10" t="n">
        <v>45906</v>
      </c>
      <c r="K2388" s="9" t="n">
        <v>43.0863</v>
      </c>
      <c r="L2388" s="9" t="n">
        <v>-79.06641999999999</v>
      </c>
      <c r="M2388" s="9" t="inlineStr">
        <is>
          <t>https://www.google.com/maps/place/?q=place_id:ChIJXacn7eJC04kRFwjMq0i1VtU</t>
        </is>
      </c>
    </row>
    <row r="2389">
      <c r="A2389" s="9" t="n">
        <v>2385</v>
      </c>
      <c r="B2389" s="9" t="inlineStr">
        <is>
          <t>Springfield Gardens</t>
        </is>
      </c>
      <c r="C2389" s="9" t="inlineStr">
        <is>
          <t>Queens</t>
        </is>
      </c>
      <c r="D2389" s="9" t="inlineStr">
        <is>
          <t>New York</t>
        </is>
      </c>
      <c r="E2389" s="9" t="inlineStr">
        <is>
          <t>United States</t>
        </is>
      </c>
      <c r="F2389" s="9" t="n">
        <v>2</v>
      </c>
      <c r="G2389" s="9" t="n">
        <v>2</v>
      </c>
      <c r="H2389" s="9" t="n">
        <v>2</v>
      </c>
      <c r="I2389" s="10" t="n">
        <v>45904</v>
      </c>
      <c r="J2389" s="10" t="n">
        <v>45929</v>
      </c>
      <c r="K2389" s="9" t="n">
        <v>40.64461</v>
      </c>
      <c r="L2389" s="9" t="n">
        <v>-73.77973</v>
      </c>
      <c r="M2389" s="9" t="inlineStr">
        <is>
          <t>https://www.google.com/maps/place/?q=place_id:ChIJR0lA1VBmwokR8BGfSBOyT-w</t>
        </is>
      </c>
    </row>
    <row r="2390">
      <c r="A2390" s="9" t="n">
        <v>2386</v>
      </c>
      <c r="B2390" s="9" t="inlineStr">
        <is>
          <t>East Elmhurst</t>
        </is>
      </c>
      <c r="C2390" s="9" t="inlineStr">
        <is>
          <t>The Bronx</t>
        </is>
      </c>
      <c r="D2390" s="9" t="inlineStr">
        <is>
          <t>New York</t>
        </is>
      </c>
      <c r="E2390" s="9" t="inlineStr">
        <is>
          <t>United States</t>
        </is>
      </c>
      <c r="F2390" s="9" t="n">
        <v>1</v>
      </c>
      <c r="G2390" s="9" t="n">
        <v>2</v>
      </c>
      <c r="H2390" s="9" t="n">
        <v>1</v>
      </c>
      <c r="I2390" s="10" t="n">
        <v>45904</v>
      </c>
      <c r="J2390" s="10" t="n">
        <v>45905</v>
      </c>
      <c r="K2390" s="9" t="n">
        <v>40.77664</v>
      </c>
      <c r="L2390" s="9" t="n">
        <v>-73.87425</v>
      </c>
      <c r="M2390" s="9" t="inlineStr">
        <is>
          <t>https://www.google.com/maps/place/?q=place_id:ChIJtU1Cg4lfwokRs2aWDmbEL3c</t>
        </is>
      </c>
    </row>
    <row r="2391">
      <c r="A2391" s="9" t="n">
        <v>2387</v>
      </c>
      <c r="B2391" s="9" t="inlineStr">
        <is>
          <t>Altoona</t>
        </is>
      </c>
      <c r="C2391" s="9" t="inlineStr">
        <is>
          <t>Altoona</t>
        </is>
      </c>
      <c r="D2391" s="9" t="inlineStr">
        <is>
          <t>Pennsylvania</t>
        </is>
      </c>
      <c r="E2391" s="9" t="inlineStr">
        <is>
          <t>United States</t>
        </is>
      </c>
      <c r="F2391" s="9" t="n">
        <v>1</v>
      </c>
      <c r="G2391" s="9" t="n">
        <v>1</v>
      </c>
      <c r="H2391" s="9" t="n">
        <v>1</v>
      </c>
      <c r="I2391" s="10" t="n">
        <v>45907</v>
      </c>
      <c r="J2391" s="10" t="n">
        <v>45907</v>
      </c>
      <c r="K2391" s="9" t="n">
        <v>39.99984</v>
      </c>
      <c r="L2391" s="9" t="n">
        <v>-78.23974</v>
      </c>
      <c r="M2391" s="9" t="inlineStr">
        <is>
          <t>https://www.google.com/maps/place/?q=place_id:ChIJ7VxQ1_s0yokROGO81KZTb1Q</t>
        </is>
      </c>
    </row>
    <row r="2392">
      <c r="A2392" s="9" t="n">
        <v>2388</v>
      </c>
      <c r="B2392" s="9" t="inlineStr">
        <is>
          <t>Erie</t>
        </is>
      </c>
      <c r="C2392" s="9" t="inlineStr">
        <is>
          <t>Erie</t>
        </is>
      </c>
      <c r="D2392" s="9" t="inlineStr">
        <is>
          <t>Pennsylvania</t>
        </is>
      </c>
      <c r="E2392" s="9" t="inlineStr">
        <is>
          <t>United States</t>
        </is>
      </c>
      <c r="F2392" s="9" t="n">
        <v>1</v>
      </c>
      <c r="G2392" s="9" t="n">
        <v>1</v>
      </c>
      <c r="H2392" s="9" t="n">
        <v>1</v>
      </c>
      <c r="I2392" s="10" t="n">
        <v>45906</v>
      </c>
      <c r="J2392" s="10" t="n">
        <v>45906</v>
      </c>
      <c r="K2392" s="9" t="n">
        <v>41.88047</v>
      </c>
      <c r="L2392" s="9" t="n">
        <v>-80.17324000000001</v>
      </c>
      <c r="M2392" s="9" t="inlineStr">
        <is>
          <t>https://www.google.com/maps/place/?q=place_id:ChIJh9FCNURhMogR_GLs9_D8vHY</t>
        </is>
      </c>
    </row>
    <row r="2393">
      <c r="A2393" s="9" t="n">
        <v>2389</v>
      </c>
      <c r="B2393" s="9" t="inlineStr">
        <is>
          <t>Monroeville</t>
        </is>
      </c>
      <c r="C2393" s="9" t="inlineStr">
        <is>
          <t>Monroeville</t>
        </is>
      </c>
      <c r="D2393" s="9" t="inlineStr">
        <is>
          <t>Pennsylvania</t>
        </is>
      </c>
      <c r="E2393" s="9" t="inlineStr">
        <is>
          <t>United States</t>
        </is>
      </c>
      <c r="F2393" s="9" t="n">
        <v>1</v>
      </c>
      <c r="G2393" s="9" t="n">
        <v>2</v>
      </c>
      <c r="H2393" s="9" t="n">
        <v>1</v>
      </c>
      <c r="I2393" s="10" t="n">
        <v>45906</v>
      </c>
      <c r="J2393" s="10" t="n">
        <v>45907</v>
      </c>
      <c r="K2393" s="9" t="n">
        <v>40.44101</v>
      </c>
      <c r="L2393" s="9" t="n">
        <v>-79.80516</v>
      </c>
      <c r="M2393" s="9" t="inlineStr">
        <is>
          <t>https://www.google.com/maps/place/?q=place_id:ChIJR8c__sHrNIgR5xUOqHCxiRU</t>
        </is>
      </c>
    </row>
    <row r="2394">
      <c r="A2394" s="9" t="n">
        <v>2390</v>
      </c>
      <c r="B2394" s="9" t="inlineStr">
        <is>
          <t>Lindenwold</t>
        </is>
      </c>
      <c r="C2394" s="9" t="inlineStr">
        <is>
          <t>Philadelphia</t>
        </is>
      </c>
      <c r="D2394" s="9" t="inlineStr">
        <is>
          <t>Pennsylvania</t>
        </is>
      </c>
      <c r="E2394" s="9" t="inlineStr">
        <is>
          <t>United States</t>
        </is>
      </c>
      <c r="F2394" s="9" t="n">
        <v>2</v>
      </c>
      <c r="G2394" s="9" t="n">
        <v>2</v>
      </c>
      <c r="H2394" s="9" t="n">
        <v>1</v>
      </c>
      <c r="I2394" s="10" t="n">
        <v>45927</v>
      </c>
      <c r="J2394" s="10" t="n">
        <v>45929</v>
      </c>
      <c r="K2394" s="9" t="n">
        <v>39.7847</v>
      </c>
      <c r="L2394" s="9" t="n">
        <v>-75.05249999999999</v>
      </c>
      <c r="M2394" s="9" t="inlineStr">
        <is>
          <t>https://www.google.com/maps/place/?q=place_id:ChIJY3KLWy3SxokR-KdMIPlTjyk</t>
        </is>
      </c>
    </row>
    <row r="2395">
      <c r="A2395" s="9" t="n">
        <v>2391</v>
      </c>
      <c r="B2395" s="9" t="inlineStr">
        <is>
          <t>Rittenhouse</t>
        </is>
      </c>
      <c r="C2395" s="9" t="inlineStr">
        <is>
          <t>Philadelphia</t>
        </is>
      </c>
      <c r="D2395" s="9" t="inlineStr">
        <is>
          <t>Pennsylvania</t>
        </is>
      </c>
      <c r="E2395" s="9" t="inlineStr">
        <is>
          <t>United States</t>
        </is>
      </c>
      <c r="F2395" s="9" t="n">
        <v>1</v>
      </c>
      <c r="G2395" s="9" t="n">
        <v>1</v>
      </c>
      <c r="H2395" s="9" t="n">
        <v>1</v>
      </c>
      <c r="I2395" s="10" t="n">
        <v>45910</v>
      </c>
      <c r="J2395" s="10" t="n">
        <v>45910</v>
      </c>
      <c r="K2395" s="9" t="n">
        <v>39.95568</v>
      </c>
      <c r="L2395" s="9" t="n">
        <v>-75.17256999999999</v>
      </c>
      <c r="M2395" s="9" t="inlineStr">
        <is>
          <t>https://www.google.com/maps/place/?q=place_id:ChIJFweiSFfHxokR48LhMjKCrDo</t>
        </is>
      </c>
    </row>
    <row r="2396">
      <c r="A2396" s="9" t="n">
        <v>2392</v>
      </c>
      <c r="B2396" s="9" t="inlineStr">
        <is>
          <t>Center City</t>
        </is>
      </c>
      <c r="C2396" s="9" t="inlineStr">
        <is>
          <t>Philadelphia</t>
        </is>
      </c>
      <c r="D2396" s="9" t="inlineStr">
        <is>
          <t>Pennsylvania</t>
        </is>
      </c>
      <c r="E2396" s="9" t="inlineStr">
        <is>
          <t>United States</t>
        </is>
      </c>
      <c r="F2396" s="9" t="n">
        <v>1</v>
      </c>
      <c r="G2396" s="9" t="n">
        <v>1</v>
      </c>
      <c r="H2396" s="9" t="n">
        <v>1</v>
      </c>
      <c r="I2396" s="10" t="n">
        <v>45910</v>
      </c>
      <c r="J2396" s="10" t="n">
        <v>45910</v>
      </c>
      <c r="K2396" s="9" t="n">
        <v>39.94953</v>
      </c>
      <c r="L2396" s="9" t="n">
        <v>-75.14973000000001</v>
      </c>
      <c r="M2396" s="9" t="inlineStr">
        <is>
          <t>https://www.google.com/maps/place/?q=place_id:ChIJGVDvkoTIxokRIQNxPpqAR4Y</t>
        </is>
      </c>
    </row>
    <row r="2397">
      <c r="A2397" s="9" t="n">
        <v>2393</v>
      </c>
      <c r="B2397" s="9" t="inlineStr">
        <is>
          <t>Centreville</t>
        </is>
      </c>
      <c r="C2397" s="9" t="inlineStr">
        <is>
          <t>Centreville</t>
        </is>
      </c>
      <c r="D2397" s="9" t="inlineStr">
        <is>
          <t>Virginia</t>
        </is>
      </c>
      <c r="E2397" s="9" t="inlineStr">
        <is>
          <t>United States</t>
        </is>
      </c>
      <c r="F2397" s="9" t="n">
        <v>2</v>
      </c>
      <c r="G2397" s="9" t="n">
        <v>2</v>
      </c>
      <c r="H2397" s="9" t="n">
        <v>2</v>
      </c>
      <c r="I2397" s="10" t="n">
        <v>45908</v>
      </c>
      <c r="J2397" s="10" t="n">
        <v>45922</v>
      </c>
      <c r="K2397" s="9" t="n">
        <v>38.82603</v>
      </c>
      <c r="L2397" s="9" t="n">
        <v>-77.38012999999999</v>
      </c>
      <c r="M2397" s="9" t="inlineStr">
        <is>
          <t>https://www.google.com/maps/place/?q=place_id:ChIJe_xIEmJFtokRyurTiaF4Vrs</t>
        </is>
      </c>
    </row>
    <row r="2398">
      <c r="A2398" s="9" t="n">
        <v>2394</v>
      </c>
      <c r="B2398" s="9" t="inlineStr">
        <is>
          <t>Chantilly</t>
        </is>
      </c>
      <c r="C2398" s="9" t="inlineStr">
        <is>
          <t>Chantilly</t>
        </is>
      </c>
      <c r="D2398" s="9" t="inlineStr">
        <is>
          <t>Virginia</t>
        </is>
      </c>
      <c r="E2398" s="9" t="inlineStr">
        <is>
          <t>United States</t>
        </is>
      </c>
      <c r="F2398" s="9" t="n">
        <v>5</v>
      </c>
      <c r="G2398" s="9" t="n">
        <v>3</v>
      </c>
      <c r="H2398" s="9" t="n">
        <v>1</v>
      </c>
      <c r="I2398" s="10" t="n">
        <v>45920</v>
      </c>
      <c r="J2398" s="10" t="n">
        <v>45922</v>
      </c>
      <c r="K2398" s="9" t="n">
        <v>38.88693</v>
      </c>
      <c r="L2398" s="9" t="n">
        <v>-77.44332</v>
      </c>
      <c r="M2398" s="9" t="inlineStr">
        <is>
          <t>https://www.google.com/maps/place/?q=place_id:ChIJO8LecSdEtokRICfolTbbXOE</t>
        </is>
      </c>
    </row>
    <row r="2399">
      <c r="A2399" s="9" t="n">
        <v>2395</v>
      </c>
      <c r="B2399" s="9" t="inlineStr">
        <is>
          <t>Chantilly</t>
        </is>
      </c>
      <c r="C2399" s="9" t="inlineStr">
        <is>
          <t>Chantilly</t>
        </is>
      </c>
      <c r="D2399" s="9" t="inlineStr">
        <is>
          <t>Virginia</t>
        </is>
      </c>
      <c r="E2399" s="9" t="inlineStr">
        <is>
          <t>United States</t>
        </is>
      </c>
      <c r="F2399" s="9" t="n">
        <v>1</v>
      </c>
      <c r="G2399" s="9" t="n">
        <v>1</v>
      </c>
      <c r="H2399" s="9" t="n">
        <v>1</v>
      </c>
      <c r="I2399" s="10" t="n">
        <v>45921</v>
      </c>
      <c r="J2399" s="10" t="n">
        <v>45921</v>
      </c>
      <c r="K2399" s="9" t="n">
        <v>38.87729</v>
      </c>
      <c r="L2399" s="9" t="n">
        <v>-77.43107000000001</v>
      </c>
      <c r="M2399" s="9" t="inlineStr">
        <is>
          <t>https://www.google.com/maps/place/?q=place_id:ChIJqdA67zFEtokRcj7ZFEGY7XQ</t>
        </is>
      </c>
    </row>
    <row r="2400">
      <c r="A2400" s="9" t="n">
        <v>2396</v>
      </c>
      <c r="B2400" s="9" t="inlineStr">
        <is>
          <t>Chantilly</t>
        </is>
      </c>
      <c r="C2400" s="9" t="inlineStr">
        <is>
          <t>Chantilly</t>
        </is>
      </c>
      <c r="D2400" s="9" t="inlineStr">
        <is>
          <t>Virginia</t>
        </is>
      </c>
      <c r="E2400" s="9" t="inlineStr">
        <is>
          <t>United States</t>
        </is>
      </c>
      <c r="F2400" s="9" t="n">
        <v>1</v>
      </c>
      <c r="G2400" s="9" t="n">
        <v>1</v>
      </c>
      <c r="H2400" s="9" t="n">
        <v>1</v>
      </c>
      <c r="I2400" s="10" t="n">
        <v>45921</v>
      </c>
      <c r="J2400" s="10" t="n">
        <v>45921</v>
      </c>
      <c r="K2400" s="9" t="n">
        <v>38.89552</v>
      </c>
      <c r="L2400" s="9" t="n">
        <v>-77.44319</v>
      </c>
      <c r="M2400" s="9" t="inlineStr">
        <is>
          <t>https://www.google.com/maps/place/?q=place_id:ChIJl8bhNZlGtokR2ABgnLeumw8</t>
        </is>
      </c>
    </row>
    <row r="2401">
      <c r="A2401" s="9" t="n">
        <v>2397</v>
      </c>
      <c r="B2401" s="9" t="inlineStr">
        <is>
          <t>Chantilly</t>
        </is>
      </c>
      <c r="C2401" s="9" t="inlineStr">
        <is>
          <t>Chantilly</t>
        </is>
      </c>
      <c r="D2401" s="9" t="inlineStr">
        <is>
          <t>Virginia</t>
        </is>
      </c>
      <c r="E2401" s="9" t="inlineStr">
        <is>
          <t>United States</t>
        </is>
      </c>
      <c r="F2401" s="9" t="n">
        <v>1</v>
      </c>
      <c r="G2401" s="9" t="n">
        <v>1</v>
      </c>
      <c r="H2401" s="9" t="n">
        <v>1</v>
      </c>
      <c r="I2401" s="10" t="n">
        <v>45921</v>
      </c>
      <c r="J2401" s="10" t="n">
        <v>45921</v>
      </c>
      <c r="K2401" s="9" t="n">
        <v>38.87767</v>
      </c>
      <c r="L2401" s="9" t="n">
        <v>-77.43152000000001</v>
      </c>
      <c r="M2401" s="9" t="inlineStr">
        <is>
          <t>https://www.google.com/maps/place/?q=place_id:ChIJEZSa3TFEtokR6ZgtV6e1R0E</t>
        </is>
      </c>
    </row>
    <row r="2402">
      <c r="A2402" s="9" t="n">
        <v>2398</v>
      </c>
      <c r="B2402" s="9" t="inlineStr">
        <is>
          <t>Chantilly</t>
        </is>
      </c>
      <c r="C2402" s="9" t="inlineStr">
        <is>
          <t>Chantilly</t>
        </is>
      </c>
      <c r="D2402" s="9" t="inlineStr">
        <is>
          <t>Virginia</t>
        </is>
      </c>
      <c r="E2402" s="9" t="inlineStr">
        <is>
          <t>United States</t>
        </is>
      </c>
      <c r="F2402" s="9" t="n">
        <v>1</v>
      </c>
      <c r="G2402" s="9" t="n">
        <v>1</v>
      </c>
      <c r="H2402" s="9" t="n">
        <v>1</v>
      </c>
      <c r="I2402" s="10" t="n">
        <v>45922</v>
      </c>
      <c r="J2402" s="10" t="n">
        <v>45922</v>
      </c>
      <c r="K2402" s="9" t="n">
        <v>38.88918</v>
      </c>
      <c r="L2402" s="9" t="n">
        <v>-77.44313</v>
      </c>
      <c r="M2402" s="9" t="inlineStr">
        <is>
          <t>https://www.google.com/maps/place/?q=place_id:ChIJad5DmiBEtokRmVaDeXneUJY</t>
        </is>
      </c>
    </row>
    <row r="2403">
      <c r="A2403" s="9" t="n">
        <v>2399</v>
      </c>
      <c r="B2403" s="9" t="inlineStr">
        <is>
          <t>South Riding</t>
        </is>
      </c>
      <c r="C2403" s="9" t="inlineStr">
        <is>
          <t>South Riding</t>
        </is>
      </c>
      <c r="D2403" s="9" t="inlineStr">
        <is>
          <t>Virginia</t>
        </is>
      </c>
      <c r="E2403" s="9" t="inlineStr">
        <is>
          <t>United States</t>
        </is>
      </c>
      <c r="F2403" s="9" t="n">
        <v>1</v>
      </c>
      <c r="G2403" s="9" t="n">
        <v>1</v>
      </c>
      <c r="H2403" s="9" t="n">
        <v>1</v>
      </c>
      <c r="I2403" s="10" t="n">
        <v>45920</v>
      </c>
      <c r="J2403" s="10" t="n">
        <v>45920</v>
      </c>
      <c r="K2403" s="9" t="n">
        <v>38.95225</v>
      </c>
      <c r="L2403" s="9" t="n">
        <v>-77.45789000000001</v>
      </c>
      <c r="M2403" s="9" t="inlineStr">
        <is>
          <t>https://www.google.com/maps/place/?q=place_id:ChIJV7BOF0BHtokRHWCAECDLAY4</t>
        </is>
      </c>
    </row>
    <row r="2404">
      <c r="A2404" s="9" t="n">
        <v>2400</v>
      </c>
      <c r="B2404" s="9" t="inlineStr">
        <is>
          <t>Wheeling</t>
        </is>
      </c>
      <c r="C2404" s="9" t="inlineStr">
        <is>
          <t>Wheeling</t>
        </is>
      </c>
      <c r="D2404" s="9" t="inlineStr">
        <is>
          <t>West Virginia</t>
        </is>
      </c>
      <c r="E2404" s="9" t="inlineStr">
        <is>
          <t>United States</t>
        </is>
      </c>
      <c r="F2404" s="9" t="n">
        <v>1</v>
      </c>
      <c r="G2404" s="9" t="n">
        <v>1</v>
      </c>
      <c r="H2404" s="9" t="n">
        <v>1</v>
      </c>
      <c r="I2404" s="10" t="n">
        <v>45907</v>
      </c>
      <c r="J2404" s="10" t="n">
        <v>45907</v>
      </c>
      <c r="K2404" s="9" t="n">
        <v>39.96685</v>
      </c>
      <c r="L2404" s="9" t="n">
        <v>-80.60684999999999</v>
      </c>
      <c r="M2404" s="9" t="inlineStr">
        <is>
          <t>https://www.google.com/maps/place/?q=place_id:ChIJ5e-R0L_gNYgRjstcGArhfWw</t>
        </is>
      </c>
    </row>
    <row r="2405">
      <c r="A2405" s="9" t="n">
        <v>2401</v>
      </c>
      <c r="B2405" s="9" t="inlineStr">
        <is>
          <t>Wheeling</t>
        </is>
      </c>
      <c r="C2405" s="9" t="inlineStr">
        <is>
          <t>Wheeling</t>
        </is>
      </c>
      <c r="D2405" s="9" t="inlineStr">
        <is>
          <t>West Virginia</t>
        </is>
      </c>
      <c r="E2405" s="9" t="inlineStr">
        <is>
          <t>United States</t>
        </is>
      </c>
      <c r="F2405" s="9" t="n">
        <v>1</v>
      </c>
      <c r="G2405" s="9" t="n">
        <v>1</v>
      </c>
      <c r="H2405" s="9" t="n">
        <v>1</v>
      </c>
      <c r="I2405" s="10" t="n">
        <v>45907</v>
      </c>
      <c r="J2405" s="10" t="n">
        <v>45907</v>
      </c>
      <c r="K2405" s="9" t="n">
        <v>39.962</v>
      </c>
      <c r="L2405" s="9" t="n">
        <v>-80.60388</v>
      </c>
      <c r="M2405" s="9" t="inlineStr">
        <is>
          <t>https://www.google.com/maps/place/?q=place_id:ChIJYTxQFOTCNYgRMxqcAEe1TW4</t>
        </is>
      </c>
    </row>
    <row r="2406">
      <c r="A2406" s="9" t="n">
        <v>2402</v>
      </c>
      <c r="B2406" s="9" t="inlineStr">
        <is>
          <t>Wheeling</t>
        </is>
      </c>
      <c r="C2406" s="9" t="inlineStr">
        <is>
          <t>Wheeling</t>
        </is>
      </c>
      <c r="D2406" s="9" t="inlineStr">
        <is>
          <t>West Virginia</t>
        </is>
      </c>
      <c r="E2406" s="9" t="inlineStr">
        <is>
          <t>United States</t>
        </is>
      </c>
      <c r="F2406" s="9" t="n">
        <v>1</v>
      </c>
      <c r="G2406" s="9" t="n">
        <v>1</v>
      </c>
      <c r="H2406" s="9" t="n">
        <v>1</v>
      </c>
      <c r="I2406" s="10" t="n">
        <v>45907</v>
      </c>
      <c r="J2406" s="10" t="n">
        <v>45907</v>
      </c>
      <c r="K2406" s="9" t="n">
        <v>39.96667</v>
      </c>
      <c r="L2406" s="9" t="n">
        <v>-80.60608999999999</v>
      </c>
      <c r="M2406" s="9" t="inlineStr">
        <is>
          <t>https://www.google.com/maps/place/?q=place_id:ChIJNwMRl-HCNYgR29p6idQxZ1U</t>
        </is>
      </c>
    </row>
    <row r="2407">
      <c r="A2407" s="9" t="n">
        <v>2403</v>
      </c>
      <c r="B2407" s="9" t="inlineStr">
        <is>
          <t>Wheeling</t>
        </is>
      </c>
      <c r="C2407" s="9" t="inlineStr">
        <is>
          <t>Wheeling</t>
        </is>
      </c>
      <c r="D2407" s="9" t="inlineStr">
        <is>
          <t>West Virginia</t>
        </is>
      </c>
      <c r="E2407" s="9" t="inlineStr">
        <is>
          <t>United States</t>
        </is>
      </c>
      <c r="F2407" s="9" t="n">
        <v>1</v>
      </c>
      <c r="G2407" s="9" t="n">
        <v>1</v>
      </c>
      <c r="H2407" s="9" t="n">
        <v>1</v>
      </c>
      <c r="I2407" s="10" t="n">
        <v>45907</v>
      </c>
      <c r="J2407" s="10" t="n">
        <v>45907</v>
      </c>
      <c r="K2407" s="9" t="n">
        <v>40.05646</v>
      </c>
      <c r="L2407" s="9" t="n">
        <v>-80.60171</v>
      </c>
      <c r="M2407" s="9" t="inlineStr">
        <is>
          <t>https://www.google.com/maps/place/?q=place_id:ChIJnQLNwRrFNYgRO3w-aWaq40E</t>
        </is>
      </c>
    </row>
  </sheetData>
  <autoFilter ref="A4:M2407"/>
  <pageMargins left="0.75" right="0.75" top="1" bottom="1" header="0.5" footer="0.5"/>
</worksheet>
</file>

<file path=xl/worksheets/sheet17.xml><?xml version="1.0" encoding="utf-8"?>
<worksheet xmlns="http://schemas.openxmlformats.org/spreadsheetml/2006/main">
  <sheetPr>
    <tabColor rgb="001F2A44"/>
    <outlinePr summaryBelow="1" summaryRight="1"/>
    <pageSetUpPr/>
  </sheetPr>
  <dimension ref="A1:N16"/>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NEXT STEP 1: Schengen multi-entry visa (2-yr -&gt; 5-yr)</t>
        </is>
      </c>
      <c r="C5" s="9" t="inlineStr">
        <is>
          <t>Apply via VFS (France/Germany/Switzerland), India</t>
        </is>
      </c>
      <c r="D5" s="9" t="inlineStr">
        <is>
          <t>Visa renewal - #1 priority</t>
        </is>
      </c>
      <c r="E5" s="9" t="inlineStr">
        <is>
          <t>Apply 3 months before next Europe yatra; passport renewal first if aiming for 5-yr</t>
        </is>
      </c>
      <c r="F5" s="9" t="inlineStr">
        <is>
          <t>EU cascade: 2 lawful Schengen visas in 3 yrs -&gt; 2-yr MEV; 5-yr needs ~5.5 yrs passport validity (yours ends Sep 2028)</t>
        </is>
      </c>
      <c r="G5" s="9" t="inlineStr">
        <is>
          <t>n/a</t>
        </is>
      </c>
      <c r="H5" s="9" t="inlineStr">
        <is>
          <t>EUR 90 + VFS fee; 15-45 days processing; docs: both used visas (Jul 2024, Oct 2025-Apr 2026), itinerary/invitation from ISKCON Europe, funds, insurance</t>
        </is>
      </c>
      <c r="I5" s="9" t="inlineStr">
        <is>
          <t>Single biggest reach gain (~65 destinations). Prefer German/Swiss-issued if Singapore 96-h transit matters. Ask explicitly for 'multiple entry, long validity'.</t>
        </is>
      </c>
      <c r="J5" s="22" t="inlineStr">
        <is>
          <t>High</t>
        </is>
      </c>
      <c r="K5" s="22" t="inlineStr">
        <is>
          <t>Planned</t>
        </is>
      </c>
      <c r="L5" s="22" t="inlineStr"/>
      <c r="M5" s="22" t="inlineStr"/>
      <c r="N5" s="10" t="n">
        <v>46316</v>
      </c>
    </row>
    <row r="6">
      <c r="A6" s="9" t="n">
        <v>2</v>
      </c>
      <c r="B6" s="9" t="inlineStr">
        <is>
          <t>NEXT STEP 2: UK Standard Visitor visa (2-yr or 5-yr)</t>
        </is>
      </c>
      <c r="C6" s="9" t="inlineStr">
        <is>
          <t>Apply online gov.uk + VFS biometrics, India</t>
        </is>
      </c>
      <c r="D6" s="9" t="inlineStr">
        <is>
          <t>Visa renewal - #2 priority</t>
        </is>
      </c>
      <c r="E6" s="9" t="inlineStr">
        <is>
          <t>Apply 4-6 weeks before next UK yatra (Bhaktivedanta Manor)</t>
        </is>
      </c>
      <c r="F6" s="9" t="inlineStr">
        <is>
          <t>Fees from 8 Apr 2026: GBP 135 (6-mo) / 506 (2-yr) / 903 (5-yr) / 1,128 (10-yr); max 6 months per visit</t>
        </is>
      </c>
      <c r="G6" s="9" t="inlineStr">
        <is>
          <t>n/a</t>
        </is>
      </c>
      <c r="H6" s="9" t="inlineStr">
        <is>
          <t>GBP 506-903; ~3 weeks; previous UK visa (Jun-Dec 2024, used) helps</t>
        </is>
      </c>
      <c r="I6" s="9" t="inlineStr">
        <is>
          <t>Also covers Ireland via BIVS (enter UK first). Gibraltar via UK visa ended 15 Jul 2026. Not ETA-eligible.</t>
        </is>
      </c>
      <c r="J6" s="22" t="inlineStr">
        <is>
          <t>High</t>
        </is>
      </c>
      <c r="K6" s="22" t="inlineStr">
        <is>
          <t>Planned</t>
        </is>
      </c>
      <c r="L6" s="22" t="inlineStr"/>
      <c r="M6" s="22" t="inlineStr"/>
      <c r="N6" s="10" t="n">
        <v>46316</v>
      </c>
    </row>
    <row r="7">
      <c r="A7" s="9" t="n">
        <v>3</v>
      </c>
      <c r="B7" s="9" t="inlineStr">
        <is>
          <t>NEXT STEP 0: Indian passport renewal</t>
        </is>
      </c>
      <c r="C7" s="9" t="inlineStr">
        <is>
          <t>Passport Seva Kendra, Hyderabad</t>
        </is>
      </c>
      <c r="D7" s="9" t="inlineStr">
        <is>
          <t>Pre-requisite</t>
        </is>
      </c>
      <c r="E7" s="9" t="inlineStr">
        <is>
          <t>Start by Sep 2027 at latest; earlier (2026-27) if applying for 5-yr Schengen</t>
        </is>
      </c>
      <c r="F7" s="9" t="inlineStr">
        <is>
          <t>Current passport expires 17 Sep 2028; 6-month rule bites from Mar 2028</t>
        </is>
      </c>
      <c r="G7" s="9" t="inlineStr">
        <is>
          <t>n/a</t>
        </is>
      </c>
      <c r="H7" s="9" t="inlineStr">
        <is>
          <t>Rs 1,500 (36 pp) / 2,000 (60 pp); e-passport issued since May 2025</t>
        </is>
      </c>
      <c r="I7" s="9" t="inlineStr">
        <is>
          <t>Carry OLD passport with US &amp; Australia visas; update Australia Home Affairs (ImmiAccount) with new passport number.</t>
        </is>
      </c>
      <c r="J7" s="22" t="inlineStr">
        <is>
          <t>High</t>
        </is>
      </c>
      <c r="K7" s="22" t="inlineStr">
        <is>
          <t>Planned</t>
        </is>
      </c>
      <c r="L7" s="22" t="inlineStr"/>
      <c r="M7" s="22" t="inlineStr"/>
      <c r="N7" s="10" t="n">
        <v>46316</v>
      </c>
    </row>
    <row r="8">
      <c r="A8" s="9" t="n">
        <v>4</v>
      </c>
      <c r="B8" s="9" t="inlineStr">
        <is>
          <t>Mysore Dasara</t>
        </is>
      </c>
      <c r="C8" s="9" t="inlineStr">
        <is>
          <t>Mysuru, Karnataka, India</t>
        </is>
      </c>
      <c r="D8" s="9" t="inlineStr">
        <is>
          <t>Festival yatra</t>
        </is>
      </c>
      <c r="E8" s="9" t="inlineStr">
        <is>
          <t>Sep-Oct (Navaratri)</t>
        </is>
      </c>
      <c r="F8" s="9" t="inlineStr">
        <is>
          <t>10 days ending Vijayadashami; Jamboo Savari on the last day</t>
        </is>
      </c>
      <c r="G8" s="9" t="inlineStr">
        <is>
          <t>3-4</t>
        </is>
      </c>
      <c r="H8" s="9" t="inlineStr">
        <is>
          <t>None (domestic)</t>
        </is>
      </c>
      <c r="I8" s="9" t="inlineStr">
        <is>
          <t>Palace illumination, Chamundi Hill, Jamboo Savari procession. Book stay months ahead; ISKCON Mysore nearby. Combine with Srirangapatna, Melukote.</t>
        </is>
      </c>
      <c r="J8" s="22" t="inlineStr">
        <is>
          <t>High</t>
        </is>
      </c>
      <c r="K8" s="22" t="inlineStr">
        <is>
          <t>Idea</t>
        </is>
      </c>
      <c r="L8" s="22" t="inlineStr"/>
      <c r="M8" s="22" t="inlineStr"/>
      <c r="N8" s="10" t="n">
        <v>46316</v>
      </c>
    </row>
    <row r="9">
      <c r="A9" s="9" t="n">
        <v>5</v>
      </c>
      <c r="B9" s="9" t="inlineStr">
        <is>
          <t>Tirupati Balaji Brahmotsavam</t>
        </is>
      </c>
      <c r="C9" s="9" t="inlineStr">
        <is>
          <t>Tirumala, Andhra Pradesh, India</t>
        </is>
      </c>
      <c r="D9" s="9" t="inlineStr">
        <is>
          <t>Festival yatra</t>
        </is>
      </c>
      <c r="E9" s="9" t="inlineStr">
        <is>
          <t>Sep-Oct (Salakatla Brahmotsavam); some years a 2nd Navaratri Brahmotsavam</t>
        </is>
      </c>
      <c r="F9" s="9" t="inlineStr">
        <is>
          <t>9 days; Garuda Seva day is the peak</t>
        </is>
      </c>
      <c r="G9" s="9" t="inlineStr">
        <is>
          <t>2-3</t>
        </is>
      </c>
      <c r="H9" s="9" t="inlineStr">
        <is>
          <t>None; TTD darshan tokens / SED booking via tirupatibalaji.ap.gov.in</t>
        </is>
      </c>
      <c r="I9" s="9" t="inlineStr">
        <is>
          <t>Vahana sevas each morning/evening; Garuda Seva night draws lakhs. Arrange accommodation via TTD or HKM contacts well in advance.</t>
        </is>
      </c>
      <c r="J9" s="22" t="inlineStr">
        <is>
          <t>High</t>
        </is>
      </c>
      <c r="K9" s="22" t="inlineStr">
        <is>
          <t>Idea</t>
        </is>
      </c>
      <c r="L9" s="22" t="inlineStr"/>
      <c r="M9" s="22" t="inlineStr"/>
      <c r="N9" s="10" t="n">
        <v>46316</v>
      </c>
    </row>
    <row r="10">
      <c r="A10" s="9" t="n">
        <v>6</v>
      </c>
      <c r="B10" s="9" t="inlineStr">
        <is>
          <t>Vaishno Devi</t>
        </is>
      </c>
      <c r="C10" s="9" t="inlineStr">
        <is>
          <t>Katra, Jammu &amp; Kashmir, India</t>
        </is>
      </c>
      <c r="D10" s="9" t="inlineStr">
        <is>
          <t>Shakti-peetha trek</t>
        </is>
      </c>
      <c r="E10" s="9" t="inlineStr">
        <is>
          <t>Mar-Jun and Sep-Nov (avoid peak summer rush and Jan snow)</t>
        </is>
      </c>
      <c r="F10" s="9" t="inlineStr">
        <is>
          <t>Navaratri very crowded</t>
        </is>
      </c>
      <c r="G10" s="9" t="inlineStr">
        <is>
          <t>3-4 (with travel)</t>
        </is>
      </c>
      <c r="H10" s="9" t="inlineStr">
        <is>
          <t>None; free RFID yatra card from SMVDSB (online or Katra)</t>
        </is>
      </c>
      <c r="I10" s="9" t="inlineStr">
        <is>
          <t>13 km trek from Katra (ponies/palki/helicopter available). Combine with Jammu Raghunath temple; optionally Amritsar.</t>
        </is>
      </c>
      <c r="J10" s="22" t="inlineStr">
        <is>
          <t>High</t>
        </is>
      </c>
      <c r="K10" s="22" t="inlineStr">
        <is>
          <t>Idea</t>
        </is>
      </c>
      <c r="L10" s="22" t="inlineStr"/>
      <c r="M10" s="22" t="inlineStr"/>
      <c r="N10" s="10" t="n">
        <v>46316</v>
      </c>
    </row>
    <row r="11">
      <c r="A11" s="9" t="n">
        <v>7</v>
      </c>
      <c r="B11" s="9" t="inlineStr">
        <is>
          <t>Amarnath Yatra</t>
        </is>
      </c>
      <c r="C11" s="9" t="inlineStr">
        <is>
          <t>Pahalgam / Baltal, Jammu &amp; Kashmir, India</t>
        </is>
      </c>
      <c r="D11" s="9" t="inlineStr">
        <is>
          <t>High-altitude cave pilgrimage</t>
        </is>
      </c>
      <c r="E11" s="9" t="inlineStr">
        <is>
          <t>Jul-Aug only (yatra window set yearly by SASB)</t>
        </is>
      </c>
      <c r="F11" s="9" t="inlineStr">
        <is>
          <t>~45-60 days, Ashadha Purnima to Shravana Purnima (Raksha Bandhan)</t>
        </is>
      </c>
      <c r="G11" s="9" t="inlineStr">
        <is>
          <t>5-7</t>
        </is>
      </c>
      <c r="H11" s="9" t="inlineStr">
        <is>
          <t>Compulsory SASB registration + Compulsory Health Certificate from authorised doctor; RFID card; age 13-70</t>
        </is>
      </c>
      <c r="I11" s="9" t="inlineStr">
        <is>
          <t>Register as soon as the window opens (Mar-Apr). Pahalgam route 32 km (3 days) or Baltal 14 km (1 day); helicopter options. Needs fitness prep.</t>
        </is>
      </c>
      <c r="J11" s="22" t="inlineStr">
        <is>
          <t>High</t>
        </is>
      </c>
      <c r="K11" s="22" t="inlineStr">
        <is>
          <t>Idea</t>
        </is>
      </c>
      <c r="L11" s="22" t="inlineStr"/>
      <c r="M11" s="22" t="inlineStr"/>
      <c r="N11" s="10" t="n">
        <v>46316</v>
      </c>
    </row>
    <row r="12">
      <c r="A12" s="9" t="n">
        <v>8</v>
      </c>
      <c r="B12" s="9" t="inlineStr">
        <is>
          <t>Seven Sisters (North-East India)</t>
        </is>
      </c>
      <c r="C12" s="9" t="inlineStr">
        <is>
          <t>Assam, Meghalaya, Arunachal, Nagaland, Manipur, Mizoram, Tripura</t>
        </is>
      </c>
      <c r="D12" s="9" t="inlineStr">
        <is>
          <t>Multi-state exploration yatra</t>
        </is>
      </c>
      <c r="E12" s="9" t="inlineStr">
        <is>
          <t>Oct-Apr (dry, clear)</t>
        </is>
      </c>
      <c r="F12" s="9" t="inlineStr">
        <is>
          <t>Avoid Jun-Sep monsoon</t>
        </is>
      </c>
      <c r="G12" s="9" t="inlineStr">
        <is>
          <t>10-14</t>
        </is>
      </c>
      <c r="H12" s="9" t="inlineStr">
        <is>
          <t>Inner Line Permit (ILP) for Arunachal, Nagaland, Mizoram, Manipur - online; none for Assam/Meghalaya/Tripura</t>
        </is>
      </c>
      <c r="I12" s="9" t="inlineStr">
        <is>
          <t>Kamakhya (Guwahati), Majuli satras (Vaishnava), Tawang monastery, Cherrapunji/Living root bridges, Loktak lake, Tripureshwari temple. Plan as 2 circuits (Assam-Meghalaya-Arunachal; Manipur-Mizoram-Tripura-Nagaland).</t>
        </is>
      </c>
      <c r="J12" s="22" t="inlineStr">
        <is>
          <t>Medium</t>
        </is>
      </c>
      <c r="K12" s="22" t="inlineStr">
        <is>
          <t>Idea</t>
        </is>
      </c>
      <c r="L12" s="22" t="inlineStr"/>
      <c r="M12" s="22" t="inlineStr"/>
      <c r="N12" s="10" t="n">
        <v>46316</v>
      </c>
    </row>
    <row r="13">
      <c r="A13" s="9" t="n">
        <v>9</v>
      </c>
      <c r="B13" s="9" t="inlineStr">
        <is>
          <t>Pune</t>
        </is>
      </c>
      <c r="C13" s="9" t="inlineStr">
        <is>
          <t>Pune, Maharashtra, India</t>
        </is>
      </c>
      <c r="D13" s="9" t="inlineStr">
        <is>
          <t>City + temple exploration</t>
        </is>
      </c>
      <c r="E13" s="9" t="inlineStr">
        <is>
          <t>Oct-Feb (pleasant); Ganesh Chaturthi (Aug-Sep) for the festival</t>
        </is>
      </c>
      <c r="F13" s="9" t="inlineStr">
        <is>
          <t>Ganeshotsav 10 days ending Anant Chaturdashi</t>
        </is>
      </c>
      <c r="G13" s="9" t="inlineStr">
        <is>
          <t>3-4</t>
        </is>
      </c>
      <c r="H13" s="9" t="inlineStr">
        <is>
          <t>None (domestic)</t>
        </is>
      </c>
      <c r="I13"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3" s="22" t="inlineStr">
        <is>
          <t>Medium</t>
        </is>
      </c>
      <c r="K13" s="22" t="inlineStr">
        <is>
          <t>Idea</t>
        </is>
      </c>
      <c r="L13" s="22" t="inlineStr"/>
      <c r="M13" s="22" t="inlineStr"/>
      <c r="N13" s="10" t="n">
        <v>46316</v>
      </c>
    </row>
    <row r="14">
      <c r="A14" s="9" t="n">
        <v>10</v>
      </c>
      <c r="B14" s="9" t="inlineStr">
        <is>
          <t>Indore &amp; Madhya Pradesh</t>
        </is>
      </c>
      <c r="C14" s="9" t="inlineStr">
        <is>
          <t>Indore / Ujjain / Omkareshwar / Maheshwar, Madhya Pradesh, India</t>
        </is>
      </c>
      <c r="D14" s="9" t="inlineStr">
        <is>
          <t>Jyotirlinga + heritage yatra</t>
        </is>
      </c>
      <c r="E14" s="9" t="inlineStr">
        <is>
          <t>Oct-Mar (avoid Apr-Jun heat)</t>
        </is>
      </c>
      <c r="F14" s="9" t="inlineStr">
        <is>
          <t>Ujjain Simhastha Kumbh next due 2028 (Apr-May); Mahakal Bhasma Aarti daily at ~4 am (book online)</t>
        </is>
      </c>
      <c r="G14" s="9" t="inlineStr">
        <is>
          <t>5-7</t>
        </is>
      </c>
      <c r="H14" s="9" t="inlineStr">
        <is>
          <t>None (domestic); Bhasma Aarti permission via shrimahakaleshwar.com</t>
        </is>
      </c>
      <c r="I14"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4" s="22" t="inlineStr">
        <is>
          <t>High</t>
        </is>
      </c>
      <c r="K14" s="22" t="inlineStr">
        <is>
          <t>Idea</t>
        </is>
      </c>
      <c r="L14" s="22" t="inlineStr"/>
      <c r="M14" s="22" t="inlineStr"/>
      <c r="N14" s="10" t="n">
        <v>46316</v>
      </c>
    </row>
    <row r="15">
      <c r="A15" s="9" t="n">
        <v>11</v>
      </c>
      <c r="B15" s="9" t="inlineStr">
        <is>
          <t>Mumbai - NMACC (Nita Mukesh Ambani Cultural Centre)</t>
        </is>
      </c>
      <c r="C15" s="9" t="inlineStr">
        <is>
          <t>BKC, Mumbai, Maharashtra, India</t>
        </is>
      </c>
      <c r="D15" s="9" t="inlineStr">
        <is>
          <t>Culture + temple exploration</t>
        </is>
      </c>
      <c r="E15" s="9" t="inlineStr">
        <is>
          <t>Oct-Feb (dry season); check NMACC programme calendar for shows/exhibitions</t>
        </is>
      </c>
      <c r="F15" s="9" t="inlineStr">
        <is>
          <t>Year-round; 'Swadesh' crafts exhibition is permanent, theatre shows are ticketed</t>
        </is>
      </c>
      <c r="G15" s="9" t="inlineStr">
        <is>
          <t>2-3</t>
        </is>
      </c>
      <c r="H15" s="9" t="inlineStr">
        <is>
          <t>None (domestic); NMACC show tickets via nmacc.com / BookMyShow</t>
        </is>
      </c>
      <c r="I15"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5" s="22" t="inlineStr">
        <is>
          <t>Medium</t>
        </is>
      </c>
      <c r="K15" s="22" t="inlineStr">
        <is>
          <t>Idea</t>
        </is>
      </c>
      <c r="L15" s="22" t="inlineStr"/>
      <c r="M15" s="22" t="inlineStr"/>
      <c r="N15" s="10" t="n">
        <v>46316</v>
      </c>
    </row>
    <row r="16">
      <c r="A16" s="9" t="n">
        <v>12</v>
      </c>
      <c r="B16" s="9" t="inlineStr">
        <is>
          <t>Kerala</t>
        </is>
      </c>
      <c r="C16" s="9" t="inlineStr">
        <is>
          <t>Kerala, India</t>
        </is>
      </c>
      <c r="D16" s="9" t="inlineStr">
        <is>
          <t>Temple + culture yatra</t>
        </is>
      </c>
      <c r="E16" s="9" t="inlineStr">
        <is>
          <t>Oct-Mar; Sabarimala season Nov-Jan</t>
        </is>
      </c>
      <c r="F16" s="9" t="inlineStr">
        <is>
          <t>Guruvayur Ekadasi (Nov-Dec); Thrissur Pooram (Apr-May)</t>
        </is>
      </c>
      <c r="G16" s="9" t="inlineStr">
        <is>
          <t>6-8</t>
        </is>
      </c>
      <c r="H16" s="9" t="inlineStr">
        <is>
          <t>None (domestic); Sabarimala needs virtual-queue booking</t>
        </is>
      </c>
      <c r="I16" s="9" t="inlineStr">
        <is>
          <t>Guruvayur, Padmanabhaswamy (dress code), Sabarimala, Ambalappuzha, Aranmula, Chottanikkara; backwaters. Combine with Kanyakumari/Suchindram.</t>
        </is>
      </c>
      <c r="J16" s="22" t="inlineStr">
        <is>
          <t>Medium</t>
        </is>
      </c>
      <c r="K16" s="22" t="inlineStr">
        <is>
          <t>Idea</t>
        </is>
      </c>
      <c r="L16" s="22" t="inlineStr"/>
      <c r="M16" s="22" t="inlineStr"/>
      <c r="N16" s="10" t="n">
        <v>46316</v>
      </c>
    </row>
  </sheetData>
  <autoFilter ref="A4:N116"/>
  <conditionalFormatting sqref="K5:K116">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6" showDropDown="0" showInputMessage="0" showErrorMessage="0" allowBlank="1" type="list">
      <formula1>"Idea,Researching,Planned,Booked,Done,Dropped"</formula1>
    </dataValidation>
    <dataValidation sqref="J5:J116" showDropDown="0" showInputMessage="0" showErrorMessage="0" allowBlank="1" type="list">
      <formula1>"High,Medium,Low"</formula1>
    </dataValidation>
  </dataValidations>
  <pageMargins left="0.75" right="0.75" top="1" bottom="1" header="0.5" footer="0.5"/>
</worksheet>
</file>

<file path=xl/worksheets/sheet18.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5" customWidth="1" min="1" max="1"/>
    <col width="30" customWidth="1" min="2" max="2"/>
    <col width="13" customWidth="1" min="3" max="3"/>
    <col width="13" customWidth="1" min="4" max="4"/>
    <col width="26" customWidth="1" min="5" max="5"/>
    <col width="70" customWidth="1" min="6" max="6"/>
    <col width="12" customWidth="1" min="7" max="7"/>
    <col width="14" customWidth="1" min="8" max="8"/>
  </cols>
  <sheetData>
    <row r="1">
      <c r="A1" s="1" t="inlineStr">
        <is>
          <t>Trips in your dashboard with NO passport stamp yet</t>
        </is>
      </c>
    </row>
    <row r="2">
      <c r="A2" s="2" t="inlineStr">
        <is>
          <t>Your spreadsheet shows these; the passport scan (to Nov 2025) doesn't. Confirm -&gt; copy to Travel Log.</t>
        </is>
      </c>
    </row>
    <row r="4">
      <c r="A4" s="3" t="inlineStr">
        <is>
          <t>#</t>
        </is>
      </c>
      <c r="B4" s="3" t="inlineStr">
        <is>
          <t>Trip</t>
        </is>
      </c>
      <c r="C4" s="3" t="inlineStr">
        <is>
          <t>From</t>
        </is>
      </c>
      <c r="D4" s="3" t="inlineStr">
        <is>
          <t>To</t>
        </is>
      </c>
      <c r="E4" s="3" t="inlineStr">
        <is>
          <t>Where recorded</t>
        </is>
      </c>
      <c r="F4" s="3" t="inlineStr">
        <is>
          <t>Observation</t>
        </is>
      </c>
      <c r="G4" s="3" t="inlineStr">
        <is>
          <t>Action</t>
        </is>
      </c>
      <c r="H4" s="3" t="inlineStr">
        <is>
          <t>Confirmed? (Y/N)</t>
        </is>
      </c>
    </row>
    <row r="5">
      <c r="A5" s="9" t="n">
        <v>1</v>
      </c>
      <c r="B5" s="9" t="inlineStr">
        <is>
          <t>Europe (Schengen)</t>
        </is>
      </c>
      <c r="C5" s="10" t="n">
        <v>45934</v>
      </c>
      <c r="D5" s="10" t="n">
        <v>45947</v>
      </c>
      <c r="E5" s="9" t="inlineStr">
        <is>
          <t>Dashboard 'MKCD' column</t>
        </is>
      </c>
      <c r="F5" s="9" t="inlineStr">
        <is>
          <t>Schengen visa #2 only valid from 21 Oct 2025 - this window pre-dates it; likely moved to Nov</t>
        </is>
      </c>
      <c r="G5" s="9" t="inlineStr">
        <is>
          <t>Confirm</t>
        </is>
      </c>
      <c r="H5" s="22" t="inlineStr"/>
    </row>
    <row r="6">
      <c r="A6" s="9" t="n">
        <v>2</v>
      </c>
      <c r="B6" s="9" t="inlineStr">
        <is>
          <t>Europe (Schengen)</t>
        </is>
      </c>
      <c r="C6" s="10" t="n">
        <v>45967</v>
      </c>
      <c r="D6" s="10" t="n">
        <v>45981</v>
      </c>
      <c r="E6" s="9" t="inlineStr">
        <is>
          <t>Dashboard 'MKCD' column</t>
        </is>
      </c>
      <c r="F6" s="9" t="inlineStr">
        <is>
          <t>Inside Schengen #2 validity (21 Oct 2025-19 Apr 2026); no stamp in Nov-2025 scan</t>
        </is>
      </c>
      <c r="G6" s="9" t="inlineStr">
        <is>
          <t>Confirm</t>
        </is>
      </c>
      <c r="H6" s="22" t="inlineStr"/>
    </row>
    <row r="7">
      <c r="A7" s="9" t="n">
        <v>3</v>
      </c>
      <c r="B7" s="9" t="inlineStr">
        <is>
          <t>Australia (Yatra)</t>
        </is>
      </c>
      <c r="C7" s="10" t="n">
        <v>46063</v>
      </c>
      <c r="D7" s="10" t="n">
        <v>46072</v>
      </c>
      <c r="E7" s="9" t="inlineStr">
        <is>
          <t>Dashboard 'MKCD' column</t>
        </is>
      </c>
      <c r="F7" s="9" t="inlineStr">
        <is>
          <t>Visa granted 13 Nov 2025; would be FIRST Australia entry - confirm</t>
        </is>
      </c>
      <c r="G7" s="9" t="inlineStr">
        <is>
          <t>Confirm</t>
        </is>
      </c>
      <c r="H7" s="22" t="inlineStr"/>
    </row>
    <row r="8">
      <c r="A8" s="9" t="n">
        <v>4</v>
      </c>
      <c r="B8" s="9" t="inlineStr">
        <is>
          <t>Bali, Indonesia</t>
        </is>
      </c>
      <c r="C8" s="10" t="n">
        <v>46074</v>
      </c>
      <c r="D8" s="10" t="n">
        <v>46080</v>
      </c>
      <c r="E8" s="9" t="inlineStr">
        <is>
          <t>Dashboard 'MKCD' column</t>
        </is>
      </c>
      <c r="F8" s="9" t="inlineStr">
        <is>
          <t>Confirm</t>
        </is>
      </c>
      <c r="G8" s="9" t="inlineStr">
        <is>
          <t>Confirm</t>
        </is>
      </c>
      <c r="H8" s="22" t="inlineStr"/>
    </row>
    <row r="9">
      <c r="A9" s="9" t="n">
        <v>5</v>
      </c>
      <c r="B9" s="9" t="inlineStr">
        <is>
          <t>USA Yatra (brochure 22 Apr-8 May)</t>
        </is>
      </c>
      <c r="C9" s="10" t="n">
        <v>46134</v>
      </c>
      <c r="D9" s="10" t="n">
        <v>46150</v>
      </c>
      <c r="E9" s="9" t="inlineStr">
        <is>
          <t>USA Yatra brochure you sent</t>
        </is>
      </c>
      <c r="F9" s="9" t="inlineStr">
        <is>
          <t>RESOLVED by GPS: no 2026 USA trip; Sep 2025 route = NY, Niagara, Pittsburgh, New Vrindaban, DC, Baltimore, NJ, Philadelphia, Orlando, Alachua, Miami, LA, Boston. San Francisco NOT visited</t>
        </is>
      </c>
      <c r="G9" s="9" t="inlineStr">
        <is>
          <t>Resolved</t>
        </is>
      </c>
      <c r="H9" s="22" t="inlineStr"/>
    </row>
    <row r="10">
      <c r="A10" s="9" t="n">
        <v>6</v>
      </c>
      <c r="B10" s="9" t="inlineStr">
        <is>
          <t>Sri Lanka Ramayan Yatra Jan 2026</t>
        </is>
      </c>
      <c r="C10" s="10" t="n">
        <v>46038</v>
      </c>
      <c r="D10" s="10" t="n">
        <v>46047</v>
      </c>
      <c r="E10" s="9" t="inlineStr">
        <is>
          <t>Your itinerary</t>
        </is>
      </c>
      <c r="F10" s="9" t="inlineStr">
        <is>
          <t>RESOLVED 22 Oct 2026: visited (phone Timeline was off). In Travel Log.</t>
        </is>
      </c>
      <c r="G10" s="9" t="inlineStr">
        <is>
          <t>Resolved</t>
        </is>
      </c>
      <c r="H10" s="22" t="inlineStr"/>
    </row>
    <row r="11">
      <c r="A11" s="9" t="n">
        <v>7</v>
      </c>
      <c r="B11" s="9" t="inlineStr">
        <is>
          <t>Nepal Muktinath Yatra May 2026</t>
        </is>
      </c>
      <c r="C11" s="10" t="n">
        <v>46166</v>
      </c>
      <c r="D11" s="10" t="n">
        <v>46171</v>
      </c>
      <c r="E11" s="9" t="inlineStr">
        <is>
          <t>Your itinerary</t>
        </is>
      </c>
      <c r="F11" s="9" t="inlineStr">
        <is>
          <t>RESOLVED 22 Oct 2026: visited (phone Timeline was off). In Travel Log.</t>
        </is>
      </c>
      <c r="G11" s="9" t="inlineStr">
        <is>
          <t>Resolved</t>
        </is>
      </c>
      <c r="H11" s="22" t="inlineStr"/>
    </row>
    <row r="12">
      <c r="A12" s="9" t="n">
        <v>8</v>
      </c>
      <c r="B12" s="9" t="inlineStr">
        <is>
          <t>Canada - Niagara Falls, Ontario</t>
        </is>
      </c>
      <c r="C12" s="10" t="n">
        <v>45906</v>
      </c>
      <c r="D12" s="10" t="n">
        <v>45906</v>
      </c>
      <c r="E12" s="9" t="inlineStr">
        <is>
          <t>GPS timeline</t>
        </is>
      </c>
      <c r="F12" s="9" t="inlineStr">
        <is>
          <t>RESOLVED 22 Oct 2026: NOT visited - GPS point was on the US side/border. Removed from Travel Log; Canada stays unvisited.</t>
        </is>
      </c>
      <c r="G12" s="9" t="inlineStr">
        <is>
          <t>Resolved</t>
        </is>
      </c>
      <c r="H12" s="22" t="inlineStr"/>
    </row>
    <row r="13">
      <c r="A13" s="9" t="n">
        <v>9</v>
      </c>
      <c r="B13" s="9" t="inlineStr">
        <is>
          <t>Disneyland Paris?</t>
        </is>
      </c>
      <c r="C13" s="10" t="n">
        <v>45489</v>
      </c>
      <c r="D13" s="10" t="n">
        <v>45489</v>
      </c>
      <c r="E13" s="9" t="inlineStr">
        <is>
          <t>GPS timeline (Lagny-sur-Marne)</t>
        </is>
      </c>
      <c r="F13" s="9" t="inlineStr">
        <is>
          <t>GPS point beside Disneyland Paris - visited?</t>
        </is>
      </c>
      <c r="G13" s="9" t="inlineStr">
        <is>
          <t>Confirm</t>
        </is>
      </c>
      <c r="H13" s="22" t="inlineStr"/>
    </row>
    <row r="14">
      <c r="A14" s="9" t="n">
        <v>10</v>
      </c>
      <c r="B14" s="9" t="inlineStr">
        <is>
          <t>Nepal (Muktinath Yatra)</t>
        </is>
      </c>
      <c r="C14" s="10" t="n">
        <v>45592</v>
      </c>
      <c r="D14" s="10" t="n">
        <v>45598</v>
      </c>
      <c r="E14" s="9" t="inlineStr">
        <is>
          <t>Dashboard yatra column</t>
        </is>
      </c>
      <c r="F14" s="9" t="inlineStr">
        <is>
          <t>No 2024 Nepal stamp seen - may have been an escorted group yatra or not run</t>
        </is>
      </c>
      <c r="G14" s="9" t="inlineStr">
        <is>
          <t>Confirm</t>
        </is>
      </c>
      <c r="H14" s="22" t="inlineStr"/>
    </row>
    <row r="15">
      <c r="A15" s="9" t="n">
        <v>11</v>
      </c>
      <c r="B15" s="9" t="inlineStr">
        <is>
          <t>Sri Lanka (Ramayan Yatra)</t>
        </is>
      </c>
      <c r="C15" s="10" t="n">
        <v>45627</v>
      </c>
      <c r="D15" s="10" t="n">
        <v>45633</v>
      </c>
      <c r="E15" s="9" t="inlineStr">
        <is>
          <t>Dashboard yatra column</t>
        </is>
      </c>
      <c r="F15" s="9" t="inlineStr">
        <is>
          <t>No Dec-2024 SL stamp in scan - confirm</t>
        </is>
      </c>
      <c r="G15" s="9" t="inlineStr">
        <is>
          <t>Confirm</t>
        </is>
      </c>
      <c r="H15" s="22" t="inlineStr"/>
    </row>
    <row r="16">
      <c r="A16" s="9" t="n">
        <v>12</v>
      </c>
      <c r="B16" s="9" t="inlineStr">
        <is>
          <t>Thailand / Cambodia Yatra</t>
        </is>
      </c>
      <c r="C16" s="10" t="n">
        <v>45664</v>
      </c>
      <c r="D16" s="10" t="n">
        <v>45669</v>
      </c>
      <c r="E16" s="9" t="inlineStr">
        <is>
          <t>Dashboard yatra column</t>
        </is>
      </c>
      <c r="F16" s="9" t="inlineStr">
        <is>
          <t>No Jan-2025 stamp in scan - confirm</t>
        </is>
      </c>
      <c r="G16" s="9" t="inlineStr">
        <is>
          <t>Confirm</t>
        </is>
      </c>
      <c r="H16" s="22" t="inlineStr"/>
    </row>
    <row r="17">
      <c r="A17" s="9" t="n">
        <v>13</v>
      </c>
      <c r="B17" s="9" t="inlineStr">
        <is>
          <t>Nepal (Muktinath Yatra)</t>
        </is>
      </c>
      <c r="C17" s="10" t="n">
        <v>45748</v>
      </c>
      <c r="D17" s="10" t="n">
        <v>45768</v>
      </c>
      <c r="E17" s="9" t="inlineStr">
        <is>
          <t>Dashboard yatra column</t>
        </is>
      </c>
      <c r="F17" s="9" t="inlineStr">
        <is>
          <t>No Apr-2025 stamp in scan - confirm</t>
        </is>
      </c>
      <c r="G17" s="9" t="inlineStr">
        <is>
          <t>Confirm</t>
        </is>
      </c>
      <c r="H17" s="22" t="inlineStr"/>
    </row>
    <row r="18">
      <c r="A18" s="9" t="n">
        <v>14</v>
      </c>
      <c r="B18" s="9" t="inlineStr">
        <is>
          <t>OOS / BJ (domestic?)</t>
        </is>
      </c>
      <c r="C18" s="10" t="n">
        <v>45727</v>
      </c>
      <c r="D18" s="10" t="n">
        <v>45732</v>
      </c>
      <c r="E18" s="9" t="inlineStr">
        <is>
          <t>Dashboard 'MKCD' column</t>
        </is>
      </c>
      <c r="F18" s="9" t="inlineStr">
        <is>
          <t>Label unclear ('OOS'); probably out-of-station, not international</t>
        </is>
      </c>
      <c r="G18" s="9" t="inlineStr">
        <is>
          <t>Ignore?</t>
        </is>
      </c>
      <c r="H18" s="22" t="inlineStr"/>
    </row>
  </sheetData>
  <pageMargins left="0.75" right="0.75" top="1" bottom="1" header="0.5" footer="0.5"/>
</worksheet>
</file>

<file path=xl/worksheets/sheet19.xml><?xml version="1.0" encoding="utf-8"?>
<worksheet xmlns="http://schemas.openxmlformats.org/spreadsheetml/2006/main">
  <sheetPr>
    <tabColor rgb="001F2A44"/>
    <outlinePr summaryBelow="1" summaryRight="1"/>
    <pageSetUpPr/>
  </sheetPr>
  <dimension ref="A1:C18"/>
  <sheetViews>
    <sheetView zoomScale="100" workbookViewId="0">
      <pane ySplit="4" topLeftCell="A5" activePane="bottomLeft" state="frozen"/>
      <selection pane="bottomLeft" activeCell="A1" sqref="A1"/>
    </sheetView>
  </sheetViews>
  <sheetFormatPr baseColWidth="8" defaultRowHeight="15"/>
  <cols>
    <col width="5" customWidth="1" min="1" max="1"/>
    <col width="42" customWidth="1" min="2" max="2"/>
    <col width="120" customWidth="1" min="3" max="3"/>
  </cols>
  <sheetData>
    <row r="1">
      <c r="A1" s="1" t="inlineStr">
        <is>
          <t>Alerts &amp; action items</t>
        </is>
      </c>
    </row>
    <row r="2">
      <c r="A2" s="2" t="inlineStr">
        <is>
          <t>Review every month.</t>
        </is>
      </c>
    </row>
    <row r="4">
      <c r="A4" s="3" t="inlineStr">
        <is>
          <t>#</t>
        </is>
      </c>
      <c r="B4" s="3" t="inlineStr">
        <is>
          <t>Alert</t>
        </is>
      </c>
      <c r="C4" s="3" t="inlineStr">
        <is>
          <t>What to do</t>
        </is>
      </c>
    </row>
    <row r="5">
      <c r="A5" s="9" t="n">
        <v>1</v>
      </c>
      <c r="B5" s="9" t="inlineStr">
        <is>
          <t>Passport expires 17 Sep 2028</t>
        </is>
      </c>
      <c r="C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n">
        <v>2</v>
      </c>
      <c r="B6" s="9" t="inlineStr">
        <is>
          <t>Schengen: no valid visa - #1 PRIORITY</t>
        </is>
      </c>
      <c r="C6" s="9" t="inlineStr">
        <is>
          <t>Both France visas expired (Apr 2026). With 2 lawful Schengen visas in 3 years you qualify for the EU cascade 2-year MEV; a 5-year MEV needs &gt;=5.5 yrs passport validity (yours ends Sep 2028) -&gt; renew passport first if you want the 5-year. Schengen MEV is the single biggest reach gain (~65 destinations). Ask for a German- or Swiss-issued visa if Singapore 96-h transit matters.</t>
        </is>
      </c>
    </row>
    <row r="7">
      <c r="A7" s="9" t="n">
        <v>3</v>
      </c>
      <c r="B7" s="9" t="inlineStr">
        <is>
          <t>UK: no valid visa - #2</t>
        </is>
      </c>
      <c r="C7" s="9" t="inlineStr">
        <is>
          <t>UK visa expired 29 Dec 2024. Fees from 8 Apr 2026: GBP 135 (6-mo), 506 (2-yr), 903 (5-yr), 1,128 (10-yr). Long-validity visa recommended; it also covers Ireland (BIVS - enter UK first). Gibraltar via UK visa ended 15 Jul 2026.</t>
        </is>
      </c>
    </row>
    <row r="8">
      <c r="A8" s="9" t="n">
        <v>4</v>
      </c>
      <c r="B8" s="9" t="inlineStr">
        <is>
          <t>Australia: confirm stream</t>
        </is>
      </c>
      <c r="C8" s="9" t="inlineStr">
        <is>
          <t>Visa is Business Visitor stream (condition 8115). A pilgrimage yatra with devotees may count as tourism - confirm whether to apply for a Tourist-stream visa.</t>
        </is>
      </c>
    </row>
    <row r="9">
      <c r="A9" s="9" t="n">
        <v>5</v>
      </c>
      <c r="B9" s="9" t="inlineStr">
        <is>
          <t>Malaysia visa-free ends 31 Dec 2026</t>
        </is>
      </c>
      <c r="C9" s="9" t="inlineStr">
        <is>
          <t>Get visa/e-visa for any 2027 Malaysia yatra unless extended.</t>
        </is>
      </c>
    </row>
    <row r="10">
      <c r="A10" s="9" t="n">
        <v>6</v>
      </c>
      <c r="B10" s="9" t="inlineStr">
        <is>
          <t>Thailand now 30 days (from 15 Sep 2026, reported)</t>
        </is>
      </c>
      <c r="C10" s="9" t="inlineStr">
        <is>
          <t>Plan group stays accordingly; complete TDAC before arrival.</t>
        </is>
      </c>
    </row>
    <row r="12">
      <c r="A12" s="20" t="inlineStr">
        <is>
          <t>Mismatches found between your sheets and the documents</t>
        </is>
      </c>
    </row>
    <row r="13">
      <c r="A13" s="9" t="n">
        <v>1</v>
      </c>
      <c r="B13" s="9" t="inlineStr">
        <is>
          <t>Schengen #1 duration</t>
        </is>
      </c>
      <c r="C13" s="9" t="inlineStr">
        <is>
          <t>Your 'Visa' tab says 45 days; the visa sticker says 30 days (valid 15-Jul-24 to 29-Aug-24).</t>
        </is>
      </c>
    </row>
    <row r="14">
      <c r="A14" s="9" t="n">
        <v>2</v>
      </c>
      <c r="B14" s="9" t="inlineStr">
        <is>
          <t>Schengen #2 duration</t>
        </is>
      </c>
      <c r="C14" s="9" t="inlineStr">
        <is>
          <t>Sticker: 30 days within 21-Oct-25 to 19-Apr-26 (your tab shows 180 = validity window, not stay).</t>
        </is>
      </c>
    </row>
    <row r="15">
      <c r="A15" s="9" t="n">
        <v>3</v>
      </c>
      <c r="B15" s="9" t="inlineStr">
        <is>
          <t>US visa stay</t>
        </is>
      </c>
      <c r="C15" s="9" t="inlineStr">
        <is>
          <t>Your tab shows 3,647 days = visa validity. Stay per entry is set by CBP at the port (I-94), not by the visa.</t>
        </is>
      </c>
    </row>
    <row r="16">
      <c r="A16" s="9" t="n">
        <v>4</v>
      </c>
      <c r="B16" s="9" t="inlineStr">
        <is>
          <t>Australia</t>
        </is>
      </c>
      <c r="C16" s="9" t="inlineStr">
        <is>
          <t>Your tab says 'Business'. VEVO confirms Business Visitor stream (conditions 8115/8201). Tourism/pilgrimage may need Tourist stream.</t>
        </is>
      </c>
    </row>
    <row r="17">
      <c r="A17" s="9" t="n">
        <v>5</v>
      </c>
      <c r="B17" s="9" t="inlineStr">
        <is>
          <t>Old access lists</t>
        </is>
      </c>
      <c r="C17" s="9" t="inlineStr">
        <is>
          <t>Armenia 'UK visa 120 days', Bosnia '30 days', Montenegro 'US 15 days', Turkey/Qatar/Kuwait entries were out of date - corrected in Access Map.</t>
        </is>
      </c>
    </row>
    <row r="18">
      <c r="A18" s="9" t="n">
        <v>6</v>
      </c>
      <c r="B18" s="9" t="inlineStr">
        <is>
          <t>Hong Kong / Barbados etc.</t>
        </is>
      </c>
      <c r="C18" s="9" t="inlineStr">
        <is>
          <t>Your 'Indian PP visa on arrival' rows were not re-researched except those listed in the Yatra Visa Planner. Treat as unverified.</t>
        </is>
      </c>
    </row>
  </sheetData>
  <pageMargins left="0.75" right="0.75" top="1" bottom="1" header="0.5" footer="0.5"/>
</worksheet>
</file>

<file path=xl/worksheets/sheet20.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2026-10-22T10:31:17Z</dcterms:created>
  <dcterms:modified xmlns:dcterms="http://purl.org/dc/terms/" xmlns:xsi="http://www.w3.org/2001/XMLSchema-instance" xsi:type="dcterms:W3CDTF">2026-10-22T10:31:18Z</dcterms:modified>
</cp:coreProperties>
</file>
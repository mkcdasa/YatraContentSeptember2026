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ravel Log" sheetId="2" state="visible" r:id="rId2"/>
    <sheet xmlns:r="http://schemas.openxmlformats.org/officeDocument/2006/relationships" name="Country Summary" sheetId="3" state="visible" r:id="rId3"/>
    <sheet xmlns:r="http://schemas.openxmlformats.org/officeDocument/2006/relationships" name="Visas Held" sheetId="4" state="visible" r:id="rId4"/>
    <sheet xmlns:r="http://schemas.openxmlformats.org/officeDocument/2006/relationships" name="Access Map" sheetId="5" state="visible" r:id="rId5"/>
    <sheet xmlns:r="http://schemas.openxmlformats.org/officeDocument/2006/relationships" name="Power Visas" sheetId="6" state="visible" r:id="rId6"/>
    <sheet xmlns:r="http://schemas.openxmlformats.org/officeDocument/2006/relationships" name="Yatra Visa Planner" sheetId="7" state="visible" r:id="rId7"/>
    <sheet xmlns:r="http://schemas.openxmlformats.org/officeDocument/2006/relationships" name="Places Visited" sheetId="8" state="visible" r:id="rId8"/>
    <sheet xmlns:r="http://schemas.openxmlformats.org/officeDocument/2006/relationships" name="World Checklist" sheetId="9" state="visible" r:id="rId9"/>
    <sheet xmlns:r="http://schemas.openxmlformats.org/officeDocument/2006/relationships" name="Checklist Summary" sheetId="10" state="visible" r:id="rId10"/>
    <sheet xmlns:r="http://schemas.openxmlformats.org/officeDocument/2006/relationships" name="Yatra Wishlist" sheetId="11" state="visible" r:id="rId11"/>
    <sheet xmlns:r="http://schemas.openxmlformats.org/officeDocument/2006/relationships" name="To Confirm" sheetId="12" state="visible" r:id="rId12"/>
    <sheet xmlns:r="http://schemas.openxmlformats.org/officeDocument/2006/relationships" name="Alerts" sheetId="13" state="visible" r:id="rId13"/>
    <sheet xmlns:r="http://schemas.openxmlformats.org/officeDocument/2006/relationships" name="Sources &amp; Method" sheetId="14" state="visible" r:id="rId14"/>
  </sheets>
  <definedNames>
    <definedName name="_xlnm._FilterDatabase" localSheetId="1" hidden="1">'Travel Log'!$A$4:$L$90</definedName>
    <definedName name="_xlnm._FilterDatabase" localSheetId="4" hidden="1">'Access Map'!$A$4:$O$40</definedName>
    <definedName name="_xlnm._FilterDatabase" localSheetId="6" hidden="1">'Yatra Visa Planner'!$A$4:$L$36</definedName>
    <definedName name="_xlnm._FilterDatabase" localSheetId="7" hidden="1">'Places Visited'!$A$4:$H$406</definedName>
    <definedName name="_xlnm._FilterDatabase" localSheetId="8" hidden="1">'World Checklist'!$A$4:$I$831</definedName>
    <definedName name="_xlnm._FilterDatabase" localSheetId="10" hidden="1">'Yatra Wishlist'!$A$4:$N$113</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9">
    <font>
      <name val="Calibri"/>
      <family val="2"/>
      <color theme="1"/>
      <sz val="11"/>
      <scheme val="minor"/>
    </font>
    <font>
      <b val="1"/>
      <color rgb="001F2A44"/>
      <sz val="16"/>
    </font>
    <font>
      <i val="1"/>
      <color rgb="00666666"/>
    </font>
    <font>
      <name val="Calibri"/>
      <b val="1"/>
      <color rgb="00FFFFFF"/>
      <sz val="11"/>
    </font>
    <font>
      <b val="1"/>
    </font>
    <font>
      <b val="1"/>
      <color rgb="001F2A44"/>
      <sz val="13"/>
    </font>
    <font>
      <b val="1"/>
      <color rgb="00E8731A"/>
    </font>
    <font>
      <b val="1"/>
      <color rgb="001F2A44"/>
    </font>
    <font>
      <b val="1"/>
      <color rgb="00E8731A"/>
      <sz val="13"/>
    </font>
  </fonts>
  <fills count="5">
    <fill>
      <patternFill/>
    </fill>
    <fill>
      <patternFill patternType="gray125"/>
    </fill>
    <fill>
      <patternFill patternType="solid">
        <fgColor rgb="001F2A44"/>
      </patternFill>
    </fill>
    <fill>
      <patternFill patternType="solid">
        <fgColor rgb="00FFF2CC"/>
      </patternFill>
    </fill>
    <fill>
      <patternFill patternType="solid">
        <fgColor rgb="00FFFB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164" fontId="0" fillId="0" borderId="0" applyAlignment="1" pivotButton="0" quotePrefix="0" xfId="0">
      <alignment horizontal="left"/>
    </xf>
    <xf numFmtId="1" fontId="0" fillId="0" borderId="0" applyAlignment="1" pivotButton="0" quotePrefix="0" xfId="0">
      <alignment horizontal="left"/>
    </xf>
    <xf numFmtId="0" fontId="8" fillId="0" borderId="0" pivotButton="0" quotePrefix="0" xfId="0"/>
    <xf numFmtId="0" fontId="0" fillId="0" borderId="0" applyAlignment="1" pivotButton="0" quotePrefix="0" xfId="0">
      <alignment vertical="top" wrapText="1"/>
    </xf>
    <xf numFmtId="0" fontId="0" fillId="0" borderId="1" applyAlignment="1" pivotButton="0" quotePrefix="0" xfId="0">
      <alignment vertical="top" wrapText="1"/>
    </xf>
    <xf numFmtId="164" fontId="0" fillId="3" borderId="1" applyAlignment="1" pivotButton="0" quotePrefix="0" xfId="0">
      <alignment vertical="top" wrapText="1"/>
    </xf>
    <xf numFmtId="0" fontId="0" fillId="3" borderId="1" applyAlignment="1" pivotButton="0" quotePrefix="0" xfId="0">
      <alignment vertical="top" wrapText="1"/>
    </xf>
    <xf numFmtId="164" fontId="0" fillId="0" borderId="1" applyAlignment="1" pivotButton="0" quotePrefix="0" xfId="0">
      <alignment vertical="top" wrapText="1"/>
    </xf>
    <xf numFmtId="0" fontId="5" fillId="0" borderId="0" pivotButton="0" quotePrefix="0" xfId="0"/>
    <xf numFmtId="0" fontId="0" fillId="0" borderId="0" applyAlignment="1" pivotButton="0" quotePrefix="0" xfId="0">
      <alignment horizontal="left"/>
    </xf>
    <xf numFmtId="0" fontId="6" fillId="0" borderId="0" applyAlignment="1" pivotButton="0" quotePrefix="0" xfId="0">
      <alignment horizontal="right"/>
    </xf>
    <xf numFmtId="0" fontId="4" fillId="4" borderId="1" applyAlignment="1" pivotButton="0" quotePrefix="0" xfId="0">
      <alignment horizontal="center"/>
    </xf>
    <xf numFmtId="0" fontId="7" fillId="0" borderId="0" pivotButton="0" quotePrefix="0" xfId="0"/>
    <xf numFmtId="0" fontId="3" fillId="2" borderId="0" pivotButton="0" quotePrefix="0" xfId="0"/>
    <xf numFmtId="0" fontId="0" fillId="4" borderId="1" applyAlignment="1" pivotButton="0" quotePrefix="0" xfId="0">
      <alignment vertical="top" wrapText="1"/>
    </xf>
    <xf numFmtId="9" fontId="0" fillId="0" borderId="1" applyAlignment="1" pivotButton="0" quotePrefix="0" xfId="0">
      <alignment vertical="top" wrapText="1"/>
    </xf>
    <xf numFmtId="9" fontId="0" fillId="0" borderId="0" pivotButton="0" quotePrefix="0" xfId="0"/>
  </cellXfs>
  <cellStyles count="1">
    <cellStyle name="Normal" xfId="0" builtinId="0" hidden="0"/>
  </cellStyles>
  <dxfs count="4">
    <dxf>
      <fill>
        <patternFill patternType="solid">
          <fgColor rgb="00F4CCCC"/>
        </patternFill>
      </fill>
    </dxf>
    <dxf>
      <fill>
        <patternFill patternType="solid">
          <fgColor rgb="00FFF2CC"/>
        </patternFill>
      </fill>
    </dxf>
    <dxf>
      <fill>
        <patternFill patternType="solid">
          <fgColor rgb="00D9EAD3"/>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31A"/>
    <outlinePr summaryBelow="1" summaryRight="1"/>
    <pageSetUpPr/>
  </sheetPr>
  <dimension ref="A1:C33"/>
  <sheetViews>
    <sheetView zoomScale="100" workbookViewId="0">
      <pane ySplit="4" topLeftCell="A5" activePane="bottomLeft" state="frozen"/>
      <selection pane="bottomLeft" activeCell="A1" sqref="A1"/>
    </sheetView>
  </sheetViews>
  <sheetFormatPr baseColWidth="8" defaultRowHeight="15"/>
  <cols>
    <col width="38" customWidth="1" min="1" max="1"/>
    <col width="22" customWidth="1" min="2" max="2"/>
    <col width="70" customWidth="1" min="3" max="3"/>
  </cols>
  <sheetData>
    <row r="1">
      <c r="A1" s="1" t="inlineStr">
        <is>
          <t>MKCD - Visa &amp; Travel Dashboard</t>
        </is>
      </c>
    </row>
    <row r="2">
      <c r="A2" s="2" t="inlineStr">
        <is>
          <t>Living workbook: edit the yellow cells / add rows; everything else recalculates.</t>
        </is>
      </c>
    </row>
    <row r="4">
      <c r="A4" s="3" t="inlineStr">
        <is>
          <t>Item</t>
        </is>
      </c>
      <c r="B4" s="3" t="inlineStr">
        <is>
          <t>Value</t>
        </is>
      </c>
      <c r="C4" s="3" t="inlineStr">
        <is>
          <t>Comment</t>
        </is>
      </c>
    </row>
    <row r="5">
      <c r="A5" s="4" t="inlineStr">
        <is>
          <t>Today</t>
        </is>
      </c>
      <c r="B5" s="5">
        <f>TODAY()</f>
        <v/>
      </c>
      <c r="C5" t="inlineStr">
        <is>
          <t>Auto</t>
        </is>
      </c>
    </row>
    <row r="6">
      <c r="A6" s="4" t="inlineStr">
        <is>
          <t>Passport expires</t>
        </is>
      </c>
      <c r="B6" s="5">
        <f>'Visas Held'!$B$15</f>
        <v/>
      </c>
      <c r="C6" t="inlineStr">
        <is>
          <t>Indian passport</t>
        </is>
      </c>
    </row>
    <row r="7">
      <c r="A7" s="4" t="inlineStr">
        <is>
          <t>Days to passport expiry</t>
        </is>
      </c>
      <c r="B7" s="6">
        <f>'Visas Held'!$B$17</f>
        <v/>
      </c>
      <c r="C7" t="inlineStr"/>
    </row>
    <row r="8">
      <c r="A8" s="4" t="inlineStr">
        <is>
          <t>Last safe travel date (6-month rule)</t>
        </is>
      </c>
      <c r="B8" s="5">
        <f>'Visas Held'!$B$18</f>
        <v/>
      </c>
      <c r="C8" t="inlineStr">
        <is>
          <t>Most countries need 6 months validity</t>
        </is>
      </c>
    </row>
    <row r="9">
      <c r="A9" s="4" t="inlineStr">
        <is>
          <t>Start passport renewal by</t>
        </is>
      </c>
      <c r="B9" s="5">
        <f>'Visas Held'!$B$19</f>
        <v/>
      </c>
      <c r="C9" t="inlineStr"/>
    </row>
    <row r="10">
      <c r="A10" s="4" t="inlineStr">
        <is>
          <t>USA B1/B2 - valid until</t>
        </is>
      </c>
      <c r="B10" s="5">
        <f>'Visas Held'!$F$5</f>
        <v/>
      </c>
      <c r="C10" t="inlineStr">
        <is>
          <t>Used Sep 2025</t>
        </is>
      </c>
    </row>
    <row r="11">
      <c r="A11" s="4" t="inlineStr">
        <is>
          <t>USA B1/B2 - days left</t>
        </is>
      </c>
      <c r="B11" s="6">
        <f>'Visas Held'!$F$5-TODAY()</f>
        <v/>
      </c>
      <c r="C11" t="inlineStr"/>
    </row>
    <row r="12">
      <c r="A12" s="4" t="inlineStr">
        <is>
          <t>Australia visitor - valid until</t>
        </is>
      </c>
      <c r="B12" s="5">
        <f>'Visas Held'!$F$6</f>
        <v/>
      </c>
      <c r="C12" t="inlineStr">
        <is>
          <t>Business Visitor stream - check before pilgrimage use</t>
        </is>
      </c>
    </row>
    <row r="13">
      <c r="A13" s="4" t="inlineStr">
        <is>
          <t>Australia - days left</t>
        </is>
      </c>
      <c r="B13" s="6">
        <f>'Visas Held'!$F$6-TODAY()</f>
        <v/>
      </c>
      <c r="C13" t="inlineStr"/>
    </row>
    <row r="14">
      <c r="A14" s="4" t="inlineStr">
        <is>
          <t>Countries visited (stamp-verified)</t>
        </is>
      </c>
      <c r="B14" s="6">
        <f>COUNTIF('Country Summary'!C5:C19,"&gt;0")</f>
        <v/>
      </c>
      <c r="C14" t="inlineStr">
        <is>
          <t>Includes Schengen countries visited Jul 2024</t>
        </is>
      </c>
    </row>
    <row r="15">
      <c r="A15" s="4" t="inlineStr">
        <is>
          <t>Total international visits logged</t>
        </is>
      </c>
      <c r="B15" s="6">
        <f>'Country Summary'!C21</f>
        <v/>
      </c>
      <c r="C15" t="inlineStr">
        <is>
          <t>Each entry = one visit</t>
        </is>
      </c>
    </row>
    <row r="16">
      <c r="A16" s="4" t="inlineStr">
        <is>
          <t>Visits to most-visited country</t>
        </is>
      </c>
      <c r="B16" s="6">
        <f>MAX('Country Summary'!C5:C19)</f>
        <v/>
      </c>
      <c r="C16" t="inlineStr"/>
    </row>
    <row r="17">
      <c r="A17" s="4" t="inlineStr">
        <is>
          <t>Destinations reachable NOW via visa privileges</t>
        </is>
      </c>
      <c r="B17" s="6">
        <f>COUNTIF('Access Map'!O5:O40,"YES")</f>
        <v/>
      </c>
      <c r="C17" t="inlineStr">
        <is>
          <t>Excludes visa-free countries for Indians; see Access Map</t>
        </is>
      </c>
    </row>
    <row r="18">
      <c r="A18" s="4" t="inlineStr">
        <is>
          <t>Places / sites logged (master list)</t>
        </is>
      </c>
      <c r="B18" s="6">
        <f>'Places Visited'!$B$110</f>
        <v/>
      </c>
      <c r="C18" t="inlineStr">
        <is>
          <t>See Places Visited</t>
        </is>
      </c>
    </row>
    <row r="19">
      <c r="A19" s="4" t="inlineStr">
        <is>
          <t xml:space="preserve">  of which ISKCON / temples</t>
        </is>
      </c>
      <c r="B19" s="6">
        <f>'Places Visited'!$B$111</f>
        <v/>
      </c>
      <c r="C19" t="inlineStr"/>
    </row>
    <row r="20">
      <c r="A20" s="4" t="inlineStr">
        <is>
          <t>Distinct cities logged</t>
        </is>
      </c>
      <c r="B20" s="6">
        <f>'Places Visited'!$B$112</f>
        <v/>
      </c>
      <c r="C20" t="inlineStr"/>
    </row>
    <row r="21">
      <c r="A21" s="4" t="inlineStr">
        <is>
          <t>World Checklist - places listed</t>
        </is>
      </c>
      <c r="B21" s="6">
        <f>'Checklist Summary'!$B$83</f>
        <v/>
      </c>
      <c r="C21" t="inlineStr">
        <is>
          <t>See World Checklist / Checklist Summary</t>
        </is>
      </c>
    </row>
    <row r="22">
      <c r="A22" s="4" t="inlineStr">
        <is>
          <t xml:space="preserve">  visited (Yes)</t>
        </is>
      </c>
      <c r="B22" s="6">
        <f>'Checklist Summary'!$C$83</f>
        <v/>
      </c>
      <c r="C22" t="inlineStr"/>
    </row>
    <row r="23">
      <c r="A23" s="4" t="inlineStr">
        <is>
          <t xml:space="preserve">  likely visited (confirm)</t>
        </is>
      </c>
      <c r="B23" s="6">
        <f>'Checklist Summary'!$D$83</f>
        <v/>
      </c>
      <c r="C23" t="inlineStr">
        <is>
          <t>From your yatra dashboards</t>
        </is>
      </c>
    </row>
    <row r="24">
      <c r="A24" s="4" t="inlineStr">
        <is>
          <t>Wishlist ideas (open)</t>
        </is>
      </c>
      <c r="B24" s="6">
        <f>COUNTIFS('Yatra Wishlist'!K5:K200,"&lt;&gt;Done",'Yatra Wishlist'!K5:K200,"&lt;&gt;Dropped",'Yatra Wishlist'!B5:B200,"&lt;&gt;")</f>
        <v/>
      </c>
      <c r="C24" t="inlineStr">
        <is>
          <t>See Yatra Wishlist</t>
        </is>
      </c>
    </row>
    <row r="25">
      <c r="A25" s="4" t="inlineStr">
        <is>
          <t>Valid visas right now</t>
        </is>
      </c>
      <c r="B25" s="6">
        <f>COUNTIF('Visas Held'!I5:I30,"VALID")</f>
        <v/>
      </c>
      <c r="C25" t="inlineStr"/>
    </row>
    <row r="26">
      <c r="A26" s="4" t="inlineStr">
        <is>
          <t>Expired visas to renew</t>
        </is>
      </c>
      <c r="B26" s="6">
        <f>COUNTIF('Visas Held'!I5:I30,"EXPIRED")</f>
        <v/>
      </c>
      <c r="C26" t="inlineStr">
        <is>
          <t>Schengen, UK (UAE eVisa was single-use)</t>
        </is>
      </c>
    </row>
    <row r="28">
      <c r="A28" s="7" t="inlineStr">
        <is>
          <t>Top actions</t>
        </is>
      </c>
    </row>
    <row r="29" ht="48" customHeight="1">
      <c r="A29" s="8" t="inlineStr">
        <is>
          <t>Passport expires 17 Sep 2028</t>
        </is>
      </c>
      <c r="C29" s="8"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30" ht="48" customHeight="1">
      <c r="A30" s="8" t="inlineStr">
        <is>
          <t>Schengen: no valid visa</t>
        </is>
      </c>
      <c r="C30" s="8" t="inlineStr">
        <is>
          <t>Both France visas expired (Apr 2026). You now have 2 lawful visas in 3 years -&gt; eligible for the EU 'cascade' 2-year multiple-entry visa. Apply 3 months before the next Europe yatra.</t>
        </is>
      </c>
    </row>
    <row r="31" ht="48" customHeight="1">
      <c r="A31" s="8" t="inlineStr">
        <is>
          <t>UK: no valid visa</t>
        </is>
      </c>
      <c r="C31" s="8" t="inlineStr">
        <is>
          <t>UK visa expired 29 Dec 2024. Apply 3-4 weeks ahead; consider a 2-year or 5-year Standard Visitor visa if you will return often.</t>
        </is>
      </c>
    </row>
    <row r="32" ht="48" customHeight="1">
      <c r="A32" s="8" t="inlineStr">
        <is>
          <t>Australia: confirm stream</t>
        </is>
      </c>
      <c r="C32" s="8" t="inlineStr">
        <is>
          <t>Visa is Business Visitor stream (condition 8115). A pilgrimage yatra with devotees may count as tourism - confirm whether to apply for a Tourist-stream visa.</t>
        </is>
      </c>
    </row>
    <row r="33" ht="48" customHeight="1">
      <c r="A33" s="8" t="inlineStr">
        <is>
          <t>Malaysia visa-free ends 31 Dec 2026</t>
        </is>
      </c>
      <c r="C33" s="8" t="inlineStr">
        <is>
          <t>Get visa/e-visa for any 2027 Malaysia yatra unless extended.</t>
        </is>
      </c>
    </row>
  </sheetData>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A1:L30"/>
  <sheetViews>
    <sheetView zoomScale="100" workbookViewId="0">
      <pane ySplit="4" topLeftCell="A5" activePane="bottomLeft" state="frozen"/>
      <selection pane="bottomLeft" activeCell="A1" sqref="A1"/>
    </sheetView>
  </sheetViews>
  <sheetFormatPr baseColWidth="8" defaultRowHeight="15"/>
  <cols>
    <col width="5" customWidth="1" min="1" max="1"/>
    <col width="16" customWidth="1" min="2" max="2"/>
    <col width="13" customWidth="1" min="3" max="3"/>
    <col width="13" customWidth="1" min="4" max="4"/>
    <col width="9" customWidth="1" min="5" max="5"/>
    <col width="10" customWidth="1" min="6" max="6"/>
    <col width="26" customWidth="1" min="7" max="7"/>
    <col width="26" customWidth="1" min="8" max="8"/>
    <col width="30" customWidth="1" min="9" max="9"/>
    <col width="48" customWidth="1" min="10" max="10"/>
    <col width="11" customWidth="1" min="11" max="11"/>
    <col width="40" customWidth="1" min="12" max="12"/>
  </cols>
  <sheetData>
    <row r="1">
      <c r="A1" s="1" t="inlineStr">
        <is>
          <t>Travel Log - stamp-verified international trips</t>
        </is>
      </c>
    </row>
    <row r="2">
      <c r="A2" s="2" t="inlineStr">
        <is>
          <t>Source: passport scan (Nov 2025). Add new rows at the bottom; Days &amp; Country Summary update automatically. Yellow = please confirm.</t>
        </is>
      </c>
    </row>
    <row r="4">
      <c r="A4" s="3" t="inlineStr">
        <is>
          <t>#</t>
        </is>
      </c>
      <c r="B4" s="3" t="inlineStr">
        <is>
          <t>Country</t>
        </is>
      </c>
      <c r="C4" s="3" t="inlineStr">
        <is>
          <t>Entry date</t>
        </is>
      </c>
      <c r="D4" s="3" t="inlineStr">
        <is>
          <t>Exit date</t>
        </is>
      </c>
      <c r="E4" s="3" t="inlineStr">
        <is>
          <t>Days (incl.)</t>
        </is>
      </c>
      <c r="F4" s="3" t="inlineStr">
        <is>
          <t>Type</t>
        </is>
      </c>
      <c r="G4" s="3" t="inlineStr">
        <is>
          <t>Entry point</t>
        </is>
      </c>
      <c r="H4" s="3" t="inlineStr">
        <is>
          <t>Exit point</t>
        </is>
      </c>
      <c r="I4" s="3" t="inlineStr">
        <is>
          <t>Visa / permit used</t>
        </is>
      </c>
      <c r="J4" s="3" t="inlineStr">
        <is>
          <t>Evidence (passport page)</t>
        </is>
      </c>
      <c r="K4" s="3" t="inlineStr">
        <is>
          <t>Confidence</t>
        </is>
      </c>
      <c r="L4" s="3" t="inlineStr">
        <is>
          <t>Notes</t>
        </is>
      </c>
    </row>
    <row r="5">
      <c r="A5" s="9" t="n">
        <v>1</v>
      </c>
      <c r="B5" s="9" t="inlineStr">
        <is>
          <t>Nepal</t>
        </is>
      </c>
      <c r="C5" s="10" t="n"/>
      <c r="D5" s="10" t="n">
        <v>43531</v>
      </c>
      <c r="E5" s="9">
        <f>IF(AND(ISNUMBER(C5),ISNUMBER(D5)),D5-C5+1,"")</f>
        <v/>
      </c>
      <c r="F5" s="9" t="inlineStr">
        <is>
          <t>Visit</t>
        </is>
      </c>
      <c r="G5" s="9" t="inlineStr">
        <is>
          <t>(entry stamp not in this passport)</t>
        </is>
      </c>
      <c r="H5" s="9" t="inlineStr">
        <is>
          <t>Tribhuvan Intl, Kathmandu</t>
        </is>
      </c>
      <c r="I5" s="9" t="inlineStr">
        <is>
          <t>No visa needed (Indian PP)</t>
        </is>
      </c>
      <c r="J5" s="9" t="inlineStr">
        <is>
          <t>Passport p.3: Nepal departed + India arrival New Delhi 07 Mar 2019</t>
        </is>
      </c>
      <c r="K5" s="11" t="inlineStr">
        <is>
          <t>Check</t>
        </is>
      </c>
      <c r="L5" s="9" t="inlineStr">
        <is>
          <t>Entry date unknown - add from old passport/tickets</t>
        </is>
      </c>
    </row>
    <row r="6">
      <c r="A6" s="9" t="n">
        <v>2</v>
      </c>
      <c r="B6" s="9" t="inlineStr">
        <is>
          <t>Nepal</t>
        </is>
      </c>
      <c r="C6" s="12" t="n">
        <v>43600</v>
      </c>
      <c r="D6" s="10" t="n"/>
      <c r="E6" s="9">
        <f>IF(AND(ISNUMBER(C6),ISNUMBER(D6)),D6-C6+1,"")</f>
        <v/>
      </c>
      <c r="F6" s="9" t="inlineStr">
        <is>
          <t>Visit</t>
        </is>
      </c>
      <c r="G6" s="9" t="inlineStr">
        <is>
          <t>Nepal land/air entry</t>
        </is>
      </c>
      <c r="H6" s="9" t="inlineStr">
        <is>
          <t>(exit stamp not in this passport)</t>
        </is>
      </c>
      <c r="I6" s="9" t="inlineStr">
        <is>
          <t>No visa needed</t>
        </is>
      </c>
      <c r="J6" s="9" t="inlineStr">
        <is>
          <t>Passport p.3: India departed New Delhi 15 May 2019, Nepal arrived 15 May 2019</t>
        </is>
      </c>
      <c r="K6" s="9" t="inlineStr">
        <is>
          <t>High</t>
        </is>
      </c>
      <c r="L6" s="9" t="inlineStr">
        <is>
          <t>Return date unknown - add</t>
        </is>
      </c>
    </row>
    <row r="7">
      <c r="A7" s="9" t="n">
        <v>3</v>
      </c>
      <c r="B7" s="9" t="inlineStr">
        <is>
          <t>Sri Lanka</t>
        </is>
      </c>
      <c r="C7" s="12" t="n">
        <v>43736</v>
      </c>
      <c r="D7" s="12" t="n">
        <v>43745</v>
      </c>
      <c r="E7" s="9">
        <f>IF(AND(ISNUMBER(C7),ISNUMBER(D7)),D7-C7+1,"")</f>
        <v/>
      </c>
      <c r="F7" s="9" t="inlineStr">
        <is>
          <t>Visit</t>
        </is>
      </c>
      <c r="G7" s="9" t="inlineStr">
        <is>
          <t>Colombo (BIA)</t>
        </is>
      </c>
      <c r="H7" s="9" t="inlineStr">
        <is>
          <t>Colombo (BIA) -&gt; Madurai</t>
        </is>
      </c>
      <c r="I7" s="9" t="inlineStr">
        <is>
          <t>ETA 30-day, 1st visit (exp 28/10/2019)</t>
        </is>
      </c>
      <c r="J7" s="9" t="inlineStr">
        <is>
          <t>Passport p.5/p.9: SL permitted 28 Sep 2019; embarked 07 Oct 2019; India arrival Madurai 07 Oct 2019</t>
        </is>
      </c>
      <c r="K7" s="9" t="inlineStr">
        <is>
          <t>High</t>
        </is>
      </c>
      <c r="L7" s="9" t="inlineStr">
        <is>
          <t>India departure New Delhi 27 Sep 2019</t>
        </is>
      </c>
    </row>
    <row r="8">
      <c r="A8" s="9" t="n">
        <v>4</v>
      </c>
      <c r="B8" s="9" t="inlineStr">
        <is>
          <t>Sri Lanka</t>
        </is>
      </c>
      <c r="C8" s="12" t="n">
        <v>43816</v>
      </c>
      <c r="D8" s="12" t="n">
        <v>43828</v>
      </c>
      <c r="E8" s="9">
        <f>IF(AND(ISNUMBER(C8),ISNUMBER(D8)),D8-C8+1,"")</f>
        <v/>
      </c>
      <c r="F8" s="9" t="inlineStr">
        <is>
          <t>Visit</t>
        </is>
      </c>
      <c r="G8" s="9" t="inlineStr">
        <is>
          <t>Colombo (BIA)</t>
        </is>
      </c>
      <c r="H8" s="9" t="inlineStr">
        <is>
          <t>Colombo (BIA) -&gt; Hyderabad</t>
        </is>
      </c>
      <c r="I8" s="9" t="inlineStr">
        <is>
          <t>ETA 30-day, 1st visit (exp 16/01/2020)</t>
        </is>
      </c>
      <c r="J8" s="9" t="inlineStr">
        <is>
          <t>Passport p.4: India dep. RGI Hyderabad 17 Dec 2019; SL departure + India arrival RGI 29 Dec 2019</t>
        </is>
      </c>
      <c r="K8" s="9" t="inlineStr">
        <is>
          <t>High</t>
        </is>
      </c>
      <c r="L8" s="9" t="inlineStr"/>
    </row>
    <row r="9">
      <c r="A9" s="9" t="n">
        <v>5</v>
      </c>
      <c r="B9" s="9" t="inlineStr">
        <is>
          <t>Sri Lanka</t>
        </is>
      </c>
      <c r="C9" s="12" t="n">
        <v>44585</v>
      </c>
      <c r="D9" s="12" t="n">
        <v>44592</v>
      </c>
      <c r="E9" s="9">
        <f>IF(AND(ISNUMBER(C9),ISNUMBER(D9)),D9-C9+1,"")</f>
        <v/>
      </c>
      <c r="F9" s="9" t="inlineStr">
        <is>
          <t>Visit</t>
        </is>
      </c>
      <c r="G9" s="9" t="inlineStr">
        <is>
          <t>Colombo (BIA)</t>
        </is>
      </c>
      <c r="H9" s="9" t="inlineStr">
        <is>
          <t>Colombo (BIA) -&gt; Chennai</t>
        </is>
      </c>
      <c r="I9" s="9" t="inlineStr">
        <is>
          <t>ETA 30-day, 1st visit (exp 23/02/2022)</t>
        </is>
      </c>
      <c r="J9" s="9" t="inlineStr">
        <is>
          <t>Passport p.4/p.9: India dep. Chennai 24 Jan 2022; SL embarked 31 Jan 2022; India arrival Chennai 31 Jan 2022</t>
        </is>
      </c>
      <c r="K9" s="9" t="inlineStr">
        <is>
          <t>High</t>
        </is>
      </c>
      <c r="L9" s="9" t="inlineStr">
        <is>
          <t>COVID-era trip</t>
        </is>
      </c>
    </row>
    <row r="10">
      <c r="A10" s="9" t="n">
        <v>6</v>
      </c>
      <c r="B10" s="9" t="inlineStr">
        <is>
          <t>Nepal</t>
        </is>
      </c>
      <c r="C10" s="12" t="n">
        <v>44665</v>
      </c>
      <c r="D10" s="12" t="n">
        <v>44672</v>
      </c>
      <c r="E10" s="9">
        <f>IF(AND(ISNUMBER(C10),ISNUMBER(D10)),D10-C10+1,"")</f>
        <v/>
      </c>
      <c r="F10" s="9" t="inlineStr">
        <is>
          <t>Visit</t>
        </is>
      </c>
      <c r="G10" s="9" t="inlineStr">
        <is>
          <t>Nepal (arrived 14 Apr 2022)</t>
        </is>
      </c>
      <c r="H10" s="9" t="inlineStr">
        <is>
          <t>Tribhuvan Intl, Kathmandu -&gt; Bengaluru</t>
        </is>
      </c>
      <c r="I10" s="9" t="inlineStr">
        <is>
          <t>No visa needed</t>
        </is>
      </c>
      <c r="J10" s="9" t="inlineStr">
        <is>
          <t>Passport p.6/p.7/p.9: India dep. New Delhi 14 Apr 2022; Nepal departed 21 Apr 2022; India arrival Bengaluru 21 Apr 2022</t>
        </is>
      </c>
      <c r="K10" s="9" t="inlineStr">
        <is>
          <t>High</t>
        </is>
      </c>
      <c r="L10" s="9" t="inlineStr"/>
    </row>
    <row r="11">
      <c r="A11" s="9" t="n">
        <v>7</v>
      </c>
      <c r="B11" s="9" t="inlineStr">
        <is>
          <t>Thailand</t>
        </is>
      </c>
      <c r="C11" s="12" t="n">
        <v>44964</v>
      </c>
      <c r="D11" s="12" t="n">
        <v>44965</v>
      </c>
      <c r="E11" s="9">
        <f>IF(AND(ISNUMBER(C11),ISNUMBER(D11)),D11-C11+1,"")</f>
        <v/>
      </c>
      <c r="F11" s="9" t="inlineStr">
        <is>
          <t>Visit</t>
        </is>
      </c>
      <c r="G11" s="9" t="inlineStr">
        <is>
          <t>Suvarnabhumi (BKK)</t>
        </is>
      </c>
      <c r="H11" s="9" t="inlineStr">
        <is>
          <t>Suvarnabhumi (BKK)</t>
        </is>
      </c>
      <c r="I11" s="9" t="inlineStr">
        <is>
          <t>Visa on Arrival (30 days)</t>
        </is>
      </c>
      <c r="J11" s="9" t="inlineStr">
        <is>
          <t>Passport p.7-8: Thai admitted 7 Feb 2023, departed 8 Feb 2023; India dep. Bengaluru 07 Feb 2023</t>
        </is>
      </c>
      <c r="K11" s="9" t="inlineStr">
        <is>
          <t>High</t>
        </is>
      </c>
      <c r="L11" s="9" t="inlineStr">
        <is>
          <t>Connection/transit stop en route to Cambodia</t>
        </is>
      </c>
    </row>
    <row r="12">
      <c r="A12" s="9" t="n">
        <v>8</v>
      </c>
      <c r="B12" s="9" t="inlineStr">
        <is>
          <t>Cambodia</t>
        </is>
      </c>
      <c r="C12" s="12" t="n">
        <v>44965</v>
      </c>
      <c r="D12" s="12" t="n">
        <v>44967</v>
      </c>
      <c r="E12" s="9">
        <f>IF(AND(ISNUMBER(C12),ISNUMBER(D12)),D12-C12+1,"")</f>
        <v/>
      </c>
      <c r="F12" s="9" t="inlineStr">
        <is>
          <t>Visit</t>
        </is>
      </c>
      <c r="G12" s="9" t="inlineStr">
        <is>
          <t>Siem Reap (REP)</t>
        </is>
      </c>
      <c r="H12" s="9" t="inlineStr">
        <is>
          <t>Siem Reap (REP)</t>
        </is>
      </c>
      <c r="I12" s="9" t="inlineStr">
        <is>
          <t>e-Visa (valid to 07 Mar 2023)</t>
        </is>
      </c>
      <c r="J12" s="9" t="inlineStr">
        <is>
          <t>Passport p.10: Cambodia entry 08 Feb 2023, exit 10 Feb 2023</t>
        </is>
      </c>
      <c r="K12" s="9" t="inlineStr">
        <is>
          <t>High</t>
        </is>
      </c>
      <c r="L12" s="9" t="inlineStr"/>
    </row>
    <row r="13">
      <c r="A13" s="9" t="n">
        <v>9</v>
      </c>
      <c r="B13" s="9" t="inlineStr">
        <is>
          <t>Thailand</t>
        </is>
      </c>
      <c r="C13" s="12" t="n">
        <v>44967</v>
      </c>
      <c r="D13" s="12" t="n">
        <v>44969</v>
      </c>
      <c r="E13" s="9">
        <f>IF(AND(ISNUMBER(C13),ISNUMBER(D13)),D13-C13+1,"")</f>
        <v/>
      </c>
      <c r="F13" s="9" t="inlineStr">
        <is>
          <t>Visit</t>
        </is>
      </c>
      <c r="G13" s="9" t="inlineStr">
        <is>
          <t>Suvarnabhumi (BKK)</t>
        </is>
      </c>
      <c r="H13" s="9" t="inlineStr">
        <is>
          <t>Suvarnabhumi (BKK) -&gt; Bengaluru</t>
        </is>
      </c>
      <c r="I13" s="9" t="inlineStr">
        <is>
          <t>Visa on Arrival (30 days)</t>
        </is>
      </c>
      <c r="J13" s="9" t="inlineStr">
        <is>
          <t>Passport p.8: Thai admitted 10 Feb 2023 (until 11 Mar), departed 12 Feb 2023; India arrival Bengaluru 12 Feb 2023</t>
        </is>
      </c>
      <c r="K13" s="9" t="inlineStr">
        <is>
          <t>High</t>
        </is>
      </c>
      <c r="L13" s="9" t="inlineStr"/>
    </row>
    <row r="14">
      <c r="A14" s="9" t="n">
        <v>10</v>
      </c>
      <c r="B14" s="9" t="inlineStr">
        <is>
          <t>Thailand</t>
        </is>
      </c>
      <c r="C14" s="10" t="n">
        <v>45101</v>
      </c>
      <c r="D14" s="10" t="n">
        <v>45104</v>
      </c>
      <c r="E14" s="9">
        <f>IF(AND(ISNUMBER(C14),ISNUMBER(D14)),D14-C14+1,"")</f>
        <v/>
      </c>
      <c r="F14" s="9" t="inlineStr">
        <is>
          <t>Visit</t>
        </is>
      </c>
      <c r="G14" s="9" t="inlineStr">
        <is>
          <t>Thailand (BKK)</t>
        </is>
      </c>
      <c r="H14" s="9" t="inlineStr">
        <is>
          <t>Thailand (BKK)</t>
        </is>
      </c>
      <c r="I14" s="9" t="inlineStr">
        <is>
          <t>Visa on Arrival</t>
        </is>
      </c>
      <c r="J14" s="9" t="inlineStr">
        <is>
          <t>Passport p.20-21: Thai VOA stamp admitted 2? Jun 2023 until 9 Jul 2023 (class TR-15 = 15 days -&gt; 24 Jun); Thai departed 27 Jun 2023; India dep. RGI Hyderabad 24 Jun 2023</t>
        </is>
      </c>
      <c r="K14" s="11" t="inlineStr">
        <is>
          <t>Check</t>
        </is>
      </c>
      <c r="L14" s="9" t="inlineStr">
        <is>
          <t>Day digit smudged; 24 Jun inferred from 15-day limit (9 Jul) + India departure 24 Jun</t>
        </is>
      </c>
    </row>
    <row r="15">
      <c r="A15" s="9" t="n">
        <v>11</v>
      </c>
      <c r="B15" s="9" t="inlineStr">
        <is>
          <t>Cambodia</t>
        </is>
      </c>
      <c r="C15" s="12" t="n">
        <v>45104</v>
      </c>
      <c r="D15" s="12" t="n">
        <v>45107</v>
      </c>
      <c r="E15" s="9">
        <f>IF(AND(ISNUMBER(C15),ISNUMBER(D15)),D15-C15+1,"")</f>
        <v/>
      </c>
      <c r="F15" s="9" t="inlineStr">
        <is>
          <t>Visit</t>
        </is>
      </c>
      <c r="G15" s="9" t="inlineStr">
        <is>
          <t>Siem Reap (REP)</t>
        </is>
      </c>
      <c r="H15" s="9" t="inlineStr">
        <is>
          <t>Siem Reap (REP)</t>
        </is>
      </c>
      <c r="I15" s="9" t="inlineStr">
        <is>
          <t>e-Visa (valid 27 Jun-26 Jul 2023)</t>
        </is>
      </c>
      <c r="J15" s="9" t="inlineStr">
        <is>
          <t>Passport p.20: Cambodia entry 27 Jun 2023, exit 30 Jun 2023</t>
        </is>
      </c>
      <c r="K15" s="9" t="inlineStr">
        <is>
          <t>High</t>
        </is>
      </c>
      <c r="L15" s="9" t="inlineStr">
        <is>
          <t>India arrival RGI Hyderabad 01 Jul 2023 (return probably via Thailand)</t>
        </is>
      </c>
    </row>
    <row r="16">
      <c r="A16" s="9" t="n">
        <v>12</v>
      </c>
      <c r="B16" s="9" t="inlineStr">
        <is>
          <t>France</t>
        </is>
      </c>
      <c r="C16" s="12" t="n">
        <v>45488</v>
      </c>
      <c r="D16" s="12" t="n">
        <v>45491</v>
      </c>
      <c r="E16" s="9">
        <f>IF(AND(ISNUMBER(C16),ISNUMBER(D16)),D16-C16+1,"")</f>
        <v/>
      </c>
      <c r="F16" s="9" t="inlineStr">
        <is>
          <t>Visit</t>
        </is>
      </c>
      <c r="G16" s="9" t="inlineStr">
        <is>
          <t>Paris CDG</t>
        </is>
      </c>
      <c r="H16" s="9" t="inlineStr">
        <is>
          <t>By road to Brussels</t>
        </is>
      </c>
      <c r="I16" s="9" t="inlineStr">
        <is>
          <t>Schengen C visa #1 (France-issued, Pondicherry)</t>
        </is>
      </c>
      <c r="J16" s="9" t="inlineStr">
        <is>
          <t>Passport p.9/p.17: CDG stamp 15 Jul 2024; Malpensa stamp 27 Jul 2024; India dep. Mumbai 14 Jul 2024</t>
        </is>
      </c>
      <c r="K16" s="9" t="inlineStr">
        <is>
          <t>High</t>
        </is>
      </c>
      <c r="L16" s="9" t="inlineStr">
        <is>
          <t>Paris 15-17 Jul (Seine, Eiffel, Louvre), ISKCON New Mayapur 17 Jul; left for Brussels 18 Jul. Dates inferred from itinerary Days 4-7 anchored on CDG stamp</t>
        </is>
      </c>
    </row>
    <row r="17">
      <c r="A17" s="9" t="n">
        <v>13</v>
      </c>
      <c r="B17" s="9" t="inlineStr">
        <is>
          <t>Belgium</t>
        </is>
      </c>
      <c r="C17" s="10" t="n">
        <v>45491</v>
      </c>
      <c r="D17" s="10" t="n">
        <v>45492</v>
      </c>
      <c r="E17" s="9">
        <f>IF(AND(ISNUMBER(C17),ISNUMBER(D17)),D17-C17+1,"")</f>
        <v/>
      </c>
      <c r="F17" s="9" t="inlineStr">
        <is>
          <t>Visit</t>
        </is>
      </c>
      <c r="G17" s="9" t="inlineStr">
        <is>
          <t>By road from Paris</t>
        </is>
      </c>
      <c r="H17" s="9" t="inlineStr">
        <is>
          <t>By road to Amsterdam</t>
        </is>
      </c>
      <c r="I17" s="9" t="inlineStr">
        <is>
          <t>Schengen C visa #1</t>
        </is>
      </c>
      <c r="J17" s="9" t="inlineStr">
        <is>
          <t>Itinerary Day 7: Brussels + ISKCON Radhadesh; dates inferred</t>
        </is>
      </c>
      <c r="K17" s="11" t="inlineStr">
        <is>
          <t>Check</t>
        </is>
      </c>
      <c r="L17" s="9" t="inlineStr">
        <is>
          <t>Brussels Grand Place, Manneken Pis, Radhadesh (Durbuy)</t>
        </is>
      </c>
    </row>
    <row r="18">
      <c r="A18" s="9" t="n">
        <v>14</v>
      </c>
      <c r="B18" s="9" t="inlineStr">
        <is>
          <t>Netherlands</t>
        </is>
      </c>
      <c r="C18" s="10" t="n">
        <v>45492</v>
      </c>
      <c r="D18" s="10" t="n">
        <v>45493</v>
      </c>
      <c r="E18" s="9">
        <f>IF(AND(ISNUMBER(C18),ISNUMBER(D18)),D18-C18+1,"")</f>
        <v/>
      </c>
      <c r="F18" s="9" t="inlineStr">
        <is>
          <t>Visit</t>
        </is>
      </c>
      <c r="G18" s="9" t="inlineStr">
        <is>
          <t>By road from Brussels</t>
        </is>
      </c>
      <c r="H18" s="9" t="inlineStr">
        <is>
          <t>By road to Cologne</t>
        </is>
      </c>
      <c r="I18" s="9" t="inlineStr">
        <is>
          <t>Schengen C visa #1</t>
        </is>
      </c>
      <c r="J18" s="9" t="inlineStr">
        <is>
          <t>Itinerary Days 8-9: Amsterdam canal cruise + city; dates inferred</t>
        </is>
      </c>
      <c r="K18" s="11" t="inlineStr">
        <is>
          <t>Check</t>
        </is>
      </c>
      <c r="L18" s="9" t="inlineStr">
        <is>
          <t>Amsterdam; 'Hare Krishna Valley' temple on Day 9 (confirm which)</t>
        </is>
      </c>
    </row>
    <row r="19">
      <c r="A19" s="9" t="n">
        <v>15</v>
      </c>
      <c r="B19" s="9" t="inlineStr">
        <is>
          <t>Germany</t>
        </is>
      </c>
      <c r="C19" s="10" t="n">
        <v>45493</v>
      </c>
      <c r="D19" s="10" t="n">
        <v>45494</v>
      </c>
      <c r="E19" s="9">
        <f>IF(AND(ISNUMBER(C19),ISNUMBER(D19)),D19-C19+1,"")</f>
        <v/>
      </c>
      <c r="F19" s="9" t="inlineStr">
        <is>
          <t>Visit</t>
        </is>
      </c>
      <c r="G19" s="9" t="inlineStr">
        <is>
          <t>By road from Amsterdam</t>
        </is>
      </c>
      <c r="H19" s="9" t="inlineStr">
        <is>
          <t>By road via Rhine Falls to Zurich</t>
        </is>
      </c>
      <c r="I19" s="9" t="inlineStr">
        <is>
          <t>Schengen C visa #1</t>
        </is>
      </c>
      <c r="J19" s="9" t="inlineStr">
        <is>
          <t>Itinerary Days 9-10: Cologne, Black Forest, Triberg; dates inferred</t>
        </is>
      </c>
      <c r="K19" s="11" t="inlineStr">
        <is>
          <t>Check</t>
        </is>
      </c>
      <c r="L19" s="9" t="inlineStr"/>
    </row>
    <row r="20">
      <c r="A20" s="9" t="n">
        <v>16</v>
      </c>
      <c r="B20" s="9" t="inlineStr">
        <is>
          <t>Switzerland</t>
        </is>
      </c>
      <c r="C20" s="10" t="n">
        <v>45494</v>
      </c>
      <c r="D20" s="10" t="n">
        <v>45496</v>
      </c>
      <c r="E20" s="9">
        <f>IF(AND(ISNUMBER(C20),ISNUMBER(D20)),D20-C20+1,"")</f>
        <v/>
      </c>
      <c r="F20" s="9" t="inlineStr">
        <is>
          <t>Visit</t>
        </is>
      </c>
      <c r="G20" s="9" t="inlineStr">
        <is>
          <t>Rhine Falls (by road)</t>
        </is>
      </c>
      <c r="H20" s="9" t="inlineStr">
        <is>
          <t>By road to Milan</t>
        </is>
      </c>
      <c r="I20" s="9" t="inlineStr">
        <is>
          <t>Schengen C visa #1</t>
        </is>
      </c>
      <c r="J20" s="9" t="inlineStr">
        <is>
          <t>Itinerary Days 10-12: Rhine Falls, Zurich, Lucerne, Mt Titlis; dates inferred</t>
        </is>
      </c>
      <c r="K20" s="11" t="inlineStr">
        <is>
          <t>Check</t>
        </is>
      </c>
      <c r="L20" s="9" t="inlineStr"/>
    </row>
    <row r="21">
      <c r="A21" s="9" t="n">
        <v>17</v>
      </c>
      <c r="B21" s="9" t="inlineStr">
        <is>
          <t>Vatican City</t>
        </is>
      </c>
      <c r="C21" s="10" t="n">
        <v>45499</v>
      </c>
      <c r="D21" s="10" t="n">
        <v>45499</v>
      </c>
      <c r="E21" s="9">
        <f>IF(AND(ISNUMBER(C21),ISNUMBER(D21)),D21-C21+1,"")</f>
        <v/>
      </c>
      <c r="F21" s="9" t="inlineStr">
        <is>
          <t>Visit</t>
        </is>
      </c>
      <c r="G21" s="9" t="inlineStr">
        <is>
          <t>On foot from Rome (no border control)</t>
        </is>
      </c>
      <c r="H21" s="9" t="inlineStr">
        <is>
          <t>On foot from Rome</t>
        </is>
      </c>
      <c r="I21" s="9" t="inlineStr">
        <is>
          <t>Schengen C visa #1 (open border with Italy)</t>
        </is>
      </c>
      <c r="J21" s="9" t="inlineStr">
        <is>
          <t>Itinerary Day 15: St Peter's Square &amp; Basilica; date inferred</t>
        </is>
      </c>
      <c r="K21" s="11" t="inlineStr">
        <is>
          <t>Check</t>
        </is>
      </c>
      <c r="L21" s="9" t="inlineStr">
        <is>
          <t>Same day as Rome</t>
        </is>
      </c>
    </row>
    <row r="22">
      <c r="A22" s="9" t="n">
        <v>18</v>
      </c>
      <c r="B22" s="9" t="inlineStr">
        <is>
          <t>Italy</t>
        </is>
      </c>
      <c r="C22" s="10" t="n">
        <v>45496</v>
      </c>
      <c r="D22" s="10" t="n">
        <v>45500</v>
      </c>
      <c r="E22" s="9">
        <f>IF(AND(ISNUMBER(C22),ISNUMBER(D22)),D22-C22+1,"")</f>
        <v/>
      </c>
      <c r="F22" s="9" t="inlineStr">
        <is>
          <t>Visit</t>
        </is>
      </c>
      <c r="G22" s="9" t="inlineStr">
        <is>
          <t>By road from Lucerne</t>
        </is>
      </c>
      <c r="H22" s="9" t="inlineStr">
        <is>
          <t>Milan Malpensa (MXP) -&gt; London Gatwick</t>
        </is>
      </c>
      <c r="I22" s="9" t="inlineStr">
        <is>
          <t>Schengen C visa #1</t>
        </is>
      </c>
      <c r="J22" s="9" t="inlineStr">
        <is>
          <t>Itinerary Days 12-16: Milan, Padova, Venice, Arezzo, Florence, Pisa, Rome; Malpensa exit stamp 27 Jul 2024</t>
        </is>
      </c>
      <c r="K22" s="11" t="inlineStr">
        <is>
          <t>Check</t>
        </is>
      </c>
      <c r="L22" s="9" t="inlineStr">
        <is>
          <t>Entry date inferred; exit stamped</t>
        </is>
      </c>
    </row>
    <row r="23">
      <c r="A23" s="9" t="n">
        <v>19</v>
      </c>
      <c r="B23" s="9" t="inlineStr">
        <is>
          <t>United Kingdom</t>
        </is>
      </c>
      <c r="C23" s="10" t="n">
        <v>45500</v>
      </c>
      <c r="D23" s="10" t="n">
        <v>45504</v>
      </c>
      <c r="E23" s="9">
        <f>IF(AND(ISNUMBER(C23),ISNUMBER(D23)),D23-C23+1,"")</f>
        <v/>
      </c>
      <c r="F23" s="9" t="inlineStr">
        <is>
          <t>Visit</t>
        </is>
      </c>
      <c r="G23" s="9" t="inlineStr">
        <is>
          <t>London Gatwick</t>
        </is>
      </c>
      <c r="H23" s="9" t="inlineStr">
        <is>
          <t>London -&gt; Dubai (UK does not stamp exit)</t>
        </is>
      </c>
      <c r="I23" s="9" t="inlineStr">
        <is>
          <t>UK Standard Visitor C-visit, multiple, 29 Jun-29 Dec 2024</t>
        </is>
      </c>
      <c r="J23" s="9" t="inlineStr">
        <is>
          <t>Passport p.23: Gatwick stamp 27 Jul 2024; UAE entry 1 Aug 2024 -&gt; UK exit ~31 Jul (inferred)</t>
        </is>
      </c>
      <c r="K23" s="11" t="inlineStr">
        <is>
          <t>Check</t>
        </is>
      </c>
      <c r="L23" s="9" t="inlineStr">
        <is>
          <t>London (itinerary Days 1-3 done AFTER the continent): Bhaktivedanta Manor, city tour, London Eye, Thames cruise, Madame Tussauds</t>
        </is>
      </c>
    </row>
    <row r="24">
      <c r="A24" s="9" t="n">
        <v>20</v>
      </c>
      <c r="B24" s="9" t="inlineStr">
        <is>
          <t>UAE</t>
        </is>
      </c>
      <c r="C24" s="12" t="n">
        <v>45505</v>
      </c>
      <c r="D24" s="10" t="n"/>
      <c r="E24" s="9">
        <f>IF(AND(ISNUMBER(C24),ISNUMBER(D24)),D24-C24+1,"")</f>
        <v/>
      </c>
      <c r="F24" s="9" t="inlineStr">
        <is>
          <t>Visit</t>
        </is>
      </c>
      <c r="G24" s="9" t="inlineStr">
        <is>
          <t>Dubai Intl (DXB)</t>
        </is>
      </c>
      <c r="H24" s="9" t="inlineStr">
        <is>
          <t>(UAE does not stamp exit)</t>
        </is>
      </c>
      <c r="I24" s="9" t="inlineStr">
        <is>
          <t>UAE Tourist eVisa, single entry, 30 days (issued Dubai 18 Jul 2024)</t>
        </is>
      </c>
      <c r="J24" s="9" t="inlineStr">
        <is>
          <t>Passport p.10: UAE entry stamp 01 Aug 2024 + eVisa PDF; India arrival RGI Hyderabad 05 Aug 2024</t>
        </is>
      </c>
      <c r="K24" s="9" t="inlineStr">
        <is>
          <t>High</t>
        </is>
      </c>
      <c r="L24" s="9" t="inlineStr">
        <is>
          <t>Stayed up to ~4 days</t>
        </is>
      </c>
    </row>
    <row r="25">
      <c r="A25" s="9" t="n">
        <v>21</v>
      </c>
      <c r="B25" s="9" t="inlineStr">
        <is>
          <t>USA</t>
        </is>
      </c>
      <c r="C25" s="12" t="n">
        <v>45904</v>
      </c>
      <c r="D25" s="12" t="n">
        <v>45930</v>
      </c>
      <c r="E25" s="9">
        <f>IF(AND(ISNUMBER(C25),ISNUMBER(D25)),D25-C25+1,"")</f>
        <v/>
      </c>
      <c r="F25" s="9" t="inlineStr">
        <is>
          <t>Visit</t>
        </is>
      </c>
      <c r="G25" s="9" t="inlineStr">
        <is>
          <t>USA (CBP admitted 04 Sep 2025)</t>
        </is>
      </c>
      <c r="H25" s="9" t="inlineStr">
        <is>
          <t>USA -&gt; Mumbai</t>
        </is>
      </c>
      <c r="I25" s="9" t="inlineStr">
        <is>
          <t>B1/B2 10-yr visa (admitted until 03 Mar 2026)</t>
        </is>
      </c>
      <c r="J25" s="9" t="inlineStr">
        <is>
          <t>Passport p.26 + p.10: India dep. New Delhi 03 Sep 2025; CBP stamp 04 Sep 2025; India arrival Mumbai 30 Sep 2025</t>
        </is>
      </c>
      <c r="K25" s="9" t="inlineStr">
        <is>
          <t>High</t>
        </is>
      </c>
      <c r="L25" s="9" t="inlineStr">
        <is>
          <t>First use of US visa</t>
        </is>
      </c>
    </row>
    <row r="26">
      <c r="A26" s="9" t="n">
        <v>22</v>
      </c>
      <c r="B26" s="9" t="inlineStr">
        <is>
          <t>Sri Lanka</t>
        </is>
      </c>
      <c r="C26" s="10" t="n">
        <v>46039</v>
      </c>
      <c r="D26" s="10" t="n">
        <v>46047</v>
      </c>
      <c r="E26" s="9">
        <f>IF(AND(ISNUMBER(C26),ISNUMBER(D26)),D26-C26+1,"")</f>
        <v/>
      </c>
      <c r="F26" s="9" t="inlineStr">
        <is>
          <t>Visit</t>
        </is>
      </c>
      <c r="G26" s="9" t="inlineStr">
        <is>
          <t>Jaffna (from Trichy)</t>
        </is>
      </c>
      <c r="H26" s="9" t="inlineStr">
        <is>
          <t>Colombo (BIA)</t>
        </is>
      </c>
      <c r="I26" s="9" t="inlineStr">
        <is>
          <t>Sri Lanka ETA</t>
        </is>
      </c>
      <c r="J26" s="9" t="inlineStr">
        <is>
          <t>Your Ramayan Yatra itinerary 16-25 Jan 2026 (no stamp - scan ends Nov 2025)</t>
        </is>
      </c>
      <c r="K26" s="11" t="inlineStr">
        <is>
          <t>Check</t>
        </is>
      </c>
      <c r="L26" s="9" t="inlineStr">
        <is>
          <t>4th Sri Lanka visit; all 5 Pancha Ishwaram covered</t>
        </is>
      </c>
    </row>
    <row r="27">
      <c r="A27" s="9" t="n">
        <v>23</v>
      </c>
      <c r="B27" s="9" t="inlineStr">
        <is>
          <t>Nepal</t>
        </is>
      </c>
      <c r="C27" s="10" t="n">
        <v>46166</v>
      </c>
      <c r="D27" s="10" t="n">
        <v>46171</v>
      </c>
      <c r="E27" s="9">
        <f>IF(AND(ISNUMBER(C27),ISNUMBER(D27)),D27-C27+1,"")</f>
        <v/>
      </c>
      <c r="F27" s="9" t="inlineStr">
        <is>
          <t>Visit</t>
        </is>
      </c>
      <c r="G27" s="9" t="inlineStr">
        <is>
          <t>Kathmandu (TIA)</t>
        </is>
      </c>
      <c r="H27" s="9" t="inlineStr">
        <is>
          <t>Kathmandu (TIA)</t>
        </is>
      </c>
      <c r="I27" s="9" t="inlineStr">
        <is>
          <t>No visa needed</t>
        </is>
      </c>
      <c r="J27" s="9" t="inlineStr">
        <is>
          <t>Your Muktinath Yatra itinerary 24-29 May 2026 (no stamp available)</t>
        </is>
      </c>
      <c r="K27" s="11" t="inlineStr">
        <is>
          <t>Check</t>
        </is>
      </c>
      <c r="L27" s="9" t="inlineStr">
        <is>
          <t>Kathmandu, Pokhara, Jomsom, Muktinath</t>
        </is>
      </c>
    </row>
    <row r="28">
      <c r="A28" s="9" t="n">
        <v>24</v>
      </c>
      <c r="B28" s="9" t="inlineStr">
        <is>
          <t>Nepal</t>
        </is>
      </c>
      <c r="C28" s="10" t="n">
        <v>46173</v>
      </c>
      <c r="D28" s="10" t="n">
        <v>46175</v>
      </c>
      <c r="E28" s="9">
        <f>IF(AND(ISNUMBER(C28),ISNUMBER(D28)),D28-C28+1,"")</f>
        <v/>
      </c>
      <c r="F28" s="9" t="inlineStr">
        <is>
          <t>Visit</t>
        </is>
      </c>
      <c r="G28" s="9" t="inlineStr">
        <is>
          <t>Kathmandu (TIA)</t>
        </is>
      </c>
      <c r="H28" s="9" t="inlineStr">
        <is>
          <t>Rasuwagadhi -&gt; Kyirong (China)</t>
        </is>
      </c>
      <c r="I28" s="9" t="inlineStr">
        <is>
          <t>No visa needed</t>
        </is>
      </c>
      <c r="J28" s="9" t="inlineStr">
        <is>
          <t>Kailash itinerary Days 1-3 (no stamp available)</t>
        </is>
      </c>
      <c r="K28" s="11" t="inlineStr">
        <is>
          <t>Check</t>
        </is>
      </c>
      <c r="L28" s="9" t="inlineStr">
        <is>
          <t>Pre-Kailash Kathmandu</t>
        </is>
      </c>
    </row>
    <row r="29">
      <c r="A29" s="9" t="n">
        <v>25</v>
      </c>
      <c r="B29" s="9" t="inlineStr">
        <is>
          <t>China (Tibet)</t>
        </is>
      </c>
      <c r="C29" s="10" t="n">
        <v>46175</v>
      </c>
      <c r="D29" s="10" t="n">
        <v>46184</v>
      </c>
      <c r="E29" s="9">
        <f>IF(AND(ISNUMBER(C29),ISNUMBER(D29)),D29-C29+1,"")</f>
        <v/>
      </c>
      <c r="F29" s="9" t="inlineStr">
        <is>
          <t>Visit</t>
        </is>
      </c>
      <c r="G29" s="9" t="inlineStr">
        <is>
          <t>Kyirong border</t>
        </is>
      </c>
      <c r="H29" s="9" t="inlineStr">
        <is>
          <t>Kyirong border</t>
        </is>
      </c>
      <c r="I29" s="9" t="inlineStr">
        <is>
          <t>Chinese group visa + Tibet Travel Permit (via operator)</t>
        </is>
      </c>
      <c r="J29" s="9" t="inlineStr">
        <is>
          <t>Kailash itinerary Days 3-12, 31 May-13 Jun 2026 (no stamp available)</t>
        </is>
      </c>
      <c r="K29" s="11" t="inlineStr">
        <is>
          <t>Check</t>
        </is>
      </c>
      <c r="L29" s="9" t="inlineStr">
        <is>
          <t>Manasarovar + 3-day Kailash kora (Dolma La)</t>
        </is>
      </c>
    </row>
    <row r="30">
      <c r="A30" s="9" t="n">
        <v>26</v>
      </c>
      <c r="B30" s="9" t="inlineStr">
        <is>
          <t>Nepal</t>
        </is>
      </c>
      <c r="C30" s="10" t="n">
        <v>46184</v>
      </c>
      <c r="D30" s="10" t="n">
        <v>46186</v>
      </c>
      <c r="E30" s="9">
        <f>IF(AND(ISNUMBER(C30),ISNUMBER(D30)),D30-C30+1,"")</f>
        <v/>
      </c>
      <c r="F30" s="9" t="inlineStr">
        <is>
          <t>Visit</t>
        </is>
      </c>
      <c r="G30" s="9" t="inlineStr">
        <is>
          <t>Kyirong -&gt; Kathmandu</t>
        </is>
      </c>
      <c r="H30" s="9" t="inlineStr">
        <is>
          <t>Kathmandu (TIA)</t>
        </is>
      </c>
      <c r="I30" s="9" t="inlineStr">
        <is>
          <t>No visa needed</t>
        </is>
      </c>
      <c r="J30" s="9" t="inlineStr">
        <is>
          <t>Kailash itinerary Days 12-13</t>
        </is>
      </c>
      <c r="K30" s="11" t="inlineStr">
        <is>
          <t>Check</t>
        </is>
      </c>
      <c r="L30" s="9" t="inlineStr">
        <is>
          <t>Return leg</t>
        </is>
      </c>
    </row>
  </sheetData>
  <autoFilter ref="A4:L90"/>
  <dataValidations count="1">
    <dataValidation sqref="F5:F90" showDropDown="0" showInputMessage="0" showErrorMessage="0" allowBlank="1" type="list">
      <formula1>"Visit,Transit"</formula1>
    </dataValidation>
  </dataValidations>
  <pageMargins left="0.75" right="0.75" top="1" bottom="1" header="0.5" footer="0.5"/>
</worksheet>
</file>

<file path=xl/worksheets/sheet3.xml><?xml version="1.0" encoding="utf-8"?>
<worksheet xmlns="http://schemas.openxmlformats.org/spreadsheetml/2006/main">
  <sheetPr>
    <tabColor rgb="001F2A44"/>
    <outlinePr summaryBelow="1" summaryRight="1"/>
    <pageSetUpPr/>
  </sheetPr>
  <dimension ref="A1:G23"/>
  <sheetViews>
    <sheetView zoomScale="100" workbookViewId="0">
      <pane ySplit="4" topLeftCell="A5" activePane="bottomLeft" state="frozen"/>
      <selection pane="bottomLeft" activeCell="A1" sqref="A1"/>
    </sheetView>
  </sheetViews>
  <sheetFormatPr baseColWidth="8" defaultRowHeight="15"/>
  <cols>
    <col width="5" customWidth="1" min="1" max="1"/>
    <col width="22" customWidth="1" min="2" max="2"/>
    <col width="14" customWidth="1" min="3" max="3"/>
    <col width="14" customWidth="1" min="4" max="4"/>
    <col width="14" customWidth="1" min="5" max="5"/>
    <col width="18" customWidth="1" min="6" max="6"/>
    <col width="60" customWidth="1" min="7" max="7"/>
  </cols>
  <sheetData>
    <row r="1">
      <c r="A1" s="1" t="inlineStr">
        <is>
          <t>Countries visited - summary</t>
        </is>
      </c>
    </row>
    <row r="2">
      <c r="A2" s="2" t="inlineStr">
        <is>
          <t>Counts rows of type 'Visit' in the Travel Log. Add a country name in column A and the rest fills in.</t>
        </is>
      </c>
    </row>
    <row r="4">
      <c r="A4" s="3" t="inlineStr">
        <is>
          <t>#</t>
        </is>
      </c>
      <c r="B4" s="3" t="inlineStr">
        <is>
          <t>Country</t>
        </is>
      </c>
      <c r="C4" s="3" t="inlineStr">
        <is>
          <t>Times visited</t>
        </is>
      </c>
      <c r="D4" s="3" t="inlineStr">
        <is>
          <t>First entry</t>
        </is>
      </c>
      <c r="E4" s="3" t="inlineStr">
        <is>
          <t>Latest entry</t>
        </is>
      </c>
      <c r="F4" s="3" t="inlineStr">
        <is>
          <t>Total days (known)</t>
        </is>
      </c>
      <c r="G4" s="3" t="inlineStr">
        <is>
          <t>Visa types used</t>
        </is>
      </c>
    </row>
    <row r="5">
      <c r="A5" s="9" t="n">
        <v>1</v>
      </c>
      <c r="B5" s="9" t="inlineStr">
        <is>
          <t>Belgium</t>
        </is>
      </c>
      <c r="C5" s="9">
        <f>COUNTIFS('Travel Log'!$B$5:$B$90,B5,'Travel Log'!$F$5:$F$90,"Visit")</f>
        <v/>
      </c>
      <c r="D5" s="12">
        <f>IF(COUNTIFS('Travel Log'!$B$5:$B$90,B5,'Travel Log'!$C$5:$C$90,"&gt;0")=0,"",_xlfn.MINIFS('Travel Log'!$C$5:$C$90,'Travel Log'!$B$5:$B$90,B5,'Travel Log'!$C$5:$C$90,"&gt;0"))</f>
        <v/>
      </c>
      <c r="E5" s="12">
        <f>IF(COUNTIFS('Travel Log'!$B$5:$B$90,B5,'Travel Log'!$C$5:$C$90,"&gt;0")=0,"",_xlfn.MAXIFS('Travel Log'!$C$5:$C$90,'Travel Log'!$B$5:$B$90,B5,'Travel Log'!$C$5:$C$90,"&gt;0"))</f>
        <v/>
      </c>
      <c r="F5" s="9">
        <f>SUMIFS('Travel Log'!$E$5:$E$90,'Travel Log'!$B$5:$B$90,B5,'Travel Log'!$F$5:$F$90,"Visit")</f>
        <v/>
      </c>
      <c r="G5" s="9" t="inlineStr">
        <is>
          <t>Schengen C visa #1</t>
        </is>
      </c>
    </row>
    <row r="6">
      <c r="A6" s="9" t="n">
        <v>2</v>
      </c>
      <c r="B6" s="9" t="inlineStr">
        <is>
          <t>Cambodia</t>
        </is>
      </c>
      <c r="C6" s="9">
        <f>COUNTIFS('Travel Log'!$B$5:$B$90,B6,'Travel Log'!$F$5:$F$90,"Visit")</f>
        <v/>
      </c>
      <c r="D6" s="12">
        <f>IF(COUNTIFS('Travel Log'!$B$5:$B$90,B6,'Travel Log'!$C$5:$C$90,"&gt;0")=0,"",_xlfn.MINIFS('Travel Log'!$C$5:$C$90,'Travel Log'!$B$5:$B$90,B6,'Travel Log'!$C$5:$C$90,"&gt;0"))</f>
        <v/>
      </c>
      <c r="E6" s="12">
        <f>IF(COUNTIFS('Travel Log'!$B$5:$B$90,B6,'Travel Log'!$C$5:$C$90,"&gt;0")=0,"",_xlfn.MAXIFS('Travel Log'!$C$5:$C$90,'Travel Log'!$B$5:$B$90,B6,'Travel Log'!$C$5:$C$90,"&gt;0"))</f>
        <v/>
      </c>
      <c r="F6" s="9">
        <f>SUMIFS('Travel Log'!$E$5:$E$90,'Travel Log'!$B$5:$B$90,B6,'Travel Log'!$F$5:$F$90,"Visit")</f>
        <v/>
      </c>
      <c r="G6" s="9" t="inlineStr">
        <is>
          <t>e-Visa (valid 27 Jun-26 Jul 2023); e-Visa (valid to 07 Mar 2023)</t>
        </is>
      </c>
    </row>
    <row r="7">
      <c r="A7" s="9" t="n">
        <v>3</v>
      </c>
      <c r="B7" s="9" t="inlineStr">
        <is>
          <t>China (Tibet)</t>
        </is>
      </c>
      <c r="C7" s="9">
        <f>COUNTIFS('Travel Log'!$B$5:$B$90,B7,'Travel Log'!$F$5:$F$90,"Visit")</f>
        <v/>
      </c>
      <c r="D7" s="12">
        <f>IF(COUNTIFS('Travel Log'!$B$5:$B$90,B7,'Travel Log'!$C$5:$C$90,"&gt;0")=0,"",_xlfn.MINIFS('Travel Log'!$C$5:$C$90,'Travel Log'!$B$5:$B$90,B7,'Travel Log'!$C$5:$C$90,"&gt;0"))</f>
        <v/>
      </c>
      <c r="E7" s="12">
        <f>IF(COUNTIFS('Travel Log'!$B$5:$B$90,B7,'Travel Log'!$C$5:$C$90,"&gt;0")=0,"",_xlfn.MAXIFS('Travel Log'!$C$5:$C$90,'Travel Log'!$B$5:$B$90,B7,'Travel Log'!$C$5:$C$90,"&gt;0"))</f>
        <v/>
      </c>
      <c r="F7" s="9">
        <f>SUMIFS('Travel Log'!$E$5:$E$90,'Travel Log'!$B$5:$B$90,B7,'Travel Log'!$F$5:$F$90,"Visit")</f>
        <v/>
      </c>
      <c r="G7" s="9" t="inlineStr">
        <is>
          <t>Chinese group visa + Tibet Travel Permit (via operator)</t>
        </is>
      </c>
    </row>
    <row r="8">
      <c r="A8" s="9" t="n">
        <v>4</v>
      </c>
      <c r="B8" s="9" t="inlineStr">
        <is>
          <t>France</t>
        </is>
      </c>
      <c r="C8" s="9">
        <f>COUNTIFS('Travel Log'!$B$5:$B$90,B8,'Travel Log'!$F$5:$F$90,"Visit")</f>
        <v/>
      </c>
      <c r="D8" s="12">
        <f>IF(COUNTIFS('Travel Log'!$B$5:$B$90,B8,'Travel Log'!$C$5:$C$90,"&gt;0")=0,"",_xlfn.MINIFS('Travel Log'!$C$5:$C$90,'Travel Log'!$B$5:$B$90,B8,'Travel Log'!$C$5:$C$90,"&gt;0"))</f>
        <v/>
      </c>
      <c r="E8" s="12">
        <f>IF(COUNTIFS('Travel Log'!$B$5:$B$90,B8,'Travel Log'!$C$5:$C$90,"&gt;0")=0,"",_xlfn.MAXIFS('Travel Log'!$C$5:$C$90,'Travel Log'!$B$5:$B$90,B8,'Travel Log'!$C$5:$C$90,"&gt;0"))</f>
        <v/>
      </c>
      <c r="F8" s="9">
        <f>SUMIFS('Travel Log'!$E$5:$E$90,'Travel Log'!$B$5:$B$90,B8,'Travel Log'!$F$5:$F$90,"Visit")</f>
        <v/>
      </c>
      <c r="G8" s="9" t="inlineStr">
        <is>
          <t>Schengen C visa #1 (France-issued, Pondicherry)</t>
        </is>
      </c>
    </row>
    <row r="9">
      <c r="A9" s="9" t="n">
        <v>5</v>
      </c>
      <c r="B9" s="9" t="inlineStr">
        <is>
          <t>Germany</t>
        </is>
      </c>
      <c r="C9" s="9">
        <f>COUNTIFS('Travel Log'!$B$5:$B$90,B9,'Travel Log'!$F$5:$F$90,"Visit")</f>
        <v/>
      </c>
      <c r="D9" s="12">
        <f>IF(COUNTIFS('Travel Log'!$B$5:$B$90,B9,'Travel Log'!$C$5:$C$90,"&gt;0")=0,"",_xlfn.MINIFS('Travel Log'!$C$5:$C$90,'Travel Log'!$B$5:$B$90,B9,'Travel Log'!$C$5:$C$90,"&gt;0"))</f>
        <v/>
      </c>
      <c r="E9" s="12">
        <f>IF(COUNTIFS('Travel Log'!$B$5:$B$90,B9,'Travel Log'!$C$5:$C$90,"&gt;0")=0,"",_xlfn.MAXIFS('Travel Log'!$C$5:$C$90,'Travel Log'!$B$5:$B$90,B9,'Travel Log'!$C$5:$C$90,"&gt;0"))</f>
        <v/>
      </c>
      <c r="F9" s="9">
        <f>SUMIFS('Travel Log'!$E$5:$E$90,'Travel Log'!$B$5:$B$90,B9,'Travel Log'!$F$5:$F$90,"Visit")</f>
        <v/>
      </c>
      <c r="G9" s="9" t="inlineStr">
        <is>
          <t>Schengen C visa #1</t>
        </is>
      </c>
    </row>
    <row r="10">
      <c r="A10" s="9" t="n">
        <v>6</v>
      </c>
      <c r="B10" s="9" t="inlineStr">
        <is>
          <t>Italy</t>
        </is>
      </c>
      <c r="C10" s="9">
        <f>COUNTIFS('Travel Log'!$B$5:$B$90,B10,'Travel Log'!$F$5:$F$90,"Visit")</f>
        <v/>
      </c>
      <c r="D10" s="12">
        <f>IF(COUNTIFS('Travel Log'!$B$5:$B$90,B10,'Travel Log'!$C$5:$C$90,"&gt;0")=0,"",_xlfn.MINIFS('Travel Log'!$C$5:$C$90,'Travel Log'!$B$5:$B$90,B10,'Travel Log'!$C$5:$C$90,"&gt;0"))</f>
        <v/>
      </c>
      <c r="E10" s="12">
        <f>IF(COUNTIFS('Travel Log'!$B$5:$B$90,B10,'Travel Log'!$C$5:$C$90,"&gt;0")=0,"",_xlfn.MAXIFS('Travel Log'!$C$5:$C$90,'Travel Log'!$B$5:$B$90,B10,'Travel Log'!$C$5:$C$90,"&gt;0"))</f>
        <v/>
      </c>
      <c r="F10" s="9">
        <f>SUMIFS('Travel Log'!$E$5:$E$90,'Travel Log'!$B$5:$B$90,B10,'Travel Log'!$F$5:$F$90,"Visit")</f>
        <v/>
      </c>
      <c r="G10" s="9" t="inlineStr">
        <is>
          <t>Schengen C visa #1</t>
        </is>
      </c>
    </row>
    <row r="11">
      <c r="A11" s="9" t="n">
        <v>7</v>
      </c>
      <c r="B11" s="9" t="inlineStr">
        <is>
          <t>Nepal</t>
        </is>
      </c>
      <c r="C11" s="9">
        <f>COUNTIFS('Travel Log'!$B$5:$B$90,B11,'Travel Log'!$F$5:$F$90,"Visit")</f>
        <v/>
      </c>
      <c r="D11" s="12">
        <f>IF(COUNTIFS('Travel Log'!$B$5:$B$90,B11,'Travel Log'!$C$5:$C$90,"&gt;0")=0,"",_xlfn.MINIFS('Travel Log'!$C$5:$C$90,'Travel Log'!$B$5:$B$90,B11,'Travel Log'!$C$5:$C$90,"&gt;0"))</f>
        <v/>
      </c>
      <c r="E11" s="12">
        <f>IF(COUNTIFS('Travel Log'!$B$5:$B$90,B11,'Travel Log'!$C$5:$C$90,"&gt;0")=0,"",_xlfn.MAXIFS('Travel Log'!$C$5:$C$90,'Travel Log'!$B$5:$B$90,B11,'Travel Log'!$C$5:$C$90,"&gt;0"))</f>
        <v/>
      </c>
      <c r="F11" s="9">
        <f>SUMIFS('Travel Log'!$E$5:$E$90,'Travel Log'!$B$5:$B$90,B11,'Travel Log'!$F$5:$F$90,"Visit")</f>
        <v/>
      </c>
      <c r="G11" s="9" t="inlineStr">
        <is>
          <t>No visa needed; No visa needed (Indian PP)</t>
        </is>
      </c>
    </row>
    <row r="12">
      <c r="A12" s="9" t="n">
        <v>8</v>
      </c>
      <c r="B12" s="9" t="inlineStr">
        <is>
          <t>Netherlands</t>
        </is>
      </c>
      <c r="C12" s="9">
        <f>COUNTIFS('Travel Log'!$B$5:$B$90,B12,'Travel Log'!$F$5:$F$90,"Visit")</f>
        <v/>
      </c>
      <c r="D12" s="12">
        <f>IF(COUNTIFS('Travel Log'!$B$5:$B$90,B12,'Travel Log'!$C$5:$C$90,"&gt;0")=0,"",_xlfn.MINIFS('Travel Log'!$C$5:$C$90,'Travel Log'!$B$5:$B$90,B12,'Travel Log'!$C$5:$C$90,"&gt;0"))</f>
        <v/>
      </c>
      <c r="E12" s="12">
        <f>IF(COUNTIFS('Travel Log'!$B$5:$B$90,B12,'Travel Log'!$C$5:$C$90,"&gt;0")=0,"",_xlfn.MAXIFS('Travel Log'!$C$5:$C$90,'Travel Log'!$B$5:$B$90,B12,'Travel Log'!$C$5:$C$90,"&gt;0"))</f>
        <v/>
      </c>
      <c r="F12" s="9">
        <f>SUMIFS('Travel Log'!$E$5:$E$90,'Travel Log'!$B$5:$B$90,B12,'Travel Log'!$F$5:$F$90,"Visit")</f>
        <v/>
      </c>
      <c r="G12" s="9" t="inlineStr">
        <is>
          <t>Schengen C visa #1</t>
        </is>
      </c>
    </row>
    <row r="13">
      <c r="A13" s="9" t="n">
        <v>9</v>
      </c>
      <c r="B13" s="9" t="inlineStr">
        <is>
          <t>Sri Lanka</t>
        </is>
      </c>
      <c r="C13" s="9">
        <f>COUNTIFS('Travel Log'!$B$5:$B$90,B13,'Travel Log'!$F$5:$F$90,"Visit")</f>
        <v/>
      </c>
      <c r="D13" s="12">
        <f>IF(COUNTIFS('Travel Log'!$B$5:$B$90,B13,'Travel Log'!$C$5:$C$90,"&gt;0")=0,"",_xlfn.MINIFS('Travel Log'!$C$5:$C$90,'Travel Log'!$B$5:$B$90,B13,'Travel Log'!$C$5:$C$90,"&gt;0"))</f>
        <v/>
      </c>
      <c r="E13" s="12">
        <f>IF(COUNTIFS('Travel Log'!$B$5:$B$90,B13,'Travel Log'!$C$5:$C$90,"&gt;0")=0,"",_xlfn.MAXIFS('Travel Log'!$C$5:$C$90,'Travel Log'!$B$5:$B$90,B13,'Travel Log'!$C$5:$C$90,"&gt;0"))</f>
        <v/>
      </c>
      <c r="F13" s="9">
        <f>SUMIFS('Travel Log'!$E$5:$E$90,'Travel Log'!$B$5:$B$90,B13,'Travel Log'!$F$5:$F$90,"Visit")</f>
        <v/>
      </c>
      <c r="G13" s="9" t="inlineStr">
        <is>
          <t>ETA 30-day, 1st visit (exp 16/01/2020); ETA 30-day, 1st visit (exp 23/02/2022); ETA 30-day, 1st visit (exp 28/10/2019); Sri Lanka ETA</t>
        </is>
      </c>
    </row>
    <row r="14">
      <c r="A14" s="9" t="n">
        <v>10</v>
      </c>
      <c r="B14" s="9" t="inlineStr">
        <is>
          <t>Switzerland</t>
        </is>
      </c>
      <c r="C14" s="9">
        <f>COUNTIFS('Travel Log'!$B$5:$B$90,B14,'Travel Log'!$F$5:$F$90,"Visit")</f>
        <v/>
      </c>
      <c r="D14" s="12">
        <f>IF(COUNTIFS('Travel Log'!$B$5:$B$90,B14,'Travel Log'!$C$5:$C$90,"&gt;0")=0,"",_xlfn.MINIFS('Travel Log'!$C$5:$C$90,'Travel Log'!$B$5:$B$90,B14,'Travel Log'!$C$5:$C$90,"&gt;0"))</f>
        <v/>
      </c>
      <c r="E14" s="12">
        <f>IF(COUNTIFS('Travel Log'!$B$5:$B$90,B14,'Travel Log'!$C$5:$C$90,"&gt;0")=0,"",_xlfn.MAXIFS('Travel Log'!$C$5:$C$90,'Travel Log'!$B$5:$B$90,B14,'Travel Log'!$C$5:$C$90,"&gt;0"))</f>
        <v/>
      </c>
      <c r="F14" s="9">
        <f>SUMIFS('Travel Log'!$E$5:$E$90,'Travel Log'!$B$5:$B$90,B14,'Travel Log'!$F$5:$F$90,"Visit")</f>
        <v/>
      </c>
      <c r="G14" s="9" t="inlineStr">
        <is>
          <t>Schengen C visa #1</t>
        </is>
      </c>
    </row>
    <row r="15">
      <c r="A15" s="9" t="n">
        <v>11</v>
      </c>
      <c r="B15" s="9" t="inlineStr">
        <is>
          <t>Thailand</t>
        </is>
      </c>
      <c r="C15" s="9">
        <f>COUNTIFS('Travel Log'!$B$5:$B$90,B15,'Travel Log'!$F$5:$F$90,"Visit")</f>
        <v/>
      </c>
      <c r="D15" s="12">
        <f>IF(COUNTIFS('Travel Log'!$B$5:$B$90,B15,'Travel Log'!$C$5:$C$90,"&gt;0")=0,"",_xlfn.MINIFS('Travel Log'!$C$5:$C$90,'Travel Log'!$B$5:$B$90,B15,'Travel Log'!$C$5:$C$90,"&gt;0"))</f>
        <v/>
      </c>
      <c r="E15" s="12">
        <f>IF(COUNTIFS('Travel Log'!$B$5:$B$90,B15,'Travel Log'!$C$5:$C$90,"&gt;0")=0,"",_xlfn.MAXIFS('Travel Log'!$C$5:$C$90,'Travel Log'!$B$5:$B$90,B15,'Travel Log'!$C$5:$C$90,"&gt;0"))</f>
        <v/>
      </c>
      <c r="F15" s="9">
        <f>SUMIFS('Travel Log'!$E$5:$E$90,'Travel Log'!$B$5:$B$90,B15,'Travel Log'!$F$5:$F$90,"Visit")</f>
        <v/>
      </c>
      <c r="G15" s="9" t="inlineStr">
        <is>
          <t>Visa on Arrival; Visa on Arrival (30 days)</t>
        </is>
      </c>
    </row>
    <row r="16">
      <c r="A16" s="9" t="n">
        <v>12</v>
      </c>
      <c r="B16" s="9" t="inlineStr">
        <is>
          <t>UAE</t>
        </is>
      </c>
      <c r="C16" s="9">
        <f>COUNTIFS('Travel Log'!$B$5:$B$90,B16,'Travel Log'!$F$5:$F$90,"Visit")</f>
        <v/>
      </c>
      <c r="D16" s="12">
        <f>IF(COUNTIFS('Travel Log'!$B$5:$B$90,B16,'Travel Log'!$C$5:$C$90,"&gt;0")=0,"",_xlfn.MINIFS('Travel Log'!$C$5:$C$90,'Travel Log'!$B$5:$B$90,B16,'Travel Log'!$C$5:$C$90,"&gt;0"))</f>
        <v/>
      </c>
      <c r="E16" s="12">
        <f>IF(COUNTIFS('Travel Log'!$B$5:$B$90,B16,'Travel Log'!$C$5:$C$90,"&gt;0")=0,"",_xlfn.MAXIFS('Travel Log'!$C$5:$C$90,'Travel Log'!$B$5:$B$90,B16,'Travel Log'!$C$5:$C$90,"&gt;0"))</f>
        <v/>
      </c>
      <c r="F16" s="9">
        <f>SUMIFS('Travel Log'!$E$5:$E$90,'Travel Log'!$B$5:$B$90,B16,'Travel Log'!$F$5:$F$90,"Visit")</f>
        <v/>
      </c>
      <c r="G16" s="9" t="inlineStr">
        <is>
          <t>UAE Tourist eVisa, single entry, 30 days (issued Dubai 18 Jul 2024)</t>
        </is>
      </c>
    </row>
    <row r="17">
      <c r="A17" s="9" t="n">
        <v>13</v>
      </c>
      <c r="B17" s="9" t="inlineStr">
        <is>
          <t>USA</t>
        </is>
      </c>
      <c r="C17" s="9">
        <f>COUNTIFS('Travel Log'!$B$5:$B$90,B17,'Travel Log'!$F$5:$F$90,"Visit")</f>
        <v/>
      </c>
      <c r="D17" s="12">
        <f>IF(COUNTIFS('Travel Log'!$B$5:$B$90,B17,'Travel Log'!$C$5:$C$90,"&gt;0")=0,"",_xlfn.MINIFS('Travel Log'!$C$5:$C$90,'Travel Log'!$B$5:$B$90,B17,'Travel Log'!$C$5:$C$90,"&gt;0"))</f>
        <v/>
      </c>
      <c r="E17" s="12">
        <f>IF(COUNTIFS('Travel Log'!$B$5:$B$90,B17,'Travel Log'!$C$5:$C$90,"&gt;0")=0,"",_xlfn.MAXIFS('Travel Log'!$C$5:$C$90,'Travel Log'!$B$5:$B$90,B17,'Travel Log'!$C$5:$C$90,"&gt;0"))</f>
        <v/>
      </c>
      <c r="F17" s="9">
        <f>SUMIFS('Travel Log'!$E$5:$E$90,'Travel Log'!$B$5:$B$90,B17,'Travel Log'!$F$5:$F$90,"Visit")</f>
        <v/>
      </c>
      <c r="G17" s="9" t="inlineStr">
        <is>
          <t>B1/B2 10-yr visa (admitted until 03 Mar 2026)</t>
        </is>
      </c>
    </row>
    <row r="18">
      <c r="A18" s="9" t="n">
        <v>14</v>
      </c>
      <c r="B18" s="9" t="inlineStr">
        <is>
          <t>United Kingdom</t>
        </is>
      </c>
      <c r="C18" s="9">
        <f>COUNTIFS('Travel Log'!$B$5:$B$90,B18,'Travel Log'!$F$5:$F$90,"Visit")</f>
        <v/>
      </c>
      <c r="D18" s="12">
        <f>IF(COUNTIFS('Travel Log'!$B$5:$B$90,B18,'Travel Log'!$C$5:$C$90,"&gt;0")=0,"",_xlfn.MINIFS('Travel Log'!$C$5:$C$90,'Travel Log'!$B$5:$B$90,B18,'Travel Log'!$C$5:$C$90,"&gt;0"))</f>
        <v/>
      </c>
      <c r="E18" s="12">
        <f>IF(COUNTIFS('Travel Log'!$B$5:$B$90,B18,'Travel Log'!$C$5:$C$90,"&gt;0")=0,"",_xlfn.MAXIFS('Travel Log'!$C$5:$C$90,'Travel Log'!$B$5:$B$90,B18,'Travel Log'!$C$5:$C$90,"&gt;0"))</f>
        <v/>
      </c>
      <c r="F18" s="9">
        <f>SUMIFS('Travel Log'!$E$5:$E$90,'Travel Log'!$B$5:$B$90,B18,'Travel Log'!$F$5:$F$90,"Visit")</f>
        <v/>
      </c>
      <c r="G18" s="9" t="inlineStr">
        <is>
          <t>UK Standard Visitor C-visit, multiple, 29 Jun-29 Dec 2024</t>
        </is>
      </c>
    </row>
    <row r="19">
      <c r="A19" s="9" t="n">
        <v>15</v>
      </c>
      <c r="B19" s="9" t="inlineStr">
        <is>
          <t>Vatican City</t>
        </is>
      </c>
      <c r="C19" s="9">
        <f>COUNTIFS('Travel Log'!$B$5:$B$90,B19,'Travel Log'!$F$5:$F$90,"Visit")</f>
        <v/>
      </c>
      <c r="D19" s="12">
        <f>IF(COUNTIFS('Travel Log'!$B$5:$B$90,B19,'Travel Log'!$C$5:$C$90,"&gt;0")=0,"",_xlfn.MINIFS('Travel Log'!$C$5:$C$90,'Travel Log'!$B$5:$B$90,B19,'Travel Log'!$C$5:$C$90,"&gt;0"))</f>
        <v/>
      </c>
      <c r="E19" s="12">
        <f>IF(COUNTIFS('Travel Log'!$B$5:$B$90,B19,'Travel Log'!$C$5:$C$90,"&gt;0")=0,"",_xlfn.MAXIFS('Travel Log'!$C$5:$C$90,'Travel Log'!$B$5:$B$90,B19,'Travel Log'!$C$5:$C$90,"&gt;0"))</f>
        <v/>
      </c>
      <c r="F19" s="9">
        <f>SUMIFS('Travel Log'!$E$5:$E$90,'Travel Log'!$B$5:$B$90,B19,'Travel Log'!$F$5:$F$90,"Visit")</f>
        <v/>
      </c>
      <c r="G19" s="9" t="inlineStr">
        <is>
          <t>Schengen C visa #1 (open border with Italy)</t>
        </is>
      </c>
    </row>
    <row r="21">
      <c r="A21" s="4" t="inlineStr">
        <is>
          <t>TOTAL</t>
        </is>
      </c>
      <c r="C21" s="4">
        <f>SUM(C5:C19)</f>
        <v/>
      </c>
      <c r="F21" s="4">
        <f>SUM(F5:F19)</f>
        <v/>
      </c>
    </row>
    <row r="23" ht="45" customHeight="1">
      <c r="A23" s="8" t="inlineStr">
        <is>
          <t>Schengen trip 15-27 Jul 2024: France (entry CDG), Belgium, Netherlands, Germany, Switzerland, Italy/Rome + Vatican City (exit Milan) - internal borders are not stamped, so per-country dates are blank until you add them.</t>
        </is>
      </c>
    </row>
  </sheetData>
  <mergeCells count="1">
    <mergeCell ref="A23:G23"/>
  </mergeCells>
  <pageMargins left="0.75" right="0.75" top="1" bottom="1" header="0.5" footer="0.5"/>
</worksheet>
</file>

<file path=xl/worksheets/sheet4.xml><?xml version="1.0" encoding="utf-8"?>
<worksheet xmlns="http://schemas.openxmlformats.org/spreadsheetml/2006/main">
  <sheetPr>
    <tabColor rgb="001F2A44"/>
    <outlinePr summaryBelow="1" summaryRight="1"/>
    <pageSetUpPr/>
  </sheetPr>
  <dimension ref="A1:M20"/>
  <sheetViews>
    <sheetView zoomScale="100" workbookViewId="0">
      <pane ySplit="4" topLeftCell="A5" activePane="bottomLeft" state="frozen"/>
      <selection pane="bottomLeft" activeCell="A1" sqref="A1"/>
    </sheetView>
  </sheetViews>
  <sheetFormatPr baseColWidth="8" defaultRowHeight="15"/>
  <cols>
    <col width="5" customWidth="1" min="1" max="1"/>
    <col width="28" customWidth="1" min="2" max="2"/>
    <col width="16" customWidth="1" min="3" max="3"/>
    <col width="24" customWidth="1" min="4" max="4"/>
    <col width="13" customWidth="1" min="5" max="5"/>
    <col width="13" customWidth="1" min="6" max="6"/>
    <col width="10" customWidth="1" min="7" max="7"/>
    <col width="26" customWidth="1" min="8" max="8"/>
    <col width="14" customWidth="1" min="9" max="9"/>
    <col width="12" customWidth="1" min="10" max="10"/>
    <col width="22" customWidth="1" min="11" max="11"/>
    <col width="52" customWidth="1" min="12" max="12"/>
    <col width="28" customWidth="1" min="13" max="13"/>
  </cols>
  <sheetData>
    <row r="1">
      <c r="A1" s="1" t="inlineStr">
        <is>
          <t>Visas I hold / have held</t>
        </is>
      </c>
    </row>
    <row r="2">
      <c r="A2" s="2" t="inlineStr">
        <is>
          <t>Status, days left and warnings are formulas based on TODAY().</t>
        </is>
      </c>
    </row>
    <row r="4">
      <c r="A4" s="3" t="inlineStr">
        <is>
          <t>#</t>
        </is>
      </c>
      <c r="B4" s="3" t="inlineStr">
        <is>
          <t>Visa</t>
        </is>
      </c>
      <c r="C4" s="3" t="inlineStr">
        <is>
          <t>Country / area</t>
        </is>
      </c>
      <c r="D4" s="3" t="inlineStr">
        <is>
          <t>Category</t>
        </is>
      </c>
      <c r="E4" s="3" t="inlineStr">
        <is>
          <t>Valid from</t>
        </is>
      </c>
      <c r="F4" s="3" t="inlineStr">
        <is>
          <t>Valid to</t>
        </is>
      </c>
      <c r="G4" s="3" t="inlineStr">
        <is>
          <t>Entries</t>
        </is>
      </c>
      <c r="H4" s="3" t="inlineStr">
        <is>
          <t>Stay allowed</t>
        </is>
      </c>
      <c r="I4" s="3" t="inlineStr">
        <is>
          <t>Status (auto)</t>
        </is>
      </c>
      <c r="J4" s="3" t="inlineStr">
        <is>
          <t>Days left (auto)</t>
        </is>
      </c>
      <c r="K4" s="3" t="inlineStr">
        <is>
          <t>Used?</t>
        </is>
      </c>
      <c r="L4" s="3" t="inlineStr">
        <is>
          <t>Notes / conditions</t>
        </is>
      </c>
      <c r="M4" s="3" t="inlineStr">
        <is>
          <t>Source</t>
        </is>
      </c>
    </row>
    <row r="5">
      <c r="A5" s="9" t="n">
        <v>1</v>
      </c>
      <c r="B5" s="9" t="inlineStr">
        <is>
          <t>USA B1/B2 Visitor</t>
        </is>
      </c>
      <c r="C5" s="9" t="inlineStr">
        <is>
          <t>United States</t>
        </is>
      </c>
      <c r="D5" s="9" t="inlineStr">
        <is>
          <t>B1/B2, 10 yrs</t>
        </is>
      </c>
      <c r="E5" s="12" t="n">
        <v>45657</v>
      </c>
      <c r="F5" s="12" t="n">
        <v>49304</v>
      </c>
      <c r="G5" s="9" t="inlineStr">
        <is>
          <t>Multiple</t>
        </is>
      </c>
      <c r="H5" s="9" t="inlineStr">
        <is>
          <t>Up to 6 months per admission (set by CBP)</t>
        </is>
      </c>
      <c r="I5" s="9">
        <f>IF(F5&lt;TODAY(),"EXPIRED",IF(F5-TODAY()&lt;180,"EXPIRING SOON","VALID"))</f>
        <v/>
      </c>
      <c r="J5" s="9">
        <f>F5-TODAY()</f>
        <v/>
      </c>
      <c r="K5" s="9" t="inlineStr">
        <is>
          <t>Used once (Sep 2025)</t>
        </is>
      </c>
      <c r="L5" s="9" t="inlineStr">
        <is>
          <t>Used once (Sep 2025) | Ref: Control no. ...0010 / foil V2775359</t>
        </is>
      </c>
      <c r="M5" s="9" t="inlineStr">
        <is>
          <t>Passport p.26 + your Visa sheet</t>
        </is>
      </c>
    </row>
    <row r="6">
      <c r="A6" s="9" t="n">
        <v>2</v>
      </c>
      <c r="B6" s="9" t="inlineStr">
        <is>
          <t>Australia Visitor (subclass 600)</t>
        </is>
      </c>
      <c r="C6" s="9" t="inlineStr">
        <is>
          <t>Australia</t>
        </is>
      </c>
      <c r="D6" s="9" t="inlineStr">
        <is>
          <t>Business Visitor stream</t>
        </is>
      </c>
      <c r="E6" s="12" t="n">
        <v>45974</v>
      </c>
      <c r="F6" s="12" t="n">
        <v>47800</v>
      </c>
      <c r="G6" s="9" t="inlineStr">
        <is>
          <t>Multiple</t>
        </is>
      </c>
      <c r="H6" s="9" t="inlineStr">
        <is>
          <t>3 months per arrival</t>
        </is>
      </c>
      <c r="I6" s="9">
        <f>IF(F6&lt;TODAY(),"EXPIRED",IF(F6-TODAY()&lt;180,"EXPIRING SOON","VALID"))</f>
        <v/>
      </c>
      <c r="J6" s="9">
        <f>F6-TODAY()</f>
        <v/>
      </c>
      <c r="K6" s="9" t="inlineStr">
        <is>
          <t>Not yet used (as per records)</t>
        </is>
      </c>
      <c r="L6" s="9" t="inlineStr">
        <is>
          <t>Not yet used (as per records) - conditions 8115 (business-visitor activity only), 8201 (max 3 months study) | Ref: Doc no. matches passport (VEVO)</t>
        </is>
      </c>
      <c r="M6" s="9" t="inlineStr">
        <is>
          <t>VEVO check 13 Nov 2025</t>
        </is>
      </c>
    </row>
    <row r="7">
      <c r="A7" s="9" t="n">
        <v>3</v>
      </c>
      <c r="B7" s="9" t="inlineStr">
        <is>
          <t>Schengen C (France) #1</t>
        </is>
      </c>
      <c r="C7" s="9" t="inlineStr">
        <is>
          <t>Schengen area</t>
        </is>
      </c>
      <c r="D7" s="9" t="inlineStr">
        <is>
          <t>Arts/Science/Sport (cultural)</t>
        </is>
      </c>
      <c r="E7" s="12" t="n">
        <v>45488</v>
      </c>
      <c r="F7" s="12" t="n">
        <v>45533</v>
      </c>
      <c r="G7" s="9" t="inlineStr">
        <is>
          <t>Multiple</t>
        </is>
      </c>
      <c r="H7" s="9" t="inlineStr">
        <is>
          <t>30 days</t>
        </is>
      </c>
      <c r="I7" s="9">
        <f>IF(F7&lt;TODAY(),"EXPIRED",IF(F7-TODAY()&lt;180,"EXPIRING SOON","VALID"))</f>
        <v/>
      </c>
      <c r="J7" s="9">
        <f>F7-TODAY()</f>
        <v/>
      </c>
      <c r="K7" s="9" t="inlineStr">
        <is>
          <t>Used Jul 2024 (France-&gt;Italy)</t>
        </is>
      </c>
      <c r="L7" s="9" t="inlineStr"/>
      <c r="M7" s="9" t="inlineStr">
        <is>
          <t>Passport p.17</t>
        </is>
      </c>
    </row>
    <row r="8">
      <c r="A8" s="9" t="n">
        <v>4</v>
      </c>
      <c r="B8" s="9" t="inlineStr">
        <is>
          <t>Schengen C (France) #2</t>
        </is>
      </c>
      <c r="C8" s="9" t="inlineStr">
        <is>
          <t>Schengen area</t>
        </is>
      </c>
      <c r="D8" s="9" t="inlineStr">
        <is>
          <t>Arts/Science/Sport (cultural)</t>
        </is>
      </c>
      <c r="E8" s="12" t="n">
        <v>45951</v>
      </c>
      <c r="F8" s="12" t="n">
        <v>46131</v>
      </c>
      <c r="G8" s="9" t="inlineStr">
        <is>
          <t>Multiple</t>
        </is>
      </c>
      <c r="H8" s="9" t="inlineStr">
        <is>
          <t>30 days</t>
        </is>
      </c>
      <c r="I8" s="9">
        <f>IF(F8&lt;TODAY(),"EXPIRED",IF(F8-TODAY()&lt;180,"EXPIRING SOON","VALID"))</f>
        <v/>
      </c>
      <c r="J8" s="9">
        <f>F8-TODAY()</f>
        <v/>
      </c>
      <c r="K8" s="9" t="inlineStr">
        <is>
          <t>Expired 19 Apr 2026</t>
        </is>
      </c>
      <c r="L8" s="9" t="inlineStr"/>
      <c r="M8" s="9" t="inlineStr">
        <is>
          <t>Passport p.18</t>
        </is>
      </c>
    </row>
    <row r="9">
      <c r="A9" s="9" t="n">
        <v>5</v>
      </c>
      <c r="B9" s="9" t="inlineStr">
        <is>
          <t>UK Standard Visitor</t>
        </is>
      </c>
      <c r="C9" s="9" t="inlineStr">
        <is>
          <t>United Kingdom</t>
        </is>
      </c>
      <c r="D9" s="9" t="inlineStr">
        <is>
          <t>C-visit, 180 days, no work</t>
        </is>
      </c>
      <c r="E9" s="12" t="n">
        <v>45472</v>
      </c>
      <c r="F9" s="12" t="n">
        <v>45655</v>
      </c>
      <c r="G9" s="9" t="inlineStr">
        <is>
          <t>Multiple</t>
        </is>
      </c>
      <c r="H9" s="9" t="inlineStr">
        <is>
          <t>up to 6 months per visit</t>
        </is>
      </c>
      <c r="I9" s="9">
        <f>IF(F9&lt;TODAY(),"EXPIRED",IF(F9-TODAY()&lt;180,"EXPIRING SOON","VALID"))</f>
        <v/>
      </c>
      <c r="J9" s="9">
        <f>F9-TODAY()</f>
        <v/>
      </c>
      <c r="K9" s="9" t="inlineStr">
        <is>
          <t>Used Jul 2024; expired 29 Dec 2024</t>
        </is>
      </c>
      <c r="L9" s="9" t="inlineStr"/>
      <c r="M9" s="9" t="inlineStr">
        <is>
          <t>Passport p.23</t>
        </is>
      </c>
    </row>
    <row r="10">
      <c r="A10" s="9" t="n">
        <v>6</v>
      </c>
      <c r="B10" s="9" t="inlineStr">
        <is>
          <t>UAE Tourist eVisa</t>
        </is>
      </c>
      <c r="C10" s="9" t="inlineStr">
        <is>
          <t>United Arab Emirates</t>
        </is>
      </c>
      <c r="D10" s="9" t="inlineStr">
        <is>
          <t>Tourism - Single entry - 30 days (sponsor: Akbar Travels of India LLC)</t>
        </is>
      </c>
      <c r="E10" s="12" t="n">
        <v>45491</v>
      </c>
      <c r="F10" s="12" t="n">
        <v>45550</v>
      </c>
      <c r="G10" s="9" t="inlineStr">
        <is>
          <t>Single</t>
        </is>
      </c>
      <c r="H10" s="9" t="inlineStr">
        <is>
          <t>30 days max stay</t>
        </is>
      </c>
      <c r="I10" s="9">
        <f>IF(F10&lt;TODAY(),"EXPIRED",IF(F10-TODAY()&lt;180,"EXPIRING SOON","VALID"))</f>
        <v/>
      </c>
      <c r="J10" s="9">
        <f>F10-TODAY()</f>
        <v/>
      </c>
      <c r="K10" s="9" t="inlineStr">
        <is>
          <t>Used 1 Aug 2024 (Dubai); entry validity expired 15 Sep 2024</t>
        </is>
      </c>
      <c r="L10" s="9" t="inlineStr"/>
      <c r="M10" s="9" t="inlineStr">
        <is>
          <t>eVisa PDF (entry permit 201/2024/...)</t>
        </is>
      </c>
    </row>
    <row r="12">
      <c r="A12" s="13" t="inlineStr">
        <is>
          <t>PASSPORT</t>
        </is>
      </c>
    </row>
    <row r="13">
      <c r="A13" s="4" t="inlineStr">
        <is>
          <t>Document</t>
        </is>
      </c>
      <c r="B13" t="inlineStr">
        <is>
          <t>Indian ordinary passport (36 pages)</t>
        </is>
      </c>
    </row>
    <row r="14">
      <c r="A14" s="4" t="inlineStr">
        <is>
          <t>Issued</t>
        </is>
      </c>
      <c r="B14" s="5" t="n">
        <v>43361</v>
      </c>
    </row>
    <row r="15">
      <c r="A15" s="4" t="inlineStr">
        <is>
          <t>Expires</t>
        </is>
      </c>
      <c r="B15" s="5" t="n">
        <v>47013</v>
      </c>
    </row>
    <row r="16">
      <c r="A16" s="4" t="inlineStr">
        <is>
          <t>Place of issue</t>
        </is>
      </c>
      <c r="B16" t="inlineStr">
        <is>
          <t>Hyderabad</t>
        </is>
      </c>
    </row>
    <row r="17">
      <c r="A17" s="4" t="inlineStr">
        <is>
          <t>Days to expiry</t>
        </is>
      </c>
      <c r="B17" s="14">
        <f>B15-TODAY()</f>
        <v/>
      </c>
    </row>
    <row r="18">
      <c r="A18" s="4" t="inlineStr">
        <is>
          <t>6-month rule date</t>
        </is>
      </c>
      <c r="B18" s="5">
        <f>EDATE(B15,-6)</f>
        <v/>
      </c>
    </row>
    <row r="19">
      <c r="A19" s="4" t="inlineStr">
        <is>
          <t>Start renewal by</t>
        </is>
      </c>
      <c r="B19" s="5">
        <f>EDATE(B15,-12)</f>
        <v/>
      </c>
    </row>
    <row r="20">
      <c r="A20" t="inlineStr">
        <is>
          <t>Old passport (issued 15/10/2008, Bangalore) not supplied - earlier travel not captured.</t>
        </is>
      </c>
    </row>
  </sheetData>
  <conditionalFormatting sqref="I5:I31">
    <cfRule type="cellIs" priority="1" operator="equal" dxfId="0">
      <formula>"EXPIRED"</formula>
    </cfRule>
    <cfRule type="cellIs" priority="2" operator="equal" dxfId="1">
      <formula>"EXPIRING SOON"</formula>
    </cfRule>
    <cfRule type="cellIs" priority="3" operator="equal" dxfId="2">
      <formula>"VALID"</formula>
    </cfRule>
  </conditionalFormatting>
  <pageMargins left="0.75" right="0.75" top="1" bottom="1" header="0.5" footer="0.5"/>
</worksheet>
</file>

<file path=xl/worksheets/sheet5.xml><?xml version="1.0" encoding="utf-8"?>
<worksheet xmlns="http://schemas.openxmlformats.org/spreadsheetml/2006/main">
  <sheetPr>
    <tabColor rgb="001F2A44"/>
    <outlinePr summaryBelow="1" summaryRight="1"/>
    <pageSetUpPr/>
  </sheetPr>
  <dimension ref="A1:O42"/>
  <sheetViews>
    <sheetView zoomScale="100" workbookViewId="0">
      <pane ySplit="4" topLeftCell="A5" activePane="bottomLeft" state="frozen"/>
      <selection pane="bottomLeft" activeCell="A1" sqref="A1"/>
    </sheetView>
  </sheetViews>
  <sheetFormatPr baseColWidth="8" defaultRowHeight="15"/>
  <cols>
    <col width="5" customWidth="1" min="1" max="1"/>
    <col width="34" customWidth="1" min="2" max="2"/>
    <col width="18" customWidth="1" min="3" max="3"/>
    <col width="26" customWidth="1" min="4" max="4"/>
    <col width="22" customWidth="1" min="5" max="5"/>
    <col width="44" customWidth="1" min="6" max="6"/>
    <col width="11"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14" customWidth="1" min="15" max="15"/>
  </cols>
  <sheetData>
    <row r="1">
      <c r="A1" s="1" t="inlineStr">
        <is>
          <t>Access Map - where a third-country visa replaces a separate visa (Indian passport)</t>
        </is>
      </c>
    </row>
    <row r="2">
      <c r="A2" s="2" t="inlineStr">
        <is>
          <t>Row 3: set each document to Yes/No (Yes = you hold it today). Column K then shows where you can go NOW. Cell text = condition to check.</t>
        </is>
      </c>
    </row>
    <row r="3">
      <c r="G3" s="15" t="inlineStr">
        <is>
          <t>I hold -&gt;</t>
        </is>
      </c>
      <c r="H3" s="16" t="inlineStr">
        <is>
          <t>Yes</t>
        </is>
      </c>
      <c r="I3" s="16" t="inlineStr">
        <is>
          <t>No</t>
        </is>
      </c>
      <c r="J3" s="16" t="inlineStr">
        <is>
          <t>No</t>
        </is>
      </c>
      <c r="K3" s="16" t="inlineStr">
        <is>
          <t>No</t>
        </is>
      </c>
      <c r="L3" s="16" t="inlineStr">
        <is>
          <t>No</t>
        </is>
      </c>
      <c r="M3" s="16" t="inlineStr">
        <is>
          <t>Yes</t>
        </is>
      </c>
      <c r="N3" s="16" t="inlineStr">
        <is>
          <t>No</t>
        </is>
      </c>
    </row>
    <row r="4">
      <c r="A4" s="3" t="inlineStr">
        <is>
          <t>#</t>
        </is>
      </c>
      <c r="B4" s="3" t="inlineStr">
        <is>
          <t>Country / territory</t>
        </is>
      </c>
      <c r="C4" s="3" t="inlineStr">
        <is>
          <t>Region</t>
        </is>
      </c>
      <c r="D4" s="3" t="inlineStr">
        <is>
          <t>What you get</t>
        </is>
      </c>
      <c r="E4" s="3" t="inlineStr">
        <is>
          <t>Stay</t>
        </is>
      </c>
      <c r="F4" s="3" t="inlineStr">
        <is>
          <t>Notes</t>
        </is>
      </c>
      <c r="G4" s="3" t="inlineStr">
        <is>
          <t>Confidence</t>
        </is>
      </c>
      <c r="H4" s="3" t="inlineStr">
        <is>
          <t>USA B1/B2 visa</t>
        </is>
      </c>
      <c r="I4" s="3" t="inlineStr">
        <is>
          <t>Schengen C visa (multi-entry)</t>
        </is>
      </c>
      <c r="J4" s="3" t="inlineStr">
        <is>
          <t>UK Standard Visitor visa</t>
        </is>
      </c>
      <c r="K4" s="3" t="inlineStr">
        <is>
          <t>Canada visitor visa (TRV)</t>
        </is>
      </c>
      <c r="L4" s="3" t="inlineStr">
        <is>
          <t>Japan visa</t>
        </is>
      </c>
      <c r="M4" s="3" t="inlineStr">
        <is>
          <t>Australia Visitor visa</t>
        </is>
      </c>
      <c r="N4" s="3" t="inlineStr">
        <is>
          <t>Singapore visa</t>
        </is>
      </c>
      <c r="O4" s="3" t="inlineStr">
        <is>
          <t>Usable NOW?</t>
        </is>
      </c>
    </row>
    <row r="5">
      <c r="A5" s="9" t="n">
        <v>1</v>
      </c>
      <c r="B5" s="9" t="inlineStr">
        <is>
          <t>Mexico</t>
        </is>
      </c>
      <c r="C5" s="9" t="inlineStr">
        <is>
          <t>Americas</t>
        </is>
      </c>
      <c r="D5" s="9" t="inlineStr">
        <is>
          <t>Visa exempt</t>
        </is>
      </c>
      <c r="E5" s="9" t="inlineStr">
        <is>
          <t>up to 180 d</t>
        </is>
      </c>
      <c r="F5" s="9" t="inlineStr">
        <is>
          <t>Australia NOT accepted. US visa is the safe one.</t>
        </is>
      </c>
      <c r="G5" s="9" t="inlineStr">
        <is>
          <t>Researched</t>
        </is>
      </c>
      <c r="H5" s="9" t="inlineStr">
        <is>
          <t>Yes</t>
        </is>
      </c>
      <c r="I5" s="9" t="inlineStr">
        <is>
          <t>Yes - often refused w/o residence proof</t>
        </is>
      </c>
      <c r="J5" s="9" t="inlineStr">
        <is>
          <t>Yes - often refused w/o residence proof</t>
        </is>
      </c>
      <c r="K5" s="9" t="inlineStr">
        <is>
          <t>Yes</t>
        </is>
      </c>
      <c r="L5" s="9" t="inlineStr">
        <is>
          <t>Yes - often refused w/o residence proof</t>
        </is>
      </c>
      <c r="M5" s="9" t="inlineStr"/>
      <c r="N5" s="9" t="inlineStr"/>
      <c r="O5" s="9">
        <f>IF(SUMPRODUCT(--($H$3:$N$3="Yes"),--(H5:N5&lt;&gt;""))&gt;0,"YES","-")</f>
        <v/>
      </c>
    </row>
    <row r="6">
      <c r="A6" s="9" t="n">
        <v>2</v>
      </c>
      <c r="B6" s="9" t="inlineStr">
        <is>
          <t>Costa Rica</t>
        </is>
      </c>
      <c r="C6" s="9" t="inlineStr">
        <is>
          <t>Americas</t>
        </is>
      </c>
      <c r="D6" s="9" t="inlineStr">
        <is>
          <t>Visa exempt</t>
        </is>
      </c>
      <c r="E6" s="9" t="inlineStr">
        <is>
          <t>~30-90 d</t>
        </is>
      </c>
      <c r="F6" s="9" t="inlineStr">
        <is>
          <t>Transit (C1-C3) US visas excluded</t>
        </is>
      </c>
      <c r="G6" s="9" t="inlineStr">
        <is>
          <t>Researched</t>
        </is>
      </c>
      <c r="H6" s="9" t="inlineStr">
        <is>
          <t>Yes - multiple-entry; valid on entry</t>
        </is>
      </c>
      <c r="I6" s="9" t="inlineStr">
        <is>
          <t>Yes - C multi-entry/D; 90 d validity left</t>
        </is>
      </c>
      <c r="J6" s="9" t="inlineStr"/>
      <c r="K6" s="9" t="inlineStr">
        <is>
          <t>Yes - multiple-entry</t>
        </is>
      </c>
      <c r="L6" s="9" t="inlineStr"/>
      <c r="M6" s="9" t="inlineStr"/>
      <c r="N6" s="9" t="inlineStr"/>
      <c r="O6" s="9">
        <f>IF(SUMPRODUCT(--($H$3:$N$3="Yes"),--(H6:N6&lt;&gt;""))&gt;0,"YES","-")</f>
        <v/>
      </c>
    </row>
    <row r="7">
      <c r="A7" s="9" t="n">
        <v>3</v>
      </c>
      <c r="B7" s="9" t="inlineStr">
        <is>
          <t>Panama</t>
        </is>
      </c>
      <c r="C7" s="9" t="inlineStr">
        <is>
          <t>Americas</t>
        </is>
      </c>
      <c r="D7" s="9" t="inlineStr">
        <is>
          <t>Visa exempt</t>
        </is>
      </c>
      <c r="E7" s="9" t="inlineStr">
        <is>
          <t>30 d</t>
        </is>
      </c>
      <c r="F7" s="9" t="inlineStr">
        <is>
          <t>Your Aus visa is UNUSED so not yet valid for this</t>
        </is>
      </c>
      <c r="G7" s="9" t="inlineStr">
        <is>
          <t>Researched</t>
        </is>
      </c>
      <c r="H7" s="9" t="inlineStr">
        <is>
          <t>Yes - used once; &gt;=1 yr validity left</t>
        </is>
      </c>
      <c r="I7" s="9" t="inlineStr">
        <is>
          <t>Yes - used once; &gt;=1 yr left</t>
        </is>
      </c>
      <c r="J7" s="9" t="inlineStr">
        <is>
          <t>Yes - used once; &gt;=1 yr left</t>
        </is>
      </c>
      <c r="K7" s="9" t="inlineStr">
        <is>
          <t>Yes - used once; &gt;=1 yr left</t>
        </is>
      </c>
      <c r="L7" s="9" t="inlineStr">
        <is>
          <t>Yes - used once; &gt;=1 yr left</t>
        </is>
      </c>
      <c r="M7" s="9" t="inlineStr">
        <is>
          <t>Yes - used once; &gt;=1 yr left</t>
        </is>
      </c>
      <c r="N7" s="9" t="inlineStr"/>
      <c r="O7" s="9">
        <f>IF(SUMPRODUCT(--($H$3:$N$3="Yes"),--(H7:N7&lt;&gt;""))&gt;0,"YES","-")</f>
        <v/>
      </c>
    </row>
    <row r="8">
      <c r="A8" s="9" t="n">
        <v>4</v>
      </c>
      <c r="B8" s="9" t="inlineStr">
        <is>
          <t>Belize</t>
        </is>
      </c>
      <c r="C8" s="9" t="inlineStr">
        <is>
          <t>Americas</t>
        </is>
      </c>
      <c r="D8" s="9" t="inlineStr">
        <is>
          <t>VoA / exempt</t>
        </is>
      </c>
      <c r="E8" s="9" t="inlineStr">
        <is>
          <t>90 d (Schengen)</t>
        </is>
      </c>
      <c r="F8" s="9" t="inlineStr"/>
      <c r="G8" s="9" t="inlineStr">
        <is>
          <t>Researched</t>
        </is>
      </c>
      <c r="H8" s="9" t="inlineStr">
        <is>
          <t>Yes - multiple-entry</t>
        </is>
      </c>
      <c r="I8" s="9" t="inlineStr">
        <is>
          <t>Yes</t>
        </is>
      </c>
      <c r="J8" s="9" t="inlineStr"/>
      <c r="K8" s="9" t="inlineStr">
        <is>
          <t>Yes - multiple-entry</t>
        </is>
      </c>
      <c r="L8" s="9" t="inlineStr"/>
      <c r="M8" s="9" t="inlineStr"/>
      <c r="N8" s="9" t="inlineStr"/>
      <c r="O8" s="9">
        <f>IF(SUMPRODUCT(--($H$3:$N$3="Yes"),--(H8:N8&lt;&gt;""))&gt;0,"YES","-")</f>
        <v/>
      </c>
    </row>
    <row r="9">
      <c r="A9" s="9" t="n">
        <v>5</v>
      </c>
      <c r="B9" s="9" t="inlineStr">
        <is>
          <t>Guatemala</t>
        </is>
      </c>
      <c r="C9" s="9" t="inlineStr">
        <is>
          <t>Americas</t>
        </is>
      </c>
      <c r="D9" s="9" t="inlineStr">
        <is>
          <t>Visa exempt</t>
        </is>
      </c>
      <c r="E9" s="9" t="inlineStr">
        <is>
          <t>90 d</t>
        </is>
      </c>
      <c r="F9" s="9" t="inlineStr">
        <is>
          <t>Sources conflict (some list e-Visa) - confirm</t>
        </is>
      </c>
      <c r="G9" s="11" t="inlineStr">
        <is>
          <t>CONFIRM</t>
        </is>
      </c>
      <c r="H9" s="9" t="inlineStr">
        <is>
          <t>Yes</t>
        </is>
      </c>
      <c r="I9" s="9" t="inlineStr">
        <is>
          <t>Yes</t>
        </is>
      </c>
      <c r="J9" s="9" t="inlineStr"/>
      <c r="K9" s="9" t="inlineStr">
        <is>
          <t>Yes</t>
        </is>
      </c>
      <c r="L9" s="9" t="inlineStr"/>
      <c r="M9" s="9" t="inlineStr"/>
      <c r="N9" s="9" t="inlineStr"/>
      <c r="O9" s="9">
        <f>IF(SUMPRODUCT(--($H$3:$N$3="Yes"),--(H9:N9&lt;&gt;""))&gt;0,"YES","-")</f>
        <v/>
      </c>
    </row>
    <row r="10">
      <c r="A10" s="9" t="n">
        <v>6</v>
      </c>
      <c r="B10" s="9" t="inlineStr">
        <is>
          <t>Honduras</t>
        </is>
      </c>
      <c r="C10" s="9" t="inlineStr">
        <is>
          <t>Americas</t>
        </is>
      </c>
      <c r="D10" s="9" t="inlineStr">
        <is>
          <t>Visa exempt</t>
        </is>
      </c>
      <c r="E10" s="9" t="inlineStr">
        <is>
          <t>90 d</t>
        </is>
      </c>
      <c r="F10" s="9" t="inlineStr"/>
      <c r="G10" s="9" t="inlineStr">
        <is>
          <t>Researched</t>
        </is>
      </c>
      <c r="H10" s="9" t="inlineStr">
        <is>
          <t>Yes</t>
        </is>
      </c>
      <c r="I10" s="9" t="inlineStr">
        <is>
          <t>Yes</t>
        </is>
      </c>
      <c r="J10" s="9" t="inlineStr"/>
      <c r="K10" s="9" t="inlineStr">
        <is>
          <t>Yes</t>
        </is>
      </c>
      <c r="L10" s="9" t="inlineStr"/>
      <c r="M10" s="9" t="inlineStr"/>
      <c r="N10" s="9" t="inlineStr"/>
      <c r="O10" s="9">
        <f>IF(SUMPRODUCT(--($H$3:$N$3="Yes"),--(H10:N10&lt;&gt;""))&gt;0,"YES","-")</f>
        <v/>
      </c>
    </row>
    <row r="11">
      <c r="A11" s="9" t="n">
        <v>7</v>
      </c>
      <c r="B11" s="9" t="inlineStr">
        <is>
          <t>Dominican Republic</t>
        </is>
      </c>
      <c r="C11" s="9" t="inlineStr">
        <is>
          <t>Americas</t>
        </is>
      </c>
      <c r="D11" s="9" t="inlineStr">
        <is>
          <t>Tourist card on arrival (~US$10)</t>
        </is>
      </c>
      <c r="E11" s="9" t="inlineStr">
        <is>
          <t>~30 d</t>
        </is>
      </c>
      <c r="F11" s="9" t="inlineStr"/>
      <c r="G11" s="9" t="inlineStr">
        <is>
          <t>Researched</t>
        </is>
      </c>
      <c r="H11" s="9" t="inlineStr">
        <is>
          <t>Yes - multiple-entry, in passport</t>
        </is>
      </c>
      <c r="I11" s="9" t="inlineStr">
        <is>
          <t>Yes - multiple-entry</t>
        </is>
      </c>
      <c r="J11" s="9" t="inlineStr">
        <is>
          <t>Yes - multiple-entry</t>
        </is>
      </c>
      <c r="K11" s="9" t="inlineStr">
        <is>
          <t>Yes - multiple-entry</t>
        </is>
      </c>
      <c r="L11" s="9" t="inlineStr"/>
      <c r="M11" s="9" t="inlineStr"/>
      <c r="N11" s="9" t="inlineStr"/>
      <c r="O11" s="9">
        <f>IF(SUMPRODUCT(--($H$3:$N$3="Yes"),--(H11:N11&lt;&gt;""))&gt;0,"YES","-")</f>
        <v/>
      </c>
    </row>
    <row r="12">
      <c r="A12" s="9" t="n">
        <v>8</v>
      </c>
      <c r="B12" s="9" t="inlineStr">
        <is>
          <t>Colombia</t>
        </is>
      </c>
      <c r="C12" s="9" t="inlineStr">
        <is>
          <t>Americas</t>
        </is>
      </c>
      <c r="D12" s="9" t="inlineStr">
        <is>
          <t>Visa exempt</t>
        </is>
      </c>
      <c r="E12" s="9" t="inlineStr">
        <is>
          <t>90 d</t>
        </is>
      </c>
      <c r="F12" s="9" t="inlineStr">
        <is>
          <t>Resolution 0439/2016 via Indian Embassy Bogota</t>
        </is>
      </c>
      <c r="G12" s="9" t="inlineStr">
        <is>
          <t>Researched</t>
        </is>
      </c>
      <c r="H12" s="9" t="inlineStr">
        <is>
          <t>Yes - not C1; &gt;=180 d validity left</t>
        </is>
      </c>
      <c r="I12" s="9" t="inlineStr">
        <is>
          <t>Yes - &gt;=180 d validity left</t>
        </is>
      </c>
      <c r="J12" s="9" t="inlineStr"/>
      <c r="K12" s="9" t="inlineStr"/>
      <c r="L12" s="9" t="inlineStr"/>
      <c r="M12" s="9" t="inlineStr"/>
      <c r="N12" s="9" t="inlineStr"/>
      <c r="O12" s="9">
        <f>IF(SUMPRODUCT(--($H$3:$N$3="Yes"),--(H12:N12&lt;&gt;""))&gt;0,"YES","-")</f>
        <v/>
      </c>
    </row>
    <row r="13">
      <c r="A13" s="9" t="n">
        <v>9</v>
      </c>
      <c r="B13" s="9" t="inlineStr">
        <is>
          <t>Peru</t>
        </is>
      </c>
      <c r="C13" s="9" t="inlineStr">
        <is>
          <t>Americas</t>
        </is>
      </c>
      <c r="D13" s="9" t="inlineStr">
        <is>
          <t>Visa exempt</t>
        </is>
      </c>
      <c r="E13" s="9" t="inlineStr">
        <is>
          <t>up to 180 d / 365</t>
        </is>
      </c>
      <c r="F13" s="9" t="inlineStr">
        <is>
          <t>Australia works</t>
        </is>
      </c>
      <c r="G13" s="9" t="inlineStr">
        <is>
          <t>Researched</t>
        </is>
      </c>
      <c r="H13" s="9" t="inlineStr">
        <is>
          <t>Yes - &gt;=6 mo validity left</t>
        </is>
      </c>
      <c r="I13" s="9" t="inlineStr">
        <is>
          <t>Yes</t>
        </is>
      </c>
      <c r="J13" s="9" t="inlineStr">
        <is>
          <t>Yes</t>
        </is>
      </c>
      <c r="K13" s="9" t="inlineStr">
        <is>
          <t>Yes</t>
        </is>
      </c>
      <c r="L13" s="9" t="inlineStr"/>
      <c r="M13" s="9" t="inlineStr">
        <is>
          <t>Yes - &gt;=6 mo validity left</t>
        </is>
      </c>
      <c r="N13" s="9" t="inlineStr"/>
      <c r="O13" s="9">
        <f>IF(SUMPRODUCT(--($H$3:$N$3="Yes"),--(H13:N13&lt;&gt;""))&gt;0,"YES","-")</f>
        <v/>
      </c>
    </row>
    <row r="14">
      <c r="A14" s="9" t="n">
        <v>10</v>
      </c>
      <c r="B14" s="9" t="inlineStr">
        <is>
          <t>Chile</t>
        </is>
      </c>
      <c r="C14" s="9" t="inlineStr">
        <is>
          <t>Americas</t>
        </is>
      </c>
      <c r="D14" s="9" t="inlineStr">
        <is>
          <t>Visa exempt</t>
        </is>
      </c>
      <c r="E14" s="9" t="inlineStr">
        <is>
          <t>-</t>
        </is>
      </c>
      <c r="F14" s="9" t="inlineStr"/>
      <c r="G14" s="9" t="inlineStr">
        <is>
          <t>Researched</t>
        </is>
      </c>
      <c r="H14" s="9" t="inlineStr">
        <is>
          <t>Yes - not transit C; &gt;=6 mo validity</t>
        </is>
      </c>
      <c r="I14" s="9" t="inlineStr"/>
      <c r="J14" s="9" t="inlineStr"/>
      <c r="K14" s="9" t="inlineStr"/>
      <c r="L14" s="9" t="inlineStr"/>
      <c r="M14" s="9" t="inlineStr"/>
      <c r="N14" s="9" t="inlineStr"/>
      <c r="O14" s="9">
        <f>IF(SUMPRODUCT(--($H$3:$N$3="Yes"),--(H14:N14&lt;&gt;""))&gt;0,"YES","-")</f>
        <v/>
      </c>
    </row>
    <row r="15">
      <c r="A15" s="9" t="n">
        <v>11</v>
      </c>
      <c r="B15" s="9" t="inlineStr">
        <is>
          <t>Argentina</t>
        </is>
      </c>
      <c r="C15" s="9" t="inlineStr">
        <is>
          <t>Americas</t>
        </is>
      </c>
      <c r="D15" s="9" t="inlineStr">
        <is>
          <t>Visa-free tourism (Res. 353/2025)</t>
        </is>
      </c>
      <c r="E15" s="9" t="inlineStr">
        <is>
          <t>90 d (one notice: 30 d)</t>
        </is>
      </c>
      <c r="F15" s="9" t="inlineStr">
        <is>
          <t>Wikipedia's 'Apr 2026' note looks wrong</t>
        </is>
      </c>
      <c r="G15" s="9" t="inlineStr">
        <is>
          <t>Researched</t>
        </is>
      </c>
      <c r="H15" s="9" t="inlineStr">
        <is>
          <t>Yes - B2 etc.; insurance required</t>
        </is>
      </c>
      <c r="I15" s="9" t="inlineStr"/>
      <c r="J15" s="9" t="inlineStr"/>
      <c r="K15" s="9" t="inlineStr"/>
      <c r="L15" s="9" t="inlineStr"/>
      <c r="M15" s="9" t="inlineStr"/>
      <c r="N15" s="9" t="inlineStr"/>
      <c r="O15" s="9">
        <f>IF(SUMPRODUCT(--($H$3:$N$3="Yes"),--(H15:N15&lt;&gt;""))&gt;0,"YES","-")</f>
        <v/>
      </c>
    </row>
    <row r="16">
      <c r="A16" s="9" t="n">
        <v>12</v>
      </c>
      <c r="B16" s="9" t="inlineStr">
        <is>
          <t>Aruba / Curacao / Bonaire / Sint Maarten</t>
        </is>
      </c>
      <c r="C16" s="9" t="inlineStr">
        <is>
          <t>Caribbean</t>
        </is>
      </c>
      <c r="D16" s="9" t="inlineStr">
        <is>
          <t>Visa exempt</t>
        </is>
      </c>
      <c r="E16" s="9" t="inlineStr">
        <is>
          <t>~30 d</t>
        </is>
      </c>
      <c r="F16" s="9" t="inlineStr">
        <is>
          <t>Single-entry visas do NOT qualify</t>
        </is>
      </c>
      <c r="G16" s="9" t="inlineStr">
        <is>
          <t>Researched</t>
        </is>
      </c>
      <c r="H16" s="9" t="inlineStr">
        <is>
          <t>Yes - multiple-entry only</t>
        </is>
      </c>
      <c r="I16" s="9" t="inlineStr">
        <is>
          <t>Yes - multiple-entry only</t>
        </is>
      </c>
      <c r="J16" s="9" t="inlineStr">
        <is>
          <t>Yes - multiple-entry only</t>
        </is>
      </c>
      <c r="K16" s="9" t="inlineStr">
        <is>
          <t>Yes - multiple-entry only</t>
        </is>
      </c>
      <c r="L16" s="9" t="inlineStr"/>
      <c r="M16" s="9" t="inlineStr"/>
      <c r="N16" s="9" t="inlineStr"/>
      <c r="O16" s="9">
        <f>IF(SUMPRODUCT(--($H$3:$N$3="Yes"),--(H16:N16&lt;&gt;""))&gt;0,"YES","-")</f>
        <v/>
      </c>
    </row>
    <row r="17">
      <c r="A17" s="9" t="n">
        <v>13</v>
      </c>
      <c r="B17" s="9" t="inlineStr">
        <is>
          <t>Bahamas</t>
        </is>
      </c>
      <c r="C17" s="9" t="inlineStr">
        <is>
          <t>Caribbean</t>
        </is>
      </c>
      <c r="D17" s="9" t="inlineStr">
        <is>
          <t>VoA</t>
        </is>
      </c>
      <c r="E17" s="9" t="inlineStr">
        <is>
          <t>up to 3 mo</t>
        </is>
      </c>
      <c r="F17" s="9" t="inlineStr">
        <is>
          <t>Otherwise eVisa</t>
        </is>
      </c>
      <c r="G17" s="9" t="inlineStr">
        <is>
          <t>Researched</t>
        </is>
      </c>
      <c r="H17" s="9" t="inlineStr">
        <is>
          <t>Yes</t>
        </is>
      </c>
      <c r="I17" s="9" t="inlineStr">
        <is>
          <t>Yes</t>
        </is>
      </c>
      <c r="J17" s="9" t="inlineStr">
        <is>
          <t>Yes</t>
        </is>
      </c>
      <c r="K17" s="9" t="inlineStr">
        <is>
          <t>Yes</t>
        </is>
      </c>
      <c r="L17" s="9" t="inlineStr"/>
      <c r="M17" s="9" t="inlineStr"/>
      <c r="N17" s="9" t="inlineStr"/>
      <c r="O17" s="9">
        <f>IF(SUMPRODUCT(--($H$3:$N$3="Yes"),--(H17:N17&lt;&gt;""))&gt;0,"YES","-")</f>
        <v/>
      </c>
    </row>
    <row r="18">
      <c r="A18" s="9" t="n">
        <v>14</v>
      </c>
      <c r="B18" s="9" t="inlineStr">
        <is>
          <t>Antigua &amp; Barbuda</t>
        </is>
      </c>
      <c r="C18" s="9" t="inlineStr">
        <is>
          <t>Caribbean</t>
        </is>
      </c>
      <c r="D18" s="9" t="inlineStr">
        <is>
          <t>VoA (US$100)</t>
        </is>
      </c>
      <c r="E18" s="9" t="inlineStr">
        <is>
          <t>30 d</t>
        </is>
      </c>
      <c r="F18" s="9" t="inlineStr"/>
      <c r="G18" s="9" t="inlineStr">
        <is>
          <t>Researched</t>
        </is>
      </c>
      <c r="H18" s="9" t="inlineStr">
        <is>
          <t>Yes</t>
        </is>
      </c>
      <c r="I18" s="9" t="inlineStr">
        <is>
          <t>Yes</t>
        </is>
      </c>
      <c r="J18" s="9" t="inlineStr">
        <is>
          <t>Yes</t>
        </is>
      </c>
      <c r="K18" s="9" t="inlineStr">
        <is>
          <t>Yes</t>
        </is>
      </c>
      <c r="L18" s="9" t="inlineStr"/>
      <c r="M18" s="9" t="inlineStr"/>
      <c r="N18" s="9" t="inlineStr"/>
      <c r="O18" s="9">
        <f>IF(SUMPRODUCT(--($H$3:$N$3="Yes"),--(H18:N18&lt;&gt;""))&gt;0,"YES","-")</f>
        <v/>
      </c>
    </row>
    <row r="19">
      <c r="A19" s="9" t="n">
        <v>15</v>
      </c>
      <c r="B19" s="9" t="inlineStr">
        <is>
          <t>Albania</t>
        </is>
      </c>
      <c r="C19" s="9" t="inlineStr">
        <is>
          <t>Europe (non-Schengen)</t>
        </is>
      </c>
      <c r="D19" s="9" t="inlineStr">
        <is>
          <t>Visa exempt</t>
        </is>
      </c>
      <c r="E19" s="9" t="inlineStr">
        <is>
          <t>90 d</t>
        </is>
      </c>
      <c r="F19" s="9" t="inlineStr">
        <is>
          <t>Otherwise eVisa</t>
        </is>
      </c>
      <c r="G19" s="9" t="inlineStr">
        <is>
          <t>Researched</t>
        </is>
      </c>
      <c r="H19" s="9" t="inlineStr">
        <is>
          <t>Yes - multi-entry, used once</t>
        </is>
      </c>
      <c r="I19" s="9" t="inlineStr">
        <is>
          <t>Yes - multi-entry, used once in Schengen</t>
        </is>
      </c>
      <c r="J19" s="9" t="inlineStr">
        <is>
          <t>Yes - multi-entry, used once</t>
        </is>
      </c>
      <c r="K19" s="9" t="inlineStr"/>
      <c r="L19" s="9" t="inlineStr"/>
      <c r="M19" s="9" t="inlineStr"/>
      <c r="N19" s="9" t="inlineStr"/>
      <c r="O19" s="9">
        <f>IF(SUMPRODUCT(--($H$3:$N$3="Yes"),--(H19:N19&lt;&gt;""))&gt;0,"YES","-")</f>
        <v/>
      </c>
    </row>
    <row r="20">
      <c r="A20" s="9" t="n">
        <v>16</v>
      </c>
      <c r="B20" s="9" t="inlineStr">
        <is>
          <t>Montenegro</t>
        </is>
      </c>
      <c r="C20" s="9" t="inlineStr">
        <is>
          <t>Europe (non-Schengen)</t>
        </is>
      </c>
      <c r="D20" s="9" t="inlineStr">
        <is>
          <t>Visa exempt</t>
        </is>
      </c>
      <c r="E20" s="9" t="inlineStr">
        <is>
          <t>30 d</t>
        </is>
      </c>
      <c r="F20" s="9" t="inlineStr">
        <is>
          <t>Australia works</t>
        </is>
      </c>
      <c r="G20" s="9" t="inlineStr">
        <is>
          <t>Researched</t>
        </is>
      </c>
      <c r="H20" s="9" t="inlineStr">
        <is>
          <t>Yes</t>
        </is>
      </c>
      <c r="I20" s="9" t="inlineStr">
        <is>
          <t>Yes</t>
        </is>
      </c>
      <c r="J20" s="9" t="inlineStr">
        <is>
          <t>Yes</t>
        </is>
      </c>
      <c r="K20" s="9" t="inlineStr">
        <is>
          <t>Yes</t>
        </is>
      </c>
      <c r="L20" s="9" t="inlineStr">
        <is>
          <t>Yes</t>
        </is>
      </c>
      <c r="M20" s="9" t="inlineStr">
        <is>
          <t>Yes</t>
        </is>
      </c>
      <c r="N20" s="9" t="inlineStr"/>
      <c r="O20" s="9">
        <f>IF(SUMPRODUCT(--($H$3:$N$3="Yes"),--(H20:N20&lt;&gt;""))&gt;0,"YES","-")</f>
        <v/>
      </c>
    </row>
    <row r="21">
      <c r="A21" s="9" t="n">
        <v>17</v>
      </c>
      <c r="B21" s="9" t="inlineStr">
        <is>
          <t>Serbia</t>
        </is>
      </c>
      <c r="C21" s="9" t="inlineStr">
        <is>
          <t>Europe (non-Schengen)</t>
        </is>
      </c>
      <c r="D21" s="9" t="inlineStr">
        <is>
          <t>Visa exempt</t>
        </is>
      </c>
      <c r="E21" s="9" t="inlineStr">
        <is>
          <t>90 d / 180</t>
        </is>
      </c>
      <c r="F21" s="9" t="inlineStr">
        <is>
          <t>Blogs add multi-entry/used-once conditions</t>
        </is>
      </c>
      <c r="G21" s="9" t="inlineStr">
        <is>
          <t>Researched</t>
        </is>
      </c>
      <c r="H21" s="9" t="inlineStr">
        <is>
          <t>Yes</t>
        </is>
      </c>
      <c r="I21" s="9" t="inlineStr">
        <is>
          <t>Yes</t>
        </is>
      </c>
      <c r="J21" s="9" t="inlineStr">
        <is>
          <t>Yes</t>
        </is>
      </c>
      <c r="K21" s="9" t="inlineStr"/>
      <c r="L21" s="9" t="inlineStr"/>
      <c r="M21" s="9" t="inlineStr"/>
      <c r="N21" s="9" t="inlineStr"/>
      <c r="O21" s="9">
        <f>IF(SUMPRODUCT(--($H$3:$N$3="Yes"),--(H21:N21&lt;&gt;""))&gt;0,"YES","-")</f>
        <v/>
      </c>
    </row>
    <row r="22">
      <c r="A22" s="9" t="n">
        <v>18</v>
      </c>
      <c r="B22" s="9" t="inlineStr">
        <is>
          <t>North Macedonia</t>
        </is>
      </c>
      <c r="C22" s="9" t="inlineStr">
        <is>
          <t>Europe (non-Schengen)</t>
        </is>
      </c>
      <c r="D22" s="9" t="inlineStr">
        <is>
          <t>Visa exempt</t>
        </is>
      </c>
      <c r="E22" s="9" t="inlineStr">
        <is>
          <t>15 d</t>
        </is>
      </c>
      <c r="F22" s="9" t="inlineStr">
        <is>
          <t>Onward ticket needed</t>
        </is>
      </c>
      <c r="G22" s="9" t="inlineStr">
        <is>
          <t>Researched</t>
        </is>
      </c>
      <c r="H22" s="9" t="inlineStr">
        <is>
          <t>Yes - visa physically in passport</t>
        </is>
      </c>
      <c r="I22" s="9" t="inlineStr">
        <is>
          <t>Yes - multi-entry C</t>
        </is>
      </c>
      <c r="J22" s="9" t="inlineStr">
        <is>
          <t>Yes</t>
        </is>
      </c>
      <c r="K22" s="9" t="inlineStr">
        <is>
          <t>Yes</t>
        </is>
      </c>
      <c r="L22" s="9" t="inlineStr"/>
      <c r="M22" s="9" t="inlineStr"/>
      <c r="N22" s="9" t="inlineStr"/>
      <c r="O22" s="9">
        <f>IF(SUMPRODUCT(--($H$3:$N$3="Yes"),--(H22:N22&lt;&gt;""))&gt;0,"YES","-")</f>
        <v/>
      </c>
    </row>
    <row r="23">
      <c r="A23" s="9" t="n">
        <v>19</v>
      </c>
      <c r="B23" s="9" t="inlineStr">
        <is>
          <t>Bosnia &amp; Herzegovina</t>
        </is>
      </c>
      <c r="C23" s="9" t="inlineStr">
        <is>
          <t>Europe (non-Schengen)</t>
        </is>
      </c>
      <c r="D23" s="9" t="inlineStr">
        <is>
          <t>Visa exempt</t>
        </is>
      </c>
      <c r="E23" s="9" t="inlineStr">
        <is>
          <t>up to 6 mo (your old sheet said 30 d)</t>
        </is>
      </c>
      <c r="F23" s="9" t="inlineStr"/>
      <c r="G23" s="9" t="inlineStr">
        <is>
          <t>Researched</t>
        </is>
      </c>
      <c r="H23" s="9" t="inlineStr">
        <is>
          <t>Yes - multi-entry</t>
        </is>
      </c>
      <c r="I23" s="9" t="inlineStr">
        <is>
          <t>Yes - multi-entry</t>
        </is>
      </c>
      <c r="J23" s="9" t="inlineStr"/>
      <c r="K23" s="9" t="inlineStr"/>
      <c r="L23" s="9" t="inlineStr"/>
      <c r="M23" s="9" t="inlineStr"/>
      <c r="N23" s="9" t="inlineStr"/>
      <c r="O23" s="9">
        <f>IF(SUMPRODUCT(--($H$3:$N$3="Yes"),--(H23:N23&lt;&gt;""))&gt;0,"YES","-")</f>
        <v/>
      </c>
    </row>
    <row r="24">
      <c r="A24" s="9" t="n">
        <v>20</v>
      </c>
      <c r="B24" s="9" t="inlineStr">
        <is>
          <t>Georgia</t>
        </is>
      </c>
      <c r="C24" s="9" t="inlineStr">
        <is>
          <t>Caucasus</t>
        </is>
      </c>
      <c r="D24" s="9" t="inlineStr">
        <is>
          <t>Visa exempt</t>
        </is>
      </c>
      <c r="E24" s="9" t="inlineStr">
        <is>
          <t>90 d / 180</t>
        </is>
      </c>
      <c r="F24" s="9" t="inlineStr">
        <is>
          <t>Otherwise eVisa 30 d. Australia works</t>
        </is>
      </c>
      <c r="G24" s="9" t="inlineStr">
        <is>
          <t>Researched</t>
        </is>
      </c>
      <c r="H24" s="9" t="inlineStr">
        <is>
          <t>Yes</t>
        </is>
      </c>
      <c r="I24" s="9" t="inlineStr">
        <is>
          <t>Yes</t>
        </is>
      </c>
      <c r="J24" s="9" t="inlineStr">
        <is>
          <t>Yes</t>
        </is>
      </c>
      <c r="K24" s="9" t="inlineStr">
        <is>
          <t>Yes</t>
        </is>
      </c>
      <c r="L24" s="9" t="inlineStr">
        <is>
          <t>Yes</t>
        </is>
      </c>
      <c r="M24" s="9" t="inlineStr">
        <is>
          <t>Yes</t>
        </is>
      </c>
      <c r="N24" s="9" t="inlineStr"/>
      <c r="O24" s="9">
        <f>IF(SUMPRODUCT(--($H$3:$N$3="Yes"),--(H24:N24&lt;&gt;""))&gt;0,"YES","-")</f>
        <v/>
      </c>
    </row>
    <row r="25">
      <c r="A25" s="9" t="n">
        <v>21</v>
      </c>
      <c r="B25" s="9" t="inlineStr">
        <is>
          <t>Moldova</t>
        </is>
      </c>
      <c r="C25" s="9" t="inlineStr">
        <is>
          <t>Europe (non-Schengen)</t>
        </is>
      </c>
      <c r="D25" s="9" t="inlineStr">
        <is>
          <t>Visa exempt</t>
        </is>
      </c>
      <c r="E25" s="9" t="inlineStr">
        <is>
          <t>90 d</t>
        </is>
      </c>
      <c r="F25" s="9" t="inlineStr"/>
      <c r="G25" s="9" t="inlineStr">
        <is>
          <t>Researched</t>
        </is>
      </c>
      <c r="H25" s="9" t="inlineStr">
        <is>
          <t>Yes - not transit</t>
        </is>
      </c>
      <c r="I25" s="9" t="inlineStr"/>
      <c r="J25" s="9" t="inlineStr"/>
      <c r="K25" s="9" t="inlineStr">
        <is>
          <t>Yes</t>
        </is>
      </c>
      <c r="L25" s="9" t="inlineStr"/>
      <c r="M25" s="9" t="inlineStr"/>
      <c r="N25" s="9" t="inlineStr"/>
      <c r="O25" s="9">
        <f>IF(SUMPRODUCT(--($H$3:$N$3="Yes"),--(H25:N25&lt;&gt;""))&gt;0,"YES","-")</f>
        <v/>
      </c>
    </row>
    <row r="26">
      <c r="A26" s="9" t="n">
        <v>22</v>
      </c>
      <c r="B26" s="9" t="inlineStr">
        <is>
          <t>Armenia</t>
        </is>
      </c>
      <c r="C26" s="9" t="inlineStr">
        <is>
          <t>Caucasus</t>
        </is>
      </c>
      <c r="D26" s="9" t="inlineStr">
        <is>
          <t>VoA</t>
        </is>
      </c>
      <c r="E26" s="9" t="inlineStr">
        <is>
          <t>90 d</t>
        </is>
      </c>
      <c r="F26" s="9" t="inlineStr">
        <is>
          <t>Australia works. (Your old sheet said UK visa 120 d - recheck)</t>
        </is>
      </c>
      <c r="G26" s="9" t="inlineStr">
        <is>
          <t>Researched</t>
        </is>
      </c>
      <c r="H26" s="9" t="inlineStr">
        <is>
          <t>Yes</t>
        </is>
      </c>
      <c r="I26" s="9" t="inlineStr">
        <is>
          <t>Yes</t>
        </is>
      </c>
      <c r="J26" s="9" t="inlineStr">
        <is>
          <t>Yes</t>
        </is>
      </c>
      <c r="K26" s="9" t="inlineStr">
        <is>
          <t>Yes</t>
        </is>
      </c>
      <c r="L26" s="9" t="inlineStr">
        <is>
          <t>Yes</t>
        </is>
      </c>
      <c r="M26" s="9" t="inlineStr">
        <is>
          <t>Yes</t>
        </is>
      </c>
      <c r="N26" s="9" t="inlineStr"/>
      <c r="O26" s="9">
        <f>IF(SUMPRODUCT(--($H$3:$N$3="Yes"),--(H26:N26&lt;&gt;""))&gt;0,"YES","-")</f>
        <v/>
      </c>
    </row>
    <row r="27">
      <c r="A27" s="9" t="n">
        <v>23</v>
      </c>
      <c r="B27" s="9" t="inlineStr">
        <is>
          <t>Turkey</t>
        </is>
      </c>
      <c r="C27" s="9" t="inlineStr">
        <is>
          <t>Europe/Asia</t>
        </is>
      </c>
      <c r="D27" s="9" t="inlineStr">
        <is>
          <t>Conditional eVisa (single entry)</t>
        </is>
      </c>
      <c r="E27" s="9" t="inlineStr">
        <is>
          <t>~30 d</t>
        </is>
      </c>
      <c r="F27" s="9" t="inlineStr">
        <is>
          <t>Australia NOT accepted</t>
        </is>
      </c>
      <c r="G27" s="9" t="inlineStr">
        <is>
          <t>Researched</t>
        </is>
      </c>
      <c r="H27" s="9" t="inlineStr">
        <is>
          <t>Yes</t>
        </is>
      </c>
      <c r="I27" s="9" t="inlineStr">
        <is>
          <t>Yes</t>
        </is>
      </c>
      <c r="J27" s="9" t="inlineStr">
        <is>
          <t>Yes</t>
        </is>
      </c>
      <c r="K27" s="9" t="inlineStr"/>
      <c r="L27" s="9" t="inlineStr"/>
      <c r="M27" s="9" t="inlineStr"/>
      <c r="N27" s="9" t="inlineStr"/>
      <c r="O27" s="9">
        <f>IF(SUMPRODUCT(--($H$3:$N$3="Yes"),--(H27:N27&lt;&gt;""))&gt;0,"YES","-")</f>
        <v/>
      </c>
    </row>
    <row r="28">
      <c r="A28" s="9" t="n">
        <v>24</v>
      </c>
      <c r="B28" s="9" t="inlineStr">
        <is>
          <t>Cyprus</t>
        </is>
      </c>
      <c r="C28" s="9" t="inlineStr">
        <is>
          <t>Europe</t>
        </is>
      </c>
      <c r="D28" s="9" t="inlineStr">
        <is>
          <t>Visa exempt (reported)</t>
        </is>
      </c>
      <c r="E28" s="9" t="inlineStr">
        <is>
          <t>-</t>
        </is>
      </c>
      <c r="F28" s="9" t="inlineStr">
        <is>
          <t>Only a Schengen claim found - confirm</t>
        </is>
      </c>
      <c r="G28" s="11" t="inlineStr">
        <is>
          <t>CONFIRM</t>
        </is>
      </c>
      <c r="H28" s="9" t="inlineStr"/>
      <c r="I28" s="9" t="inlineStr">
        <is>
          <t>Yes - multi-entry C</t>
        </is>
      </c>
      <c r="J28" s="9" t="inlineStr"/>
      <c r="K28" s="9" t="inlineStr"/>
      <c r="L28" s="9" t="inlineStr"/>
      <c r="M28" s="9" t="inlineStr"/>
      <c r="N28" s="9" t="inlineStr"/>
      <c r="O28" s="9">
        <f>IF(SUMPRODUCT(--($H$3:$N$3="Yes"),--(H28:N28&lt;&gt;""))&gt;0,"YES","-")</f>
        <v/>
      </c>
    </row>
    <row r="29">
      <c r="A29" s="9" t="n">
        <v>25</v>
      </c>
      <c r="B29" s="9" t="inlineStr">
        <is>
          <t>Ireland</t>
        </is>
      </c>
      <c r="C29" s="9" t="inlineStr">
        <is>
          <t>Europe</t>
        </is>
      </c>
      <c r="D29" s="9" t="inlineStr">
        <is>
          <t>Visa exempt via UK BIVS</t>
        </is>
      </c>
      <c r="E29" s="9" t="inlineStr">
        <is>
          <t>-</t>
        </is>
      </c>
      <c r="F29" s="9" t="inlineStr">
        <is>
          <t>US/Schengen give nothing</t>
        </is>
      </c>
      <c r="G29" s="9" t="inlineStr">
        <is>
          <t>Researched</t>
        </is>
      </c>
      <c r="H29" s="9" t="inlineStr"/>
      <c r="I29" s="9" t="inlineStr"/>
      <c r="J29" s="9" t="inlineStr">
        <is>
          <t>Yes - must first enter UK on a short-stay visa</t>
        </is>
      </c>
      <c r="K29" s="9" t="inlineStr"/>
      <c r="L29" s="9" t="inlineStr"/>
      <c r="M29" s="9" t="inlineStr"/>
      <c r="N29" s="9" t="inlineStr"/>
      <c r="O29" s="9">
        <f>IF(SUMPRODUCT(--($H$3:$N$3="Yes"),--(H29:N29&lt;&gt;""))&gt;0,"YES","-")</f>
        <v/>
      </c>
    </row>
    <row r="30">
      <c r="A30" s="9" t="n">
        <v>26</v>
      </c>
      <c r="B30" s="9" t="inlineStr">
        <is>
          <t>Gibraltar</t>
        </is>
      </c>
      <c r="C30" s="9" t="inlineStr">
        <is>
          <t>Europe</t>
        </is>
      </c>
      <c r="D30" s="9" t="inlineStr">
        <is>
          <t>Visa exempt</t>
        </is>
      </c>
      <c r="E30" s="9" t="inlineStr">
        <is>
          <t>-</t>
        </is>
      </c>
      <c r="F30" s="9" t="inlineStr">
        <is>
          <t>US/Aus give nothing</t>
        </is>
      </c>
      <c r="G30" s="9" t="inlineStr">
        <is>
          <t>Researched</t>
        </is>
      </c>
      <c r="H30" s="9" t="inlineStr"/>
      <c r="I30" s="9" t="inlineStr">
        <is>
          <t>Yes - multi-entry</t>
        </is>
      </c>
      <c r="J30" s="9" t="inlineStr">
        <is>
          <t>Yes - &gt;=6 mo validity</t>
        </is>
      </c>
      <c r="K30" s="9" t="inlineStr"/>
      <c r="L30" s="9" t="inlineStr"/>
      <c r="M30" s="9" t="inlineStr"/>
      <c r="N30" s="9" t="inlineStr"/>
      <c r="O30" s="9">
        <f>IF(SUMPRODUCT(--($H$3:$N$3="Yes"),--(H30:N30&lt;&gt;""))&gt;0,"YES","-")</f>
        <v/>
      </c>
    </row>
    <row r="31">
      <c r="A31" s="9" t="n">
        <v>27</v>
      </c>
      <c r="B31" s="9" t="inlineStr">
        <is>
          <t>UK (airside transit only)</t>
        </is>
      </c>
      <c r="C31" s="9" t="inlineStr">
        <is>
          <t>Europe</t>
        </is>
      </c>
      <c r="D31" s="9" t="inlineStr">
        <is>
          <t>DATV-exempt transit</t>
        </is>
      </c>
      <c r="E31" s="9" t="inlineStr">
        <is>
          <t>24 h airside</t>
        </is>
      </c>
      <c r="F31" s="9" t="inlineStr">
        <is>
          <t>Landside transit w/o visa is discretionary</t>
        </is>
      </c>
      <c r="G31" s="9" t="inlineStr">
        <is>
          <t>Researched</t>
        </is>
      </c>
      <c r="H31" s="9" t="inlineStr">
        <is>
          <t>Yes - to/from USA</t>
        </is>
      </c>
      <c r="I31" s="9" t="inlineStr"/>
      <c r="J31" s="9" t="inlineStr"/>
      <c r="K31" s="9" t="inlineStr">
        <is>
          <t>Yes - to/from Canada</t>
        </is>
      </c>
      <c r="L31" s="9" t="inlineStr"/>
      <c r="M31" s="9" t="inlineStr">
        <is>
          <t>Yes - to/from Australia</t>
        </is>
      </c>
      <c r="N31" s="9" t="inlineStr"/>
      <c r="O31" s="9">
        <f>IF(SUMPRODUCT(--($H$3:$N$3="Yes"),--(H31:N31&lt;&gt;""))&gt;0,"YES","-")</f>
        <v/>
      </c>
    </row>
    <row r="32">
      <c r="A32" s="9" t="n">
        <v>28</v>
      </c>
      <c r="B32" s="9" t="inlineStr">
        <is>
          <t>UAE</t>
        </is>
      </c>
      <c r="C32" s="9" t="inlineStr">
        <is>
          <t>Middle East</t>
        </is>
      </c>
      <c r="D32" s="9" t="inlineStr">
        <is>
          <t>VoA</t>
        </is>
      </c>
      <c r="E32" s="9" t="inlineStr">
        <is>
          <t>14 d (+14)</t>
        </is>
      </c>
      <c r="F32" s="9" t="inlineStr">
        <is>
          <t>Aus VISITOR visa NOT accepted (only Aus residence permits)</t>
        </is>
      </c>
      <c r="G32" s="9" t="inlineStr">
        <is>
          <t>Researched</t>
        </is>
      </c>
      <c r="H32" s="9" t="inlineStr">
        <is>
          <t>Yes</t>
        </is>
      </c>
      <c r="I32" s="9" t="inlineStr">
        <is>
          <t>Yes - EU/Schengen visa</t>
        </is>
      </c>
      <c r="J32" s="9" t="inlineStr">
        <is>
          <t>Yes</t>
        </is>
      </c>
      <c r="K32" s="9" t="inlineStr"/>
      <c r="L32" s="9" t="inlineStr"/>
      <c r="M32" s="9" t="inlineStr"/>
      <c r="N32" s="9" t="inlineStr"/>
      <c r="O32" s="9">
        <f>IF(SUMPRODUCT(--($H$3:$N$3="Yes"),--(H32:N32&lt;&gt;""))&gt;0,"YES","-")</f>
        <v/>
      </c>
    </row>
    <row r="33">
      <c r="A33" s="9" t="n">
        <v>29</v>
      </c>
      <c r="B33" s="9" t="inlineStr">
        <is>
          <t>Oman</t>
        </is>
      </c>
      <c r="C33" s="9" t="inlineStr">
        <is>
          <t>Middle East</t>
        </is>
      </c>
      <c r="D33" s="9" t="inlineStr">
        <is>
          <t>VoA / exempt</t>
        </is>
      </c>
      <c r="E33" s="9" t="inlineStr">
        <is>
          <t>14 d</t>
        </is>
      </c>
      <c r="F33" s="9" t="inlineStr">
        <is>
          <t>Australia works</t>
        </is>
      </c>
      <c r="G33" s="9" t="inlineStr">
        <is>
          <t>Researched</t>
        </is>
      </c>
      <c r="H33" s="9" t="inlineStr">
        <is>
          <t>Yes</t>
        </is>
      </c>
      <c r="I33" s="9" t="inlineStr">
        <is>
          <t>Yes</t>
        </is>
      </c>
      <c r="J33" s="9" t="inlineStr">
        <is>
          <t>Yes</t>
        </is>
      </c>
      <c r="K33" s="9" t="inlineStr">
        <is>
          <t>Yes</t>
        </is>
      </c>
      <c r="L33" s="9" t="inlineStr">
        <is>
          <t>Yes</t>
        </is>
      </c>
      <c r="M33" s="9" t="inlineStr">
        <is>
          <t>Yes</t>
        </is>
      </c>
      <c r="N33" s="9" t="inlineStr"/>
      <c r="O33" s="9">
        <f>IF(SUMPRODUCT(--($H$3:$N$3="Yes"),--(H33:N33&lt;&gt;""))&gt;0,"YES","-")</f>
        <v/>
      </c>
    </row>
    <row r="34">
      <c r="A34" s="9" t="n">
        <v>30</v>
      </c>
      <c r="B34" s="9" t="inlineStr">
        <is>
          <t>Saudi Arabia</t>
        </is>
      </c>
      <c r="C34" s="9" t="inlineStr">
        <is>
          <t>Middle East</t>
        </is>
      </c>
      <c r="D34" s="9" t="inlineStr">
        <is>
          <t>eVisa / VoA</t>
        </is>
      </c>
      <c r="E34" s="9" t="inlineStr">
        <is>
          <t>up to 90 d</t>
        </is>
      </c>
      <c r="F34" s="9" t="inlineStr">
        <is>
          <t>Aus NOT accepted</t>
        </is>
      </c>
      <c r="G34" s="9" t="inlineStr">
        <is>
          <t>Researched</t>
        </is>
      </c>
      <c r="H34" s="9" t="inlineStr">
        <is>
          <t>Yes - may need used-once</t>
        </is>
      </c>
      <c r="I34" s="9" t="inlineStr">
        <is>
          <t>Yes - may need used-once</t>
        </is>
      </c>
      <c r="J34" s="9" t="inlineStr">
        <is>
          <t>Yes - may need used-once</t>
        </is>
      </c>
      <c r="K34" s="9" t="inlineStr"/>
      <c r="L34" s="9" t="inlineStr"/>
      <c r="M34" s="9" t="inlineStr"/>
      <c r="N34" s="9" t="inlineStr"/>
      <c r="O34" s="9">
        <f>IF(SUMPRODUCT(--($H$3:$N$3="Yes"),--(H34:N34&lt;&gt;""))&gt;0,"YES","-")</f>
        <v/>
      </c>
    </row>
    <row r="35">
      <c r="A35" s="9" t="n">
        <v>31</v>
      </c>
      <c r="B35" s="9" t="inlineStr">
        <is>
          <t>Bahrain</t>
        </is>
      </c>
      <c r="C35" s="9" t="inlineStr">
        <is>
          <t>Middle East</t>
        </is>
      </c>
      <c r="D35" s="9" t="inlineStr">
        <is>
          <t>VoA / eVisa</t>
        </is>
      </c>
      <c r="E35" s="9" t="inlineStr">
        <is>
          <t>14 d</t>
        </is>
      </c>
      <c r="F35" s="9" t="inlineStr">
        <is>
          <t>Aus NOT accepted</t>
        </is>
      </c>
      <c r="G35" s="9" t="inlineStr">
        <is>
          <t>Researched</t>
        </is>
      </c>
      <c r="H35" s="9" t="inlineStr">
        <is>
          <t>Yes - visit visa/Green Card</t>
        </is>
      </c>
      <c r="I35" s="9" t="inlineStr">
        <is>
          <t>Yes</t>
        </is>
      </c>
      <c r="J35" s="9" t="inlineStr">
        <is>
          <t>Yes</t>
        </is>
      </c>
      <c r="K35" s="9" t="inlineStr"/>
      <c r="L35" s="9" t="inlineStr"/>
      <c r="M35" s="9" t="inlineStr"/>
      <c r="N35" s="9" t="inlineStr"/>
      <c r="O35" s="9">
        <f>IF(SUMPRODUCT(--($H$3:$N$3="Yes"),--(H35:N35&lt;&gt;""))&gt;0,"YES","-")</f>
        <v/>
      </c>
    </row>
    <row r="36">
      <c r="A36" s="9" t="n">
        <v>32</v>
      </c>
      <c r="B36" s="9" t="inlineStr">
        <is>
          <t>Kuwait</t>
        </is>
      </c>
      <c r="C36" s="9" t="inlineStr">
        <is>
          <t>Middle East</t>
        </is>
      </c>
      <c r="D36" s="9" t="inlineStr">
        <is>
          <t>eVisa eligibility</t>
        </is>
      </c>
      <c r="E36" s="9" t="inlineStr">
        <is>
          <t>-</t>
        </is>
      </c>
      <c r="F36" s="9" t="inlineStr"/>
      <c r="G36" s="9" t="inlineStr">
        <is>
          <t>Researched</t>
        </is>
      </c>
      <c r="H36" s="9" t="inlineStr">
        <is>
          <t>Yes</t>
        </is>
      </c>
      <c r="I36" s="9" t="inlineStr">
        <is>
          <t>Yes</t>
        </is>
      </c>
      <c r="J36" s="9" t="inlineStr">
        <is>
          <t>Yes</t>
        </is>
      </c>
      <c r="K36" s="9" t="inlineStr"/>
      <c r="L36" s="9" t="inlineStr"/>
      <c r="M36" s="9" t="inlineStr"/>
      <c r="N36" s="9" t="inlineStr"/>
      <c r="O36" s="9">
        <f>IF(SUMPRODUCT(--($H$3:$N$3="Yes"),--(H36:N36&lt;&gt;""))&gt;0,"YES","-")</f>
        <v/>
      </c>
    </row>
    <row r="37">
      <c r="A37" s="9" t="n">
        <v>33</v>
      </c>
      <c r="B37" s="9" t="inlineStr">
        <is>
          <t>Philippines</t>
        </is>
      </c>
      <c r="C37" s="9" t="inlineStr">
        <is>
          <t>Asia-Pacific</t>
        </is>
      </c>
      <c r="D37" s="9" t="inlineStr">
        <is>
          <t>Visa-free</t>
        </is>
      </c>
      <c r="E37" s="9" t="inlineStr">
        <is>
          <t>30 d (vs 14 d normally)</t>
        </is>
      </c>
      <c r="F37" s="9" t="inlineStr">
        <is>
          <t>Australia works; 6 mo passport, return ticket</t>
        </is>
      </c>
      <c r="G37" s="9" t="inlineStr">
        <is>
          <t>Researched</t>
        </is>
      </c>
      <c r="H37" s="9" t="inlineStr">
        <is>
          <t>Yes</t>
        </is>
      </c>
      <c r="I37" s="9" t="inlineStr">
        <is>
          <t>Yes</t>
        </is>
      </c>
      <c r="J37" s="9" t="inlineStr">
        <is>
          <t>Yes</t>
        </is>
      </c>
      <c r="K37" s="9" t="inlineStr">
        <is>
          <t>Yes</t>
        </is>
      </c>
      <c r="L37" s="9" t="inlineStr">
        <is>
          <t>Yes</t>
        </is>
      </c>
      <c r="M37" s="9" t="inlineStr">
        <is>
          <t>Yes</t>
        </is>
      </c>
      <c r="N37" s="9" t="inlineStr">
        <is>
          <t>Yes</t>
        </is>
      </c>
      <c r="O37" s="9">
        <f>IF(SUMPRODUCT(--($H$3:$N$3="Yes"),--(H37:N37&lt;&gt;""))&gt;0,"YES","-")</f>
        <v/>
      </c>
    </row>
    <row r="38">
      <c r="A38" s="9" t="n">
        <v>34</v>
      </c>
      <c r="B38" s="9" t="inlineStr">
        <is>
          <t>Taiwan</t>
        </is>
      </c>
      <c r="C38" s="9" t="inlineStr">
        <is>
          <t>Asia-Pacific</t>
        </is>
      </c>
      <c r="D38" s="9" t="inlineStr">
        <is>
          <t>Travel Authorization Certificate</t>
        </is>
      </c>
      <c r="E38" s="9" t="inlineStr">
        <is>
          <t>14 d (old 30 d outdated)</t>
        </is>
      </c>
      <c r="F38" s="9" t="inlineStr">
        <is>
          <t>Expired visas also count</t>
        </is>
      </c>
      <c r="G38" s="9" t="inlineStr">
        <is>
          <t>Researched</t>
        </is>
      </c>
      <c r="H38" s="9" t="inlineStr">
        <is>
          <t>Yes - even if expired &lt;10 yrs</t>
        </is>
      </c>
      <c r="I38" s="9" t="inlineStr">
        <is>
          <t>Yes</t>
        </is>
      </c>
      <c r="J38" s="9" t="inlineStr">
        <is>
          <t>Yes</t>
        </is>
      </c>
      <c r="K38" s="9" t="inlineStr">
        <is>
          <t>Yes</t>
        </is>
      </c>
      <c r="L38" s="9" t="inlineStr">
        <is>
          <t>Yes</t>
        </is>
      </c>
      <c r="M38" s="9" t="inlineStr">
        <is>
          <t>Yes</t>
        </is>
      </c>
      <c r="N38" s="9" t="inlineStr"/>
      <c r="O38" s="9">
        <f>IF(SUMPRODUCT(--($H$3:$N$3="Yes"),--(H38:N38&lt;&gt;""))&gt;0,"YES","-")</f>
        <v/>
      </c>
    </row>
    <row r="39">
      <c r="A39" s="9" t="n">
        <v>35</v>
      </c>
      <c r="B39" s="9" t="inlineStr">
        <is>
          <t>South Korea (transit)</t>
        </is>
      </c>
      <c r="C39" s="9" t="inlineStr">
        <is>
          <t>Asia-Pacific</t>
        </is>
      </c>
      <c r="D39" s="9" t="inlineStr">
        <is>
          <t>Visa-free B-2 transit</t>
        </is>
      </c>
      <c r="E39" s="9" t="inlineStr">
        <is>
          <t>up to 30 d, onward ticket</t>
        </is>
      </c>
      <c r="F39" s="9" t="inlineStr">
        <is>
          <t>Must continue to 3rd country</t>
        </is>
      </c>
      <c r="G39" s="9" t="inlineStr">
        <is>
          <t>Researched</t>
        </is>
      </c>
      <c r="H39" s="9" t="inlineStr">
        <is>
          <t>Yes</t>
        </is>
      </c>
      <c r="I39" s="9" t="inlineStr">
        <is>
          <t>Yes - European visa</t>
        </is>
      </c>
      <c r="J39" s="9" t="inlineStr"/>
      <c r="K39" s="9" t="inlineStr">
        <is>
          <t>Yes</t>
        </is>
      </c>
      <c r="L39" s="9" t="inlineStr"/>
      <c r="M39" s="9" t="inlineStr">
        <is>
          <t>Yes - checked via VEVO</t>
        </is>
      </c>
      <c r="N39" s="9" t="inlineStr"/>
      <c r="O39" s="9">
        <f>IF(SUMPRODUCT(--($H$3:$N$3="Yes"),--(H39:N39&lt;&gt;""))&gt;0,"YES","-")</f>
        <v/>
      </c>
    </row>
    <row r="40">
      <c r="A40" s="9" t="n">
        <v>36</v>
      </c>
      <c r="B40" s="9" t="inlineStr">
        <is>
          <t>Singapore (transit)</t>
        </is>
      </c>
      <c r="C40" s="9" t="inlineStr">
        <is>
          <t>Asia-Pacific</t>
        </is>
      </c>
      <c r="D40" s="9" t="inlineStr">
        <is>
          <t>96-hr visa-free transit</t>
        </is>
      </c>
      <c r="E40" s="9" t="inlineStr">
        <is>
          <t>96 h</t>
        </is>
      </c>
      <c r="F40" s="9" t="inlineStr">
        <is>
          <t>Onward ticket required</t>
        </is>
      </c>
      <c r="G40" s="9" t="inlineStr">
        <is>
          <t>Researched</t>
        </is>
      </c>
      <c r="H40" s="9" t="inlineStr">
        <is>
          <t>Yes - &gt;=1 mo validity</t>
        </is>
      </c>
      <c r="I40" s="9" t="inlineStr"/>
      <c r="J40" s="9" t="inlineStr">
        <is>
          <t>Yes</t>
        </is>
      </c>
      <c r="K40" s="9" t="inlineStr">
        <is>
          <t>Yes</t>
        </is>
      </c>
      <c r="L40" s="9" t="inlineStr">
        <is>
          <t>Yes</t>
        </is>
      </c>
      <c r="M40" s="9" t="inlineStr">
        <is>
          <t>Yes</t>
        </is>
      </c>
      <c r="N40" s="9" t="inlineStr"/>
      <c r="O40" s="9">
        <f>IF(SUMPRODUCT(--($H$3:$N$3="Yes"),--(H40:N40&lt;&gt;""))&gt;0,"YES","-")</f>
        <v/>
      </c>
    </row>
    <row r="42" ht="48" customHeight="1">
      <c r="A42" s="8" t="inlineStr">
        <is>
          <t>Schengen area itself (29 countries): Austria, Belgium, Bulgaria, Croatia, Czechia, Denmark, Estonia, Finland, France, Germany, Greece, Hungary, Iceland, Italy, Latvia, Liechtenstein, Lithuania, Luxembourg, Malta, Netherlands, Norway, Poland, Portugal, Romania, Slovakia, Slovenia, Spain, Sweden, Switzerland. Also reachable on a Schengen visa: Monaco, San Marino, Vatican, Andorra (not in research - confirm).</t>
        </is>
      </c>
    </row>
  </sheetData>
  <autoFilter ref="A4:O40"/>
  <mergeCells count="1">
    <mergeCell ref="A42:O42"/>
  </mergeCells>
  <conditionalFormatting sqref="O5:O80">
    <cfRule type="cellIs" priority="1" operator="equal" dxfId="2">
      <formula>"YES"</formula>
    </cfRule>
  </conditionalFormatting>
  <dataValidations count="1">
    <dataValidation sqref="H3:N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001F2A44"/>
    <outlinePr summaryBelow="1" summaryRight="1"/>
    <pageSetUpPr/>
  </sheetPr>
  <dimension ref="A1:H18"/>
  <sheetViews>
    <sheetView zoomScale="100" workbookViewId="0">
      <pane ySplit="4" topLeftCell="A5" activePane="bottomLeft" state="frozen"/>
      <selection pane="bottomLeft" activeCell="A1" sqref="A1"/>
    </sheetView>
  </sheetViews>
  <sheetFormatPr baseColWidth="8" defaultRowHeight="15"/>
  <cols>
    <col width="7" customWidth="1" min="1" max="1"/>
    <col width="34" customWidth="1" min="2" max="2"/>
    <col width="11" customWidth="1" min="3" max="3"/>
    <col width="18" customWidth="1" min="4" max="4"/>
    <col width="16" customWidth="1" min="5" max="5"/>
    <col width="12" customWidth="1" min="6" max="6"/>
    <col width="52" customWidth="1" min="7" max="7"/>
    <col width="60" customWidth="1" min="8" max="8"/>
  </cols>
  <sheetData>
    <row r="1">
      <c r="A1" s="1" t="inlineStr">
        <is>
          <t>Power visas - which visa unlocks the most</t>
        </is>
      </c>
    </row>
    <row r="2">
      <c r="A2" s="2" t="inlineStr">
        <is>
          <t>Counts update automatically from the Access Map. 'Held?' follows the Yes/No switch on the Access Map (row 3).</t>
        </is>
      </c>
    </row>
    <row r="4">
      <c r="A4" s="3" t="inlineStr">
        <is>
          <t>Rank</t>
        </is>
      </c>
      <c r="B4" s="3" t="inlineStr">
        <is>
          <t>Document</t>
        </is>
      </c>
      <c r="C4" s="3" t="inlineStr">
        <is>
          <t>Held now?</t>
        </is>
      </c>
      <c r="D4" s="3" t="inlineStr">
        <is>
          <t>Other countries unlocked (count)</t>
        </is>
      </c>
      <c r="E4" s="3" t="inlineStr">
        <is>
          <t>+ Schengen-area countries</t>
        </is>
      </c>
      <c r="F4" s="3" t="inlineStr">
        <is>
          <t>Total reach</t>
        </is>
      </c>
      <c r="G4" s="3" t="inlineStr">
        <is>
          <t>Best for your yatras</t>
        </is>
      </c>
      <c r="H4" s="3" t="inlineStr">
        <is>
          <t>Recommendation</t>
        </is>
      </c>
    </row>
    <row r="5">
      <c r="A5" s="9" t="n">
        <v>1</v>
      </c>
      <c r="B5" s="9" t="inlineStr">
        <is>
          <t>USA B1/B2 visa</t>
        </is>
      </c>
      <c r="C5" s="9">
        <f>'Access Map'!H3</f>
        <v/>
      </c>
      <c r="D5" s="9">
        <f>COUNTIF('Access Map'!H5:H40,"?*")</f>
        <v/>
      </c>
      <c r="E5" s="9" t="n">
        <v>0</v>
      </c>
      <c r="F5" s="9">
        <f>D5+E5</f>
        <v/>
      </c>
      <c r="G5" s="9" t="inlineStr">
        <is>
          <t>USA yatras; Mexico, Colombia, Peru, Chile, Argentina, Dominican Rep., Gulf (UAE/Saudi/Bahrain/Oman), Balkans</t>
        </is>
      </c>
      <c r="H5" s="9" t="inlineStr">
        <is>
          <t>Keep. Already held to Dec 2034 - best value: Americas, Caribbean, Balkans, Gulf, Philippines, Taiwan. Remember: carry the passport that holds it.</t>
        </is>
      </c>
    </row>
    <row r="6">
      <c r="A6" s="9" t="n">
        <v>2</v>
      </c>
      <c r="B6" s="9" t="inlineStr">
        <is>
          <t>Schengen C visa (multi-entry)</t>
        </is>
      </c>
      <c r="C6" s="9">
        <f>'Access Map'!I3</f>
        <v/>
      </c>
      <c r="D6" s="9">
        <f>COUNTIF('Access Map'!I5:I40,"?*")</f>
        <v/>
      </c>
      <c r="E6" s="9" t="n">
        <v>29</v>
      </c>
      <c r="F6" s="9">
        <f>D6+E6</f>
        <v/>
      </c>
      <c r="G6" s="9" t="inlineStr">
        <is>
          <t>Europe yatras (Paris, Radhadesh, Mayapur-Europe tours) + Albania, Serbia, N. Macedonia, Bosnia, Georgia, Costa Rica, Dominican Rep.</t>
        </is>
      </c>
      <c r="H6" s="9" t="inlineStr">
        <is>
          <t>Renew NOW (expired Apr 2026). You qualify for the EU cascade 2-year multi-entry visa. 29 countries + ~20 extra destinations.</t>
        </is>
      </c>
    </row>
    <row r="7">
      <c r="A7" s="9" t="n">
        <v>3</v>
      </c>
      <c r="B7" s="9" t="inlineStr">
        <is>
          <t>UK Standard Visitor visa</t>
        </is>
      </c>
      <c r="C7" s="9">
        <f>'Access Map'!J3</f>
        <v/>
      </c>
      <c r="D7" s="9">
        <f>COUNTIF('Access Map'!J5:J40,"?*")</f>
        <v/>
      </c>
      <c r="E7" s="9" t="n">
        <v>0</v>
      </c>
      <c r="F7" s="9">
        <f>D7+E7</f>
        <v/>
      </c>
      <c r="G7" s="9" t="inlineStr">
        <is>
          <t>UK/Manor; Ireland; Gulf; Armenia; Georgia; Philippines; Taiwan</t>
        </is>
      </c>
      <c r="H7" s="9" t="inlineStr">
        <is>
          <t>Renew (expired Dec 2024). Ask for 2-year/longer visitor visa. Adds Ireland (via BIVS), Gulf, Armenia, Georgia, Mexico etc.</t>
        </is>
      </c>
    </row>
    <row r="8">
      <c r="A8" s="9" t="n">
        <v>4</v>
      </c>
      <c r="B8" s="9" t="inlineStr">
        <is>
          <t>Australia Visitor visa</t>
        </is>
      </c>
      <c r="C8" s="9">
        <f>'Access Map'!M3</f>
        <v/>
      </c>
      <c r="D8" s="9">
        <f>COUNTIF('Access Map'!M5:M40,"?*")</f>
        <v/>
      </c>
      <c r="E8" s="9" t="n">
        <v>0</v>
      </c>
      <c r="F8" s="9">
        <f>D8+E8</f>
        <v/>
      </c>
      <c r="G8" s="9" t="inlineStr">
        <is>
          <t>Australia; Philippines; Taiwan; Peru; Georgia; Armenia; Oman</t>
        </is>
      </c>
      <c r="H8" s="9" t="inlineStr">
        <is>
          <t>Held to Nov 2030 but it only helps in ~10 places (Philippines, Taiwan, Peru, Georgia, Armenia, Oman, Montenegro, Panama once used, SG/KR transit). Check stream (Business vs Tourist) before yatra.</t>
        </is>
      </c>
    </row>
    <row r="9">
      <c r="A9" s="9" t="n">
        <v>5</v>
      </c>
      <c r="B9" s="9" t="inlineStr">
        <is>
          <t>Canada visitor visa (TRV)</t>
        </is>
      </c>
      <c r="C9" s="9">
        <f>'Access Map'!K3</f>
        <v/>
      </c>
      <c r="D9" s="9">
        <f>COUNTIF('Access Map'!K5:K40,"?*")</f>
        <v/>
      </c>
      <c r="E9" s="9" t="n">
        <v>0</v>
      </c>
      <c r="F9" s="9">
        <f>D9+E9</f>
        <v/>
      </c>
      <c r="G9" s="9" t="inlineStr">
        <is>
          <t>Canada; Mexico; Costa Rica; Panama; Philippines</t>
        </is>
      </c>
      <c r="H9" s="9" t="inlineStr">
        <is>
          <t>Optional. Adds Mexico/Costa Rica/Panama/Peru-type exemptions that US already gives; real value = ISKCON Toronto + Canada itself.</t>
        </is>
      </c>
    </row>
    <row r="10">
      <c r="A10" s="9" t="n">
        <v>6</v>
      </c>
      <c r="B10" s="9" t="inlineStr">
        <is>
          <t>Japan visa</t>
        </is>
      </c>
      <c r="C10" s="9">
        <f>'Access Map'!L3</f>
        <v/>
      </c>
      <c r="D10" s="9">
        <f>COUNTIF('Access Map'!L5:L40,"?*")</f>
        <v/>
      </c>
      <c r="E10" s="9" t="n">
        <v>0</v>
      </c>
      <c r="F10" s="9">
        <f>D10+E10</f>
        <v/>
      </c>
      <c r="G10" s="9" t="inlineStr">
        <is>
          <t>Japan; Philippines; Taiwan; Georgia</t>
        </is>
      </c>
      <c r="H10" s="9" t="inlineStr">
        <is>
          <t>Low priority: only unlocks Mexico/Philippines/Taiwan/Georgia/Oman type entries which you mostly already get.</t>
        </is>
      </c>
    </row>
    <row r="12">
      <c r="A12" s="17" t="inlineStr">
        <is>
          <t>Other multi-country / special-purpose visas worth tracking (unverified background knowledge unless marked)</t>
        </is>
      </c>
    </row>
    <row r="13">
      <c r="A13" s="18" t="inlineStr"/>
      <c r="B13" s="18" t="inlineStr">
        <is>
          <t>Visa</t>
        </is>
      </c>
      <c r="C13" s="18" t="inlineStr">
        <is>
          <t>What it covers</t>
        </is>
      </c>
      <c r="D13" s="18" t="inlineStr">
        <is>
          <t>Yatra relevance</t>
        </is>
      </c>
      <c r="E13" s="18" t="inlineStr">
        <is>
          <t>Priority</t>
        </is>
      </c>
      <c r="F13" s="18" t="inlineStr">
        <is>
          <t>Confidence</t>
        </is>
      </c>
    </row>
    <row r="14">
      <c r="A14" s="9" t="inlineStr"/>
      <c r="B14" s="9" t="inlineStr">
        <is>
          <t>Chinese visa</t>
        </is>
      </c>
      <c r="C14" s="9" t="inlineStr">
        <is>
          <t>Mainland China + enables Tibet/Kailash (needs Tibet permit + ATP)</t>
        </is>
      </c>
      <c r="D14" s="9" t="inlineStr">
        <is>
          <t>Kailash Mansarovar, Buddhist circuit; does NOT unlock other countries</t>
        </is>
      </c>
      <c r="E14" s="9" t="inlineStr">
        <is>
          <t>HIGH for Kailash</t>
        </is>
      </c>
      <c r="F14" s="9" t="inlineStr">
        <is>
          <t>V (see yatra sheet)</t>
        </is>
      </c>
    </row>
    <row r="15">
      <c r="A15" s="9" t="inlineStr"/>
      <c r="B15" s="9" t="inlineStr">
        <is>
          <t>GCC Grand Tours visa</t>
        </is>
      </c>
      <c r="C15" s="9" t="inlineStr">
        <is>
          <t>Planned single visa for UAE, Saudi, Oman, Qatar, Bahrain, Kuwait</t>
        </is>
      </c>
      <c r="D15" s="9" t="inlineStr">
        <is>
          <t>Gulf yatra/transit</t>
        </is>
      </c>
      <c r="E15" s="9" t="inlineStr">
        <is>
          <t>Watch - launch status unconfirmed</t>
        </is>
      </c>
      <c r="F15" s="9" t="inlineStr">
        <is>
          <t>U</t>
        </is>
      </c>
    </row>
    <row r="16">
      <c r="A16" s="9" t="inlineStr"/>
      <c r="B16" s="9" t="inlineStr">
        <is>
          <t>East Africa Tourist Visa (Kenya-Rwanda-Uganda)</t>
        </is>
      </c>
      <c r="C16" s="9" t="inlineStr">
        <is>
          <t>One visa for 3 countries (reported US$100); Kenya now needs eTA</t>
        </is>
      </c>
      <c r="D16" s="9" t="inlineStr">
        <is>
          <t>Nairobi/Kampala ISKCON temples</t>
        </is>
      </c>
      <c r="E16" s="9" t="inlineStr">
        <is>
          <t>Low</t>
        </is>
      </c>
      <c r="F16" s="9" t="inlineStr">
        <is>
          <t>U</t>
        </is>
      </c>
    </row>
    <row r="17">
      <c r="A17" s="9" t="inlineStr"/>
      <c r="B17" s="9" t="inlineStr">
        <is>
          <t>Schengen 2-yr / 5-yr (EU cascade)</t>
        </is>
      </c>
      <c r="C17" s="9" t="inlineStr">
        <is>
          <t>Same 29 countries but multi-year validity - you now qualify (2 Schengen visas within 3 yrs)</t>
        </is>
      </c>
      <c r="D17" s="9" t="inlineStr">
        <is>
          <t>All Europe yatras</t>
        </is>
      </c>
      <c r="E17" s="9" t="inlineStr">
        <is>
          <t>HIGH</t>
        </is>
      </c>
      <c r="F17" s="9" t="inlineStr">
        <is>
          <t>V</t>
        </is>
      </c>
    </row>
    <row r="18">
      <c r="A18" s="9" t="inlineStr"/>
      <c r="B18" s="9" t="inlineStr">
        <is>
          <t>UK 2-yr / 5-yr / 10-yr Standard Visitor</t>
        </is>
      </c>
      <c r="C18" s="9" t="inlineStr">
        <is>
          <t>Long-validity UK visa; unlocks Ireland via BIVS + ~15 other entries</t>
        </is>
      </c>
      <c r="D18" s="9" t="inlineStr">
        <is>
          <t>Manor/Ireland/Gulf</t>
        </is>
      </c>
      <c r="E18" s="9" t="inlineStr">
        <is>
          <t>HIGH</t>
        </is>
      </c>
      <c r="F18" s="9" t="inlineStr">
        <is>
          <t>V</t>
        </is>
      </c>
    </row>
  </sheetData>
  <pageMargins left="0.75" right="0.75" top="1" bottom="1" header="0.5" footer="0.5"/>
</worksheet>
</file>

<file path=xl/worksheets/sheet7.xml><?xml version="1.0" encoding="utf-8"?>
<worksheet xmlns="http://schemas.openxmlformats.org/spreadsheetml/2006/main">
  <sheetPr>
    <tabColor rgb="001F2A44"/>
    <outlinePr summaryBelow="1" summaryRight="1"/>
    <pageSetUpPr/>
  </sheetPr>
  <dimension ref="A1:L36"/>
  <sheetViews>
    <sheetView zoomScale="100" workbookViewId="0">
      <pane ySplit="4" topLeftCell="A5" activePane="bottomLeft" state="frozen"/>
      <selection pane="bottomLeft" activeCell="A1" sqref="A1"/>
    </sheetView>
  </sheetViews>
  <sheetFormatPr baseColWidth="8" defaultRowHeight="15"/>
  <cols>
    <col width="5" customWidth="1" min="1" max="1"/>
    <col width="24" customWidth="1" min="2" max="2"/>
    <col width="26" customWidth="1" min="3" max="3"/>
    <col width="70" customWidth="1" min="4" max="4"/>
    <col width="18" customWidth="1" min="5" max="5"/>
    <col width="22" customWidth="1" min="6" max="6"/>
    <col width="22" customWidth="1" min="7" max="7"/>
    <col width="16" customWidth="1" min="8" max="8"/>
    <col width="11" customWidth="1" min="9" max="9"/>
    <col width="30" customWidth="1" min="10" max="10"/>
    <col width="16" customWidth="1" min="11" max="11"/>
    <col width="30" customWidth="1" min="12" max="12"/>
  </cols>
  <sheetData>
    <row r="1">
      <c r="A1" s="1" t="inlineStr">
        <is>
          <t>Yatra Visa Planner - entry rules for an Indian passport (researched 20 Oct 2026)</t>
        </is>
      </c>
    </row>
    <row r="2">
      <c r="A2" s="2" t="inlineStr">
        <is>
          <t>Confidence 'Confirm' = from background knowledge or conflicting reports: check the official portal before booking. Update 'My status' &amp; 'Next action'.</t>
        </is>
      </c>
    </row>
    <row r="4">
      <c r="A4" s="3" t="inlineStr">
        <is>
          <t>#</t>
        </is>
      </c>
      <c r="B4" s="3" t="inlineStr">
        <is>
          <t>Destination</t>
        </is>
      </c>
      <c r="C4" s="3" t="inlineStr">
        <is>
          <t>Yatra use</t>
        </is>
      </c>
      <c r="D4" s="3" t="inlineStr">
        <is>
          <t>Entry requirement (Indian passport)</t>
        </is>
      </c>
      <c r="E4" s="3" t="inlineStr">
        <is>
          <t>Max stay</t>
        </is>
      </c>
      <c r="F4" s="3" t="inlineStr">
        <is>
          <t>Cost / lead time</t>
        </is>
      </c>
      <c r="G4" s="3" t="inlineStr">
        <is>
          <t>Helped by a visa I hold?</t>
        </is>
      </c>
      <c r="H4" s="3" t="inlineStr">
        <is>
          <t>Priority</t>
        </is>
      </c>
      <c r="I4" s="3" t="inlineStr">
        <is>
          <t>Confidence</t>
        </is>
      </c>
      <c r="J4" s="3" t="inlineStr">
        <is>
          <t>Source</t>
        </is>
      </c>
      <c r="K4" s="3" t="inlineStr">
        <is>
          <t>My status</t>
        </is>
      </c>
      <c r="L4" s="3" t="inlineStr">
        <is>
          <t>Next action / date</t>
        </is>
      </c>
    </row>
    <row r="5">
      <c r="A5" s="9" t="n">
        <v>1</v>
      </c>
      <c r="B5" s="9" t="inlineStr">
        <is>
          <t>Nepal</t>
        </is>
      </c>
      <c r="C5" s="9" t="inlineStr">
        <is>
          <t>Muktinath, Pashupatinath, Janakpur</t>
        </is>
      </c>
      <c r="D5" s="9" t="inlineStr">
        <is>
          <t>No visa. Valid passport or original Voter ID (Aadhaar conflicting - don't rely). Muktinath needs TIMS/ACAP permits via operator (U)</t>
        </is>
      </c>
      <c r="E5" s="9" t="inlineStr">
        <is>
          <t>No limit set for Indians</t>
        </is>
      </c>
      <c r="F5" s="9" t="inlineStr">
        <is>
          <t>Free / none</t>
        </is>
      </c>
      <c r="G5" s="9" t="inlineStr">
        <is>
          <t>n/a</t>
        </is>
      </c>
      <c r="H5" s="9" t="inlineStr">
        <is>
          <t>Done before x3</t>
        </is>
      </c>
      <c r="I5" s="9" t="inlineStr">
        <is>
          <t>Researched</t>
        </is>
      </c>
      <c r="J5" s="9" t="inlineStr">
        <is>
          <t>happyfares.in 2026</t>
        </is>
      </c>
      <c r="K5" s="19" t="inlineStr">
        <is>
          <t>To check</t>
        </is>
      </c>
      <c r="L5" s="19" t="inlineStr"/>
    </row>
    <row r="6">
      <c r="A6" s="9" t="n">
        <v>2</v>
      </c>
      <c r="B6" s="9" t="inlineStr">
        <is>
          <t>Bhutan</t>
        </is>
      </c>
      <c r="C6" s="9" t="inlineStr">
        <is>
          <t>Monastery circuit</t>
        </is>
      </c>
      <c r="D6" s="9" t="inlineStr">
        <is>
          <t>No visa but Entry PERMIT via registered operator. SDF Nu 1,200/person/night (under 6 free, 6-12 half)</t>
        </is>
      </c>
      <c r="E6" s="9" t="inlineStr">
        <is>
          <t>Per permit</t>
        </is>
      </c>
      <c r="F6" s="9" t="inlineStr">
        <is>
          <t>SDF + operator</t>
        </is>
      </c>
      <c r="G6" s="9" t="inlineStr">
        <is>
          <t>n/a</t>
        </is>
      </c>
      <c r="H6" s="9" t="inlineStr">
        <is>
          <t>Medium</t>
        </is>
      </c>
      <c r="I6" s="9" t="inlineStr">
        <is>
          <t>Researched</t>
        </is>
      </c>
      <c r="J6" s="9" t="inlineStr">
        <is>
          <t>windhorsetours.com 2026</t>
        </is>
      </c>
      <c r="K6" s="19" t="inlineStr">
        <is>
          <t>To check</t>
        </is>
      </c>
      <c r="L6" s="19" t="inlineStr"/>
    </row>
    <row r="7">
      <c r="A7" s="9" t="n">
        <v>3</v>
      </c>
      <c r="B7" s="9" t="inlineStr">
        <is>
          <t>Sri Lanka</t>
        </is>
      </c>
      <c r="C7" s="9" t="inlineStr">
        <is>
          <t>Ramayana trail</t>
        </is>
      </c>
      <c r="D7" s="9" t="inlineStr">
        <is>
          <t>Free 30-day double-entry tourist ETA scheme reported from 25 May 2026 (still apply online at eta.gov.lk). End date unclear</t>
        </is>
      </c>
      <c r="E7" s="9" t="inlineStr">
        <is>
          <t>30 days</t>
        </is>
      </c>
      <c r="F7" s="9" t="inlineStr">
        <is>
          <t>Free (reported) / 1-2 days</t>
        </is>
      </c>
      <c r="G7" s="9" t="inlineStr">
        <is>
          <t>n/a</t>
        </is>
      </c>
      <c r="H7" s="9" t="inlineStr">
        <is>
          <t>Done before x3</t>
        </is>
      </c>
      <c r="I7" s="9" t="inlineStr">
        <is>
          <t>Researched</t>
        </is>
      </c>
      <c r="J7" s="9" t="inlineStr">
        <is>
          <t>traveltradejournal, newsonair 2026</t>
        </is>
      </c>
      <c r="K7" s="19" t="inlineStr">
        <is>
          <t>To check</t>
        </is>
      </c>
      <c r="L7" s="19" t="inlineStr"/>
    </row>
    <row r="8">
      <c r="A8" s="9" t="n">
        <v>4</v>
      </c>
      <c r="B8" s="9" t="inlineStr">
        <is>
          <t>Thailand</t>
        </is>
      </c>
      <c r="C8" s="9" t="inlineStr">
        <is>
          <t>Bangkok/Pattaya temples, Cambodia gateway</t>
        </is>
      </c>
      <c r="D8" s="9" t="inlineStr">
        <is>
          <t>Visa-exempt tourism. REPORTED cut from 60 to 30 days from 15 Sep 2026; TDAC arrival card within 3 days before arrival</t>
        </is>
      </c>
      <c r="E8" s="9" t="inlineStr">
        <is>
          <t>30 days (+30 ext. discretionary)</t>
        </is>
      </c>
      <c r="F8" s="9" t="inlineStr">
        <is>
          <t>Free / TDAC online</t>
        </is>
      </c>
      <c r="G8" s="9" t="inlineStr">
        <is>
          <t>n/a</t>
        </is>
      </c>
      <c r="H8" s="9" t="inlineStr">
        <is>
          <t>Done before x3</t>
        </is>
      </c>
      <c r="I8" s="9" t="inlineStr">
        <is>
          <t>Researched</t>
        </is>
      </c>
      <c r="J8" s="9" t="inlineStr">
        <is>
          <t>Khaleej Times, VisaVerge Sep 2026</t>
        </is>
      </c>
      <c r="K8" s="19" t="inlineStr">
        <is>
          <t>To check</t>
        </is>
      </c>
      <c r="L8" s="19" t="inlineStr"/>
    </row>
    <row r="9">
      <c r="A9" s="9" t="n">
        <v>5</v>
      </c>
      <c r="B9" s="9" t="inlineStr">
        <is>
          <t>Cambodia</t>
        </is>
      </c>
      <c r="C9" s="9" t="inlineStr">
        <is>
          <t>Angkor Wat</t>
        </is>
      </c>
      <c r="D9" s="9" t="inlineStr">
        <is>
          <t>e-Visa (about US$30, ~30 days) - from background knowledge</t>
        </is>
      </c>
      <c r="E9" s="9" t="inlineStr">
        <is>
          <t>~30 days</t>
        </is>
      </c>
      <c r="F9" s="9" t="inlineStr">
        <is>
          <t>~US$30 / 3-4 days</t>
        </is>
      </c>
      <c r="G9" s="9" t="inlineStr">
        <is>
          <t>n/a</t>
        </is>
      </c>
      <c r="H9" s="9" t="inlineStr">
        <is>
          <t>Done before x2</t>
        </is>
      </c>
      <c r="I9" s="11" t="inlineStr">
        <is>
          <t>Confirm</t>
        </is>
      </c>
      <c r="J9" s="9" t="inlineStr">
        <is>
          <t>previous stamps p.10/p.20</t>
        </is>
      </c>
      <c r="K9" s="19" t="inlineStr">
        <is>
          <t>To check</t>
        </is>
      </c>
      <c r="L9" s="19" t="inlineStr"/>
    </row>
    <row r="10">
      <c r="A10" s="9" t="n">
        <v>6</v>
      </c>
      <c r="B10" s="9" t="inlineStr">
        <is>
          <t>Malaysia</t>
        </is>
      </c>
      <c r="C10" s="9" t="inlineStr">
        <is>
          <t>Batu Caves, KL temples</t>
        </is>
      </c>
      <c r="D10" s="9" t="inlineStr">
        <is>
          <t>Visa-free 30 days until 31 Dec 2026 (no extension seen) -&gt; plan visa fallback for 2027</t>
        </is>
      </c>
      <c r="E10" s="9" t="inlineStr">
        <is>
          <t>30 days</t>
        </is>
      </c>
      <c r="F10" s="9" t="inlineStr">
        <is>
          <t>Free</t>
        </is>
      </c>
      <c r="G10" s="9" t="inlineStr">
        <is>
          <t>n/a</t>
        </is>
      </c>
      <c r="H10" s="9" t="inlineStr">
        <is>
          <t>Medium</t>
        </is>
      </c>
      <c r="I10" s="9" t="inlineStr">
        <is>
          <t>Researched</t>
        </is>
      </c>
      <c r="J10" s="9" t="inlineStr">
        <is>
          <t>theweek.in Dec 2024</t>
        </is>
      </c>
      <c r="K10" s="19" t="inlineStr">
        <is>
          <t>To check</t>
        </is>
      </c>
      <c r="L10" s="19" t="inlineStr"/>
    </row>
    <row r="11">
      <c r="A11" s="9" t="n">
        <v>7</v>
      </c>
      <c r="B11" s="9" t="inlineStr">
        <is>
          <t>Vietnam</t>
        </is>
      </c>
      <c r="C11" s="9" t="inlineStr">
        <is>
          <t>Cham temples, Angkor-route extension</t>
        </is>
      </c>
      <c r="D11" s="9" t="inlineStr">
        <is>
          <t>e-Visa valid 90 days; US$25 single / US$50 multiple; apply only at evisa.gov.vn</t>
        </is>
      </c>
      <c r="E11" s="9" t="inlineStr">
        <is>
          <t>Up to 90 days</t>
        </is>
      </c>
      <c r="F11" s="9" t="inlineStr">
        <is>
          <t>US$25-50 / ~3-5 days</t>
        </is>
      </c>
      <c r="G11" s="9" t="inlineStr">
        <is>
          <t>n/a</t>
        </is>
      </c>
      <c r="H11" s="9" t="inlineStr">
        <is>
          <t>Medium</t>
        </is>
      </c>
      <c r="I11" s="9" t="inlineStr">
        <is>
          <t>Researched</t>
        </is>
      </c>
      <c r="J11" s="9" t="inlineStr">
        <is>
          <t>wego 2026</t>
        </is>
      </c>
      <c r="K11" s="19" t="inlineStr">
        <is>
          <t>To check</t>
        </is>
      </c>
      <c r="L11" s="19" t="inlineStr"/>
    </row>
    <row r="12">
      <c r="A12" s="9" t="n">
        <v>8</v>
      </c>
      <c r="B12" s="9" t="inlineStr">
        <is>
          <t>Indonesia (Bali, Java)</t>
        </is>
      </c>
      <c r="C12" s="9" t="inlineStr">
        <is>
          <t>Hindu temples, Prambanan</t>
        </is>
      </c>
      <c r="D12" s="9" t="inlineStr">
        <is>
          <t>e-VOA IDR 500,000, 30 days (+1 ext.). Bali levy IDR 150,000 + digital arrival card. Confirm India on eligible list</t>
        </is>
      </c>
      <c r="E12" s="9" t="inlineStr">
        <is>
          <t>30 days (+30)</t>
        </is>
      </c>
      <c r="F12" s="9" t="inlineStr">
        <is>
          <t>~IDR 650k</t>
        </is>
      </c>
      <c r="G12" s="9" t="inlineStr">
        <is>
          <t>n/a</t>
        </is>
      </c>
      <c r="H12" s="9" t="inlineStr">
        <is>
          <t>Planned Feb 2026</t>
        </is>
      </c>
      <c r="I12" s="11" t="inlineStr">
        <is>
          <t>Confirm</t>
        </is>
      </c>
      <c r="J12" s="9" t="inlineStr">
        <is>
          <t>wego 2026</t>
        </is>
      </c>
      <c r="K12" s="19" t="inlineStr">
        <is>
          <t>To check</t>
        </is>
      </c>
      <c r="L12" s="19" t="inlineStr"/>
    </row>
    <row r="13">
      <c r="A13" s="9" t="n">
        <v>9</v>
      </c>
      <c r="B13" s="9" t="inlineStr">
        <is>
          <t>Philippines</t>
        </is>
      </c>
      <c r="C13" s="9" t="inlineStr">
        <is>
          <t>Limited</t>
        </is>
      </c>
      <c r="D13" s="9" t="inlineStr">
        <is>
          <t>Visa-free 14 days (hotel, funds, onward ticket). Holders of valid US/Japan/AU/CA/Schengen/SG/UK visa get 30 days</t>
        </is>
      </c>
      <c r="E13" s="9" t="inlineStr">
        <is>
          <t>14 days / 30 days with US or AU visa</t>
        </is>
      </c>
      <c r="F13" s="9" t="inlineStr">
        <is>
          <t>Free</t>
        </is>
      </c>
      <c r="G13" s="9" t="inlineStr">
        <is>
          <t>YES - your US visa or Australia visa</t>
        </is>
      </c>
      <c r="H13" s="9" t="inlineStr">
        <is>
          <t>Low</t>
        </is>
      </c>
      <c r="I13" s="9" t="inlineStr">
        <is>
          <t>Researched</t>
        </is>
      </c>
      <c r="J13" s="9" t="inlineStr">
        <is>
          <t>Philippine Consulate advisory 07-2025</t>
        </is>
      </c>
      <c r="K13" s="19" t="inlineStr">
        <is>
          <t>To check</t>
        </is>
      </c>
      <c r="L13" s="19" t="inlineStr"/>
    </row>
    <row r="14">
      <c r="A14" s="9" t="n">
        <v>10</v>
      </c>
      <c r="B14" s="9" t="inlineStr">
        <is>
          <t>Japan</t>
        </is>
      </c>
      <c r="C14" s="9" t="inlineStr">
        <is>
          <t>Buddhist/ISKCON centres</t>
        </is>
      </c>
      <c r="D14" s="9" t="inlineStr">
        <is>
          <t>Visa required: e-Visa/VFS route, fee Rs 500 + service charges (reported)</t>
        </is>
      </c>
      <c r="E14" s="9" t="inlineStr">
        <is>
          <t>Typically 15-90 days</t>
        </is>
      </c>
      <c r="F14" s="9" t="inlineStr">
        <is>
          <t>Rs 500 + VFS / 5-10 days</t>
        </is>
      </c>
      <c r="G14" s="9" t="inlineStr">
        <is>
          <t>n/a</t>
        </is>
      </c>
      <c r="H14" s="9" t="inlineStr">
        <is>
          <t>Medium</t>
        </is>
      </c>
      <c r="I14" s="9" t="inlineStr">
        <is>
          <t>Researched</t>
        </is>
      </c>
      <c r="J14" s="9" t="inlineStr">
        <is>
          <t>businesstoday Jul 2026</t>
        </is>
      </c>
      <c r="K14" s="19" t="inlineStr">
        <is>
          <t>To check</t>
        </is>
      </c>
      <c r="L14" s="19" t="inlineStr"/>
    </row>
    <row r="15">
      <c r="A15" s="9" t="n">
        <v>11</v>
      </c>
      <c r="B15" s="9" t="inlineStr">
        <is>
          <t>China (incl. Tibet / Kailash)</t>
        </is>
      </c>
      <c r="C15" s="9" t="inlineStr">
        <is>
          <t>Kailash Mansarovar</t>
        </is>
      </c>
      <c r="D15" s="9" t="inlineStr">
        <is>
          <t>Chinese visa (tourist: 4 working days; group visa via operator ~6 working days) + Tibet Travel Permit + ATP via Nepal; or MEA KMY lottery (kmy.gov.in, June-Aug, 1,000 pilgrims)</t>
        </is>
      </c>
      <c r="E15" s="9" t="inlineStr">
        <is>
          <t>Per permit</t>
        </is>
      </c>
      <c r="F15" s="9" t="inlineStr">
        <is>
          <t>MEA route ~Rs 2.1-3.3 lakh</t>
        </is>
      </c>
      <c r="G15" s="9" t="inlineStr">
        <is>
          <t>n/a</t>
        </is>
      </c>
      <c r="H15" s="9" t="inlineStr">
        <is>
          <t>DONE Jun 2026 (per your itinerary)</t>
        </is>
      </c>
      <c r="I15" s="9" t="inlineStr">
        <is>
          <t>Researched</t>
        </is>
      </c>
      <c r="J15" s="9" t="inlineStr">
        <is>
          <t>Tribune, businesstoday 2026</t>
        </is>
      </c>
      <c r="K15" s="19" t="inlineStr">
        <is>
          <t>To check</t>
        </is>
      </c>
      <c r="L15" s="19" t="inlineStr"/>
    </row>
    <row r="16">
      <c r="A16" s="9" t="n">
        <v>12</v>
      </c>
      <c r="B16" s="9" t="inlineStr">
        <is>
          <t>Hong Kong</t>
        </is>
      </c>
      <c r="C16" s="9" t="inlineStr">
        <is>
          <t>Transit hub</t>
        </is>
      </c>
      <c r="D16" s="9" t="inlineStr">
        <is>
          <t>Pre-Arrival Registration (PAR) online, up to 14 days; valid 6 months</t>
        </is>
      </c>
      <c r="E16" s="9" t="inlineStr">
        <is>
          <t>14 days</t>
        </is>
      </c>
      <c r="F16" s="9" t="inlineStr">
        <is>
          <t>Free / minutes</t>
        </is>
      </c>
      <c r="G16" s="9" t="inlineStr">
        <is>
          <t>n/a</t>
        </is>
      </c>
      <c r="H16" s="9" t="inlineStr">
        <is>
          <t>Low</t>
        </is>
      </c>
      <c r="I16" s="9" t="inlineStr">
        <is>
          <t>Researched</t>
        </is>
      </c>
      <c r="J16" s="9" t="inlineStr">
        <is>
          <t>HK Immigration ID1023</t>
        </is>
      </c>
      <c r="K16" s="19" t="inlineStr">
        <is>
          <t>To check</t>
        </is>
      </c>
      <c r="L16" s="19" t="inlineStr"/>
    </row>
    <row r="17">
      <c r="A17" s="9" t="n">
        <v>13</v>
      </c>
      <c r="B17" s="9" t="inlineStr">
        <is>
          <t>Russia</t>
        </is>
      </c>
      <c r="C17" s="9" t="inlineStr">
        <is>
          <t>ISKCON Moscow</t>
        </is>
      </c>
      <c r="D17" s="9" t="inlineStr">
        <is>
          <t>e-Visa (up to 16 days). Visa-free group scheme still only under negotiation</t>
        </is>
      </c>
      <c r="E17" s="9" t="inlineStr">
        <is>
          <t>16 days</t>
        </is>
      </c>
      <c r="F17" s="9" t="inlineStr">
        <is>
          <t>e-Visa fee / ~4 days</t>
        </is>
      </c>
      <c r="G17" s="9" t="inlineStr">
        <is>
          <t>n/a</t>
        </is>
      </c>
      <c r="H17" s="9" t="inlineStr">
        <is>
          <t>Medium</t>
        </is>
      </c>
      <c r="I17" s="9" t="inlineStr">
        <is>
          <t>Researched</t>
        </is>
      </c>
      <c r="J17" s="9" t="inlineStr">
        <is>
          <t>happyfares Jul 2026</t>
        </is>
      </c>
      <c r="K17" s="19" t="inlineStr">
        <is>
          <t>To check</t>
        </is>
      </c>
      <c r="L17" s="19" t="inlineStr"/>
    </row>
    <row r="18">
      <c r="A18" s="9" t="n">
        <v>14</v>
      </c>
      <c r="B18" s="9" t="inlineStr">
        <is>
          <t>Kazakhstan</t>
        </is>
      </c>
      <c r="C18" s="9" t="inlineStr">
        <is>
          <t>Almaty</t>
        </is>
      </c>
      <c r="D18" s="9" t="inlineStr">
        <is>
          <t>Visa-free 14 days reported (conflicting 30-90 elsewhere)</t>
        </is>
      </c>
      <c r="E18" s="9" t="inlineStr">
        <is>
          <t>14 days</t>
        </is>
      </c>
      <c r="F18" s="9" t="inlineStr">
        <is>
          <t>Free</t>
        </is>
      </c>
      <c r="G18" s="9" t="inlineStr">
        <is>
          <t>n/a</t>
        </is>
      </c>
      <c r="H18" s="9" t="inlineStr">
        <is>
          <t>Low</t>
        </is>
      </c>
      <c r="I18" s="9" t="inlineStr">
        <is>
          <t>Researched</t>
        </is>
      </c>
      <c r="J18" s="9" t="inlineStr">
        <is>
          <t>Gulf News 2026</t>
        </is>
      </c>
      <c r="K18" s="19" t="inlineStr">
        <is>
          <t>To check</t>
        </is>
      </c>
      <c r="L18" s="19" t="inlineStr"/>
    </row>
    <row r="19">
      <c r="A19" s="9" t="n">
        <v>15</v>
      </c>
      <c r="B19" s="9" t="inlineStr">
        <is>
          <t>Uzbekistan</t>
        </is>
      </c>
      <c r="C19" s="9" t="inlineStr">
        <is>
          <t>Silk Road</t>
        </is>
      </c>
      <c r="D19" s="9" t="inlineStr">
        <is>
          <t>30-day visa-free announced Aug 2026, effective date not announced -&gt; e-Visa until then</t>
        </is>
      </c>
      <c r="E19" s="9" t="inlineStr">
        <is>
          <t>30 days</t>
        </is>
      </c>
      <c r="F19" s="9" t="inlineStr">
        <is>
          <t>e-Visa until start</t>
        </is>
      </c>
      <c r="G19" s="9" t="inlineStr">
        <is>
          <t>n/a</t>
        </is>
      </c>
      <c r="H19" s="9" t="inlineStr">
        <is>
          <t>Low</t>
        </is>
      </c>
      <c r="I19" s="9" t="inlineStr">
        <is>
          <t>Researched</t>
        </is>
      </c>
      <c r="J19" s="9" t="inlineStr">
        <is>
          <t>careinsurance 2026</t>
        </is>
      </c>
      <c r="K19" s="19" t="inlineStr">
        <is>
          <t>To check</t>
        </is>
      </c>
      <c r="L19" s="19" t="inlineStr"/>
    </row>
    <row r="20">
      <c r="A20" s="9" t="n">
        <v>16</v>
      </c>
      <c r="B20" s="9" t="inlineStr">
        <is>
          <t>Iran</t>
        </is>
      </c>
      <c r="C20" s="9" t="inlineStr">
        <is>
          <t>Qom/Mashhad (not typical)</t>
        </is>
      </c>
      <c r="D20" s="9" t="inlineStr">
        <is>
          <t>Visa-waiver for Indians SUSPENDED from 22 Nov 2025 - visa needed even for transit</t>
        </is>
      </c>
      <c r="E20" s="9" t="inlineStr">
        <is>
          <t>-</t>
        </is>
      </c>
      <c r="F20" s="9" t="inlineStr">
        <is>
          <t>Visa</t>
        </is>
      </c>
      <c r="G20" s="9" t="inlineStr">
        <is>
          <t>n/a</t>
        </is>
      </c>
      <c r="H20" s="9" t="inlineStr">
        <is>
          <t>Avoid</t>
        </is>
      </c>
      <c r="I20" s="9" t="inlineStr">
        <is>
          <t>Researched</t>
        </is>
      </c>
      <c r="J20" s="9" t="inlineStr">
        <is>
          <t>Tribune, businesstoday Nov 2025</t>
        </is>
      </c>
      <c r="K20" s="19" t="inlineStr">
        <is>
          <t>To check</t>
        </is>
      </c>
      <c r="L20" s="19" t="inlineStr"/>
    </row>
    <row r="21">
      <c r="A21" s="9" t="n">
        <v>17</v>
      </c>
      <c r="B21" s="9" t="inlineStr">
        <is>
          <t>Kenya</t>
        </is>
      </c>
      <c r="C21" s="9" t="inlineStr">
        <is>
          <t>ISKCON Nairobi</t>
        </is>
      </c>
      <c r="D21" s="9" t="inlineStr">
        <is>
          <t>eTA mandatory, no VoA; use etakenya.go.ke only (fee quotes conflict US$30-100)</t>
        </is>
      </c>
      <c r="E21" s="9" t="inlineStr">
        <is>
          <t>Per eTA</t>
        </is>
      </c>
      <c r="F21" s="9" t="inlineStr">
        <is>
          <t>US$30-100 / 3 days</t>
        </is>
      </c>
      <c r="G21" s="9" t="inlineStr">
        <is>
          <t>n/a</t>
        </is>
      </c>
      <c r="H21" s="9" t="inlineStr">
        <is>
          <t>Low</t>
        </is>
      </c>
      <c r="I21" s="9" t="inlineStr">
        <is>
          <t>Researched</t>
        </is>
      </c>
      <c r="J21" s="9" t="inlineStr">
        <is>
          <t>safarifind 2026</t>
        </is>
      </c>
      <c r="K21" s="19" t="inlineStr">
        <is>
          <t>To check</t>
        </is>
      </c>
      <c r="L21" s="19" t="inlineStr"/>
    </row>
    <row r="22">
      <c r="A22" s="9" t="n">
        <v>18</v>
      </c>
      <c r="B22" s="9" t="inlineStr">
        <is>
          <t>Mauritius</t>
        </is>
      </c>
      <c r="C22" s="9" t="inlineStr">
        <is>
          <t>ISKCON Mauritius, Ganga Talao</t>
        </is>
      </c>
      <c r="D22" s="9" t="inlineStr">
        <is>
          <t>Visa-free 90 days (list source)</t>
        </is>
      </c>
      <c r="E22" s="9" t="inlineStr">
        <is>
          <t>90 days</t>
        </is>
      </c>
      <c r="F22" s="9" t="inlineStr">
        <is>
          <t>Free</t>
        </is>
      </c>
      <c r="G22" s="9" t="inlineStr">
        <is>
          <t>n/a</t>
        </is>
      </c>
      <c r="H22" s="9" t="inlineStr">
        <is>
          <t>Medium</t>
        </is>
      </c>
      <c r="I22" s="11" t="inlineStr">
        <is>
          <t>Confirm</t>
        </is>
      </c>
      <c r="J22" s="9" t="inlineStr">
        <is>
          <t>matrix.in 2026</t>
        </is>
      </c>
      <c r="K22" s="19" t="inlineStr">
        <is>
          <t>To check</t>
        </is>
      </c>
      <c r="L22" s="19" t="inlineStr"/>
    </row>
    <row r="23">
      <c r="A23" s="9" t="n">
        <v>19</v>
      </c>
      <c r="B23" s="9" t="inlineStr">
        <is>
          <t>Fiji</t>
        </is>
      </c>
      <c r="C23" s="9" t="inlineStr">
        <is>
          <t>ISKCON Fiji</t>
        </is>
      </c>
      <c r="D23" s="9" t="inlineStr">
        <is>
          <t>Visa-free 120 days (list source)</t>
        </is>
      </c>
      <c r="E23" s="9" t="inlineStr">
        <is>
          <t>120 days</t>
        </is>
      </c>
      <c r="F23" s="9" t="inlineStr">
        <is>
          <t>Free</t>
        </is>
      </c>
      <c r="G23" s="9" t="inlineStr">
        <is>
          <t>n/a</t>
        </is>
      </c>
      <c r="H23" s="9" t="inlineStr">
        <is>
          <t>Low</t>
        </is>
      </c>
      <c r="I23" s="11" t="inlineStr">
        <is>
          <t>Confirm</t>
        </is>
      </c>
      <c r="J23" s="9" t="inlineStr">
        <is>
          <t>matrix.in 2026</t>
        </is>
      </c>
      <c r="K23" s="19" t="inlineStr">
        <is>
          <t>To check</t>
        </is>
      </c>
      <c r="L23" s="19" t="inlineStr"/>
    </row>
    <row r="24">
      <c r="A24" s="9" t="n">
        <v>20</v>
      </c>
      <c r="B24" s="9" t="inlineStr">
        <is>
          <t>Trinidad &amp; Tobago</t>
        </is>
      </c>
      <c r="C24" s="9" t="inlineStr">
        <is>
          <t>Hindu diaspora</t>
        </is>
      </c>
      <c r="D24" s="9" t="inlineStr">
        <is>
          <t>Visa-free 90 days, 6 months passport validity, onward ticket</t>
        </is>
      </c>
      <c r="E24" s="9" t="inlineStr">
        <is>
          <t>90 days</t>
        </is>
      </c>
      <c r="F24" s="9" t="inlineStr">
        <is>
          <t>Free</t>
        </is>
      </c>
      <c r="G24" s="9" t="inlineStr">
        <is>
          <t>n/a</t>
        </is>
      </c>
      <c r="H24" s="9" t="inlineStr">
        <is>
          <t>Low</t>
        </is>
      </c>
      <c r="I24" s="9" t="inlineStr">
        <is>
          <t>Researched</t>
        </is>
      </c>
      <c r="J24" s="9" t="inlineStr">
        <is>
          <t>evisas.io 2026</t>
        </is>
      </c>
      <c r="K24" s="19" t="inlineStr">
        <is>
          <t>To check</t>
        </is>
      </c>
      <c r="L24" s="19" t="inlineStr"/>
    </row>
    <row r="25">
      <c r="A25" s="9" t="n">
        <v>21</v>
      </c>
      <c r="B25" s="9" t="inlineStr">
        <is>
          <t>Suriname / Guyana</t>
        </is>
      </c>
      <c r="C25" s="9" t="inlineStr">
        <is>
          <t>Diaspora</t>
        </is>
      </c>
      <c r="D25" s="9" t="inlineStr">
        <is>
          <t>Suriname 30 days visa-free reported (single site); Guyana not found</t>
        </is>
      </c>
      <c r="E25" s="9" t="inlineStr">
        <is>
          <t>30 days</t>
        </is>
      </c>
      <c r="F25" s="9" t="inlineStr">
        <is>
          <t>Free</t>
        </is>
      </c>
      <c r="G25" s="9" t="inlineStr">
        <is>
          <t>n/a</t>
        </is>
      </c>
      <c r="H25" s="9" t="inlineStr">
        <is>
          <t>Low</t>
        </is>
      </c>
      <c r="I25" s="11" t="inlineStr">
        <is>
          <t>Confirm</t>
        </is>
      </c>
      <c r="J25" s="9" t="inlineStr">
        <is>
          <t>visago.dev</t>
        </is>
      </c>
      <c r="K25" s="19" t="inlineStr">
        <is>
          <t>To check</t>
        </is>
      </c>
      <c r="L25" s="19" t="inlineStr"/>
    </row>
    <row r="26">
      <c r="A26" s="9" t="n">
        <v>22</v>
      </c>
      <c r="B26" s="9" t="inlineStr">
        <is>
          <t>Pakistan (Katas Raj)</t>
        </is>
      </c>
      <c r="C26" s="9" t="inlineStr">
        <is>
          <t>Shiva temple pilgrimage</t>
        </is>
      </c>
      <c r="D26" s="9" t="inlineStr">
        <is>
          <t>Only via 1974 Protocol group visas from Pak High Commission, New Delhi; Lahore/Chakwal only; no 2026 notice found</t>
        </is>
      </c>
      <c r="E26" s="9" t="inlineStr">
        <is>
          <t>Per visa</t>
        </is>
      </c>
      <c r="F26" s="9" t="inlineStr">
        <is>
          <t>Group visa</t>
        </is>
      </c>
      <c r="G26" s="9" t="inlineStr">
        <is>
          <t>n/a</t>
        </is>
      </c>
      <c r="H26" s="9" t="inlineStr">
        <is>
          <t>Occasional</t>
        </is>
      </c>
      <c r="I26" s="9" t="inlineStr">
        <is>
          <t>Researched</t>
        </is>
      </c>
      <c r="J26" s="9" t="inlineStr">
        <is>
          <t>businesstoday Feb 2025</t>
        </is>
      </c>
      <c r="K26" s="19" t="inlineStr">
        <is>
          <t>To check</t>
        </is>
      </c>
      <c r="L26" s="19" t="inlineStr"/>
    </row>
    <row r="27">
      <c r="A27" s="9" t="n">
        <v>23</v>
      </c>
      <c r="B27" s="9" t="inlineStr">
        <is>
          <t>Bangladesh</t>
        </is>
      </c>
      <c r="C27" s="9" t="inlineStr">
        <is>
          <t>Dhaka, Dhakeshwari</t>
        </is>
      </c>
      <c r="D27" s="9" t="inlineStr">
        <is>
          <t>Visa required (unverified)</t>
        </is>
      </c>
      <c r="E27" s="9" t="inlineStr">
        <is>
          <t>-</t>
        </is>
      </c>
      <c r="F27" s="9" t="inlineStr">
        <is>
          <t>-</t>
        </is>
      </c>
      <c r="G27" s="9" t="inlineStr">
        <is>
          <t>n/a</t>
        </is>
      </c>
      <c r="H27" s="9" t="inlineStr">
        <is>
          <t>Medium</t>
        </is>
      </c>
      <c r="I27" s="11" t="inlineStr">
        <is>
          <t>Confirm</t>
        </is>
      </c>
      <c r="J27" s="9" t="inlineStr">
        <is>
          <t>not researched</t>
        </is>
      </c>
      <c r="K27" s="19" t="inlineStr">
        <is>
          <t>To check</t>
        </is>
      </c>
      <c r="L27" s="19" t="inlineStr"/>
    </row>
    <row r="28">
      <c r="A28" s="9" t="n">
        <v>24</v>
      </c>
      <c r="B28" s="9" t="inlineStr">
        <is>
          <t>Maldives</t>
        </is>
      </c>
      <c r="C28" s="9" t="inlineStr">
        <is>
          <t>-</t>
        </is>
      </c>
      <c r="D28" s="9" t="inlineStr">
        <is>
          <t>Free visa on arrival, usually 30 days (unverified)</t>
        </is>
      </c>
      <c r="E28" s="9" t="inlineStr">
        <is>
          <t>30 days</t>
        </is>
      </c>
      <c r="F28" s="9" t="inlineStr">
        <is>
          <t>Free</t>
        </is>
      </c>
      <c r="G28" s="9" t="inlineStr">
        <is>
          <t>n/a</t>
        </is>
      </c>
      <c r="H28" s="9" t="inlineStr">
        <is>
          <t>Low</t>
        </is>
      </c>
      <c r="I28" s="11" t="inlineStr">
        <is>
          <t>Confirm</t>
        </is>
      </c>
      <c r="J28" s="9" t="inlineStr">
        <is>
          <t>not researched</t>
        </is>
      </c>
      <c r="K28" s="19" t="inlineStr">
        <is>
          <t>To check</t>
        </is>
      </c>
      <c r="L28" s="19" t="inlineStr"/>
    </row>
    <row r="29">
      <c r="A29" s="9" t="n">
        <v>25</v>
      </c>
      <c r="B29" s="9" t="inlineStr">
        <is>
          <t>Singapore / South Korea / Macau</t>
        </is>
      </c>
      <c r="C29" s="9" t="inlineStr">
        <is>
          <t>-</t>
        </is>
      </c>
      <c r="D29" s="9" t="inlineStr">
        <is>
          <t>Visa required for Indian PP (background knowledge). Singapore: 96-hr transit visa-free if onward ticket + valid US/AU visa (see Access Map)</t>
        </is>
      </c>
      <c r="E29" s="9" t="inlineStr">
        <is>
          <t>-</t>
        </is>
      </c>
      <c r="F29" s="9" t="inlineStr">
        <is>
          <t>-</t>
        </is>
      </c>
      <c r="G29" s="9" t="inlineStr">
        <is>
          <t>YES (transit)</t>
        </is>
      </c>
      <c r="H29" s="9" t="inlineStr">
        <is>
          <t>Low</t>
        </is>
      </c>
      <c r="I29" s="11" t="inlineStr">
        <is>
          <t>Confirm</t>
        </is>
      </c>
      <c r="J29" s="9" t="inlineStr">
        <is>
          <t>not researched</t>
        </is>
      </c>
      <c r="K29" s="19" t="inlineStr">
        <is>
          <t>To check</t>
        </is>
      </c>
      <c r="L29" s="19" t="inlineStr"/>
    </row>
    <row r="30">
      <c r="A30" s="9" t="n">
        <v>26</v>
      </c>
      <c r="B30" s="9" t="inlineStr">
        <is>
          <t>UAE</t>
        </is>
      </c>
      <c r="C30" s="9" t="inlineStr">
        <is>
          <t>Dubai (ISKCON), transit hub</t>
        </is>
      </c>
      <c r="D30" s="9" t="inlineStr">
        <is>
          <t>Indians WITH valid US visa / Schengen / UK visa etc. may get visa on arrival 14 days; otherwise e-visa. Last used Aug 2024</t>
        </is>
      </c>
      <c r="E30" s="9" t="inlineStr">
        <is>
          <t>14 days VoA</t>
        </is>
      </c>
      <c r="F30" s="9" t="inlineStr">
        <is>
          <t>~Rs 7-9k e-visa</t>
        </is>
      </c>
      <c r="G30" s="9" t="inlineStr">
        <is>
          <t>YES - US visa (VoA)</t>
        </is>
      </c>
      <c r="H30" s="9" t="inlineStr">
        <is>
          <t>Medium</t>
        </is>
      </c>
      <c r="I30" s="11" t="inlineStr">
        <is>
          <t>Confirm</t>
        </is>
      </c>
      <c r="J30" s="9" t="inlineStr">
        <is>
          <t>Passport stamp 01 Aug 2024</t>
        </is>
      </c>
      <c r="K30" s="19" t="inlineStr">
        <is>
          <t>To check</t>
        </is>
      </c>
      <c r="L30" s="19" t="inlineStr"/>
    </row>
    <row r="31">
      <c r="A31" s="9" t="n">
        <v>27</v>
      </c>
      <c r="B31" s="9" t="inlineStr">
        <is>
          <t>UK</t>
        </is>
      </c>
      <c r="C31" s="9" t="inlineStr">
        <is>
          <t>ISKCON Bhaktivedanta Manor</t>
        </is>
      </c>
      <c r="D31" s="9" t="inlineStr">
        <is>
          <t>Standard Visitor visa required (ETA not applicable to Indians). EXPIRED 29 Dec 2024 - renew before next UK yatra</t>
        </is>
      </c>
      <c r="E31" s="9" t="inlineStr">
        <is>
          <t>6 months</t>
        </is>
      </c>
      <c r="F31" s="9" t="inlineStr">
        <is>
          <t>GBP 127 (6-mo) / 3 wks</t>
        </is>
      </c>
      <c r="G31" s="9" t="inlineStr">
        <is>
          <t>n/a</t>
        </is>
      </c>
      <c r="H31" s="9" t="inlineStr">
        <is>
          <t>HIGH - expired</t>
        </is>
      </c>
      <c r="I31" s="11" t="inlineStr">
        <is>
          <t>Confirm</t>
        </is>
      </c>
      <c r="J31" s="9" t="inlineStr">
        <is>
          <t>Passport p.23</t>
        </is>
      </c>
      <c r="K31" s="19" t="inlineStr">
        <is>
          <t>Expired</t>
        </is>
      </c>
      <c r="L31" s="19" t="inlineStr"/>
    </row>
    <row r="32">
      <c r="A32" s="9" t="n">
        <v>28</v>
      </c>
      <c r="B32" s="9" t="inlineStr">
        <is>
          <t>Schengen (Europe)</t>
        </is>
      </c>
      <c r="C32" s="9" t="inlineStr">
        <is>
          <t>ISKCON Europe, Radhadesh, Paris</t>
        </is>
      </c>
      <c r="D32" s="9" t="inlineStr">
        <is>
          <t>C-visa via France/VFS. Both visas EXPIRED (last 19 Apr 2026). EU cascade rule: after 2 lawful Schengen visas in 3 yrs -&gt; 2-yr multiple-entry visa, later 5-yr</t>
        </is>
      </c>
      <c r="E32" s="9" t="inlineStr">
        <is>
          <t>90/180 days</t>
        </is>
      </c>
      <c r="F32" s="9" t="inlineStr">
        <is>
          <t>EUR 90 / 15 days+</t>
        </is>
      </c>
      <c r="G32" s="9" t="inlineStr">
        <is>
          <t>n/a</t>
        </is>
      </c>
      <c r="H32" s="9" t="inlineStr">
        <is>
          <t>HIGH - expired</t>
        </is>
      </c>
      <c r="I32" s="9" t="inlineStr">
        <is>
          <t>Researched</t>
        </is>
      </c>
      <c r="J32" s="9" t="inlineStr">
        <is>
          <t>EEAS 18 Apr 2024; C(2024)2434</t>
        </is>
      </c>
      <c r="K32" s="19" t="inlineStr">
        <is>
          <t>Expired</t>
        </is>
      </c>
      <c r="L32" s="19" t="inlineStr"/>
    </row>
    <row r="33">
      <c r="A33" s="9" t="n">
        <v>29</v>
      </c>
      <c r="B33" s="9" t="inlineStr">
        <is>
          <t>USA</t>
        </is>
      </c>
      <c r="C33" s="9" t="inlineStr">
        <is>
          <t>ISKCON US temples</t>
        </is>
      </c>
      <c r="D33" s="9" t="inlineStr">
        <is>
          <t>B1/B2 held until 26 Dec 2034 (use passport in which it is stamped)</t>
        </is>
      </c>
      <c r="E33" s="9" t="inlineStr">
        <is>
          <t>Per CBP (up to 6 mo)</t>
        </is>
      </c>
      <c r="F33" s="9" t="inlineStr">
        <is>
          <t>-</t>
        </is>
      </c>
      <c r="G33" s="9" t="inlineStr">
        <is>
          <t>HELD</t>
        </is>
      </c>
      <c r="H33" s="9" t="inlineStr">
        <is>
          <t>Valid</t>
        </is>
      </c>
      <c r="I33" s="9" t="inlineStr">
        <is>
          <t>Researched</t>
        </is>
      </c>
      <c r="J33" s="9" t="inlineStr">
        <is>
          <t>Passport p.26</t>
        </is>
      </c>
      <c r="K33" s="19" t="inlineStr">
        <is>
          <t>Have</t>
        </is>
      </c>
      <c r="L33" s="19" t="inlineStr"/>
    </row>
    <row r="34">
      <c r="A34" s="9" t="n">
        <v>30</v>
      </c>
      <c r="B34" s="9" t="inlineStr">
        <is>
          <t>Australia</t>
        </is>
      </c>
      <c r="C34" s="9" t="inlineStr">
        <is>
          <t>Melbourne/Sydney temples</t>
        </is>
      </c>
      <c r="D34" s="9" t="inlineStr">
        <is>
          <t>Subclass 600 held to 13 Nov 2030. BUT 'Business Visitor' stream allows business enquiries/conferences only - pilgrimage/tourism normally needs the TOURIST stream. Confirm with Home Affairs before the Feb yatra</t>
        </is>
      </c>
      <c r="E34" s="9" t="inlineStr">
        <is>
          <t>3 months per arrival</t>
        </is>
      </c>
      <c r="F34" s="9" t="inlineStr">
        <is>
          <t>-</t>
        </is>
      </c>
      <c r="G34" s="9" t="inlineStr">
        <is>
          <t>HELD</t>
        </is>
      </c>
      <c r="H34" s="9" t="inlineStr">
        <is>
          <t>Valid (check stream)</t>
        </is>
      </c>
      <c r="I34" s="9" t="inlineStr">
        <is>
          <t>Researched</t>
        </is>
      </c>
      <c r="J34" s="9" t="inlineStr">
        <is>
          <t>VEVO 13 Nov 2025; BDO</t>
        </is>
      </c>
      <c r="K34" s="19" t="inlineStr">
        <is>
          <t>Have</t>
        </is>
      </c>
      <c r="L34" s="19" t="inlineStr"/>
    </row>
    <row r="35">
      <c r="A35" s="9" t="n">
        <v>31</v>
      </c>
      <c r="B35" s="9" t="inlineStr">
        <is>
          <t>Canada</t>
        </is>
      </c>
      <c r="C35" s="9" t="inlineStr">
        <is>
          <t>ISKCON Toronto</t>
        </is>
      </c>
      <c r="D35" s="9" t="inlineStr">
        <is>
          <t>TRV required for Indian PP (unverified)</t>
        </is>
      </c>
      <c r="E35" s="9" t="inlineStr">
        <is>
          <t>6 months</t>
        </is>
      </c>
      <c r="F35" s="9" t="inlineStr">
        <is>
          <t>CAD 100 / weeks</t>
        </is>
      </c>
      <c r="G35" s="9" t="inlineStr">
        <is>
          <t>n/a</t>
        </is>
      </c>
      <c r="H35" s="9" t="inlineStr">
        <is>
          <t>Medium</t>
        </is>
      </c>
      <c r="I35" s="11" t="inlineStr">
        <is>
          <t>Confirm</t>
        </is>
      </c>
      <c r="J35" s="9" t="inlineStr">
        <is>
          <t>not researched</t>
        </is>
      </c>
      <c r="K35" s="19" t="inlineStr">
        <is>
          <t>To check</t>
        </is>
      </c>
      <c r="L35" s="19" t="inlineStr"/>
    </row>
    <row r="36">
      <c r="A36" s="9" t="n">
        <v>32</v>
      </c>
      <c r="B36" s="9" t="inlineStr">
        <is>
          <t>New Zealand</t>
        </is>
      </c>
      <c r="C36" s="9" t="inlineStr">
        <is>
          <t>ISKCON Auckland</t>
        </is>
      </c>
      <c r="D36" s="9" t="inlineStr">
        <is>
          <t>Visitor visa required (NZeTA not valid for Indians) (unverified)</t>
        </is>
      </c>
      <c r="E36" s="9" t="inlineStr">
        <is>
          <t>-</t>
        </is>
      </c>
      <c r="F36" s="9" t="inlineStr">
        <is>
          <t>-</t>
        </is>
      </c>
      <c r="G36" s="9" t="inlineStr">
        <is>
          <t>n/a</t>
        </is>
      </c>
      <c r="H36" s="9" t="inlineStr">
        <is>
          <t>Low</t>
        </is>
      </c>
      <c r="I36" s="11" t="inlineStr">
        <is>
          <t>Confirm</t>
        </is>
      </c>
      <c r="J36" s="9" t="inlineStr">
        <is>
          <t>not researched</t>
        </is>
      </c>
      <c r="K36" s="19" t="inlineStr">
        <is>
          <t>To check</t>
        </is>
      </c>
      <c r="L36" s="19" t="inlineStr"/>
    </row>
  </sheetData>
  <autoFilter ref="A4:L36"/>
  <conditionalFormatting sqref="K5:K66">
    <cfRule type="cellIs" priority="1" operator="equal" dxfId="2">
      <formula>"Have"</formula>
    </cfRule>
    <cfRule type="cellIs" priority="2" operator="equal" dxfId="0">
      <formula>"Expired"</formula>
    </cfRule>
    <cfRule type="cellIs" priority="3" operator="equal" dxfId="1">
      <formula>"Need"</formula>
    </cfRule>
  </conditionalFormatting>
  <dataValidations count="1">
    <dataValidation sqref="K5:K66" showDropDown="0" showInputMessage="0" showErrorMessage="0" allowBlank="0" type="list">
      <formula1>"Have,Expired,Need,In progress,Not needed,To check"</formula1>
    </dataValidation>
  </dataValidations>
  <pageMargins left="0.75" right="0.75" top="1" bottom="1" header="0.5" footer="0.5"/>
</worksheet>
</file>

<file path=xl/worksheets/sheet8.xml><?xml version="1.0" encoding="utf-8"?>
<worksheet xmlns="http://schemas.openxmlformats.org/spreadsheetml/2006/main">
  <sheetPr>
    <tabColor rgb="001F2A44"/>
    <outlinePr summaryBelow="1" summaryRight="1"/>
    <pageSetUpPr/>
  </sheetPr>
  <dimension ref="A1:H112"/>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24" customWidth="1" min="3" max="3"/>
    <col width="52" customWidth="1" min="4" max="4"/>
    <col width="16" customWidth="1" min="5" max="5"/>
    <col width="26" customWidth="1" min="6" max="6"/>
    <col width="40" customWidth="1" min="7" max="7"/>
    <col width="60" customWidth="1" min="8" max="8"/>
  </cols>
  <sheetData>
    <row r="1">
      <c r="A1" s="1" t="inlineStr">
        <is>
          <t>Places Visited - MASTER list of cities &amp; sites already covered</t>
        </is>
      </c>
    </row>
    <row r="2">
      <c r="A2" s="2" t="inlineStr">
        <is>
          <t>Keep adding rows (one per site). Country Summary counts countries; this sheet counts cities and places. Rows saying 'if visited' / 'confirm' are guesses - delete or confirm.</t>
        </is>
      </c>
    </row>
    <row r="4">
      <c r="A4" s="3" t="inlineStr">
        <is>
          <t>#</t>
        </is>
      </c>
      <c r="B4" s="3" t="inlineStr">
        <is>
          <t>Country</t>
        </is>
      </c>
      <c r="C4" s="3" t="inlineStr">
        <is>
          <t>City / area</t>
        </is>
      </c>
      <c r="D4" s="3" t="inlineStr">
        <is>
          <t>Place / site</t>
        </is>
      </c>
      <c r="E4" s="3" t="inlineStr">
        <is>
          <t>Type</t>
        </is>
      </c>
      <c r="F4" s="3" t="inlineStr">
        <is>
          <t>Date / trip</t>
        </is>
      </c>
      <c r="G4" s="3" t="inlineStr">
        <is>
          <t>Source</t>
        </is>
      </c>
      <c r="H4" s="3" t="inlineStr">
        <is>
          <t>Notes</t>
        </is>
      </c>
    </row>
    <row r="5">
      <c r="A5" s="9" t="n">
        <v>1</v>
      </c>
      <c r="B5" s="9" t="inlineStr">
        <is>
          <t>United Kingdom</t>
        </is>
      </c>
      <c r="C5" s="9" t="inlineStr">
        <is>
          <t>London</t>
        </is>
      </c>
      <c r="D5" s="9" t="inlineStr">
        <is>
          <t>Arrival London (Gatwick)</t>
        </is>
      </c>
      <c r="E5" s="9" t="inlineStr">
        <is>
          <t>Transit hub</t>
        </is>
      </c>
      <c r="F5" s="9" t="inlineStr">
        <is>
          <t>27 Jul 2024</t>
        </is>
      </c>
      <c r="G5" s="9" t="inlineStr">
        <is>
          <t>Europe+London yatra, Jul 2024 (itinerary + passport stamps)</t>
        </is>
      </c>
      <c r="H5" s="9" t="inlineStr">
        <is>
          <t>Gatwick stamp 27 Jul 2024</t>
        </is>
      </c>
    </row>
    <row r="6">
      <c r="A6" s="9" t="n">
        <v>2</v>
      </c>
      <c r="B6" s="9" t="inlineStr">
        <is>
          <t>United Kingdom</t>
        </is>
      </c>
      <c r="C6" s="9" t="inlineStr">
        <is>
          <t>Watford (Aldenham)</t>
        </is>
      </c>
      <c r="D6" s="9" t="inlineStr">
        <is>
          <t>Bhaktivedanta Manor - Hare Krishna Temple</t>
        </is>
      </c>
      <c r="E6" s="9" t="inlineStr">
        <is>
          <t>ISKCON/Temple</t>
        </is>
      </c>
      <c r="F6" s="9" t="inlineStr">
        <is>
          <t>27 Jul-1 Aug 2024</t>
        </is>
      </c>
      <c r="G6" s="9" t="inlineStr">
        <is>
          <t>Europe+London yatra, Jul 2024 (itinerary + passport stamps)</t>
        </is>
      </c>
      <c r="H6" s="9" t="inlineStr">
        <is>
          <t>Prabhupada's UK centre, donated by George Harrison</t>
        </is>
      </c>
    </row>
    <row r="7">
      <c r="A7" s="9" t="n">
        <v>3</v>
      </c>
      <c r="B7" s="9" t="inlineStr">
        <is>
          <t>United Kingdom</t>
        </is>
      </c>
      <c r="C7" s="9" t="inlineStr">
        <is>
          <t>London</t>
        </is>
      </c>
      <c r="D7" s="9" t="inlineStr">
        <is>
          <t>Tower of London</t>
        </is>
      </c>
      <c r="E7" s="9" t="inlineStr">
        <is>
          <t>Landmark</t>
        </is>
      </c>
      <c r="F7" s="9" t="inlineStr">
        <is>
          <t>27 Jul-1 Aug 2024</t>
        </is>
      </c>
      <c r="G7" s="9" t="inlineStr">
        <is>
          <t>Europe+London yatra, Jul 2024 (itinerary + passport stamps)</t>
        </is>
      </c>
      <c r="H7" s="9" t="inlineStr"/>
    </row>
    <row r="8">
      <c r="A8" s="9" t="n">
        <v>4</v>
      </c>
      <c r="B8" s="9" t="inlineStr">
        <is>
          <t>United Kingdom</t>
        </is>
      </c>
      <c r="C8" s="9" t="inlineStr">
        <is>
          <t>London</t>
        </is>
      </c>
      <c r="D8" s="9" t="inlineStr">
        <is>
          <t>St Paul's Cathedral</t>
        </is>
      </c>
      <c r="E8" s="9" t="inlineStr">
        <is>
          <t>Landmark</t>
        </is>
      </c>
      <c r="F8" s="9" t="inlineStr">
        <is>
          <t>27 Jul-1 Aug 2024</t>
        </is>
      </c>
      <c r="G8" s="9" t="inlineStr">
        <is>
          <t>Europe+London yatra, Jul 2024 (itinerary + passport stamps)</t>
        </is>
      </c>
      <c r="H8" s="9" t="inlineStr"/>
    </row>
    <row r="9">
      <c r="A9" s="9" t="n">
        <v>5</v>
      </c>
      <c r="B9" s="9" t="inlineStr">
        <is>
          <t>United Kingdom</t>
        </is>
      </c>
      <c r="C9" s="9" t="inlineStr">
        <is>
          <t>London</t>
        </is>
      </c>
      <c r="D9" s="9" t="inlineStr">
        <is>
          <t>Buckingham Palace - Changing of the Guard</t>
        </is>
      </c>
      <c r="E9" s="9" t="inlineStr">
        <is>
          <t>Landmark</t>
        </is>
      </c>
      <c r="F9" s="9" t="inlineStr">
        <is>
          <t>27 Jul-1 Aug 2024</t>
        </is>
      </c>
      <c r="G9" s="9" t="inlineStr">
        <is>
          <t>Europe+London yatra, Jul 2024 (itinerary + passport stamps)</t>
        </is>
      </c>
      <c r="H9" s="9" t="inlineStr"/>
    </row>
    <row r="10">
      <c r="A10" s="9" t="n">
        <v>6</v>
      </c>
      <c r="B10" s="9" t="inlineStr">
        <is>
          <t>United Kingdom</t>
        </is>
      </c>
      <c r="C10" s="9" t="inlineStr">
        <is>
          <t>London</t>
        </is>
      </c>
      <c r="D10" s="9" t="inlineStr">
        <is>
          <t>London Eye</t>
        </is>
      </c>
      <c r="E10" s="9" t="inlineStr">
        <is>
          <t>Landmark</t>
        </is>
      </c>
      <c r="F10" s="9" t="inlineStr">
        <is>
          <t>27 Jul-1 Aug 2024</t>
        </is>
      </c>
      <c r="G10" s="9" t="inlineStr">
        <is>
          <t>Europe+London yatra, Jul 2024 (itinerary + passport stamps)</t>
        </is>
      </c>
      <c r="H10" s="9" t="inlineStr"/>
    </row>
    <row r="11">
      <c r="A11" s="9" t="n">
        <v>7</v>
      </c>
      <c r="B11" s="9" t="inlineStr">
        <is>
          <t>United Kingdom</t>
        </is>
      </c>
      <c r="C11" s="9" t="inlineStr">
        <is>
          <t>London</t>
        </is>
      </c>
      <c r="D11" s="9" t="inlineStr">
        <is>
          <t>River Thames cruise</t>
        </is>
      </c>
      <c r="E11" s="9" t="inlineStr">
        <is>
          <t>Cruise/Ride</t>
        </is>
      </c>
      <c r="F11" s="9" t="inlineStr">
        <is>
          <t>27 Jul-1 Aug 2024</t>
        </is>
      </c>
      <c r="G11" s="9" t="inlineStr">
        <is>
          <t>Europe+London yatra, Jul 2024 (itinerary + passport stamps)</t>
        </is>
      </c>
      <c r="H11" s="9" t="inlineStr"/>
    </row>
    <row r="12">
      <c r="A12" s="9" t="n">
        <v>8</v>
      </c>
      <c r="B12" s="9" t="inlineStr">
        <is>
          <t>United Kingdom</t>
        </is>
      </c>
      <c r="C12" s="9" t="inlineStr">
        <is>
          <t>London</t>
        </is>
      </c>
      <c r="D12" s="9" t="inlineStr">
        <is>
          <t>Madame Tussauds</t>
        </is>
      </c>
      <c r="E12" s="9" t="inlineStr">
        <is>
          <t>Museum</t>
        </is>
      </c>
      <c r="F12" s="9" t="inlineStr">
        <is>
          <t>27 Jul-1 Aug 2024</t>
        </is>
      </c>
      <c r="G12" s="9" t="inlineStr">
        <is>
          <t>Europe+London yatra, Jul 2024 (itinerary + passport stamps)</t>
        </is>
      </c>
      <c r="H12" s="9" t="inlineStr"/>
    </row>
    <row r="13">
      <c r="A13" s="9" t="n">
        <v>9</v>
      </c>
      <c r="B13" s="9" t="inlineStr">
        <is>
          <t>United Kingdom</t>
        </is>
      </c>
      <c r="C13" s="9" t="inlineStr">
        <is>
          <t>London</t>
        </is>
      </c>
      <c r="D13" s="9" t="inlineStr">
        <is>
          <t>London Bridge / Tower Bridge area</t>
        </is>
      </c>
      <c r="E13" s="9" t="inlineStr">
        <is>
          <t>Landmark</t>
        </is>
      </c>
      <c r="F13" s="9" t="inlineStr">
        <is>
          <t>27 Jul-1 Aug 2024</t>
        </is>
      </c>
      <c r="G13" s="9" t="inlineStr">
        <is>
          <t>Europe+London yatra, Jul 2024 (itinerary + passport stamps)</t>
        </is>
      </c>
      <c r="H13" s="9" t="inlineStr"/>
    </row>
    <row r="14">
      <c r="A14" s="9" t="n">
        <v>10</v>
      </c>
      <c r="B14" s="9" t="inlineStr">
        <is>
          <t>United Kingdom</t>
        </is>
      </c>
      <c r="C14" s="9" t="inlineStr">
        <is>
          <t>London</t>
        </is>
      </c>
      <c r="D14" s="9" t="inlineStr">
        <is>
          <t>Big Ben &amp; Houses of Parliament (viewed)</t>
        </is>
      </c>
      <c r="E14" s="9" t="inlineStr">
        <is>
          <t>Landmark</t>
        </is>
      </c>
      <c r="F14" s="9" t="inlineStr">
        <is>
          <t>27 Jul-1 Aug 2024</t>
        </is>
      </c>
      <c r="G14" s="9" t="inlineStr">
        <is>
          <t>Europe+London yatra, Jul 2024 (itinerary + passport stamps)</t>
        </is>
      </c>
      <c r="H14" s="9" t="inlineStr">
        <is>
          <t>Seen from London Eye / cruise</t>
        </is>
      </c>
    </row>
    <row r="15">
      <c r="A15" s="9" t="n">
        <v>11</v>
      </c>
      <c r="B15" s="9" t="inlineStr">
        <is>
          <t>France</t>
        </is>
      </c>
      <c r="C15" s="9" t="inlineStr">
        <is>
          <t>Paris</t>
        </is>
      </c>
      <c r="D15" s="9" t="inlineStr">
        <is>
          <t>Arrival Paris CDG</t>
        </is>
      </c>
      <c r="E15" s="9" t="inlineStr">
        <is>
          <t>Transit hub</t>
        </is>
      </c>
      <c r="F15" s="9" t="inlineStr">
        <is>
          <t>15 Jul 2024</t>
        </is>
      </c>
      <c r="G15" s="9" t="inlineStr">
        <is>
          <t>Europe+London yatra, Jul 2024 (itinerary + passport stamps)</t>
        </is>
      </c>
      <c r="H15" s="9" t="inlineStr">
        <is>
          <t>CDG stamp 15 Jul 2024</t>
        </is>
      </c>
    </row>
    <row r="16">
      <c r="A16" s="9" t="n">
        <v>12</v>
      </c>
      <c r="B16" s="9" t="inlineStr">
        <is>
          <t>France</t>
        </is>
      </c>
      <c r="C16" s="9" t="inlineStr">
        <is>
          <t>Paris</t>
        </is>
      </c>
      <c r="D16" s="9" t="inlineStr">
        <is>
          <t>Seine River cruise</t>
        </is>
      </c>
      <c r="E16" s="9" t="inlineStr">
        <is>
          <t>Cruise/Ride</t>
        </is>
      </c>
      <c r="F16" s="9" t="inlineStr">
        <is>
          <t>15 Jul 2024</t>
        </is>
      </c>
      <c r="G16" s="9" t="inlineStr">
        <is>
          <t>Europe+London yatra, Jul 2024 (itinerary + passport stamps)</t>
        </is>
      </c>
      <c r="H16" s="9" t="inlineStr"/>
    </row>
    <row r="17">
      <c r="A17" s="9" t="n">
        <v>13</v>
      </c>
      <c r="B17" s="9" t="inlineStr">
        <is>
          <t>France</t>
        </is>
      </c>
      <c r="C17" s="9" t="inlineStr">
        <is>
          <t>Paris</t>
        </is>
      </c>
      <c r="D17" s="9" t="inlineStr">
        <is>
          <t>Eiffel Tower (2nd floor)</t>
        </is>
      </c>
      <c r="E17" s="9" t="inlineStr">
        <is>
          <t>Landmark</t>
        </is>
      </c>
      <c r="F17" s="9" t="inlineStr">
        <is>
          <t>16 Jul 2024</t>
        </is>
      </c>
      <c r="G17" s="9" t="inlineStr">
        <is>
          <t>Europe+London yatra, Jul 2024 (itinerary + passport stamps)</t>
        </is>
      </c>
      <c r="H17" s="9" t="inlineStr"/>
    </row>
    <row r="18">
      <c r="A18" s="9" t="n">
        <v>14</v>
      </c>
      <c r="B18" s="9" t="inlineStr">
        <is>
          <t>France</t>
        </is>
      </c>
      <c r="C18" s="9" t="inlineStr">
        <is>
          <t>Paris</t>
        </is>
      </c>
      <c r="D18" s="9" t="inlineStr">
        <is>
          <t>Louvre Museum (Mona Lisa, Venus de Milo)</t>
        </is>
      </c>
      <c r="E18" s="9" t="inlineStr">
        <is>
          <t>Museum</t>
        </is>
      </c>
      <c r="F18" s="9" t="inlineStr">
        <is>
          <t>16 Jul 2024</t>
        </is>
      </c>
      <c r="G18" s="9" t="inlineStr">
        <is>
          <t>Europe+London yatra, Jul 2024 (itinerary + passport stamps)</t>
        </is>
      </c>
      <c r="H18" s="9" t="inlineStr"/>
    </row>
    <row r="19">
      <c r="A19" s="9" t="n">
        <v>15</v>
      </c>
      <c r="B19" s="9" t="inlineStr">
        <is>
          <t>France</t>
        </is>
      </c>
      <c r="C19" s="9" t="inlineStr">
        <is>
          <t>Paris</t>
        </is>
      </c>
      <c r="D19" s="9" t="inlineStr">
        <is>
          <t>Arc de Triomphe, Champs-Elysees, Place de la Concorde</t>
        </is>
      </c>
      <c r="E19" s="9" t="inlineStr">
        <is>
          <t>City tour</t>
        </is>
      </c>
      <c r="F19" s="9" t="inlineStr">
        <is>
          <t>16 Jul 2024</t>
        </is>
      </c>
      <c r="G19" s="9" t="inlineStr">
        <is>
          <t>Europe+London yatra, Jul 2024 (itinerary + passport stamps)</t>
        </is>
      </c>
      <c r="H19" s="9" t="inlineStr"/>
    </row>
    <row r="20">
      <c r="A20" s="9" t="n">
        <v>16</v>
      </c>
      <c r="B20" s="9" t="inlineStr">
        <is>
          <t>France</t>
        </is>
      </c>
      <c r="C20" s="9" t="inlineStr">
        <is>
          <t>Paris</t>
        </is>
      </c>
      <c r="D20" s="9" t="inlineStr">
        <is>
          <t>Montmartre, Latin Quarter, Le Marais</t>
        </is>
      </c>
      <c r="E20" s="9" t="inlineStr">
        <is>
          <t>City tour</t>
        </is>
      </c>
      <c r="F20" s="9" t="inlineStr">
        <is>
          <t>16 Jul 2024</t>
        </is>
      </c>
      <c r="G20" s="9" t="inlineStr">
        <is>
          <t>Europe+London yatra, Jul 2024 (itinerary + passport stamps)</t>
        </is>
      </c>
      <c r="H20" s="9" t="inlineStr"/>
    </row>
    <row r="21">
      <c r="A21" s="9" t="n">
        <v>17</v>
      </c>
      <c r="B21" s="9" t="inlineStr">
        <is>
          <t>France</t>
        </is>
      </c>
      <c r="C21" s="9" t="inlineStr">
        <is>
          <t>Paris</t>
        </is>
      </c>
      <c r="D21" s="9" t="inlineStr">
        <is>
          <t>Notre-Dame (viewed from Seine)</t>
        </is>
      </c>
      <c r="E21" s="9" t="inlineStr">
        <is>
          <t>Landmark</t>
        </is>
      </c>
      <c r="F21" s="9" t="inlineStr">
        <is>
          <t>15 Jul 2024</t>
        </is>
      </c>
      <c r="G21" s="9" t="inlineStr">
        <is>
          <t>Europe+London yatra, Jul 2024 (itinerary + passport stamps)</t>
        </is>
      </c>
      <c r="H21" s="9" t="inlineStr"/>
    </row>
    <row r="22">
      <c r="A22" s="9" t="n">
        <v>18</v>
      </c>
      <c r="B22" s="9" t="inlineStr">
        <is>
          <t>France</t>
        </is>
      </c>
      <c r="C22" s="9" t="inlineStr">
        <is>
          <t>Lucay-le-Male (Indre)</t>
        </is>
      </c>
      <c r="D22" s="9" t="inlineStr">
        <is>
          <t>ISKCON New Mayapur (Nouvelle Mayapura)</t>
        </is>
      </c>
      <c r="E22" s="9" t="inlineStr">
        <is>
          <t>ISKCON/Temple</t>
        </is>
      </c>
      <c r="F22" s="9" t="inlineStr">
        <is>
          <t>17 Jul 2024</t>
        </is>
      </c>
      <c r="G22" s="9" t="inlineStr">
        <is>
          <t>Europe+London yatra, Jul 2024 (itinerary + passport stamps)</t>
        </is>
      </c>
      <c r="H22" s="9" t="inlineStr">
        <is>
          <t>Itinerary calls it 'outskirts of Paris'; it is ~250 km south</t>
        </is>
      </c>
    </row>
    <row r="23">
      <c r="A23" s="9" t="n">
        <v>19</v>
      </c>
      <c r="B23" s="9" t="inlineStr">
        <is>
          <t>France</t>
        </is>
      </c>
      <c r="C23" s="9" t="inlineStr">
        <is>
          <t>Paris</t>
        </is>
      </c>
      <c r="D23" s="11" t="inlineStr">
        <is>
          <t>ISKCON Paris (Sarcelles) - if visited</t>
        </is>
      </c>
      <c r="E23" s="9" t="inlineStr">
        <is>
          <t>ISKCON/Temple</t>
        </is>
      </c>
      <c r="F23" s="9" t="inlineStr">
        <is>
          <t>15-17 Jul 2024</t>
        </is>
      </c>
      <c r="G23" s="9" t="inlineStr">
        <is>
          <t>Europe+London yatra, Jul 2024 (itinerary + passport stamps)</t>
        </is>
      </c>
      <c r="H23" s="9" t="inlineStr">
        <is>
          <t>Not in itinerary - delete if not visited</t>
        </is>
      </c>
    </row>
    <row r="24">
      <c r="A24" s="9" t="n">
        <v>20</v>
      </c>
      <c r="B24" s="9" t="inlineStr">
        <is>
          <t>Belgium</t>
        </is>
      </c>
      <c r="C24" s="9" t="inlineStr">
        <is>
          <t>Brussels</t>
        </is>
      </c>
      <c r="D24" s="9" t="inlineStr">
        <is>
          <t>Grand Place &amp; Town Hall</t>
        </is>
      </c>
      <c r="E24" s="9" t="inlineStr">
        <is>
          <t>Landmark</t>
        </is>
      </c>
      <c r="F24" s="9" t="inlineStr">
        <is>
          <t>18 Jul 2024</t>
        </is>
      </c>
      <c r="G24" s="9" t="inlineStr">
        <is>
          <t>Europe+London yatra, Jul 2024 (itinerary + passport stamps)</t>
        </is>
      </c>
      <c r="H24" s="9" t="inlineStr"/>
    </row>
    <row r="25">
      <c r="A25" s="9" t="n">
        <v>21</v>
      </c>
      <c r="B25" s="9" t="inlineStr">
        <is>
          <t>Belgium</t>
        </is>
      </c>
      <c r="C25" s="9" t="inlineStr">
        <is>
          <t>Brussels</t>
        </is>
      </c>
      <c r="D25" s="9" t="inlineStr">
        <is>
          <t>Manneken Pis</t>
        </is>
      </c>
      <c r="E25" s="9" t="inlineStr">
        <is>
          <t>Landmark</t>
        </is>
      </c>
      <c r="F25" s="9" t="inlineStr">
        <is>
          <t>18 Jul 2024</t>
        </is>
      </c>
      <c r="G25" s="9" t="inlineStr">
        <is>
          <t>Europe+London yatra, Jul 2024 (itinerary + passport stamps)</t>
        </is>
      </c>
      <c r="H25" s="9" t="inlineStr"/>
    </row>
    <row r="26">
      <c r="A26" s="9" t="n">
        <v>22</v>
      </c>
      <c r="B26" s="9" t="inlineStr">
        <is>
          <t>Belgium</t>
        </is>
      </c>
      <c r="C26" s="9" t="inlineStr">
        <is>
          <t>Durbuy (Septon)</t>
        </is>
      </c>
      <c r="D26" s="9" t="inlineStr">
        <is>
          <t>ISKCON Radhadesh (Chateau de Petite Somme)</t>
        </is>
      </c>
      <c r="E26" s="9" t="inlineStr">
        <is>
          <t>ISKCON/Temple</t>
        </is>
      </c>
      <c r="F26" s="9" t="inlineStr">
        <is>
          <t>18 Jul 2024</t>
        </is>
      </c>
      <c r="G26" s="9" t="inlineStr">
        <is>
          <t>Europe+London yatra, Jul 2024 (itinerary + passport stamps)</t>
        </is>
      </c>
      <c r="H26" s="9" t="inlineStr">
        <is>
          <t>Bhaktivedanta College campus, Ardennes</t>
        </is>
      </c>
    </row>
    <row r="27">
      <c r="A27" s="9" t="n">
        <v>23</v>
      </c>
      <c r="B27" s="9" t="inlineStr">
        <is>
          <t>Netherlands</t>
        </is>
      </c>
      <c r="C27" s="9" t="inlineStr">
        <is>
          <t>Amsterdam</t>
        </is>
      </c>
      <c r="D27" s="9" t="inlineStr">
        <is>
          <t>Canal cruise</t>
        </is>
      </c>
      <c r="E27" s="9" t="inlineStr">
        <is>
          <t>Cruise/Ride</t>
        </is>
      </c>
      <c r="F27" s="9" t="inlineStr">
        <is>
          <t>19 Jul 2024</t>
        </is>
      </c>
      <c r="G27" s="9" t="inlineStr">
        <is>
          <t>Europe+London yatra, Jul 2024 (itinerary + passport stamps)</t>
        </is>
      </c>
      <c r="H27" s="9" t="inlineStr"/>
    </row>
    <row r="28">
      <c r="A28" s="9" t="n">
        <v>24</v>
      </c>
      <c r="B28" s="9" t="inlineStr">
        <is>
          <t>Netherlands</t>
        </is>
      </c>
      <c r="C28" s="9" t="inlineStr">
        <is>
          <t>Amsterdam</t>
        </is>
      </c>
      <c r="D28" s="9" t="inlineStr">
        <is>
          <t>Dam Square &amp; Royal Palace</t>
        </is>
      </c>
      <c r="E28" s="9" t="inlineStr">
        <is>
          <t>Landmark</t>
        </is>
      </c>
      <c r="F28" s="9" t="inlineStr">
        <is>
          <t>19 Jul 2024</t>
        </is>
      </c>
      <c r="G28" s="9" t="inlineStr">
        <is>
          <t>Europe+London yatra, Jul 2024 (itinerary + passport stamps)</t>
        </is>
      </c>
      <c r="H28" s="9" t="inlineStr"/>
    </row>
    <row r="29">
      <c r="A29" s="9" t="n">
        <v>25</v>
      </c>
      <c r="B29" s="9" t="inlineStr">
        <is>
          <t>Netherlands</t>
        </is>
      </c>
      <c r="C29" s="9" t="inlineStr">
        <is>
          <t>Amsterdam</t>
        </is>
      </c>
      <c r="D29" s="9" t="inlineStr">
        <is>
          <t>Anne Frank House (exterior)</t>
        </is>
      </c>
      <c r="E29" s="9" t="inlineStr">
        <is>
          <t>Landmark</t>
        </is>
      </c>
      <c r="F29" s="9" t="inlineStr">
        <is>
          <t>19 Jul 2024</t>
        </is>
      </c>
      <c r="G29" s="9" t="inlineStr">
        <is>
          <t>Europe+London yatra, Jul 2024 (itinerary + passport stamps)</t>
        </is>
      </c>
      <c r="H29" s="9" t="inlineStr"/>
    </row>
    <row r="30">
      <c r="A30" s="9" t="n">
        <v>26</v>
      </c>
      <c r="B30" s="9" t="inlineStr">
        <is>
          <t>Netherlands</t>
        </is>
      </c>
      <c r="C30" s="9" t="inlineStr">
        <is>
          <t>Amsterdam</t>
        </is>
      </c>
      <c r="D30" s="9" t="inlineStr">
        <is>
          <t>Jordaan district</t>
        </is>
      </c>
      <c r="E30" s="9" t="inlineStr">
        <is>
          <t>City tour</t>
        </is>
      </c>
      <c r="F30" s="9" t="inlineStr">
        <is>
          <t>19 Jul 2024</t>
        </is>
      </c>
      <c r="G30" s="9" t="inlineStr">
        <is>
          <t>Europe+London yatra, Jul 2024 (itinerary + passport stamps)</t>
        </is>
      </c>
      <c r="H30" s="9" t="inlineStr"/>
    </row>
    <row r="31">
      <c r="A31" s="9" t="n">
        <v>27</v>
      </c>
      <c r="B31" s="9" t="inlineStr">
        <is>
          <t>Netherlands / Germany</t>
        </is>
      </c>
      <c r="C31" s="9" t="inlineStr">
        <is>
          <t>(countryside)</t>
        </is>
      </c>
      <c r="D31" s="11" t="inlineStr">
        <is>
          <t>'Hare Krishna Valley' temple (per itinerary)</t>
        </is>
      </c>
      <c r="E31" s="9" t="inlineStr">
        <is>
          <t>ISKCON/Temple</t>
        </is>
      </c>
      <c r="F31" s="9" t="inlineStr">
        <is>
          <t>20 Jul 2024</t>
        </is>
      </c>
      <c r="G31" s="9" t="inlineStr">
        <is>
          <t>Europe+London yatra, Jul 2024 (itinerary + passport stamps)</t>
        </is>
      </c>
      <c r="H31" s="9" t="inlineStr">
        <is>
          <t>Itinerary name is vague - confirm which temple (e.g. ISKCON Amsterdam, Simhachalam/Germany, Goloka Dhama/Abentheuer). Edit country when known.</t>
        </is>
      </c>
    </row>
    <row r="32">
      <c r="A32" s="9" t="n">
        <v>28</v>
      </c>
      <c r="B32" s="9" t="inlineStr">
        <is>
          <t>Germany</t>
        </is>
      </c>
      <c r="C32" s="9" t="inlineStr">
        <is>
          <t>Cologne</t>
        </is>
      </c>
      <c r="D32" s="9" t="inlineStr">
        <is>
          <t>Cologne Cathedral &amp; Old Town</t>
        </is>
      </c>
      <c r="E32" s="9" t="inlineStr">
        <is>
          <t>Landmark</t>
        </is>
      </c>
      <c r="F32" s="9" t="inlineStr">
        <is>
          <t>20 Jul 2024</t>
        </is>
      </c>
      <c r="G32" s="9" t="inlineStr">
        <is>
          <t>Europe+London yatra, Jul 2024 (itinerary + passport stamps)</t>
        </is>
      </c>
      <c r="H32" s="9" t="inlineStr"/>
    </row>
    <row r="33">
      <c r="A33" s="9" t="n">
        <v>29</v>
      </c>
      <c r="B33" s="9" t="inlineStr">
        <is>
          <t>Germany</t>
        </is>
      </c>
      <c r="C33" s="9" t="inlineStr">
        <is>
          <t>Black Forest</t>
        </is>
      </c>
      <c r="D33" s="9" t="inlineStr">
        <is>
          <t>Black Forest drive</t>
        </is>
      </c>
      <c r="E33" s="9" t="inlineStr">
        <is>
          <t>Nature</t>
        </is>
      </c>
      <c r="F33" s="9" t="inlineStr">
        <is>
          <t>21 Jul 2024</t>
        </is>
      </c>
      <c r="G33" s="9" t="inlineStr">
        <is>
          <t>Europe+London yatra, Jul 2024 (itinerary + passport stamps)</t>
        </is>
      </c>
      <c r="H33" s="9" t="inlineStr"/>
    </row>
    <row r="34">
      <c r="A34" s="9" t="n">
        <v>30</v>
      </c>
      <c r="B34" s="9" t="inlineStr">
        <is>
          <t>Germany</t>
        </is>
      </c>
      <c r="C34" s="9" t="inlineStr">
        <is>
          <t>Triberg</t>
        </is>
      </c>
      <c r="D34" s="9" t="inlineStr">
        <is>
          <t>Triberg - cuckoo clock shop (and falls area)</t>
        </is>
      </c>
      <c r="E34" s="9" t="inlineStr">
        <is>
          <t>Landmark</t>
        </is>
      </c>
      <c r="F34" s="9" t="inlineStr">
        <is>
          <t>21 Jul 2024</t>
        </is>
      </c>
      <c r="G34" s="9" t="inlineStr">
        <is>
          <t>Europe+London yatra, Jul 2024 (itinerary + passport stamps)</t>
        </is>
      </c>
      <c r="H34" s="9" t="inlineStr"/>
    </row>
    <row r="35">
      <c r="A35" s="9" t="n">
        <v>31</v>
      </c>
      <c r="B35" s="9" t="inlineStr">
        <is>
          <t>Switzerland</t>
        </is>
      </c>
      <c r="C35" s="9" t="inlineStr">
        <is>
          <t>Neuhausen am Rheinfall</t>
        </is>
      </c>
      <c r="D35" s="9" t="inlineStr">
        <is>
          <t>Rhine Falls (Europe's largest waterfall)</t>
        </is>
      </c>
      <c r="E35" s="9" t="inlineStr">
        <is>
          <t>Nature</t>
        </is>
      </c>
      <c r="F35" s="9" t="inlineStr">
        <is>
          <t>21 Jul 2024</t>
        </is>
      </c>
      <c r="G35" s="9" t="inlineStr">
        <is>
          <t>Europe+London yatra, Jul 2024 (itinerary + passport stamps)</t>
        </is>
      </c>
      <c r="H35" s="9" t="inlineStr">
        <is>
          <t>Swiss side of the German border</t>
        </is>
      </c>
    </row>
    <row r="36">
      <c r="A36" s="9" t="n">
        <v>32</v>
      </c>
      <c r="B36" s="9" t="inlineStr">
        <is>
          <t>Switzerland</t>
        </is>
      </c>
      <c r="C36" s="9" t="inlineStr">
        <is>
          <t>Zurich</t>
        </is>
      </c>
      <c r="D36" s="9" t="inlineStr">
        <is>
          <t>Zurich Old Town</t>
        </is>
      </c>
      <c r="E36" s="9" t="inlineStr">
        <is>
          <t>City tour</t>
        </is>
      </c>
      <c r="F36" s="9" t="inlineStr">
        <is>
          <t>21 Jul 2024</t>
        </is>
      </c>
      <c r="G36" s="9" t="inlineStr">
        <is>
          <t>Europe+London yatra, Jul 2024 (itinerary + passport stamps)</t>
        </is>
      </c>
      <c r="H36" s="9" t="inlineStr"/>
    </row>
    <row r="37">
      <c r="A37" s="9" t="n">
        <v>33</v>
      </c>
      <c r="B37" s="9" t="inlineStr">
        <is>
          <t>Switzerland</t>
        </is>
      </c>
      <c r="C37" s="9" t="inlineStr">
        <is>
          <t>Lucerne</t>
        </is>
      </c>
      <c r="D37" s="9" t="inlineStr">
        <is>
          <t>Chapel Bridge, Water Tower, Lake Lucerne, Old Town</t>
        </is>
      </c>
      <c r="E37" s="9" t="inlineStr">
        <is>
          <t>Landmark</t>
        </is>
      </c>
      <c r="F37" s="9" t="inlineStr">
        <is>
          <t>22 Jul 2024</t>
        </is>
      </c>
      <c r="G37" s="9" t="inlineStr">
        <is>
          <t>Europe+London yatra, Jul 2024 (itinerary + passport stamps)</t>
        </is>
      </c>
      <c r="H37" s="9" t="inlineStr"/>
    </row>
    <row r="38">
      <c r="A38" s="9" t="n">
        <v>34</v>
      </c>
      <c r="B38" s="9" t="inlineStr">
        <is>
          <t>Switzerland</t>
        </is>
      </c>
      <c r="C38" s="9" t="inlineStr">
        <is>
          <t>Engelberg</t>
        </is>
      </c>
      <c r="D38" s="9" t="inlineStr">
        <is>
          <t>Mt Titlis - Rotair cable car, Cliff Walk, Ice Flyer</t>
        </is>
      </c>
      <c r="E38" s="9" t="inlineStr">
        <is>
          <t>Nature</t>
        </is>
      </c>
      <c r="F38" s="9" t="inlineStr">
        <is>
          <t>22 Jul 2024</t>
        </is>
      </c>
      <c r="G38" s="9" t="inlineStr">
        <is>
          <t>Europe+London yatra, Jul 2024 (itinerary + passport stamps)</t>
        </is>
      </c>
      <c r="H38" s="9" t="inlineStr"/>
    </row>
    <row r="39">
      <c r="A39" s="9" t="n">
        <v>35</v>
      </c>
      <c r="B39" s="9" t="inlineStr">
        <is>
          <t>Switzerland</t>
        </is>
      </c>
      <c r="C39" s="9" t="inlineStr">
        <is>
          <t>Zurich</t>
        </is>
      </c>
      <c r="D39" s="11" t="inlineStr">
        <is>
          <t>ISKCON Zurich (Krishna Tempel) - if visited</t>
        </is>
      </c>
      <c r="E39" s="9" t="inlineStr">
        <is>
          <t>ISKCON/Temple</t>
        </is>
      </c>
      <c r="F39" s="9" t="inlineStr">
        <is>
          <t>21-22 Jul 2024</t>
        </is>
      </c>
      <c r="G39" s="9" t="inlineStr">
        <is>
          <t>Europe+London yatra, Jul 2024 (itinerary + passport stamps)</t>
        </is>
      </c>
      <c r="H39" s="9" t="inlineStr">
        <is>
          <t>Not in itinerary - delete if not visited</t>
        </is>
      </c>
    </row>
    <row r="40">
      <c r="A40" s="9" t="n">
        <v>36</v>
      </c>
      <c r="B40" s="9" t="inlineStr">
        <is>
          <t>Italy</t>
        </is>
      </c>
      <c r="C40" s="9" t="inlineStr">
        <is>
          <t>Milan</t>
        </is>
      </c>
      <c r="D40" s="9" t="inlineStr">
        <is>
          <t>Villaggio Hare Krishna (Chignolo d'Isola)</t>
        </is>
      </c>
      <c r="E40" s="9" t="inlineStr">
        <is>
          <t>ISKCON/Temple</t>
        </is>
      </c>
      <c r="F40" s="9" t="inlineStr">
        <is>
          <t>23 Jul 2024</t>
        </is>
      </c>
      <c r="G40" s="9" t="inlineStr">
        <is>
          <t>Europe+London yatra, Jul 2024 (itinerary + passport stamps)</t>
        </is>
      </c>
      <c r="H40" s="9" t="inlineStr">
        <is>
          <t>ISKCON Milan farm community</t>
        </is>
      </c>
    </row>
    <row r="41">
      <c r="A41" s="9" t="n">
        <v>37</v>
      </c>
      <c r="B41" s="9" t="inlineStr">
        <is>
          <t>Italy</t>
        </is>
      </c>
      <c r="C41" s="9" t="inlineStr">
        <is>
          <t>Milan</t>
        </is>
      </c>
      <c r="D41" s="9" t="inlineStr">
        <is>
          <t>Duomo di Milano, Galleria Vittorio Emanuele II, Sforza Castle, Brera</t>
        </is>
      </c>
      <c r="E41" s="9" t="inlineStr">
        <is>
          <t>City tour</t>
        </is>
      </c>
      <c r="F41" s="9" t="inlineStr">
        <is>
          <t>23 Jul 2024</t>
        </is>
      </c>
      <c r="G41" s="9" t="inlineStr">
        <is>
          <t>Europe+London yatra, Jul 2024 (itinerary + passport stamps)</t>
        </is>
      </c>
      <c r="H41" s="9" t="inlineStr"/>
    </row>
    <row r="42">
      <c r="A42" s="9" t="n">
        <v>38</v>
      </c>
      <c r="B42" s="9" t="inlineStr">
        <is>
          <t>Italy</t>
        </is>
      </c>
      <c r="C42" s="9" t="inlineStr">
        <is>
          <t>Padova</t>
        </is>
      </c>
      <c r="D42" s="9" t="inlineStr">
        <is>
          <t>Padova (overnight base)</t>
        </is>
      </c>
      <c r="E42" s="9" t="inlineStr">
        <is>
          <t>City tour</t>
        </is>
      </c>
      <c r="F42" s="9" t="inlineStr">
        <is>
          <t>24 Jul 2024</t>
        </is>
      </c>
      <c r="G42" s="9" t="inlineStr">
        <is>
          <t>Europe+London yatra, Jul 2024 (itinerary + passport stamps)</t>
        </is>
      </c>
      <c r="H42" s="9" t="inlineStr">
        <is>
          <t>Prato della Valle / St Anthony basilica if seen</t>
        </is>
      </c>
    </row>
    <row r="43">
      <c r="A43" s="9" t="n">
        <v>39</v>
      </c>
      <c r="B43" s="9" t="inlineStr">
        <is>
          <t>Italy</t>
        </is>
      </c>
      <c r="C43" s="9" t="inlineStr">
        <is>
          <t>Venice</t>
        </is>
      </c>
      <c r="D43" s="9" t="inlineStr">
        <is>
          <t>Gondola ride</t>
        </is>
      </c>
      <c r="E43" s="9" t="inlineStr">
        <is>
          <t>Cruise/Ride</t>
        </is>
      </c>
      <c r="F43" s="9" t="inlineStr">
        <is>
          <t>24 Jul 2024</t>
        </is>
      </c>
      <c r="G43" s="9" t="inlineStr">
        <is>
          <t>Europe+London yatra, Jul 2024 (itinerary + passport stamps)</t>
        </is>
      </c>
      <c r="H43" s="9" t="inlineStr"/>
    </row>
    <row r="44">
      <c r="A44" s="9" t="n">
        <v>40</v>
      </c>
      <c r="B44" s="9" t="inlineStr">
        <is>
          <t>Italy</t>
        </is>
      </c>
      <c r="C44" s="9" t="inlineStr">
        <is>
          <t>Venice</t>
        </is>
      </c>
      <c r="D44" s="9" t="inlineStr">
        <is>
          <t>St Mark's Square, Doge's Palace, Rialto Bridge</t>
        </is>
      </c>
      <c r="E44" s="9" t="inlineStr">
        <is>
          <t>Landmark</t>
        </is>
      </c>
      <c r="F44" s="9" t="inlineStr">
        <is>
          <t>24 Jul 2024</t>
        </is>
      </c>
      <c r="G44" s="9" t="inlineStr">
        <is>
          <t>Europe+London yatra, Jul 2024 (itinerary + passport stamps)</t>
        </is>
      </c>
      <c r="H44" s="9" t="inlineStr"/>
    </row>
    <row r="45">
      <c r="A45" s="9" t="n">
        <v>41</v>
      </c>
      <c r="B45" s="9" t="inlineStr">
        <is>
          <t>Italy</t>
        </is>
      </c>
      <c r="C45" s="9" t="inlineStr">
        <is>
          <t>Arezzo</t>
        </is>
      </c>
      <c r="D45" s="9" t="inlineStr">
        <is>
          <t>Arezzo (overnight base)</t>
        </is>
      </c>
      <c r="E45" s="9" t="inlineStr">
        <is>
          <t>City tour</t>
        </is>
      </c>
      <c r="F45" s="9" t="inlineStr">
        <is>
          <t>25 Jul 2024</t>
        </is>
      </c>
      <c r="G45" s="9" t="inlineStr">
        <is>
          <t>Europe+London yatra, Jul 2024 (itinerary + passport stamps)</t>
        </is>
      </c>
      <c r="H45" s="9" t="inlineStr"/>
    </row>
    <row r="46">
      <c r="A46" s="9" t="n">
        <v>42</v>
      </c>
      <c r="B46" s="9" t="inlineStr">
        <is>
          <t>Italy</t>
        </is>
      </c>
      <c r="C46" s="9" t="inlineStr">
        <is>
          <t>Florence</t>
        </is>
      </c>
      <c r="D46" s="9" t="inlineStr">
        <is>
          <t>Florence Cathedral (Duomo), Ponte Vecchio, Piazza della Signoria</t>
        </is>
      </c>
      <c r="E46" s="9" t="inlineStr">
        <is>
          <t>Landmark</t>
        </is>
      </c>
      <c r="F46" s="9" t="inlineStr">
        <is>
          <t>25 Jul 2024</t>
        </is>
      </c>
      <c r="G46" s="9" t="inlineStr">
        <is>
          <t>Europe+London yatra, Jul 2024 (itinerary + passport stamps)</t>
        </is>
      </c>
      <c r="H46" s="9" t="inlineStr"/>
    </row>
    <row r="47">
      <c r="A47" s="9" t="n">
        <v>43</v>
      </c>
      <c r="B47" s="9" t="inlineStr">
        <is>
          <t>Italy</t>
        </is>
      </c>
      <c r="C47" s="9" t="inlineStr">
        <is>
          <t>Pisa</t>
        </is>
      </c>
      <c r="D47" s="9" t="inlineStr">
        <is>
          <t>Leaning Tower of Pisa</t>
        </is>
      </c>
      <c r="E47" s="9" t="inlineStr">
        <is>
          <t>Landmark</t>
        </is>
      </c>
      <c r="F47" s="9" t="inlineStr">
        <is>
          <t>25 Jul 2024</t>
        </is>
      </c>
      <c r="G47" s="9" t="inlineStr">
        <is>
          <t>Europe+London yatra, Jul 2024 (itinerary + passport stamps)</t>
        </is>
      </c>
      <c r="H47" s="9" t="inlineStr"/>
    </row>
    <row r="48">
      <c r="A48" s="9" t="n">
        <v>44</v>
      </c>
      <c r="B48" s="9" t="inlineStr">
        <is>
          <t>Italy</t>
        </is>
      </c>
      <c r="C48" s="9" t="inlineStr">
        <is>
          <t>Florence</t>
        </is>
      </c>
      <c r="D48" s="9" t="inlineStr">
        <is>
          <t>ISKCON Florence (Villa Vrindavana, San Casciano)</t>
        </is>
      </c>
      <c r="E48" s="9" t="inlineStr">
        <is>
          <t>ISKCON/Temple</t>
        </is>
      </c>
      <c r="F48" s="9" t="inlineStr">
        <is>
          <t>25 Jul 2024</t>
        </is>
      </c>
      <c r="G48" s="9" t="inlineStr">
        <is>
          <t>Europe+London yatra, Jul 2024 (itinerary + passport stamps)</t>
        </is>
      </c>
      <c r="H48" s="9" t="inlineStr"/>
    </row>
    <row r="49">
      <c r="A49" s="9" t="n">
        <v>45</v>
      </c>
      <c r="B49" s="9" t="inlineStr">
        <is>
          <t>Italy</t>
        </is>
      </c>
      <c r="C49" s="9" t="inlineStr">
        <is>
          <t>Rome</t>
        </is>
      </c>
      <c r="D49" s="9" t="inlineStr">
        <is>
          <t>Colosseum (outside), Roman Forum, Pantheon</t>
        </is>
      </c>
      <c r="E49" s="9" t="inlineStr">
        <is>
          <t>Landmark</t>
        </is>
      </c>
      <c r="F49" s="9" t="inlineStr">
        <is>
          <t>26 Jul 2024</t>
        </is>
      </c>
      <c r="G49" s="9" t="inlineStr">
        <is>
          <t>Europe+London yatra, Jul 2024 (itinerary + passport stamps)</t>
        </is>
      </c>
      <c r="H49" s="9" t="inlineStr"/>
    </row>
    <row r="50">
      <c r="A50" s="9" t="n">
        <v>46</v>
      </c>
      <c r="B50" s="9" t="inlineStr">
        <is>
          <t>Italy</t>
        </is>
      </c>
      <c r="C50" s="9" t="inlineStr">
        <is>
          <t>Milan</t>
        </is>
      </c>
      <c r="D50" s="9" t="inlineStr">
        <is>
          <t>Departure Milan Malpensa</t>
        </is>
      </c>
      <c r="E50" s="9" t="inlineStr">
        <is>
          <t>Transit hub</t>
        </is>
      </c>
      <c r="F50" s="9" t="inlineStr">
        <is>
          <t>27 Jul 2024</t>
        </is>
      </c>
      <c r="G50" s="9" t="inlineStr">
        <is>
          <t>Europe+London yatra, Jul 2024 (itinerary + passport stamps)</t>
        </is>
      </c>
      <c r="H50" s="9" t="inlineStr">
        <is>
          <t>Malpensa stamp 27 Jul 2024</t>
        </is>
      </c>
    </row>
    <row r="51">
      <c r="A51" s="9" t="n">
        <v>47</v>
      </c>
      <c r="B51" s="9" t="inlineStr">
        <is>
          <t>Vatican City</t>
        </is>
      </c>
      <c r="C51" s="9" t="inlineStr">
        <is>
          <t>Vatican City</t>
        </is>
      </c>
      <c r="D51" s="9" t="inlineStr">
        <is>
          <t>St Peter's Square &amp; St Peter's Basilica</t>
        </is>
      </c>
      <c r="E51" s="9" t="inlineStr">
        <is>
          <t>Landmark</t>
        </is>
      </c>
      <c r="F51" s="9" t="inlineStr">
        <is>
          <t>26 Jul 2024</t>
        </is>
      </c>
      <c r="G51" s="9" t="inlineStr">
        <is>
          <t>Europe+London yatra, Jul 2024 (itinerary + passport stamps)</t>
        </is>
      </c>
      <c r="H51" s="9" t="inlineStr"/>
    </row>
    <row r="52">
      <c r="A52" s="9" t="n">
        <v>48</v>
      </c>
      <c r="B52" s="9" t="inlineStr">
        <is>
          <t>India</t>
        </is>
      </c>
      <c r="C52" s="9" t="inlineStr">
        <is>
          <t>Srirangam (Trichy)</t>
        </is>
      </c>
      <c r="D52" s="9" t="inlineStr">
        <is>
          <t>Sri Ranganathaswamy Divya Desams, Vishwaroopa darshan</t>
        </is>
      </c>
      <c r="E52" s="9" t="inlineStr">
        <is>
          <t>ISKCON/Temple</t>
        </is>
      </c>
      <c r="F52" s="9" t="inlineStr">
        <is>
          <t>16-17 Jan 2026</t>
        </is>
      </c>
      <c r="G52" s="9" t="inlineStr">
        <is>
          <t>Sri Lanka Ramayan Yatra, 16-25 Jan 2026 (your itinerary)</t>
        </is>
      </c>
      <c r="H52" s="9" t="inlineStr">
        <is>
          <t>Domestic leg before Jaffna flight</t>
        </is>
      </c>
    </row>
    <row r="53">
      <c r="A53" s="9" t="n">
        <v>49</v>
      </c>
      <c r="B53" s="9" t="inlineStr">
        <is>
          <t>Sri Lanka</t>
        </is>
      </c>
      <c r="C53" s="9" t="inlineStr">
        <is>
          <t>Jaffna</t>
        </is>
      </c>
      <c r="D53" s="9" t="inlineStr">
        <is>
          <t>Nilavarai bottomless well, Keerimalai springs, Naguleswaram (Pancha Ishwaram)</t>
        </is>
      </c>
      <c r="E53" s="9" t="inlineStr">
        <is>
          <t>ISKCON/Temple</t>
        </is>
      </c>
      <c r="F53" s="9" t="inlineStr">
        <is>
          <t>17 Jan 2026</t>
        </is>
      </c>
      <c r="G53" s="9" t="inlineStr">
        <is>
          <t>Sri Lanka Ramayan Yatra, 16-25 Jan 2026 (your itinerary)</t>
        </is>
      </c>
      <c r="H53" s="9" t="inlineStr"/>
    </row>
    <row r="54">
      <c r="A54" s="9" t="n">
        <v>50</v>
      </c>
      <c r="B54" s="9" t="inlineStr">
        <is>
          <t>Sri Lanka</t>
        </is>
      </c>
      <c r="C54" s="9" t="inlineStr">
        <is>
          <t>Nainativu</t>
        </is>
      </c>
      <c r="D54" s="9" t="inlineStr">
        <is>
          <t>Nagadeepa island (by boat)</t>
        </is>
      </c>
      <c r="E54" s="9" t="inlineStr">
        <is>
          <t>ISKCON/Temple</t>
        </is>
      </c>
      <c r="F54" s="9" t="inlineStr">
        <is>
          <t>18 Jan 2026</t>
        </is>
      </c>
      <c r="G54" s="9" t="inlineStr">
        <is>
          <t>Sri Lanka Ramayan Yatra, 16-25 Jan 2026 (your itinerary)</t>
        </is>
      </c>
      <c r="H54" s="9" t="inlineStr"/>
    </row>
    <row r="55">
      <c r="A55" s="9" t="n">
        <v>51</v>
      </c>
      <c r="B55" s="9" t="inlineStr">
        <is>
          <t>Sri Lanka</t>
        </is>
      </c>
      <c r="C55" s="9" t="inlineStr">
        <is>
          <t>Mannar</t>
        </is>
      </c>
      <c r="D55" s="9" t="inlineStr">
        <is>
          <t>Rama Setu view point, Thiruketheeswaram (Pancha Ishwaram)</t>
        </is>
      </c>
      <c r="E55" s="9" t="inlineStr">
        <is>
          <t>ISKCON/Temple</t>
        </is>
      </c>
      <c r="F55" s="9" t="inlineStr">
        <is>
          <t>18 Jan 2026</t>
        </is>
      </c>
      <c r="G55" s="9" t="inlineStr">
        <is>
          <t>Sri Lanka Ramayan Yatra, 16-25 Jan 2026 (your itinerary)</t>
        </is>
      </c>
      <c r="H55" s="9" t="inlineStr"/>
    </row>
    <row r="56">
      <c r="A56" s="9" t="n">
        <v>52</v>
      </c>
      <c r="B56" s="9" t="inlineStr">
        <is>
          <t>Sri Lanka</t>
        </is>
      </c>
      <c r="C56" s="9" t="inlineStr">
        <is>
          <t>Trincomalee</t>
        </is>
      </c>
      <c r="D56" s="9" t="inlineStr">
        <is>
          <t>Kanniya hot springs; Koneswaram (Pancha Ishwaram); Shankari Devi Shakti peetha</t>
        </is>
      </c>
      <c r="E56" s="9" t="inlineStr">
        <is>
          <t>ISKCON/Temple</t>
        </is>
      </c>
      <c r="F56" s="9" t="inlineStr">
        <is>
          <t>18-19 Jan 2026</t>
        </is>
      </c>
      <c r="G56" s="9" t="inlineStr">
        <is>
          <t>Sri Lanka Ramayan Yatra, 16-25 Jan 2026 (your itinerary)</t>
        </is>
      </c>
      <c r="H56" s="9" t="inlineStr"/>
    </row>
    <row r="57">
      <c r="A57" s="9" t="n">
        <v>53</v>
      </c>
      <c r="B57" s="9" t="inlineStr">
        <is>
          <t>Sri Lanka</t>
        </is>
      </c>
      <c r="C57" s="9" t="inlineStr">
        <is>
          <t>Sigiriya</t>
        </is>
      </c>
      <c r="D57" s="9" t="inlineStr">
        <is>
          <t>Sigiriya Lion Rock (Ravana link)</t>
        </is>
      </c>
      <c r="E57" s="9" t="inlineStr">
        <is>
          <t>Landmark</t>
        </is>
      </c>
      <c r="F57" s="9" t="inlineStr">
        <is>
          <t>19 Jan 2026</t>
        </is>
      </c>
      <c r="G57" s="9" t="inlineStr">
        <is>
          <t>Sri Lanka Ramayan Yatra, 16-25 Jan 2026 (your itinerary)</t>
        </is>
      </c>
      <c r="H57" s="9" t="inlineStr"/>
    </row>
    <row r="58">
      <c r="A58" s="9" t="n">
        <v>54</v>
      </c>
      <c r="B58" s="9" t="inlineStr">
        <is>
          <t>Sri Lanka</t>
        </is>
      </c>
      <c r="C58" s="9" t="inlineStr">
        <is>
          <t>Kandy</t>
        </is>
      </c>
      <c r="D58" s="9" t="inlineStr">
        <is>
          <t>Temple of the Tooth Relic</t>
        </is>
      </c>
      <c r="E58" s="9" t="inlineStr">
        <is>
          <t>Landmark</t>
        </is>
      </c>
      <c r="F58" s="9" t="inlineStr">
        <is>
          <t>20 Jan 2026</t>
        </is>
      </c>
      <c r="G58" s="9" t="inlineStr">
        <is>
          <t>Sri Lanka Ramayan Yatra, 16-25 Jan 2026 (your itinerary)</t>
        </is>
      </c>
      <c r="H58" s="9" t="inlineStr"/>
    </row>
    <row r="59">
      <c r="A59" s="9" t="n">
        <v>55</v>
      </c>
      <c r="B59" s="9" t="inlineStr">
        <is>
          <t>Sri Lanka</t>
        </is>
      </c>
      <c r="C59" s="9" t="inlineStr">
        <is>
          <t>Ramboda</t>
        </is>
      </c>
      <c r="D59" s="9" t="inlineStr">
        <is>
          <t>Ramboda Hanuman temple (Chinmaya) &amp; Ramboda Falls</t>
        </is>
      </c>
      <c r="E59" s="9" t="inlineStr">
        <is>
          <t>ISKCON/Temple</t>
        </is>
      </c>
      <c r="F59" s="9" t="inlineStr">
        <is>
          <t>20 Jan 2026</t>
        </is>
      </c>
      <c r="G59" s="9" t="inlineStr">
        <is>
          <t>Sri Lanka Ramayan Yatra, 16-25 Jan 2026 (your itinerary)</t>
        </is>
      </c>
      <c r="H59" s="9" t="inlineStr"/>
    </row>
    <row r="60">
      <c r="A60" s="9" t="n">
        <v>56</v>
      </c>
      <c r="B60" s="9" t="inlineStr">
        <is>
          <t>Sri Lanka</t>
        </is>
      </c>
      <c r="C60" s="9" t="inlineStr">
        <is>
          <t>Nuwara Eliya</t>
        </is>
      </c>
      <c r="D60" s="9" t="inlineStr">
        <is>
          <t>Seetha Amman Kovil (Ashok Vatika), Hakgala garden, Divurumpola (Sita agni pariksha)</t>
        </is>
      </c>
      <c r="E60" s="9" t="inlineStr">
        <is>
          <t>ISKCON/Temple</t>
        </is>
      </c>
      <c r="F60" s="9" t="inlineStr">
        <is>
          <t>21 Jan 2026</t>
        </is>
      </c>
      <c r="G60" s="9" t="inlineStr">
        <is>
          <t>Sri Lanka Ramayan Yatra, 16-25 Jan 2026 (your itinerary)</t>
        </is>
      </c>
      <c r="H60" s="9" t="inlineStr"/>
    </row>
    <row r="61">
      <c r="A61" s="9" t="n">
        <v>57</v>
      </c>
      <c r="B61" s="9" t="inlineStr">
        <is>
          <t>Sri Lanka</t>
        </is>
      </c>
      <c r="C61" s="9" t="inlineStr">
        <is>
          <t>Ella</t>
        </is>
      </c>
      <c r="D61" s="9" t="inlineStr">
        <is>
          <t>Ravana Cave &amp; Ravana Falls</t>
        </is>
      </c>
      <c r="E61" s="9" t="inlineStr">
        <is>
          <t>Nature</t>
        </is>
      </c>
      <c r="F61" s="9" t="inlineStr">
        <is>
          <t>21 Jan 2026</t>
        </is>
      </c>
      <c r="G61" s="9" t="inlineStr">
        <is>
          <t>Sri Lanka Ramayan Yatra, 16-25 Jan 2026 (your itinerary)</t>
        </is>
      </c>
      <c r="H61" s="9" t="inlineStr"/>
    </row>
    <row r="62">
      <c r="A62" s="9" t="n">
        <v>58</v>
      </c>
      <c r="B62" s="9" t="inlineStr">
        <is>
          <t>Sri Lanka</t>
        </is>
      </c>
      <c r="C62" s="9" t="inlineStr">
        <is>
          <t>Kataragama</t>
        </is>
      </c>
      <c r="D62" s="9" t="inlineStr">
        <is>
          <t>Kataragama &amp; Sella Kataragama</t>
        </is>
      </c>
      <c r="E62" s="9" t="inlineStr">
        <is>
          <t>ISKCON/Temple</t>
        </is>
      </c>
      <c r="F62" s="9" t="inlineStr">
        <is>
          <t>21-22 Jan 2026</t>
        </is>
      </c>
      <c r="G62" s="9" t="inlineStr">
        <is>
          <t>Sri Lanka Ramayan Yatra, 16-25 Jan 2026 (your itinerary)</t>
        </is>
      </c>
      <c r="H62" s="9" t="inlineStr"/>
    </row>
    <row r="63">
      <c r="A63" s="9" t="n">
        <v>59</v>
      </c>
      <c r="B63" s="9" t="inlineStr">
        <is>
          <t>Sri Lanka</t>
        </is>
      </c>
      <c r="C63" s="9" t="inlineStr">
        <is>
          <t>Ussangoda / Mirissa</t>
        </is>
      </c>
      <c r="D63" s="9" t="inlineStr">
        <is>
          <t>Ussangoda (Ravana's burnt land); whale watching</t>
        </is>
      </c>
      <c r="E63" s="9" t="inlineStr">
        <is>
          <t>Nature</t>
        </is>
      </c>
      <c r="F63" s="9" t="inlineStr">
        <is>
          <t>22 Jan 2026</t>
        </is>
      </c>
      <c r="G63" s="9" t="inlineStr">
        <is>
          <t>Sri Lanka Ramayan Yatra, 16-25 Jan 2026 (your itinerary)</t>
        </is>
      </c>
      <c r="H63" s="9" t="inlineStr"/>
    </row>
    <row r="64">
      <c r="A64" s="9" t="n">
        <v>60</v>
      </c>
      <c r="B64" s="9" t="inlineStr">
        <is>
          <t>Sri Lanka</t>
        </is>
      </c>
      <c r="C64" s="9" t="inlineStr">
        <is>
          <t>Dondra / Galle</t>
        </is>
      </c>
      <c r="D64" s="9" t="inlineStr">
        <is>
          <t>Tenavaram-Thondeshwaram (Pancha Ishwaram); Galle Fort</t>
        </is>
      </c>
      <c r="E64" s="9" t="inlineStr">
        <is>
          <t>ISKCON/Temple</t>
        </is>
      </c>
      <c r="F64" s="9" t="inlineStr">
        <is>
          <t>23 Jan 2026</t>
        </is>
      </c>
      <c r="G64" s="9" t="inlineStr">
        <is>
          <t>Sri Lanka Ramayan Yatra, 16-25 Jan 2026 (your itinerary)</t>
        </is>
      </c>
      <c r="H64" s="9" t="inlineStr"/>
    </row>
    <row r="65">
      <c r="A65" s="9" t="n">
        <v>61</v>
      </c>
      <c r="B65" s="9" t="inlineStr">
        <is>
          <t>Sri Lanka</t>
        </is>
      </c>
      <c r="C65" s="9" t="inlineStr">
        <is>
          <t>Unawatuna / Bentota</t>
        </is>
      </c>
      <c r="D65" s="9" t="inlineStr">
        <is>
          <t>Rumassala Sanjeevani hill; Bentota boat ride</t>
        </is>
      </c>
      <c r="E65" s="9" t="inlineStr">
        <is>
          <t>Nature</t>
        </is>
      </c>
      <c r="F65" s="9" t="inlineStr">
        <is>
          <t>23 Jan 2026</t>
        </is>
      </c>
      <c r="G65" s="9" t="inlineStr">
        <is>
          <t>Sri Lanka Ramayan Yatra, 16-25 Jan 2026 (your itinerary)</t>
        </is>
      </c>
      <c r="H65" s="9" t="inlineStr"/>
    </row>
    <row r="66">
      <c r="A66" s="9" t="n">
        <v>62</v>
      </c>
      <c r="B66" s="9" t="inlineStr">
        <is>
          <t>Sri Lanka</t>
        </is>
      </c>
      <c r="C66" s="9" t="inlineStr">
        <is>
          <t>Colombo</t>
        </is>
      </c>
      <c r="D66" s="9" t="inlineStr">
        <is>
          <t>ISKCON Colombo, Gangaramaya, Colombo Lotus Tower, Kelaniya (Vibhishana) temple</t>
        </is>
      </c>
      <c r="E66" s="9" t="inlineStr">
        <is>
          <t>ISKCON/Temple</t>
        </is>
      </c>
      <c r="F66" s="9" t="inlineStr">
        <is>
          <t>24 Jan 2026</t>
        </is>
      </c>
      <c r="G66" s="9" t="inlineStr">
        <is>
          <t>Sri Lanka Ramayan Yatra, 16-25 Jan 2026 (your itinerary)</t>
        </is>
      </c>
      <c r="H66" s="9" t="inlineStr"/>
    </row>
    <row r="67">
      <c r="A67" s="9" t="n">
        <v>63</v>
      </c>
      <c r="B67" s="9" t="inlineStr">
        <is>
          <t>Sri Lanka</t>
        </is>
      </c>
      <c r="C67" s="9" t="inlineStr">
        <is>
          <t>Chilaw</t>
        </is>
      </c>
      <c r="D67" s="9" t="inlineStr">
        <is>
          <t>Munneswaram (Pancha Ishwaram)</t>
        </is>
      </c>
      <c r="E67" s="9" t="inlineStr">
        <is>
          <t>ISKCON/Temple</t>
        </is>
      </c>
      <c r="F67" s="9" t="inlineStr">
        <is>
          <t>24 Jan 2026</t>
        </is>
      </c>
      <c r="G67" s="9" t="inlineStr">
        <is>
          <t>Sri Lanka Ramayan Yatra, 16-25 Jan 2026 (your itinerary)</t>
        </is>
      </c>
      <c r="H67" s="9" t="inlineStr">
        <is>
          <t>All five Pancha Ishwaram covered</t>
        </is>
      </c>
    </row>
    <row r="68">
      <c r="A68" s="9" t="n">
        <v>64</v>
      </c>
      <c r="B68" s="9" t="inlineStr">
        <is>
          <t>Nepal</t>
        </is>
      </c>
      <c r="C68" s="9" t="inlineStr">
        <is>
          <t>Kathmandu</t>
        </is>
      </c>
      <c r="D68" s="9" t="inlineStr">
        <is>
          <t>Budhanilkantha - Jala Narayana (sleeping Vishnu)</t>
        </is>
      </c>
      <c r="E68" s="9" t="inlineStr">
        <is>
          <t>ISKCON/Temple</t>
        </is>
      </c>
      <c r="F68" s="9" t="inlineStr">
        <is>
          <t>24 May 2026</t>
        </is>
      </c>
      <c r="G68" s="9" t="inlineStr">
        <is>
          <t>Nepal Muktinath Yatra, 24-29 May 2026 (your itinerary)</t>
        </is>
      </c>
      <c r="H68" s="9" t="inlineStr"/>
    </row>
    <row r="69">
      <c r="A69" s="9" t="n">
        <v>65</v>
      </c>
      <c r="B69" s="9" t="inlineStr">
        <is>
          <t>Nepal</t>
        </is>
      </c>
      <c r="C69" s="9" t="inlineStr">
        <is>
          <t>Kathmandu</t>
        </is>
      </c>
      <c r="D69" s="9" t="inlineStr">
        <is>
          <t>ISKCON Kathmandu</t>
        </is>
      </c>
      <c r="E69" s="9" t="inlineStr">
        <is>
          <t>ISKCON/Temple</t>
        </is>
      </c>
      <c r="F69" s="9" t="inlineStr">
        <is>
          <t>24 May 2026</t>
        </is>
      </c>
      <c r="G69" s="9" t="inlineStr">
        <is>
          <t>Nepal Muktinath Yatra, 24-29 May 2026 (your itinerary)</t>
        </is>
      </c>
      <c r="H69" s="9" t="inlineStr"/>
    </row>
    <row r="70">
      <c r="A70" s="9" t="n">
        <v>66</v>
      </c>
      <c r="B70" s="9" t="inlineStr">
        <is>
          <t>Nepal</t>
        </is>
      </c>
      <c r="C70" s="9" t="inlineStr">
        <is>
          <t>Patan</t>
        </is>
      </c>
      <c r="D70" s="9" t="inlineStr">
        <is>
          <t>Durbar Square - Krishna Mandir</t>
        </is>
      </c>
      <c r="E70" s="9" t="inlineStr">
        <is>
          <t>ISKCON/Temple</t>
        </is>
      </c>
      <c r="F70" s="9" t="inlineStr">
        <is>
          <t>24 May 2026</t>
        </is>
      </c>
      <c r="G70" s="9" t="inlineStr">
        <is>
          <t>Nepal Muktinath Yatra, 24-29 May 2026 (your itinerary)</t>
        </is>
      </c>
      <c r="H70" s="9" t="inlineStr"/>
    </row>
    <row r="71">
      <c r="A71" s="9" t="n">
        <v>67</v>
      </c>
      <c r="B71" s="9" t="inlineStr">
        <is>
          <t>Nepal</t>
        </is>
      </c>
      <c r="C71" s="9" t="inlineStr">
        <is>
          <t>Kathmandu</t>
        </is>
      </c>
      <c r="D71" s="9" t="inlineStr">
        <is>
          <t>Pashupatinath - Rudrabhishekam at main linga; Bagmati river</t>
        </is>
      </c>
      <c r="E71" s="9" t="inlineStr">
        <is>
          <t>ISKCON/Temple</t>
        </is>
      </c>
      <c r="F71" s="9" t="inlineStr">
        <is>
          <t>25 May 2026</t>
        </is>
      </c>
      <c r="G71" s="9" t="inlineStr">
        <is>
          <t>Nepal Muktinath Yatra, 24-29 May 2026 (your itinerary)</t>
        </is>
      </c>
      <c r="H71" s="9" t="inlineStr">
        <is>
          <t>Also visited 2019/2022</t>
        </is>
      </c>
    </row>
    <row r="72">
      <c r="A72" s="9" t="n">
        <v>68</v>
      </c>
      <c r="B72" s="9" t="inlineStr">
        <is>
          <t>Nepal</t>
        </is>
      </c>
      <c r="C72" s="9" t="inlineStr">
        <is>
          <t>Kathmandu</t>
        </is>
      </c>
      <c r="D72" s="9" t="inlineStr">
        <is>
          <t>Guhyeshwari Shakti peetha</t>
        </is>
      </c>
      <c r="E72" s="9" t="inlineStr">
        <is>
          <t>ISKCON/Temple</t>
        </is>
      </c>
      <c r="F72" s="9" t="inlineStr">
        <is>
          <t>25 May 2026</t>
        </is>
      </c>
      <c r="G72" s="9" t="inlineStr">
        <is>
          <t>Nepal Muktinath Yatra, 24-29 May 2026 (your itinerary)</t>
        </is>
      </c>
      <c r="H72" s="9" t="inlineStr"/>
    </row>
    <row r="73">
      <c r="A73" s="9" t="n">
        <v>69</v>
      </c>
      <c r="B73" s="9" t="inlineStr">
        <is>
          <t>Nepal</t>
        </is>
      </c>
      <c r="C73" s="9" t="inlineStr">
        <is>
          <t>Bhaktapur</t>
        </is>
      </c>
      <c r="D73" s="9" t="inlineStr">
        <is>
          <t>Changu Narayan (oldest Vishnu temple)</t>
        </is>
      </c>
      <c r="E73" s="9" t="inlineStr">
        <is>
          <t>ISKCON/Temple</t>
        </is>
      </c>
      <c r="F73" s="9" t="inlineStr">
        <is>
          <t>25 May 2026</t>
        </is>
      </c>
      <c r="G73" s="9" t="inlineStr">
        <is>
          <t>Nepal Muktinath Yatra, 24-29 May 2026 (your itinerary)</t>
        </is>
      </c>
      <c r="H73" s="9" t="inlineStr"/>
    </row>
    <row r="74">
      <c r="A74" s="9" t="n">
        <v>70</v>
      </c>
      <c r="B74" s="9" t="inlineStr">
        <is>
          <t>Nepal</t>
        </is>
      </c>
      <c r="C74" s="9" t="inlineStr">
        <is>
          <t>Kathmandu</t>
        </is>
      </c>
      <c r="D74" s="9" t="inlineStr">
        <is>
          <t>Swayambhunath stupa</t>
        </is>
      </c>
      <c r="E74" s="9" t="inlineStr">
        <is>
          <t>Landmark</t>
        </is>
      </c>
      <c r="F74" s="9" t="inlineStr">
        <is>
          <t>25 May 2026</t>
        </is>
      </c>
      <c r="G74" s="9" t="inlineStr">
        <is>
          <t>Nepal Muktinath Yatra, 24-29 May 2026 (your itinerary)</t>
        </is>
      </c>
      <c r="H74" s="9" t="inlineStr"/>
    </row>
    <row r="75">
      <c r="A75" s="9" t="n">
        <v>71</v>
      </c>
      <c r="B75" s="9" t="inlineStr">
        <is>
          <t>Nepal</t>
        </is>
      </c>
      <c r="C75" s="9" t="inlineStr">
        <is>
          <t>Pokhara</t>
        </is>
      </c>
      <c r="D75" s="9" t="inlineStr">
        <is>
          <t>Bindhyabasini temple, Tal Barahi temple, Phewa lake boat ride, Devi's Fall</t>
        </is>
      </c>
      <c r="E75" s="9" t="inlineStr">
        <is>
          <t>ISKCON/Temple</t>
        </is>
      </c>
      <c r="F75" s="9" t="inlineStr">
        <is>
          <t>26 &amp; 28 May 2026</t>
        </is>
      </c>
      <c r="G75" s="9" t="inlineStr">
        <is>
          <t>Nepal Muktinath Yatra, 24-29 May 2026 (your itinerary)</t>
        </is>
      </c>
      <c r="H75" s="9" t="inlineStr"/>
    </row>
    <row r="76">
      <c r="A76" s="9" t="n">
        <v>72</v>
      </c>
      <c r="B76" s="9" t="inlineStr">
        <is>
          <t>Nepal</t>
        </is>
      </c>
      <c r="C76" s="9" t="inlineStr">
        <is>
          <t>Jomsom / Muktinath</t>
        </is>
      </c>
      <c r="D76" s="9" t="inlineStr">
        <is>
          <t>Muktinath (106th Divya Desam); Kali Gandaki - Shaligram</t>
        </is>
      </c>
      <c r="E76" s="9" t="inlineStr">
        <is>
          <t>ISKCON/Temple</t>
        </is>
      </c>
      <c r="F76" s="9" t="inlineStr">
        <is>
          <t>27-28 May 2026</t>
        </is>
      </c>
      <c r="G76" s="9" t="inlineStr">
        <is>
          <t>Nepal Muktinath Yatra, 24-29 May 2026 (your itinerary)</t>
        </is>
      </c>
      <c r="H76" s="9" t="inlineStr">
        <is>
          <t>Flight Pokhara-Jomsom</t>
        </is>
      </c>
    </row>
    <row r="77">
      <c r="A77" s="9" t="n">
        <v>73</v>
      </c>
      <c r="B77" s="9" t="inlineStr">
        <is>
          <t>Nepal</t>
        </is>
      </c>
      <c r="C77" s="9" t="inlineStr">
        <is>
          <t>Kathmandu</t>
        </is>
      </c>
      <c r="D77" s="9" t="inlineStr">
        <is>
          <t>Pashupatinath &amp; Budhanilkantha (pre-Kailash)</t>
        </is>
      </c>
      <c r="E77" s="9" t="inlineStr">
        <is>
          <t>ISKCON/Temple</t>
        </is>
      </c>
      <c r="F77" s="9" t="inlineStr">
        <is>
          <t>31 May-1 Jun 2026</t>
        </is>
      </c>
      <c r="G77" s="9" t="inlineStr">
        <is>
          <t>Kailash Manasarovar Yatra, 31 May-13 Jun 2026 (your itinerary)</t>
        </is>
      </c>
      <c r="H77" s="9" t="inlineStr"/>
    </row>
    <row r="78">
      <c r="A78" s="9" t="n">
        <v>74</v>
      </c>
      <c r="B78" s="9" t="inlineStr">
        <is>
          <t>China (Tibet)</t>
        </is>
      </c>
      <c r="C78" s="9" t="inlineStr">
        <is>
          <t>Kyirong</t>
        </is>
      </c>
      <c r="D78" s="9" t="inlineStr">
        <is>
          <t>Kyirong border town (acclimatisation)</t>
        </is>
      </c>
      <c r="E78" s="9" t="inlineStr">
        <is>
          <t>Transit hub</t>
        </is>
      </c>
      <c r="F78" s="9" t="inlineStr">
        <is>
          <t>2-3 Jun 2026</t>
        </is>
      </c>
      <c r="G78" s="9" t="inlineStr">
        <is>
          <t>Kailash Manasarovar Yatra, 31 May-13 Jun 2026 (your itinerary)</t>
        </is>
      </c>
      <c r="H78" s="9" t="inlineStr">
        <is>
          <t>Entered China at Rasuwagadhi/Kyirong</t>
        </is>
      </c>
    </row>
    <row r="79">
      <c r="A79" s="9" t="n">
        <v>75</v>
      </c>
      <c r="B79" s="9" t="inlineStr">
        <is>
          <t>China (Tibet)</t>
        </is>
      </c>
      <c r="C79" s="9" t="inlineStr">
        <is>
          <t>Saga / Dongba</t>
        </is>
      </c>
      <c r="D79" s="9" t="inlineStr">
        <is>
          <t>Tibetan plateau drive</t>
        </is>
      </c>
      <c r="E79" s="9" t="inlineStr">
        <is>
          <t>Nature</t>
        </is>
      </c>
      <c r="F79" s="9" t="inlineStr">
        <is>
          <t>4 Jun 2026</t>
        </is>
      </c>
      <c r="G79" s="9" t="inlineStr">
        <is>
          <t>Kailash Manasarovar Yatra, 31 May-13 Jun 2026 (your itinerary)</t>
        </is>
      </c>
      <c r="H79" s="9" t="inlineStr"/>
    </row>
    <row r="80">
      <c r="A80" s="9" t="n">
        <v>76</v>
      </c>
      <c r="B80" s="9" t="inlineStr">
        <is>
          <t>China (Tibet)</t>
        </is>
      </c>
      <c r="C80" s="9" t="inlineStr">
        <is>
          <t>Manasarovar</t>
        </is>
      </c>
      <c r="D80" s="9" t="inlineStr">
        <is>
          <t>Lake Manasarovar - parikrama, puja, snan; Rakshas Tal</t>
        </is>
      </c>
      <c r="E80" s="9" t="inlineStr">
        <is>
          <t>Nature</t>
        </is>
      </c>
      <c r="F80" s="9" t="inlineStr">
        <is>
          <t>5-6 Jun 2026</t>
        </is>
      </c>
      <c r="G80" s="9" t="inlineStr">
        <is>
          <t>Kailash Manasarovar Yatra, 31 May-13 Jun 2026 (your itinerary)</t>
        </is>
      </c>
      <c r="H80" s="9" t="inlineStr"/>
    </row>
    <row r="81">
      <c r="A81" s="9" t="n">
        <v>77</v>
      </c>
      <c r="B81" s="9" t="inlineStr">
        <is>
          <t>China (Tibet)</t>
        </is>
      </c>
      <c r="C81" s="9" t="inlineStr">
        <is>
          <t>Darchen / Kailash</t>
        </is>
      </c>
      <c r="D81" s="9" t="inlineStr">
        <is>
          <t>Mt Kailash outer kora: Yama Dwar, Dirapuk, Dolma La (5,630 m), Zuthulpuk</t>
        </is>
      </c>
      <c r="E81" s="9" t="inlineStr">
        <is>
          <t>Nature</t>
        </is>
      </c>
      <c r="F81" s="9" t="inlineStr">
        <is>
          <t>7-9 Jun 2026</t>
        </is>
      </c>
      <c r="G81" s="9" t="inlineStr">
        <is>
          <t>Kailash Manasarovar Yatra, 31 May-13 Jun 2026 (your itinerary)</t>
        </is>
      </c>
      <c r="H81" s="9" t="inlineStr">
        <is>
          <t>3-day parikrama</t>
        </is>
      </c>
    </row>
    <row r="82">
      <c r="A82" s="9" t="n">
        <v>78</v>
      </c>
      <c r="B82" s="9" t="inlineStr">
        <is>
          <t>Nepal</t>
        </is>
      </c>
      <c r="C82" s="9" t="inlineStr">
        <is>
          <t>Kathmandu</t>
        </is>
      </c>
      <c r="D82" s="9" t="inlineStr">
        <is>
          <t>Return via Kyirong; departure</t>
        </is>
      </c>
      <c r="E82" s="9" t="inlineStr">
        <is>
          <t>Transit hub</t>
        </is>
      </c>
      <c r="F82" s="9" t="inlineStr">
        <is>
          <t>11-13 Jun 2026</t>
        </is>
      </c>
      <c r="G82" s="9" t="inlineStr">
        <is>
          <t>Kailash Manasarovar Yatra, 31 May-13 Jun 2026 (your itinerary)</t>
        </is>
      </c>
      <c r="H82" s="9" t="inlineStr"/>
    </row>
    <row r="83">
      <c r="A83" s="9" t="n">
        <v>79</v>
      </c>
      <c r="B83" s="9" t="inlineStr">
        <is>
          <t>India</t>
        </is>
      </c>
      <c r="C83" s="9" t="inlineStr">
        <is>
          <t>Rishikesh</t>
        </is>
      </c>
      <c r="D83" s="9" t="inlineStr">
        <is>
          <t>Triveni Ghat Ganga aarti, Ram/Sita Jhula, Parmarth Niketan, Gita Mandir, ISKCON Rishikesh</t>
        </is>
      </c>
      <c r="E83" s="9" t="inlineStr">
        <is>
          <t>ISKCON/Temple</t>
        </is>
      </c>
      <c r="F83" s="9" t="inlineStr">
        <is>
          <t>Multiple batches 2023-2026</t>
        </is>
      </c>
      <c r="G83" s="9" t="inlineStr">
        <is>
          <t>Char Dham yatras (your dashboards + 2026 itinerary)</t>
        </is>
      </c>
      <c r="H83" s="9" t="inlineStr"/>
    </row>
    <row r="84">
      <c r="A84" s="9" t="n">
        <v>80</v>
      </c>
      <c r="B84" s="9" t="inlineStr">
        <is>
          <t>India</t>
        </is>
      </c>
      <c r="C84" s="9" t="inlineStr">
        <is>
          <t>Haridwar</t>
        </is>
      </c>
      <c r="D84" s="9" t="inlineStr">
        <is>
          <t>Har ki Pauri, Mansa Devi (ropeway)</t>
        </is>
      </c>
      <c r="E84" s="9" t="inlineStr">
        <is>
          <t>ISKCON/Temple</t>
        </is>
      </c>
      <c r="F84" s="9" t="inlineStr">
        <is>
          <t>Multiple batches 2023-2026</t>
        </is>
      </c>
      <c r="G84" s="9" t="inlineStr">
        <is>
          <t>Char Dham yatras (your dashboards + 2026 itinerary)</t>
        </is>
      </c>
      <c r="H84" s="9" t="inlineStr"/>
    </row>
    <row r="85">
      <c r="A85" s="9" t="n">
        <v>81</v>
      </c>
      <c r="B85" s="9" t="inlineStr">
        <is>
          <t>India</t>
        </is>
      </c>
      <c r="C85" s="9" t="inlineStr">
        <is>
          <t>Yamunotri</t>
        </is>
      </c>
      <c r="D85" s="9" t="inlineStr">
        <is>
          <t>Yamunotri temple, Surya Kund, Kharsali Shani temple</t>
        </is>
      </c>
      <c r="E85" s="9" t="inlineStr">
        <is>
          <t>ISKCON/Temple</t>
        </is>
      </c>
      <c r="F85" s="9" t="inlineStr">
        <is>
          <t>Multiple batches 2023-2026</t>
        </is>
      </c>
      <c r="G85" s="9" t="inlineStr">
        <is>
          <t>Char Dham yatras (your dashboards + 2026 itinerary)</t>
        </is>
      </c>
      <c r="H85" s="9" t="inlineStr"/>
    </row>
    <row r="86">
      <c r="A86" s="9" t="n">
        <v>82</v>
      </c>
      <c r="B86" s="9" t="inlineStr">
        <is>
          <t>India</t>
        </is>
      </c>
      <c r="C86" s="9" t="inlineStr">
        <is>
          <t>Gangotri / Harsil</t>
        </is>
      </c>
      <c r="D86" s="9" t="inlineStr">
        <is>
          <t>Gangotri temple, Bhagirath Shila, Harsil valley, Bagori village</t>
        </is>
      </c>
      <c r="E86" s="9" t="inlineStr">
        <is>
          <t>ISKCON/Temple</t>
        </is>
      </c>
      <c r="F86" s="9" t="inlineStr">
        <is>
          <t>Multiple batches 2023-2026</t>
        </is>
      </c>
      <c r="G86" s="9" t="inlineStr">
        <is>
          <t>Char Dham yatras (your dashboards + 2026 itinerary)</t>
        </is>
      </c>
      <c r="H86" s="9" t="inlineStr"/>
    </row>
    <row r="87">
      <c r="A87" s="9" t="n">
        <v>83</v>
      </c>
      <c r="B87" s="9" t="inlineStr">
        <is>
          <t>India</t>
        </is>
      </c>
      <c r="C87" s="9" t="inlineStr">
        <is>
          <t>Kedarnath</t>
        </is>
      </c>
      <c r="D87" s="9" t="inlineStr">
        <is>
          <t>Kedarnath temple, Bhim Shila, Adi Shankaracharya samadhi (hilltop stay)</t>
        </is>
      </c>
      <c r="E87" s="9" t="inlineStr">
        <is>
          <t>ISKCON/Temple</t>
        </is>
      </c>
      <c r="F87" s="9" t="inlineStr">
        <is>
          <t>Multiple batches 2023-2026</t>
        </is>
      </c>
      <c r="G87" s="9" t="inlineStr">
        <is>
          <t>Char Dham yatras (your dashboards + 2026 itinerary)</t>
        </is>
      </c>
      <c r="H87" s="9" t="inlineStr"/>
    </row>
    <row r="88">
      <c r="A88" s="9" t="n">
        <v>84</v>
      </c>
      <c r="B88" s="9" t="inlineStr">
        <is>
          <t>India</t>
        </is>
      </c>
      <c r="C88" s="9" t="inlineStr">
        <is>
          <t>Badrinath / Mana</t>
        </is>
      </c>
      <c r="D88" s="9" t="inlineStr">
        <is>
          <t>Badri Narayan (Maha Abhishek), Brahma Kapal, Mana village, Vyas &amp; Ganesh gufa, Saraswati udgam</t>
        </is>
      </c>
      <c r="E88" s="9" t="inlineStr">
        <is>
          <t>ISKCON/Temple</t>
        </is>
      </c>
      <c r="F88" s="9" t="inlineStr">
        <is>
          <t>Multiple batches 2023-2026</t>
        </is>
      </c>
      <c r="G88" s="9" t="inlineStr">
        <is>
          <t>Char Dham yatras (your dashboards + 2026 itinerary)</t>
        </is>
      </c>
      <c r="H88" s="9" t="inlineStr"/>
    </row>
    <row r="89">
      <c r="A89" s="9" t="n">
        <v>85</v>
      </c>
      <c r="B89" s="9" t="inlineStr">
        <is>
          <t>USA</t>
        </is>
      </c>
      <c r="C89" s="9" t="inlineStr">
        <is>
          <t>New Jersey</t>
        </is>
      </c>
      <c r="D89" s="9" t="inlineStr">
        <is>
          <t>Indian Heritage Foundation NJ; Sri Venkateswara Temple Bridgewater; BAPS Akshardham Robbinsville</t>
        </is>
      </c>
      <c r="E89" s="9" t="inlineStr">
        <is>
          <t>ISKCON/Temple</t>
        </is>
      </c>
      <c r="F89" s="9" t="inlineStr">
        <is>
          <t>USA yatra</t>
        </is>
      </c>
      <c r="G89" s="9" t="inlineStr">
        <is>
          <t>USA Yatra route (brochure dated 22 Apr-8 May; stamped trip 4-30 Sep 2025 - confirm)</t>
        </is>
      </c>
      <c r="H89" s="9" t="inlineStr"/>
    </row>
    <row r="90">
      <c r="A90" s="9" t="n">
        <v>86</v>
      </c>
      <c r="B90" s="9" t="inlineStr">
        <is>
          <t>USA</t>
        </is>
      </c>
      <c r="C90" s="9" t="inlineStr">
        <is>
          <t>New York City</t>
        </is>
      </c>
      <c r="D90" s="9" t="inlineStr">
        <is>
          <t>Wall Street &amp; Charging Bull, 9/11 Memorial, Empire State Building, Madame Tussauds, Times Square, Central Park</t>
        </is>
      </c>
      <c r="E90" s="9" t="inlineStr">
        <is>
          <t>Landmark</t>
        </is>
      </c>
      <c r="F90" s="9" t="inlineStr">
        <is>
          <t>USA yatra</t>
        </is>
      </c>
      <c r="G90" s="9" t="inlineStr">
        <is>
          <t>USA Yatra route (brochure dated 22 Apr-8 May; stamped trip 4-30 Sep 2025 - confirm)</t>
        </is>
      </c>
      <c r="H90" s="9" t="inlineStr"/>
    </row>
    <row r="91">
      <c r="A91" s="9" t="n">
        <v>87</v>
      </c>
      <c r="B91" s="9" t="inlineStr">
        <is>
          <t>USA</t>
        </is>
      </c>
      <c r="C91" s="9" t="inlineStr">
        <is>
          <t>New York City</t>
        </is>
      </c>
      <c r="D91" s="9" t="inlineStr">
        <is>
          <t>Tompkins Square Park (Hare Krishna tree), Bhakti Center, ISKCON Brooklyn (Radha Govinda)</t>
        </is>
      </c>
      <c r="E91" s="9" t="inlineStr">
        <is>
          <t>ISKCON/Temple</t>
        </is>
      </c>
      <c r="F91" s="9" t="inlineStr">
        <is>
          <t>USA yatra</t>
        </is>
      </c>
      <c r="G91" s="9" t="inlineStr">
        <is>
          <t>USA Yatra route (brochure dated 22 Apr-8 May; stamped trip 4-30 Sep 2025 - confirm)</t>
        </is>
      </c>
      <c r="H91" s="9" t="inlineStr"/>
    </row>
    <row r="92">
      <c r="A92" s="9" t="n">
        <v>88</v>
      </c>
      <c r="B92" s="9" t="inlineStr">
        <is>
          <t>USA</t>
        </is>
      </c>
      <c r="C92" s="9" t="inlineStr">
        <is>
          <t>New York City</t>
        </is>
      </c>
      <c r="D92" s="9" t="inlineStr">
        <is>
          <t>Statue of Liberty; American Museum of Natural History</t>
        </is>
      </c>
      <c r="E92" s="9" t="inlineStr">
        <is>
          <t>Landmark</t>
        </is>
      </c>
      <c r="F92" s="9" t="inlineStr">
        <is>
          <t>USA yatra</t>
        </is>
      </c>
      <c r="G92" s="9" t="inlineStr">
        <is>
          <t>USA Yatra route (brochure dated 22 Apr-8 May; stamped trip 4-30 Sep 2025 - confirm)</t>
        </is>
      </c>
      <c r="H92" s="9" t="inlineStr"/>
    </row>
    <row r="93">
      <c r="A93" s="9" t="n">
        <v>89</v>
      </c>
      <c r="B93" s="9" t="inlineStr">
        <is>
          <t>USA</t>
        </is>
      </c>
      <c r="C93" s="9" t="inlineStr">
        <is>
          <t>Baltimore</t>
        </is>
      </c>
      <c r="D93" s="9" t="inlineStr">
        <is>
          <t>ISKCON Baltimore</t>
        </is>
      </c>
      <c r="E93" s="9" t="inlineStr">
        <is>
          <t>ISKCON/Temple</t>
        </is>
      </c>
      <c r="F93" s="9" t="inlineStr">
        <is>
          <t>USA yatra</t>
        </is>
      </c>
      <c r="G93" s="9" t="inlineStr">
        <is>
          <t>USA Yatra route (brochure dated 22 Apr-8 May; stamped trip 4-30 Sep 2025 - confirm)</t>
        </is>
      </c>
      <c r="H93" s="9" t="inlineStr"/>
    </row>
    <row r="94">
      <c r="A94" s="9" t="n">
        <v>90</v>
      </c>
      <c r="B94" s="9" t="inlineStr">
        <is>
          <t>USA</t>
        </is>
      </c>
      <c r="C94" s="9" t="inlineStr">
        <is>
          <t>Washington DC</t>
        </is>
      </c>
      <c r="D94" s="9" t="inlineStr">
        <is>
          <t>US Capitol Visitor Center, National Mall, White House, Lincoln Memorial, Washington Monument, WWII Memorial, Smithsonian Air &amp; Space</t>
        </is>
      </c>
      <c r="E94" s="9" t="inlineStr">
        <is>
          <t>Landmark</t>
        </is>
      </c>
      <c r="F94" s="9" t="inlineStr">
        <is>
          <t>USA yatra</t>
        </is>
      </c>
      <c r="G94" s="9" t="inlineStr">
        <is>
          <t>USA Yatra route (brochure dated 22 Apr-8 May; stamped trip 4-30 Sep 2025 - confirm)</t>
        </is>
      </c>
      <c r="H94" s="9" t="inlineStr"/>
    </row>
    <row r="95">
      <c r="A95" s="9" t="n">
        <v>91</v>
      </c>
      <c r="B95" s="9" t="inlineStr">
        <is>
          <t>USA</t>
        </is>
      </c>
      <c r="C95" s="9" t="inlineStr">
        <is>
          <t>Fairfax VA</t>
        </is>
      </c>
      <c r="D95" s="9" t="inlineStr">
        <is>
          <t>Sri Venkateswara Lotus Temple</t>
        </is>
      </c>
      <c r="E95" s="9" t="inlineStr">
        <is>
          <t>ISKCON/Temple</t>
        </is>
      </c>
      <c r="F95" s="9" t="inlineStr">
        <is>
          <t>USA yatra</t>
        </is>
      </c>
      <c r="G95" s="9" t="inlineStr">
        <is>
          <t>USA Yatra route (brochure dated 22 Apr-8 May; stamped trip 4-30 Sep 2025 - confirm)</t>
        </is>
      </c>
      <c r="H95" s="9" t="inlineStr"/>
    </row>
    <row r="96">
      <c r="A96" s="9" t="n">
        <v>92</v>
      </c>
      <c r="B96" s="9" t="inlineStr">
        <is>
          <t>USA</t>
        </is>
      </c>
      <c r="C96" s="9" t="inlineStr">
        <is>
          <t>New Vrindaban WV</t>
        </is>
      </c>
      <c r="D96" s="9" t="inlineStr">
        <is>
          <t>Prabhupada's Palace of Gold; Matchless Gifts</t>
        </is>
      </c>
      <c r="E96" s="9" t="inlineStr">
        <is>
          <t>ISKCON/Temple</t>
        </is>
      </c>
      <c r="F96" s="9" t="inlineStr">
        <is>
          <t>USA yatra</t>
        </is>
      </c>
      <c r="G96" s="9" t="inlineStr">
        <is>
          <t>USA Yatra route (brochure dated 22 Apr-8 May; stamped trip 4-30 Sep 2025 - confirm)</t>
        </is>
      </c>
      <c r="H96" s="9" t="inlineStr"/>
    </row>
    <row r="97">
      <c r="A97" s="9" t="n">
        <v>93</v>
      </c>
      <c r="B97" s="9" t="inlineStr">
        <is>
          <t>USA</t>
        </is>
      </c>
      <c r="C97" s="9" t="inlineStr">
        <is>
          <t>Pittsburgh</t>
        </is>
      </c>
      <c r="D97" s="9" t="inlineStr">
        <is>
          <t>Sri Venkateswara Temple, Penn Hills</t>
        </is>
      </c>
      <c r="E97" s="9" t="inlineStr">
        <is>
          <t>ISKCON/Temple</t>
        </is>
      </c>
      <c r="F97" s="9" t="inlineStr">
        <is>
          <t>USA yatra</t>
        </is>
      </c>
      <c r="G97" s="9" t="inlineStr">
        <is>
          <t>USA Yatra route (brochure dated 22 Apr-8 May; stamped trip 4-30 Sep 2025 - confirm)</t>
        </is>
      </c>
      <c r="H97" s="9" t="inlineStr"/>
    </row>
    <row r="98">
      <c r="A98" s="9" t="n">
        <v>94</v>
      </c>
      <c r="B98" s="9" t="inlineStr">
        <is>
          <t>USA</t>
        </is>
      </c>
      <c r="C98" s="9" t="inlineStr">
        <is>
          <t>Niagara Falls NY</t>
        </is>
      </c>
      <c r="D98" s="9" t="inlineStr">
        <is>
          <t>Maid of the Mist, Cave of the Winds, illumination show</t>
        </is>
      </c>
      <c r="E98" s="9" t="inlineStr">
        <is>
          <t>Nature</t>
        </is>
      </c>
      <c r="F98" s="9" t="inlineStr">
        <is>
          <t>USA yatra</t>
        </is>
      </c>
      <c r="G98" s="9" t="inlineStr">
        <is>
          <t>USA Yatra route (brochure dated 22 Apr-8 May; stamped trip 4-30 Sep 2025 - confirm)</t>
        </is>
      </c>
      <c r="H98" s="9" t="inlineStr"/>
    </row>
    <row r="99">
      <c r="A99" s="9" t="n">
        <v>95</v>
      </c>
      <c r="B99" s="9" t="inlineStr">
        <is>
          <t>USA</t>
        </is>
      </c>
      <c r="C99" s="9" t="inlineStr">
        <is>
          <t>Orlando</t>
        </is>
      </c>
      <c r="D99" s="9" t="inlineStr">
        <is>
          <t>ISKCON Orlando; Walt Disney World; Universal Studios &amp; Islands of Adventure; Aquatica</t>
        </is>
      </c>
      <c r="E99" s="9" t="inlineStr">
        <is>
          <t>Landmark</t>
        </is>
      </c>
      <c r="F99" s="9" t="inlineStr">
        <is>
          <t>USA yatra</t>
        </is>
      </c>
      <c r="G99" s="9" t="inlineStr">
        <is>
          <t>USA Yatra route (brochure dated 22 Apr-8 May; stamped trip 4-30 Sep 2025 - confirm)</t>
        </is>
      </c>
      <c r="H99" s="9" t="inlineStr"/>
    </row>
    <row r="100">
      <c r="A100" s="9" t="n">
        <v>96</v>
      </c>
      <c r="B100" s="9" t="inlineStr">
        <is>
          <t>USA</t>
        </is>
      </c>
      <c r="C100" s="9" t="inlineStr">
        <is>
          <t>Los Angeles</t>
        </is>
      </c>
      <c r="D100" s="9" t="inlineStr">
        <is>
          <t>ISKCON LA New Dvaraka (Watseka Ave); ISKCON Laguna Beach; Hollywood Walk of Fame &amp; TCL Chinese Theatre</t>
        </is>
      </c>
      <c r="E100" s="9" t="inlineStr">
        <is>
          <t>ISKCON/Temple</t>
        </is>
      </c>
      <c r="F100" s="9" t="inlineStr">
        <is>
          <t>USA yatra</t>
        </is>
      </c>
      <c r="G100" s="9" t="inlineStr">
        <is>
          <t>USA Yatra route (brochure dated 22 Apr-8 May; stamped trip 4-30 Sep 2025 - confirm)</t>
        </is>
      </c>
      <c r="H100" s="9" t="inlineStr"/>
    </row>
    <row r="101">
      <c r="A101" s="9" t="n">
        <v>97</v>
      </c>
      <c r="B101" s="9" t="inlineStr">
        <is>
          <t>USA</t>
        </is>
      </c>
      <c r="C101" s="9" t="inlineStr">
        <is>
          <t>San Jose</t>
        </is>
      </c>
      <c r="D101" s="9" t="inlineStr">
        <is>
          <t>Krishna Balaram Balaji Mandir (India Heritage Foundation)</t>
        </is>
      </c>
      <c r="E101" s="9" t="inlineStr">
        <is>
          <t>ISKCON/Temple</t>
        </is>
      </c>
      <c r="F101" s="9" t="inlineStr">
        <is>
          <t>USA yatra</t>
        </is>
      </c>
      <c r="G101" s="9" t="inlineStr">
        <is>
          <t>USA Yatra route (brochure dated 22 Apr-8 May; stamped trip 4-30 Sep 2025 - confirm)</t>
        </is>
      </c>
      <c r="H101" s="9" t="inlineStr"/>
    </row>
    <row r="102">
      <c r="A102" s="9" t="n">
        <v>98</v>
      </c>
      <c r="B102" s="9" t="inlineStr">
        <is>
          <t>USA</t>
        </is>
      </c>
      <c r="C102" s="9" t="inlineStr">
        <is>
          <t>San Francisco</t>
        </is>
      </c>
      <c r="D102" s="9" t="inlineStr">
        <is>
          <t>Golden Gate Bridge &amp; Park, Palace of Fine Arts, Pier 39 / Fisherman's Wharf, hop-on-hop-off</t>
        </is>
      </c>
      <c r="E102" s="9" t="inlineStr">
        <is>
          <t>Landmark</t>
        </is>
      </c>
      <c r="F102" s="9" t="inlineStr">
        <is>
          <t>USA yatra</t>
        </is>
      </c>
      <c r="G102" s="9" t="inlineStr">
        <is>
          <t>USA Yatra route (brochure dated 22 Apr-8 May; stamped trip 4-30 Sep 2025 - confirm)</t>
        </is>
      </c>
      <c r="H102" s="9" t="inlineStr"/>
    </row>
    <row r="103">
      <c r="A103" s="9" t="n">
        <v>99</v>
      </c>
      <c r="B103" s="9" t="inlineStr">
        <is>
          <t>USA</t>
        </is>
      </c>
      <c r="C103" s="9" t="inlineStr">
        <is>
          <t>Berkeley / Mountain View</t>
        </is>
      </c>
      <c r="D103" s="9" t="inlineStr">
        <is>
          <t>ISKCON Berkeley; ISKCON Silicon Valley (Mountain View); Google campus</t>
        </is>
      </c>
      <c r="E103" s="9" t="inlineStr">
        <is>
          <t>ISKCON/Temple</t>
        </is>
      </c>
      <c r="F103" s="9" t="inlineStr">
        <is>
          <t>USA yatra</t>
        </is>
      </c>
      <c r="G103" s="9" t="inlineStr">
        <is>
          <t>USA Yatra route (brochure dated 22 Apr-8 May; stamped trip 4-30 Sep 2025 - confirm)</t>
        </is>
      </c>
      <c r="H103" s="9" t="inlineStr"/>
    </row>
    <row r="104">
      <c r="A104" s="9" t="n">
        <v>100</v>
      </c>
      <c r="B104" s="9" t="inlineStr">
        <is>
          <t>Thailand</t>
        </is>
      </c>
      <c r="C104" s="9" t="inlineStr">
        <is>
          <t>Bangkok (BKK)</t>
        </is>
      </c>
      <c r="D104" s="11" t="inlineStr">
        <is>
          <t>Bangkok</t>
        </is>
      </c>
      <c r="E104" s="9" t="inlineStr">
        <is>
          <t>City tour</t>
        </is>
      </c>
      <c r="F104" s="9" t="inlineStr">
        <is>
          <t>Feb 2023 (x2); Jun 2023</t>
        </is>
      </c>
      <c r="G104" s="9" t="inlineStr">
        <is>
          <t>Passport stamps</t>
        </is>
      </c>
      <c r="H104" s="9" t="inlineStr">
        <is>
          <t>Add sites (ISKCON Bangkok, Wat Arun, Grand Palace...)</t>
        </is>
      </c>
    </row>
    <row r="105">
      <c r="A105" s="9" t="n">
        <v>101</v>
      </c>
      <c r="B105" s="9" t="inlineStr">
        <is>
          <t>Cambodia</t>
        </is>
      </c>
      <c r="C105" s="9" t="inlineStr">
        <is>
          <t>Siem Reap</t>
        </is>
      </c>
      <c r="D105" s="11" t="inlineStr">
        <is>
          <t>Angkor Wat / Angkor Thom</t>
        </is>
      </c>
      <c r="E105" s="9" t="inlineStr">
        <is>
          <t>Landmark</t>
        </is>
      </c>
      <c r="F105" s="9" t="inlineStr">
        <is>
          <t>Feb 2023; Jun 2023</t>
        </is>
      </c>
      <c r="G105" s="9" t="inlineStr">
        <is>
          <t>Passport stamps (Siem Reap)</t>
        </is>
      </c>
      <c r="H105" s="9" t="inlineStr">
        <is>
          <t>Confirm sites</t>
        </is>
      </c>
    </row>
    <row r="106">
      <c r="A106" s="9" t="n">
        <v>102</v>
      </c>
      <c r="B106" s="9" t="inlineStr">
        <is>
          <t>UAE</t>
        </is>
      </c>
      <c r="C106" s="9" t="inlineStr">
        <is>
          <t>Dubai</t>
        </is>
      </c>
      <c r="D106" s="11" t="inlineStr">
        <is>
          <t>Dubai</t>
        </is>
      </c>
      <c r="E106" s="9" t="inlineStr">
        <is>
          <t>City tour</t>
        </is>
      </c>
      <c r="F106" s="9" t="inlineStr">
        <is>
          <t>1-~5 Aug 2024</t>
        </is>
      </c>
      <c r="G106" s="9" t="inlineStr">
        <is>
          <t>Passport stamp</t>
        </is>
      </c>
      <c r="H106" s="9" t="inlineStr">
        <is>
          <t>Add sites (ISKCON Dubai Bur Dubai, Burj Khalifa...)</t>
        </is>
      </c>
    </row>
    <row r="109">
      <c r="A109" s="17" t="inlineStr">
        <is>
          <t>Counts (auto)</t>
        </is>
      </c>
    </row>
    <row r="110">
      <c r="A110" t="inlineStr">
        <is>
          <t>Places logged</t>
        </is>
      </c>
      <c r="B110">
        <f>COUNTA(D5:D406)</f>
        <v/>
      </c>
    </row>
    <row r="111">
      <c r="A111" t="inlineStr">
        <is>
          <t>ISKCON / temples</t>
        </is>
      </c>
      <c r="B111">
        <f>COUNTIF(E5:E406,"ISKCON/Temple")</f>
        <v/>
      </c>
    </row>
    <row r="112">
      <c r="A112" t="inlineStr">
        <is>
          <t>Distinct cities</t>
        </is>
      </c>
      <c r="B112">
        <f>SUMPRODUCT((C5:C106&lt;&gt;"")/COUNTIF(C5:C106,C5:C106&amp;""))</f>
        <v/>
      </c>
    </row>
  </sheetData>
  <autoFilter ref="A4:H406"/>
  <dataValidations count="1">
    <dataValidation sqref="E5:E406" showDropDown="0" showInputMessage="0" showErrorMessage="0" allowBlank="1" type="list">
      <formula1>"ISKCON/Temple,Landmark,Museum,Nature,Cruise/Ride,City tour,Transit hub"</formula1>
    </dataValidation>
  </dataValidations>
  <pageMargins left="0.75" right="0.75" top="1" bottom="1" header="0.5" footer="0.5"/>
</worksheet>
</file>

<file path=xl/worksheets/sheet9.xml><?xml version="1.0" encoding="utf-8"?>
<worksheet xmlns="http://schemas.openxmlformats.org/spreadsheetml/2006/main">
  <sheetPr>
    <tabColor rgb="001F2A44"/>
    <outlinePr summaryBelow="1" summaryRight="1"/>
    <pageSetUpPr/>
  </sheetPr>
  <dimension ref="A1:I431"/>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22" customWidth="1" min="3" max="3"/>
    <col width="24" customWidth="1" min="4" max="4"/>
    <col width="70" customWidth="1" min="5" max="5"/>
    <col width="12" customWidth="1" min="6" max="6"/>
    <col width="11" customWidth="1" min="7" max="7"/>
    <col width="12" customWidth="1" min="8" max="8"/>
    <col width="30" customWidth="1" min="9" max="9"/>
  </cols>
  <sheetData>
    <row r="1">
      <c r="A1" s="1" t="inlineStr">
        <is>
          <t>World Checklist - important monuments, temples &amp; heritage places by Country &gt; State &gt; City</t>
        </is>
      </c>
    </row>
    <row r="2">
      <c r="A2" s="2" t="inlineStr">
        <is>
          <t>Tick column G: Yes = visited, Likely = seen in your yatra dashboards (please confirm), Planned = added to future trips, blank = not yet. Add rows anywhere; the summary below counts automatically.</t>
        </is>
      </c>
    </row>
    <row r="4">
      <c r="A4" s="3" t="inlineStr">
        <is>
          <t>#</t>
        </is>
      </c>
      <c r="B4" s="3" t="inlineStr">
        <is>
          <t>Country</t>
        </is>
      </c>
      <c r="C4" s="3" t="inlineStr">
        <is>
          <t>State / region</t>
        </is>
      </c>
      <c r="D4" s="3" t="inlineStr">
        <is>
          <t>City</t>
        </is>
      </c>
      <c r="E4" s="3" t="inlineStr">
        <is>
          <t>Place(s)</t>
        </is>
      </c>
      <c r="F4" s="3" t="inlineStr">
        <is>
          <t>Category</t>
        </is>
      </c>
      <c r="G4" s="3" t="inlineStr">
        <is>
          <t>Visited?</t>
        </is>
      </c>
      <c r="H4" s="3" t="inlineStr">
        <is>
          <t>Country visited?</t>
        </is>
      </c>
      <c r="I4" s="3" t="inlineStr">
        <is>
          <t>Notes</t>
        </is>
      </c>
    </row>
    <row r="5">
      <c r="A5" s="9" t="n">
        <v>1</v>
      </c>
      <c r="B5" s="9" t="inlineStr">
        <is>
          <t>India</t>
        </is>
      </c>
      <c r="C5" s="9" t="inlineStr">
        <is>
          <t>Andhra Pradesh</t>
        </is>
      </c>
      <c r="D5" s="9" t="inlineStr">
        <is>
          <t>Tirupati</t>
        </is>
      </c>
      <c r="E5" s="9" t="inlineStr">
        <is>
          <t>Tirumala Sri Venkateswara Temple (Balaji)</t>
        </is>
      </c>
      <c r="F5" s="9" t="inlineStr">
        <is>
          <t>Temple</t>
        </is>
      </c>
      <c r="G5" s="19" t="inlineStr">
        <is>
          <t>Likely</t>
        </is>
      </c>
      <c r="H5" s="9">
        <f>IF(COUNTIF('Country Summary'!$B$5:$B$200,B5)&gt;0,"Yes","")</f>
        <v/>
      </c>
      <c r="I5" s="9" t="inlineStr"/>
    </row>
    <row r="6">
      <c r="A6" s="9" t="n">
        <v>2</v>
      </c>
      <c r="B6" s="9" t="inlineStr">
        <is>
          <t>India</t>
        </is>
      </c>
      <c r="C6" s="9" t="inlineStr">
        <is>
          <t>Andhra Pradesh</t>
        </is>
      </c>
      <c r="D6" s="9" t="inlineStr">
        <is>
          <t>Tirupati</t>
        </is>
      </c>
      <c r="E6" s="9" t="inlineStr">
        <is>
          <t>Sri Padmavathi Temple, Tiruchanur</t>
        </is>
      </c>
      <c r="F6" s="9" t="inlineStr">
        <is>
          <t>Temple</t>
        </is>
      </c>
      <c r="G6" s="19" t="inlineStr">
        <is>
          <t>Likely</t>
        </is>
      </c>
      <c r="H6" s="9">
        <f>IF(COUNTIF('Country Summary'!$B$5:$B$200,B6)&gt;0,"Yes","")</f>
        <v/>
      </c>
      <c r="I6" s="9" t="inlineStr"/>
    </row>
    <row r="7">
      <c r="A7" s="9" t="n">
        <v>3</v>
      </c>
      <c r="B7" s="9" t="inlineStr">
        <is>
          <t>India</t>
        </is>
      </c>
      <c r="C7" s="9" t="inlineStr">
        <is>
          <t>Andhra Pradesh</t>
        </is>
      </c>
      <c r="D7" s="9" t="inlineStr">
        <is>
          <t>Srikalahasti</t>
        </is>
      </c>
      <c r="E7" s="9" t="inlineStr">
        <is>
          <t>Srikalahasteeswara (Vayu linga)</t>
        </is>
      </c>
      <c r="F7" s="9" t="inlineStr">
        <is>
          <t>Temple</t>
        </is>
      </c>
      <c r="G7" s="19" t="inlineStr"/>
      <c r="H7" s="9">
        <f>IF(COUNTIF('Country Summary'!$B$5:$B$200,B7)&gt;0,"Yes","")</f>
        <v/>
      </c>
      <c r="I7" s="9" t="inlineStr"/>
    </row>
    <row r="8">
      <c r="A8" s="9" t="n">
        <v>4</v>
      </c>
      <c r="B8" s="9" t="inlineStr">
        <is>
          <t>India</t>
        </is>
      </c>
      <c r="C8" s="9" t="inlineStr">
        <is>
          <t>Andhra Pradesh</t>
        </is>
      </c>
      <c r="D8" s="9" t="inlineStr">
        <is>
          <t>Ahobilam</t>
        </is>
      </c>
      <c r="E8" s="9" t="inlineStr">
        <is>
          <t>Nava Narasimha kshetras</t>
        </is>
      </c>
      <c r="F8" s="9" t="inlineStr">
        <is>
          <t>Temple</t>
        </is>
      </c>
      <c r="G8" s="19" t="inlineStr"/>
      <c r="H8" s="9">
        <f>IF(COUNTIF('Country Summary'!$B$5:$B$200,B8)&gt;0,"Yes","")</f>
        <v/>
      </c>
      <c r="I8" s="9" t="inlineStr"/>
    </row>
    <row r="9">
      <c r="A9" s="9" t="n">
        <v>5</v>
      </c>
      <c r="B9" s="9" t="inlineStr">
        <is>
          <t>India</t>
        </is>
      </c>
      <c r="C9" s="9" t="inlineStr">
        <is>
          <t>Andhra Pradesh</t>
        </is>
      </c>
      <c r="D9" s="9" t="inlineStr">
        <is>
          <t>Srisailam</t>
        </is>
      </c>
      <c r="E9" s="9" t="inlineStr">
        <is>
          <t>Mallikarjuna Jyotirlinga &amp; Bhramaramba</t>
        </is>
      </c>
      <c r="F9" s="9" t="inlineStr">
        <is>
          <t>Temple</t>
        </is>
      </c>
      <c r="G9" s="19" t="inlineStr"/>
      <c r="H9" s="9">
        <f>IF(COUNTIF('Country Summary'!$B$5:$B$200,B9)&gt;0,"Yes","")</f>
        <v/>
      </c>
      <c r="I9" s="9" t="inlineStr"/>
    </row>
    <row r="10">
      <c r="A10" s="9" t="n">
        <v>6</v>
      </c>
      <c r="B10" s="9" t="inlineStr">
        <is>
          <t>India</t>
        </is>
      </c>
      <c r="C10" s="9" t="inlineStr">
        <is>
          <t>Andhra Pradesh</t>
        </is>
      </c>
      <c r="D10" s="9" t="inlineStr">
        <is>
          <t>Simhachalam</t>
        </is>
      </c>
      <c r="E10" s="9" t="inlineStr">
        <is>
          <t>Varaha Lakshmi Narasimha Temple</t>
        </is>
      </c>
      <c r="F10" s="9" t="inlineStr">
        <is>
          <t>Temple</t>
        </is>
      </c>
      <c r="G10" s="19" t="inlineStr"/>
      <c r="H10" s="9">
        <f>IF(COUNTIF('Country Summary'!$B$5:$B$200,B10)&gt;0,"Yes","")</f>
        <v/>
      </c>
      <c r="I10" s="9" t="inlineStr"/>
    </row>
    <row r="11">
      <c r="A11" s="9" t="n">
        <v>7</v>
      </c>
      <c r="B11" s="9" t="inlineStr">
        <is>
          <t>India</t>
        </is>
      </c>
      <c r="C11" s="9" t="inlineStr">
        <is>
          <t>Andhra Pradesh</t>
        </is>
      </c>
      <c r="D11" s="9" t="inlineStr">
        <is>
          <t>Lepakshi</t>
        </is>
      </c>
      <c r="E11" s="9" t="inlineStr">
        <is>
          <t>Veerabhadra Temple (hanging pillar)</t>
        </is>
      </c>
      <c r="F11" s="9" t="inlineStr">
        <is>
          <t>Monument</t>
        </is>
      </c>
      <c r="G11" s="19" t="inlineStr"/>
      <c r="H11" s="9">
        <f>IF(COUNTIF('Country Summary'!$B$5:$B$200,B11)&gt;0,"Yes","")</f>
        <v/>
      </c>
      <c r="I11" s="9" t="inlineStr"/>
    </row>
    <row r="12">
      <c r="A12" s="9" t="n">
        <v>8</v>
      </c>
      <c r="B12" s="9" t="inlineStr">
        <is>
          <t>India</t>
        </is>
      </c>
      <c r="C12" s="9" t="inlineStr">
        <is>
          <t>Andhra Pradesh</t>
        </is>
      </c>
      <c r="D12" s="9" t="inlineStr">
        <is>
          <t>Amaravati</t>
        </is>
      </c>
      <c r="E12" s="9" t="inlineStr">
        <is>
          <t>Amaravati Stupa &amp; Dhyana Buddha</t>
        </is>
      </c>
      <c r="F12" s="9" t="inlineStr">
        <is>
          <t>Monument</t>
        </is>
      </c>
      <c r="G12" s="19" t="inlineStr"/>
      <c r="H12" s="9">
        <f>IF(COUNTIF('Country Summary'!$B$5:$B$200,B12)&gt;0,"Yes","")</f>
        <v/>
      </c>
      <c r="I12" s="9" t="inlineStr"/>
    </row>
    <row r="13">
      <c r="A13" s="9" t="n">
        <v>9</v>
      </c>
      <c r="B13" s="9" t="inlineStr">
        <is>
          <t>India</t>
        </is>
      </c>
      <c r="C13" s="9" t="inlineStr">
        <is>
          <t>Andhra Pradesh</t>
        </is>
      </c>
      <c r="D13" s="9" t="inlineStr">
        <is>
          <t>Mantralayam</t>
        </is>
      </c>
      <c r="E13" s="9" t="inlineStr">
        <is>
          <t>Raghavendra Swamy Mutt</t>
        </is>
      </c>
      <c r="F13" s="9" t="inlineStr">
        <is>
          <t>Temple</t>
        </is>
      </c>
      <c r="G13" s="19" t="inlineStr"/>
      <c r="H13" s="9">
        <f>IF(COUNTIF('Country Summary'!$B$5:$B$200,B13)&gt;0,"Yes","")</f>
        <v/>
      </c>
      <c r="I13" s="9" t="inlineStr"/>
    </row>
    <row r="14">
      <c r="A14" s="9" t="n">
        <v>10</v>
      </c>
      <c r="B14" s="9" t="inlineStr">
        <is>
          <t>India</t>
        </is>
      </c>
      <c r="C14" s="9" t="inlineStr">
        <is>
          <t>Telangana</t>
        </is>
      </c>
      <c r="D14" s="9" t="inlineStr">
        <is>
          <t>Hyderabad</t>
        </is>
      </c>
      <c r="E14" s="9" t="inlineStr">
        <is>
          <t>Hare Krishna Golden Temple, Banjara Hills (home)</t>
        </is>
      </c>
      <c r="F14" s="9" t="inlineStr">
        <is>
          <t>ISKCON</t>
        </is>
      </c>
      <c r="G14" s="19" t="inlineStr">
        <is>
          <t>Yes</t>
        </is>
      </c>
      <c r="H14" s="9">
        <f>IF(COUNTIF('Country Summary'!$B$5:$B$200,B14)&gt;0,"Yes","")</f>
        <v/>
      </c>
      <c r="I14" s="9" t="inlineStr"/>
    </row>
    <row r="15">
      <c r="A15" s="9" t="n">
        <v>11</v>
      </c>
      <c r="B15" s="9" t="inlineStr">
        <is>
          <t>India</t>
        </is>
      </c>
      <c r="C15" s="9" t="inlineStr">
        <is>
          <t>Telangana</t>
        </is>
      </c>
      <c r="D15" s="9" t="inlineStr">
        <is>
          <t>Hyderabad</t>
        </is>
      </c>
      <c r="E15" s="9" t="inlineStr">
        <is>
          <t>Charminar &amp; Mecca Masjid</t>
        </is>
      </c>
      <c r="F15" s="9" t="inlineStr">
        <is>
          <t>Monument</t>
        </is>
      </c>
      <c r="G15" s="19" t="inlineStr"/>
      <c r="H15" s="9">
        <f>IF(COUNTIF('Country Summary'!$B$5:$B$200,B15)&gt;0,"Yes","")</f>
        <v/>
      </c>
      <c r="I15" s="9" t="inlineStr"/>
    </row>
    <row r="16">
      <c r="A16" s="9" t="n">
        <v>12</v>
      </c>
      <c r="B16" s="9" t="inlineStr">
        <is>
          <t>India</t>
        </is>
      </c>
      <c r="C16" s="9" t="inlineStr">
        <is>
          <t>Telangana</t>
        </is>
      </c>
      <c r="D16" s="9" t="inlineStr">
        <is>
          <t>Hyderabad</t>
        </is>
      </c>
      <c r="E16" s="9" t="inlineStr">
        <is>
          <t>Golconda Fort &amp; Qutb Shahi Tombs</t>
        </is>
      </c>
      <c r="F16" s="9" t="inlineStr">
        <is>
          <t>Monument</t>
        </is>
      </c>
      <c r="G16" s="19" t="inlineStr"/>
      <c r="H16" s="9">
        <f>IF(COUNTIF('Country Summary'!$B$5:$B$200,B16)&gt;0,"Yes","")</f>
        <v/>
      </c>
      <c r="I16" s="9" t="inlineStr"/>
    </row>
    <row r="17">
      <c r="A17" s="9" t="n">
        <v>13</v>
      </c>
      <c r="B17" s="9" t="inlineStr">
        <is>
          <t>India</t>
        </is>
      </c>
      <c r="C17" s="9" t="inlineStr">
        <is>
          <t>Telangana</t>
        </is>
      </c>
      <c r="D17" s="9" t="inlineStr">
        <is>
          <t>Hyderabad</t>
        </is>
      </c>
      <c r="E17" s="9" t="inlineStr">
        <is>
          <t>Salar Jung Museum</t>
        </is>
      </c>
      <c r="F17" s="9" t="inlineStr">
        <is>
          <t>Museum</t>
        </is>
      </c>
      <c r="G17" s="19" t="inlineStr"/>
      <c r="H17" s="9">
        <f>IF(COUNTIF('Country Summary'!$B$5:$B$200,B17)&gt;0,"Yes","")</f>
        <v/>
      </c>
      <c r="I17" s="9" t="inlineStr"/>
    </row>
    <row r="18">
      <c r="A18" s="9" t="n">
        <v>14</v>
      </c>
      <c r="B18" s="9" t="inlineStr">
        <is>
          <t>India</t>
        </is>
      </c>
      <c r="C18" s="9" t="inlineStr">
        <is>
          <t>Telangana</t>
        </is>
      </c>
      <c r="D18" s="9" t="inlineStr">
        <is>
          <t>Hyderabad</t>
        </is>
      </c>
      <c r="E18" s="9" t="inlineStr">
        <is>
          <t>Birla Mandir &amp; Chilkur Balaji</t>
        </is>
      </c>
      <c r="F18" s="9" t="inlineStr">
        <is>
          <t>Temple</t>
        </is>
      </c>
      <c r="G18" s="19" t="inlineStr"/>
      <c r="H18" s="9">
        <f>IF(COUNTIF('Country Summary'!$B$5:$B$200,B18)&gt;0,"Yes","")</f>
        <v/>
      </c>
      <c r="I18" s="9" t="inlineStr"/>
    </row>
    <row r="19">
      <c r="A19" s="9" t="n">
        <v>15</v>
      </c>
      <c r="B19" s="9" t="inlineStr">
        <is>
          <t>India</t>
        </is>
      </c>
      <c r="C19" s="9" t="inlineStr">
        <is>
          <t>Telangana</t>
        </is>
      </c>
      <c r="D19" s="9" t="inlineStr">
        <is>
          <t>Yadadri</t>
        </is>
      </c>
      <c r="E19" s="9" t="inlineStr">
        <is>
          <t>Yadagirigutta Lakshmi Narasimha Temple</t>
        </is>
      </c>
      <c r="F19" s="9" t="inlineStr">
        <is>
          <t>Temple</t>
        </is>
      </c>
      <c r="G19" s="19" t="inlineStr"/>
      <c r="H19" s="9">
        <f>IF(COUNTIF('Country Summary'!$B$5:$B$200,B19)&gt;0,"Yes","")</f>
        <v/>
      </c>
      <c r="I19" s="9" t="inlineStr"/>
    </row>
    <row r="20">
      <c r="A20" s="9" t="n">
        <v>16</v>
      </c>
      <c r="B20" s="9" t="inlineStr">
        <is>
          <t>India</t>
        </is>
      </c>
      <c r="C20" s="9" t="inlineStr">
        <is>
          <t>Telangana</t>
        </is>
      </c>
      <c r="D20" s="9" t="inlineStr">
        <is>
          <t>Bhadrachalam</t>
        </is>
      </c>
      <c r="E20" s="9" t="inlineStr">
        <is>
          <t>Sita Ramachandraswamy Temple</t>
        </is>
      </c>
      <c r="F20" s="9" t="inlineStr">
        <is>
          <t>Temple</t>
        </is>
      </c>
      <c r="G20" s="19" t="inlineStr"/>
      <c r="H20" s="9">
        <f>IF(COUNTIF('Country Summary'!$B$5:$B$200,B20)&gt;0,"Yes","")</f>
        <v/>
      </c>
      <c r="I20" s="9" t="inlineStr"/>
    </row>
    <row r="21">
      <c r="A21" s="9" t="n">
        <v>17</v>
      </c>
      <c r="B21" s="9" t="inlineStr">
        <is>
          <t>India</t>
        </is>
      </c>
      <c r="C21" s="9" t="inlineStr">
        <is>
          <t>Telangana</t>
        </is>
      </c>
      <c r="D21" s="9" t="inlineStr">
        <is>
          <t>Warangal</t>
        </is>
      </c>
      <c r="E21" s="9" t="inlineStr">
        <is>
          <t>Thousand Pillar Temple &amp; Warangal Fort</t>
        </is>
      </c>
      <c r="F21" s="9" t="inlineStr">
        <is>
          <t>Monument</t>
        </is>
      </c>
      <c r="G21" s="19" t="inlineStr"/>
      <c r="H21" s="9">
        <f>IF(COUNTIF('Country Summary'!$B$5:$B$200,B21)&gt;0,"Yes","")</f>
        <v/>
      </c>
      <c r="I21" s="9" t="inlineStr"/>
    </row>
    <row r="22">
      <c r="A22" s="9" t="n">
        <v>18</v>
      </c>
      <c r="B22" s="9" t="inlineStr">
        <is>
          <t>India</t>
        </is>
      </c>
      <c r="C22" s="9" t="inlineStr">
        <is>
          <t>Telangana</t>
        </is>
      </c>
      <c r="D22" s="9" t="inlineStr">
        <is>
          <t>Mulugu</t>
        </is>
      </c>
      <c r="E22" s="9" t="inlineStr">
        <is>
          <t>Ramappa (Rudreshwara) Temple - UNESCO</t>
        </is>
      </c>
      <c r="F22" s="9" t="inlineStr">
        <is>
          <t>UNESCO</t>
        </is>
      </c>
      <c r="G22" s="19" t="inlineStr"/>
      <c r="H22" s="9">
        <f>IF(COUNTIF('Country Summary'!$B$5:$B$200,B22)&gt;0,"Yes","")</f>
        <v/>
      </c>
      <c r="I22" s="9" t="inlineStr"/>
    </row>
    <row r="23">
      <c r="A23" s="9" t="n">
        <v>19</v>
      </c>
      <c r="B23" s="9" t="inlineStr">
        <is>
          <t>India</t>
        </is>
      </c>
      <c r="C23" s="9" t="inlineStr">
        <is>
          <t>Telangana</t>
        </is>
      </c>
      <c r="D23" s="9" t="inlineStr">
        <is>
          <t>Basar</t>
        </is>
      </c>
      <c r="E23" s="9" t="inlineStr">
        <is>
          <t>Gnana Saraswati Temple</t>
        </is>
      </c>
      <c r="F23" s="9" t="inlineStr">
        <is>
          <t>Temple</t>
        </is>
      </c>
      <c r="G23" s="19" t="inlineStr"/>
      <c r="H23" s="9">
        <f>IF(COUNTIF('Country Summary'!$B$5:$B$200,B23)&gt;0,"Yes","")</f>
        <v/>
      </c>
      <c r="I23" s="9" t="inlineStr"/>
    </row>
    <row r="24">
      <c r="A24" s="9" t="n">
        <v>20</v>
      </c>
      <c r="B24" s="9" t="inlineStr">
        <is>
          <t>India</t>
        </is>
      </c>
      <c r="C24" s="9" t="inlineStr">
        <is>
          <t>Karnataka</t>
        </is>
      </c>
      <c r="D24" s="9" t="inlineStr">
        <is>
          <t>Bengaluru</t>
        </is>
      </c>
      <c r="E24" s="9" t="inlineStr">
        <is>
          <t>ISKCON Sri Radha Krishna Temple, Rajajinagar</t>
        </is>
      </c>
      <c r="F24" s="9" t="inlineStr">
        <is>
          <t>ISKCON</t>
        </is>
      </c>
      <c r="G24" s="19" t="inlineStr">
        <is>
          <t>Yes</t>
        </is>
      </c>
      <c r="H24" s="9">
        <f>IF(COUNTIF('Country Summary'!$B$5:$B$200,B24)&gt;0,"Yes","")</f>
        <v/>
      </c>
      <c r="I24" s="9" t="inlineStr"/>
    </row>
    <row r="25">
      <c r="A25" s="9" t="n">
        <v>21</v>
      </c>
      <c r="B25" s="9" t="inlineStr">
        <is>
          <t>India</t>
        </is>
      </c>
      <c r="C25" s="9" t="inlineStr">
        <is>
          <t>Karnataka</t>
        </is>
      </c>
      <c r="D25" s="9" t="inlineStr">
        <is>
          <t>Bengaluru</t>
        </is>
      </c>
      <c r="E25" s="9" t="inlineStr">
        <is>
          <t>Vaikuntha Hill (ISKCON Vasanthapura)</t>
        </is>
      </c>
      <c r="F25" s="9" t="inlineStr">
        <is>
          <t>ISKCON</t>
        </is>
      </c>
      <c r="G25" s="19" t="inlineStr"/>
      <c r="H25" s="9">
        <f>IF(COUNTIF('Country Summary'!$B$5:$B$200,B25)&gt;0,"Yes","")</f>
        <v/>
      </c>
      <c r="I25" s="9" t="inlineStr"/>
    </row>
    <row r="26">
      <c r="A26" s="9" t="n">
        <v>22</v>
      </c>
      <c r="B26" s="9" t="inlineStr">
        <is>
          <t>India</t>
        </is>
      </c>
      <c r="C26" s="9" t="inlineStr">
        <is>
          <t>Karnataka</t>
        </is>
      </c>
      <c r="D26" s="9" t="inlineStr">
        <is>
          <t>Bengaluru</t>
        </is>
      </c>
      <c r="E26" s="9" t="inlineStr">
        <is>
          <t>Bull Temple, Lalbagh, Vidhana Soudha</t>
        </is>
      </c>
      <c r="F26" s="9" t="inlineStr">
        <is>
          <t>Monument</t>
        </is>
      </c>
      <c r="G26" s="19" t="inlineStr"/>
      <c r="H26" s="9">
        <f>IF(COUNTIF('Country Summary'!$B$5:$B$200,B26)&gt;0,"Yes","")</f>
        <v/>
      </c>
      <c r="I26" s="9" t="inlineStr"/>
    </row>
    <row r="27">
      <c r="A27" s="9" t="n">
        <v>23</v>
      </c>
      <c r="B27" s="9" t="inlineStr">
        <is>
          <t>India</t>
        </is>
      </c>
      <c r="C27" s="9" t="inlineStr">
        <is>
          <t>Karnataka</t>
        </is>
      </c>
      <c r="D27" s="9" t="inlineStr">
        <is>
          <t>Mysuru</t>
        </is>
      </c>
      <c r="E27" s="9" t="inlineStr">
        <is>
          <t>Mysore Palace &amp; Dasara (Jamboo Savari)</t>
        </is>
      </c>
      <c r="F27" s="9" t="inlineStr">
        <is>
          <t>Festival</t>
        </is>
      </c>
      <c r="G27" s="19" t="inlineStr"/>
      <c r="H27" s="9">
        <f>IF(COUNTIF('Country Summary'!$B$5:$B$200,B27)&gt;0,"Yes","")</f>
        <v/>
      </c>
      <c r="I27" s="9" t="inlineStr"/>
    </row>
    <row r="28">
      <c r="A28" s="9" t="n">
        <v>24</v>
      </c>
      <c r="B28" s="9" t="inlineStr">
        <is>
          <t>India</t>
        </is>
      </c>
      <c r="C28" s="9" t="inlineStr">
        <is>
          <t>Karnataka</t>
        </is>
      </c>
      <c r="D28" s="9" t="inlineStr">
        <is>
          <t>Mysuru</t>
        </is>
      </c>
      <c r="E28" s="9" t="inlineStr">
        <is>
          <t>Chamundeshwari Temple, Chamundi Hill</t>
        </is>
      </c>
      <c r="F28" s="9" t="inlineStr">
        <is>
          <t>Temple</t>
        </is>
      </c>
      <c r="G28" s="19" t="inlineStr">
        <is>
          <t>Likely</t>
        </is>
      </c>
      <c r="H28" s="9">
        <f>IF(COUNTIF('Country Summary'!$B$5:$B$200,B28)&gt;0,"Yes","")</f>
        <v/>
      </c>
      <c r="I28" s="9" t="inlineStr"/>
    </row>
    <row r="29">
      <c r="A29" s="9" t="n">
        <v>25</v>
      </c>
      <c r="B29" s="9" t="inlineStr">
        <is>
          <t>India</t>
        </is>
      </c>
      <c r="C29" s="9" t="inlineStr">
        <is>
          <t>Karnataka</t>
        </is>
      </c>
      <c r="D29" s="9" t="inlineStr">
        <is>
          <t>Mysuru</t>
        </is>
      </c>
      <c r="E29" s="9" t="inlineStr">
        <is>
          <t>ISKCON Mysore</t>
        </is>
      </c>
      <c r="F29" s="9" t="inlineStr">
        <is>
          <t>ISKCON</t>
        </is>
      </c>
      <c r="G29" s="19" t="inlineStr">
        <is>
          <t>Likely</t>
        </is>
      </c>
      <c r="H29" s="9">
        <f>IF(COUNTIF('Country Summary'!$B$5:$B$200,B29)&gt;0,"Yes","")</f>
        <v/>
      </c>
      <c r="I29" s="9" t="inlineStr"/>
    </row>
    <row r="30">
      <c r="A30" s="9" t="n">
        <v>26</v>
      </c>
      <c r="B30" s="9" t="inlineStr">
        <is>
          <t>India</t>
        </is>
      </c>
      <c r="C30" s="9" t="inlineStr">
        <is>
          <t>Karnataka</t>
        </is>
      </c>
      <c r="D30" s="9" t="inlineStr">
        <is>
          <t>Srirangapatna</t>
        </is>
      </c>
      <c r="E30" s="9" t="inlineStr">
        <is>
          <t>Ranganathaswamy Temple</t>
        </is>
      </c>
      <c r="F30" s="9" t="inlineStr">
        <is>
          <t>Temple</t>
        </is>
      </c>
      <c r="G30" s="19" t="inlineStr"/>
      <c r="H30" s="9">
        <f>IF(COUNTIF('Country Summary'!$B$5:$B$200,B30)&gt;0,"Yes","")</f>
        <v/>
      </c>
      <c r="I30" s="9" t="inlineStr"/>
    </row>
    <row r="31">
      <c r="A31" s="9" t="n">
        <v>27</v>
      </c>
      <c r="B31" s="9" t="inlineStr">
        <is>
          <t>India</t>
        </is>
      </c>
      <c r="C31" s="9" t="inlineStr">
        <is>
          <t>Karnataka</t>
        </is>
      </c>
      <c r="D31" s="9" t="inlineStr">
        <is>
          <t>Melukote</t>
        </is>
      </c>
      <c r="E31" s="9" t="inlineStr">
        <is>
          <t>Cheluvanarayana &amp; Yoga Narasimha</t>
        </is>
      </c>
      <c r="F31" s="9" t="inlineStr">
        <is>
          <t>Temple</t>
        </is>
      </c>
      <c r="G31" s="19" t="inlineStr"/>
      <c r="H31" s="9">
        <f>IF(COUNTIF('Country Summary'!$B$5:$B$200,B31)&gt;0,"Yes","")</f>
        <v/>
      </c>
      <c r="I31" s="9" t="inlineStr"/>
    </row>
    <row r="32">
      <c r="A32" s="9" t="n">
        <v>28</v>
      </c>
      <c r="B32" s="9" t="inlineStr">
        <is>
          <t>India</t>
        </is>
      </c>
      <c r="C32" s="9" t="inlineStr">
        <is>
          <t>Karnataka</t>
        </is>
      </c>
      <c r="D32" s="9" t="inlineStr">
        <is>
          <t>Hampi</t>
        </is>
      </c>
      <c r="E32" s="9" t="inlineStr">
        <is>
          <t>Hampi (Vijayanagara) - Virupaksha, Vittala stone chariot - UNESCO</t>
        </is>
      </c>
      <c r="F32" s="9" t="inlineStr">
        <is>
          <t>UNESCO</t>
        </is>
      </c>
      <c r="G32" s="19" t="inlineStr"/>
      <c r="H32" s="9">
        <f>IF(COUNTIF('Country Summary'!$B$5:$B$200,B32)&gt;0,"Yes","")</f>
        <v/>
      </c>
      <c r="I32" s="9" t="inlineStr"/>
    </row>
    <row r="33">
      <c r="A33" s="9" t="n">
        <v>29</v>
      </c>
      <c r="B33" s="9" t="inlineStr">
        <is>
          <t>India</t>
        </is>
      </c>
      <c r="C33" s="9" t="inlineStr">
        <is>
          <t>Karnataka</t>
        </is>
      </c>
      <c r="D33" s="9" t="inlineStr">
        <is>
          <t>Pattadakal / Badami / Aihole</t>
        </is>
      </c>
      <c r="E33" s="9" t="inlineStr">
        <is>
          <t>Chalukya temples &amp; cave temples - UNESCO</t>
        </is>
      </c>
      <c r="F33" s="9" t="inlineStr">
        <is>
          <t>UNESCO</t>
        </is>
      </c>
      <c r="G33" s="19" t="inlineStr"/>
      <c r="H33" s="9">
        <f>IF(COUNTIF('Country Summary'!$B$5:$B$200,B33)&gt;0,"Yes","")</f>
        <v/>
      </c>
      <c r="I33" s="9" t="inlineStr"/>
    </row>
    <row r="34">
      <c r="A34" s="9" t="n">
        <v>30</v>
      </c>
      <c r="B34" s="9" t="inlineStr">
        <is>
          <t>India</t>
        </is>
      </c>
      <c r="C34" s="9" t="inlineStr">
        <is>
          <t>Karnataka</t>
        </is>
      </c>
      <c r="D34" s="9" t="inlineStr">
        <is>
          <t>Belur &amp; Halebidu</t>
        </is>
      </c>
      <c r="E34" s="9" t="inlineStr">
        <is>
          <t>Hoysala temples (Chennakeshava, Hoysaleswara) - UNESCO</t>
        </is>
      </c>
      <c r="F34" s="9" t="inlineStr">
        <is>
          <t>UNESCO</t>
        </is>
      </c>
      <c r="G34" s="19" t="inlineStr">
        <is>
          <t>Likely</t>
        </is>
      </c>
      <c r="H34" s="9">
        <f>IF(COUNTIF('Country Summary'!$B$5:$B$200,B34)&gt;0,"Yes","")</f>
        <v/>
      </c>
      <c r="I34" s="9" t="inlineStr"/>
    </row>
    <row r="35">
      <c r="A35" s="9" t="n">
        <v>31</v>
      </c>
      <c r="B35" s="9" t="inlineStr">
        <is>
          <t>India</t>
        </is>
      </c>
      <c r="C35" s="9" t="inlineStr">
        <is>
          <t>Karnataka</t>
        </is>
      </c>
      <c r="D35" s="9" t="inlineStr">
        <is>
          <t>Somanathapura</t>
        </is>
      </c>
      <c r="E35" s="9" t="inlineStr">
        <is>
          <t>Keshava Temple - UNESCO (Hoysala)</t>
        </is>
      </c>
      <c r="F35" s="9" t="inlineStr">
        <is>
          <t>UNESCO</t>
        </is>
      </c>
      <c r="G35" s="19" t="inlineStr"/>
      <c r="H35" s="9">
        <f>IF(COUNTIF('Country Summary'!$B$5:$B$200,B35)&gt;0,"Yes","")</f>
        <v/>
      </c>
      <c r="I35" s="9" t="inlineStr"/>
    </row>
    <row r="36">
      <c r="A36" s="9" t="n">
        <v>32</v>
      </c>
      <c r="B36" s="9" t="inlineStr">
        <is>
          <t>India</t>
        </is>
      </c>
      <c r="C36" s="9" t="inlineStr">
        <is>
          <t>Karnataka</t>
        </is>
      </c>
      <c r="D36" s="9" t="inlineStr">
        <is>
          <t>Shravanabelagola</t>
        </is>
      </c>
      <c r="E36" s="9" t="inlineStr">
        <is>
          <t>Gomateshwara (Bahubali) statue</t>
        </is>
      </c>
      <c r="F36" s="9" t="inlineStr">
        <is>
          <t>Monument</t>
        </is>
      </c>
      <c r="G36" s="19" t="inlineStr"/>
      <c r="H36" s="9">
        <f>IF(COUNTIF('Country Summary'!$B$5:$B$200,B36)&gt;0,"Yes","")</f>
        <v/>
      </c>
      <c r="I36" s="9" t="inlineStr"/>
    </row>
    <row r="37">
      <c r="A37" s="9" t="n">
        <v>33</v>
      </c>
      <c r="B37" s="9" t="inlineStr">
        <is>
          <t>India</t>
        </is>
      </c>
      <c r="C37" s="9" t="inlineStr">
        <is>
          <t>Karnataka</t>
        </is>
      </c>
      <c r="D37" s="9" t="inlineStr">
        <is>
          <t>Udupi</t>
        </is>
      </c>
      <c r="E37" s="9" t="inlineStr">
        <is>
          <t>Sri Krishna Matha (Kanakana Kindi)</t>
        </is>
      </c>
      <c r="F37" s="9" t="inlineStr">
        <is>
          <t>Temple</t>
        </is>
      </c>
      <c r="G37" s="19" t="inlineStr"/>
      <c r="H37" s="9">
        <f>IF(COUNTIF('Country Summary'!$B$5:$B$200,B37)&gt;0,"Yes","")</f>
        <v/>
      </c>
      <c r="I37" s="9" t="inlineStr"/>
    </row>
    <row r="38">
      <c r="A38" s="9" t="n">
        <v>34</v>
      </c>
      <c r="B38" s="9" t="inlineStr">
        <is>
          <t>India</t>
        </is>
      </c>
      <c r="C38" s="9" t="inlineStr">
        <is>
          <t>Karnataka</t>
        </is>
      </c>
      <c r="D38" s="9" t="inlineStr">
        <is>
          <t>Kollur / Dharmasthala / Kukke</t>
        </is>
      </c>
      <c r="E38" s="9" t="inlineStr">
        <is>
          <t>Mookambika, Manjunatha, Subrahmanya</t>
        </is>
      </c>
      <c r="F38" s="9" t="inlineStr">
        <is>
          <t>Temple</t>
        </is>
      </c>
      <c r="G38" s="19" t="inlineStr"/>
      <c r="H38" s="9">
        <f>IF(COUNTIF('Country Summary'!$B$5:$B$200,B38)&gt;0,"Yes","")</f>
        <v/>
      </c>
      <c r="I38" s="9" t="inlineStr"/>
    </row>
    <row r="39">
      <c r="A39" s="9" t="n">
        <v>35</v>
      </c>
      <c r="B39" s="9" t="inlineStr">
        <is>
          <t>India</t>
        </is>
      </c>
      <c r="C39" s="9" t="inlineStr">
        <is>
          <t>Karnataka</t>
        </is>
      </c>
      <c r="D39" s="9" t="inlineStr">
        <is>
          <t>Gokarna</t>
        </is>
      </c>
      <c r="E39" s="9" t="inlineStr">
        <is>
          <t>Mahabaleshwar Temple (Atmalinga)</t>
        </is>
      </c>
      <c r="F39" s="9" t="inlineStr">
        <is>
          <t>Temple</t>
        </is>
      </c>
      <c r="G39" s="19" t="inlineStr"/>
      <c r="H39" s="9">
        <f>IF(COUNTIF('Country Summary'!$B$5:$B$200,B39)&gt;0,"Yes","")</f>
        <v/>
      </c>
      <c r="I39" s="9" t="inlineStr"/>
    </row>
    <row r="40">
      <c r="A40" s="9" t="n">
        <v>36</v>
      </c>
      <c r="B40" s="9" t="inlineStr">
        <is>
          <t>India</t>
        </is>
      </c>
      <c r="C40" s="9" t="inlineStr">
        <is>
          <t>Karnataka</t>
        </is>
      </c>
      <c r="D40" s="9" t="inlineStr">
        <is>
          <t>Murudeshwar</t>
        </is>
      </c>
      <c r="E40" s="9" t="inlineStr">
        <is>
          <t>Giant Shiva statue &amp; temple</t>
        </is>
      </c>
      <c r="F40" s="9" t="inlineStr">
        <is>
          <t>Temple</t>
        </is>
      </c>
      <c r="G40" s="19" t="inlineStr"/>
      <c r="H40" s="9">
        <f>IF(COUNTIF('Country Summary'!$B$5:$B$200,B40)&gt;0,"Yes","")</f>
        <v/>
      </c>
      <c r="I40" s="9" t="inlineStr"/>
    </row>
    <row r="41">
      <c r="A41" s="9" t="n">
        <v>37</v>
      </c>
      <c r="B41" s="9" t="inlineStr">
        <is>
          <t>India</t>
        </is>
      </c>
      <c r="C41" s="9" t="inlineStr">
        <is>
          <t>Karnataka</t>
        </is>
      </c>
      <c r="D41" s="9" t="inlineStr">
        <is>
          <t>Coorg</t>
        </is>
      </c>
      <c r="E41" s="9" t="inlineStr">
        <is>
          <t>Talakaveri, Bylakuppe Golden Temple</t>
        </is>
      </c>
      <c r="F41" s="9" t="inlineStr">
        <is>
          <t>Nature</t>
        </is>
      </c>
      <c r="G41" s="19" t="inlineStr">
        <is>
          <t>Likely</t>
        </is>
      </c>
      <c r="H41" s="9">
        <f>IF(COUNTIF('Country Summary'!$B$5:$B$200,B41)&gt;0,"Yes","")</f>
        <v/>
      </c>
      <c r="I41" s="9" t="inlineStr"/>
    </row>
    <row r="42">
      <c r="A42" s="9" t="n">
        <v>38</v>
      </c>
      <c r="B42" s="9" t="inlineStr">
        <is>
          <t>India</t>
        </is>
      </c>
      <c r="C42" s="9" t="inlineStr">
        <is>
          <t>Karnataka</t>
        </is>
      </c>
      <c r="D42" s="9" t="inlineStr">
        <is>
          <t>Chikkamagaluru</t>
        </is>
      </c>
      <c r="E42" s="9" t="inlineStr">
        <is>
          <t>Sringeri Sharada Peetham, Horanadu</t>
        </is>
      </c>
      <c r="F42" s="9" t="inlineStr">
        <is>
          <t>Temple</t>
        </is>
      </c>
      <c r="G42" s="19" t="inlineStr">
        <is>
          <t>Likely</t>
        </is>
      </c>
      <c r="H42" s="9">
        <f>IF(COUNTIF('Country Summary'!$B$5:$B$200,B42)&gt;0,"Yes","")</f>
        <v/>
      </c>
      <c r="I42" s="9" t="inlineStr"/>
    </row>
    <row r="43">
      <c r="A43" s="9" t="n">
        <v>39</v>
      </c>
      <c r="B43" s="9" t="inlineStr">
        <is>
          <t>India</t>
        </is>
      </c>
      <c r="C43" s="9" t="inlineStr">
        <is>
          <t>Karnataka</t>
        </is>
      </c>
      <c r="D43" s="9" t="inlineStr">
        <is>
          <t>Yana</t>
        </is>
      </c>
      <c r="E43" s="9" t="inlineStr">
        <is>
          <t>Yana caves</t>
        </is>
      </c>
      <c r="F43" s="9" t="inlineStr">
        <is>
          <t>Nature</t>
        </is>
      </c>
      <c r="G43" s="19" t="inlineStr">
        <is>
          <t>Likely</t>
        </is>
      </c>
      <c r="H43" s="9">
        <f>IF(COUNTIF('Country Summary'!$B$5:$B$200,B43)&gt;0,"Yes","")</f>
        <v/>
      </c>
      <c r="I43" s="9" t="inlineStr"/>
    </row>
    <row r="44">
      <c r="A44" s="9" t="n">
        <v>40</v>
      </c>
      <c r="B44" s="9" t="inlineStr">
        <is>
          <t>India</t>
        </is>
      </c>
      <c r="C44" s="9" t="inlineStr">
        <is>
          <t>Karnataka</t>
        </is>
      </c>
      <c r="D44" s="9" t="inlineStr">
        <is>
          <t>Bijapur (Vijayapura)</t>
        </is>
      </c>
      <c r="E44" s="9" t="inlineStr">
        <is>
          <t>Gol Gumbaz</t>
        </is>
      </c>
      <c r="F44" s="9" t="inlineStr">
        <is>
          <t>Monument</t>
        </is>
      </c>
      <c r="G44" s="19" t="inlineStr"/>
      <c r="H44" s="9">
        <f>IF(COUNTIF('Country Summary'!$B$5:$B$200,B44)&gt;0,"Yes","")</f>
        <v/>
      </c>
      <c r="I44" s="9" t="inlineStr"/>
    </row>
    <row r="45">
      <c r="A45" s="9" t="n">
        <v>41</v>
      </c>
      <c r="B45" s="9" t="inlineStr">
        <is>
          <t>India</t>
        </is>
      </c>
      <c r="C45" s="9" t="inlineStr">
        <is>
          <t>Tamil Nadu</t>
        </is>
      </c>
      <c r="D45" s="9" t="inlineStr">
        <is>
          <t>Chennai</t>
        </is>
      </c>
      <c r="E45" s="9" t="inlineStr">
        <is>
          <t>ISKCON Chennai (Sholinganallur); Kapaleeshwarar; Parthasarathy</t>
        </is>
      </c>
      <c r="F45" s="9" t="inlineStr">
        <is>
          <t>Temple</t>
        </is>
      </c>
      <c r="G45" s="19" t="inlineStr"/>
      <c r="H45" s="9">
        <f>IF(COUNTIF('Country Summary'!$B$5:$B$200,B45)&gt;0,"Yes","")</f>
        <v/>
      </c>
      <c r="I45" s="9" t="inlineStr"/>
    </row>
    <row r="46">
      <c r="A46" s="9" t="n">
        <v>42</v>
      </c>
      <c r="B46" s="9" t="inlineStr">
        <is>
          <t>India</t>
        </is>
      </c>
      <c r="C46" s="9" t="inlineStr">
        <is>
          <t>Tamil Nadu</t>
        </is>
      </c>
      <c r="D46" s="9" t="inlineStr">
        <is>
          <t>Mahabalipuram</t>
        </is>
      </c>
      <c r="E46" s="9" t="inlineStr">
        <is>
          <t>Shore Temple, Pancha Rathas - UNESCO</t>
        </is>
      </c>
      <c r="F46" s="9" t="inlineStr">
        <is>
          <t>UNESCO</t>
        </is>
      </c>
      <c r="G46" s="19" t="inlineStr"/>
      <c r="H46" s="9">
        <f>IF(COUNTIF('Country Summary'!$B$5:$B$200,B46)&gt;0,"Yes","")</f>
        <v/>
      </c>
      <c r="I46" s="9" t="inlineStr"/>
    </row>
    <row r="47">
      <c r="A47" s="9" t="n">
        <v>43</v>
      </c>
      <c r="B47" s="9" t="inlineStr">
        <is>
          <t>India</t>
        </is>
      </c>
      <c r="C47" s="9" t="inlineStr">
        <is>
          <t>Tamil Nadu</t>
        </is>
      </c>
      <c r="D47" s="9" t="inlineStr">
        <is>
          <t>Kanchipuram</t>
        </is>
      </c>
      <c r="E47" s="9" t="inlineStr">
        <is>
          <t>Varadaraja Perumal, Ekambareswarar, Kamakshi</t>
        </is>
      </c>
      <c r="F47" s="9" t="inlineStr">
        <is>
          <t>Temple</t>
        </is>
      </c>
      <c r="G47" s="19" t="inlineStr"/>
      <c r="H47" s="9">
        <f>IF(COUNTIF('Country Summary'!$B$5:$B$200,B47)&gt;0,"Yes","")</f>
        <v/>
      </c>
      <c r="I47" s="9" t="inlineStr"/>
    </row>
    <row r="48">
      <c r="A48" s="9" t="n">
        <v>44</v>
      </c>
      <c r="B48" s="9" t="inlineStr">
        <is>
          <t>India</t>
        </is>
      </c>
      <c r="C48" s="9" t="inlineStr">
        <is>
          <t>Tamil Nadu</t>
        </is>
      </c>
      <c r="D48" s="9" t="inlineStr">
        <is>
          <t>Srirangam</t>
        </is>
      </c>
      <c r="E48" s="9" t="inlineStr">
        <is>
          <t>Sri Ranganathaswamy Temple (largest functioning temple)</t>
        </is>
      </c>
      <c r="F48" s="9" t="inlineStr">
        <is>
          <t>Temple</t>
        </is>
      </c>
      <c r="G48" s="19" t="inlineStr">
        <is>
          <t>Yes</t>
        </is>
      </c>
      <c r="H48" s="9">
        <f>IF(COUNTIF('Country Summary'!$B$5:$B$200,B48)&gt;0,"Yes","")</f>
        <v/>
      </c>
      <c r="I48" s="9" t="inlineStr"/>
    </row>
    <row r="49">
      <c r="A49" s="9" t="n">
        <v>45</v>
      </c>
      <c r="B49" s="9" t="inlineStr">
        <is>
          <t>India</t>
        </is>
      </c>
      <c r="C49" s="9" t="inlineStr">
        <is>
          <t>Tamil Nadu</t>
        </is>
      </c>
      <c r="D49" s="9" t="inlineStr">
        <is>
          <t>Thanjavur</t>
        </is>
      </c>
      <c r="E49" s="9" t="inlineStr">
        <is>
          <t>Brihadeeswara Temple - UNESCO (Great Living Chola Temples)</t>
        </is>
      </c>
      <c r="F49" s="9" t="inlineStr">
        <is>
          <t>UNESCO</t>
        </is>
      </c>
      <c r="G49" s="19" t="inlineStr"/>
      <c r="H49" s="9">
        <f>IF(COUNTIF('Country Summary'!$B$5:$B$200,B49)&gt;0,"Yes","")</f>
        <v/>
      </c>
      <c r="I49" s="9" t="inlineStr"/>
    </row>
    <row r="50">
      <c r="A50" s="9" t="n">
        <v>46</v>
      </c>
      <c r="B50" s="9" t="inlineStr">
        <is>
          <t>India</t>
        </is>
      </c>
      <c r="C50" s="9" t="inlineStr">
        <is>
          <t>Tamil Nadu</t>
        </is>
      </c>
      <c r="D50" s="9" t="inlineStr">
        <is>
          <t>Gangaikonda Cholapuram / Darasuram</t>
        </is>
      </c>
      <c r="E50" s="9" t="inlineStr">
        <is>
          <t>Chola temples - UNESCO</t>
        </is>
      </c>
      <c r="F50" s="9" t="inlineStr">
        <is>
          <t>UNESCO</t>
        </is>
      </c>
      <c r="G50" s="19" t="inlineStr"/>
      <c r="H50" s="9">
        <f>IF(COUNTIF('Country Summary'!$B$5:$B$200,B50)&gt;0,"Yes","")</f>
        <v/>
      </c>
      <c r="I50" s="9" t="inlineStr"/>
    </row>
    <row r="51">
      <c r="A51" s="9" t="n">
        <v>47</v>
      </c>
      <c r="B51" s="9" t="inlineStr">
        <is>
          <t>India</t>
        </is>
      </c>
      <c r="C51" s="9" t="inlineStr">
        <is>
          <t>Tamil Nadu</t>
        </is>
      </c>
      <c r="D51" s="9" t="inlineStr">
        <is>
          <t>Chidambaram</t>
        </is>
      </c>
      <c r="E51" s="9" t="inlineStr">
        <is>
          <t>Nataraja Temple</t>
        </is>
      </c>
      <c r="F51" s="9" t="inlineStr">
        <is>
          <t>Temple</t>
        </is>
      </c>
      <c r="G51" s="19" t="inlineStr"/>
      <c r="H51" s="9">
        <f>IF(COUNTIF('Country Summary'!$B$5:$B$200,B51)&gt;0,"Yes","")</f>
        <v/>
      </c>
      <c r="I51" s="9" t="inlineStr"/>
    </row>
    <row r="52">
      <c r="A52" s="9" t="n">
        <v>48</v>
      </c>
      <c r="B52" s="9" t="inlineStr">
        <is>
          <t>India</t>
        </is>
      </c>
      <c r="C52" s="9" t="inlineStr">
        <is>
          <t>Tamil Nadu</t>
        </is>
      </c>
      <c r="D52" s="9" t="inlineStr">
        <is>
          <t>Madurai</t>
        </is>
      </c>
      <c r="E52" s="9" t="inlineStr">
        <is>
          <t>Meenakshi Amman Temple</t>
        </is>
      </c>
      <c r="F52" s="9" t="inlineStr">
        <is>
          <t>Temple</t>
        </is>
      </c>
      <c r="G52" s="19" t="inlineStr"/>
      <c r="H52" s="9">
        <f>IF(COUNTIF('Country Summary'!$B$5:$B$200,B52)&gt;0,"Yes","")</f>
        <v/>
      </c>
      <c r="I52" s="9" t="inlineStr"/>
    </row>
    <row r="53">
      <c r="A53" s="9" t="n">
        <v>49</v>
      </c>
      <c r="B53" s="9" t="inlineStr">
        <is>
          <t>India</t>
        </is>
      </c>
      <c r="C53" s="9" t="inlineStr">
        <is>
          <t>Tamil Nadu</t>
        </is>
      </c>
      <c r="D53" s="9" t="inlineStr">
        <is>
          <t>Rameswaram</t>
        </is>
      </c>
      <c r="E53" s="9" t="inlineStr">
        <is>
          <t>Ramanathaswamy Temple &amp; Dhanushkodi</t>
        </is>
      </c>
      <c r="F53" s="9" t="inlineStr">
        <is>
          <t>Temple</t>
        </is>
      </c>
      <c r="G53" s="19" t="inlineStr"/>
      <c r="H53" s="9">
        <f>IF(COUNTIF('Country Summary'!$B$5:$B$200,B53)&gt;0,"Yes","")</f>
        <v/>
      </c>
      <c r="I53" s="9" t="inlineStr"/>
    </row>
    <row r="54">
      <c r="A54" s="9" t="n">
        <v>50</v>
      </c>
      <c r="B54" s="9" t="inlineStr">
        <is>
          <t>India</t>
        </is>
      </c>
      <c r="C54" s="9" t="inlineStr">
        <is>
          <t>Tamil Nadu</t>
        </is>
      </c>
      <c r="D54" s="9" t="inlineStr">
        <is>
          <t>Kanyakumari</t>
        </is>
      </c>
      <c r="E54" s="9" t="inlineStr">
        <is>
          <t>Vivekananda Rock, Thiruvalluvar statue, Devi temple</t>
        </is>
      </c>
      <c r="F54" s="9" t="inlineStr">
        <is>
          <t>Monument</t>
        </is>
      </c>
      <c r="G54" s="19" t="inlineStr"/>
      <c r="H54" s="9">
        <f>IF(COUNTIF('Country Summary'!$B$5:$B$200,B54)&gt;0,"Yes","")</f>
        <v/>
      </c>
      <c r="I54" s="9" t="inlineStr"/>
    </row>
    <row r="55">
      <c r="A55" s="9" t="n">
        <v>51</v>
      </c>
      <c r="B55" s="9" t="inlineStr">
        <is>
          <t>India</t>
        </is>
      </c>
      <c r="C55" s="9" t="inlineStr">
        <is>
          <t>Tamil Nadu</t>
        </is>
      </c>
      <c r="D55" s="9" t="inlineStr">
        <is>
          <t>Tiruvannamalai</t>
        </is>
      </c>
      <c r="E55" s="9" t="inlineStr">
        <is>
          <t>Arunachaleswarar &amp; Girivalam</t>
        </is>
      </c>
      <c r="F55" s="9" t="inlineStr">
        <is>
          <t>Temple</t>
        </is>
      </c>
      <c r="G55" s="19" t="inlineStr"/>
      <c r="H55" s="9">
        <f>IF(COUNTIF('Country Summary'!$B$5:$B$200,B55)&gt;0,"Yes","")</f>
        <v/>
      </c>
      <c r="I55" s="9" t="inlineStr"/>
    </row>
    <row r="56">
      <c r="A56" s="9" t="n">
        <v>52</v>
      </c>
      <c r="B56" s="9" t="inlineStr">
        <is>
          <t>India</t>
        </is>
      </c>
      <c r="C56" s="9" t="inlineStr">
        <is>
          <t>Tamil Nadu</t>
        </is>
      </c>
      <c r="D56" s="9" t="inlineStr">
        <is>
          <t>Tirunelveli / Thiruchendur</t>
        </is>
      </c>
      <c r="E56" s="9" t="inlineStr">
        <is>
          <t>Nellaiappar, Murugan (Arupadai veedu)</t>
        </is>
      </c>
      <c r="F56" s="9" t="inlineStr">
        <is>
          <t>Temple</t>
        </is>
      </c>
      <c r="G56" s="19" t="inlineStr"/>
      <c r="H56" s="9">
        <f>IF(COUNTIF('Country Summary'!$B$5:$B$200,B56)&gt;0,"Yes","")</f>
        <v/>
      </c>
      <c r="I56" s="9" t="inlineStr"/>
    </row>
    <row r="57">
      <c r="A57" s="9" t="n">
        <v>53</v>
      </c>
      <c r="B57" s="9" t="inlineStr">
        <is>
          <t>India</t>
        </is>
      </c>
      <c r="C57" s="9" t="inlineStr">
        <is>
          <t>Tamil Nadu</t>
        </is>
      </c>
      <c r="D57" s="9" t="inlineStr">
        <is>
          <t>Ooty / Kodaikanal</t>
        </is>
      </c>
      <c r="E57" s="9" t="inlineStr">
        <is>
          <t>Nilgiri Mountain Railway - UNESCO</t>
        </is>
      </c>
      <c r="F57" s="9" t="inlineStr">
        <is>
          <t>UNESCO</t>
        </is>
      </c>
      <c r="G57" s="19" t="inlineStr"/>
      <c r="H57" s="9">
        <f>IF(COUNTIF('Country Summary'!$B$5:$B$200,B57)&gt;0,"Yes","")</f>
        <v/>
      </c>
      <c r="I57" s="9" t="inlineStr"/>
    </row>
    <row r="58">
      <c r="A58" s="9" t="n">
        <v>54</v>
      </c>
      <c r="B58" s="9" t="inlineStr">
        <is>
          <t>India</t>
        </is>
      </c>
      <c r="C58" s="9" t="inlineStr">
        <is>
          <t>Kerala</t>
        </is>
      </c>
      <c r="D58" s="9" t="inlineStr">
        <is>
          <t>Guruvayur</t>
        </is>
      </c>
      <c r="E58" s="9" t="inlineStr">
        <is>
          <t>Guruvayur Sri Krishna Temple</t>
        </is>
      </c>
      <c r="F58" s="9" t="inlineStr">
        <is>
          <t>Temple</t>
        </is>
      </c>
      <c r="G58" s="19" t="inlineStr"/>
      <c r="H58" s="9">
        <f>IF(COUNTIF('Country Summary'!$B$5:$B$200,B58)&gt;0,"Yes","")</f>
        <v/>
      </c>
      <c r="I58" s="9" t="inlineStr"/>
    </row>
    <row r="59">
      <c r="A59" s="9" t="n">
        <v>55</v>
      </c>
      <c r="B59" s="9" t="inlineStr">
        <is>
          <t>India</t>
        </is>
      </c>
      <c r="C59" s="9" t="inlineStr">
        <is>
          <t>Kerala</t>
        </is>
      </c>
      <c r="D59" s="9" t="inlineStr">
        <is>
          <t>Thiruvananthapuram</t>
        </is>
      </c>
      <c r="E59" s="9" t="inlineStr">
        <is>
          <t>Sree Padmanabhaswamy Temple</t>
        </is>
      </c>
      <c r="F59" s="9" t="inlineStr">
        <is>
          <t>Temple</t>
        </is>
      </c>
      <c r="G59" s="19" t="inlineStr"/>
      <c r="H59" s="9">
        <f>IF(COUNTIF('Country Summary'!$B$5:$B$200,B59)&gt;0,"Yes","")</f>
        <v/>
      </c>
      <c r="I59" s="9" t="inlineStr"/>
    </row>
    <row r="60">
      <c r="A60" s="9" t="n">
        <v>56</v>
      </c>
      <c r="B60" s="9" t="inlineStr">
        <is>
          <t>India</t>
        </is>
      </c>
      <c r="C60" s="9" t="inlineStr">
        <is>
          <t>Kerala</t>
        </is>
      </c>
      <c r="D60" s="9" t="inlineStr">
        <is>
          <t>Sabarimala</t>
        </is>
      </c>
      <c r="E60" s="9" t="inlineStr">
        <is>
          <t>Ayyappa Temple</t>
        </is>
      </c>
      <c r="F60" s="9" t="inlineStr">
        <is>
          <t>Temple</t>
        </is>
      </c>
      <c r="G60" s="19" t="inlineStr"/>
      <c r="H60" s="9">
        <f>IF(COUNTIF('Country Summary'!$B$5:$B$200,B60)&gt;0,"Yes","")</f>
        <v/>
      </c>
      <c r="I60" s="9" t="inlineStr"/>
    </row>
    <row r="61">
      <c r="A61" s="9" t="n">
        <v>57</v>
      </c>
      <c r="B61" s="9" t="inlineStr">
        <is>
          <t>India</t>
        </is>
      </c>
      <c r="C61" s="9" t="inlineStr">
        <is>
          <t>Kerala</t>
        </is>
      </c>
      <c r="D61" s="9" t="inlineStr">
        <is>
          <t>Kochi</t>
        </is>
      </c>
      <c r="E61" s="9" t="inlineStr">
        <is>
          <t>Fort Kochi, Mattancherry, Chottanikkara</t>
        </is>
      </c>
      <c r="F61" s="9" t="inlineStr">
        <is>
          <t>Monument</t>
        </is>
      </c>
      <c r="G61" s="19" t="inlineStr"/>
      <c r="H61" s="9">
        <f>IF(COUNTIF('Country Summary'!$B$5:$B$200,B61)&gt;0,"Yes","")</f>
        <v/>
      </c>
      <c r="I61" s="9" t="inlineStr"/>
    </row>
    <row r="62">
      <c r="A62" s="9" t="n">
        <v>58</v>
      </c>
      <c r="B62" s="9" t="inlineStr">
        <is>
          <t>India</t>
        </is>
      </c>
      <c r="C62" s="9" t="inlineStr">
        <is>
          <t>Kerala</t>
        </is>
      </c>
      <c r="D62" s="9" t="inlineStr">
        <is>
          <t>Alappuzha / Kumarakom</t>
        </is>
      </c>
      <c r="E62" s="9" t="inlineStr">
        <is>
          <t>Backwaters houseboat</t>
        </is>
      </c>
      <c r="F62" s="9" t="inlineStr">
        <is>
          <t>Nature</t>
        </is>
      </c>
      <c r="G62" s="19" t="inlineStr"/>
      <c r="H62" s="9">
        <f>IF(COUNTIF('Country Summary'!$B$5:$B$200,B62)&gt;0,"Yes","")</f>
        <v/>
      </c>
      <c r="I62" s="9" t="inlineStr"/>
    </row>
    <row r="63">
      <c r="A63" s="9" t="n">
        <v>59</v>
      </c>
      <c r="B63" s="9" t="inlineStr">
        <is>
          <t>India</t>
        </is>
      </c>
      <c r="C63" s="9" t="inlineStr">
        <is>
          <t>Kerala</t>
        </is>
      </c>
      <c r="D63" s="9" t="inlineStr">
        <is>
          <t>Thrissur</t>
        </is>
      </c>
      <c r="E63" s="9" t="inlineStr">
        <is>
          <t>Vadakkunnathan &amp; Thrissur Pooram</t>
        </is>
      </c>
      <c r="F63" s="9" t="inlineStr">
        <is>
          <t>Festival</t>
        </is>
      </c>
      <c r="G63" s="19" t="inlineStr"/>
      <c r="H63" s="9">
        <f>IF(COUNTIF('Country Summary'!$B$5:$B$200,B63)&gt;0,"Yes","")</f>
        <v/>
      </c>
      <c r="I63" s="9" t="inlineStr"/>
    </row>
    <row r="64">
      <c r="A64" s="9" t="n">
        <v>60</v>
      </c>
      <c r="B64" s="9" t="inlineStr">
        <is>
          <t>India</t>
        </is>
      </c>
      <c r="C64" s="9" t="inlineStr">
        <is>
          <t>Kerala</t>
        </is>
      </c>
      <c r="D64" s="9" t="inlineStr">
        <is>
          <t>Ambalappuzha / Aranmula</t>
        </is>
      </c>
      <c r="E64" s="9" t="inlineStr">
        <is>
          <t>Sri Krishna temples</t>
        </is>
      </c>
      <c r="F64" s="9" t="inlineStr">
        <is>
          <t>Temple</t>
        </is>
      </c>
      <c r="G64" s="19" t="inlineStr"/>
      <c r="H64" s="9">
        <f>IF(COUNTIF('Country Summary'!$B$5:$B$200,B64)&gt;0,"Yes","")</f>
        <v/>
      </c>
      <c r="I64" s="9" t="inlineStr"/>
    </row>
    <row r="65">
      <c r="A65" s="9" t="n">
        <v>61</v>
      </c>
      <c r="B65" s="9" t="inlineStr">
        <is>
          <t>India</t>
        </is>
      </c>
      <c r="C65" s="9" t="inlineStr">
        <is>
          <t>Kerala</t>
        </is>
      </c>
      <c r="D65" s="9" t="inlineStr">
        <is>
          <t>Munnar</t>
        </is>
      </c>
      <c r="E65" s="9" t="inlineStr">
        <is>
          <t>Tea gardens, Eravikulam</t>
        </is>
      </c>
      <c r="F65" s="9" t="inlineStr">
        <is>
          <t>Nature</t>
        </is>
      </c>
      <c r="G65" s="19" t="inlineStr"/>
      <c r="H65" s="9">
        <f>IF(COUNTIF('Country Summary'!$B$5:$B$200,B65)&gt;0,"Yes","")</f>
        <v/>
      </c>
      <c r="I65" s="9" t="inlineStr"/>
    </row>
    <row r="66">
      <c r="A66" s="9" t="n">
        <v>62</v>
      </c>
      <c r="B66" s="9" t="inlineStr">
        <is>
          <t>India</t>
        </is>
      </c>
      <c r="C66" s="9" t="inlineStr">
        <is>
          <t>Kerala</t>
        </is>
      </c>
      <c r="D66" s="9" t="inlineStr">
        <is>
          <t>Kollam / Kanyakumari border</t>
        </is>
      </c>
      <c r="E66" s="9" t="inlineStr">
        <is>
          <t>Suchindram</t>
        </is>
      </c>
      <c r="F66" s="9" t="inlineStr">
        <is>
          <t>Temple</t>
        </is>
      </c>
      <c r="G66" s="19" t="inlineStr"/>
      <c r="H66" s="9">
        <f>IF(COUNTIF('Country Summary'!$B$5:$B$200,B66)&gt;0,"Yes","")</f>
        <v/>
      </c>
      <c r="I66" s="9" t="inlineStr"/>
    </row>
    <row r="67">
      <c r="A67" s="9" t="n">
        <v>63</v>
      </c>
      <c r="B67" s="9" t="inlineStr">
        <is>
          <t>India</t>
        </is>
      </c>
      <c r="C67" s="9" t="inlineStr">
        <is>
          <t>Maharashtra</t>
        </is>
      </c>
      <c r="D67" s="9" t="inlineStr">
        <is>
          <t>Mumbai</t>
        </is>
      </c>
      <c r="E67" s="9" t="inlineStr">
        <is>
          <t>ISKCON Juhu (Prabhupada samadhi) &amp; Chowpatty</t>
        </is>
      </c>
      <c r="F67" s="9" t="inlineStr">
        <is>
          <t>ISKCON</t>
        </is>
      </c>
      <c r="G67" s="19" t="inlineStr"/>
      <c r="H67" s="9">
        <f>IF(COUNTIF('Country Summary'!$B$5:$B$200,B67)&gt;0,"Yes","")</f>
        <v/>
      </c>
      <c r="I67" s="9" t="inlineStr"/>
    </row>
    <row r="68">
      <c r="A68" s="9" t="n">
        <v>64</v>
      </c>
      <c r="B68" s="9" t="inlineStr">
        <is>
          <t>India</t>
        </is>
      </c>
      <c r="C68" s="9" t="inlineStr">
        <is>
          <t>Maharashtra</t>
        </is>
      </c>
      <c r="D68" s="9" t="inlineStr">
        <is>
          <t>Mumbai</t>
        </is>
      </c>
      <c r="E68" s="9" t="inlineStr">
        <is>
          <t>Gateway of India, Elephanta Caves - UNESCO, CST - UNESCO</t>
        </is>
      </c>
      <c r="F68" s="9" t="inlineStr">
        <is>
          <t>UNESCO</t>
        </is>
      </c>
      <c r="G68" s="19" t="inlineStr"/>
      <c r="H68" s="9">
        <f>IF(COUNTIF('Country Summary'!$B$5:$B$200,B68)&gt;0,"Yes","")</f>
        <v/>
      </c>
      <c r="I68" s="9" t="inlineStr"/>
    </row>
    <row r="69">
      <c r="A69" s="9" t="n">
        <v>65</v>
      </c>
      <c r="B69" s="9" t="inlineStr">
        <is>
          <t>India</t>
        </is>
      </c>
      <c r="C69" s="9" t="inlineStr">
        <is>
          <t>Maharashtra</t>
        </is>
      </c>
      <c r="D69" s="9" t="inlineStr">
        <is>
          <t>Mumbai</t>
        </is>
      </c>
      <c r="E69" s="9" t="inlineStr">
        <is>
          <t>Siddhivinayak, Mahalakshmi, Babulnath, Mumba Devi</t>
        </is>
      </c>
      <c r="F69" s="9" t="inlineStr">
        <is>
          <t>Temple</t>
        </is>
      </c>
      <c r="G69" s="19" t="inlineStr"/>
      <c r="H69" s="9">
        <f>IF(COUNTIF('Country Summary'!$B$5:$B$200,B69)&gt;0,"Yes","")</f>
        <v/>
      </c>
      <c r="I69" s="9" t="inlineStr"/>
    </row>
    <row r="70">
      <c r="A70" s="9" t="n">
        <v>66</v>
      </c>
      <c r="B70" s="9" t="inlineStr">
        <is>
          <t>India</t>
        </is>
      </c>
      <c r="C70" s="9" t="inlineStr">
        <is>
          <t>Maharashtra</t>
        </is>
      </c>
      <c r="D70" s="9" t="inlineStr">
        <is>
          <t>Mumbai</t>
        </is>
      </c>
      <c r="E70" s="9" t="inlineStr">
        <is>
          <t>NMACC &amp; Jio World Centre (BKC)</t>
        </is>
      </c>
      <c r="F70" s="9" t="inlineStr">
        <is>
          <t>Modern</t>
        </is>
      </c>
      <c r="G70" s="19" t="inlineStr"/>
      <c r="H70" s="9">
        <f>IF(COUNTIF('Country Summary'!$B$5:$B$200,B70)&gt;0,"Yes","")</f>
        <v/>
      </c>
      <c r="I70" s="9" t="inlineStr"/>
    </row>
    <row r="71">
      <c r="A71" s="9" t="n">
        <v>67</v>
      </c>
      <c r="B71" s="9" t="inlineStr">
        <is>
          <t>India</t>
        </is>
      </c>
      <c r="C71" s="9" t="inlineStr">
        <is>
          <t>Maharashtra</t>
        </is>
      </c>
      <c r="D71" s="9" t="inlineStr">
        <is>
          <t>Pune</t>
        </is>
      </c>
      <c r="E71" s="9" t="inlineStr">
        <is>
          <t>ISKCON NVCC Katraj; Dagdusheth Ganapati</t>
        </is>
      </c>
      <c r="F71" s="9" t="inlineStr">
        <is>
          <t>ISKCON</t>
        </is>
      </c>
      <c r="G71" s="19" t="inlineStr"/>
      <c r="H71" s="9">
        <f>IF(COUNTIF('Country Summary'!$B$5:$B$200,B71)&gt;0,"Yes","")</f>
        <v/>
      </c>
      <c r="I71" s="9" t="inlineStr"/>
    </row>
    <row r="72">
      <c r="A72" s="9" t="n">
        <v>68</v>
      </c>
      <c r="B72" s="9" t="inlineStr">
        <is>
          <t>India</t>
        </is>
      </c>
      <c r="C72" s="9" t="inlineStr">
        <is>
          <t>Maharashtra</t>
        </is>
      </c>
      <c r="D72" s="9" t="inlineStr">
        <is>
          <t>Alandi / Dehu / Pandharpur</t>
        </is>
      </c>
      <c r="E72" s="9" t="inlineStr">
        <is>
          <t>Dnyaneshwar, Tukaram, Vitthal-Rukmini (Ashadhi Ekadashi)</t>
        </is>
      </c>
      <c r="F72" s="9" t="inlineStr">
        <is>
          <t>Temple</t>
        </is>
      </c>
      <c r="G72" s="19" t="inlineStr"/>
      <c r="H72" s="9">
        <f>IF(COUNTIF('Country Summary'!$B$5:$B$200,B72)&gt;0,"Yes","")</f>
        <v/>
      </c>
      <c r="I72" s="9" t="inlineStr"/>
    </row>
    <row r="73">
      <c r="A73" s="9" t="n">
        <v>69</v>
      </c>
      <c r="B73" s="9" t="inlineStr">
        <is>
          <t>India</t>
        </is>
      </c>
      <c r="C73" s="9" t="inlineStr">
        <is>
          <t>Maharashtra</t>
        </is>
      </c>
      <c r="D73" s="9" t="inlineStr">
        <is>
          <t>Aurangabad</t>
        </is>
      </c>
      <c r="E73" s="9" t="inlineStr">
        <is>
          <t>Ajanta &amp; Ellora caves (Kailasa temple) - UNESCO</t>
        </is>
      </c>
      <c r="F73" s="9" t="inlineStr">
        <is>
          <t>UNESCO</t>
        </is>
      </c>
      <c r="G73" s="19" t="inlineStr"/>
      <c r="H73" s="9">
        <f>IF(COUNTIF('Country Summary'!$B$5:$B$200,B73)&gt;0,"Yes","")</f>
        <v/>
      </c>
      <c r="I73" s="9" t="inlineStr"/>
    </row>
    <row r="74">
      <c r="A74" s="9" t="n">
        <v>70</v>
      </c>
      <c r="B74" s="9" t="inlineStr">
        <is>
          <t>India</t>
        </is>
      </c>
      <c r="C74" s="9" t="inlineStr">
        <is>
          <t>Maharashtra</t>
        </is>
      </c>
      <c r="D74" s="9" t="inlineStr">
        <is>
          <t>Nashik / Trimbakeshwar</t>
        </is>
      </c>
      <c r="E74" s="9" t="inlineStr">
        <is>
          <t>Panchavati, Trimbakeshwar Jyotirlinga, Kumbh</t>
        </is>
      </c>
      <c r="F74" s="9" t="inlineStr">
        <is>
          <t>Temple</t>
        </is>
      </c>
      <c r="G74" s="19" t="inlineStr"/>
      <c r="H74" s="9">
        <f>IF(COUNTIF('Country Summary'!$B$5:$B$200,B74)&gt;0,"Yes","")</f>
        <v/>
      </c>
      <c r="I74" s="9" t="inlineStr"/>
    </row>
    <row r="75">
      <c r="A75" s="9" t="n">
        <v>71</v>
      </c>
      <c r="B75" s="9" t="inlineStr">
        <is>
          <t>India</t>
        </is>
      </c>
      <c r="C75" s="9" t="inlineStr">
        <is>
          <t>Maharashtra</t>
        </is>
      </c>
      <c r="D75" s="9" t="inlineStr">
        <is>
          <t>Shirdi / Shani Shingnapur</t>
        </is>
      </c>
      <c r="E75" s="9" t="inlineStr">
        <is>
          <t>Sai Baba samadhi</t>
        </is>
      </c>
      <c r="F75" s="9" t="inlineStr">
        <is>
          <t>Temple</t>
        </is>
      </c>
      <c r="G75" s="19" t="inlineStr"/>
      <c r="H75" s="9">
        <f>IF(COUNTIF('Country Summary'!$B$5:$B$200,B75)&gt;0,"Yes","")</f>
        <v/>
      </c>
      <c r="I75" s="9" t="inlineStr"/>
    </row>
    <row r="76">
      <c r="A76" s="9" t="n">
        <v>72</v>
      </c>
      <c r="B76" s="9" t="inlineStr">
        <is>
          <t>India</t>
        </is>
      </c>
      <c r="C76" s="9" t="inlineStr">
        <is>
          <t>Maharashtra</t>
        </is>
      </c>
      <c r="D76" s="9" t="inlineStr">
        <is>
          <t>Jyotirlingas</t>
        </is>
      </c>
      <c r="E76" s="9" t="inlineStr">
        <is>
          <t>Bhimashankar, Grishneshwar, Aundha Nagnath, Parli Vaijnath</t>
        </is>
      </c>
      <c r="F76" s="9" t="inlineStr">
        <is>
          <t>Temple</t>
        </is>
      </c>
      <c r="G76" s="19" t="inlineStr"/>
      <c r="H76" s="9">
        <f>IF(COUNTIF('Country Summary'!$B$5:$B$200,B76)&gt;0,"Yes","")</f>
        <v/>
      </c>
      <c r="I76" s="9" t="inlineStr"/>
    </row>
    <row r="77">
      <c r="A77" s="9" t="n">
        <v>73</v>
      </c>
      <c r="B77" s="9" t="inlineStr">
        <is>
          <t>India</t>
        </is>
      </c>
      <c r="C77" s="9" t="inlineStr">
        <is>
          <t>Maharashtra</t>
        </is>
      </c>
      <c r="D77" s="9" t="inlineStr">
        <is>
          <t>Kolhapur / Tuljapur</t>
        </is>
      </c>
      <c r="E77" s="9" t="inlineStr">
        <is>
          <t>Mahalakshmi, Tulja Bhavani</t>
        </is>
      </c>
      <c r="F77" s="9" t="inlineStr">
        <is>
          <t>Temple</t>
        </is>
      </c>
      <c r="G77" s="19" t="inlineStr"/>
      <c r="H77" s="9">
        <f>IF(COUNTIF('Country Summary'!$B$5:$B$200,B77)&gt;0,"Yes","")</f>
        <v/>
      </c>
      <c r="I77" s="9" t="inlineStr"/>
    </row>
    <row r="78">
      <c r="A78" s="9" t="n">
        <v>74</v>
      </c>
      <c r="B78" s="9" t="inlineStr">
        <is>
          <t>India</t>
        </is>
      </c>
      <c r="C78" s="9" t="inlineStr">
        <is>
          <t>Goa</t>
        </is>
      </c>
      <c r="D78" s="9" t="inlineStr">
        <is>
          <t>Goa</t>
        </is>
      </c>
      <c r="E78" s="9" t="inlineStr">
        <is>
          <t>Basilica of Bom Jesus &amp; Old Goa churches - UNESCO; Mangeshi</t>
        </is>
      </c>
      <c r="F78" s="9" t="inlineStr">
        <is>
          <t>UNESCO</t>
        </is>
      </c>
      <c r="G78" s="19" t="inlineStr"/>
      <c r="H78" s="9">
        <f>IF(COUNTIF('Country Summary'!$B$5:$B$200,B78)&gt;0,"Yes","")</f>
        <v/>
      </c>
      <c r="I78" s="9" t="inlineStr"/>
    </row>
    <row r="79">
      <c r="A79" s="9" t="n">
        <v>75</v>
      </c>
      <c r="B79" s="9" t="inlineStr">
        <is>
          <t>India</t>
        </is>
      </c>
      <c r="C79" s="9" t="inlineStr">
        <is>
          <t>Gujarat</t>
        </is>
      </c>
      <c r="D79" s="9" t="inlineStr">
        <is>
          <t>Dwarka</t>
        </is>
      </c>
      <c r="E79" s="9" t="inlineStr">
        <is>
          <t>Dwarkadhish Temple, Bet Dwarka, Nageshwar Jyotirlinga</t>
        </is>
      </c>
      <c r="F79" s="9" t="inlineStr">
        <is>
          <t>Temple</t>
        </is>
      </c>
      <c r="G79" s="19" t="inlineStr">
        <is>
          <t>Likely</t>
        </is>
      </c>
      <c r="H79" s="9">
        <f>IF(COUNTIF('Country Summary'!$B$5:$B$200,B79)&gt;0,"Yes","")</f>
        <v/>
      </c>
      <c r="I79" s="9" t="inlineStr"/>
    </row>
    <row r="80">
      <c r="A80" s="9" t="n">
        <v>76</v>
      </c>
      <c r="B80" s="9" t="inlineStr">
        <is>
          <t>India</t>
        </is>
      </c>
      <c r="C80" s="9" t="inlineStr">
        <is>
          <t>Gujarat</t>
        </is>
      </c>
      <c r="D80" s="9" t="inlineStr">
        <is>
          <t>Somnath</t>
        </is>
      </c>
      <c r="E80" s="9" t="inlineStr">
        <is>
          <t>Somnath Jyotirlinga, Bhalka Tirth, Prabhas Patan</t>
        </is>
      </c>
      <c r="F80" s="9" t="inlineStr">
        <is>
          <t>Temple</t>
        </is>
      </c>
      <c r="G80" s="19" t="inlineStr">
        <is>
          <t>Likely</t>
        </is>
      </c>
      <c r="H80" s="9">
        <f>IF(COUNTIF('Country Summary'!$B$5:$B$200,B80)&gt;0,"Yes","")</f>
        <v/>
      </c>
      <c r="I80" s="9" t="inlineStr"/>
    </row>
    <row r="81">
      <c r="A81" s="9" t="n">
        <v>77</v>
      </c>
      <c r="B81" s="9" t="inlineStr">
        <is>
          <t>India</t>
        </is>
      </c>
      <c r="C81" s="9" t="inlineStr">
        <is>
          <t>Gujarat</t>
        </is>
      </c>
      <c r="D81" s="9" t="inlineStr">
        <is>
          <t>Ahmedabad</t>
        </is>
      </c>
      <c r="E81" s="9" t="inlineStr">
        <is>
          <t>ISKCON Ahmedabad; Sabarmati Ashram; Adalaj stepwell; UNESCO city</t>
        </is>
      </c>
      <c r="F81" s="9" t="inlineStr">
        <is>
          <t>UNESCO</t>
        </is>
      </c>
      <c r="G81" s="19" t="inlineStr"/>
      <c r="H81" s="9">
        <f>IF(COUNTIF('Country Summary'!$B$5:$B$200,B81)&gt;0,"Yes","")</f>
        <v/>
      </c>
      <c r="I81" s="9" t="inlineStr"/>
    </row>
    <row r="82">
      <c r="A82" s="9" t="n">
        <v>78</v>
      </c>
      <c r="B82" s="9" t="inlineStr">
        <is>
          <t>India</t>
        </is>
      </c>
      <c r="C82" s="9" t="inlineStr">
        <is>
          <t>Gujarat</t>
        </is>
      </c>
      <c r="D82" s="9" t="inlineStr">
        <is>
          <t>Patan</t>
        </is>
      </c>
      <c r="E82" s="9" t="inlineStr">
        <is>
          <t>Rani ki Vav - UNESCO</t>
        </is>
      </c>
      <c r="F82" s="9" t="inlineStr">
        <is>
          <t>UNESCO</t>
        </is>
      </c>
      <c r="G82" s="19" t="inlineStr"/>
      <c r="H82" s="9">
        <f>IF(COUNTIF('Country Summary'!$B$5:$B$200,B82)&gt;0,"Yes","")</f>
        <v/>
      </c>
      <c r="I82" s="9" t="inlineStr"/>
    </row>
    <row r="83">
      <c r="A83" s="9" t="n">
        <v>79</v>
      </c>
      <c r="B83" s="9" t="inlineStr">
        <is>
          <t>India</t>
        </is>
      </c>
      <c r="C83" s="9" t="inlineStr">
        <is>
          <t>Gujarat</t>
        </is>
      </c>
      <c r="D83" s="9" t="inlineStr">
        <is>
          <t>Kevadia</t>
        </is>
      </c>
      <c r="E83" s="9" t="inlineStr">
        <is>
          <t>Statue of Unity</t>
        </is>
      </c>
      <c r="F83" s="9" t="inlineStr">
        <is>
          <t>Modern</t>
        </is>
      </c>
      <c r="G83" s="19" t="inlineStr"/>
      <c r="H83" s="9">
        <f>IF(COUNTIF('Country Summary'!$B$5:$B$200,B83)&gt;0,"Yes","")</f>
        <v/>
      </c>
      <c r="I83" s="9" t="inlineStr"/>
    </row>
    <row r="84">
      <c r="A84" s="9" t="n">
        <v>80</v>
      </c>
      <c r="B84" s="9" t="inlineStr">
        <is>
          <t>India</t>
        </is>
      </c>
      <c r="C84" s="9" t="inlineStr">
        <is>
          <t>Gujarat</t>
        </is>
      </c>
      <c r="D84" s="9" t="inlineStr">
        <is>
          <t>Dholavira</t>
        </is>
      </c>
      <c r="E84" s="9" t="inlineStr">
        <is>
          <t>Harappan city - UNESCO</t>
        </is>
      </c>
      <c r="F84" s="9" t="inlineStr">
        <is>
          <t>UNESCO</t>
        </is>
      </c>
      <c r="G84" s="19" t="inlineStr"/>
      <c r="H84" s="9">
        <f>IF(COUNTIF('Country Summary'!$B$5:$B$200,B84)&gt;0,"Yes","")</f>
        <v/>
      </c>
      <c r="I84" s="9" t="inlineStr"/>
    </row>
    <row r="85">
      <c r="A85" s="9" t="n">
        <v>81</v>
      </c>
      <c r="B85" s="9" t="inlineStr">
        <is>
          <t>India</t>
        </is>
      </c>
      <c r="C85" s="9" t="inlineStr">
        <is>
          <t>Gujarat</t>
        </is>
      </c>
      <c r="D85" s="9" t="inlineStr">
        <is>
          <t>Champaner-Pavagadh</t>
        </is>
      </c>
      <c r="E85" s="9" t="inlineStr">
        <is>
          <t>Archaeological park - UNESCO; Kalika Mata</t>
        </is>
      </c>
      <c r="F85" s="9" t="inlineStr">
        <is>
          <t>UNESCO</t>
        </is>
      </c>
      <c r="G85" s="19" t="inlineStr"/>
      <c r="H85" s="9">
        <f>IF(COUNTIF('Country Summary'!$B$5:$B$200,B85)&gt;0,"Yes","")</f>
        <v/>
      </c>
      <c r="I85" s="9" t="inlineStr"/>
    </row>
    <row r="86">
      <c r="A86" s="9" t="n">
        <v>82</v>
      </c>
      <c r="B86" s="9" t="inlineStr">
        <is>
          <t>India</t>
        </is>
      </c>
      <c r="C86" s="9" t="inlineStr">
        <is>
          <t>Gujarat</t>
        </is>
      </c>
      <c r="D86" s="9" t="inlineStr">
        <is>
          <t>Ambaji / Modhera / Dakor</t>
        </is>
      </c>
      <c r="E86" s="9" t="inlineStr">
        <is>
          <t>Shakti peetha; Sun Temple; Ranchhodrai</t>
        </is>
      </c>
      <c r="F86" s="9" t="inlineStr">
        <is>
          <t>Temple</t>
        </is>
      </c>
      <c r="G86" s="19" t="inlineStr"/>
      <c r="H86" s="9">
        <f>IF(COUNTIF('Country Summary'!$B$5:$B$200,B86)&gt;0,"Yes","")</f>
        <v/>
      </c>
      <c r="I86" s="9" t="inlineStr"/>
    </row>
    <row r="87">
      <c r="A87" s="9" t="n">
        <v>83</v>
      </c>
      <c r="B87" s="9" t="inlineStr">
        <is>
          <t>India</t>
        </is>
      </c>
      <c r="C87" s="9" t="inlineStr">
        <is>
          <t>Rajasthan</t>
        </is>
      </c>
      <c r="D87" s="9" t="inlineStr">
        <is>
          <t>Jaipur</t>
        </is>
      </c>
      <c r="E87" s="9" t="inlineStr">
        <is>
          <t>Amber Fort, Hawa Mahal, Jantar Mantar - UNESCO, Govind Dev Ji</t>
        </is>
      </c>
      <c r="F87" s="9" t="inlineStr">
        <is>
          <t>Monument</t>
        </is>
      </c>
      <c r="G87" s="19" t="inlineStr"/>
      <c r="H87" s="9">
        <f>IF(COUNTIF('Country Summary'!$B$5:$B$200,B87)&gt;0,"Yes","")</f>
        <v/>
      </c>
      <c r="I87" s="9" t="inlineStr"/>
    </row>
    <row r="88">
      <c r="A88" s="9" t="n">
        <v>84</v>
      </c>
      <c r="B88" s="9" t="inlineStr">
        <is>
          <t>India</t>
        </is>
      </c>
      <c r="C88" s="9" t="inlineStr">
        <is>
          <t>Rajasthan</t>
        </is>
      </c>
      <c r="D88" s="9" t="inlineStr">
        <is>
          <t>Nathdwara</t>
        </is>
      </c>
      <c r="E88" s="9" t="inlineStr">
        <is>
          <t>Shrinathji Haveli</t>
        </is>
      </c>
      <c r="F88" s="9" t="inlineStr">
        <is>
          <t>Temple</t>
        </is>
      </c>
      <c r="G88" s="19" t="inlineStr"/>
      <c r="H88" s="9">
        <f>IF(COUNTIF('Country Summary'!$B$5:$B$200,B88)&gt;0,"Yes","")</f>
        <v/>
      </c>
      <c r="I88" s="9" t="inlineStr"/>
    </row>
    <row r="89">
      <c r="A89" s="9" t="n">
        <v>85</v>
      </c>
      <c r="B89" s="9" t="inlineStr">
        <is>
          <t>India</t>
        </is>
      </c>
      <c r="C89" s="9" t="inlineStr">
        <is>
          <t>Rajasthan</t>
        </is>
      </c>
      <c r="D89" s="9" t="inlineStr">
        <is>
          <t>Udaipur</t>
        </is>
      </c>
      <c r="E89" s="9" t="inlineStr">
        <is>
          <t>City Palace, Lake Pichola, Eklingji</t>
        </is>
      </c>
      <c r="F89" s="9" t="inlineStr">
        <is>
          <t>Monument</t>
        </is>
      </c>
      <c r="G89" s="19" t="inlineStr"/>
      <c r="H89" s="9">
        <f>IF(COUNTIF('Country Summary'!$B$5:$B$200,B89)&gt;0,"Yes","")</f>
        <v/>
      </c>
      <c r="I89" s="9" t="inlineStr"/>
    </row>
    <row r="90">
      <c r="A90" s="9" t="n">
        <v>86</v>
      </c>
      <c r="B90" s="9" t="inlineStr">
        <is>
          <t>India</t>
        </is>
      </c>
      <c r="C90" s="9" t="inlineStr">
        <is>
          <t>Rajasthan</t>
        </is>
      </c>
      <c r="D90" s="9" t="inlineStr">
        <is>
          <t>Pushkar / Ajmer</t>
        </is>
      </c>
      <c r="E90" s="9" t="inlineStr">
        <is>
          <t>Brahma Temple, Pushkar lake, Dargah</t>
        </is>
      </c>
      <c r="F90" s="9" t="inlineStr">
        <is>
          <t>Temple</t>
        </is>
      </c>
      <c r="G90" s="19" t="inlineStr"/>
      <c r="H90" s="9">
        <f>IF(COUNTIF('Country Summary'!$B$5:$B$200,B90)&gt;0,"Yes","")</f>
        <v/>
      </c>
      <c r="I90" s="9" t="inlineStr"/>
    </row>
    <row r="91">
      <c r="A91" s="9" t="n">
        <v>87</v>
      </c>
      <c r="B91" s="9" t="inlineStr">
        <is>
          <t>India</t>
        </is>
      </c>
      <c r="C91" s="9" t="inlineStr">
        <is>
          <t>Rajasthan</t>
        </is>
      </c>
      <c r="D91" s="9" t="inlineStr">
        <is>
          <t>Jodhpur / Jaisalmer</t>
        </is>
      </c>
      <c r="E91" s="9" t="inlineStr">
        <is>
          <t>Mehrangarh Fort; Jaisalmer Fort - UNESCO</t>
        </is>
      </c>
      <c r="F91" s="9" t="inlineStr">
        <is>
          <t>UNESCO</t>
        </is>
      </c>
      <c r="G91" s="19" t="inlineStr"/>
      <c r="H91" s="9">
        <f>IF(COUNTIF('Country Summary'!$B$5:$B$200,B91)&gt;0,"Yes","")</f>
        <v/>
      </c>
      <c r="I91" s="9" t="inlineStr"/>
    </row>
    <row r="92">
      <c r="A92" s="9" t="n">
        <v>88</v>
      </c>
      <c r="B92" s="9" t="inlineStr">
        <is>
          <t>India</t>
        </is>
      </c>
      <c r="C92" s="9" t="inlineStr">
        <is>
          <t>Rajasthan</t>
        </is>
      </c>
      <c r="D92" s="9" t="inlineStr">
        <is>
          <t>Chittorgarh / Kumbhalgarh / Ranthambore</t>
        </is>
      </c>
      <c r="E92" s="9" t="inlineStr">
        <is>
          <t>Hill Forts of Rajasthan - UNESCO; tiger reserve</t>
        </is>
      </c>
      <c r="F92" s="9" t="inlineStr">
        <is>
          <t>UNESCO</t>
        </is>
      </c>
      <c r="G92" s="19" t="inlineStr"/>
      <c r="H92" s="9">
        <f>IF(COUNTIF('Country Summary'!$B$5:$B$200,B92)&gt;0,"Yes","")</f>
        <v/>
      </c>
      <c r="I92" s="9" t="inlineStr"/>
    </row>
    <row r="93">
      <c r="A93" s="9" t="n">
        <v>89</v>
      </c>
      <c r="B93" s="9" t="inlineStr">
        <is>
          <t>India</t>
        </is>
      </c>
      <c r="C93" s="9" t="inlineStr">
        <is>
          <t>Rajasthan</t>
        </is>
      </c>
      <c r="D93" s="9" t="inlineStr">
        <is>
          <t>Mount Abu</t>
        </is>
      </c>
      <c r="E93" s="9" t="inlineStr">
        <is>
          <t>Dilwara Jain temples</t>
        </is>
      </c>
      <c r="F93" s="9" t="inlineStr">
        <is>
          <t>Temple</t>
        </is>
      </c>
      <c r="G93" s="19" t="inlineStr"/>
      <c r="H93" s="9">
        <f>IF(COUNTIF('Country Summary'!$B$5:$B$200,B93)&gt;0,"Yes","")</f>
        <v/>
      </c>
      <c r="I93" s="9" t="inlineStr"/>
    </row>
    <row r="94">
      <c r="A94" s="9" t="n">
        <v>90</v>
      </c>
      <c r="B94" s="9" t="inlineStr">
        <is>
          <t>India</t>
        </is>
      </c>
      <c r="C94" s="9" t="inlineStr">
        <is>
          <t>Rajasthan</t>
        </is>
      </c>
      <c r="D94" s="9" t="inlineStr">
        <is>
          <t>Khatu / Salasar</t>
        </is>
      </c>
      <c r="E94" s="9" t="inlineStr">
        <is>
          <t>Khatu Shyamji, Salasar Balaji</t>
        </is>
      </c>
      <c r="F94" s="9" t="inlineStr">
        <is>
          <t>Temple</t>
        </is>
      </c>
      <c r="G94" s="19" t="inlineStr"/>
      <c r="H94" s="9">
        <f>IF(COUNTIF('Country Summary'!$B$5:$B$200,B94)&gt;0,"Yes","")</f>
        <v/>
      </c>
      <c r="I94" s="9" t="inlineStr"/>
    </row>
    <row r="95">
      <c r="A95" s="9" t="n">
        <v>91</v>
      </c>
      <c r="B95" s="9" t="inlineStr">
        <is>
          <t>India</t>
        </is>
      </c>
      <c r="C95" s="9" t="inlineStr">
        <is>
          <t>Delhi</t>
        </is>
      </c>
      <c r="D95" s="9" t="inlineStr">
        <is>
          <t>New Delhi</t>
        </is>
      </c>
      <c r="E95" s="9" t="inlineStr">
        <is>
          <t>ISKCON East of Kailash (Glory of India) &amp; Punjabi Bagh</t>
        </is>
      </c>
      <c r="F95" s="9" t="inlineStr">
        <is>
          <t>ISKCON</t>
        </is>
      </c>
      <c r="G95" s="19" t="inlineStr"/>
      <c r="H95" s="9">
        <f>IF(COUNTIF('Country Summary'!$B$5:$B$200,B95)&gt;0,"Yes","")</f>
        <v/>
      </c>
      <c r="I95" s="9" t="inlineStr"/>
    </row>
    <row r="96">
      <c r="A96" s="9" t="n">
        <v>92</v>
      </c>
      <c r="B96" s="9" t="inlineStr">
        <is>
          <t>India</t>
        </is>
      </c>
      <c r="C96" s="9" t="inlineStr">
        <is>
          <t>Delhi</t>
        </is>
      </c>
      <c r="D96" s="9" t="inlineStr">
        <is>
          <t>Delhi</t>
        </is>
      </c>
      <c r="E96" s="9" t="inlineStr">
        <is>
          <t>Red Fort, Qutub Minar, Humayun's Tomb - UNESCO</t>
        </is>
      </c>
      <c r="F96" s="9" t="inlineStr">
        <is>
          <t>UNESCO</t>
        </is>
      </c>
      <c r="G96" s="19" t="inlineStr"/>
      <c r="H96" s="9">
        <f>IF(COUNTIF('Country Summary'!$B$5:$B$200,B96)&gt;0,"Yes","")</f>
        <v/>
      </c>
      <c r="I96" s="9" t="inlineStr"/>
    </row>
    <row r="97">
      <c r="A97" s="9" t="n">
        <v>93</v>
      </c>
      <c r="B97" s="9" t="inlineStr">
        <is>
          <t>India</t>
        </is>
      </c>
      <c r="C97" s="9" t="inlineStr">
        <is>
          <t>Delhi</t>
        </is>
      </c>
      <c r="D97" s="9" t="inlineStr">
        <is>
          <t>Delhi</t>
        </is>
      </c>
      <c r="E97" s="9" t="inlineStr">
        <is>
          <t>Akshardham, Lotus Temple, India Gate, Birla Mandir</t>
        </is>
      </c>
      <c r="F97" s="9" t="inlineStr">
        <is>
          <t>Monument</t>
        </is>
      </c>
      <c r="G97" s="19" t="inlineStr"/>
      <c r="H97" s="9">
        <f>IF(COUNTIF('Country Summary'!$B$5:$B$200,B97)&gt;0,"Yes","")</f>
        <v/>
      </c>
      <c r="I97" s="9" t="inlineStr"/>
    </row>
    <row r="98">
      <c r="A98" s="9" t="n">
        <v>94</v>
      </c>
      <c r="B98" s="9" t="inlineStr">
        <is>
          <t>India</t>
        </is>
      </c>
      <c r="C98" s="9" t="inlineStr">
        <is>
          <t>Uttar Pradesh</t>
        </is>
      </c>
      <c r="D98" s="9" t="inlineStr">
        <is>
          <t>Vrindavan</t>
        </is>
      </c>
      <c r="E98" s="9" t="inlineStr">
        <is>
          <t>ISKCON Krishna Balaram Mandir &amp; Prabhupada Samadhi</t>
        </is>
      </c>
      <c r="F98" s="9" t="inlineStr">
        <is>
          <t>ISKCON</t>
        </is>
      </c>
      <c r="G98" s="19" t="inlineStr">
        <is>
          <t>Likely</t>
        </is>
      </c>
      <c r="H98" s="9">
        <f>IF(COUNTIF('Country Summary'!$B$5:$B$200,B98)&gt;0,"Yes","")</f>
        <v/>
      </c>
      <c r="I98" s="9" t="inlineStr"/>
    </row>
    <row r="99">
      <c r="A99" s="9" t="n">
        <v>95</v>
      </c>
      <c r="B99" s="9" t="inlineStr">
        <is>
          <t>India</t>
        </is>
      </c>
      <c r="C99" s="9" t="inlineStr">
        <is>
          <t>Uttar Pradesh</t>
        </is>
      </c>
      <c r="D99" s="9" t="inlineStr">
        <is>
          <t>Vrindavan</t>
        </is>
      </c>
      <c r="E99" s="9" t="inlineStr">
        <is>
          <t>Banke Bihari, Radha Raman, Radha Damodar, Prem Mandir, Seva Kunj, Nidhivan</t>
        </is>
      </c>
      <c r="F99" s="9" t="inlineStr">
        <is>
          <t>Temple</t>
        </is>
      </c>
      <c r="G99" s="19" t="inlineStr">
        <is>
          <t>Likely</t>
        </is>
      </c>
      <c r="H99" s="9">
        <f>IF(COUNTIF('Country Summary'!$B$5:$B$200,B99)&gt;0,"Yes","")</f>
        <v/>
      </c>
      <c r="I99" s="9" t="inlineStr"/>
    </row>
    <row r="100">
      <c r="A100" s="9" t="n">
        <v>96</v>
      </c>
      <c r="B100" s="9" t="inlineStr">
        <is>
          <t>India</t>
        </is>
      </c>
      <c r="C100" s="9" t="inlineStr">
        <is>
          <t>Uttar Pradesh</t>
        </is>
      </c>
      <c r="D100" s="9" t="inlineStr">
        <is>
          <t>Mathura</t>
        </is>
      </c>
      <c r="E100" s="9" t="inlineStr">
        <is>
          <t>Krishna Janmabhoomi, Vishram Ghat, Dwarkadhish</t>
        </is>
      </c>
      <c r="F100" s="9" t="inlineStr">
        <is>
          <t>Temple</t>
        </is>
      </c>
      <c r="G100" s="19" t="inlineStr">
        <is>
          <t>Likely</t>
        </is>
      </c>
      <c r="H100" s="9">
        <f>IF(COUNTIF('Country Summary'!$B$5:$B$200,B100)&gt;0,"Yes","")</f>
        <v/>
      </c>
      <c r="I100" s="9" t="inlineStr"/>
    </row>
    <row r="101">
      <c r="A101" s="9" t="n">
        <v>97</v>
      </c>
      <c r="B101" s="9" t="inlineStr">
        <is>
          <t>India</t>
        </is>
      </c>
      <c r="C101" s="9" t="inlineStr">
        <is>
          <t>Uttar Pradesh</t>
        </is>
      </c>
      <c r="D101" s="9" t="inlineStr">
        <is>
          <t>Govardhan</t>
        </is>
      </c>
      <c r="E101" s="9" t="inlineStr">
        <is>
          <t>Govardhan parikrama, Radha Kund, Kusum Sarovar</t>
        </is>
      </c>
      <c r="F101" s="9" t="inlineStr">
        <is>
          <t>Temple</t>
        </is>
      </c>
      <c r="G101" s="19" t="inlineStr">
        <is>
          <t>Likely</t>
        </is>
      </c>
      <c r="H101" s="9">
        <f>IF(COUNTIF('Country Summary'!$B$5:$B$200,B101)&gt;0,"Yes","")</f>
        <v/>
      </c>
      <c r="I101" s="9" t="inlineStr"/>
    </row>
    <row r="102">
      <c r="A102" s="9" t="n">
        <v>98</v>
      </c>
      <c r="B102" s="9" t="inlineStr">
        <is>
          <t>India</t>
        </is>
      </c>
      <c r="C102" s="9" t="inlineStr">
        <is>
          <t>Uttar Pradesh</t>
        </is>
      </c>
      <c r="D102" s="9" t="inlineStr">
        <is>
          <t>Barsana / Nandgaon</t>
        </is>
      </c>
      <c r="E102" s="9" t="inlineStr">
        <is>
          <t>Radha Rani Temple, Nand Bhavan</t>
        </is>
      </c>
      <c r="F102" s="9" t="inlineStr">
        <is>
          <t>Temple</t>
        </is>
      </c>
      <c r="G102" s="19" t="inlineStr">
        <is>
          <t>Likely</t>
        </is>
      </c>
      <c r="H102" s="9">
        <f>IF(COUNTIF('Country Summary'!$B$5:$B$200,B102)&gt;0,"Yes","")</f>
        <v/>
      </c>
      <c r="I102" s="9" t="inlineStr"/>
    </row>
    <row r="103">
      <c r="A103" s="9" t="n">
        <v>99</v>
      </c>
      <c r="B103" s="9" t="inlineStr">
        <is>
          <t>India</t>
        </is>
      </c>
      <c r="C103" s="9" t="inlineStr">
        <is>
          <t>Uttar Pradesh</t>
        </is>
      </c>
      <c r="D103" s="9" t="inlineStr">
        <is>
          <t>Ayodhya</t>
        </is>
      </c>
      <c r="E103" s="9" t="inlineStr">
        <is>
          <t>Ram Mandir (Ram Lalla), Hanuman Garhi, Kanak Bhavan, Saryu</t>
        </is>
      </c>
      <c r="F103" s="9" t="inlineStr">
        <is>
          <t>Temple</t>
        </is>
      </c>
      <c r="G103" s="19" t="inlineStr">
        <is>
          <t>Likely</t>
        </is>
      </c>
      <c r="H103" s="9">
        <f>IF(COUNTIF('Country Summary'!$B$5:$B$200,B103)&gt;0,"Yes","")</f>
        <v/>
      </c>
      <c r="I103" s="9" t="inlineStr"/>
    </row>
    <row r="104">
      <c r="A104" s="9" t="n">
        <v>100</v>
      </c>
      <c r="B104" s="9" t="inlineStr">
        <is>
          <t>India</t>
        </is>
      </c>
      <c r="C104" s="9" t="inlineStr">
        <is>
          <t>Uttar Pradesh</t>
        </is>
      </c>
      <c r="D104" s="9" t="inlineStr">
        <is>
          <t>Varanasi (Kashi)</t>
        </is>
      </c>
      <c r="E104" s="9" t="inlineStr">
        <is>
          <t>Kashi Vishwanath &amp; corridor, Ganga aarti, Sarnath</t>
        </is>
      </c>
      <c r="F104" s="9" t="inlineStr">
        <is>
          <t>Temple</t>
        </is>
      </c>
      <c r="G104" s="19" t="inlineStr">
        <is>
          <t>Likely</t>
        </is>
      </c>
      <c r="H104" s="9">
        <f>IF(COUNTIF('Country Summary'!$B$5:$B$200,B104)&gt;0,"Yes","")</f>
        <v/>
      </c>
      <c r="I104" s="9" t="inlineStr"/>
    </row>
    <row r="105">
      <c r="A105" s="9" t="n">
        <v>101</v>
      </c>
      <c r="B105" s="9" t="inlineStr">
        <is>
          <t>India</t>
        </is>
      </c>
      <c r="C105" s="9" t="inlineStr">
        <is>
          <t>Uttar Pradesh</t>
        </is>
      </c>
      <c r="D105" s="9" t="inlineStr">
        <is>
          <t>Prayagraj</t>
        </is>
      </c>
      <c r="E105" s="9" t="inlineStr">
        <is>
          <t>Triveni Sangam, Maha Kumbh (2025), Hanuman Mandir</t>
        </is>
      </c>
      <c r="F105" s="9" t="inlineStr">
        <is>
          <t>Festival</t>
        </is>
      </c>
      <c r="G105" s="19" t="inlineStr">
        <is>
          <t>Likely</t>
        </is>
      </c>
      <c r="H105" s="9">
        <f>IF(COUNTIF('Country Summary'!$B$5:$B$200,B105)&gt;0,"Yes","")</f>
        <v/>
      </c>
      <c r="I105" s="9" t="inlineStr"/>
    </row>
    <row r="106">
      <c r="A106" s="9" t="n">
        <v>102</v>
      </c>
      <c r="B106" s="9" t="inlineStr">
        <is>
          <t>India</t>
        </is>
      </c>
      <c r="C106" s="9" t="inlineStr">
        <is>
          <t>Uttar Pradesh</t>
        </is>
      </c>
      <c r="D106" s="9" t="inlineStr">
        <is>
          <t>Naimisharanya</t>
        </is>
      </c>
      <c r="E106" s="9" t="inlineStr">
        <is>
          <t>Chakra Tirth, Vyasa Gaddi</t>
        </is>
      </c>
      <c r="F106" s="9" t="inlineStr">
        <is>
          <t>Temple</t>
        </is>
      </c>
      <c r="G106" s="19" t="inlineStr">
        <is>
          <t>Likely</t>
        </is>
      </c>
      <c r="H106" s="9">
        <f>IF(COUNTIF('Country Summary'!$B$5:$B$200,B106)&gt;0,"Yes","")</f>
        <v/>
      </c>
      <c r="I106" s="9" t="inlineStr"/>
    </row>
    <row r="107">
      <c r="A107" s="9" t="n">
        <v>103</v>
      </c>
      <c r="B107" s="9" t="inlineStr">
        <is>
          <t>India</t>
        </is>
      </c>
      <c r="C107" s="9" t="inlineStr">
        <is>
          <t>Uttar Pradesh</t>
        </is>
      </c>
      <c r="D107" s="9" t="inlineStr">
        <is>
          <t>Agra</t>
        </is>
      </c>
      <c r="E107" s="9" t="inlineStr">
        <is>
          <t>Taj Mahal, Agra Fort, Fatehpur Sikri - UNESCO</t>
        </is>
      </c>
      <c r="F107" s="9" t="inlineStr">
        <is>
          <t>UNESCO</t>
        </is>
      </c>
      <c r="G107" s="19" t="inlineStr"/>
      <c r="H107" s="9">
        <f>IF(COUNTIF('Country Summary'!$B$5:$B$200,B107)&gt;0,"Yes","")</f>
        <v/>
      </c>
      <c r="I107" s="9" t="inlineStr"/>
    </row>
    <row r="108">
      <c r="A108" s="9" t="n">
        <v>104</v>
      </c>
      <c r="B108" s="9" t="inlineStr">
        <is>
          <t>India</t>
        </is>
      </c>
      <c r="C108" s="9" t="inlineStr">
        <is>
          <t>Uttar Pradesh</t>
        </is>
      </c>
      <c r="D108" s="9" t="inlineStr">
        <is>
          <t>Lucknow</t>
        </is>
      </c>
      <c r="E108" s="9" t="inlineStr">
        <is>
          <t>Bara Imambara, Rumi Darwaza</t>
        </is>
      </c>
      <c r="F108" s="9" t="inlineStr">
        <is>
          <t>Monument</t>
        </is>
      </c>
      <c r="G108" s="19" t="inlineStr">
        <is>
          <t>Likely</t>
        </is>
      </c>
      <c r="H108" s="9">
        <f>IF(COUNTIF('Country Summary'!$B$5:$B$200,B108)&gt;0,"Yes","")</f>
        <v/>
      </c>
      <c r="I108" s="9" t="inlineStr"/>
    </row>
    <row r="109">
      <c r="A109" s="9" t="n">
        <v>105</v>
      </c>
      <c r="B109" s="9" t="inlineStr">
        <is>
          <t>India</t>
        </is>
      </c>
      <c r="C109" s="9" t="inlineStr">
        <is>
          <t>Uttar Pradesh</t>
        </is>
      </c>
      <c r="D109" s="9" t="inlineStr">
        <is>
          <t>Chitrakoot</t>
        </is>
      </c>
      <c r="E109" s="9" t="inlineStr">
        <is>
          <t>Kamadgiri, Ram Ghat</t>
        </is>
      </c>
      <c r="F109" s="9" t="inlineStr">
        <is>
          <t>Temple</t>
        </is>
      </c>
      <c r="G109" s="19" t="inlineStr"/>
      <c r="H109" s="9">
        <f>IF(COUNTIF('Country Summary'!$B$5:$B$200,B109)&gt;0,"Yes","")</f>
        <v/>
      </c>
      <c r="I109" s="9" t="inlineStr"/>
    </row>
    <row r="110">
      <c r="A110" s="9" t="n">
        <v>106</v>
      </c>
      <c r="B110" s="9" t="inlineStr">
        <is>
          <t>India</t>
        </is>
      </c>
      <c r="C110" s="9" t="inlineStr">
        <is>
          <t>Uttarakhand</t>
        </is>
      </c>
      <c r="D110" s="9" t="inlineStr">
        <is>
          <t>Char Dham</t>
        </is>
      </c>
      <c r="E110" s="9" t="inlineStr">
        <is>
          <t>Yamunotri, Gangotri, Kedarnath, Badrinath</t>
        </is>
      </c>
      <c r="F110" s="9" t="inlineStr">
        <is>
          <t>Temple</t>
        </is>
      </c>
      <c r="G110" s="19" t="inlineStr">
        <is>
          <t>Yes</t>
        </is>
      </c>
      <c r="H110" s="9">
        <f>IF(COUNTIF('Country Summary'!$B$5:$B$200,B110)&gt;0,"Yes","")</f>
        <v/>
      </c>
      <c r="I110" s="9" t="inlineStr"/>
    </row>
    <row r="111">
      <c r="A111" s="9" t="n">
        <v>107</v>
      </c>
      <c r="B111" s="9" t="inlineStr">
        <is>
          <t>India</t>
        </is>
      </c>
      <c r="C111" s="9" t="inlineStr">
        <is>
          <t>Uttarakhand</t>
        </is>
      </c>
      <c r="D111" s="9" t="inlineStr">
        <is>
          <t>Rishikesh / Haridwar</t>
        </is>
      </c>
      <c r="E111" s="9" t="inlineStr">
        <is>
          <t>Ganga aarti, Har ki Pauri, Laxman Jhula, ISKCON Rishikesh</t>
        </is>
      </c>
      <c r="F111" s="9" t="inlineStr">
        <is>
          <t>Temple</t>
        </is>
      </c>
      <c r="G111" s="19" t="inlineStr">
        <is>
          <t>Yes</t>
        </is>
      </c>
      <c r="H111" s="9">
        <f>IF(COUNTIF('Country Summary'!$B$5:$B$200,B111)&gt;0,"Yes","")</f>
        <v/>
      </c>
      <c r="I111" s="9" t="inlineStr"/>
    </row>
    <row r="112">
      <c r="A112" s="9" t="n">
        <v>108</v>
      </c>
      <c r="B112" s="9" t="inlineStr">
        <is>
          <t>India</t>
        </is>
      </c>
      <c r="C112" s="9" t="inlineStr">
        <is>
          <t>Uttarakhand</t>
        </is>
      </c>
      <c r="D112" s="9" t="inlineStr">
        <is>
          <t>Dehradun / Mussoorie</t>
        </is>
      </c>
      <c r="E112" s="9" t="inlineStr">
        <is>
          <t>Base for Char Dham</t>
        </is>
      </c>
      <c r="F112" s="9" t="inlineStr">
        <is>
          <t>Nature</t>
        </is>
      </c>
      <c r="G112" s="19" t="inlineStr">
        <is>
          <t>Yes</t>
        </is>
      </c>
      <c r="H112" s="9">
        <f>IF(COUNTIF('Country Summary'!$B$5:$B$200,B112)&gt;0,"Yes","")</f>
        <v/>
      </c>
      <c r="I112" s="9" t="inlineStr"/>
    </row>
    <row r="113">
      <c r="A113" s="9" t="n">
        <v>109</v>
      </c>
      <c r="B113" s="9" t="inlineStr">
        <is>
          <t>India</t>
        </is>
      </c>
      <c r="C113" s="9" t="inlineStr">
        <is>
          <t>Uttarakhand</t>
        </is>
      </c>
      <c r="D113" s="9" t="inlineStr">
        <is>
          <t>Hemkund / Valley of Flowers</t>
        </is>
      </c>
      <c r="E113" s="9" t="inlineStr">
        <is>
          <t>Valley of Flowers - UNESCO</t>
        </is>
      </c>
      <c r="F113" s="9" t="inlineStr">
        <is>
          <t>UNESCO</t>
        </is>
      </c>
      <c r="G113" s="19" t="inlineStr"/>
      <c r="H113" s="9">
        <f>IF(COUNTIF('Country Summary'!$B$5:$B$200,B113)&gt;0,"Yes","")</f>
        <v/>
      </c>
      <c r="I113" s="9" t="inlineStr"/>
    </row>
    <row r="114">
      <c r="A114" s="9" t="n">
        <v>110</v>
      </c>
      <c r="B114" s="9" t="inlineStr">
        <is>
          <t>India</t>
        </is>
      </c>
      <c r="C114" s="9" t="inlineStr">
        <is>
          <t>Uttarakhand</t>
        </is>
      </c>
      <c r="D114" s="9" t="inlineStr">
        <is>
          <t>Panch Kedar / Panch Badri</t>
        </is>
      </c>
      <c r="E114" s="9" t="inlineStr">
        <is>
          <t>Tungnath, Madhyamaheshwar, Rudranath, Kalpeshwar; Adi Badri etc.</t>
        </is>
      </c>
      <c r="F114" s="9" t="inlineStr">
        <is>
          <t>Temple</t>
        </is>
      </c>
      <c r="G114" s="19" t="inlineStr"/>
      <c r="H114" s="9">
        <f>IF(COUNTIF('Country Summary'!$B$5:$B$200,B114)&gt;0,"Yes","")</f>
        <v/>
      </c>
      <c r="I114" s="9" t="inlineStr"/>
    </row>
    <row r="115">
      <c r="A115" s="9" t="n">
        <v>111</v>
      </c>
      <c r="B115" s="9" t="inlineStr">
        <is>
          <t>India</t>
        </is>
      </c>
      <c r="C115" s="9" t="inlineStr">
        <is>
          <t>Uttarakhand</t>
        </is>
      </c>
      <c r="D115" s="9" t="inlineStr">
        <is>
          <t>Jim Corbett</t>
        </is>
      </c>
      <c r="E115" s="9" t="inlineStr">
        <is>
          <t>Corbett National Park</t>
        </is>
      </c>
      <c r="F115" s="9" t="inlineStr">
        <is>
          <t>Nature</t>
        </is>
      </c>
      <c r="G115" s="19" t="inlineStr"/>
      <c r="H115" s="9">
        <f>IF(COUNTIF('Country Summary'!$B$5:$B$200,B115)&gt;0,"Yes","")</f>
        <v/>
      </c>
      <c r="I115" s="9" t="inlineStr"/>
    </row>
    <row r="116">
      <c r="A116" s="9" t="n">
        <v>112</v>
      </c>
      <c r="B116" s="9" t="inlineStr">
        <is>
          <t>India</t>
        </is>
      </c>
      <c r="C116" s="9" t="inlineStr">
        <is>
          <t>Himachal Pradesh</t>
        </is>
      </c>
      <c r="D116" s="9" t="inlineStr">
        <is>
          <t>Manali / Kullu</t>
        </is>
      </c>
      <c r="E116" s="9" t="inlineStr">
        <is>
          <t>Hadimba, Vashisht, Rohtang / Atal tunnel</t>
        </is>
      </c>
      <c r="F116" s="9" t="inlineStr">
        <is>
          <t>Nature</t>
        </is>
      </c>
      <c r="G116" s="19" t="inlineStr"/>
      <c r="H116" s="9">
        <f>IF(COUNTIF('Country Summary'!$B$5:$B$200,B116)&gt;0,"Yes","")</f>
        <v/>
      </c>
      <c r="I116" s="9" t="inlineStr"/>
    </row>
    <row r="117">
      <c r="A117" s="9" t="n">
        <v>113</v>
      </c>
      <c r="B117" s="9" t="inlineStr">
        <is>
          <t>India</t>
        </is>
      </c>
      <c r="C117" s="9" t="inlineStr">
        <is>
          <t>Himachal Pradesh</t>
        </is>
      </c>
      <c r="D117" s="9" t="inlineStr">
        <is>
          <t>Dharamshala</t>
        </is>
      </c>
      <c r="E117" s="9" t="inlineStr">
        <is>
          <t>McLeod Ganj, Dalai Lama temple</t>
        </is>
      </c>
      <c r="F117" s="9" t="inlineStr">
        <is>
          <t>Monument</t>
        </is>
      </c>
      <c r="G117" s="19" t="inlineStr"/>
      <c r="H117" s="9">
        <f>IF(COUNTIF('Country Summary'!$B$5:$B$200,B117)&gt;0,"Yes","")</f>
        <v/>
      </c>
      <c r="I117" s="9" t="inlineStr"/>
    </row>
    <row r="118">
      <c r="A118" s="9" t="n">
        <v>114</v>
      </c>
      <c r="B118" s="9" t="inlineStr">
        <is>
          <t>India</t>
        </is>
      </c>
      <c r="C118" s="9" t="inlineStr">
        <is>
          <t>Himachal Pradesh</t>
        </is>
      </c>
      <c r="D118" s="9" t="inlineStr">
        <is>
          <t>Shimla</t>
        </is>
      </c>
      <c r="E118" s="9" t="inlineStr">
        <is>
          <t>Kalka-Shimla railway - UNESCO, Jakhoo</t>
        </is>
      </c>
      <c r="F118" s="9" t="inlineStr">
        <is>
          <t>UNESCO</t>
        </is>
      </c>
      <c r="G118" s="19" t="inlineStr"/>
      <c r="H118" s="9">
        <f>IF(COUNTIF('Country Summary'!$B$5:$B$200,B118)&gt;0,"Yes","")</f>
        <v/>
      </c>
      <c r="I118" s="9" t="inlineStr"/>
    </row>
    <row r="119">
      <c r="A119" s="9" t="n">
        <v>115</v>
      </c>
      <c r="B119" s="9" t="inlineStr">
        <is>
          <t>India</t>
        </is>
      </c>
      <c r="C119" s="9" t="inlineStr">
        <is>
          <t>Himachal Pradesh</t>
        </is>
      </c>
      <c r="D119" s="9" t="inlineStr">
        <is>
          <t>Kangra / Chamunda / Jwalamukhi / Naina Devi</t>
        </is>
      </c>
      <c r="E119" s="9" t="inlineStr">
        <is>
          <t>Shakti peethas</t>
        </is>
      </c>
      <c r="F119" s="9" t="inlineStr">
        <is>
          <t>Temple</t>
        </is>
      </c>
      <c r="G119" s="19" t="inlineStr"/>
      <c r="H119" s="9">
        <f>IF(COUNTIF('Country Summary'!$B$5:$B$200,B119)&gt;0,"Yes","")</f>
        <v/>
      </c>
      <c r="I119" s="9" t="inlineStr"/>
    </row>
    <row r="120">
      <c r="A120" s="9" t="n">
        <v>116</v>
      </c>
      <c r="B120" s="9" t="inlineStr">
        <is>
          <t>India</t>
        </is>
      </c>
      <c r="C120" s="9" t="inlineStr">
        <is>
          <t>Himachal Pradesh</t>
        </is>
      </c>
      <c r="D120" s="9" t="inlineStr">
        <is>
          <t>Spiti</t>
        </is>
      </c>
      <c r="E120" s="9" t="inlineStr">
        <is>
          <t>Key Monastery, Tabo</t>
        </is>
      </c>
      <c r="F120" s="9" t="inlineStr">
        <is>
          <t>Monument</t>
        </is>
      </c>
      <c r="G120" s="19" t="inlineStr"/>
      <c r="H120" s="9">
        <f>IF(COUNTIF('Country Summary'!$B$5:$B$200,B120)&gt;0,"Yes","")</f>
        <v/>
      </c>
      <c r="I120" s="9" t="inlineStr"/>
    </row>
    <row r="121">
      <c r="A121" s="9" t="n">
        <v>117</v>
      </c>
      <c r="B121" s="9" t="inlineStr">
        <is>
          <t>India</t>
        </is>
      </c>
      <c r="C121" s="9" t="inlineStr">
        <is>
          <t>Jammu &amp; Kashmir</t>
        </is>
      </c>
      <c r="D121" s="9" t="inlineStr">
        <is>
          <t>Katra</t>
        </is>
      </c>
      <c r="E121" s="9" t="inlineStr">
        <is>
          <t>Vaishno Devi</t>
        </is>
      </c>
      <c r="F121" s="9" t="inlineStr">
        <is>
          <t>Temple</t>
        </is>
      </c>
      <c r="G121" s="19" t="inlineStr"/>
      <c r="H121" s="9">
        <f>IF(COUNTIF('Country Summary'!$B$5:$B$200,B121)&gt;0,"Yes","")</f>
        <v/>
      </c>
      <c r="I121" s="9" t="inlineStr"/>
    </row>
    <row r="122">
      <c r="A122" s="9" t="n">
        <v>118</v>
      </c>
      <c r="B122" s="9" t="inlineStr">
        <is>
          <t>India</t>
        </is>
      </c>
      <c r="C122" s="9" t="inlineStr">
        <is>
          <t>Jammu &amp; Kashmir</t>
        </is>
      </c>
      <c r="D122" s="9" t="inlineStr">
        <is>
          <t>Pahalgam / Baltal</t>
        </is>
      </c>
      <c r="E122" s="9" t="inlineStr">
        <is>
          <t>Amarnath cave</t>
        </is>
      </c>
      <c r="F122" s="9" t="inlineStr">
        <is>
          <t>Temple</t>
        </is>
      </c>
      <c r="G122" s="19" t="inlineStr"/>
      <c r="H122" s="9">
        <f>IF(COUNTIF('Country Summary'!$B$5:$B$200,B122)&gt;0,"Yes","")</f>
        <v/>
      </c>
      <c r="I122" s="9" t="inlineStr"/>
    </row>
    <row r="123">
      <c r="A123" s="9" t="n">
        <v>119</v>
      </c>
      <c r="B123" s="9" t="inlineStr">
        <is>
          <t>India</t>
        </is>
      </c>
      <c r="C123" s="9" t="inlineStr">
        <is>
          <t>Jammu &amp; Kashmir</t>
        </is>
      </c>
      <c r="D123" s="9" t="inlineStr">
        <is>
          <t>Srinagar</t>
        </is>
      </c>
      <c r="E123" s="9" t="inlineStr">
        <is>
          <t>Dal Lake, Shankaracharya temple, Mughal gardens, Kheer Bhawani</t>
        </is>
      </c>
      <c r="F123" s="9" t="inlineStr">
        <is>
          <t>Nature</t>
        </is>
      </c>
      <c r="G123" s="19" t="inlineStr"/>
      <c r="H123" s="9">
        <f>IF(COUNTIF('Country Summary'!$B$5:$B$200,B123)&gt;0,"Yes","")</f>
        <v/>
      </c>
      <c r="I123" s="9" t="inlineStr"/>
    </row>
    <row r="124">
      <c r="A124" s="9" t="n">
        <v>120</v>
      </c>
      <c r="B124" s="9" t="inlineStr">
        <is>
          <t>India</t>
        </is>
      </c>
      <c r="C124" s="9" t="inlineStr">
        <is>
          <t>Ladakh</t>
        </is>
      </c>
      <c r="D124" s="9" t="inlineStr">
        <is>
          <t>Leh</t>
        </is>
      </c>
      <c r="E124" s="9" t="inlineStr">
        <is>
          <t>Pangong, Nubra, Hemis, Thiksey, Khardung La</t>
        </is>
      </c>
      <c r="F124" s="9" t="inlineStr">
        <is>
          <t>Nature</t>
        </is>
      </c>
      <c r="G124" s="19" t="inlineStr"/>
      <c r="H124" s="9">
        <f>IF(COUNTIF('Country Summary'!$B$5:$B$200,B124)&gt;0,"Yes","")</f>
        <v/>
      </c>
      <c r="I124" s="9" t="inlineStr"/>
    </row>
    <row r="125">
      <c r="A125" s="9" t="n">
        <v>121</v>
      </c>
      <c r="B125" s="9" t="inlineStr">
        <is>
          <t>India</t>
        </is>
      </c>
      <c r="C125" s="9" t="inlineStr">
        <is>
          <t>Punjab</t>
        </is>
      </c>
      <c r="D125" s="9" t="inlineStr">
        <is>
          <t>Amritsar</t>
        </is>
      </c>
      <c r="E125" s="9" t="inlineStr">
        <is>
          <t>Golden Temple, Jallianwala Bagh, Wagah border</t>
        </is>
      </c>
      <c r="F125" s="9" t="inlineStr">
        <is>
          <t>Temple</t>
        </is>
      </c>
      <c r="G125" s="19" t="inlineStr"/>
      <c r="H125" s="9">
        <f>IF(COUNTIF('Country Summary'!$B$5:$B$200,B125)&gt;0,"Yes","")</f>
        <v/>
      </c>
      <c r="I125" s="9" t="inlineStr"/>
    </row>
    <row r="126">
      <c r="A126" s="9" t="n">
        <v>122</v>
      </c>
      <c r="B126" s="9" t="inlineStr">
        <is>
          <t>India</t>
        </is>
      </c>
      <c r="C126" s="9" t="inlineStr">
        <is>
          <t>Punjab</t>
        </is>
      </c>
      <c r="D126" s="9" t="inlineStr">
        <is>
          <t>Anandpur Sahib</t>
        </is>
      </c>
      <c r="E126" s="9" t="inlineStr">
        <is>
          <t>Takht Kesgarh Sahib</t>
        </is>
      </c>
      <c r="F126" s="9" t="inlineStr">
        <is>
          <t>Temple</t>
        </is>
      </c>
      <c r="G126" s="19" t="inlineStr"/>
      <c r="H126" s="9">
        <f>IF(COUNTIF('Country Summary'!$B$5:$B$200,B126)&gt;0,"Yes","")</f>
        <v/>
      </c>
      <c r="I126" s="9" t="inlineStr"/>
    </row>
    <row r="127">
      <c r="A127" s="9" t="n">
        <v>123</v>
      </c>
      <c r="B127" s="9" t="inlineStr">
        <is>
          <t>India</t>
        </is>
      </c>
      <c r="C127" s="9" t="inlineStr">
        <is>
          <t>Haryana</t>
        </is>
      </c>
      <c r="D127" s="9" t="inlineStr">
        <is>
          <t>Kurukshetra</t>
        </is>
      </c>
      <c r="E127" s="9" t="inlineStr">
        <is>
          <t>Brahma Sarovar, Jyotisar (Gita sthal), ISKCON Kurukshetra</t>
        </is>
      </c>
      <c r="F127" s="9" t="inlineStr">
        <is>
          <t>Temple</t>
        </is>
      </c>
      <c r="G127" s="19" t="inlineStr">
        <is>
          <t>Likely</t>
        </is>
      </c>
      <c r="H127" s="9">
        <f>IF(COUNTIF('Country Summary'!$B$5:$B$200,B127)&gt;0,"Yes","")</f>
        <v/>
      </c>
      <c r="I127" s="9" t="inlineStr"/>
    </row>
    <row r="128">
      <c r="A128" s="9" t="n">
        <v>124</v>
      </c>
      <c r="B128" s="9" t="inlineStr">
        <is>
          <t>India</t>
        </is>
      </c>
      <c r="C128" s="9" t="inlineStr">
        <is>
          <t>Madhya Pradesh</t>
        </is>
      </c>
      <c r="D128" s="9" t="inlineStr">
        <is>
          <t>Ujjain</t>
        </is>
      </c>
      <c r="E128" s="9" t="inlineStr">
        <is>
          <t>Mahakaleshwar Jyotirlinga &amp; Mahakal Lok; Kal Bhairav; Sandipani Ashram; Simhastha 2028</t>
        </is>
      </c>
      <c r="F128" s="9" t="inlineStr">
        <is>
          <t>Temple</t>
        </is>
      </c>
      <c r="G128" s="19" t="inlineStr"/>
      <c r="H128" s="9">
        <f>IF(COUNTIF('Country Summary'!$B$5:$B$200,B128)&gt;0,"Yes","")</f>
        <v/>
      </c>
      <c r="I128" s="9" t="inlineStr"/>
    </row>
    <row r="129">
      <c r="A129" s="9" t="n">
        <v>125</v>
      </c>
      <c r="B129" s="9" t="inlineStr">
        <is>
          <t>India</t>
        </is>
      </c>
      <c r="C129" s="9" t="inlineStr">
        <is>
          <t>Madhya Pradesh</t>
        </is>
      </c>
      <c r="D129" s="9" t="inlineStr">
        <is>
          <t>Omkareshwar</t>
        </is>
      </c>
      <c r="E129" s="9" t="inlineStr">
        <is>
          <t>Omkareshwar Jyotirlinga &amp; parikrama</t>
        </is>
      </c>
      <c r="F129" s="9" t="inlineStr">
        <is>
          <t>Temple</t>
        </is>
      </c>
      <c r="G129" s="19" t="inlineStr"/>
      <c r="H129" s="9">
        <f>IF(COUNTIF('Country Summary'!$B$5:$B$200,B129)&gt;0,"Yes","")</f>
        <v/>
      </c>
      <c r="I129" s="9" t="inlineStr"/>
    </row>
    <row r="130">
      <c r="A130" s="9" t="n">
        <v>126</v>
      </c>
      <c r="B130" s="9" t="inlineStr">
        <is>
          <t>India</t>
        </is>
      </c>
      <c r="C130" s="9" t="inlineStr">
        <is>
          <t>Madhya Pradesh</t>
        </is>
      </c>
      <c r="D130" s="9" t="inlineStr">
        <is>
          <t>Indore</t>
        </is>
      </c>
      <c r="E130" s="9" t="inlineStr">
        <is>
          <t>Khajrana Ganesh, ISKCON Indore, Rajwada</t>
        </is>
      </c>
      <c r="F130" s="9" t="inlineStr">
        <is>
          <t>Temple</t>
        </is>
      </c>
      <c r="G130" s="19" t="inlineStr"/>
      <c r="H130" s="9">
        <f>IF(COUNTIF('Country Summary'!$B$5:$B$200,B130)&gt;0,"Yes","")</f>
        <v/>
      </c>
      <c r="I130" s="9" t="inlineStr"/>
    </row>
    <row r="131">
      <c r="A131" s="9" t="n">
        <v>127</v>
      </c>
      <c r="B131" s="9" t="inlineStr">
        <is>
          <t>India</t>
        </is>
      </c>
      <c r="C131" s="9" t="inlineStr">
        <is>
          <t>Madhya Pradesh</t>
        </is>
      </c>
      <c r="D131" s="9" t="inlineStr">
        <is>
          <t>Maheshwar / Mandu</t>
        </is>
      </c>
      <c r="E131" s="9" t="inlineStr">
        <is>
          <t>Ahilya ghats; Mandu monuments</t>
        </is>
      </c>
      <c r="F131" s="9" t="inlineStr">
        <is>
          <t>Monument</t>
        </is>
      </c>
      <c r="G131" s="19" t="inlineStr"/>
      <c r="H131" s="9">
        <f>IF(COUNTIF('Country Summary'!$B$5:$B$200,B131)&gt;0,"Yes","")</f>
        <v/>
      </c>
      <c r="I131" s="9" t="inlineStr"/>
    </row>
    <row r="132">
      <c r="A132" s="9" t="n">
        <v>128</v>
      </c>
      <c r="B132" s="9" t="inlineStr">
        <is>
          <t>India</t>
        </is>
      </c>
      <c r="C132" s="9" t="inlineStr">
        <is>
          <t>Madhya Pradesh</t>
        </is>
      </c>
      <c r="D132" s="9" t="inlineStr">
        <is>
          <t>Khajuraho</t>
        </is>
      </c>
      <c r="E132" s="9" t="inlineStr">
        <is>
          <t>Khajuraho temples - UNESCO</t>
        </is>
      </c>
      <c r="F132" s="9" t="inlineStr">
        <is>
          <t>UNESCO</t>
        </is>
      </c>
      <c r="G132" s="19" t="inlineStr"/>
      <c r="H132" s="9">
        <f>IF(COUNTIF('Country Summary'!$B$5:$B$200,B132)&gt;0,"Yes","")</f>
        <v/>
      </c>
      <c r="I132" s="9" t="inlineStr"/>
    </row>
    <row r="133">
      <c r="A133" s="9" t="n">
        <v>129</v>
      </c>
      <c r="B133" s="9" t="inlineStr">
        <is>
          <t>India</t>
        </is>
      </c>
      <c r="C133" s="9" t="inlineStr">
        <is>
          <t>Madhya Pradesh</t>
        </is>
      </c>
      <c r="D133" s="9" t="inlineStr">
        <is>
          <t>Sanchi</t>
        </is>
      </c>
      <c r="E133" s="9" t="inlineStr">
        <is>
          <t>Sanchi Stupa - UNESCO</t>
        </is>
      </c>
      <c r="F133" s="9" t="inlineStr">
        <is>
          <t>UNESCO</t>
        </is>
      </c>
      <c r="G133" s="19" t="inlineStr"/>
      <c r="H133" s="9">
        <f>IF(COUNTIF('Country Summary'!$B$5:$B$200,B133)&gt;0,"Yes","")</f>
        <v/>
      </c>
      <c r="I133" s="9" t="inlineStr"/>
    </row>
    <row r="134">
      <c r="A134" s="9" t="n">
        <v>130</v>
      </c>
      <c r="B134" s="9" t="inlineStr">
        <is>
          <t>India</t>
        </is>
      </c>
      <c r="C134" s="9" t="inlineStr">
        <is>
          <t>Madhya Pradesh</t>
        </is>
      </c>
      <c r="D134" s="9" t="inlineStr">
        <is>
          <t>Bhimbetka</t>
        </is>
      </c>
      <c r="E134" s="9" t="inlineStr">
        <is>
          <t>Rock shelters - UNESCO</t>
        </is>
      </c>
      <c r="F134" s="9" t="inlineStr">
        <is>
          <t>UNESCO</t>
        </is>
      </c>
      <c r="G134" s="19" t="inlineStr"/>
      <c r="H134" s="9">
        <f>IF(COUNTIF('Country Summary'!$B$5:$B$200,B134)&gt;0,"Yes","")</f>
        <v/>
      </c>
      <c r="I134" s="9" t="inlineStr"/>
    </row>
    <row r="135">
      <c r="A135" s="9" t="n">
        <v>131</v>
      </c>
      <c r="B135" s="9" t="inlineStr">
        <is>
          <t>India</t>
        </is>
      </c>
      <c r="C135" s="9" t="inlineStr">
        <is>
          <t>Madhya Pradesh</t>
        </is>
      </c>
      <c r="D135" s="9" t="inlineStr">
        <is>
          <t>Gwalior / Orchha</t>
        </is>
      </c>
      <c r="E135" s="9" t="inlineStr">
        <is>
          <t>Gwalior Fort; Orchha Ram Raja</t>
        </is>
      </c>
      <c r="F135" s="9" t="inlineStr">
        <is>
          <t>Monument</t>
        </is>
      </c>
      <c r="G135" s="19" t="inlineStr"/>
      <c r="H135" s="9">
        <f>IF(COUNTIF('Country Summary'!$B$5:$B$200,B135)&gt;0,"Yes","")</f>
        <v/>
      </c>
      <c r="I135" s="9" t="inlineStr"/>
    </row>
    <row r="136">
      <c r="A136" s="9" t="n">
        <v>132</v>
      </c>
      <c r="B136" s="9" t="inlineStr">
        <is>
          <t>India</t>
        </is>
      </c>
      <c r="C136" s="9" t="inlineStr">
        <is>
          <t>Madhya Pradesh</t>
        </is>
      </c>
      <c r="D136" s="9" t="inlineStr">
        <is>
          <t>Amarkantak</t>
        </is>
      </c>
      <c r="E136" s="9" t="inlineStr">
        <is>
          <t>Narmada udgam</t>
        </is>
      </c>
      <c r="F136" s="9" t="inlineStr">
        <is>
          <t>Temple</t>
        </is>
      </c>
      <c r="G136" s="19" t="inlineStr"/>
      <c r="H136" s="9">
        <f>IF(COUNTIF('Country Summary'!$B$5:$B$200,B136)&gt;0,"Yes","")</f>
        <v/>
      </c>
      <c r="I136" s="9" t="inlineStr"/>
    </row>
    <row r="137">
      <c r="A137" s="9" t="n">
        <v>133</v>
      </c>
      <c r="B137" s="9" t="inlineStr">
        <is>
          <t>India</t>
        </is>
      </c>
      <c r="C137" s="9" t="inlineStr">
        <is>
          <t>Madhya Pradesh</t>
        </is>
      </c>
      <c r="D137" s="9" t="inlineStr">
        <is>
          <t>Kanha / Bandhavgarh</t>
        </is>
      </c>
      <c r="E137" s="9" t="inlineStr">
        <is>
          <t>Tiger reserves</t>
        </is>
      </c>
      <c r="F137" s="9" t="inlineStr">
        <is>
          <t>Nature</t>
        </is>
      </c>
      <c r="G137" s="19" t="inlineStr"/>
      <c r="H137" s="9">
        <f>IF(COUNTIF('Country Summary'!$B$5:$B$200,B137)&gt;0,"Yes","")</f>
        <v/>
      </c>
      <c r="I137" s="9" t="inlineStr"/>
    </row>
    <row r="138">
      <c r="A138" s="9" t="n">
        <v>134</v>
      </c>
      <c r="B138" s="9" t="inlineStr">
        <is>
          <t>India</t>
        </is>
      </c>
      <c r="C138" s="9" t="inlineStr">
        <is>
          <t>Chhattisgarh</t>
        </is>
      </c>
      <c r="D138" s="9" t="inlineStr">
        <is>
          <t>Rajim / Sirpur / Chitrakote</t>
        </is>
      </c>
      <c r="E138" s="9" t="inlineStr">
        <is>
          <t>Rajim Kumbh, Laxman temple, Chitrakote falls</t>
        </is>
      </c>
      <c r="F138" s="9" t="inlineStr">
        <is>
          <t>Temple</t>
        </is>
      </c>
      <c r="G138" s="19" t="inlineStr"/>
      <c r="H138" s="9">
        <f>IF(COUNTIF('Country Summary'!$B$5:$B$200,B138)&gt;0,"Yes","")</f>
        <v/>
      </c>
      <c r="I138" s="9" t="inlineStr"/>
    </row>
    <row r="139">
      <c r="A139" s="9" t="n">
        <v>135</v>
      </c>
      <c r="B139" s="9" t="inlineStr">
        <is>
          <t>India</t>
        </is>
      </c>
      <c r="C139" s="9" t="inlineStr">
        <is>
          <t>Bihar</t>
        </is>
      </c>
      <c r="D139" s="9" t="inlineStr">
        <is>
          <t>Bodh Gaya</t>
        </is>
      </c>
      <c r="E139" s="9" t="inlineStr">
        <is>
          <t>Mahabodhi Temple - UNESCO</t>
        </is>
      </c>
      <c r="F139" s="9" t="inlineStr">
        <is>
          <t>UNESCO</t>
        </is>
      </c>
      <c r="G139" s="19" t="inlineStr"/>
      <c r="H139" s="9">
        <f>IF(COUNTIF('Country Summary'!$B$5:$B$200,B139)&gt;0,"Yes","")</f>
        <v/>
      </c>
      <c r="I139" s="9" t="inlineStr"/>
    </row>
    <row r="140">
      <c r="A140" s="9" t="n">
        <v>136</v>
      </c>
      <c r="B140" s="9" t="inlineStr">
        <is>
          <t>India</t>
        </is>
      </c>
      <c r="C140" s="9" t="inlineStr">
        <is>
          <t>Bihar</t>
        </is>
      </c>
      <c r="D140" s="9" t="inlineStr">
        <is>
          <t>Gaya</t>
        </is>
      </c>
      <c r="E140" s="9" t="inlineStr">
        <is>
          <t>Vishnupad Temple (pind daan)</t>
        </is>
      </c>
      <c r="F140" s="9" t="inlineStr">
        <is>
          <t>Temple</t>
        </is>
      </c>
      <c r="G140" s="19" t="inlineStr"/>
      <c r="H140" s="9">
        <f>IF(COUNTIF('Country Summary'!$B$5:$B$200,B140)&gt;0,"Yes","")</f>
        <v/>
      </c>
      <c r="I140" s="9" t="inlineStr"/>
    </row>
    <row r="141">
      <c r="A141" s="9" t="n">
        <v>137</v>
      </c>
      <c r="B141" s="9" t="inlineStr">
        <is>
          <t>India</t>
        </is>
      </c>
      <c r="C141" s="9" t="inlineStr">
        <is>
          <t>Bihar</t>
        </is>
      </c>
      <c r="D141" s="9" t="inlineStr">
        <is>
          <t>Nalanda / Rajgir</t>
        </is>
      </c>
      <c r="E141" s="9" t="inlineStr">
        <is>
          <t>Nalanda ruins - UNESCO; Vishwa Shanti Stupa</t>
        </is>
      </c>
      <c r="F141" s="9" t="inlineStr">
        <is>
          <t>UNESCO</t>
        </is>
      </c>
      <c r="G141" s="19" t="inlineStr"/>
      <c r="H141" s="9">
        <f>IF(COUNTIF('Country Summary'!$B$5:$B$200,B141)&gt;0,"Yes","")</f>
        <v/>
      </c>
      <c r="I141" s="9" t="inlineStr"/>
    </row>
    <row r="142">
      <c r="A142" s="9" t="n">
        <v>138</v>
      </c>
      <c r="B142" s="9" t="inlineStr">
        <is>
          <t>India</t>
        </is>
      </c>
      <c r="C142" s="9" t="inlineStr">
        <is>
          <t>Bihar</t>
        </is>
      </c>
      <c r="D142" s="9" t="inlineStr">
        <is>
          <t>Patna</t>
        </is>
      </c>
      <c r="E142" s="9" t="inlineStr">
        <is>
          <t>Takht Patna Sahib, ISKCON Patna</t>
        </is>
      </c>
      <c r="F142" s="9" t="inlineStr">
        <is>
          <t>Temple</t>
        </is>
      </c>
      <c r="G142" s="19" t="inlineStr"/>
      <c r="H142" s="9">
        <f>IF(COUNTIF('Country Summary'!$B$5:$B$200,B142)&gt;0,"Yes","")</f>
        <v/>
      </c>
      <c r="I142" s="9" t="inlineStr"/>
    </row>
    <row r="143">
      <c r="A143" s="9" t="n">
        <v>139</v>
      </c>
      <c r="B143" s="9" t="inlineStr">
        <is>
          <t>India</t>
        </is>
      </c>
      <c r="C143" s="9" t="inlineStr">
        <is>
          <t>Jharkhand</t>
        </is>
      </c>
      <c r="D143" s="9" t="inlineStr">
        <is>
          <t>Deoghar</t>
        </is>
      </c>
      <c r="E143" s="9" t="inlineStr">
        <is>
          <t>Baidyanath Jyotirlinga</t>
        </is>
      </c>
      <c r="F143" s="9" t="inlineStr">
        <is>
          <t>Temple</t>
        </is>
      </c>
      <c r="G143" s="19" t="inlineStr"/>
      <c r="H143" s="9">
        <f>IF(COUNTIF('Country Summary'!$B$5:$B$200,B143)&gt;0,"Yes","")</f>
        <v/>
      </c>
      <c r="I143" s="9" t="inlineStr"/>
    </row>
    <row r="144">
      <c r="A144" s="9" t="n">
        <v>140</v>
      </c>
      <c r="B144" s="9" t="inlineStr">
        <is>
          <t>India</t>
        </is>
      </c>
      <c r="C144" s="9" t="inlineStr">
        <is>
          <t>West Bengal</t>
        </is>
      </c>
      <c r="D144" s="9" t="inlineStr">
        <is>
          <t>Mayapur</t>
        </is>
      </c>
      <c r="E144" s="9" t="inlineStr">
        <is>
          <t>ISKCON Mayapur - TOVP, Prabhupada Pushpa Samadhi, Yogapith</t>
        </is>
      </c>
      <c r="F144" s="9" t="inlineStr">
        <is>
          <t>ISKCON</t>
        </is>
      </c>
      <c r="G144" s="19" t="inlineStr">
        <is>
          <t>Likely</t>
        </is>
      </c>
      <c r="H144" s="9">
        <f>IF(COUNTIF('Country Summary'!$B$5:$B$200,B144)&gt;0,"Yes","")</f>
        <v/>
      </c>
      <c r="I144" s="9" t="inlineStr"/>
    </row>
    <row r="145">
      <c r="A145" s="9" t="n">
        <v>141</v>
      </c>
      <c r="B145" s="9" t="inlineStr">
        <is>
          <t>India</t>
        </is>
      </c>
      <c r="C145" s="9" t="inlineStr">
        <is>
          <t>West Bengal</t>
        </is>
      </c>
      <c r="D145" s="9" t="inlineStr">
        <is>
          <t>Navadvipa</t>
        </is>
      </c>
      <c r="E145" s="9" t="inlineStr">
        <is>
          <t>Navadvipa mandala parikrama</t>
        </is>
      </c>
      <c r="F145" s="9" t="inlineStr">
        <is>
          <t>Temple</t>
        </is>
      </c>
      <c r="G145" s="19" t="inlineStr"/>
      <c r="H145" s="9">
        <f>IF(COUNTIF('Country Summary'!$B$5:$B$200,B145)&gt;0,"Yes","")</f>
        <v/>
      </c>
      <c r="I145" s="9" t="inlineStr"/>
    </row>
    <row r="146">
      <c r="A146" s="9" t="n">
        <v>142</v>
      </c>
      <c r="B146" s="9" t="inlineStr">
        <is>
          <t>India</t>
        </is>
      </c>
      <c r="C146" s="9" t="inlineStr">
        <is>
          <t>West Bengal</t>
        </is>
      </c>
      <c r="D146" s="9" t="inlineStr">
        <is>
          <t>Kolkata</t>
        </is>
      </c>
      <c r="E146" s="9" t="inlineStr">
        <is>
          <t>ISKCON Kolkata; Dakshineswar; Kalighat; Belur Math; Victoria Memorial; Prabhupada birthplace (Tollygunge)</t>
        </is>
      </c>
      <c r="F146" s="9" t="inlineStr">
        <is>
          <t>Temple</t>
        </is>
      </c>
      <c r="G146" s="19" t="inlineStr"/>
      <c r="H146" s="9">
        <f>IF(COUNTIF('Country Summary'!$B$5:$B$200,B146)&gt;0,"Yes","")</f>
        <v/>
      </c>
      <c r="I146" s="9" t="inlineStr"/>
    </row>
    <row r="147">
      <c r="A147" s="9" t="n">
        <v>143</v>
      </c>
      <c r="B147" s="9" t="inlineStr">
        <is>
          <t>India</t>
        </is>
      </c>
      <c r="C147" s="9" t="inlineStr">
        <is>
          <t>West Bengal</t>
        </is>
      </c>
      <c r="D147" s="9" t="inlineStr">
        <is>
          <t>Darjeeling</t>
        </is>
      </c>
      <c r="E147" s="9" t="inlineStr">
        <is>
          <t>Darjeeling Himalayan Railway - UNESCO</t>
        </is>
      </c>
      <c r="F147" s="9" t="inlineStr">
        <is>
          <t>UNESCO</t>
        </is>
      </c>
      <c r="G147" s="19" t="inlineStr"/>
      <c r="H147" s="9">
        <f>IF(COUNTIF('Country Summary'!$B$5:$B$200,B147)&gt;0,"Yes","")</f>
        <v/>
      </c>
      <c r="I147" s="9" t="inlineStr"/>
    </row>
    <row r="148">
      <c r="A148" s="9" t="n">
        <v>144</v>
      </c>
      <c r="B148" s="9" t="inlineStr">
        <is>
          <t>India</t>
        </is>
      </c>
      <c r="C148" s="9" t="inlineStr">
        <is>
          <t>West Bengal</t>
        </is>
      </c>
      <c r="D148" s="9" t="inlineStr">
        <is>
          <t>Sundarbans</t>
        </is>
      </c>
      <c r="E148" s="9" t="inlineStr">
        <is>
          <t>Sundarbans - UNESCO</t>
        </is>
      </c>
      <c r="F148" s="9" t="inlineStr">
        <is>
          <t>UNESCO</t>
        </is>
      </c>
      <c r="G148" s="19" t="inlineStr"/>
      <c r="H148" s="9">
        <f>IF(COUNTIF('Country Summary'!$B$5:$B$200,B148)&gt;0,"Yes","")</f>
        <v/>
      </c>
      <c r="I148" s="9" t="inlineStr"/>
    </row>
    <row r="149">
      <c r="A149" s="9" t="n">
        <v>145</v>
      </c>
      <c r="B149" s="9" t="inlineStr">
        <is>
          <t>India</t>
        </is>
      </c>
      <c r="C149" s="9" t="inlineStr">
        <is>
          <t>Odisha</t>
        </is>
      </c>
      <c r="D149" s="9" t="inlineStr">
        <is>
          <t>Puri</t>
        </is>
      </c>
      <c r="E149" s="9" t="inlineStr">
        <is>
          <t>Jagannath Temple, Ratha Yatra, Gundicha, Tota Gopinath, Haridas samadhi</t>
        </is>
      </c>
      <c r="F149" s="9" t="inlineStr">
        <is>
          <t>Temple</t>
        </is>
      </c>
      <c r="G149" s="19" t="inlineStr">
        <is>
          <t>Likely</t>
        </is>
      </c>
      <c r="H149" s="9">
        <f>IF(COUNTIF('Country Summary'!$B$5:$B$200,B149)&gt;0,"Yes","")</f>
        <v/>
      </c>
      <c r="I149" s="9" t="inlineStr"/>
    </row>
    <row r="150">
      <c r="A150" s="9" t="n">
        <v>146</v>
      </c>
      <c r="B150" s="9" t="inlineStr">
        <is>
          <t>India</t>
        </is>
      </c>
      <c r="C150" s="9" t="inlineStr">
        <is>
          <t>Odisha</t>
        </is>
      </c>
      <c r="D150" s="9" t="inlineStr">
        <is>
          <t>Konark</t>
        </is>
      </c>
      <c r="E150" s="9" t="inlineStr">
        <is>
          <t>Sun Temple - UNESCO</t>
        </is>
      </c>
      <c r="F150" s="9" t="inlineStr">
        <is>
          <t>UNESCO</t>
        </is>
      </c>
      <c r="G150" s="19" t="inlineStr">
        <is>
          <t>Likely</t>
        </is>
      </c>
      <c r="H150" s="9">
        <f>IF(COUNTIF('Country Summary'!$B$5:$B$200,B150)&gt;0,"Yes","")</f>
        <v/>
      </c>
      <c r="I150" s="9" t="inlineStr"/>
    </row>
    <row r="151">
      <c r="A151" s="9" t="n">
        <v>147</v>
      </c>
      <c r="B151" s="9" t="inlineStr">
        <is>
          <t>India</t>
        </is>
      </c>
      <c r="C151" s="9" t="inlineStr">
        <is>
          <t>Odisha</t>
        </is>
      </c>
      <c r="D151" s="9" t="inlineStr">
        <is>
          <t>Bhubaneswar</t>
        </is>
      </c>
      <c r="E151" s="9" t="inlineStr">
        <is>
          <t>Lingaraj, Mukteshwar, Udayagiri caves, ISKCON</t>
        </is>
      </c>
      <c r="F151" s="9" t="inlineStr">
        <is>
          <t>Temple</t>
        </is>
      </c>
      <c r="G151" s="19" t="inlineStr">
        <is>
          <t>Likely</t>
        </is>
      </c>
      <c r="H151" s="9">
        <f>IF(COUNTIF('Country Summary'!$B$5:$B$200,B151)&gt;0,"Yes","")</f>
        <v/>
      </c>
      <c r="I151" s="9" t="inlineStr"/>
    </row>
    <row r="152">
      <c r="A152" s="9" t="n">
        <v>148</v>
      </c>
      <c r="B152" s="9" t="inlineStr">
        <is>
          <t>India</t>
        </is>
      </c>
      <c r="C152" s="9" t="inlineStr">
        <is>
          <t>Odisha</t>
        </is>
      </c>
      <c r="D152" s="9" t="inlineStr">
        <is>
          <t>Chilika</t>
        </is>
      </c>
      <c r="E152" s="9" t="inlineStr">
        <is>
          <t>Chilika lake &amp; Kalijai</t>
        </is>
      </c>
      <c r="F152" s="9" t="inlineStr">
        <is>
          <t>Nature</t>
        </is>
      </c>
      <c r="G152" s="19" t="inlineStr"/>
      <c r="H152" s="9">
        <f>IF(COUNTIF('Country Summary'!$B$5:$B$200,B152)&gt;0,"Yes","")</f>
        <v/>
      </c>
      <c r="I152" s="9" t="inlineStr"/>
    </row>
    <row r="153">
      <c r="A153" s="9" t="n">
        <v>149</v>
      </c>
      <c r="B153" s="9" t="inlineStr">
        <is>
          <t>India</t>
        </is>
      </c>
      <c r="C153" s="9" t="inlineStr">
        <is>
          <t>Assam</t>
        </is>
      </c>
      <c r="D153" s="9" t="inlineStr">
        <is>
          <t>Guwahati</t>
        </is>
      </c>
      <c r="E153" s="9" t="inlineStr">
        <is>
          <t>Kamakhya Temple, Umananda</t>
        </is>
      </c>
      <c r="F153" s="9" t="inlineStr">
        <is>
          <t>Temple</t>
        </is>
      </c>
      <c r="G153" s="19" t="inlineStr"/>
      <c r="H153" s="9">
        <f>IF(COUNTIF('Country Summary'!$B$5:$B$200,B153)&gt;0,"Yes","")</f>
        <v/>
      </c>
      <c r="I153" s="9" t="inlineStr"/>
    </row>
    <row r="154">
      <c r="A154" s="9" t="n">
        <v>150</v>
      </c>
      <c r="B154" s="9" t="inlineStr">
        <is>
          <t>India</t>
        </is>
      </c>
      <c r="C154" s="9" t="inlineStr">
        <is>
          <t>Assam</t>
        </is>
      </c>
      <c r="D154" s="9" t="inlineStr">
        <is>
          <t>Majuli</t>
        </is>
      </c>
      <c r="E154" s="9" t="inlineStr">
        <is>
          <t>Vaishnava satras (river island)</t>
        </is>
      </c>
      <c r="F154" s="9" t="inlineStr">
        <is>
          <t>Temple</t>
        </is>
      </c>
      <c r="G154" s="19" t="inlineStr"/>
      <c r="H154" s="9">
        <f>IF(COUNTIF('Country Summary'!$B$5:$B$200,B154)&gt;0,"Yes","")</f>
        <v/>
      </c>
      <c r="I154" s="9" t="inlineStr"/>
    </row>
    <row r="155">
      <c r="A155" s="9" t="n">
        <v>151</v>
      </c>
      <c r="B155" s="9" t="inlineStr">
        <is>
          <t>India</t>
        </is>
      </c>
      <c r="C155" s="9" t="inlineStr">
        <is>
          <t>Assam</t>
        </is>
      </c>
      <c r="D155" s="9" t="inlineStr">
        <is>
          <t>Kaziranga</t>
        </is>
      </c>
      <c r="E155" s="9" t="inlineStr">
        <is>
          <t>Kaziranga - UNESCO (rhinos)</t>
        </is>
      </c>
      <c r="F155" s="9" t="inlineStr">
        <is>
          <t>UNESCO</t>
        </is>
      </c>
      <c r="G155" s="19" t="inlineStr"/>
      <c r="H155" s="9">
        <f>IF(COUNTIF('Country Summary'!$B$5:$B$200,B155)&gt;0,"Yes","")</f>
        <v/>
      </c>
      <c r="I155" s="9" t="inlineStr"/>
    </row>
    <row r="156">
      <c r="A156" s="9" t="n">
        <v>152</v>
      </c>
      <c r="B156" s="9" t="inlineStr">
        <is>
          <t>India</t>
        </is>
      </c>
      <c r="C156" s="9" t="inlineStr">
        <is>
          <t>Meghalaya</t>
        </is>
      </c>
      <c r="D156" s="9" t="inlineStr">
        <is>
          <t>Shillong / Cherrapunji</t>
        </is>
      </c>
      <c r="E156" s="9" t="inlineStr">
        <is>
          <t>Living root bridges, Mawlynnong, Dawki</t>
        </is>
      </c>
      <c r="F156" s="9" t="inlineStr">
        <is>
          <t>Nature</t>
        </is>
      </c>
      <c r="G156" s="19" t="inlineStr"/>
      <c r="H156" s="9">
        <f>IF(COUNTIF('Country Summary'!$B$5:$B$200,B156)&gt;0,"Yes","")</f>
        <v/>
      </c>
      <c r="I156" s="9" t="inlineStr"/>
    </row>
    <row r="157">
      <c r="A157" s="9" t="n">
        <v>153</v>
      </c>
      <c r="B157" s="9" t="inlineStr">
        <is>
          <t>India</t>
        </is>
      </c>
      <c r="C157" s="9" t="inlineStr">
        <is>
          <t>Arunachal Pradesh</t>
        </is>
      </c>
      <c r="D157" s="9" t="inlineStr">
        <is>
          <t>Tawang</t>
        </is>
      </c>
      <c r="E157" s="9" t="inlineStr">
        <is>
          <t>Tawang Monastery (ILP)</t>
        </is>
      </c>
      <c r="F157" s="9" t="inlineStr">
        <is>
          <t>Monument</t>
        </is>
      </c>
      <c r="G157" s="19" t="inlineStr"/>
      <c r="H157" s="9">
        <f>IF(COUNTIF('Country Summary'!$B$5:$B$200,B157)&gt;0,"Yes","")</f>
        <v/>
      </c>
      <c r="I157" s="9" t="inlineStr"/>
    </row>
    <row r="158">
      <c r="A158" s="9" t="n">
        <v>154</v>
      </c>
      <c r="B158" s="9" t="inlineStr">
        <is>
          <t>India</t>
        </is>
      </c>
      <c r="C158" s="9" t="inlineStr">
        <is>
          <t>Manipur</t>
        </is>
      </c>
      <c r="D158" s="9" t="inlineStr">
        <is>
          <t>Imphal</t>
        </is>
      </c>
      <c r="E158" s="9" t="inlineStr">
        <is>
          <t>Shree Govindajee Temple, Loktak lake, Kangla Fort</t>
        </is>
      </c>
      <c r="F158" s="9" t="inlineStr">
        <is>
          <t>Temple</t>
        </is>
      </c>
      <c r="G158" s="19" t="inlineStr"/>
      <c r="H158" s="9">
        <f>IF(COUNTIF('Country Summary'!$B$5:$B$200,B158)&gt;0,"Yes","")</f>
        <v/>
      </c>
      <c r="I158" s="9" t="inlineStr"/>
    </row>
    <row r="159">
      <c r="A159" s="9" t="n">
        <v>155</v>
      </c>
      <c r="B159" s="9" t="inlineStr">
        <is>
          <t>India</t>
        </is>
      </c>
      <c r="C159" s="9" t="inlineStr">
        <is>
          <t>Nagaland</t>
        </is>
      </c>
      <c r="D159" s="9" t="inlineStr">
        <is>
          <t>Kohima</t>
        </is>
      </c>
      <c r="E159" s="9" t="inlineStr">
        <is>
          <t>Hornbill Festival (Dec), WWII cemetery</t>
        </is>
      </c>
      <c r="F159" s="9" t="inlineStr">
        <is>
          <t>Festival</t>
        </is>
      </c>
      <c r="G159" s="19" t="inlineStr"/>
      <c r="H159" s="9">
        <f>IF(COUNTIF('Country Summary'!$B$5:$B$200,B159)&gt;0,"Yes","")</f>
        <v/>
      </c>
      <c r="I159" s="9" t="inlineStr"/>
    </row>
    <row r="160">
      <c r="A160" s="9" t="n">
        <v>156</v>
      </c>
      <c r="B160" s="9" t="inlineStr">
        <is>
          <t>India</t>
        </is>
      </c>
      <c r="C160" s="9" t="inlineStr">
        <is>
          <t>Mizoram</t>
        </is>
      </c>
      <c r="D160" s="9" t="inlineStr">
        <is>
          <t>Aizawl</t>
        </is>
      </c>
      <c r="E160" s="9" t="inlineStr">
        <is>
          <t>Solomon's Temple, Reiek</t>
        </is>
      </c>
      <c r="F160" s="9" t="inlineStr">
        <is>
          <t>Monument</t>
        </is>
      </c>
      <c r="G160" s="19" t="inlineStr"/>
      <c r="H160" s="9">
        <f>IF(COUNTIF('Country Summary'!$B$5:$B$200,B160)&gt;0,"Yes","")</f>
        <v/>
      </c>
      <c r="I160" s="9" t="inlineStr"/>
    </row>
    <row r="161">
      <c r="A161" s="9" t="n">
        <v>157</v>
      </c>
      <c r="B161" s="9" t="inlineStr">
        <is>
          <t>India</t>
        </is>
      </c>
      <c r="C161" s="9" t="inlineStr">
        <is>
          <t>Tripura</t>
        </is>
      </c>
      <c r="D161" s="9" t="inlineStr">
        <is>
          <t>Udaipur (Tripura)</t>
        </is>
      </c>
      <c r="E161" s="9" t="inlineStr">
        <is>
          <t>Tripura Sundari (Shakti peetha), Ujjayanta Palace, Unakoti</t>
        </is>
      </c>
      <c r="F161" s="9" t="inlineStr">
        <is>
          <t>Temple</t>
        </is>
      </c>
      <c r="G161" s="19" t="inlineStr"/>
      <c r="H161" s="9">
        <f>IF(COUNTIF('Country Summary'!$B$5:$B$200,B161)&gt;0,"Yes","")</f>
        <v/>
      </c>
      <c r="I161" s="9" t="inlineStr"/>
    </row>
    <row r="162">
      <c r="A162" s="9" t="n">
        <v>158</v>
      </c>
      <c r="B162" s="9" t="inlineStr">
        <is>
          <t>India</t>
        </is>
      </c>
      <c r="C162" s="9" t="inlineStr">
        <is>
          <t>Sikkim</t>
        </is>
      </c>
      <c r="D162" s="9" t="inlineStr">
        <is>
          <t>Gangtok</t>
        </is>
      </c>
      <c r="E162" s="9" t="inlineStr">
        <is>
          <t>Rumtek, Tsomgo lake, Nathu La; Khangchendzonga NP - UNESCO</t>
        </is>
      </c>
      <c r="F162" s="9" t="inlineStr">
        <is>
          <t>UNESCO</t>
        </is>
      </c>
      <c r="G162" s="19" t="inlineStr"/>
      <c r="H162" s="9">
        <f>IF(COUNTIF('Country Summary'!$B$5:$B$200,B162)&gt;0,"Yes","")</f>
        <v/>
      </c>
      <c r="I162" s="9" t="inlineStr"/>
    </row>
    <row r="163">
      <c r="A163" s="9" t="n">
        <v>159</v>
      </c>
      <c r="B163" s="9" t="inlineStr">
        <is>
          <t>India</t>
        </is>
      </c>
      <c r="C163" s="9" t="inlineStr">
        <is>
          <t>Andaman &amp; Nicobar</t>
        </is>
      </c>
      <c r="D163" s="9" t="inlineStr">
        <is>
          <t>Port Blair</t>
        </is>
      </c>
      <c r="E163" s="9" t="inlineStr">
        <is>
          <t>Cellular Jail, Havelock (Radhanagar)</t>
        </is>
      </c>
      <c r="F163" s="9" t="inlineStr">
        <is>
          <t>Monument</t>
        </is>
      </c>
      <c r="G163" s="19" t="inlineStr"/>
      <c r="H163" s="9">
        <f>IF(COUNTIF('Country Summary'!$B$5:$B$200,B163)&gt;0,"Yes","")</f>
        <v/>
      </c>
      <c r="I163" s="9" t="inlineStr"/>
    </row>
    <row r="164">
      <c r="A164" s="9" t="n">
        <v>160</v>
      </c>
      <c r="B164" s="9" t="inlineStr">
        <is>
          <t>India</t>
        </is>
      </c>
      <c r="C164" s="9" t="inlineStr">
        <is>
          <t>Lakshadweep</t>
        </is>
      </c>
      <c r="D164" s="9" t="inlineStr">
        <is>
          <t>Agatti / Bangaram</t>
        </is>
      </c>
      <c r="E164" s="9" t="inlineStr">
        <is>
          <t>Lagoons</t>
        </is>
      </c>
      <c r="F164" s="9" t="inlineStr">
        <is>
          <t>Nature</t>
        </is>
      </c>
      <c r="G164" s="19" t="inlineStr"/>
      <c r="H164" s="9">
        <f>IF(COUNTIF('Country Summary'!$B$5:$B$200,B164)&gt;0,"Yes","")</f>
        <v/>
      </c>
      <c r="I164" s="9" t="inlineStr"/>
    </row>
    <row r="165">
      <c r="A165" s="9" t="n">
        <v>161</v>
      </c>
      <c r="B165" s="9" t="inlineStr">
        <is>
          <t>India</t>
        </is>
      </c>
      <c r="C165" s="9" t="inlineStr">
        <is>
          <t>Puducherry</t>
        </is>
      </c>
      <c r="D165" s="9" t="inlineStr">
        <is>
          <t>Puducherry</t>
        </is>
      </c>
      <c r="E165" s="9" t="inlineStr">
        <is>
          <t>Aurobindo Ashram, Auroville, French quarter</t>
        </is>
      </c>
      <c r="F165" s="9" t="inlineStr">
        <is>
          <t>Monument</t>
        </is>
      </c>
      <c r="G165" s="19" t="inlineStr"/>
      <c r="H165" s="9">
        <f>IF(COUNTIF('Country Summary'!$B$5:$B$200,B165)&gt;0,"Yes","")</f>
        <v/>
      </c>
      <c r="I165" s="9" t="inlineStr"/>
    </row>
    <row r="166">
      <c r="A166" s="9" t="n">
        <v>162</v>
      </c>
      <c r="B166" s="9" t="inlineStr">
        <is>
          <t>USA</t>
        </is>
      </c>
      <c r="C166" s="9" t="inlineStr">
        <is>
          <t>New York</t>
        </is>
      </c>
      <c r="D166" s="9" t="inlineStr">
        <is>
          <t>New York City</t>
        </is>
      </c>
      <c r="E166" s="9" t="inlineStr">
        <is>
          <t>ISKCON NYC (26 Second Ave - Prabhupada's first temple; Brooklyn Radha Govinda)</t>
        </is>
      </c>
      <c r="F166" s="9" t="inlineStr">
        <is>
          <t>ISKCON</t>
        </is>
      </c>
      <c r="G166" s="19" t="inlineStr">
        <is>
          <t>Yes</t>
        </is>
      </c>
      <c r="H166" s="9">
        <f>IF(COUNTIF('Country Summary'!$B$5:$B$200,B166)&gt;0,"Yes","")</f>
        <v/>
      </c>
      <c r="I166" s="9" t="inlineStr"/>
    </row>
    <row r="167">
      <c r="A167" s="9" t="n">
        <v>163</v>
      </c>
      <c r="B167" s="9" t="inlineStr">
        <is>
          <t>USA</t>
        </is>
      </c>
      <c r="C167" s="9" t="inlineStr">
        <is>
          <t>New York</t>
        </is>
      </c>
      <c r="D167" s="9" t="inlineStr">
        <is>
          <t>New York City</t>
        </is>
      </c>
      <c r="E167" s="9" t="inlineStr">
        <is>
          <t>Statue of Liberty, Ellis Island, Times Square, Central Park, Empire State, 9/11 Memorial</t>
        </is>
      </c>
      <c r="F167" s="9" t="inlineStr">
        <is>
          <t>Monument</t>
        </is>
      </c>
      <c r="G167" s="19" t="inlineStr">
        <is>
          <t>Yes</t>
        </is>
      </c>
      <c r="H167" s="9">
        <f>IF(COUNTIF('Country Summary'!$B$5:$B$200,B167)&gt;0,"Yes","")</f>
        <v/>
      </c>
      <c r="I167" s="9" t="inlineStr"/>
    </row>
    <row r="168">
      <c r="A168" s="9" t="n">
        <v>164</v>
      </c>
      <c r="B168" s="9" t="inlineStr">
        <is>
          <t>USA</t>
        </is>
      </c>
      <c r="C168" s="9" t="inlineStr">
        <is>
          <t>New York</t>
        </is>
      </c>
      <c r="D168" s="9" t="inlineStr">
        <is>
          <t>New York City</t>
        </is>
      </c>
      <c r="E168" s="9" t="inlineStr">
        <is>
          <t>Metropolitan Museum, MoMA, Brooklyn Bridge</t>
        </is>
      </c>
      <c r="F168" s="9" t="inlineStr">
        <is>
          <t>Museum</t>
        </is>
      </c>
      <c r="G168" s="19" t="inlineStr">
        <is>
          <t>Yes</t>
        </is>
      </c>
      <c r="H168" s="9">
        <f>IF(COUNTIF('Country Summary'!$B$5:$B$200,B168)&gt;0,"Yes","")</f>
        <v/>
      </c>
      <c r="I168" s="9" t="inlineStr"/>
    </row>
    <row r="169">
      <c r="A169" s="9" t="n">
        <v>165</v>
      </c>
      <c r="B169" s="9" t="inlineStr">
        <is>
          <t>USA</t>
        </is>
      </c>
      <c r="C169" s="9" t="inlineStr">
        <is>
          <t>New York</t>
        </is>
      </c>
      <c r="D169" s="9" t="inlineStr">
        <is>
          <t>Tompkins Square Park</t>
        </is>
      </c>
      <c r="E169" s="9" t="inlineStr">
        <is>
          <t>Hare Krishna Tree (first public kirtan 1966)</t>
        </is>
      </c>
      <c r="F169" s="9" t="inlineStr">
        <is>
          <t>ISKCON</t>
        </is>
      </c>
      <c r="G169" s="19" t="inlineStr">
        <is>
          <t>Yes</t>
        </is>
      </c>
      <c r="H169" s="9">
        <f>IF(COUNTIF('Country Summary'!$B$5:$B$200,B169)&gt;0,"Yes","")</f>
        <v/>
      </c>
      <c r="I169" s="9" t="inlineStr"/>
    </row>
    <row r="170">
      <c r="A170" s="9" t="n">
        <v>166</v>
      </c>
      <c r="B170" s="9" t="inlineStr">
        <is>
          <t>USA</t>
        </is>
      </c>
      <c r="C170" s="9" t="inlineStr">
        <is>
          <t>Washington DC</t>
        </is>
      </c>
      <c r="D170" s="9" t="inlineStr">
        <is>
          <t>Washington DC</t>
        </is>
      </c>
      <c r="E170" s="9" t="inlineStr">
        <is>
          <t>White House, Capitol, Lincoln Memorial, Smithsonian museums</t>
        </is>
      </c>
      <c r="F170" s="9" t="inlineStr">
        <is>
          <t>Monument</t>
        </is>
      </c>
      <c r="G170" s="19" t="inlineStr">
        <is>
          <t>Yes</t>
        </is>
      </c>
      <c r="H170" s="9">
        <f>IF(COUNTIF('Country Summary'!$B$5:$B$200,B170)&gt;0,"Yes","")</f>
        <v/>
      </c>
      <c r="I170" s="9" t="inlineStr"/>
    </row>
    <row r="171">
      <c r="A171" s="9" t="n">
        <v>167</v>
      </c>
      <c r="B171" s="9" t="inlineStr">
        <is>
          <t>USA</t>
        </is>
      </c>
      <c r="C171" s="9" t="inlineStr">
        <is>
          <t>Maryland</t>
        </is>
      </c>
      <c r="D171" s="9" t="inlineStr">
        <is>
          <t>Potomac</t>
        </is>
      </c>
      <c r="E171" s="9" t="inlineStr">
        <is>
          <t>ISKCON Washington DC</t>
        </is>
      </c>
      <c r="F171" s="9" t="inlineStr">
        <is>
          <t>ISKCON</t>
        </is>
      </c>
      <c r="G171" s="19" t="inlineStr"/>
      <c r="H171" s="9">
        <f>IF(COUNTIF('Country Summary'!$B$5:$B$200,B171)&gt;0,"Yes","")</f>
        <v/>
      </c>
      <c r="I171" s="9" t="inlineStr"/>
    </row>
    <row r="172">
      <c r="A172" s="9" t="n">
        <v>168</v>
      </c>
      <c r="B172" s="9" t="inlineStr">
        <is>
          <t>USA</t>
        </is>
      </c>
      <c r="C172" s="9" t="inlineStr">
        <is>
          <t>Maryland</t>
        </is>
      </c>
      <c r="D172" s="9" t="inlineStr">
        <is>
          <t>Baltimore</t>
        </is>
      </c>
      <c r="E172" s="9" t="inlineStr">
        <is>
          <t>ISKCON Baltimore</t>
        </is>
      </c>
      <c r="F172" s="9" t="inlineStr">
        <is>
          <t>ISKCON</t>
        </is>
      </c>
      <c r="G172" s="19" t="inlineStr">
        <is>
          <t>Yes</t>
        </is>
      </c>
      <c r="H172" s="9">
        <f>IF(COUNTIF('Country Summary'!$B$5:$B$200,B172)&gt;0,"Yes","")</f>
        <v/>
      </c>
      <c r="I172" s="9" t="inlineStr"/>
    </row>
    <row r="173">
      <c r="A173" s="9" t="n">
        <v>169</v>
      </c>
      <c r="B173" s="9" t="inlineStr">
        <is>
          <t>USA</t>
        </is>
      </c>
      <c r="C173" s="9" t="inlineStr">
        <is>
          <t>Virginia</t>
        </is>
      </c>
      <c r="D173" s="9" t="inlineStr">
        <is>
          <t>Fairfax</t>
        </is>
      </c>
      <c r="E173" s="9" t="inlineStr">
        <is>
          <t>Sri Venkateswara Lotus Temple</t>
        </is>
      </c>
      <c r="F173" s="9" t="inlineStr">
        <is>
          <t>Temple</t>
        </is>
      </c>
      <c r="G173" s="19" t="inlineStr">
        <is>
          <t>Yes</t>
        </is>
      </c>
      <c r="H173" s="9">
        <f>IF(COUNTIF('Country Summary'!$B$5:$B$200,B173)&gt;0,"Yes","")</f>
        <v/>
      </c>
      <c r="I173" s="9" t="inlineStr"/>
    </row>
    <row r="174">
      <c r="A174" s="9" t="n">
        <v>170</v>
      </c>
      <c r="B174" s="9" t="inlineStr">
        <is>
          <t>USA</t>
        </is>
      </c>
      <c r="C174" s="9" t="inlineStr">
        <is>
          <t>Pennsylvania</t>
        </is>
      </c>
      <c r="D174" s="9" t="inlineStr">
        <is>
          <t>Pittsburgh</t>
        </is>
      </c>
      <c r="E174" s="9" t="inlineStr">
        <is>
          <t>Sri Venkateswara Temple, Penn Hills</t>
        </is>
      </c>
      <c r="F174" s="9" t="inlineStr">
        <is>
          <t>Temple</t>
        </is>
      </c>
      <c r="G174" s="19" t="inlineStr">
        <is>
          <t>Yes</t>
        </is>
      </c>
      <c r="H174" s="9">
        <f>IF(COUNTIF('Country Summary'!$B$5:$B$200,B174)&gt;0,"Yes","")</f>
        <v/>
      </c>
      <c r="I174" s="9" t="inlineStr"/>
    </row>
    <row r="175">
      <c r="A175" s="9" t="n">
        <v>171</v>
      </c>
      <c r="B175" s="9" t="inlineStr">
        <is>
          <t>USA</t>
        </is>
      </c>
      <c r="C175" s="9" t="inlineStr">
        <is>
          <t>New York</t>
        </is>
      </c>
      <c r="D175" s="9" t="inlineStr">
        <is>
          <t>Niagara Falls</t>
        </is>
      </c>
      <c r="E175" s="9" t="inlineStr">
        <is>
          <t>Niagara Falls - Maid of the Mist, Cave of the Winds</t>
        </is>
      </c>
      <c r="F175" s="9" t="inlineStr">
        <is>
          <t>Nature</t>
        </is>
      </c>
      <c r="G175" s="19" t="inlineStr">
        <is>
          <t>Yes</t>
        </is>
      </c>
      <c r="H175" s="9">
        <f>IF(COUNTIF('Country Summary'!$B$5:$B$200,B175)&gt;0,"Yes","")</f>
        <v/>
      </c>
      <c r="I175" s="9" t="inlineStr"/>
    </row>
    <row r="176">
      <c r="A176" s="9" t="n">
        <v>172</v>
      </c>
      <c r="B176" s="9" t="inlineStr">
        <is>
          <t>USA</t>
        </is>
      </c>
      <c r="C176" s="9" t="inlineStr">
        <is>
          <t>New Jersey</t>
        </is>
      </c>
      <c r="D176" s="9" t="inlineStr">
        <is>
          <t>Bridgewater</t>
        </is>
      </c>
      <c r="E176" s="9" t="inlineStr">
        <is>
          <t>Sri Venkateswara (Balaji) Temple; IHF New Jersey</t>
        </is>
      </c>
      <c r="F176" s="9" t="inlineStr">
        <is>
          <t>Temple</t>
        </is>
      </c>
      <c r="G176" s="19" t="inlineStr">
        <is>
          <t>Yes</t>
        </is>
      </c>
      <c r="H176" s="9">
        <f>IF(COUNTIF('Country Summary'!$B$5:$B$200,B176)&gt;0,"Yes","")</f>
        <v/>
      </c>
      <c r="I176" s="9" t="inlineStr"/>
    </row>
    <row r="177">
      <c r="A177" s="9" t="n">
        <v>173</v>
      </c>
      <c r="B177" s="9" t="inlineStr">
        <is>
          <t>USA</t>
        </is>
      </c>
      <c r="C177" s="9" t="inlineStr">
        <is>
          <t>California</t>
        </is>
      </c>
      <c r="D177" s="9" t="inlineStr">
        <is>
          <t>Laguna Beach / San Jose / Mountain View</t>
        </is>
      </c>
      <c r="E177" s="9" t="inlineStr">
        <is>
          <t>ISKCON Laguna Beach; Krishna Balaram Balaji Mandir (IHF San Jose); ISKCON Silicon Valley</t>
        </is>
      </c>
      <c r="F177" s="9" t="inlineStr">
        <is>
          <t>ISKCON</t>
        </is>
      </c>
      <c r="G177" s="19" t="inlineStr">
        <is>
          <t>Yes</t>
        </is>
      </c>
      <c r="H177" s="9">
        <f>IF(COUNTIF('Country Summary'!$B$5:$B$200,B177)&gt;0,"Yes","")</f>
        <v/>
      </c>
      <c r="I177" s="9" t="inlineStr"/>
    </row>
    <row r="178">
      <c r="A178" s="9" t="n">
        <v>174</v>
      </c>
      <c r="B178" s="9" t="inlineStr">
        <is>
          <t>USA</t>
        </is>
      </c>
      <c r="C178" s="9" t="inlineStr">
        <is>
          <t>New York</t>
        </is>
      </c>
      <c r="D178" s="9" t="inlineStr">
        <is>
          <t>New York City</t>
        </is>
      </c>
      <c r="E178" s="9" t="inlineStr">
        <is>
          <t>Bhakti Center (East Village)</t>
        </is>
      </c>
      <c r="F178" s="9" t="inlineStr">
        <is>
          <t>ISKCON</t>
        </is>
      </c>
      <c r="G178" s="19" t="inlineStr">
        <is>
          <t>Yes</t>
        </is>
      </c>
      <c r="H178" s="9">
        <f>IF(COUNTIF('Country Summary'!$B$5:$B$200,B178)&gt;0,"Yes","")</f>
        <v/>
      </c>
      <c r="I178" s="9" t="inlineStr"/>
    </row>
    <row r="179">
      <c r="A179" s="9" t="n">
        <v>175</v>
      </c>
      <c r="B179" s="9" t="inlineStr">
        <is>
          <t>USA</t>
        </is>
      </c>
      <c r="C179" s="9" t="inlineStr">
        <is>
          <t>West Virginia</t>
        </is>
      </c>
      <c r="D179" s="9" t="inlineStr">
        <is>
          <t>Moundsville</t>
        </is>
      </c>
      <c r="E179" s="9" t="inlineStr">
        <is>
          <t>New Vrindaban - Prabhupada's Palace of Gold</t>
        </is>
      </c>
      <c r="F179" s="9" t="inlineStr">
        <is>
          <t>ISKCON</t>
        </is>
      </c>
      <c r="G179" s="19" t="inlineStr">
        <is>
          <t>Yes</t>
        </is>
      </c>
      <c r="H179" s="9">
        <f>IF(COUNTIF('Country Summary'!$B$5:$B$200,B179)&gt;0,"Yes","")</f>
        <v/>
      </c>
      <c r="I179" s="9" t="inlineStr"/>
    </row>
    <row r="180">
      <c r="A180" s="9" t="n">
        <v>176</v>
      </c>
      <c r="B180" s="9" t="inlineStr">
        <is>
          <t>USA</t>
        </is>
      </c>
      <c r="C180" s="9" t="inlineStr">
        <is>
          <t>California</t>
        </is>
      </c>
      <c r="D180" s="9" t="inlineStr">
        <is>
          <t>Los Angeles</t>
        </is>
      </c>
      <c r="E180" s="9" t="inlineStr">
        <is>
          <t>ISKCON LA (New Dwarka, Watseka Ave - Prabhupada's HQ), Hollywood, Getty</t>
        </is>
      </c>
      <c r="F180" s="9" t="inlineStr">
        <is>
          <t>ISKCON</t>
        </is>
      </c>
      <c r="G180" s="19" t="inlineStr">
        <is>
          <t>Yes</t>
        </is>
      </c>
      <c r="H180" s="9">
        <f>IF(COUNTIF('Country Summary'!$B$5:$B$200,B180)&gt;0,"Yes","")</f>
        <v/>
      </c>
      <c r="I180" s="9" t="inlineStr"/>
    </row>
    <row r="181">
      <c r="A181" s="9" t="n">
        <v>177</v>
      </c>
      <c r="B181" s="9" t="inlineStr">
        <is>
          <t>USA</t>
        </is>
      </c>
      <c r="C181" s="9" t="inlineStr">
        <is>
          <t>California</t>
        </is>
      </c>
      <c r="D181" s="9" t="inlineStr">
        <is>
          <t>San Francisco</t>
        </is>
      </c>
      <c r="E181" s="9" t="inlineStr">
        <is>
          <t>Golden Gate Bridge, Alcatraz; ISKCON Berkeley (Ratha Yatra origin 1967)</t>
        </is>
      </c>
      <c r="F181" s="9" t="inlineStr">
        <is>
          <t>Monument</t>
        </is>
      </c>
      <c r="G181" s="19" t="inlineStr">
        <is>
          <t>Yes</t>
        </is>
      </c>
      <c r="H181" s="9">
        <f>IF(COUNTIF('Country Summary'!$B$5:$B$200,B181)&gt;0,"Yes","")</f>
        <v/>
      </c>
      <c r="I181" s="9" t="inlineStr"/>
    </row>
    <row r="182">
      <c r="A182" s="9" t="n">
        <v>178</v>
      </c>
      <c r="B182" s="9" t="inlineStr">
        <is>
          <t>USA</t>
        </is>
      </c>
      <c r="C182" s="9" t="inlineStr">
        <is>
          <t>California</t>
        </is>
      </c>
      <c r="D182" s="9" t="inlineStr">
        <is>
          <t>Yosemite / Sequoia</t>
        </is>
      </c>
      <c r="E182" s="9" t="inlineStr">
        <is>
          <t>Yosemite - UNESCO</t>
        </is>
      </c>
      <c r="F182" s="9" t="inlineStr">
        <is>
          <t>UNESCO</t>
        </is>
      </c>
      <c r="G182" s="19" t="inlineStr"/>
      <c r="H182" s="9">
        <f>IF(COUNTIF('Country Summary'!$B$5:$B$200,B182)&gt;0,"Yes","")</f>
        <v/>
      </c>
      <c r="I182" s="9" t="inlineStr"/>
    </row>
    <row r="183">
      <c r="A183" s="9" t="n">
        <v>179</v>
      </c>
      <c r="B183" s="9" t="inlineStr">
        <is>
          <t>USA</t>
        </is>
      </c>
      <c r="C183" s="9" t="inlineStr">
        <is>
          <t>California</t>
        </is>
      </c>
      <c r="D183" s="9" t="inlineStr">
        <is>
          <t>San Diego</t>
        </is>
      </c>
      <c r="E183" s="9" t="inlineStr">
        <is>
          <t>ISKCON San Diego, Balboa Park</t>
        </is>
      </c>
      <c r="F183" s="9" t="inlineStr">
        <is>
          <t>ISKCON</t>
        </is>
      </c>
      <c r="G183" s="19" t="inlineStr"/>
      <c r="H183" s="9">
        <f>IF(COUNTIF('Country Summary'!$B$5:$B$200,B183)&gt;0,"Yes","")</f>
        <v/>
      </c>
      <c r="I183" s="9" t="inlineStr"/>
    </row>
    <row r="184">
      <c r="A184" s="9" t="n">
        <v>180</v>
      </c>
      <c r="B184" s="9" t="inlineStr">
        <is>
          <t>USA</t>
        </is>
      </c>
      <c r="C184" s="9" t="inlineStr">
        <is>
          <t>Nevada / Arizona</t>
        </is>
      </c>
      <c r="D184" s="9" t="inlineStr">
        <is>
          <t>Las Vegas / Grand Canyon</t>
        </is>
      </c>
      <c r="E184" s="9" t="inlineStr">
        <is>
          <t>Grand Canyon - UNESCO; Hoover Dam</t>
        </is>
      </c>
      <c r="F184" s="9" t="inlineStr">
        <is>
          <t>UNESCO</t>
        </is>
      </c>
      <c r="G184" s="19" t="inlineStr"/>
      <c r="H184" s="9">
        <f>IF(COUNTIF('Country Summary'!$B$5:$B$200,B184)&gt;0,"Yes","")</f>
        <v/>
      </c>
      <c r="I184" s="9" t="inlineStr"/>
    </row>
    <row r="185">
      <c r="A185" s="9" t="n">
        <v>181</v>
      </c>
      <c r="B185" s="9" t="inlineStr">
        <is>
          <t>USA</t>
        </is>
      </c>
      <c r="C185" s="9" t="inlineStr">
        <is>
          <t>Utah</t>
        </is>
      </c>
      <c r="D185" s="9" t="inlineStr">
        <is>
          <t>Spanish Fork</t>
        </is>
      </c>
      <c r="E185" s="9" t="inlineStr">
        <is>
          <t>Sri Sri Radha Krishna Temple (Holi festival)</t>
        </is>
      </c>
      <c r="F185" s="9" t="inlineStr">
        <is>
          <t>ISKCON</t>
        </is>
      </c>
      <c r="G185" s="19" t="inlineStr"/>
      <c r="H185" s="9">
        <f>IF(COUNTIF('Country Summary'!$B$5:$B$200,B185)&gt;0,"Yes","")</f>
        <v/>
      </c>
      <c r="I185" s="9" t="inlineStr"/>
    </row>
    <row r="186">
      <c r="A186" s="9" t="n">
        <v>182</v>
      </c>
      <c r="B186" s="9" t="inlineStr">
        <is>
          <t>USA</t>
        </is>
      </c>
      <c r="C186" s="9" t="inlineStr">
        <is>
          <t>Utah / Arizona</t>
        </is>
      </c>
      <c r="D186" s="9" t="inlineStr">
        <is>
          <t>Zion, Bryce, Antelope Canyon, Monument Valley</t>
        </is>
      </c>
      <c r="E186" s="9" t="inlineStr">
        <is>
          <t>National parks</t>
        </is>
      </c>
      <c r="F186" s="9" t="inlineStr">
        <is>
          <t>Nature</t>
        </is>
      </c>
      <c r="G186" s="19" t="inlineStr"/>
      <c r="H186" s="9">
        <f>IF(COUNTIF('Country Summary'!$B$5:$B$200,B186)&gt;0,"Yes","")</f>
        <v/>
      </c>
      <c r="I186" s="9" t="inlineStr"/>
    </row>
    <row r="187">
      <c r="A187" s="9" t="n">
        <v>183</v>
      </c>
      <c r="B187" s="9" t="inlineStr">
        <is>
          <t>USA</t>
        </is>
      </c>
      <c r="C187" s="9" t="inlineStr">
        <is>
          <t>Florida</t>
        </is>
      </c>
      <c r="D187" s="9" t="inlineStr">
        <is>
          <t>Alachua</t>
        </is>
      </c>
      <c r="E187" s="9" t="inlineStr">
        <is>
          <t>ISKCON Alachua (New Raman Reti) - largest US community</t>
        </is>
      </c>
      <c r="F187" s="9" t="inlineStr">
        <is>
          <t>ISKCON</t>
        </is>
      </c>
      <c r="G187" s="19" t="inlineStr"/>
      <c r="H187" s="9">
        <f>IF(COUNTIF('Country Summary'!$B$5:$B$200,B187)&gt;0,"Yes","")</f>
        <v/>
      </c>
      <c r="I187" s="9" t="inlineStr"/>
    </row>
    <row r="188">
      <c r="A188" s="9" t="n">
        <v>184</v>
      </c>
      <c r="B188" s="9" t="inlineStr">
        <is>
          <t>USA</t>
        </is>
      </c>
      <c r="C188" s="9" t="inlineStr">
        <is>
          <t>Florida</t>
        </is>
      </c>
      <c r="D188" s="9" t="inlineStr">
        <is>
          <t>Orlando / Miami</t>
        </is>
      </c>
      <c r="E188" s="9" t="inlineStr">
        <is>
          <t>Disney World, Kennedy Space Center, Everglades - UNESCO</t>
        </is>
      </c>
      <c r="F188" s="9" t="inlineStr">
        <is>
          <t>Modern</t>
        </is>
      </c>
      <c r="G188" s="19" t="inlineStr">
        <is>
          <t>Yes</t>
        </is>
      </c>
      <c r="H188" s="9">
        <f>IF(COUNTIF('Country Summary'!$B$5:$B$200,B188)&gt;0,"Yes","")</f>
        <v/>
      </c>
      <c r="I188" s="9" t="inlineStr"/>
    </row>
    <row r="189">
      <c r="A189" s="9" t="n">
        <v>185</v>
      </c>
      <c r="B189" s="9" t="inlineStr">
        <is>
          <t>USA</t>
        </is>
      </c>
      <c r="C189" s="9" t="inlineStr">
        <is>
          <t>Texas</t>
        </is>
      </c>
      <c r="D189" s="9" t="inlineStr">
        <is>
          <t>Houston / Dallas</t>
        </is>
      </c>
      <c r="E189" s="9" t="inlineStr">
        <is>
          <t>ISKCON Houston (Radha Nila Madhava), Dallas (Kalachandji's), NASA JSC</t>
        </is>
      </c>
      <c r="F189" s="9" t="inlineStr">
        <is>
          <t>ISKCON</t>
        </is>
      </c>
      <c r="G189" s="19" t="inlineStr"/>
      <c r="H189" s="9">
        <f>IF(COUNTIF('Country Summary'!$B$5:$B$200,B189)&gt;0,"Yes","")</f>
        <v/>
      </c>
      <c r="I189" s="9" t="inlineStr"/>
    </row>
    <row r="190">
      <c r="A190" s="9" t="n">
        <v>186</v>
      </c>
      <c r="B190" s="9" t="inlineStr">
        <is>
          <t>USA</t>
        </is>
      </c>
      <c r="C190" s="9" t="inlineStr">
        <is>
          <t>Illinois</t>
        </is>
      </c>
      <c r="D190" s="9" t="inlineStr">
        <is>
          <t>Chicago</t>
        </is>
      </c>
      <c r="E190" s="9" t="inlineStr">
        <is>
          <t>ISKCON Chicago; Millennium Park, Willis Tower, Art Institute</t>
        </is>
      </c>
      <c r="F190" s="9" t="inlineStr">
        <is>
          <t>ISKCON</t>
        </is>
      </c>
      <c r="G190" s="19" t="inlineStr"/>
      <c r="H190" s="9">
        <f>IF(COUNTIF('Country Summary'!$B$5:$B$200,B190)&gt;0,"Yes","")</f>
        <v/>
      </c>
      <c r="I190" s="9" t="inlineStr"/>
    </row>
    <row r="191">
      <c r="A191" s="9" t="n">
        <v>187</v>
      </c>
      <c r="B191" s="9" t="inlineStr">
        <is>
          <t>USA</t>
        </is>
      </c>
      <c r="C191" s="9" t="inlineStr">
        <is>
          <t>Massachusetts</t>
        </is>
      </c>
      <c r="D191" s="9" t="inlineStr">
        <is>
          <t>Boston</t>
        </is>
      </c>
      <c r="E191" s="9" t="inlineStr">
        <is>
          <t>ISKCON Boston (Prabhupada landed 1965, Commonwealth Pier); Harvard, MIT, Freedom Trail</t>
        </is>
      </c>
      <c r="F191" s="9" t="inlineStr">
        <is>
          <t>ISKCON</t>
        </is>
      </c>
      <c r="G191" s="19" t="inlineStr"/>
      <c r="H191" s="9">
        <f>IF(COUNTIF('Country Summary'!$B$5:$B$200,B191)&gt;0,"Yes","")</f>
        <v/>
      </c>
      <c r="I191" s="9" t="inlineStr"/>
    </row>
    <row r="192">
      <c r="A192" s="9" t="n">
        <v>188</v>
      </c>
      <c r="B192" s="9" t="inlineStr">
        <is>
          <t>USA</t>
        </is>
      </c>
      <c r="C192" s="9" t="inlineStr">
        <is>
          <t>Pennsylvania</t>
        </is>
      </c>
      <c r="D192" s="9" t="inlineStr">
        <is>
          <t>Philadelphia / Gita Nagari</t>
        </is>
      </c>
      <c r="E192" s="9" t="inlineStr">
        <is>
          <t>Independence Hall - UNESCO; Gita Nagari farm (Port Royal)</t>
        </is>
      </c>
      <c r="F192" s="9" t="inlineStr">
        <is>
          <t>UNESCO</t>
        </is>
      </c>
      <c r="G192" s="19" t="inlineStr"/>
      <c r="H192" s="9">
        <f>IF(COUNTIF('Country Summary'!$B$5:$B$200,B192)&gt;0,"Yes","")</f>
        <v/>
      </c>
      <c r="I192" s="9" t="inlineStr"/>
    </row>
    <row r="193">
      <c r="A193" s="9" t="n">
        <v>189</v>
      </c>
      <c r="B193" s="9" t="inlineStr">
        <is>
          <t>USA</t>
        </is>
      </c>
      <c r="C193" s="9" t="inlineStr">
        <is>
          <t>New Jersey</t>
        </is>
      </c>
      <c r="D193" s="9" t="inlineStr">
        <is>
          <t>Towaco / Robbinsville</t>
        </is>
      </c>
      <c r="E193" s="9" t="inlineStr">
        <is>
          <t>ISKCON NJ; BAPS Akshardham Robbinsville (largest Hindu temple outside India)</t>
        </is>
      </c>
      <c r="F193" s="9" t="inlineStr">
        <is>
          <t>Temple</t>
        </is>
      </c>
      <c r="G193" s="19" t="inlineStr">
        <is>
          <t>Yes</t>
        </is>
      </c>
      <c r="H193" s="9">
        <f>IF(COUNTIF('Country Summary'!$B$5:$B$200,B193)&gt;0,"Yes","")</f>
        <v/>
      </c>
      <c r="I193" s="9" t="inlineStr"/>
    </row>
    <row r="194">
      <c r="A194" s="9" t="n">
        <v>190</v>
      </c>
      <c r="B194" s="9" t="inlineStr">
        <is>
          <t>USA</t>
        </is>
      </c>
      <c r="C194" s="9" t="inlineStr">
        <is>
          <t>Georgia</t>
        </is>
      </c>
      <c r="D194" s="9" t="inlineStr">
        <is>
          <t>Atlanta</t>
        </is>
      </c>
      <c r="E194" s="9" t="inlineStr">
        <is>
          <t>ISKCON Atlanta (New Panihati Dham)</t>
        </is>
      </c>
      <c r="F194" s="9" t="inlineStr">
        <is>
          <t>ISKCON</t>
        </is>
      </c>
      <c r="G194" s="19" t="inlineStr"/>
      <c r="H194" s="9">
        <f>IF(COUNTIF('Country Summary'!$B$5:$B$200,B194)&gt;0,"Yes","")</f>
        <v/>
      </c>
      <c r="I194" s="9" t="inlineStr"/>
    </row>
    <row r="195">
      <c r="A195" s="9" t="n">
        <v>191</v>
      </c>
      <c r="B195" s="9" t="inlineStr">
        <is>
          <t>USA</t>
        </is>
      </c>
      <c r="C195" s="9" t="inlineStr">
        <is>
          <t>Hawaii</t>
        </is>
      </c>
      <c r="D195" s="9" t="inlineStr">
        <is>
          <t>Honolulu / Big Island</t>
        </is>
      </c>
      <c r="E195" s="9" t="inlineStr">
        <is>
          <t>ISKCON Honolulu (New Navadvipa); Pearl Harbor; Volcanoes NP - UNESCO</t>
        </is>
      </c>
      <c r="F195" s="9" t="inlineStr">
        <is>
          <t>UNESCO</t>
        </is>
      </c>
      <c r="G195" s="19" t="inlineStr"/>
      <c r="H195" s="9">
        <f>IF(COUNTIF('Country Summary'!$B$5:$B$200,B195)&gt;0,"Yes","")</f>
        <v/>
      </c>
      <c r="I195" s="9" t="inlineStr"/>
    </row>
    <row r="196">
      <c r="A196" s="9" t="n">
        <v>192</v>
      </c>
      <c r="B196" s="9" t="inlineStr">
        <is>
          <t>USA</t>
        </is>
      </c>
      <c r="C196" s="9" t="inlineStr">
        <is>
          <t>Wyoming / Montana</t>
        </is>
      </c>
      <c r="D196" s="9" t="inlineStr">
        <is>
          <t>Yellowstone</t>
        </is>
      </c>
      <c r="E196" s="9" t="inlineStr">
        <is>
          <t>Yellowstone - UNESCO</t>
        </is>
      </c>
      <c r="F196" s="9" t="inlineStr">
        <is>
          <t>UNESCO</t>
        </is>
      </c>
      <c r="G196" s="19" t="inlineStr"/>
      <c r="H196" s="9">
        <f>IF(COUNTIF('Country Summary'!$B$5:$B$200,B196)&gt;0,"Yes","")</f>
        <v/>
      </c>
      <c r="I196" s="9" t="inlineStr"/>
    </row>
    <row r="197">
      <c r="A197" s="9" t="n">
        <v>193</v>
      </c>
      <c r="B197" s="9" t="inlineStr">
        <is>
          <t>USA</t>
        </is>
      </c>
      <c r="C197" s="9" t="inlineStr">
        <is>
          <t>Washington</t>
        </is>
      </c>
      <c r="D197" s="9" t="inlineStr">
        <is>
          <t>Seattle</t>
        </is>
      </c>
      <c r="E197" s="9" t="inlineStr">
        <is>
          <t>Space Needle, Vedic Cultural Center Sammamish</t>
        </is>
      </c>
      <c r="F197" s="9" t="inlineStr">
        <is>
          <t>Modern</t>
        </is>
      </c>
      <c r="G197" s="19" t="inlineStr"/>
      <c r="H197" s="9">
        <f>IF(COUNTIF('Country Summary'!$B$5:$B$200,B197)&gt;0,"Yes","")</f>
        <v/>
      </c>
      <c r="I197" s="9" t="inlineStr"/>
    </row>
    <row r="198">
      <c r="A198" s="9" t="n">
        <v>194</v>
      </c>
      <c r="B198" s="9" t="inlineStr">
        <is>
          <t>USA</t>
        </is>
      </c>
      <c r="C198" s="9" t="inlineStr">
        <is>
          <t>Alaska</t>
        </is>
      </c>
      <c r="D198" s="9" t="inlineStr">
        <is>
          <t>Denali / Glacier Bay</t>
        </is>
      </c>
      <c r="E198" s="9" t="inlineStr">
        <is>
          <t>Northern lights, glaciers</t>
        </is>
      </c>
      <c r="F198" s="9" t="inlineStr">
        <is>
          <t>Nature</t>
        </is>
      </c>
      <c r="G198" s="19" t="inlineStr"/>
      <c r="H198" s="9">
        <f>IF(COUNTIF('Country Summary'!$B$5:$B$200,B198)&gt;0,"Yes","")</f>
        <v/>
      </c>
      <c r="I198" s="9" t="inlineStr"/>
    </row>
    <row r="199">
      <c r="A199" s="9" t="n">
        <v>195</v>
      </c>
      <c r="B199" s="9" t="inlineStr">
        <is>
          <t>USA</t>
        </is>
      </c>
      <c r="C199" s="9" t="inlineStr">
        <is>
          <t>Louisiana</t>
        </is>
      </c>
      <c r="D199" s="9" t="inlineStr">
        <is>
          <t>New Orleans</t>
        </is>
      </c>
      <c r="E199" s="9" t="inlineStr">
        <is>
          <t>French Quarter, ISKCON New Orleans</t>
        </is>
      </c>
      <c r="F199" s="9" t="inlineStr">
        <is>
          <t>Monument</t>
        </is>
      </c>
      <c r="G199" s="19" t="inlineStr"/>
      <c r="H199" s="9">
        <f>IF(COUNTIF('Country Summary'!$B$5:$B$200,B199)&gt;0,"Yes","")</f>
        <v/>
      </c>
      <c r="I199" s="9" t="inlineStr"/>
    </row>
    <row r="200">
      <c r="A200" s="9" t="n">
        <v>196</v>
      </c>
      <c r="B200" s="9" t="inlineStr">
        <is>
          <t>USA</t>
        </is>
      </c>
      <c r="C200" s="9" t="inlineStr">
        <is>
          <t>Michigan</t>
        </is>
      </c>
      <c r="D200" s="9" t="inlineStr">
        <is>
          <t>Detroit</t>
        </is>
      </c>
      <c r="E200" s="9" t="inlineStr">
        <is>
          <t>ISKCON Detroit - Fisher Mansion (Bhaktivedanta Cultural Center)</t>
        </is>
      </c>
      <c r="F200" s="9" t="inlineStr">
        <is>
          <t>ISKCON</t>
        </is>
      </c>
      <c r="G200" s="19" t="inlineStr"/>
      <c r="H200" s="9">
        <f>IF(COUNTIF('Country Summary'!$B$5:$B$200,B200)&gt;0,"Yes","")</f>
        <v/>
      </c>
      <c r="I200" s="9" t="inlineStr"/>
    </row>
    <row r="201">
      <c r="A201" s="9" t="n">
        <v>197</v>
      </c>
      <c r="B201" s="9" t="inlineStr">
        <is>
          <t>USA</t>
        </is>
      </c>
      <c r="C201" s="9" t="inlineStr">
        <is>
          <t>North Carolina</t>
        </is>
      </c>
      <c r="D201" s="9" t="inlineStr">
        <is>
          <t>Hillsborough</t>
        </is>
      </c>
      <c r="E201" s="9" t="inlineStr">
        <is>
          <t>ISKCON New Goloka</t>
        </is>
      </c>
      <c r="F201" s="9" t="inlineStr">
        <is>
          <t>ISKCON</t>
        </is>
      </c>
      <c r="G201" s="19" t="inlineStr"/>
      <c r="H201" s="9">
        <f>IF(COUNTIF('Country Summary'!$B$5:$B$200,B201)&gt;0,"Yes","")</f>
        <v/>
      </c>
      <c r="I201" s="9" t="inlineStr"/>
    </row>
    <row r="202">
      <c r="A202" s="9" t="n">
        <v>198</v>
      </c>
      <c r="B202" s="9" t="inlineStr">
        <is>
          <t>United Kingdom</t>
        </is>
      </c>
      <c r="C202" s="9" t="inlineStr">
        <is>
          <t>England</t>
        </is>
      </c>
      <c r="D202" s="9" t="inlineStr">
        <is>
          <t>London</t>
        </is>
      </c>
      <c r="E202" s="9" t="inlineStr">
        <is>
          <t>Bhaktivedanta Manor, Watford</t>
        </is>
      </c>
      <c r="F202" s="9" t="inlineStr">
        <is>
          <t>ISKCON</t>
        </is>
      </c>
      <c r="G202" s="19" t="inlineStr">
        <is>
          <t>Yes</t>
        </is>
      </c>
      <c r="H202" s="9">
        <f>IF(COUNTIF('Country Summary'!$B$5:$B$200,B202)&gt;0,"Yes","")</f>
        <v/>
      </c>
      <c r="I202" s="9" t="inlineStr"/>
    </row>
    <row r="203">
      <c r="A203" s="9" t="n">
        <v>199</v>
      </c>
      <c r="B203" s="9" t="inlineStr">
        <is>
          <t>United Kingdom</t>
        </is>
      </c>
      <c r="C203" s="9" t="inlineStr">
        <is>
          <t>England</t>
        </is>
      </c>
      <c r="D203" s="9" t="inlineStr">
        <is>
          <t>London</t>
        </is>
      </c>
      <c r="E203" s="9" t="inlineStr">
        <is>
          <t>ISKCON Soho Street (Radha Londonishvara) &amp; Govinda's</t>
        </is>
      </c>
      <c r="F203" s="9" t="inlineStr">
        <is>
          <t>ISKCON</t>
        </is>
      </c>
      <c r="G203" s="19" t="inlineStr"/>
      <c r="H203" s="9">
        <f>IF(COUNTIF('Country Summary'!$B$5:$B$200,B203)&gt;0,"Yes","")</f>
        <v/>
      </c>
      <c r="I203" s="9" t="inlineStr"/>
    </row>
    <row r="204">
      <c r="A204" s="9" t="n">
        <v>200</v>
      </c>
      <c r="B204" s="9" t="inlineStr">
        <is>
          <t>United Kingdom</t>
        </is>
      </c>
      <c r="C204" s="9" t="inlineStr">
        <is>
          <t>England</t>
        </is>
      </c>
      <c r="D204" s="9" t="inlineStr">
        <is>
          <t>London</t>
        </is>
      </c>
      <c r="E204" s="9" t="inlineStr">
        <is>
          <t>Tower of London - UNESCO</t>
        </is>
      </c>
      <c r="F204" s="9" t="inlineStr">
        <is>
          <t>UNESCO</t>
        </is>
      </c>
      <c r="G204" s="19" t="inlineStr">
        <is>
          <t>Yes</t>
        </is>
      </c>
      <c r="H204" s="9">
        <f>IF(COUNTIF('Country Summary'!$B$5:$B$200,B204)&gt;0,"Yes","")</f>
        <v/>
      </c>
      <c r="I204" s="9" t="inlineStr"/>
    </row>
    <row r="205">
      <c r="A205" s="9" t="n">
        <v>201</v>
      </c>
      <c r="B205" s="9" t="inlineStr">
        <is>
          <t>United Kingdom</t>
        </is>
      </c>
      <c r="C205" s="9" t="inlineStr">
        <is>
          <t>England</t>
        </is>
      </c>
      <c r="D205" s="9" t="inlineStr">
        <is>
          <t>London</t>
        </is>
      </c>
      <c r="E205" s="9" t="inlineStr">
        <is>
          <t>Westminster Abbey &amp; Palace of Westminster (Big Ben) - UNESCO</t>
        </is>
      </c>
      <c r="F205" s="9" t="inlineStr">
        <is>
          <t>UNESCO</t>
        </is>
      </c>
      <c r="G205" s="19" t="inlineStr">
        <is>
          <t>Yes</t>
        </is>
      </c>
      <c r="H205" s="9">
        <f>IF(COUNTIF('Country Summary'!$B$5:$B$200,B205)&gt;0,"Yes","")</f>
        <v/>
      </c>
      <c r="I205" s="9" t="inlineStr"/>
    </row>
    <row r="206">
      <c r="A206" s="9" t="n">
        <v>202</v>
      </c>
      <c r="B206" s="9" t="inlineStr">
        <is>
          <t>United Kingdom</t>
        </is>
      </c>
      <c r="C206" s="9" t="inlineStr">
        <is>
          <t>England</t>
        </is>
      </c>
      <c r="D206" s="9" t="inlineStr">
        <is>
          <t>London</t>
        </is>
      </c>
      <c r="E206" s="9" t="inlineStr">
        <is>
          <t>Buckingham Palace - Changing of the Guard</t>
        </is>
      </c>
      <c r="F206" s="9" t="inlineStr">
        <is>
          <t>Monument</t>
        </is>
      </c>
      <c r="G206" s="19" t="inlineStr">
        <is>
          <t>Yes</t>
        </is>
      </c>
      <c r="H206" s="9">
        <f>IF(COUNTIF('Country Summary'!$B$5:$B$200,B206)&gt;0,"Yes","")</f>
        <v/>
      </c>
      <c r="I206" s="9" t="inlineStr"/>
    </row>
    <row r="207">
      <c r="A207" s="9" t="n">
        <v>203</v>
      </c>
      <c r="B207" s="9" t="inlineStr">
        <is>
          <t>United Kingdom</t>
        </is>
      </c>
      <c r="C207" s="9" t="inlineStr">
        <is>
          <t>England</t>
        </is>
      </c>
      <c r="D207" s="9" t="inlineStr">
        <is>
          <t>London</t>
        </is>
      </c>
      <c r="E207" s="9" t="inlineStr">
        <is>
          <t>St Paul's Cathedral</t>
        </is>
      </c>
      <c r="F207" s="9" t="inlineStr">
        <is>
          <t>Monument</t>
        </is>
      </c>
      <c r="G207" s="19" t="inlineStr">
        <is>
          <t>Yes</t>
        </is>
      </c>
      <c r="H207" s="9">
        <f>IF(COUNTIF('Country Summary'!$B$5:$B$200,B207)&gt;0,"Yes","")</f>
        <v/>
      </c>
      <c r="I207" s="9" t="inlineStr"/>
    </row>
    <row r="208">
      <c r="A208" s="9" t="n">
        <v>204</v>
      </c>
      <c r="B208" s="9" t="inlineStr">
        <is>
          <t>United Kingdom</t>
        </is>
      </c>
      <c r="C208" s="9" t="inlineStr">
        <is>
          <t>England</t>
        </is>
      </c>
      <c r="D208" s="9" t="inlineStr">
        <is>
          <t>London</t>
        </is>
      </c>
      <c r="E208" s="9" t="inlineStr">
        <is>
          <t>London Eye, Thames cruise, Tower Bridge</t>
        </is>
      </c>
      <c r="F208" s="9" t="inlineStr">
        <is>
          <t>Monument</t>
        </is>
      </c>
      <c r="G208" s="19" t="inlineStr">
        <is>
          <t>Yes</t>
        </is>
      </c>
      <c r="H208" s="9">
        <f>IF(COUNTIF('Country Summary'!$B$5:$B$200,B208)&gt;0,"Yes","")</f>
        <v/>
      </c>
      <c r="I208" s="9" t="inlineStr"/>
    </row>
    <row r="209">
      <c r="A209" s="9" t="n">
        <v>205</v>
      </c>
      <c r="B209" s="9" t="inlineStr">
        <is>
          <t>United Kingdom</t>
        </is>
      </c>
      <c r="C209" s="9" t="inlineStr">
        <is>
          <t>England</t>
        </is>
      </c>
      <c r="D209" s="9" t="inlineStr">
        <is>
          <t>London</t>
        </is>
      </c>
      <c r="E209" s="9" t="inlineStr">
        <is>
          <t>Madame Tussauds</t>
        </is>
      </c>
      <c r="F209" s="9" t="inlineStr">
        <is>
          <t>Museum</t>
        </is>
      </c>
      <c r="G209" s="19" t="inlineStr">
        <is>
          <t>Yes</t>
        </is>
      </c>
      <c r="H209" s="9">
        <f>IF(COUNTIF('Country Summary'!$B$5:$B$200,B209)&gt;0,"Yes","")</f>
        <v/>
      </c>
      <c r="I209" s="9" t="inlineStr"/>
    </row>
    <row r="210">
      <c r="A210" s="9" t="n">
        <v>206</v>
      </c>
      <c r="B210" s="9" t="inlineStr">
        <is>
          <t>United Kingdom</t>
        </is>
      </c>
      <c r="C210" s="9" t="inlineStr">
        <is>
          <t>England</t>
        </is>
      </c>
      <c r="D210" s="9" t="inlineStr">
        <is>
          <t>London</t>
        </is>
      </c>
      <c r="E210" s="9" t="inlineStr">
        <is>
          <t>British Museum (Indian galleries), Natural History, V&amp;A</t>
        </is>
      </c>
      <c r="F210" s="9" t="inlineStr">
        <is>
          <t>Museum</t>
        </is>
      </c>
      <c r="G210" s="19" t="inlineStr"/>
      <c r="H210" s="9">
        <f>IF(COUNTIF('Country Summary'!$B$5:$B$200,B210)&gt;0,"Yes","")</f>
        <v/>
      </c>
      <c r="I210" s="9" t="inlineStr"/>
    </row>
    <row r="211">
      <c r="A211" s="9" t="n">
        <v>207</v>
      </c>
      <c r="B211" s="9" t="inlineStr">
        <is>
          <t>United Kingdom</t>
        </is>
      </c>
      <c r="C211" s="9" t="inlineStr">
        <is>
          <t>England</t>
        </is>
      </c>
      <c r="D211" s="9" t="inlineStr">
        <is>
          <t>London</t>
        </is>
      </c>
      <c r="E211" s="9" t="inlineStr">
        <is>
          <t>Neasden BAPS Shri Swaminarayan Mandir</t>
        </is>
      </c>
      <c r="F211" s="9" t="inlineStr">
        <is>
          <t>Temple</t>
        </is>
      </c>
      <c r="G211" s="19" t="inlineStr"/>
      <c r="H211" s="9">
        <f>IF(COUNTIF('Country Summary'!$B$5:$B$200,B211)&gt;0,"Yes","")</f>
        <v/>
      </c>
      <c r="I211" s="9" t="inlineStr"/>
    </row>
    <row r="212">
      <c r="A212" s="9" t="n">
        <v>208</v>
      </c>
      <c r="B212" s="9" t="inlineStr">
        <is>
          <t>United Kingdom</t>
        </is>
      </c>
      <c r="C212" s="9" t="inlineStr">
        <is>
          <t>England</t>
        </is>
      </c>
      <c r="D212" s="9" t="inlineStr">
        <is>
          <t>London</t>
        </is>
      </c>
      <c r="E212" s="9" t="inlineStr">
        <is>
          <t>Kew Gardens - UNESCO; Greenwich - UNESCO</t>
        </is>
      </c>
      <c r="F212" s="9" t="inlineStr">
        <is>
          <t>UNESCO</t>
        </is>
      </c>
      <c r="G212" s="19" t="inlineStr"/>
      <c r="H212" s="9">
        <f>IF(COUNTIF('Country Summary'!$B$5:$B$200,B212)&gt;0,"Yes","")</f>
        <v/>
      </c>
      <c r="I212" s="9" t="inlineStr"/>
    </row>
    <row r="213">
      <c r="A213" s="9" t="n">
        <v>209</v>
      </c>
      <c r="B213" s="9" t="inlineStr">
        <is>
          <t>United Kingdom</t>
        </is>
      </c>
      <c r="C213" s="9" t="inlineStr">
        <is>
          <t>England</t>
        </is>
      </c>
      <c r="D213" s="9" t="inlineStr">
        <is>
          <t>Wiltshire</t>
        </is>
      </c>
      <c r="E213" s="9" t="inlineStr">
        <is>
          <t>Stonehenge - UNESCO</t>
        </is>
      </c>
      <c r="F213" s="9" t="inlineStr">
        <is>
          <t>UNESCO</t>
        </is>
      </c>
      <c r="G213" s="19" t="inlineStr"/>
      <c r="H213" s="9">
        <f>IF(COUNTIF('Country Summary'!$B$5:$B$200,B213)&gt;0,"Yes","")</f>
        <v/>
      </c>
      <c r="I213" s="9" t="inlineStr"/>
    </row>
    <row r="214">
      <c r="A214" s="9" t="n">
        <v>210</v>
      </c>
      <c r="B214" s="9" t="inlineStr">
        <is>
          <t>United Kingdom</t>
        </is>
      </c>
      <c r="C214" s="9" t="inlineStr">
        <is>
          <t>England</t>
        </is>
      </c>
      <c r="D214" s="9" t="inlineStr">
        <is>
          <t>Bath</t>
        </is>
      </c>
      <c r="E214" s="9" t="inlineStr">
        <is>
          <t>Roman Baths - UNESCO</t>
        </is>
      </c>
      <c r="F214" s="9" t="inlineStr">
        <is>
          <t>UNESCO</t>
        </is>
      </c>
      <c r="G214" s="19" t="inlineStr"/>
      <c r="H214" s="9">
        <f>IF(COUNTIF('Country Summary'!$B$5:$B$200,B214)&gt;0,"Yes","")</f>
        <v/>
      </c>
      <c r="I214" s="9" t="inlineStr"/>
    </row>
    <row r="215">
      <c r="A215" s="9" t="n">
        <v>211</v>
      </c>
      <c r="B215" s="9" t="inlineStr">
        <is>
          <t>United Kingdom</t>
        </is>
      </c>
      <c r="C215" s="9" t="inlineStr">
        <is>
          <t>England</t>
        </is>
      </c>
      <c r="D215" s="9" t="inlineStr">
        <is>
          <t>Oxford / Cambridge</t>
        </is>
      </c>
      <c r="E215" s="9" t="inlineStr">
        <is>
          <t>University colleges, Oxford Centre for Hindu Studies</t>
        </is>
      </c>
      <c r="F215" s="9" t="inlineStr">
        <is>
          <t>Monument</t>
        </is>
      </c>
      <c r="G215" s="19" t="inlineStr"/>
      <c r="H215" s="9">
        <f>IF(COUNTIF('Country Summary'!$B$5:$B$200,B215)&gt;0,"Yes","")</f>
        <v/>
      </c>
      <c r="I215" s="9" t="inlineStr"/>
    </row>
    <row r="216">
      <c r="A216" s="9" t="n">
        <v>212</v>
      </c>
      <c r="B216" s="9" t="inlineStr">
        <is>
          <t>United Kingdom</t>
        </is>
      </c>
      <c r="C216" s="9" t="inlineStr">
        <is>
          <t>England</t>
        </is>
      </c>
      <c r="D216" s="9" t="inlineStr">
        <is>
          <t>Windsor</t>
        </is>
      </c>
      <c r="E216" s="9" t="inlineStr">
        <is>
          <t>Windsor Castle</t>
        </is>
      </c>
      <c r="F216" s="9" t="inlineStr">
        <is>
          <t>Monument</t>
        </is>
      </c>
      <c r="G216" s="19" t="inlineStr"/>
      <c r="H216" s="9">
        <f>IF(COUNTIF('Country Summary'!$B$5:$B$200,B216)&gt;0,"Yes","")</f>
        <v/>
      </c>
      <c r="I216" s="9" t="inlineStr"/>
    </row>
    <row r="217">
      <c r="A217" s="9" t="n">
        <v>213</v>
      </c>
      <c r="B217" s="9" t="inlineStr">
        <is>
          <t>United Kingdom</t>
        </is>
      </c>
      <c r="C217" s="9" t="inlineStr">
        <is>
          <t>England</t>
        </is>
      </c>
      <c r="D217" s="9" t="inlineStr">
        <is>
          <t>Liverpool</t>
        </is>
      </c>
      <c r="E217" s="9" t="inlineStr">
        <is>
          <t>Beatles story (George Harrison link)</t>
        </is>
      </c>
      <c r="F217" s="9" t="inlineStr">
        <is>
          <t>Museum</t>
        </is>
      </c>
      <c r="G217" s="19" t="inlineStr"/>
      <c r="H217" s="9">
        <f>IF(COUNTIF('Country Summary'!$B$5:$B$200,B217)&gt;0,"Yes","")</f>
        <v/>
      </c>
      <c r="I217" s="9" t="inlineStr"/>
    </row>
    <row r="218">
      <c r="A218" s="9" t="n">
        <v>214</v>
      </c>
      <c r="B218" s="9" t="inlineStr">
        <is>
          <t>United Kingdom</t>
        </is>
      </c>
      <c r="C218" s="9" t="inlineStr">
        <is>
          <t>England</t>
        </is>
      </c>
      <c r="D218" s="9" t="inlineStr">
        <is>
          <t>Henley / Friar Park</t>
        </is>
      </c>
      <c r="E218" s="9" t="inlineStr">
        <is>
          <t>George Harrison's Friar Park (exterior)</t>
        </is>
      </c>
      <c r="F218" s="9" t="inlineStr">
        <is>
          <t>Monument</t>
        </is>
      </c>
      <c r="G218" s="19" t="inlineStr"/>
      <c r="H218" s="9">
        <f>IF(COUNTIF('Country Summary'!$B$5:$B$200,B218)&gt;0,"Yes","")</f>
        <v/>
      </c>
      <c r="I218" s="9" t="inlineStr"/>
    </row>
    <row r="219">
      <c r="A219" s="9" t="n">
        <v>215</v>
      </c>
      <c r="B219" s="9" t="inlineStr">
        <is>
          <t>United Kingdom</t>
        </is>
      </c>
      <c r="C219" s="9" t="inlineStr">
        <is>
          <t>England</t>
        </is>
      </c>
      <c r="D219" s="9" t="inlineStr">
        <is>
          <t>Leicester / Birmingham</t>
        </is>
      </c>
      <c r="E219" s="9" t="inlineStr">
        <is>
          <t>ISKCON Leicester (Sri Sri Radha Madhava), Birmingham temple</t>
        </is>
      </c>
      <c r="F219" s="9" t="inlineStr">
        <is>
          <t>ISKCON</t>
        </is>
      </c>
      <c r="G219" s="19" t="inlineStr"/>
      <c r="H219" s="9">
        <f>IF(COUNTIF('Country Summary'!$B$5:$B$200,B219)&gt;0,"Yes","")</f>
        <v/>
      </c>
      <c r="I219" s="9" t="inlineStr"/>
    </row>
    <row r="220">
      <c r="A220" s="9" t="n">
        <v>216</v>
      </c>
      <c r="B220" s="9" t="inlineStr">
        <is>
          <t>United Kingdom</t>
        </is>
      </c>
      <c r="C220" s="9" t="inlineStr">
        <is>
          <t>England</t>
        </is>
      </c>
      <c r="D220" s="9" t="inlineStr">
        <is>
          <t>Lake District</t>
        </is>
      </c>
      <c r="E220" s="9" t="inlineStr">
        <is>
          <t>Lake District - UNESCO</t>
        </is>
      </c>
      <c r="F220" s="9" t="inlineStr">
        <is>
          <t>UNESCO</t>
        </is>
      </c>
      <c r="G220" s="19" t="inlineStr"/>
      <c r="H220" s="9">
        <f>IF(COUNTIF('Country Summary'!$B$5:$B$200,B220)&gt;0,"Yes","")</f>
        <v/>
      </c>
      <c r="I220" s="9" t="inlineStr"/>
    </row>
    <row r="221">
      <c r="A221" s="9" t="n">
        <v>217</v>
      </c>
      <c r="B221" s="9" t="inlineStr">
        <is>
          <t>United Kingdom</t>
        </is>
      </c>
      <c r="C221" s="9" t="inlineStr">
        <is>
          <t>Scotland</t>
        </is>
      </c>
      <c r="D221" s="9" t="inlineStr">
        <is>
          <t>Edinburgh</t>
        </is>
      </c>
      <c r="E221" s="9" t="inlineStr">
        <is>
          <t>Edinburgh Castle, Royal Mile - UNESCO; Karuna Bhavan (Lesmahagow)</t>
        </is>
      </c>
      <c r="F221" s="9" t="inlineStr">
        <is>
          <t>UNESCO</t>
        </is>
      </c>
      <c r="G221" s="19" t="inlineStr"/>
      <c r="H221" s="9">
        <f>IF(COUNTIF('Country Summary'!$B$5:$B$200,B221)&gt;0,"Yes","")</f>
        <v/>
      </c>
      <c r="I221" s="9" t="inlineStr"/>
    </row>
    <row r="222">
      <c r="A222" s="9" t="n">
        <v>218</v>
      </c>
      <c r="B222" s="9" t="inlineStr">
        <is>
          <t>United Kingdom</t>
        </is>
      </c>
      <c r="C222" s="9" t="inlineStr">
        <is>
          <t>Scotland</t>
        </is>
      </c>
      <c r="D222" s="9" t="inlineStr">
        <is>
          <t>Highlands</t>
        </is>
      </c>
      <c r="E222" s="9" t="inlineStr">
        <is>
          <t>Loch Ness, Glencoe, Isle of Skye</t>
        </is>
      </c>
      <c r="F222" s="9" t="inlineStr">
        <is>
          <t>Nature</t>
        </is>
      </c>
      <c r="G222" s="19" t="inlineStr"/>
      <c r="H222" s="9">
        <f>IF(COUNTIF('Country Summary'!$B$5:$B$200,B222)&gt;0,"Yes","")</f>
        <v/>
      </c>
      <c r="I222" s="9" t="inlineStr"/>
    </row>
    <row r="223">
      <c r="A223" s="9" t="n">
        <v>219</v>
      </c>
      <c r="B223" s="9" t="inlineStr">
        <is>
          <t>United Kingdom</t>
        </is>
      </c>
      <c r="C223" s="9" t="inlineStr">
        <is>
          <t>Wales</t>
        </is>
      </c>
      <c r="D223" s="9" t="inlineStr">
        <is>
          <t>Cardiff / Snowdonia</t>
        </is>
      </c>
      <c r="E223" s="9" t="inlineStr">
        <is>
          <t>Cardiff Castle; Snowdon; castles of Edward I - UNESCO</t>
        </is>
      </c>
      <c r="F223" s="9" t="inlineStr">
        <is>
          <t>UNESCO</t>
        </is>
      </c>
      <c r="G223" s="19" t="inlineStr"/>
      <c r="H223" s="9">
        <f>IF(COUNTIF('Country Summary'!$B$5:$B$200,B223)&gt;0,"Yes","")</f>
        <v/>
      </c>
      <c r="I223" s="9" t="inlineStr"/>
    </row>
    <row r="224">
      <c r="A224" s="9" t="n">
        <v>220</v>
      </c>
      <c r="B224" s="9" t="inlineStr">
        <is>
          <t>United Kingdom</t>
        </is>
      </c>
      <c r="C224" s="9" t="inlineStr">
        <is>
          <t>Northern Ireland</t>
        </is>
      </c>
      <c r="D224" s="9" t="inlineStr">
        <is>
          <t>Antrim</t>
        </is>
      </c>
      <c r="E224" s="9" t="inlineStr">
        <is>
          <t>Giant's Causeway - UNESCO; Inis Rath (Govindadwipa, Fermanagh)</t>
        </is>
      </c>
      <c r="F224" s="9" t="inlineStr">
        <is>
          <t>UNESCO</t>
        </is>
      </c>
      <c r="G224" s="19" t="inlineStr"/>
      <c r="H224" s="9">
        <f>IF(COUNTIF('Country Summary'!$B$5:$B$200,B224)&gt;0,"Yes","")</f>
        <v/>
      </c>
      <c r="I224" s="9" t="inlineStr"/>
    </row>
    <row r="225">
      <c r="A225" s="9" t="n">
        <v>221</v>
      </c>
      <c r="B225" s="9" t="inlineStr">
        <is>
          <t>France</t>
        </is>
      </c>
      <c r="C225" s="9" t="inlineStr">
        <is>
          <t>Ile-de-France</t>
        </is>
      </c>
      <c r="D225" s="9" t="inlineStr">
        <is>
          <t>Paris</t>
        </is>
      </c>
      <c r="E225" s="9" t="inlineStr">
        <is>
          <t>Eiffel Tower</t>
        </is>
      </c>
      <c r="F225" s="9" t="inlineStr">
        <is>
          <t>Monument</t>
        </is>
      </c>
      <c r="G225" s="19" t="inlineStr">
        <is>
          <t>Yes</t>
        </is>
      </c>
      <c r="H225" s="9">
        <f>IF(COUNTIF('Country Summary'!$B$5:$B$200,B225)&gt;0,"Yes","")</f>
        <v/>
      </c>
      <c r="I225" s="9" t="inlineStr"/>
    </row>
    <row r="226">
      <c r="A226" s="9" t="n">
        <v>222</v>
      </c>
      <c r="B226" s="9" t="inlineStr">
        <is>
          <t>France</t>
        </is>
      </c>
      <c r="C226" s="9" t="inlineStr">
        <is>
          <t>Ile-de-France</t>
        </is>
      </c>
      <c r="D226" s="9" t="inlineStr">
        <is>
          <t>Paris</t>
        </is>
      </c>
      <c r="E226" s="9" t="inlineStr">
        <is>
          <t>Louvre Museum</t>
        </is>
      </c>
      <c r="F226" s="9" t="inlineStr">
        <is>
          <t>Museum</t>
        </is>
      </c>
      <c r="G226" s="19" t="inlineStr">
        <is>
          <t>Yes</t>
        </is>
      </c>
      <c r="H226" s="9">
        <f>IF(COUNTIF('Country Summary'!$B$5:$B$200,B226)&gt;0,"Yes","")</f>
        <v/>
      </c>
      <c r="I226" s="9" t="inlineStr"/>
    </row>
    <row r="227">
      <c r="A227" s="9" t="n">
        <v>223</v>
      </c>
      <c r="B227" s="9" t="inlineStr">
        <is>
          <t>France</t>
        </is>
      </c>
      <c r="C227" s="9" t="inlineStr">
        <is>
          <t>Ile-de-France</t>
        </is>
      </c>
      <c r="D227" s="9" t="inlineStr">
        <is>
          <t>Paris</t>
        </is>
      </c>
      <c r="E227" s="9" t="inlineStr">
        <is>
          <t>Seine cruise, Notre-Dame, Arc de Triomphe, Champs-Elysees</t>
        </is>
      </c>
      <c r="F227" s="9" t="inlineStr">
        <is>
          <t>Monument</t>
        </is>
      </c>
      <c r="G227" s="19" t="inlineStr">
        <is>
          <t>Yes</t>
        </is>
      </c>
      <c r="H227" s="9">
        <f>IF(COUNTIF('Country Summary'!$B$5:$B$200,B227)&gt;0,"Yes","")</f>
        <v/>
      </c>
      <c r="I227" s="9" t="inlineStr"/>
    </row>
    <row r="228">
      <c r="A228" s="9" t="n">
        <v>224</v>
      </c>
      <c r="B228" s="9" t="inlineStr">
        <is>
          <t>France</t>
        </is>
      </c>
      <c r="C228" s="9" t="inlineStr">
        <is>
          <t>Ile-de-France</t>
        </is>
      </c>
      <c r="D228" s="9" t="inlineStr">
        <is>
          <t>Paris</t>
        </is>
      </c>
      <c r="E228" s="9" t="inlineStr">
        <is>
          <t>Montmartre &amp; Sacre-Coeur</t>
        </is>
      </c>
      <c r="F228" s="9" t="inlineStr">
        <is>
          <t>Monument</t>
        </is>
      </c>
      <c r="G228" s="19" t="inlineStr">
        <is>
          <t>Yes</t>
        </is>
      </c>
      <c r="H228" s="9">
        <f>IF(COUNTIF('Country Summary'!$B$5:$B$200,B228)&gt;0,"Yes","")</f>
        <v/>
      </c>
      <c r="I228" s="9" t="inlineStr"/>
    </row>
    <row r="229">
      <c r="A229" s="9" t="n">
        <v>225</v>
      </c>
      <c r="B229" s="9" t="inlineStr">
        <is>
          <t>France</t>
        </is>
      </c>
      <c r="C229" s="9" t="inlineStr">
        <is>
          <t>Ile-de-France</t>
        </is>
      </c>
      <c r="D229" s="9" t="inlineStr">
        <is>
          <t>Paris</t>
        </is>
      </c>
      <c r="E229" s="9" t="inlineStr">
        <is>
          <t>Palace of Versailles - UNESCO</t>
        </is>
      </c>
      <c r="F229" s="9" t="inlineStr">
        <is>
          <t>UNESCO</t>
        </is>
      </c>
      <c r="G229" s="19" t="inlineStr"/>
      <c r="H229" s="9">
        <f>IF(COUNTIF('Country Summary'!$B$5:$B$200,B229)&gt;0,"Yes","")</f>
        <v/>
      </c>
      <c r="I229" s="9" t="inlineStr"/>
    </row>
    <row r="230">
      <c r="A230" s="9" t="n">
        <v>226</v>
      </c>
      <c r="B230" s="9" t="inlineStr">
        <is>
          <t>France</t>
        </is>
      </c>
      <c r="C230" s="9" t="inlineStr">
        <is>
          <t>Ile-de-France</t>
        </is>
      </c>
      <c r="D230" s="9" t="inlineStr">
        <is>
          <t>Paris</t>
        </is>
      </c>
      <c r="E230" s="9" t="inlineStr">
        <is>
          <t>Musee d'Orsay, Sainte-Chapelle, Pantheon</t>
        </is>
      </c>
      <c r="F230" s="9" t="inlineStr">
        <is>
          <t>Museum</t>
        </is>
      </c>
      <c r="G230" s="19" t="inlineStr"/>
      <c r="H230" s="9">
        <f>IF(COUNTIF('Country Summary'!$B$5:$B$200,B230)&gt;0,"Yes","")</f>
        <v/>
      </c>
      <c r="I230" s="9" t="inlineStr"/>
    </row>
    <row r="231">
      <c r="A231" s="9" t="n">
        <v>227</v>
      </c>
      <c r="B231" s="9" t="inlineStr">
        <is>
          <t>France</t>
        </is>
      </c>
      <c r="C231" s="9" t="inlineStr">
        <is>
          <t>Ile-de-France</t>
        </is>
      </c>
      <c r="D231" s="9" t="inlineStr">
        <is>
          <t>Sarcelles</t>
        </is>
      </c>
      <c r="E231" s="9" t="inlineStr">
        <is>
          <t>ISKCON Paris</t>
        </is>
      </c>
      <c r="F231" s="9" t="inlineStr">
        <is>
          <t>ISKCON</t>
        </is>
      </c>
      <c r="G231" s="19" t="inlineStr"/>
      <c r="H231" s="9">
        <f>IF(COUNTIF('Country Summary'!$B$5:$B$200,B231)&gt;0,"Yes","")</f>
        <v/>
      </c>
      <c r="I231" s="9" t="inlineStr"/>
    </row>
    <row r="232">
      <c r="A232" s="9" t="n">
        <v>228</v>
      </c>
      <c r="B232" s="9" t="inlineStr">
        <is>
          <t>France</t>
        </is>
      </c>
      <c r="C232" s="9" t="inlineStr">
        <is>
          <t>Centre-Val de Loire</t>
        </is>
      </c>
      <c r="D232" s="9" t="inlineStr">
        <is>
          <t>Lucay-le-Male</t>
        </is>
      </c>
      <c r="E232" s="9" t="inlineStr">
        <is>
          <t>ISKCON New Mayapur</t>
        </is>
      </c>
      <c r="F232" s="9" t="inlineStr">
        <is>
          <t>ISKCON</t>
        </is>
      </c>
      <c r="G232" s="19" t="inlineStr">
        <is>
          <t>Yes</t>
        </is>
      </c>
      <c r="H232" s="9">
        <f>IF(COUNTIF('Country Summary'!$B$5:$B$200,B232)&gt;0,"Yes","")</f>
        <v/>
      </c>
      <c r="I232" s="9" t="inlineStr"/>
    </row>
    <row r="233">
      <c r="A233" s="9" t="n">
        <v>229</v>
      </c>
      <c r="B233" s="9" t="inlineStr">
        <is>
          <t>France</t>
        </is>
      </c>
      <c r="C233" s="9" t="inlineStr">
        <is>
          <t>Centre-Val de Loire</t>
        </is>
      </c>
      <c r="D233" s="9" t="inlineStr">
        <is>
          <t>Loire Valley</t>
        </is>
      </c>
      <c r="E233" s="9" t="inlineStr">
        <is>
          <t>Chateaux (Chambord, Chenonceau) - UNESCO</t>
        </is>
      </c>
      <c r="F233" s="9" t="inlineStr">
        <is>
          <t>UNESCO</t>
        </is>
      </c>
      <c r="G233" s="19" t="inlineStr"/>
      <c r="H233" s="9">
        <f>IF(COUNTIF('Country Summary'!$B$5:$B$200,B233)&gt;0,"Yes","")</f>
        <v/>
      </c>
      <c r="I233" s="9" t="inlineStr"/>
    </row>
    <row r="234">
      <c r="A234" s="9" t="n">
        <v>230</v>
      </c>
      <c r="B234" s="9" t="inlineStr">
        <is>
          <t>France</t>
        </is>
      </c>
      <c r="C234" s="9" t="inlineStr">
        <is>
          <t>Normandy</t>
        </is>
      </c>
      <c r="D234" s="9" t="inlineStr">
        <is>
          <t>Mont-Saint-Michel</t>
        </is>
      </c>
      <c r="E234" s="9" t="inlineStr">
        <is>
          <t>Mont-Saint-Michel - UNESCO</t>
        </is>
      </c>
      <c r="F234" s="9" t="inlineStr">
        <is>
          <t>UNESCO</t>
        </is>
      </c>
      <c r="G234" s="19" t="inlineStr"/>
      <c r="H234" s="9">
        <f>IF(COUNTIF('Country Summary'!$B$5:$B$200,B234)&gt;0,"Yes","")</f>
        <v/>
      </c>
      <c r="I234" s="9" t="inlineStr"/>
    </row>
    <row r="235">
      <c r="A235" s="9" t="n">
        <v>231</v>
      </c>
      <c r="B235" s="9" t="inlineStr">
        <is>
          <t>France</t>
        </is>
      </c>
      <c r="C235" s="9" t="inlineStr">
        <is>
          <t>Provence</t>
        </is>
      </c>
      <c r="D235" s="9" t="inlineStr">
        <is>
          <t>Avignon / Nice / Monaco</t>
        </is>
      </c>
      <c r="E235" s="9" t="inlineStr">
        <is>
          <t>Papal Palace, French Riviera</t>
        </is>
      </c>
      <c r="F235" s="9" t="inlineStr">
        <is>
          <t>Monument</t>
        </is>
      </c>
      <c r="G235" s="19" t="inlineStr"/>
      <c r="H235" s="9">
        <f>IF(COUNTIF('Country Summary'!$B$5:$B$200,B235)&gt;0,"Yes","")</f>
        <v/>
      </c>
      <c r="I235" s="9" t="inlineStr"/>
    </row>
    <row r="236">
      <c r="A236" s="9" t="n">
        <v>232</v>
      </c>
      <c r="B236" s="9" t="inlineStr">
        <is>
          <t>France</t>
        </is>
      </c>
      <c r="C236" s="9" t="inlineStr">
        <is>
          <t>Alsace</t>
        </is>
      </c>
      <c r="D236" s="9" t="inlineStr">
        <is>
          <t>Strasbourg / Colmar</t>
        </is>
      </c>
      <c r="E236" s="9" t="inlineStr">
        <is>
          <t>Old towns - UNESCO</t>
        </is>
      </c>
      <c r="F236" s="9" t="inlineStr">
        <is>
          <t>UNESCO</t>
        </is>
      </c>
      <c r="G236" s="19" t="inlineStr"/>
      <c r="H236" s="9">
        <f>IF(COUNTIF('Country Summary'!$B$5:$B$200,B236)&gt;0,"Yes","")</f>
        <v/>
      </c>
      <c r="I236" s="9" t="inlineStr"/>
    </row>
    <row r="237">
      <c r="A237" s="9" t="n">
        <v>233</v>
      </c>
      <c r="B237" s="9" t="inlineStr">
        <is>
          <t>Belgium</t>
        </is>
      </c>
      <c r="C237" s="9" t="inlineStr">
        <is>
          <t>Brussels</t>
        </is>
      </c>
      <c r="D237" s="9" t="inlineStr">
        <is>
          <t>Brussels</t>
        </is>
      </c>
      <c r="E237" s="9" t="inlineStr">
        <is>
          <t>Grand Place - UNESCO, Manneken Pis, Atomium</t>
        </is>
      </c>
      <c r="F237" s="9" t="inlineStr">
        <is>
          <t>UNESCO</t>
        </is>
      </c>
      <c r="G237" s="19" t="inlineStr">
        <is>
          <t>Yes</t>
        </is>
      </c>
      <c r="H237" s="9">
        <f>IF(COUNTIF('Country Summary'!$B$5:$B$200,B237)&gt;0,"Yes","")</f>
        <v/>
      </c>
      <c r="I237" s="9" t="inlineStr"/>
    </row>
    <row r="238">
      <c r="A238" s="9" t="n">
        <v>234</v>
      </c>
      <c r="B238" s="9" t="inlineStr">
        <is>
          <t>Belgium</t>
        </is>
      </c>
      <c r="C238" s="9" t="inlineStr">
        <is>
          <t>Wallonia</t>
        </is>
      </c>
      <c r="D238" s="9" t="inlineStr">
        <is>
          <t>Durbuy</t>
        </is>
      </c>
      <c r="E238" s="9" t="inlineStr">
        <is>
          <t>ISKCON Radhadesh</t>
        </is>
      </c>
      <c r="F238" s="9" t="inlineStr">
        <is>
          <t>ISKCON</t>
        </is>
      </c>
      <c r="G238" s="19" t="inlineStr">
        <is>
          <t>Yes</t>
        </is>
      </c>
      <c r="H238" s="9">
        <f>IF(COUNTIF('Country Summary'!$B$5:$B$200,B238)&gt;0,"Yes","")</f>
        <v/>
      </c>
      <c r="I238" s="9" t="inlineStr"/>
    </row>
    <row r="239">
      <c r="A239" s="9" t="n">
        <v>235</v>
      </c>
      <c r="B239" s="9" t="inlineStr">
        <is>
          <t>Belgium</t>
        </is>
      </c>
      <c r="C239" s="9" t="inlineStr">
        <is>
          <t>Flanders</t>
        </is>
      </c>
      <c r="D239" s="9" t="inlineStr">
        <is>
          <t>Bruges / Ghent / Antwerp</t>
        </is>
      </c>
      <c r="E239" s="9" t="inlineStr">
        <is>
          <t>Bruges historic centre - UNESCO; Antwerp ISKCON</t>
        </is>
      </c>
      <c r="F239" s="9" t="inlineStr">
        <is>
          <t>UNESCO</t>
        </is>
      </c>
      <c r="G239" s="19" t="inlineStr"/>
      <c r="H239" s="9">
        <f>IF(COUNTIF('Country Summary'!$B$5:$B$200,B239)&gt;0,"Yes","")</f>
        <v/>
      </c>
      <c r="I239" s="9" t="inlineStr"/>
    </row>
    <row r="240">
      <c r="A240" s="9" t="n">
        <v>236</v>
      </c>
      <c r="B240" s="9" t="inlineStr">
        <is>
          <t>Netherlands</t>
        </is>
      </c>
      <c r="C240" s="9" t="inlineStr">
        <is>
          <t>North Holland</t>
        </is>
      </c>
      <c r="D240" s="9" t="inlineStr">
        <is>
          <t>Amsterdam</t>
        </is>
      </c>
      <c r="E240" s="9" t="inlineStr">
        <is>
          <t>Canal ring - UNESCO, Dam Square, Anne Frank House</t>
        </is>
      </c>
      <c r="F240" s="9" t="inlineStr">
        <is>
          <t>UNESCO</t>
        </is>
      </c>
      <c r="G240" s="19" t="inlineStr">
        <is>
          <t>Yes</t>
        </is>
      </c>
      <c r="H240" s="9">
        <f>IF(COUNTIF('Country Summary'!$B$5:$B$200,B240)&gt;0,"Yes","")</f>
        <v/>
      </c>
      <c r="I240" s="9" t="inlineStr"/>
    </row>
    <row r="241">
      <c r="A241" s="9" t="n">
        <v>237</v>
      </c>
      <c r="B241" s="9" t="inlineStr">
        <is>
          <t>Netherlands</t>
        </is>
      </c>
      <c r="C241" s="9" t="inlineStr">
        <is>
          <t>North Holland</t>
        </is>
      </c>
      <c r="D241" s="9" t="inlineStr">
        <is>
          <t>Amsterdam</t>
        </is>
      </c>
      <c r="E241" s="9" t="inlineStr">
        <is>
          <t>Rijksmuseum, Van Gogh Museum; ISKCON Amsterdam</t>
        </is>
      </c>
      <c r="F241" s="9" t="inlineStr">
        <is>
          <t>Museum</t>
        </is>
      </c>
      <c r="G241" s="19" t="inlineStr"/>
      <c r="H241" s="9">
        <f>IF(COUNTIF('Country Summary'!$B$5:$B$200,B241)&gt;0,"Yes","")</f>
        <v/>
      </c>
      <c r="I241" s="9" t="inlineStr"/>
    </row>
    <row r="242">
      <c r="A242" s="9" t="n">
        <v>238</v>
      </c>
      <c r="B242" s="9" t="inlineStr">
        <is>
          <t>Netherlands</t>
        </is>
      </c>
      <c r="C242" s="9" t="inlineStr">
        <is>
          <t>South Holland</t>
        </is>
      </c>
      <c r="D242" s="9" t="inlineStr">
        <is>
          <t>Keukenhof / Kinderdijk</t>
        </is>
      </c>
      <c r="E242" s="9" t="inlineStr">
        <is>
          <t>Tulips (Mar-May); windmills - UNESCO</t>
        </is>
      </c>
      <c r="F242" s="9" t="inlineStr">
        <is>
          <t>UNESCO</t>
        </is>
      </c>
      <c r="G242" s="19" t="inlineStr"/>
      <c r="H242" s="9">
        <f>IF(COUNTIF('Country Summary'!$B$5:$B$200,B242)&gt;0,"Yes","")</f>
        <v/>
      </c>
      <c r="I242" s="9" t="inlineStr"/>
    </row>
    <row r="243">
      <c r="A243" s="9" t="n">
        <v>239</v>
      </c>
      <c r="B243" s="9" t="inlineStr">
        <is>
          <t>Germany</t>
        </is>
      </c>
      <c r="C243" s="9" t="inlineStr">
        <is>
          <t>North Rhine-Westphalia</t>
        </is>
      </c>
      <c r="D243" s="9" t="inlineStr">
        <is>
          <t>Cologne</t>
        </is>
      </c>
      <c r="E243" s="9" t="inlineStr">
        <is>
          <t>Cologne Cathedral - UNESCO</t>
        </is>
      </c>
      <c r="F243" s="9" t="inlineStr">
        <is>
          <t>UNESCO</t>
        </is>
      </c>
      <c r="G243" s="19" t="inlineStr">
        <is>
          <t>Yes</t>
        </is>
      </c>
      <c r="H243" s="9">
        <f>IF(COUNTIF('Country Summary'!$B$5:$B$200,B243)&gt;0,"Yes","")</f>
        <v/>
      </c>
      <c r="I243" s="9" t="inlineStr"/>
    </row>
    <row r="244">
      <c r="A244" s="9" t="n">
        <v>240</v>
      </c>
      <c r="B244" s="9" t="inlineStr">
        <is>
          <t>Germany</t>
        </is>
      </c>
      <c r="C244" s="9" t="inlineStr">
        <is>
          <t>Baden-Wurttemberg</t>
        </is>
      </c>
      <c r="D244" s="9" t="inlineStr">
        <is>
          <t>Black Forest / Triberg</t>
        </is>
      </c>
      <c r="E244" s="9" t="inlineStr">
        <is>
          <t>Black Forest, Triberg falls &amp; cuckoo clocks</t>
        </is>
      </c>
      <c r="F244" s="9" t="inlineStr">
        <is>
          <t>Nature</t>
        </is>
      </c>
      <c r="G244" s="19" t="inlineStr">
        <is>
          <t>Yes</t>
        </is>
      </c>
      <c r="H244" s="9">
        <f>IF(COUNTIF('Country Summary'!$B$5:$B$200,B244)&gt;0,"Yes","")</f>
        <v/>
      </c>
      <c r="I244" s="9" t="inlineStr"/>
    </row>
    <row r="245">
      <c r="A245" s="9" t="n">
        <v>241</v>
      </c>
      <c r="B245" s="9" t="inlineStr">
        <is>
          <t>Germany</t>
        </is>
      </c>
      <c r="C245" s="9" t="inlineStr">
        <is>
          <t>Bavaria</t>
        </is>
      </c>
      <c r="D245" s="9" t="inlineStr">
        <is>
          <t>Munich</t>
        </is>
      </c>
      <c r="E245" s="9" t="inlineStr">
        <is>
          <t>Marienplatz, Nymphenburg, BMW; Oktoberfest</t>
        </is>
      </c>
      <c r="F245" s="9" t="inlineStr">
        <is>
          <t>Monument</t>
        </is>
      </c>
      <c r="G245" s="19" t="inlineStr"/>
      <c r="H245" s="9">
        <f>IF(COUNTIF('Country Summary'!$B$5:$B$200,B245)&gt;0,"Yes","")</f>
        <v/>
      </c>
      <c r="I245" s="9" t="inlineStr"/>
    </row>
    <row r="246">
      <c r="A246" s="9" t="n">
        <v>242</v>
      </c>
      <c r="B246" s="9" t="inlineStr">
        <is>
          <t>Germany</t>
        </is>
      </c>
      <c r="C246" s="9" t="inlineStr">
        <is>
          <t>Bavaria</t>
        </is>
      </c>
      <c r="D246" s="9" t="inlineStr">
        <is>
          <t>Neuschwanstein</t>
        </is>
      </c>
      <c r="E246" s="9" t="inlineStr">
        <is>
          <t>Neuschwanstein Castle</t>
        </is>
      </c>
      <c r="F246" s="9" t="inlineStr">
        <is>
          <t>Monument</t>
        </is>
      </c>
      <c r="G246" s="19" t="inlineStr"/>
      <c r="H246" s="9">
        <f>IF(COUNTIF('Country Summary'!$B$5:$B$200,B246)&gt;0,"Yes","")</f>
        <v/>
      </c>
      <c r="I246" s="9" t="inlineStr"/>
    </row>
    <row r="247">
      <c r="A247" s="9" t="n">
        <v>243</v>
      </c>
      <c r="B247" s="9" t="inlineStr">
        <is>
          <t>Germany</t>
        </is>
      </c>
      <c r="C247" s="9" t="inlineStr">
        <is>
          <t>Bavaria</t>
        </is>
      </c>
      <c r="D247" s="9" t="inlineStr">
        <is>
          <t>Jandelsbrunn</t>
        </is>
      </c>
      <c r="E247" s="9" t="inlineStr">
        <is>
          <t>ISKCON Simhachalam (Narasimha deity)</t>
        </is>
      </c>
      <c r="F247" s="9" t="inlineStr">
        <is>
          <t>ISKCON</t>
        </is>
      </c>
      <c r="G247" s="19" t="inlineStr"/>
      <c r="H247" s="9">
        <f>IF(COUNTIF('Country Summary'!$B$5:$B$200,B247)&gt;0,"Yes","")</f>
        <v/>
      </c>
      <c r="I247" s="9" t="inlineStr"/>
    </row>
    <row r="248">
      <c r="A248" s="9" t="n">
        <v>244</v>
      </c>
      <c r="B248" s="9" t="inlineStr">
        <is>
          <t>Germany</t>
        </is>
      </c>
      <c r="C248" s="9" t="inlineStr">
        <is>
          <t>Rhineland-Palatinate</t>
        </is>
      </c>
      <c r="D248" s="9" t="inlineStr">
        <is>
          <t>Abentheuer</t>
        </is>
      </c>
      <c r="E248" s="9" t="inlineStr">
        <is>
          <t>Goloka Dhama</t>
        </is>
      </c>
      <c r="F248" s="9" t="inlineStr">
        <is>
          <t>ISKCON</t>
        </is>
      </c>
      <c r="G248" s="19" t="inlineStr"/>
      <c r="H248" s="9">
        <f>IF(COUNTIF('Country Summary'!$B$5:$B$200,B248)&gt;0,"Yes","")</f>
        <v/>
      </c>
      <c r="I248" s="9" t="inlineStr"/>
    </row>
    <row r="249">
      <c r="A249" s="9" t="n">
        <v>245</v>
      </c>
      <c r="B249" s="9" t="inlineStr">
        <is>
          <t>Germany</t>
        </is>
      </c>
      <c r="C249" s="9" t="inlineStr">
        <is>
          <t>Berlin</t>
        </is>
      </c>
      <c r="D249" s="9" t="inlineStr">
        <is>
          <t>Berlin</t>
        </is>
      </c>
      <c r="E249" s="9" t="inlineStr">
        <is>
          <t>Brandenburg Gate, Reichstag, Berlin Wall, Museum Island - UNESCO</t>
        </is>
      </c>
      <c r="F249" s="9" t="inlineStr">
        <is>
          <t>UNESCO</t>
        </is>
      </c>
      <c r="G249" s="19" t="inlineStr"/>
      <c r="H249" s="9">
        <f>IF(COUNTIF('Country Summary'!$B$5:$B$200,B249)&gt;0,"Yes","")</f>
        <v/>
      </c>
      <c r="I249" s="9" t="inlineStr"/>
    </row>
    <row r="250">
      <c r="A250" s="9" t="n">
        <v>246</v>
      </c>
      <c r="B250" s="9" t="inlineStr">
        <is>
          <t>Germany</t>
        </is>
      </c>
      <c r="C250" s="9" t="inlineStr">
        <is>
          <t>Hesse / Rhine</t>
        </is>
      </c>
      <c r="D250" s="9" t="inlineStr">
        <is>
          <t>Rhine Gorge</t>
        </is>
      </c>
      <c r="E250" s="9" t="inlineStr">
        <is>
          <t>Upper Middle Rhine Valley castles - UNESCO</t>
        </is>
      </c>
      <c r="F250" s="9" t="inlineStr">
        <is>
          <t>UNESCO</t>
        </is>
      </c>
      <c r="G250" s="19" t="inlineStr"/>
      <c r="H250" s="9">
        <f>IF(COUNTIF('Country Summary'!$B$5:$B$200,B250)&gt;0,"Yes","")</f>
        <v/>
      </c>
      <c r="I250" s="9" t="inlineStr"/>
    </row>
    <row r="251">
      <c r="A251" s="9" t="n">
        <v>247</v>
      </c>
      <c r="B251" s="9" t="inlineStr">
        <is>
          <t>Germany</t>
        </is>
      </c>
      <c r="C251" s="9" t="inlineStr">
        <is>
          <t>Saxony</t>
        </is>
      </c>
      <c r="D251" s="9" t="inlineStr">
        <is>
          <t>Dresden</t>
        </is>
      </c>
      <c r="E251" s="9" t="inlineStr">
        <is>
          <t>Frauenkirche, Zwinger</t>
        </is>
      </c>
      <c r="F251" s="9" t="inlineStr">
        <is>
          <t>Monument</t>
        </is>
      </c>
      <c r="G251" s="19" t="inlineStr"/>
      <c r="H251" s="9">
        <f>IF(COUNTIF('Country Summary'!$B$5:$B$200,B251)&gt;0,"Yes","")</f>
        <v/>
      </c>
      <c r="I251" s="9" t="inlineStr"/>
    </row>
    <row r="252">
      <c r="A252" s="9" t="n">
        <v>248</v>
      </c>
      <c r="B252" s="9" t="inlineStr">
        <is>
          <t>Switzerland</t>
        </is>
      </c>
      <c r="C252" s="9" t="inlineStr">
        <is>
          <t>Schaffhausen</t>
        </is>
      </c>
      <c r="D252" s="9" t="inlineStr">
        <is>
          <t>Rhine Falls</t>
        </is>
      </c>
      <c r="E252" s="9" t="inlineStr">
        <is>
          <t>Rhine Falls</t>
        </is>
      </c>
      <c r="F252" s="9" t="inlineStr">
        <is>
          <t>Nature</t>
        </is>
      </c>
      <c r="G252" s="19" t="inlineStr">
        <is>
          <t>Yes</t>
        </is>
      </c>
      <c r="H252" s="9">
        <f>IF(COUNTIF('Country Summary'!$B$5:$B$200,B252)&gt;0,"Yes","")</f>
        <v/>
      </c>
      <c r="I252" s="9" t="inlineStr"/>
    </row>
    <row r="253">
      <c r="A253" s="9" t="n">
        <v>249</v>
      </c>
      <c r="B253" s="9" t="inlineStr">
        <is>
          <t>Switzerland</t>
        </is>
      </c>
      <c r="C253" s="9" t="inlineStr">
        <is>
          <t>Zurich</t>
        </is>
      </c>
      <c r="D253" s="9" t="inlineStr">
        <is>
          <t>Zurich</t>
        </is>
      </c>
      <c r="E253" s="9" t="inlineStr">
        <is>
          <t>Old Town, Lake Zurich; ISKCON Zurich</t>
        </is>
      </c>
      <c r="F253" s="9" t="inlineStr">
        <is>
          <t>Monument</t>
        </is>
      </c>
      <c r="G253" s="19" t="inlineStr">
        <is>
          <t>Yes</t>
        </is>
      </c>
      <c r="H253" s="9">
        <f>IF(COUNTIF('Country Summary'!$B$5:$B$200,B253)&gt;0,"Yes","")</f>
        <v/>
      </c>
      <c r="I253" s="9" t="inlineStr"/>
    </row>
    <row r="254">
      <c r="A254" s="9" t="n">
        <v>250</v>
      </c>
      <c r="B254" s="9" t="inlineStr">
        <is>
          <t>Switzerland</t>
        </is>
      </c>
      <c r="C254" s="9" t="inlineStr">
        <is>
          <t>Lucerne</t>
        </is>
      </c>
      <c r="D254" s="9" t="inlineStr">
        <is>
          <t>Lucerne</t>
        </is>
      </c>
      <c r="E254" s="9" t="inlineStr">
        <is>
          <t>Chapel Bridge, Lion Monument, Lake Lucerne</t>
        </is>
      </c>
      <c r="F254" s="9" t="inlineStr">
        <is>
          <t>Monument</t>
        </is>
      </c>
      <c r="G254" s="19" t="inlineStr">
        <is>
          <t>Yes</t>
        </is>
      </c>
      <c r="H254" s="9">
        <f>IF(COUNTIF('Country Summary'!$B$5:$B$200,B254)&gt;0,"Yes","")</f>
        <v/>
      </c>
      <c r="I254" s="9" t="inlineStr"/>
    </row>
    <row r="255">
      <c r="A255" s="9" t="n">
        <v>251</v>
      </c>
      <c r="B255" s="9" t="inlineStr">
        <is>
          <t>Switzerland</t>
        </is>
      </c>
      <c r="C255" s="9" t="inlineStr">
        <is>
          <t>Obwalden</t>
        </is>
      </c>
      <c r="D255" s="9" t="inlineStr">
        <is>
          <t>Engelberg</t>
        </is>
      </c>
      <c r="E255" s="9" t="inlineStr">
        <is>
          <t>Mt Titlis (Cliff Walk, Ice Flyer)</t>
        </is>
      </c>
      <c r="F255" s="9" t="inlineStr">
        <is>
          <t>Nature</t>
        </is>
      </c>
      <c r="G255" s="19" t="inlineStr">
        <is>
          <t>Yes</t>
        </is>
      </c>
      <c r="H255" s="9">
        <f>IF(COUNTIF('Country Summary'!$B$5:$B$200,B255)&gt;0,"Yes","")</f>
        <v/>
      </c>
      <c r="I255" s="9" t="inlineStr"/>
    </row>
    <row r="256">
      <c r="A256" s="9" t="n">
        <v>252</v>
      </c>
      <c r="B256" s="9" t="inlineStr">
        <is>
          <t>Switzerland</t>
        </is>
      </c>
      <c r="C256" s="9" t="inlineStr">
        <is>
          <t>Bern</t>
        </is>
      </c>
      <c r="D256" s="9" t="inlineStr">
        <is>
          <t>Interlaken / Jungfrau</t>
        </is>
      </c>
      <c r="E256" s="9" t="inlineStr">
        <is>
          <t>Jungfraujoch - Top of Europe; Jungfrau-Aletsch - UNESCO</t>
        </is>
      </c>
      <c r="F256" s="9" t="inlineStr">
        <is>
          <t>UNESCO</t>
        </is>
      </c>
      <c r="G256" s="19" t="inlineStr"/>
      <c r="H256" s="9">
        <f>IF(COUNTIF('Country Summary'!$B$5:$B$200,B256)&gt;0,"Yes","")</f>
        <v/>
      </c>
      <c r="I256" s="9" t="inlineStr"/>
    </row>
    <row r="257">
      <c r="A257" s="9" t="n">
        <v>253</v>
      </c>
      <c r="B257" s="9" t="inlineStr">
        <is>
          <t>Switzerland</t>
        </is>
      </c>
      <c r="C257" s="9" t="inlineStr">
        <is>
          <t>Valais</t>
        </is>
      </c>
      <c r="D257" s="9" t="inlineStr">
        <is>
          <t>Zermatt</t>
        </is>
      </c>
      <c r="E257" s="9" t="inlineStr">
        <is>
          <t>Matterhorn, Gornergrat</t>
        </is>
      </c>
      <c r="F257" s="9" t="inlineStr">
        <is>
          <t>Nature</t>
        </is>
      </c>
      <c r="G257" s="19" t="inlineStr"/>
      <c r="H257" s="9">
        <f>IF(COUNTIF('Country Summary'!$B$5:$B$200,B257)&gt;0,"Yes","")</f>
        <v/>
      </c>
      <c r="I257" s="9" t="inlineStr"/>
    </row>
    <row r="258">
      <c r="A258" s="9" t="n">
        <v>254</v>
      </c>
      <c r="B258" s="9" t="inlineStr">
        <is>
          <t>Switzerland</t>
        </is>
      </c>
      <c r="C258" s="9" t="inlineStr">
        <is>
          <t>Bern</t>
        </is>
      </c>
      <c r="D258" s="9" t="inlineStr">
        <is>
          <t>Bern</t>
        </is>
      </c>
      <c r="E258" s="9" t="inlineStr">
        <is>
          <t>Old City - UNESCO</t>
        </is>
      </c>
      <c r="F258" s="9" t="inlineStr">
        <is>
          <t>UNESCO</t>
        </is>
      </c>
      <c r="G258" s="19" t="inlineStr"/>
      <c r="H258" s="9">
        <f>IF(COUNTIF('Country Summary'!$B$5:$B$200,B258)&gt;0,"Yes","")</f>
        <v/>
      </c>
      <c r="I258" s="9" t="inlineStr"/>
    </row>
    <row r="259">
      <c r="A259" s="9" t="n">
        <v>255</v>
      </c>
      <c r="B259" s="9" t="inlineStr">
        <is>
          <t>Switzerland</t>
        </is>
      </c>
      <c r="C259" s="9" t="inlineStr">
        <is>
          <t>Geneva / Vaud</t>
        </is>
      </c>
      <c r="D259" s="9" t="inlineStr">
        <is>
          <t>Geneva / Montreux</t>
        </is>
      </c>
      <c r="E259" s="9" t="inlineStr">
        <is>
          <t>Lake Geneva, Chillon Castle, UN</t>
        </is>
      </c>
      <c r="F259" s="9" t="inlineStr">
        <is>
          <t>Monument</t>
        </is>
      </c>
      <c r="G259" s="19" t="inlineStr"/>
      <c r="H259" s="9">
        <f>IF(COUNTIF('Country Summary'!$B$5:$B$200,B259)&gt;0,"Yes","")</f>
        <v/>
      </c>
      <c r="I259" s="9" t="inlineStr"/>
    </row>
    <row r="260">
      <c r="A260" s="9" t="n">
        <v>256</v>
      </c>
      <c r="B260" s="9" t="inlineStr">
        <is>
          <t>Italy</t>
        </is>
      </c>
      <c r="C260" s="9" t="inlineStr">
        <is>
          <t>Lombardy</t>
        </is>
      </c>
      <c r="D260" s="9" t="inlineStr">
        <is>
          <t>Milan</t>
        </is>
      </c>
      <c r="E260" s="9" t="inlineStr">
        <is>
          <t>Duomo, Galleria, Sforza Castle, Last Supper - UNESCO</t>
        </is>
      </c>
      <c r="F260" s="9" t="inlineStr">
        <is>
          <t>UNESCO</t>
        </is>
      </c>
      <c r="G260" s="19" t="inlineStr">
        <is>
          <t>Yes</t>
        </is>
      </c>
      <c r="H260" s="9">
        <f>IF(COUNTIF('Country Summary'!$B$5:$B$200,B260)&gt;0,"Yes","")</f>
        <v/>
      </c>
      <c r="I260" s="9" t="inlineStr"/>
    </row>
    <row r="261">
      <c r="A261" s="9" t="n">
        <v>257</v>
      </c>
      <c r="B261" s="9" t="inlineStr">
        <is>
          <t>Italy</t>
        </is>
      </c>
      <c r="C261" s="9" t="inlineStr">
        <is>
          <t>Lombardy</t>
        </is>
      </c>
      <c r="D261" s="9" t="inlineStr">
        <is>
          <t>Chignolo d'Isola</t>
        </is>
      </c>
      <c r="E261" s="9" t="inlineStr">
        <is>
          <t>Villaggio Hare Krishna</t>
        </is>
      </c>
      <c r="F261" s="9" t="inlineStr">
        <is>
          <t>ISKCON</t>
        </is>
      </c>
      <c r="G261" s="19" t="inlineStr">
        <is>
          <t>Yes</t>
        </is>
      </c>
      <c r="H261" s="9">
        <f>IF(COUNTIF('Country Summary'!$B$5:$B$200,B261)&gt;0,"Yes","")</f>
        <v/>
      </c>
      <c r="I261" s="9" t="inlineStr"/>
    </row>
    <row r="262">
      <c r="A262" s="9" t="n">
        <v>258</v>
      </c>
      <c r="B262" s="9" t="inlineStr">
        <is>
          <t>Italy</t>
        </is>
      </c>
      <c r="C262" s="9" t="inlineStr">
        <is>
          <t>Veneto</t>
        </is>
      </c>
      <c r="D262" s="9" t="inlineStr">
        <is>
          <t>Venice</t>
        </is>
      </c>
      <c r="E262" s="9" t="inlineStr">
        <is>
          <t>St Mark's, Doge's Palace, Rialto, gondola - UNESCO</t>
        </is>
      </c>
      <c r="F262" s="9" t="inlineStr">
        <is>
          <t>UNESCO</t>
        </is>
      </c>
      <c r="G262" s="19" t="inlineStr">
        <is>
          <t>Yes</t>
        </is>
      </c>
      <c r="H262" s="9">
        <f>IF(COUNTIF('Country Summary'!$B$5:$B$200,B262)&gt;0,"Yes","")</f>
        <v/>
      </c>
      <c r="I262" s="9" t="inlineStr"/>
    </row>
    <row r="263">
      <c r="A263" s="9" t="n">
        <v>259</v>
      </c>
      <c r="B263" s="9" t="inlineStr">
        <is>
          <t>Italy</t>
        </is>
      </c>
      <c r="C263" s="9" t="inlineStr">
        <is>
          <t>Veneto</t>
        </is>
      </c>
      <c r="D263" s="9" t="inlineStr">
        <is>
          <t>Padova</t>
        </is>
      </c>
      <c r="E263" s="9" t="inlineStr">
        <is>
          <t>Prato della Valle, St Anthony's Basilica, Scrovegni Chapel - UNESCO</t>
        </is>
      </c>
      <c r="F263" s="9" t="inlineStr">
        <is>
          <t>UNESCO</t>
        </is>
      </c>
      <c r="G263" s="19" t="inlineStr">
        <is>
          <t>Yes</t>
        </is>
      </c>
      <c r="H263" s="9">
        <f>IF(COUNTIF('Country Summary'!$B$5:$B$200,B263)&gt;0,"Yes","")</f>
        <v/>
      </c>
      <c r="I263" s="9" t="inlineStr"/>
    </row>
    <row r="264">
      <c r="A264" s="9" t="n">
        <v>260</v>
      </c>
      <c r="B264" s="9" t="inlineStr">
        <is>
          <t>Italy</t>
        </is>
      </c>
      <c r="C264" s="9" t="inlineStr">
        <is>
          <t>Veneto</t>
        </is>
      </c>
      <c r="D264" s="9" t="inlineStr">
        <is>
          <t>Verona</t>
        </is>
      </c>
      <c r="E264" s="9" t="inlineStr">
        <is>
          <t>Arena, Juliet's house - UNESCO</t>
        </is>
      </c>
      <c r="F264" s="9" t="inlineStr">
        <is>
          <t>UNESCO</t>
        </is>
      </c>
      <c r="G264" s="19" t="inlineStr"/>
      <c r="H264" s="9">
        <f>IF(COUNTIF('Country Summary'!$B$5:$B$200,B264)&gt;0,"Yes","")</f>
        <v/>
      </c>
      <c r="I264" s="9" t="inlineStr"/>
    </row>
    <row r="265">
      <c r="A265" s="9" t="n">
        <v>261</v>
      </c>
      <c r="B265" s="9" t="inlineStr">
        <is>
          <t>Italy</t>
        </is>
      </c>
      <c r="C265" s="9" t="inlineStr">
        <is>
          <t>Tuscany</t>
        </is>
      </c>
      <c r="D265" s="9" t="inlineStr">
        <is>
          <t>Florence</t>
        </is>
      </c>
      <c r="E265" s="9" t="inlineStr">
        <is>
          <t>Duomo, Ponte Vecchio, Piazza della Signoria, Uffizi - UNESCO</t>
        </is>
      </c>
      <c r="F265" s="9" t="inlineStr">
        <is>
          <t>UNESCO</t>
        </is>
      </c>
      <c r="G265" s="19" t="inlineStr">
        <is>
          <t>Yes</t>
        </is>
      </c>
      <c r="H265" s="9">
        <f>IF(COUNTIF('Country Summary'!$B$5:$B$200,B265)&gt;0,"Yes","")</f>
        <v/>
      </c>
      <c r="I265" s="9" t="inlineStr"/>
    </row>
    <row r="266">
      <c r="A266" s="9" t="n">
        <v>262</v>
      </c>
      <c r="B266" s="9" t="inlineStr">
        <is>
          <t>Italy</t>
        </is>
      </c>
      <c r="C266" s="9" t="inlineStr">
        <is>
          <t>Tuscany</t>
        </is>
      </c>
      <c r="D266" s="9" t="inlineStr">
        <is>
          <t>Florence (San Casciano)</t>
        </is>
      </c>
      <c r="E266" s="9" t="inlineStr">
        <is>
          <t>ISKCON Villa Vrindavana</t>
        </is>
      </c>
      <c r="F266" s="9" t="inlineStr">
        <is>
          <t>ISKCON</t>
        </is>
      </c>
      <c r="G266" s="19" t="inlineStr">
        <is>
          <t>Yes</t>
        </is>
      </c>
      <c r="H266" s="9">
        <f>IF(COUNTIF('Country Summary'!$B$5:$B$200,B266)&gt;0,"Yes","")</f>
        <v/>
      </c>
      <c r="I266" s="9" t="inlineStr"/>
    </row>
    <row r="267">
      <c r="A267" s="9" t="n">
        <v>263</v>
      </c>
      <c r="B267" s="9" t="inlineStr">
        <is>
          <t>Italy</t>
        </is>
      </c>
      <c r="C267" s="9" t="inlineStr">
        <is>
          <t>Tuscany</t>
        </is>
      </c>
      <c r="D267" s="9" t="inlineStr">
        <is>
          <t>Pisa</t>
        </is>
      </c>
      <c r="E267" s="9" t="inlineStr">
        <is>
          <t>Leaning Tower (Piazza dei Miracoli) - UNESCO</t>
        </is>
      </c>
      <c r="F267" s="9" t="inlineStr">
        <is>
          <t>UNESCO</t>
        </is>
      </c>
      <c r="G267" s="19" t="inlineStr">
        <is>
          <t>Yes</t>
        </is>
      </c>
      <c r="H267" s="9">
        <f>IF(COUNTIF('Country Summary'!$B$5:$B$200,B267)&gt;0,"Yes","")</f>
        <v/>
      </c>
      <c r="I267" s="9" t="inlineStr"/>
    </row>
    <row r="268">
      <c r="A268" s="9" t="n">
        <v>264</v>
      </c>
      <c r="B268" s="9" t="inlineStr">
        <is>
          <t>Italy</t>
        </is>
      </c>
      <c r="C268" s="9" t="inlineStr">
        <is>
          <t>Tuscany</t>
        </is>
      </c>
      <c r="D268" s="9" t="inlineStr">
        <is>
          <t>Arezzo / Siena / San Gimignano</t>
        </is>
      </c>
      <c r="E268" s="9" t="inlineStr">
        <is>
          <t>Tuscan hill towns - UNESCO</t>
        </is>
      </c>
      <c r="F268" s="9" t="inlineStr">
        <is>
          <t>UNESCO</t>
        </is>
      </c>
      <c r="G268" s="19" t="inlineStr">
        <is>
          <t>Yes</t>
        </is>
      </c>
      <c r="H268" s="9">
        <f>IF(COUNTIF('Country Summary'!$B$5:$B$200,B268)&gt;0,"Yes","")</f>
        <v/>
      </c>
      <c r="I268" s="9" t="inlineStr"/>
    </row>
    <row r="269">
      <c r="A269" s="9" t="n">
        <v>265</v>
      </c>
      <c r="B269" s="9" t="inlineStr">
        <is>
          <t>Italy</t>
        </is>
      </c>
      <c r="C269" s="9" t="inlineStr">
        <is>
          <t>Lazio</t>
        </is>
      </c>
      <c r="D269" s="9" t="inlineStr">
        <is>
          <t>Rome</t>
        </is>
      </c>
      <c r="E269" s="9" t="inlineStr">
        <is>
          <t>Colosseum, Roman Forum, Pantheon - UNESCO</t>
        </is>
      </c>
      <c r="F269" s="9" t="inlineStr">
        <is>
          <t>UNESCO</t>
        </is>
      </c>
      <c r="G269" s="19" t="inlineStr">
        <is>
          <t>Yes</t>
        </is>
      </c>
      <c r="H269" s="9">
        <f>IF(COUNTIF('Country Summary'!$B$5:$B$200,B269)&gt;0,"Yes","")</f>
        <v/>
      </c>
      <c r="I269" s="9" t="inlineStr"/>
    </row>
    <row r="270">
      <c r="A270" s="9" t="n">
        <v>266</v>
      </c>
      <c r="B270" s="9" t="inlineStr">
        <is>
          <t>Italy</t>
        </is>
      </c>
      <c r="C270" s="9" t="inlineStr">
        <is>
          <t>Lazio</t>
        </is>
      </c>
      <c r="D270" s="9" t="inlineStr">
        <is>
          <t>Rome</t>
        </is>
      </c>
      <c r="E270" s="9" t="inlineStr">
        <is>
          <t>Trevi Fountain, Spanish Steps, Piazza Navona; ISKCON Rome</t>
        </is>
      </c>
      <c r="F270" s="9" t="inlineStr">
        <is>
          <t>Monument</t>
        </is>
      </c>
      <c r="G270" s="19" t="inlineStr"/>
      <c r="H270" s="9">
        <f>IF(COUNTIF('Country Summary'!$B$5:$B$200,B270)&gt;0,"Yes","")</f>
        <v/>
      </c>
      <c r="I270" s="9" t="inlineStr"/>
    </row>
    <row r="271">
      <c r="A271" s="9" t="n">
        <v>267</v>
      </c>
      <c r="B271" s="9" t="inlineStr">
        <is>
          <t>Italy</t>
        </is>
      </c>
      <c r="C271" s="9" t="inlineStr">
        <is>
          <t>Campania</t>
        </is>
      </c>
      <c r="D271" s="9" t="inlineStr">
        <is>
          <t>Pompeii / Amalfi / Capri</t>
        </is>
      </c>
      <c r="E271" s="9" t="inlineStr">
        <is>
          <t>Pompeii - UNESCO; Amalfi Coast - UNESCO</t>
        </is>
      </c>
      <c r="F271" s="9" t="inlineStr">
        <is>
          <t>UNESCO</t>
        </is>
      </c>
      <c r="G271" s="19" t="inlineStr"/>
      <c r="H271" s="9">
        <f>IF(COUNTIF('Country Summary'!$B$5:$B$200,B271)&gt;0,"Yes","")</f>
        <v/>
      </c>
      <c r="I271" s="9" t="inlineStr"/>
    </row>
    <row r="272">
      <c r="A272" s="9" t="n">
        <v>268</v>
      </c>
      <c r="B272" s="9" t="inlineStr">
        <is>
          <t>Italy</t>
        </is>
      </c>
      <c r="C272" s="9" t="inlineStr">
        <is>
          <t>Campania</t>
        </is>
      </c>
      <c r="D272" s="9" t="inlineStr">
        <is>
          <t>Naples</t>
        </is>
      </c>
      <c r="E272" s="9" t="inlineStr">
        <is>
          <t>Historic centre - UNESCO, Vesuvius</t>
        </is>
      </c>
      <c r="F272" s="9" t="inlineStr">
        <is>
          <t>UNESCO</t>
        </is>
      </c>
      <c r="G272" s="19" t="inlineStr"/>
      <c r="H272" s="9">
        <f>IF(COUNTIF('Country Summary'!$B$5:$B$200,B272)&gt;0,"Yes","")</f>
        <v/>
      </c>
      <c r="I272" s="9" t="inlineStr"/>
    </row>
    <row r="273">
      <c r="A273" s="9" t="n">
        <v>269</v>
      </c>
      <c r="B273" s="9" t="inlineStr">
        <is>
          <t>Italy</t>
        </is>
      </c>
      <c r="C273" s="9" t="inlineStr">
        <is>
          <t>Sicily</t>
        </is>
      </c>
      <c r="D273" s="9" t="inlineStr">
        <is>
          <t>Agrigento / Taormina / Etna</t>
        </is>
      </c>
      <c r="E273" s="9" t="inlineStr">
        <is>
          <t>Valley of Temples - UNESCO; Mt Etna - UNESCO</t>
        </is>
      </c>
      <c r="F273" s="9" t="inlineStr">
        <is>
          <t>UNESCO</t>
        </is>
      </c>
      <c r="G273" s="19" t="inlineStr"/>
      <c r="H273" s="9">
        <f>IF(COUNTIF('Country Summary'!$B$5:$B$200,B273)&gt;0,"Yes","")</f>
        <v/>
      </c>
      <c r="I273" s="9" t="inlineStr"/>
    </row>
    <row r="274">
      <c r="A274" s="9" t="n">
        <v>270</v>
      </c>
      <c r="B274" s="9" t="inlineStr">
        <is>
          <t>Italy</t>
        </is>
      </c>
      <c r="C274" s="9" t="inlineStr">
        <is>
          <t>Liguria</t>
        </is>
      </c>
      <c r="D274" s="9" t="inlineStr">
        <is>
          <t>Cinque Terre</t>
        </is>
      </c>
      <c r="E274" s="9" t="inlineStr">
        <is>
          <t>Cinque Terre - UNESCO</t>
        </is>
      </c>
      <c r="F274" s="9" t="inlineStr">
        <is>
          <t>UNESCO</t>
        </is>
      </c>
      <c r="G274" s="19" t="inlineStr"/>
      <c r="H274" s="9">
        <f>IF(COUNTIF('Country Summary'!$B$5:$B$200,B274)&gt;0,"Yes","")</f>
        <v/>
      </c>
      <c r="I274" s="9" t="inlineStr"/>
    </row>
    <row r="275">
      <c r="A275" s="9" t="n">
        <v>271</v>
      </c>
      <c r="B275" s="9" t="inlineStr">
        <is>
          <t>Italy</t>
        </is>
      </c>
      <c r="C275" s="9" t="inlineStr">
        <is>
          <t>Lake Como</t>
        </is>
      </c>
      <c r="D275" s="9" t="inlineStr">
        <is>
          <t>Como / Bellagio</t>
        </is>
      </c>
      <c r="E275" s="9" t="inlineStr">
        <is>
          <t>Lake Como</t>
        </is>
      </c>
      <c r="F275" s="9" t="inlineStr">
        <is>
          <t>Nature</t>
        </is>
      </c>
      <c r="G275" s="19" t="inlineStr"/>
      <c r="H275" s="9">
        <f>IF(COUNTIF('Country Summary'!$B$5:$B$200,B275)&gt;0,"Yes","")</f>
        <v/>
      </c>
      <c r="I275" s="9" t="inlineStr"/>
    </row>
    <row r="276">
      <c r="A276" s="9" t="n">
        <v>272</v>
      </c>
      <c r="B276" s="9" t="inlineStr">
        <is>
          <t>Vatican City</t>
        </is>
      </c>
      <c r="C276" s="9" t="inlineStr">
        <is>
          <t>Vatican</t>
        </is>
      </c>
      <c r="D276" s="9" t="inlineStr">
        <is>
          <t>Vatican City</t>
        </is>
      </c>
      <c r="E276" s="9" t="inlineStr">
        <is>
          <t>St Peter's Basilica &amp; Square - UNESCO</t>
        </is>
      </c>
      <c r="F276" s="9" t="inlineStr">
        <is>
          <t>UNESCO</t>
        </is>
      </c>
      <c r="G276" s="19" t="inlineStr">
        <is>
          <t>Yes</t>
        </is>
      </c>
      <c r="H276" s="9">
        <f>IF(COUNTIF('Country Summary'!$B$5:$B$200,B276)&gt;0,"Yes","")</f>
        <v/>
      </c>
      <c r="I276" s="9" t="inlineStr"/>
    </row>
    <row r="277">
      <c r="A277" s="9" t="n">
        <v>273</v>
      </c>
      <c r="B277" s="9" t="inlineStr">
        <is>
          <t>Vatican City</t>
        </is>
      </c>
      <c r="C277" s="9" t="inlineStr">
        <is>
          <t>Vatican</t>
        </is>
      </c>
      <c r="D277" s="9" t="inlineStr">
        <is>
          <t>Vatican City</t>
        </is>
      </c>
      <c r="E277" s="9" t="inlineStr">
        <is>
          <t>Vatican Museums &amp; Sistine Chapel</t>
        </is>
      </c>
      <c r="F277" s="9" t="inlineStr">
        <is>
          <t>Museum</t>
        </is>
      </c>
      <c r="G277" s="19" t="inlineStr"/>
      <c r="H277" s="9">
        <f>IF(COUNTIF('Country Summary'!$B$5:$B$200,B277)&gt;0,"Yes","")</f>
        <v/>
      </c>
      <c r="I277" s="9" t="inlineStr"/>
    </row>
    <row r="278">
      <c r="A278" s="9" t="n">
        <v>274</v>
      </c>
      <c r="B278" s="9" t="inlineStr">
        <is>
          <t>Spain</t>
        </is>
      </c>
      <c r="C278" s="9" t="inlineStr">
        <is>
          <t>Catalonia</t>
        </is>
      </c>
      <c r="D278" s="9" t="inlineStr">
        <is>
          <t>Barcelona</t>
        </is>
      </c>
      <c r="E278" s="9" t="inlineStr">
        <is>
          <t>Sagrada Familia, Park Guell (Gaudi) - UNESCO; ISKCON Barcelona</t>
        </is>
      </c>
      <c r="F278" s="9" t="inlineStr">
        <is>
          <t>UNESCO</t>
        </is>
      </c>
      <c r="G278" s="19" t="inlineStr"/>
      <c r="H278" s="9">
        <f>IF(COUNTIF('Country Summary'!$B$5:$B$200,B278)&gt;0,"Yes","")</f>
        <v/>
      </c>
      <c r="I278" s="9" t="inlineStr"/>
    </row>
    <row r="279">
      <c r="A279" s="9" t="n">
        <v>275</v>
      </c>
      <c r="B279" s="9" t="inlineStr">
        <is>
          <t>Spain</t>
        </is>
      </c>
      <c r="C279" s="9" t="inlineStr">
        <is>
          <t>Madrid</t>
        </is>
      </c>
      <c r="D279" s="9" t="inlineStr">
        <is>
          <t>Madrid</t>
        </is>
      </c>
      <c r="E279" s="9" t="inlineStr">
        <is>
          <t>Prado, Royal Palace; ISKCON Madrid</t>
        </is>
      </c>
      <c r="F279" s="9" t="inlineStr">
        <is>
          <t>Museum</t>
        </is>
      </c>
      <c r="G279" s="19" t="inlineStr"/>
      <c r="H279" s="9">
        <f>IF(COUNTIF('Country Summary'!$B$5:$B$200,B279)&gt;0,"Yes","")</f>
        <v/>
      </c>
      <c r="I279" s="9" t="inlineStr"/>
    </row>
    <row r="280">
      <c r="A280" s="9" t="n">
        <v>276</v>
      </c>
      <c r="B280" s="9" t="inlineStr">
        <is>
          <t>Spain</t>
        </is>
      </c>
      <c r="C280" s="9" t="inlineStr">
        <is>
          <t>Andalusia</t>
        </is>
      </c>
      <c r="D280" s="9" t="inlineStr">
        <is>
          <t>Granada / Seville / Cordoba</t>
        </is>
      </c>
      <c r="E280" s="9" t="inlineStr">
        <is>
          <t>Alhambra - UNESCO; Seville Cathedral; Mezquita - UNESCO</t>
        </is>
      </c>
      <c r="F280" s="9" t="inlineStr">
        <is>
          <t>UNESCO</t>
        </is>
      </c>
      <c r="G280" s="19" t="inlineStr"/>
      <c r="H280" s="9">
        <f>IF(COUNTIF('Country Summary'!$B$5:$B$200,B280)&gt;0,"Yes","")</f>
        <v/>
      </c>
      <c r="I280" s="9" t="inlineStr"/>
    </row>
    <row r="281">
      <c r="A281" s="9" t="n">
        <v>277</v>
      </c>
      <c r="B281" s="9" t="inlineStr">
        <is>
          <t>Spain</t>
        </is>
      </c>
      <c r="C281" s="9" t="inlineStr">
        <is>
          <t>Andalusia</t>
        </is>
      </c>
      <c r="D281" s="9" t="inlineStr">
        <is>
          <t>Brihuega / Guadalajara</t>
        </is>
      </c>
      <c r="E281" s="9" t="inlineStr">
        <is>
          <t>New Vraja Mandala (ISKCON farm)</t>
        </is>
      </c>
      <c r="F281" s="9" t="inlineStr">
        <is>
          <t>ISKCON</t>
        </is>
      </c>
      <c r="G281" s="19" t="inlineStr"/>
      <c r="H281" s="9">
        <f>IF(COUNTIF('Country Summary'!$B$5:$B$200,B281)&gt;0,"Yes","")</f>
        <v/>
      </c>
      <c r="I281" s="9" t="inlineStr"/>
    </row>
    <row r="282">
      <c r="A282" s="9" t="n">
        <v>278</v>
      </c>
      <c r="B282" s="9" t="inlineStr">
        <is>
          <t>Portugal</t>
        </is>
      </c>
      <c r="C282" s="9" t="inlineStr">
        <is>
          <t>Lisbon</t>
        </is>
      </c>
      <c r="D282" s="9" t="inlineStr">
        <is>
          <t>Lisbon / Sintra</t>
        </is>
      </c>
      <c r="E282" s="9" t="inlineStr">
        <is>
          <t>Belem Tower, Jeronimos - UNESCO; Sintra - UNESCO; ISKCON Lisbon</t>
        </is>
      </c>
      <c r="F282" s="9" t="inlineStr">
        <is>
          <t>UNESCO</t>
        </is>
      </c>
      <c r="G282" s="19" t="inlineStr"/>
      <c r="H282" s="9">
        <f>IF(COUNTIF('Country Summary'!$B$5:$B$200,B282)&gt;0,"Yes","")</f>
        <v/>
      </c>
      <c r="I282" s="9" t="inlineStr"/>
    </row>
    <row r="283">
      <c r="A283" s="9" t="n">
        <v>279</v>
      </c>
      <c r="B283" s="9" t="inlineStr">
        <is>
          <t>Portugal</t>
        </is>
      </c>
      <c r="C283" s="9" t="inlineStr">
        <is>
          <t>Porto</t>
        </is>
      </c>
      <c r="D283" s="9" t="inlineStr">
        <is>
          <t>Porto</t>
        </is>
      </c>
      <c r="E283" s="9" t="inlineStr">
        <is>
          <t>Ribeira - UNESCO, Douro valley</t>
        </is>
      </c>
      <c r="F283" s="9" t="inlineStr">
        <is>
          <t>UNESCO</t>
        </is>
      </c>
      <c r="G283" s="19" t="inlineStr"/>
      <c r="H283" s="9">
        <f>IF(COUNTIF('Country Summary'!$B$5:$B$200,B283)&gt;0,"Yes","")</f>
        <v/>
      </c>
      <c r="I283" s="9" t="inlineStr"/>
    </row>
    <row r="284">
      <c r="A284" s="9" t="n">
        <v>280</v>
      </c>
      <c r="B284" s="9" t="inlineStr">
        <is>
          <t>Austria</t>
        </is>
      </c>
      <c r="C284" s="9" t="inlineStr">
        <is>
          <t>Vienna</t>
        </is>
      </c>
      <c r="D284" s="9" t="inlineStr">
        <is>
          <t>Vienna</t>
        </is>
      </c>
      <c r="E284" s="9" t="inlineStr">
        <is>
          <t>Schonbrunn, Hofburg, St Stephen's - UNESCO; ISKCON Vienna</t>
        </is>
      </c>
      <c r="F284" s="9" t="inlineStr">
        <is>
          <t>UNESCO</t>
        </is>
      </c>
      <c r="G284" s="19" t="inlineStr"/>
      <c r="H284" s="9">
        <f>IF(COUNTIF('Country Summary'!$B$5:$B$200,B284)&gt;0,"Yes","")</f>
        <v/>
      </c>
      <c r="I284" s="9" t="inlineStr"/>
    </row>
    <row r="285">
      <c r="A285" s="9" t="n">
        <v>281</v>
      </c>
      <c r="B285" s="9" t="inlineStr">
        <is>
          <t>Austria</t>
        </is>
      </c>
      <c r="C285" s="9" t="inlineStr">
        <is>
          <t>Salzburg</t>
        </is>
      </c>
      <c r="D285" s="9" t="inlineStr">
        <is>
          <t>Salzburg / Hallstatt</t>
        </is>
      </c>
      <c r="E285" s="9" t="inlineStr">
        <is>
          <t>Mozart city - UNESCO; Hallstatt - UNESCO</t>
        </is>
      </c>
      <c r="F285" s="9" t="inlineStr">
        <is>
          <t>UNESCO</t>
        </is>
      </c>
      <c r="G285" s="19" t="inlineStr"/>
      <c r="H285" s="9">
        <f>IF(COUNTIF('Country Summary'!$B$5:$B$200,B285)&gt;0,"Yes","")</f>
        <v/>
      </c>
      <c r="I285" s="9" t="inlineStr"/>
    </row>
    <row r="286">
      <c r="A286" s="9" t="n">
        <v>282</v>
      </c>
      <c r="B286" s="9" t="inlineStr">
        <is>
          <t>Czechia</t>
        </is>
      </c>
      <c r="C286" s="9" t="inlineStr">
        <is>
          <t>Prague</t>
        </is>
      </c>
      <c r="D286" s="9" t="inlineStr">
        <is>
          <t>Prague</t>
        </is>
      </c>
      <c r="E286" s="9" t="inlineStr">
        <is>
          <t>Charles Bridge, Prague Castle, Old Town - UNESCO; ISKCON Prague</t>
        </is>
      </c>
      <c r="F286" s="9" t="inlineStr">
        <is>
          <t>UNESCO</t>
        </is>
      </c>
      <c r="G286" s="19" t="inlineStr"/>
      <c r="H286" s="9">
        <f>IF(COUNTIF('Country Summary'!$B$5:$B$200,B286)&gt;0,"Yes","")</f>
        <v/>
      </c>
      <c r="I286" s="9" t="inlineStr"/>
    </row>
    <row r="287">
      <c r="A287" s="9" t="n">
        <v>283</v>
      </c>
      <c r="B287" s="9" t="inlineStr">
        <is>
          <t>Czechia</t>
        </is>
      </c>
      <c r="C287" s="9" t="inlineStr">
        <is>
          <t>Central Bohemia</t>
        </is>
      </c>
      <c r="D287" s="9" t="inlineStr">
        <is>
          <t>Krishnuv Dvur</t>
        </is>
      </c>
      <c r="E287" s="9" t="inlineStr">
        <is>
          <t>ISKCON farm (Krsnuv Dvur)</t>
        </is>
      </c>
      <c r="F287" s="9" t="inlineStr">
        <is>
          <t>ISKCON</t>
        </is>
      </c>
      <c r="G287" s="19" t="inlineStr"/>
      <c r="H287" s="9">
        <f>IF(COUNTIF('Country Summary'!$B$5:$B$200,B287)&gt;0,"Yes","")</f>
        <v/>
      </c>
      <c r="I287" s="9" t="inlineStr"/>
    </row>
    <row r="288">
      <c r="A288" s="9" t="n">
        <v>284</v>
      </c>
      <c r="B288" s="9" t="inlineStr">
        <is>
          <t>Hungary</t>
        </is>
      </c>
      <c r="C288" s="9" t="inlineStr">
        <is>
          <t>Budapest</t>
        </is>
      </c>
      <c r="D288" s="9" t="inlineStr">
        <is>
          <t>Budapest</t>
        </is>
      </c>
      <c r="E288" s="9" t="inlineStr">
        <is>
          <t>Parliament, Buda Castle, Danube - UNESCO; ISKCON Budapest</t>
        </is>
      </c>
      <c r="F288" s="9" t="inlineStr">
        <is>
          <t>UNESCO</t>
        </is>
      </c>
      <c r="G288" s="19" t="inlineStr"/>
      <c r="H288" s="9">
        <f>IF(COUNTIF('Country Summary'!$B$5:$B$200,B288)&gt;0,"Yes","")</f>
        <v/>
      </c>
      <c r="I288" s="9" t="inlineStr"/>
    </row>
    <row r="289">
      <c r="A289" s="9" t="n">
        <v>285</v>
      </c>
      <c r="B289" s="9" t="inlineStr">
        <is>
          <t>Hungary</t>
        </is>
      </c>
      <c r="C289" s="9" t="inlineStr">
        <is>
          <t>Somogy</t>
        </is>
      </c>
      <c r="D289" s="9" t="inlineStr">
        <is>
          <t>Somogyvamos</t>
        </is>
      </c>
      <c r="E289" s="9" t="inlineStr">
        <is>
          <t>Krishna Valley (Krisna-volgy) - eco village</t>
        </is>
      </c>
      <c r="F289" s="9" t="inlineStr">
        <is>
          <t>ISKCON</t>
        </is>
      </c>
      <c r="G289" s="19" t="inlineStr"/>
      <c r="H289" s="9">
        <f>IF(COUNTIF('Country Summary'!$B$5:$B$200,B289)&gt;0,"Yes","")</f>
        <v/>
      </c>
      <c r="I289" s="9" t="inlineStr"/>
    </row>
    <row r="290">
      <c r="A290" s="9" t="n">
        <v>286</v>
      </c>
      <c r="B290" s="9" t="inlineStr">
        <is>
          <t>Poland</t>
        </is>
      </c>
      <c r="C290" s="9" t="inlineStr">
        <is>
          <t>Krakow</t>
        </is>
      </c>
      <c r="D290" s="9" t="inlineStr">
        <is>
          <t>Krakow / Auschwitz</t>
        </is>
      </c>
      <c r="E290" s="9" t="inlineStr">
        <is>
          <t>Old Town - UNESCO; Wieliczka salt mine - UNESCO</t>
        </is>
      </c>
      <c r="F290" s="9" t="inlineStr">
        <is>
          <t>UNESCO</t>
        </is>
      </c>
      <c r="G290" s="19" t="inlineStr"/>
      <c r="H290" s="9">
        <f>IF(COUNTIF('Country Summary'!$B$5:$B$200,B290)&gt;0,"Yes","")</f>
        <v/>
      </c>
      <c r="I290" s="9" t="inlineStr"/>
    </row>
    <row r="291">
      <c r="A291" s="9" t="n">
        <v>287</v>
      </c>
      <c r="B291" s="9" t="inlineStr">
        <is>
          <t>Poland</t>
        </is>
      </c>
      <c r="C291" s="9" t="inlineStr">
        <is>
          <t>Lower Silesia</t>
        </is>
      </c>
      <c r="D291" s="9" t="inlineStr">
        <is>
          <t>Czarnow</t>
        </is>
      </c>
      <c r="E291" s="9" t="inlineStr">
        <is>
          <t>New Santipur (ISKCON)</t>
        </is>
      </c>
      <c r="F291" s="9" t="inlineStr">
        <is>
          <t>ISKCON</t>
        </is>
      </c>
      <c r="G291" s="19" t="inlineStr"/>
      <c r="H291" s="9">
        <f>IF(COUNTIF('Country Summary'!$B$5:$B$200,B291)&gt;0,"Yes","")</f>
        <v/>
      </c>
      <c r="I291" s="9" t="inlineStr"/>
    </row>
    <row r="292">
      <c r="A292" s="9" t="n">
        <v>288</v>
      </c>
      <c r="B292" s="9" t="inlineStr">
        <is>
          <t>Greece</t>
        </is>
      </c>
      <c r="C292" s="9" t="inlineStr">
        <is>
          <t>Attica</t>
        </is>
      </c>
      <c r="D292" s="9" t="inlineStr">
        <is>
          <t>Athens</t>
        </is>
      </c>
      <c r="E292" s="9" t="inlineStr">
        <is>
          <t>Acropolis &amp; Parthenon - UNESCO</t>
        </is>
      </c>
      <c r="F292" s="9" t="inlineStr">
        <is>
          <t>UNESCO</t>
        </is>
      </c>
      <c r="G292" s="19" t="inlineStr"/>
      <c r="H292" s="9">
        <f>IF(COUNTIF('Country Summary'!$B$5:$B$200,B292)&gt;0,"Yes","")</f>
        <v/>
      </c>
      <c r="I292" s="9" t="inlineStr"/>
    </row>
    <row r="293">
      <c r="A293" s="9" t="n">
        <v>289</v>
      </c>
      <c r="B293" s="9" t="inlineStr">
        <is>
          <t>Greece</t>
        </is>
      </c>
      <c r="C293" s="9" t="inlineStr">
        <is>
          <t>Islands</t>
        </is>
      </c>
      <c r="D293" s="9" t="inlineStr">
        <is>
          <t>Santorini / Mykonos / Delphi / Meteora</t>
        </is>
      </c>
      <c r="E293" s="9" t="inlineStr">
        <is>
          <t>Meteora - UNESCO; Delphi - UNESCO</t>
        </is>
      </c>
      <c r="F293" s="9" t="inlineStr">
        <is>
          <t>UNESCO</t>
        </is>
      </c>
      <c r="G293" s="19" t="inlineStr"/>
      <c r="H293" s="9">
        <f>IF(COUNTIF('Country Summary'!$B$5:$B$200,B293)&gt;0,"Yes","")</f>
        <v/>
      </c>
      <c r="I293" s="9" t="inlineStr"/>
    </row>
    <row r="294">
      <c r="A294" s="9" t="n">
        <v>290</v>
      </c>
      <c r="B294" s="9" t="inlineStr">
        <is>
          <t>Croatia</t>
        </is>
      </c>
      <c r="C294" s="9" t="inlineStr">
        <is>
          <t>Dalmatia</t>
        </is>
      </c>
      <c r="D294" s="9" t="inlineStr">
        <is>
          <t>Dubrovnik / Split / Plitvice</t>
        </is>
      </c>
      <c r="E294" s="9" t="inlineStr">
        <is>
          <t>Old City - UNESCO; Diocletian's Palace; Plitvice - UNESCO</t>
        </is>
      </c>
      <c r="F294" s="9" t="inlineStr">
        <is>
          <t>UNESCO</t>
        </is>
      </c>
      <c r="G294" s="19" t="inlineStr"/>
      <c r="H294" s="9">
        <f>IF(COUNTIF('Country Summary'!$B$5:$B$200,B294)&gt;0,"Yes","")</f>
        <v/>
      </c>
      <c r="I294" s="9" t="inlineStr"/>
    </row>
    <row r="295">
      <c r="A295" s="9" t="n">
        <v>291</v>
      </c>
      <c r="B295" s="9" t="inlineStr">
        <is>
          <t>Slovenia</t>
        </is>
      </c>
      <c r="C295" s="9" t="inlineStr">
        <is>
          <t>Upper Carniola</t>
        </is>
      </c>
      <c r="D295" s="9" t="inlineStr">
        <is>
          <t>Lake Bled / Ljubljana</t>
        </is>
      </c>
      <c r="E295" s="9" t="inlineStr">
        <is>
          <t>Lake Bled</t>
        </is>
      </c>
      <c r="F295" s="9" t="inlineStr">
        <is>
          <t>Nature</t>
        </is>
      </c>
      <c r="G295" s="19" t="inlineStr"/>
      <c r="H295" s="9">
        <f>IF(COUNTIF('Country Summary'!$B$5:$B$200,B295)&gt;0,"Yes","")</f>
        <v/>
      </c>
      <c r="I295" s="9" t="inlineStr"/>
    </row>
    <row r="296">
      <c r="A296" s="9" t="n">
        <v>292</v>
      </c>
      <c r="B296" s="9" t="inlineStr">
        <is>
          <t>Denmark</t>
        </is>
      </c>
      <c r="C296" s="9" t="inlineStr">
        <is>
          <t>Copenhagen</t>
        </is>
      </c>
      <c r="D296" s="9" t="inlineStr">
        <is>
          <t>Copenhagen</t>
        </is>
      </c>
      <c r="E296" s="9" t="inlineStr">
        <is>
          <t>Nyhavn, Little Mermaid, Tivoli; ISKCON Copenhagen</t>
        </is>
      </c>
      <c r="F296" s="9" t="inlineStr">
        <is>
          <t>Monument</t>
        </is>
      </c>
      <c r="G296" s="19" t="inlineStr"/>
      <c r="H296" s="9">
        <f>IF(COUNTIF('Country Summary'!$B$5:$B$200,B296)&gt;0,"Yes","")</f>
        <v/>
      </c>
      <c r="I296" s="9" t="inlineStr"/>
    </row>
    <row r="297">
      <c r="A297" s="9" t="n">
        <v>293</v>
      </c>
      <c r="B297" s="9" t="inlineStr">
        <is>
          <t>Sweden</t>
        </is>
      </c>
      <c r="C297" s="9" t="inlineStr">
        <is>
          <t>Stockholm</t>
        </is>
      </c>
      <c r="D297" s="9" t="inlineStr">
        <is>
          <t>Stockholm / Korsnas</t>
        </is>
      </c>
      <c r="E297" s="9" t="inlineStr">
        <is>
          <t>Gamla Stan, Vasa Museum; Almviks Gard (ISKCON farm)</t>
        </is>
      </c>
      <c r="F297" s="9" t="inlineStr">
        <is>
          <t>ISKCON</t>
        </is>
      </c>
      <c r="G297" s="19" t="inlineStr"/>
      <c r="H297" s="9">
        <f>IF(COUNTIF('Country Summary'!$B$5:$B$200,B297)&gt;0,"Yes","")</f>
        <v/>
      </c>
      <c r="I297" s="9" t="inlineStr"/>
    </row>
    <row r="298">
      <c r="A298" s="9" t="n">
        <v>294</v>
      </c>
      <c r="B298" s="9" t="inlineStr">
        <is>
          <t>Norway</t>
        </is>
      </c>
      <c r="C298" s="9" t="inlineStr">
        <is>
          <t>Western fjords</t>
        </is>
      </c>
      <c r="D298" s="9" t="inlineStr">
        <is>
          <t>Bergen / Geiranger / Tromso</t>
        </is>
      </c>
      <c r="E298" s="9" t="inlineStr">
        <is>
          <t>Fjords - UNESCO; Northern lights</t>
        </is>
      </c>
      <c r="F298" s="9" t="inlineStr">
        <is>
          <t>UNESCO</t>
        </is>
      </c>
      <c r="G298" s="19" t="inlineStr"/>
      <c r="H298" s="9">
        <f>IF(COUNTIF('Country Summary'!$B$5:$B$200,B298)&gt;0,"Yes","")</f>
        <v/>
      </c>
      <c r="I298" s="9" t="inlineStr"/>
    </row>
    <row r="299">
      <c r="A299" s="9" t="n">
        <v>295</v>
      </c>
      <c r="B299" s="9" t="inlineStr">
        <is>
          <t>Finland / Iceland</t>
        </is>
      </c>
      <c r="C299" s="9" t="inlineStr">
        <is>
          <t>-</t>
        </is>
      </c>
      <c r="D299" s="9" t="inlineStr">
        <is>
          <t>Lapland / Reykjavik</t>
        </is>
      </c>
      <c r="E299" s="9" t="inlineStr">
        <is>
          <t>Northern lights, Golden Circle, Blue Lagoon</t>
        </is>
      </c>
      <c r="F299" s="9" t="inlineStr">
        <is>
          <t>Nature</t>
        </is>
      </c>
      <c r="G299" s="19" t="inlineStr"/>
      <c r="H299" s="9">
        <f>IF(COUNTIF('Country Summary'!$B$5:$B$200,B299)&gt;0,"Yes","")</f>
        <v/>
      </c>
      <c r="I299" s="9" t="inlineStr"/>
    </row>
    <row r="300">
      <c r="A300" s="9" t="n">
        <v>296</v>
      </c>
      <c r="B300" s="9" t="inlineStr">
        <is>
          <t>Ireland</t>
        </is>
      </c>
      <c r="C300" s="9" t="inlineStr">
        <is>
          <t>Leinster</t>
        </is>
      </c>
      <c r="D300" s="9" t="inlineStr">
        <is>
          <t>Dublin</t>
        </is>
      </c>
      <c r="E300" s="9" t="inlineStr">
        <is>
          <t>Trinity College (Book of Kells), Guinness; ISKCON Dublin</t>
        </is>
      </c>
      <c r="F300" s="9" t="inlineStr">
        <is>
          <t>Monument</t>
        </is>
      </c>
      <c r="G300" s="19" t="inlineStr"/>
      <c r="H300" s="9">
        <f>IF(COUNTIF('Country Summary'!$B$5:$B$200,B300)&gt;0,"Yes","")</f>
        <v/>
      </c>
      <c r="I300" s="9" t="inlineStr"/>
    </row>
    <row r="301">
      <c r="A301" s="9" t="n">
        <v>297</v>
      </c>
      <c r="B301" s="9" t="inlineStr">
        <is>
          <t>Ireland</t>
        </is>
      </c>
      <c r="C301" s="9" t="inlineStr">
        <is>
          <t>Ulster</t>
        </is>
      </c>
      <c r="D301" s="9" t="inlineStr">
        <is>
          <t>Fermanagh</t>
        </is>
      </c>
      <c r="E301" s="9" t="inlineStr">
        <is>
          <t>Inis Rath - Govindadwipa (Hare Krishna island)</t>
        </is>
      </c>
      <c r="F301" s="9" t="inlineStr">
        <is>
          <t>ISKCON</t>
        </is>
      </c>
      <c r="G301" s="19" t="inlineStr"/>
      <c r="H301" s="9">
        <f>IF(COUNTIF('Country Summary'!$B$5:$B$200,B301)&gt;0,"Yes","")</f>
        <v/>
      </c>
      <c r="I301" s="9" t="inlineStr"/>
    </row>
    <row r="302">
      <c r="A302" s="9" t="n">
        <v>298</v>
      </c>
      <c r="B302" s="9" t="inlineStr">
        <is>
          <t>Ireland</t>
        </is>
      </c>
      <c r="C302" s="9" t="inlineStr">
        <is>
          <t>Munster</t>
        </is>
      </c>
      <c r="D302" s="9" t="inlineStr">
        <is>
          <t>Cliffs of Moher / Ring of Kerry</t>
        </is>
      </c>
      <c r="E302" s="9" t="inlineStr">
        <is>
          <t>Cliffs of Moher</t>
        </is>
      </c>
      <c r="F302" s="9" t="inlineStr">
        <is>
          <t>Nature</t>
        </is>
      </c>
      <c r="G302" s="19" t="inlineStr"/>
      <c r="H302" s="9">
        <f>IF(COUNTIF('Country Summary'!$B$5:$B$200,B302)&gt;0,"Yes","")</f>
        <v/>
      </c>
      <c r="I302" s="9" t="inlineStr"/>
    </row>
    <row r="303">
      <c r="A303" s="9" t="n">
        <v>299</v>
      </c>
      <c r="B303" s="9" t="inlineStr">
        <is>
          <t>Turkey</t>
        </is>
      </c>
      <c r="C303" s="9" t="inlineStr">
        <is>
          <t>Istanbul</t>
        </is>
      </c>
      <c r="D303" s="9" t="inlineStr">
        <is>
          <t>Istanbul</t>
        </is>
      </c>
      <c r="E303" s="9" t="inlineStr">
        <is>
          <t>Hagia Sophia, Blue Mosque, Topkapi - UNESCO</t>
        </is>
      </c>
      <c r="F303" s="9" t="inlineStr">
        <is>
          <t>UNESCO</t>
        </is>
      </c>
      <c r="G303" s="19" t="inlineStr"/>
      <c r="H303" s="9">
        <f>IF(COUNTIF('Country Summary'!$B$5:$B$200,B303)&gt;0,"Yes","")</f>
        <v/>
      </c>
      <c r="I303" s="9" t="inlineStr"/>
    </row>
    <row r="304">
      <c r="A304" s="9" t="n">
        <v>300</v>
      </c>
      <c r="B304" s="9" t="inlineStr">
        <is>
          <t>Turkey</t>
        </is>
      </c>
      <c r="C304" s="9" t="inlineStr">
        <is>
          <t>Cappadocia</t>
        </is>
      </c>
      <c r="D304" s="9" t="inlineStr">
        <is>
          <t>Goreme</t>
        </is>
      </c>
      <c r="E304" s="9" t="inlineStr">
        <is>
          <t>Balloons, rock churches - UNESCO</t>
        </is>
      </c>
      <c r="F304" s="9" t="inlineStr">
        <is>
          <t>UNESCO</t>
        </is>
      </c>
      <c r="G304" s="19" t="inlineStr"/>
      <c r="H304" s="9">
        <f>IF(COUNTIF('Country Summary'!$B$5:$B$200,B304)&gt;0,"Yes","")</f>
        <v/>
      </c>
      <c r="I304" s="9" t="inlineStr"/>
    </row>
    <row r="305">
      <c r="A305" s="9" t="n">
        <v>301</v>
      </c>
      <c r="B305" s="9" t="inlineStr">
        <is>
          <t>Turkey</t>
        </is>
      </c>
      <c r="C305" s="9" t="inlineStr">
        <is>
          <t>Denizli / Izmir</t>
        </is>
      </c>
      <c r="D305" s="9" t="inlineStr">
        <is>
          <t>Pamukkale / Ephesus</t>
        </is>
      </c>
      <c r="E305" s="9" t="inlineStr">
        <is>
          <t>Travertines - UNESCO; Ephesus - UNESCO</t>
        </is>
      </c>
      <c r="F305" s="9" t="inlineStr">
        <is>
          <t>UNESCO</t>
        </is>
      </c>
      <c r="G305" s="19" t="inlineStr"/>
      <c r="H305" s="9">
        <f>IF(COUNTIF('Country Summary'!$B$5:$B$200,B305)&gt;0,"Yes","")</f>
        <v/>
      </c>
      <c r="I305" s="9" t="inlineStr"/>
    </row>
    <row r="306">
      <c r="A306" s="9" t="n">
        <v>302</v>
      </c>
      <c r="B306" s="9" t="inlineStr">
        <is>
          <t>Russia</t>
        </is>
      </c>
      <c r="C306" s="9" t="inlineStr">
        <is>
          <t>Moscow</t>
        </is>
      </c>
      <c r="D306" s="9" t="inlineStr">
        <is>
          <t>Moscow</t>
        </is>
      </c>
      <c r="E306" s="9" t="inlineStr">
        <is>
          <t>Red Square, Kremlin, St Basil's - UNESCO; ISKCON Moscow (new temple)</t>
        </is>
      </c>
      <c r="F306" s="9" t="inlineStr">
        <is>
          <t>UNESCO</t>
        </is>
      </c>
      <c r="G306" s="19" t="inlineStr"/>
      <c r="H306" s="9">
        <f>IF(COUNTIF('Country Summary'!$B$5:$B$200,B306)&gt;0,"Yes","")</f>
        <v/>
      </c>
      <c r="I306" s="9" t="inlineStr"/>
    </row>
    <row r="307">
      <c r="A307" s="9" t="n">
        <v>303</v>
      </c>
      <c r="B307" s="9" t="inlineStr">
        <is>
          <t>Russia</t>
        </is>
      </c>
      <c r="C307" s="9" t="inlineStr">
        <is>
          <t>St Petersburg</t>
        </is>
      </c>
      <c r="D307" s="9" t="inlineStr">
        <is>
          <t>St Petersburg</t>
        </is>
      </c>
      <c r="E307" s="9" t="inlineStr">
        <is>
          <t>Hermitage, Peterhof - UNESCO</t>
        </is>
      </c>
      <c r="F307" s="9" t="inlineStr">
        <is>
          <t>UNESCO</t>
        </is>
      </c>
      <c r="G307" s="19" t="inlineStr"/>
      <c r="H307" s="9">
        <f>IF(COUNTIF('Country Summary'!$B$5:$B$200,B307)&gt;0,"Yes","")</f>
        <v/>
      </c>
      <c r="I307" s="9" t="inlineStr"/>
    </row>
    <row r="308">
      <c r="A308" s="9" t="n">
        <v>304</v>
      </c>
      <c r="B308" s="9" t="inlineStr">
        <is>
          <t>UAE</t>
        </is>
      </c>
      <c r="C308" s="9" t="inlineStr">
        <is>
          <t>Dubai</t>
        </is>
      </c>
      <c r="D308" s="9" t="inlineStr">
        <is>
          <t>Dubai</t>
        </is>
      </c>
      <c r="E308" s="9" t="inlineStr">
        <is>
          <t>Burj Khalifa &amp; Dubai Mall / Fountain</t>
        </is>
      </c>
      <c r="F308" s="9" t="inlineStr">
        <is>
          <t>Modern</t>
        </is>
      </c>
      <c r="G308" s="19" t="inlineStr"/>
      <c r="H308" s="9">
        <f>IF(COUNTIF('Country Summary'!$B$5:$B$200,B308)&gt;0,"Yes","")</f>
        <v/>
      </c>
      <c r="I308" s="9" t="inlineStr"/>
    </row>
    <row r="309">
      <c r="A309" s="9" t="n">
        <v>305</v>
      </c>
      <c r="B309" s="9" t="inlineStr">
        <is>
          <t>UAE</t>
        </is>
      </c>
      <c r="C309" s="9" t="inlineStr">
        <is>
          <t>Dubai</t>
        </is>
      </c>
      <c r="D309" s="9" t="inlineStr">
        <is>
          <t>Dubai</t>
        </is>
      </c>
      <c r="E309" s="9" t="inlineStr">
        <is>
          <t>ISKCON Dubai (Bur Dubai Shiva-Krishna temple) &amp; Hindu Temple Jebel Ali</t>
        </is>
      </c>
      <c r="F309" s="9" t="inlineStr">
        <is>
          <t>Temple</t>
        </is>
      </c>
      <c r="G309" s="19" t="inlineStr"/>
      <c r="H309" s="9">
        <f>IF(COUNTIF('Country Summary'!$B$5:$B$200,B309)&gt;0,"Yes","")</f>
        <v/>
      </c>
      <c r="I309" s="9" t="inlineStr"/>
    </row>
    <row r="310">
      <c r="A310" s="9" t="n">
        <v>306</v>
      </c>
      <c r="B310" s="9" t="inlineStr">
        <is>
          <t>UAE</t>
        </is>
      </c>
      <c r="C310" s="9" t="inlineStr">
        <is>
          <t>Dubai</t>
        </is>
      </c>
      <c r="D310" s="9" t="inlineStr">
        <is>
          <t>Dubai</t>
        </is>
      </c>
      <c r="E310" s="9" t="inlineStr">
        <is>
          <t>Palm Jumeirah, Atlantis, Burj Al Arab, Dubai Marina</t>
        </is>
      </c>
      <c r="F310" s="9" t="inlineStr">
        <is>
          <t>Modern</t>
        </is>
      </c>
      <c r="G310" s="19" t="inlineStr"/>
      <c r="H310" s="9">
        <f>IF(COUNTIF('Country Summary'!$B$5:$B$200,B310)&gt;0,"Yes","")</f>
        <v/>
      </c>
      <c r="I310" s="9" t="inlineStr"/>
    </row>
    <row r="311">
      <c r="A311" s="9" t="n">
        <v>307</v>
      </c>
      <c r="B311" s="9" t="inlineStr">
        <is>
          <t>UAE</t>
        </is>
      </c>
      <c r="C311" s="9" t="inlineStr">
        <is>
          <t>Dubai</t>
        </is>
      </c>
      <c r="D311" s="9" t="inlineStr">
        <is>
          <t>Dubai</t>
        </is>
      </c>
      <c r="E311" s="9" t="inlineStr">
        <is>
          <t>Old Dubai - Al Fahidi, Gold &amp; Spice souks, Dubai Creek abra</t>
        </is>
      </c>
      <c r="F311" s="9" t="inlineStr">
        <is>
          <t>Monument</t>
        </is>
      </c>
      <c r="G311" s="19" t="inlineStr"/>
      <c r="H311" s="9">
        <f>IF(COUNTIF('Country Summary'!$B$5:$B$200,B311)&gt;0,"Yes","")</f>
        <v/>
      </c>
      <c r="I311" s="9" t="inlineStr"/>
    </row>
    <row r="312">
      <c r="A312" s="9" t="n">
        <v>308</v>
      </c>
      <c r="B312" s="9" t="inlineStr">
        <is>
          <t>UAE</t>
        </is>
      </c>
      <c r="C312" s="9" t="inlineStr">
        <is>
          <t>Dubai</t>
        </is>
      </c>
      <c r="D312" s="9" t="inlineStr">
        <is>
          <t>Dubai</t>
        </is>
      </c>
      <c r="E312" s="9" t="inlineStr">
        <is>
          <t>Museum of the Future, Dubai Frame, Global Village (Nov-Apr)</t>
        </is>
      </c>
      <c r="F312" s="9" t="inlineStr">
        <is>
          <t>Modern</t>
        </is>
      </c>
      <c r="G312" s="19" t="inlineStr"/>
      <c r="H312" s="9">
        <f>IF(COUNTIF('Country Summary'!$B$5:$B$200,B312)&gt;0,"Yes","")</f>
        <v/>
      </c>
      <c r="I312" s="9" t="inlineStr"/>
    </row>
    <row r="313">
      <c r="A313" s="9" t="n">
        <v>309</v>
      </c>
      <c r="B313" s="9" t="inlineStr">
        <is>
          <t>UAE</t>
        </is>
      </c>
      <c r="C313" s="9" t="inlineStr">
        <is>
          <t>Dubai</t>
        </is>
      </c>
      <c r="D313" s="9" t="inlineStr">
        <is>
          <t>Dubai</t>
        </is>
      </c>
      <c r="E313" s="9" t="inlineStr">
        <is>
          <t>Desert safari, Miracle Garden (Nov-Apr)</t>
        </is>
      </c>
      <c r="F313" s="9" t="inlineStr">
        <is>
          <t>Nature</t>
        </is>
      </c>
      <c r="G313" s="19" t="inlineStr"/>
      <c r="H313" s="9">
        <f>IF(COUNTIF('Country Summary'!$B$5:$B$200,B313)&gt;0,"Yes","")</f>
        <v/>
      </c>
      <c r="I313" s="9" t="inlineStr"/>
    </row>
    <row r="314">
      <c r="A314" s="9" t="n">
        <v>310</v>
      </c>
      <c r="B314" s="9" t="inlineStr">
        <is>
          <t>UAE</t>
        </is>
      </c>
      <c r="C314" s="9" t="inlineStr">
        <is>
          <t>Abu Dhabi</t>
        </is>
      </c>
      <c r="D314" s="9" t="inlineStr">
        <is>
          <t>Abu Dhabi</t>
        </is>
      </c>
      <c r="E314" s="9" t="inlineStr">
        <is>
          <t>BAPS Hindu Mandir (Abu Mureikhah) - first traditional Hindu temple in UAE</t>
        </is>
      </c>
      <c r="F314" s="9" t="inlineStr">
        <is>
          <t>Temple</t>
        </is>
      </c>
      <c r="G314" s="19" t="inlineStr"/>
      <c r="H314" s="9">
        <f>IF(COUNTIF('Country Summary'!$B$5:$B$200,B314)&gt;0,"Yes","")</f>
        <v/>
      </c>
      <c r="I314" s="9" t="inlineStr"/>
    </row>
    <row r="315">
      <c r="A315" s="9" t="n">
        <v>311</v>
      </c>
      <c r="B315" s="9" t="inlineStr">
        <is>
          <t>UAE</t>
        </is>
      </c>
      <c r="C315" s="9" t="inlineStr">
        <is>
          <t>Abu Dhabi</t>
        </is>
      </c>
      <c r="D315" s="9" t="inlineStr">
        <is>
          <t>Abu Dhabi</t>
        </is>
      </c>
      <c r="E315" s="9" t="inlineStr">
        <is>
          <t>Sheikh Zayed Grand Mosque</t>
        </is>
      </c>
      <c r="F315" s="9" t="inlineStr">
        <is>
          <t>Monument</t>
        </is>
      </c>
      <c r="G315" s="19" t="inlineStr"/>
      <c r="H315" s="9">
        <f>IF(COUNTIF('Country Summary'!$B$5:$B$200,B315)&gt;0,"Yes","")</f>
        <v/>
      </c>
      <c r="I315" s="9" t="inlineStr"/>
    </row>
    <row r="316">
      <c r="A316" s="9" t="n">
        <v>312</v>
      </c>
      <c r="B316" s="9" t="inlineStr">
        <is>
          <t>UAE</t>
        </is>
      </c>
      <c r="C316" s="9" t="inlineStr">
        <is>
          <t>Abu Dhabi</t>
        </is>
      </c>
      <c r="D316" s="9" t="inlineStr">
        <is>
          <t>Abu Dhabi</t>
        </is>
      </c>
      <c r="E316" s="9" t="inlineStr">
        <is>
          <t>Louvre Abu Dhabi, Qasr Al Watan, Emirates Palace</t>
        </is>
      </c>
      <c r="F316" s="9" t="inlineStr">
        <is>
          <t>Museum</t>
        </is>
      </c>
      <c r="G316" s="19" t="inlineStr"/>
      <c r="H316" s="9">
        <f>IF(COUNTIF('Country Summary'!$B$5:$B$200,B316)&gt;0,"Yes","")</f>
        <v/>
      </c>
      <c r="I316" s="9" t="inlineStr"/>
    </row>
    <row r="317">
      <c r="A317" s="9" t="n">
        <v>313</v>
      </c>
      <c r="B317" s="9" t="inlineStr">
        <is>
          <t>UAE</t>
        </is>
      </c>
      <c r="C317" s="9" t="inlineStr">
        <is>
          <t>Abu Dhabi</t>
        </is>
      </c>
      <c r="D317" s="9" t="inlineStr">
        <is>
          <t>Yas Island</t>
        </is>
      </c>
      <c r="E317" s="9" t="inlineStr">
        <is>
          <t>Ferrari World, Yas Marina F1 circuit</t>
        </is>
      </c>
      <c r="F317" s="9" t="inlineStr">
        <is>
          <t>Modern</t>
        </is>
      </c>
      <c r="G317" s="19" t="inlineStr"/>
      <c r="H317" s="9">
        <f>IF(COUNTIF('Country Summary'!$B$5:$B$200,B317)&gt;0,"Yes","")</f>
        <v/>
      </c>
      <c r="I317" s="9" t="inlineStr"/>
    </row>
    <row r="318">
      <c r="A318" s="9" t="n">
        <v>314</v>
      </c>
      <c r="B318" s="9" t="inlineStr">
        <is>
          <t>UAE</t>
        </is>
      </c>
      <c r="C318" s="9" t="inlineStr">
        <is>
          <t>Sharjah / Fujairah</t>
        </is>
      </c>
      <c r="D318" s="9" t="inlineStr">
        <is>
          <t>Sharjah</t>
        </is>
      </c>
      <c r="E318" s="9" t="inlineStr">
        <is>
          <t>Sharjah heritage area, Al Noor; Fujairah fort</t>
        </is>
      </c>
      <c r="F318" s="9" t="inlineStr">
        <is>
          <t>Monument</t>
        </is>
      </c>
      <c r="G318" s="19" t="inlineStr"/>
      <c r="H318" s="9">
        <f>IF(COUNTIF('Country Summary'!$B$5:$B$200,B318)&gt;0,"Yes","")</f>
        <v/>
      </c>
      <c r="I318" s="9" t="inlineStr"/>
    </row>
    <row r="319">
      <c r="A319" s="9" t="n">
        <v>315</v>
      </c>
      <c r="B319" s="9" t="inlineStr">
        <is>
          <t>Sri Lanka</t>
        </is>
      </c>
      <c r="C319" s="9" t="inlineStr">
        <is>
          <t>Western</t>
        </is>
      </c>
      <c r="D319" s="9" t="inlineStr">
        <is>
          <t>Colombo</t>
        </is>
      </c>
      <c r="E319" s="9" t="inlineStr">
        <is>
          <t>ISKCON Colombo (New Kurukshetra); Gangaramaya; Kelaniya Raja Maha Vihara</t>
        </is>
      </c>
      <c r="F319" s="9" t="inlineStr">
        <is>
          <t>ISKCON</t>
        </is>
      </c>
      <c r="G319" s="19" t="inlineStr">
        <is>
          <t>Yes</t>
        </is>
      </c>
      <c r="H319" s="9">
        <f>IF(COUNTIF('Country Summary'!$B$5:$B$200,B319)&gt;0,"Yes","")</f>
        <v/>
      </c>
      <c r="I319" s="9" t="inlineStr"/>
    </row>
    <row r="320">
      <c r="A320" s="9" t="n">
        <v>316</v>
      </c>
      <c r="B320" s="9" t="inlineStr">
        <is>
          <t>Sri Lanka</t>
        </is>
      </c>
      <c r="C320" s="9" t="inlineStr">
        <is>
          <t>Central</t>
        </is>
      </c>
      <c r="D320" s="9" t="inlineStr">
        <is>
          <t>Nuwara Eliya</t>
        </is>
      </c>
      <c r="E320" s="9" t="inlineStr">
        <is>
          <t>Seetha Amman Kovil (Ashok Vatika), Hakgala garden</t>
        </is>
      </c>
      <c r="F320" s="9" t="inlineStr">
        <is>
          <t>Temple</t>
        </is>
      </c>
      <c r="G320" s="19" t="inlineStr">
        <is>
          <t>Yes</t>
        </is>
      </c>
      <c r="H320" s="9">
        <f>IF(COUNTIF('Country Summary'!$B$5:$B$200,B320)&gt;0,"Yes","")</f>
        <v/>
      </c>
      <c r="I320" s="9" t="inlineStr"/>
    </row>
    <row r="321">
      <c r="A321" s="9" t="n">
        <v>317</v>
      </c>
      <c r="B321" s="9" t="inlineStr">
        <is>
          <t>Sri Lanka</t>
        </is>
      </c>
      <c r="C321" s="9" t="inlineStr">
        <is>
          <t>Central</t>
        </is>
      </c>
      <c r="D321" s="9" t="inlineStr">
        <is>
          <t>Kandy</t>
        </is>
      </c>
      <c r="E321" s="9" t="inlineStr">
        <is>
          <t>Temple of the Tooth - UNESCO; Kataragama devale</t>
        </is>
      </c>
      <c r="F321" s="9" t="inlineStr">
        <is>
          <t>UNESCO</t>
        </is>
      </c>
      <c r="G321" s="19" t="inlineStr">
        <is>
          <t>Yes</t>
        </is>
      </c>
      <c r="H321" s="9">
        <f>IF(COUNTIF('Country Summary'!$B$5:$B$200,B321)&gt;0,"Yes","")</f>
        <v/>
      </c>
      <c r="I321" s="9" t="inlineStr"/>
    </row>
    <row r="322">
      <c r="A322" s="9" t="n">
        <v>318</v>
      </c>
      <c r="B322" s="9" t="inlineStr">
        <is>
          <t>Sri Lanka</t>
        </is>
      </c>
      <c r="C322" s="9" t="inlineStr">
        <is>
          <t>Central</t>
        </is>
      </c>
      <c r="D322" s="9" t="inlineStr">
        <is>
          <t>Dambulla / Sigiriya</t>
        </is>
      </c>
      <c r="E322" s="9" t="inlineStr">
        <is>
          <t>Golden Cave Temple - UNESCO; Sigiriya rock - UNESCO (Ravana link)</t>
        </is>
      </c>
      <c r="F322" s="9" t="inlineStr">
        <is>
          <t>UNESCO</t>
        </is>
      </c>
      <c r="G322" s="19" t="inlineStr">
        <is>
          <t>Yes</t>
        </is>
      </c>
      <c r="H322" s="9">
        <f>IF(COUNTIF('Country Summary'!$B$5:$B$200,B322)&gt;0,"Yes","")</f>
        <v/>
      </c>
      <c r="I322" s="9" t="inlineStr"/>
    </row>
    <row r="323">
      <c r="A323" s="9" t="n">
        <v>319</v>
      </c>
      <c r="B323" s="9" t="inlineStr">
        <is>
          <t>Sri Lanka</t>
        </is>
      </c>
      <c r="C323" s="9" t="inlineStr">
        <is>
          <t>Central</t>
        </is>
      </c>
      <c r="D323" s="9" t="inlineStr">
        <is>
          <t>Ella</t>
        </is>
      </c>
      <c r="E323" s="9" t="inlineStr">
        <is>
          <t>Ravana Falls &amp; Ravana cave, Nine Arch Bridge</t>
        </is>
      </c>
      <c r="F323" s="9" t="inlineStr">
        <is>
          <t>Nature</t>
        </is>
      </c>
      <c r="G323" s="19" t="inlineStr">
        <is>
          <t>Yes</t>
        </is>
      </c>
      <c r="H323" s="9">
        <f>IF(COUNTIF('Country Summary'!$B$5:$B$200,B323)&gt;0,"Yes","")</f>
        <v/>
      </c>
      <c r="I323" s="9" t="inlineStr"/>
    </row>
    <row r="324">
      <c r="A324" s="9" t="n">
        <v>320</v>
      </c>
      <c r="B324" s="9" t="inlineStr">
        <is>
          <t>Sri Lanka</t>
        </is>
      </c>
      <c r="C324" s="9" t="inlineStr">
        <is>
          <t>Uva / Southern</t>
        </is>
      </c>
      <c r="D324" s="9" t="inlineStr">
        <is>
          <t>Kataragama</t>
        </is>
      </c>
      <c r="E324" s="9" t="inlineStr">
        <is>
          <t>Kataragama (Murugan) shrine</t>
        </is>
      </c>
      <c r="F324" s="9" t="inlineStr">
        <is>
          <t>Temple</t>
        </is>
      </c>
      <c r="G324" s="19" t="inlineStr">
        <is>
          <t>Yes</t>
        </is>
      </c>
      <c r="H324" s="9">
        <f>IF(COUNTIF('Country Summary'!$B$5:$B$200,B324)&gt;0,"Yes","")</f>
        <v/>
      </c>
      <c r="I324" s="9" t="inlineStr"/>
    </row>
    <row r="325">
      <c r="A325" s="9" t="n">
        <v>321</v>
      </c>
      <c r="B325" s="9" t="inlineStr">
        <is>
          <t>Sri Lanka</t>
        </is>
      </c>
      <c r="C325" s="9" t="inlineStr">
        <is>
          <t>Northern</t>
        </is>
      </c>
      <c r="D325" s="9" t="inlineStr">
        <is>
          <t>Jaffna</t>
        </is>
      </c>
      <c r="E325" s="9" t="inlineStr">
        <is>
          <t>Nallur Kandaswamy Kovil, Nagadeepa</t>
        </is>
      </c>
      <c r="F325" s="9" t="inlineStr">
        <is>
          <t>Temple</t>
        </is>
      </c>
      <c r="G325" s="19" t="inlineStr">
        <is>
          <t>Yes</t>
        </is>
      </c>
      <c r="H325" s="9">
        <f>IF(COUNTIF('Country Summary'!$B$5:$B$200,B325)&gt;0,"Yes","")</f>
        <v/>
      </c>
      <c r="I325" s="9" t="inlineStr"/>
    </row>
    <row r="326">
      <c r="A326" s="9" t="n">
        <v>322</v>
      </c>
      <c r="B326" s="9" t="inlineStr">
        <is>
          <t>Sri Lanka</t>
        </is>
      </c>
      <c r="C326" s="9" t="inlineStr">
        <is>
          <t>Northern</t>
        </is>
      </c>
      <c r="D326" s="9" t="inlineStr">
        <is>
          <t>Jaffna / Mannar</t>
        </is>
      </c>
      <c r="E326" s="9" t="inlineStr">
        <is>
          <t>Nilavarai well, Keerimalai, Naguleswaram, Thiruketheeswaram, Rama Setu view</t>
        </is>
      </c>
      <c r="F326" s="9" t="inlineStr">
        <is>
          <t>Temple</t>
        </is>
      </c>
      <c r="G326" s="19" t="inlineStr">
        <is>
          <t>Yes</t>
        </is>
      </c>
      <c r="H326" s="9">
        <f>IF(COUNTIF('Country Summary'!$B$5:$B$200,B326)&gt;0,"Yes","")</f>
        <v/>
      </c>
      <c r="I326" s="9" t="inlineStr"/>
    </row>
    <row r="327">
      <c r="A327" s="9" t="n">
        <v>323</v>
      </c>
      <c r="B327" s="9" t="inlineStr">
        <is>
          <t>Sri Lanka</t>
        </is>
      </c>
      <c r="C327" s="9" t="inlineStr">
        <is>
          <t>Central</t>
        </is>
      </c>
      <c r="D327" s="9" t="inlineStr">
        <is>
          <t>Ramboda</t>
        </is>
      </c>
      <c r="E327" s="9" t="inlineStr">
        <is>
          <t>Ramboda Hanuman temple &amp; falls</t>
        </is>
      </c>
      <c r="F327" s="9" t="inlineStr">
        <is>
          <t>Temple</t>
        </is>
      </c>
      <c r="G327" s="19" t="inlineStr">
        <is>
          <t>Yes</t>
        </is>
      </c>
      <c r="H327" s="9">
        <f>IF(COUNTIF('Country Summary'!$B$5:$B$200,B327)&gt;0,"Yes","")</f>
        <v/>
      </c>
      <c r="I327" s="9" t="inlineStr"/>
    </row>
    <row r="328">
      <c r="A328" s="9" t="n">
        <v>324</v>
      </c>
      <c r="B328" s="9" t="inlineStr">
        <is>
          <t>Sri Lanka</t>
        </is>
      </c>
      <c r="C328" s="9" t="inlineStr">
        <is>
          <t>Eastern</t>
        </is>
      </c>
      <c r="D328" s="9" t="inlineStr">
        <is>
          <t>Trincomalee</t>
        </is>
      </c>
      <c r="E328" s="9" t="inlineStr">
        <is>
          <t>Koneswaram (Thirukoneswaram) &amp; Shankari Devi; Kanniya hot wells</t>
        </is>
      </c>
      <c r="F328" s="9" t="inlineStr">
        <is>
          <t>Temple</t>
        </is>
      </c>
      <c r="G328" s="19" t="inlineStr">
        <is>
          <t>Yes</t>
        </is>
      </c>
      <c r="H328" s="9">
        <f>IF(COUNTIF('Country Summary'!$B$5:$B$200,B328)&gt;0,"Yes","")</f>
        <v/>
      </c>
      <c r="I328" s="9" t="inlineStr"/>
    </row>
    <row r="329">
      <c r="A329" s="9" t="n">
        <v>325</v>
      </c>
      <c r="B329" s="9" t="inlineStr">
        <is>
          <t>Sri Lanka</t>
        </is>
      </c>
      <c r="C329" s="9" t="inlineStr">
        <is>
          <t>North Western</t>
        </is>
      </c>
      <c r="D329" s="9" t="inlineStr">
        <is>
          <t>Chilaw</t>
        </is>
      </c>
      <c r="E329" s="9" t="inlineStr">
        <is>
          <t>Munneswaram &amp; Manavari (first Shiva linga by Rama)</t>
        </is>
      </c>
      <c r="F329" s="9" t="inlineStr">
        <is>
          <t>Temple</t>
        </is>
      </c>
      <c r="G329" s="19" t="inlineStr">
        <is>
          <t>Yes</t>
        </is>
      </c>
      <c r="H329" s="9">
        <f>IF(COUNTIF('Country Summary'!$B$5:$B$200,B329)&gt;0,"Yes","")</f>
        <v/>
      </c>
      <c r="I329" s="9" t="inlineStr"/>
    </row>
    <row r="330">
      <c r="A330" s="9" t="n">
        <v>326</v>
      </c>
      <c r="B330" s="9" t="inlineStr">
        <is>
          <t>Sri Lanka</t>
        </is>
      </c>
      <c r="C330" s="9" t="inlineStr">
        <is>
          <t>Western</t>
        </is>
      </c>
      <c r="D330" s="9" t="inlineStr">
        <is>
          <t>Rumassala / Unawatuna</t>
        </is>
      </c>
      <c r="E330" s="9" t="inlineStr">
        <is>
          <t>Rumassala (Sanjeevani hill), Galle Fort - UNESCO</t>
        </is>
      </c>
      <c r="F330" s="9" t="inlineStr">
        <is>
          <t>UNESCO</t>
        </is>
      </c>
      <c r="G330" s="19" t="inlineStr">
        <is>
          <t>Yes</t>
        </is>
      </c>
      <c r="H330" s="9">
        <f>IF(COUNTIF('Country Summary'!$B$5:$B$200,B330)&gt;0,"Yes","")</f>
        <v/>
      </c>
      <c r="I330" s="9" t="inlineStr"/>
    </row>
    <row r="331">
      <c r="A331" s="9" t="n">
        <v>327</v>
      </c>
      <c r="B331" s="9" t="inlineStr">
        <is>
          <t>Sri Lanka</t>
        </is>
      </c>
      <c r="C331" s="9" t="inlineStr">
        <is>
          <t>Anuradhapura</t>
        </is>
      </c>
      <c r="D331" s="9" t="inlineStr">
        <is>
          <t>Anuradhapura / Polonnaruwa</t>
        </is>
      </c>
      <c r="E331" s="9" t="inlineStr">
        <is>
          <t>Sacred city - UNESCO; Jaya Sri Maha Bodhi</t>
        </is>
      </c>
      <c r="F331" s="9" t="inlineStr">
        <is>
          <t>UNESCO</t>
        </is>
      </c>
      <c r="G331" s="19" t="inlineStr"/>
      <c r="H331" s="9">
        <f>IF(COUNTIF('Country Summary'!$B$5:$B$200,B331)&gt;0,"Yes","")</f>
        <v/>
      </c>
      <c r="I331" s="9" t="inlineStr"/>
    </row>
    <row r="332">
      <c r="A332" s="9" t="n">
        <v>328</v>
      </c>
      <c r="B332" s="9" t="inlineStr">
        <is>
          <t>Sri Lanka</t>
        </is>
      </c>
      <c r="C332" s="9" t="inlineStr">
        <is>
          <t>Southern</t>
        </is>
      </c>
      <c r="D332" s="9" t="inlineStr">
        <is>
          <t>Ussangoda / Dondra</t>
        </is>
      </c>
      <c r="E332" s="9" t="inlineStr">
        <is>
          <t>Ussangoda (Hanuman burnt land), Dondra Vishnu devale</t>
        </is>
      </c>
      <c r="F332" s="9" t="inlineStr">
        <is>
          <t>Temple</t>
        </is>
      </c>
      <c r="G332" s="19" t="inlineStr">
        <is>
          <t>Yes</t>
        </is>
      </c>
      <c r="H332" s="9">
        <f>IF(COUNTIF('Country Summary'!$B$5:$B$200,B332)&gt;0,"Yes","")</f>
        <v/>
      </c>
      <c r="I332" s="9" t="inlineStr"/>
    </row>
    <row r="333">
      <c r="A333" s="9" t="n">
        <v>329</v>
      </c>
      <c r="B333" s="9" t="inlineStr">
        <is>
          <t>Cambodia</t>
        </is>
      </c>
      <c r="C333" s="9" t="inlineStr">
        <is>
          <t>Siem Reap</t>
        </is>
      </c>
      <c r="D333" s="9" t="inlineStr">
        <is>
          <t>Siem Reap</t>
        </is>
      </c>
      <c r="E333" s="9" t="inlineStr">
        <is>
          <t>Angkor Wat (Vishnu temple) - UNESCO</t>
        </is>
      </c>
      <c r="F333" s="9" t="inlineStr">
        <is>
          <t>UNESCO</t>
        </is>
      </c>
      <c r="G333" s="19" t="inlineStr">
        <is>
          <t>Likely</t>
        </is>
      </c>
      <c r="H333" s="9">
        <f>IF(COUNTIF('Country Summary'!$B$5:$B$200,B333)&gt;0,"Yes","")</f>
        <v/>
      </c>
      <c r="I333" s="9" t="inlineStr"/>
    </row>
    <row r="334">
      <c r="A334" s="9" t="n">
        <v>330</v>
      </c>
      <c r="B334" s="9" t="inlineStr">
        <is>
          <t>Cambodia</t>
        </is>
      </c>
      <c r="C334" s="9" t="inlineStr">
        <is>
          <t>Siem Reap</t>
        </is>
      </c>
      <c r="D334" s="9" t="inlineStr">
        <is>
          <t>Siem Reap</t>
        </is>
      </c>
      <c r="E334" s="9" t="inlineStr">
        <is>
          <t>Angkor Thom - Bayon, Ta Prohm, Banteay Srei</t>
        </is>
      </c>
      <c r="F334" s="9" t="inlineStr">
        <is>
          <t>UNESCO</t>
        </is>
      </c>
      <c r="G334" s="19" t="inlineStr">
        <is>
          <t>Likely</t>
        </is>
      </c>
      <c r="H334" s="9">
        <f>IF(COUNTIF('Country Summary'!$B$5:$B$200,B334)&gt;0,"Yes","")</f>
        <v/>
      </c>
      <c r="I334" s="9" t="inlineStr"/>
    </row>
    <row r="335">
      <c r="A335" s="9" t="n">
        <v>331</v>
      </c>
      <c r="B335" s="9" t="inlineStr">
        <is>
          <t>Cambodia</t>
        </is>
      </c>
      <c r="C335" s="9" t="inlineStr">
        <is>
          <t>Siem Reap</t>
        </is>
      </c>
      <c r="D335" s="9" t="inlineStr">
        <is>
          <t>Tonle Sap</t>
        </is>
      </c>
      <c r="E335" s="9" t="inlineStr">
        <is>
          <t>Floating villages</t>
        </is>
      </c>
      <c r="F335" s="9" t="inlineStr">
        <is>
          <t>Nature</t>
        </is>
      </c>
      <c r="G335" s="19" t="inlineStr"/>
      <c r="H335" s="9">
        <f>IF(COUNTIF('Country Summary'!$B$5:$B$200,B335)&gt;0,"Yes","")</f>
        <v/>
      </c>
      <c r="I335" s="9" t="inlineStr"/>
    </row>
    <row r="336">
      <c r="A336" s="9" t="n">
        <v>332</v>
      </c>
      <c r="B336" s="9" t="inlineStr">
        <is>
          <t>Cambodia</t>
        </is>
      </c>
      <c r="C336" s="9" t="inlineStr">
        <is>
          <t>Phnom Penh</t>
        </is>
      </c>
      <c r="D336" s="9" t="inlineStr">
        <is>
          <t>Phnom Penh</t>
        </is>
      </c>
      <c r="E336" s="9" t="inlineStr">
        <is>
          <t>Royal Palace, Silver Pagoda, National Museum</t>
        </is>
      </c>
      <c r="F336" s="9" t="inlineStr">
        <is>
          <t>Monument</t>
        </is>
      </c>
      <c r="G336" s="19" t="inlineStr"/>
      <c r="H336" s="9">
        <f>IF(COUNTIF('Country Summary'!$B$5:$B$200,B336)&gt;0,"Yes","")</f>
        <v/>
      </c>
      <c r="I336" s="9" t="inlineStr"/>
    </row>
    <row r="337">
      <c r="A337" s="9" t="n">
        <v>333</v>
      </c>
      <c r="B337" s="9" t="inlineStr">
        <is>
          <t>Cambodia</t>
        </is>
      </c>
      <c r="C337" s="9" t="inlineStr">
        <is>
          <t>Preah Vihear</t>
        </is>
      </c>
      <c r="D337" s="9" t="inlineStr">
        <is>
          <t>Preah Vihear</t>
        </is>
      </c>
      <c r="E337" s="9" t="inlineStr">
        <is>
          <t>Preah Vihear (Shiva temple) - UNESCO</t>
        </is>
      </c>
      <c r="F337" s="9" t="inlineStr">
        <is>
          <t>UNESCO</t>
        </is>
      </c>
      <c r="G337" s="19" t="inlineStr"/>
      <c r="H337" s="9">
        <f>IF(COUNTIF('Country Summary'!$B$5:$B$200,B337)&gt;0,"Yes","")</f>
        <v/>
      </c>
      <c r="I337" s="9" t="inlineStr"/>
    </row>
    <row r="338">
      <c r="A338" s="9" t="n">
        <v>334</v>
      </c>
      <c r="B338" s="9" t="inlineStr">
        <is>
          <t>Cambodia</t>
        </is>
      </c>
      <c r="C338" s="9" t="inlineStr">
        <is>
          <t>Kampong Thom</t>
        </is>
      </c>
      <c r="D338" s="9" t="inlineStr">
        <is>
          <t>Sambor Prei Kuk</t>
        </is>
      </c>
      <c r="E338" s="9" t="inlineStr">
        <is>
          <t>Pre-Angkor temples - UNESCO</t>
        </is>
      </c>
      <c r="F338" s="9" t="inlineStr">
        <is>
          <t>UNESCO</t>
        </is>
      </c>
      <c r="G338" s="19" t="inlineStr"/>
      <c r="H338" s="9">
        <f>IF(COUNTIF('Country Summary'!$B$5:$B$200,B338)&gt;0,"Yes","")</f>
        <v/>
      </c>
      <c r="I338" s="9" t="inlineStr"/>
    </row>
    <row r="339">
      <c r="A339" s="9" t="n">
        <v>335</v>
      </c>
      <c r="B339" s="9" t="inlineStr">
        <is>
          <t>Thailand</t>
        </is>
      </c>
      <c r="C339" s="9" t="inlineStr">
        <is>
          <t>Bangkok</t>
        </is>
      </c>
      <c r="D339" s="9" t="inlineStr">
        <is>
          <t>Bangkok</t>
        </is>
      </c>
      <c r="E339" s="9" t="inlineStr">
        <is>
          <t>Grand Palace &amp; Wat Phra Kaew (Emerald Buddha; Ramakien murals)</t>
        </is>
      </c>
      <c r="F339" s="9" t="inlineStr">
        <is>
          <t>Monument</t>
        </is>
      </c>
      <c r="G339" s="19" t="inlineStr"/>
      <c r="H339" s="9">
        <f>IF(COUNTIF('Country Summary'!$B$5:$B$200,B339)&gt;0,"Yes","")</f>
        <v/>
      </c>
      <c r="I339" s="9" t="inlineStr"/>
    </row>
    <row r="340">
      <c r="A340" s="9" t="n">
        <v>336</v>
      </c>
      <c r="B340" s="9" t="inlineStr">
        <is>
          <t>Thailand</t>
        </is>
      </c>
      <c r="C340" s="9" t="inlineStr">
        <is>
          <t>Bangkok</t>
        </is>
      </c>
      <c r="D340" s="9" t="inlineStr">
        <is>
          <t>Bangkok</t>
        </is>
      </c>
      <c r="E340" s="9" t="inlineStr">
        <is>
          <t>Wat Arun, Wat Pho (Reclining Buddha), Chao Phraya cruise</t>
        </is>
      </c>
      <c r="F340" s="9" t="inlineStr">
        <is>
          <t>Monument</t>
        </is>
      </c>
      <c r="G340" s="19" t="inlineStr"/>
      <c r="H340" s="9">
        <f>IF(COUNTIF('Country Summary'!$B$5:$B$200,B340)&gt;0,"Yes","")</f>
        <v/>
      </c>
      <c r="I340" s="9" t="inlineStr"/>
    </row>
    <row r="341">
      <c r="A341" s="9" t="n">
        <v>337</v>
      </c>
      <c r="B341" s="9" t="inlineStr">
        <is>
          <t>Thailand</t>
        </is>
      </c>
      <c r="C341" s="9" t="inlineStr">
        <is>
          <t>Bangkok</t>
        </is>
      </c>
      <c r="D341" s="9" t="inlineStr">
        <is>
          <t>Bangkok</t>
        </is>
      </c>
      <c r="E341" s="9" t="inlineStr">
        <is>
          <t>ISKCON Bangkok; Erawan (Brahma) shrine; Trimurti shrine; Sri Maha Mariamman</t>
        </is>
      </c>
      <c r="F341" s="9" t="inlineStr">
        <is>
          <t>Temple</t>
        </is>
      </c>
      <c r="G341" s="19" t="inlineStr"/>
      <c r="H341" s="9">
        <f>IF(COUNTIF('Country Summary'!$B$5:$B$200,B341)&gt;0,"Yes","")</f>
        <v/>
      </c>
      <c r="I341" s="9" t="inlineStr"/>
    </row>
    <row r="342">
      <c r="A342" s="9" t="n">
        <v>338</v>
      </c>
      <c r="B342" s="9" t="inlineStr">
        <is>
          <t>Thailand</t>
        </is>
      </c>
      <c r="C342" s="9" t="inlineStr">
        <is>
          <t>Bangkok</t>
        </is>
      </c>
      <c r="D342" s="9" t="inlineStr">
        <is>
          <t>Bangkok</t>
        </is>
      </c>
      <c r="E342" s="9" t="inlineStr">
        <is>
          <t>Chatuchak market, Asiatique, Icon Siam</t>
        </is>
      </c>
      <c r="F342" s="9" t="inlineStr">
        <is>
          <t>Modern</t>
        </is>
      </c>
      <c r="G342" s="19" t="inlineStr"/>
      <c r="H342" s="9">
        <f>IF(COUNTIF('Country Summary'!$B$5:$B$200,B342)&gt;0,"Yes","")</f>
        <v/>
      </c>
      <c r="I342" s="9" t="inlineStr"/>
    </row>
    <row r="343">
      <c r="A343" s="9" t="n">
        <v>339</v>
      </c>
      <c r="B343" s="9" t="inlineStr">
        <is>
          <t>Thailand</t>
        </is>
      </c>
      <c r="C343" s="9" t="inlineStr">
        <is>
          <t>Ayutthaya</t>
        </is>
      </c>
      <c r="D343" s="9" t="inlineStr">
        <is>
          <t>Ayutthaya</t>
        </is>
      </c>
      <c r="E343" s="9" t="inlineStr">
        <is>
          <t>Ayutthaya historical park - UNESCO</t>
        </is>
      </c>
      <c r="F343" s="9" t="inlineStr">
        <is>
          <t>UNESCO</t>
        </is>
      </c>
      <c r="G343" s="19" t="inlineStr"/>
      <c r="H343" s="9">
        <f>IF(COUNTIF('Country Summary'!$B$5:$B$200,B343)&gt;0,"Yes","")</f>
        <v/>
      </c>
      <c r="I343" s="9" t="inlineStr"/>
    </row>
    <row r="344">
      <c r="A344" s="9" t="n">
        <v>340</v>
      </c>
      <c r="B344" s="9" t="inlineStr">
        <is>
          <t>Thailand</t>
        </is>
      </c>
      <c r="C344" s="9" t="inlineStr">
        <is>
          <t>Sukhothai</t>
        </is>
      </c>
      <c r="D344" s="9" t="inlineStr">
        <is>
          <t>Sukhothai</t>
        </is>
      </c>
      <c r="E344" s="9" t="inlineStr">
        <is>
          <t>Sukhothai - UNESCO</t>
        </is>
      </c>
      <c r="F344" s="9" t="inlineStr">
        <is>
          <t>UNESCO</t>
        </is>
      </c>
      <c r="G344" s="19" t="inlineStr"/>
      <c r="H344" s="9">
        <f>IF(COUNTIF('Country Summary'!$B$5:$B$200,B344)&gt;0,"Yes","")</f>
        <v/>
      </c>
      <c r="I344" s="9" t="inlineStr"/>
    </row>
    <row r="345">
      <c r="A345" s="9" t="n">
        <v>341</v>
      </c>
      <c r="B345" s="9" t="inlineStr">
        <is>
          <t>Thailand</t>
        </is>
      </c>
      <c r="C345" s="9" t="inlineStr">
        <is>
          <t>Chiang Mai</t>
        </is>
      </c>
      <c r="D345" s="9" t="inlineStr">
        <is>
          <t>Chiang Mai</t>
        </is>
      </c>
      <c r="E345" s="9" t="inlineStr">
        <is>
          <t>Doi Suthep, Old City temples; Yi Peng lanterns (Nov)</t>
        </is>
      </c>
      <c r="F345" s="9" t="inlineStr">
        <is>
          <t>Temple</t>
        </is>
      </c>
      <c r="G345" s="19" t="inlineStr"/>
      <c r="H345" s="9">
        <f>IF(COUNTIF('Country Summary'!$B$5:$B$200,B345)&gt;0,"Yes","")</f>
        <v/>
      </c>
      <c r="I345" s="9" t="inlineStr"/>
    </row>
    <row r="346">
      <c r="A346" s="9" t="n">
        <v>342</v>
      </c>
      <c r="B346" s="9" t="inlineStr">
        <is>
          <t>Thailand</t>
        </is>
      </c>
      <c r="C346" s="9" t="inlineStr">
        <is>
          <t>Chonburi</t>
        </is>
      </c>
      <c r="D346" s="9" t="inlineStr">
        <is>
          <t>Pattaya</t>
        </is>
      </c>
      <c r="E346" s="9" t="inlineStr">
        <is>
          <t>Sanctuary of Truth, Nong Nooch</t>
        </is>
      </c>
      <c r="F346" s="9" t="inlineStr">
        <is>
          <t>Modern</t>
        </is>
      </c>
      <c r="G346" s="19" t="inlineStr"/>
      <c r="H346" s="9">
        <f>IF(COUNTIF('Country Summary'!$B$5:$B$200,B346)&gt;0,"Yes","")</f>
        <v/>
      </c>
      <c r="I346" s="9" t="inlineStr"/>
    </row>
    <row r="347">
      <c r="A347" s="9" t="n">
        <v>343</v>
      </c>
      <c r="B347" s="9" t="inlineStr">
        <is>
          <t>Thailand</t>
        </is>
      </c>
      <c r="C347" s="9" t="inlineStr">
        <is>
          <t>Phuket / Krabi</t>
        </is>
      </c>
      <c r="D347" s="9" t="inlineStr">
        <is>
          <t>Phuket</t>
        </is>
      </c>
      <c r="E347" s="9" t="inlineStr">
        <is>
          <t>Big Buddha, Phi Phi islands</t>
        </is>
      </c>
      <c r="F347" s="9" t="inlineStr">
        <is>
          <t>Nature</t>
        </is>
      </c>
      <c r="G347" s="19" t="inlineStr"/>
      <c r="H347" s="9">
        <f>IF(COUNTIF('Country Summary'!$B$5:$B$200,B347)&gt;0,"Yes","")</f>
        <v/>
      </c>
      <c r="I347" s="9" t="inlineStr"/>
    </row>
    <row r="348">
      <c r="A348" s="9" t="n">
        <v>344</v>
      </c>
      <c r="B348" s="9" t="inlineStr">
        <is>
          <t>Thailand</t>
        </is>
      </c>
      <c r="C348" s="9" t="inlineStr">
        <is>
          <t>Nakhon Ratchasima / Buriram</t>
        </is>
      </c>
      <c r="D348" s="9" t="inlineStr">
        <is>
          <t>Phimai / Phanom Rung</t>
        </is>
      </c>
      <c r="E348" s="9" t="inlineStr">
        <is>
          <t>Khmer Hindu temples (Vishnu, Shiva)</t>
        </is>
      </c>
      <c r="F348" s="9" t="inlineStr">
        <is>
          <t>Temple</t>
        </is>
      </c>
      <c r="G348" s="19" t="inlineStr"/>
      <c r="H348" s="9">
        <f>IF(COUNTIF('Country Summary'!$B$5:$B$200,B348)&gt;0,"Yes","")</f>
        <v/>
      </c>
      <c r="I348" s="9" t="inlineStr"/>
    </row>
    <row r="349">
      <c r="A349" s="9" t="n">
        <v>345</v>
      </c>
      <c r="B349" s="9" t="inlineStr">
        <is>
          <t>Nepal</t>
        </is>
      </c>
      <c r="C349" s="9" t="inlineStr">
        <is>
          <t>Bagmati</t>
        </is>
      </c>
      <c r="D349" s="9" t="inlineStr">
        <is>
          <t>Kathmandu</t>
        </is>
      </c>
      <c r="E349" s="9" t="inlineStr">
        <is>
          <t>Pashupatinath - UNESCO</t>
        </is>
      </c>
      <c r="F349" s="9" t="inlineStr">
        <is>
          <t>Temple</t>
        </is>
      </c>
      <c r="G349" s="19" t="inlineStr">
        <is>
          <t>Yes</t>
        </is>
      </c>
      <c r="H349" s="9">
        <f>IF(COUNTIF('Country Summary'!$B$5:$B$200,B349)&gt;0,"Yes","")</f>
        <v/>
      </c>
      <c r="I349" s="9" t="inlineStr"/>
    </row>
    <row r="350">
      <c r="A350" s="9" t="n">
        <v>346</v>
      </c>
      <c r="B350" s="9" t="inlineStr">
        <is>
          <t>Nepal</t>
        </is>
      </c>
      <c r="C350" s="9" t="inlineStr">
        <is>
          <t>Bagmati</t>
        </is>
      </c>
      <c r="D350" s="9" t="inlineStr">
        <is>
          <t>Kathmandu</t>
        </is>
      </c>
      <c r="E350" s="9" t="inlineStr">
        <is>
          <t>Budhanilkantha (sleeping Vishnu), Swayambhunath, Boudhanath - UNESCO</t>
        </is>
      </c>
      <c r="F350" s="9" t="inlineStr">
        <is>
          <t>Temple</t>
        </is>
      </c>
      <c r="G350" s="19" t="inlineStr">
        <is>
          <t>Yes</t>
        </is>
      </c>
      <c r="H350" s="9">
        <f>IF(COUNTIF('Country Summary'!$B$5:$B$200,B350)&gt;0,"Yes","")</f>
        <v/>
      </c>
      <c r="I350" s="9" t="inlineStr"/>
    </row>
    <row r="351">
      <c r="A351" s="9" t="n">
        <v>347</v>
      </c>
      <c r="B351" s="9" t="inlineStr">
        <is>
          <t>Nepal</t>
        </is>
      </c>
      <c r="C351" s="9" t="inlineStr">
        <is>
          <t>Bagmati</t>
        </is>
      </c>
      <c r="D351" s="9" t="inlineStr">
        <is>
          <t>Patan / Bhaktapur</t>
        </is>
      </c>
      <c r="E351" s="9" t="inlineStr">
        <is>
          <t>Krishna Mandir, Durbar Squares - UNESCO</t>
        </is>
      </c>
      <c r="F351" s="9" t="inlineStr">
        <is>
          <t>UNESCO</t>
        </is>
      </c>
      <c r="G351" s="19" t="inlineStr">
        <is>
          <t>Yes</t>
        </is>
      </c>
      <c r="H351" s="9">
        <f>IF(COUNTIF('Country Summary'!$B$5:$B$200,B351)&gt;0,"Yes","")</f>
        <v/>
      </c>
      <c r="I351" s="9" t="inlineStr"/>
    </row>
    <row r="352">
      <c r="A352" s="9" t="n">
        <v>348</v>
      </c>
      <c r="B352" s="9" t="inlineStr">
        <is>
          <t>Nepal</t>
        </is>
      </c>
      <c r="C352" s="9" t="inlineStr">
        <is>
          <t>Bagmati</t>
        </is>
      </c>
      <c r="D352" s="9" t="inlineStr">
        <is>
          <t>Kathmandu</t>
        </is>
      </c>
      <c r="E352" s="9" t="inlineStr">
        <is>
          <t>ISKCON Kathmandu (Budhanilkantha)</t>
        </is>
      </c>
      <c r="F352" s="9" t="inlineStr">
        <is>
          <t>ISKCON</t>
        </is>
      </c>
      <c r="G352" s="19" t="inlineStr">
        <is>
          <t>Yes</t>
        </is>
      </c>
      <c r="H352" s="9">
        <f>IF(COUNTIF('Country Summary'!$B$5:$B$200,B352)&gt;0,"Yes","")</f>
        <v/>
      </c>
      <c r="I352" s="9" t="inlineStr"/>
    </row>
    <row r="353">
      <c r="A353" s="9" t="n">
        <v>349</v>
      </c>
      <c r="B353" s="9" t="inlineStr">
        <is>
          <t>Nepal</t>
        </is>
      </c>
      <c r="C353" s="9" t="inlineStr">
        <is>
          <t>Bagmati</t>
        </is>
      </c>
      <c r="D353" s="9" t="inlineStr">
        <is>
          <t>Bhaktapur</t>
        </is>
      </c>
      <c r="E353" s="9" t="inlineStr">
        <is>
          <t>Changu Narayan (oldest Vishnu temple) - UNESCO</t>
        </is>
      </c>
      <c r="F353" s="9" t="inlineStr">
        <is>
          <t>Temple</t>
        </is>
      </c>
      <c r="G353" s="19" t="inlineStr">
        <is>
          <t>Yes</t>
        </is>
      </c>
      <c r="H353" s="9">
        <f>IF(COUNTIF('Country Summary'!$B$5:$B$200,B353)&gt;0,"Yes","")</f>
        <v/>
      </c>
      <c r="I353" s="9" t="inlineStr"/>
    </row>
    <row r="354">
      <c r="A354" s="9" t="n">
        <v>350</v>
      </c>
      <c r="B354" s="9" t="inlineStr">
        <is>
          <t>Nepal</t>
        </is>
      </c>
      <c r="C354" s="9" t="inlineStr">
        <is>
          <t>Bagmati</t>
        </is>
      </c>
      <c r="D354" s="9" t="inlineStr">
        <is>
          <t>Kathmandu</t>
        </is>
      </c>
      <c r="E354" s="9" t="inlineStr">
        <is>
          <t>Guhyeshwari Shakti peetha</t>
        </is>
      </c>
      <c r="F354" s="9" t="inlineStr">
        <is>
          <t>Temple</t>
        </is>
      </c>
      <c r="G354" s="19" t="inlineStr">
        <is>
          <t>Yes</t>
        </is>
      </c>
      <c r="H354" s="9">
        <f>IF(COUNTIF('Country Summary'!$B$5:$B$200,B354)&gt;0,"Yes","")</f>
        <v/>
      </c>
      <c r="I354" s="9" t="inlineStr"/>
    </row>
    <row r="355">
      <c r="A355" s="9" t="n">
        <v>351</v>
      </c>
      <c r="B355" s="9" t="inlineStr">
        <is>
          <t>Nepal</t>
        </is>
      </c>
      <c r="C355" s="9" t="inlineStr">
        <is>
          <t>Gandaki</t>
        </is>
      </c>
      <c r="D355" s="9" t="inlineStr">
        <is>
          <t>Pokhara</t>
        </is>
      </c>
      <c r="E355" s="9" t="inlineStr">
        <is>
          <t>Bindhyabasini, Tal Barahi, Devi's Fall</t>
        </is>
      </c>
      <c r="F355" s="9" t="inlineStr">
        <is>
          <t>Temple</t>
        </is>
      </c>
      <c r="G355" s="19" t="inlineStr">
        <is>
          <t>Yes</t>
        </is>
      </c>
      <c r="H355" s="9">
        <f>IF(COUNTIF('Country Summary'!$B$5:$B$200,B355)&gt;0,"Yes","")</f>
        <v/>
      </c>
      <c r="I355" s="9" t="inlineStr"/>
    </row>
    <row r="356">
      <c r="A356" s="9" t="n">
        <v>352</v>
      </c>
      <c r="B356" s="9" t="inlineStr">
        <is>
          <t>Nepal</t>
        </is>
      </c>
      <c r="C356" s="9" t="inlineStr">
        <is>
          <t>Gandaki</t>
        </is>
      </c>
      <c r="D356" s="9" t="inlineStr">
        <is>
          <t>Mustang</t>
        </is>
      </c>
      <c r="E356" s="9" t="inlineStr">
        <is>
          <t>Muktinath (108 water spouts, Shaligram)</t>
        </is>
      </c>
      <c r="F356" s="9" t="inlineStr">
        <is>
          <t>Temple</t>
        </is>
      </c>
      <c r="G356" s="19" t="inlineStr">
        <is>
          <t>Yes</t>
        </is>
      </c>
      <c r="H356" s="9">
        <f>IF(COUNTIF('Country Summary'!$B$5:$B$200,B356)&gt;0,"Yes","")</f>
        <v/>
      </c>
      <c r="I356" s="9" t="inlineStr"/>
    </row>
    <row r="357">
      <c r="A357" s="9" t="n">
        <v>353</v>
      </c>
      <c r="B357" s="9" t="inlineStr">
        <is>
          <t>Nepal</t>
        </is>
      </c>
      <c r="C357" s="9" t="inlineStr">
        <is>
          <t>Gandaki</t>
        </is>
      </c>
      <c r="D357" s="9" t="inlineStr">
        <is>
          <t>Pokhara</t>
        </is>
      </c>
      <c r="E357" s="9" t="inlineStr">
        <is>
          <t>Phewa lake, Bindhyabasini, Sarangkot sunrise</t>
        </is>
      </c>
      <c r="F357" s="9" t="inlineStr">
        <is>
          <t>Nature</t>
        </is>
      </c>
      <c r="G357" s="19" t="inlineStr">
        <is>
          <t>Yes</t>
        </is>
      </c>
      <c r="H357" s="9">
        <f>IF(COUNTIF('Country Summary'!$B$5:$B$200,B357)&gt;0,"Yes","")</f>
        <v/>
      </c>
      <c r="I357" s="9" t="inlineStr"/>
    </row>
    <row r="358">
      <c r="A358" s="9" t="n">
        <v>354</v>
      </c>
      <c r="B358" s="9" t="inlineStr">
        <is>
          <t>Nepal</t>
        </is>
      </c>
      <c r="C358" s="9" t="inlineStr">
        <is>
          <t>Gandaki</t>
        </is>
      </c>
      <c r="D358" s="9" t="inlineStr">
        <is>
          <t>Jomsom / Kali Gandaki</t>
        </is>
      </c>
      <c r="E358" s="9" t="inlineStr">
        <is>
          <t>Shaligram river, Kagbeni</t>
        </is>
      </c>
      <c r="F358" s="9" t="inlineStr">
        <is>
          <t>Nature</t>
        </is>
      </c>
      <c r="G358" s="19" t="inlineStr">
        <is>
          <t>Yes</t>
        </is>
      </c>
      <c r="H358" s="9">
        <f>IF(COUNTIF('Country Summary'!$B$5:$B$200,B358)&gt;0,"Yes","")</f>
        <v/>
      </c>
      <c r="I358" s="9" t="inlineStr"/>
    </row>
    <row r="359">
      <c r="A359" s="9" t="n">
        <v>355</v>
      </c>
      <c r="B359" s="9" t="inlineStr">
        <is>
          <t>Nepal</t>
        </is>
      </c>
      <c r="C359" s="9" t="inlineStr">
        <is>
          <t>Madhesh</t>
        </is>
      </c>
      <c r="D359" s="9" t="inlineStr">
        <is>
          <t>Janakpur</t>
        </is>
      </c>
      <c r="E359" s="9" t="inlineStr">
        <is>
          <t>Janaki Mandir (Sita's birthplace), Vivah Mandap</t>
        </is>
      </c>
      <c r="F359" s="9" t="inlineStr">
        <is>
          <t>Temple</t>
        </is>
      </c>
      <c r="G359" s="19" t="inlineStr"/>
      <c r="H359" s="9">
        <f>IF(COUNTIF('Country Summary'!$B$5:$B$200,B359)&gt;0,"Yes","")</f>
        <v/>
      </c>
      <c r="I359" s="9" t="inlineStr"/>
    </row>
    <row r="360">
      <c r="A360" s="9" t="n">
        <v>356</v>
      </c>
      <c r="B360" s="9" t="inlineStr">
        <is>
          <t>Nepal</t>
        </is>
      </c>
      <c r="C360" s="9" t="inlineStr">
        <is>
          <t>Lumbini</t>
        </is>
      </c>
      <c r="D360" s="9" t="inlineStr">
        <is>
          <t>Lumbini</t>
        </is>
      </c>
      <c r="E360" s="9" t="inlineStr">
        <is>
          <t>Buddha's birthplace - UNESCO</t>
        </is>
      </c>
      <c r="F360" s="9" t="inlineStr">
        <is>
          <t>UNESCO</t>
        </is>
      </c>
      <c r="G360" s="19" t="inlineStr"/>
      <c r="H360" s="9">
        <f>IF(COUNTIF('Country Summary'!$B$5:$B$200,B360)&gt;0,"Yes","")</f>
        <v/>
      </c>
      <c r="I360" s="9" t="inlineStr"/>
    </row>
    <row r="361">
      <c r="A361" s="9" t="n">
        <v>357</v>
      </c>
      <c r="B361" s="9" t="inlineStr">
        <is>
          <t>Nepal</t>
        </is>
      </c>
      <c r="C361" s="9" t="inlineStr">
        <is>
          <t>Koshi</t>
        </is>
      </c>
      <c r="D361" s="9" t="inlineStr">
        <is>
          <t>Barahakshetra / Pathibhara</t>
        </is>
      </c>
      <c r="E361" s="9" t="inlineStr">
        <is>
          <t>Varaha kshetra; Pathibhara Devi</t>
        </is>
      </c>
      <c r="F361" s="9" t="inlineStr">
        <is>
          <t>Temple</t>
        </is>
      </c>
      <c r="G361" s="19" t="inlineStr"/>
      <c r="H361" s="9">
        <f>IF(COUNTIF('Country Summary'!$B$5:$B$200,B361)&gt;0,"Yes","")</f>
        <v/>
      </c>
      <c r="I361" s="9" t="inlineStr"/>
    </row>
    <row r="362">
      <c r="A362" s="9" t="n">
        <v>358</v>
      </c>
      <c r="B362" s="9" t="inlineStr">
        <is>
          <t>Nepal</t>
        </is>
      </c>
      <c r="C362" s="9" t="inlineStr">
        <is>
          <t>Bagmati</t>
        </is>
      </c>
      <c r="D362" s="9" t="inlineStr">
        <is>
          <t>Everest region</t>
        </is>
      </c>
      <c r="E362" s="9" t="inlineStr">
        <is>
          <t>Everest base camp / Kala Patthar or mountain flight</t>
        </is>
      </c>
      <c r="F362" s="9" t="inlineStr">
        <is>
          <t>Nature</t>
        </is>
      </c>
      <c r="G362" s="19" t="inlineStr"/>
      <c r="H362" s="9">
        <f>IF(COUNTIF('Country Summary'!$B$5:$B$200,B362)&gt;0,"Yes","")</f>
        <v/>
      </c>
      <c r="I362" s="9" t="inlineStr"/>
    </row>
    <row r="363">
      <c r="A363" s="9" t="n">
        <v>359</v>
      </c>
      <c r="B363" s="9" t="inlineStr">
        <is>
          <t>Nepal</t>
        </is>
      </c>
      <c r="C363" s="9" t="inlineStr">
        <is>
          <t>Bagmati</t>
        </is>
      </c>
      <c r="D363" s="9" t="inlineStr">
        <is>
          <t>Chitwan</t>
        </is>
      </c>
      <c r="E363" s="9" t="inlineStr">
        <is>
          <t>Chitwan NP - UNESCO</t>
        </is>
      </c>
      <c r="F363" s="9" t="inlineStr">
        <is>
          <t>UNESCO</t>
        </is>
      </c>
      <c r="G363" s="19" t="inlineStr"/>
      <c r="H363" s="9">
        <f>IF(COUNTIF('Country Summary'!$B$5:$B$200,B363)&gt;0,"Yes","")</f>
        <v/>
      </c>
      <c r="I363" s="9" t="inlineStr"/>
    </row>
    <row r="364">
      <c r="A364" s="9" t="n">
        <v>360</v>
      </c>
      <c r="B364" s="9" t="inlineStr">
        <is>
          <t>Bhutan</t>
        </is>
      </c>
      <c r="C364" s="9" t="inlineStr">
        <is>
          <t>Paro / Thimphu</t>
        </is>
      </c>
      <c r="D364" s="9" t="inlineStr">
        <is>
          <t>Paro</t>
        </is>
      </c>
      <c r="E364" s="9" t="inlineStr">
        <is>
          <t>Tiger's Nest (Taktsang), Punakha Dzong, Thimphu Buddha</t>
        </is>
      </c>
      <c r="F364" s="9" t="inlineStr">
        <is>
          <t>Monument</t>
        </is>
      </c>
      <c r="G364" s="19" t="inlineStr"/>
      <c r="H364" s="9">
        <f>IF(COUNTIF('Country Summary'!$B$5:$B$200,B364)&gt;0,"Yes","")</f>
        <v/>
      </c>
      <c r="I364" s="9" t="inlineStr"/>
    </row>
    <row r="365">
      <c r="A365" s="9" t="n">
        <v>361</v>
      </c>
      <c r="B365" s="9" t="inlineStr">
        <is>
          <t>Bangladesh</t>
        </is>
      </c>
      <c r="C365" s="9" t="inlineStr">
        <is>
          <t>Dhaka / Sylhet</t>
        </is>
      </c>
      <c r="D365" s="9" t="inlineStr">
        <is>
          <t>Dhaka</t>
        </is>
      </c>
      <c r="E365" s="9" t="inlineStr">
        <is>
          <t>Dhakeshwari; ISKCON Dhaka (Swamibag); Sri Chaitanya birthplace link at Sylhet</t>
        </is>
      </c>
      <c r="F365" s="9" t="inlineStr">
        <is>
          <t>Temple</t>
        </is>
      </c>
      <c r="G365" s="19" t="inlineStr"/>
      <c r="H365" s="9">
        <f>IF(COUNTIF('Country Summary'!$B$5:$B$200,B365)&gt;0,"Yes","")</f>
        <v/>
      </c>
      <c r="I365" s="9" t="inlineStr"/>
    </row>
    <row r="366">
      <c r="A366" s="9" t="n">
        <v>362</v>
      </c>
      <c r="B366" s="9" t="inlineStr">
        <is>
          <t>Maldives</t>
        </is>
      </c>
      <c r="C366" s="9" t="inlineStr">
        <is>
          <t>-</t>
        </is>
      </c>
      <c r="D366" s="9" t="inlineStr">
        <is>
          <t>Male / atolls</t>
        </is>
      </c>
      <c r="E366" s="9" t="inlineStr">
        <is>
          <t>Island resort, snorkelling</t>
        </is>
      </c>
      <c r="F366" s="9" t="inlineStr">
        <is>
          <t>Nature</t>
        </is>
      </c>
      <c r="G366" s="19" t="inlineStr"/>
      <c r="H366" s="9">
        <f>IF(COUNTIF('Country Summary'!$B$5:$B$200,B366)&gt;0,"Yes","")</f>
        <v/>
      </c>
      <c r="I366" s="9" t="inlineStr"/>
    </row>
    <row r="367">
      <c r="A367" s="9" t="n">
        <v>363</v>
      </c>
      <c r="B367" s="9" t="inlineStr">
        <is>
          <t>Mauritius</t>
        </is>
      </c>
      <c r="C367" s="9" t="inlineStr">
        <is>
          <t>-</t>
        </is>
      </c>
      <c r="D367" s="9" t="inlineStr">
        <is>
          <t>Grand Bassin</t>
        </is>
      </c>
      <c r="E367" s="9" t="inlineStr">
        <is>
          <t>Ganga Talao (Shiva), ISKCON Mauritius (Phoenix), Le Morne - UNESCO</t>
        </is>
      </c>
      <c r="F367" s="9" t="inlineStr">
        <is>
          <t>Temple</t>
        </is>
      </c>
      <c r="G367" s="19" t="inlineStr"/>
      <c r="H367" s="9">
        <f>IF(COUNTIF('Country Summary'!$B$5:$B$200,B367)&gt;0,"Yes","")</f>
        <v/>
      </c>
      <c r="I367" s="9" t="inlineStr"/>
    </row>
    <row r="368">
      <c r="A368" s="9" t="n">
        <v>364</v>
      </c>
      <c r="B368" s="9" t="inlineStr">
        <is>
          <t>Malaysia</t>
        </is>
      </c>
      <c r="C368" s="9" t="inlineStr">
        <is>
          <t>Selangor</t>
        </is>
      </c>
      <c r="D368" s="9" t="inlineStr">
        <is>
          <t>Kuala Lumpur</t>
        </is>
      </c>
      <c r="E368" s="9" t="inlineStr">
        <is>
          <t>Batu Caves (Murugan), Petronas Towers; ISKCON KL</t>
        </is>
      </c>
      <c r="F368" s="9" t="inlineStr">
        <is>
          <t>Temple</t>
        </is>
      </c>
      <c r="G368" s="19" t="inlineStr"/>
      <c r="H368" s="9">
        <f>IF(COUNTIF('Country Summary'!$B$5:$B$200,B368)&gt;0,"Yes","")</f>
        <v/>
      </c>
      <c r="I368" s="9" t="inlineStr"/>
    </row>
    <row r="369">
      <c r="A369" s="9" t="n">
        <v>365</v>
      </c>
      <c r="B369" s="9" t="inlineStr">
        <is>
          <t>Malaysia</t>
        </is>
      </c>
      <c r="C369" s="9" t="inlineStr">
        <is>
          <t>Penang</t>
        </is>
      </c>
      <c r="D369" s="9" t="inlineStr">
        <is>
          <t>George Town</t>
        </is>
      </c>
      <c r="E369" s="9" t="inlineStr">
        <is>
          <t>George Town - UNESCO; Kek Lok Si</t>
        </is>
      </c>
      <c r="F369" s="9" t="inlineStr">
        <is>
          <t>UNESCO</t>
        </is>
      </c>
      <c r="G369" s="19" t="inlineStr"/>
      <c r="H369" s="9">
        <f>IF(COUNTIF('Country Summary'!$B$5:$B$200,B369)&gt;0,"Yes","")</f>
        <v/>
      </c>
      <c r="I369" s="9" t="inlineStr"/>
    </row>
    <row r="370">
      <c r="A370" s="9" t="n">
        <v>366</v>
      </c>
      <c r="B370" s="9" t="inlineStr">
        <is>
          <t>Singapore</t>
        </is>
      </c>
      <c r="C370" s="9" t="inlineStr">
        <is>
          <t>-</t>
        </is>
      </c>
      <c r="D370" s="9" t="inlineStr">
        <is>
          <t>Singapore</t>
        </is>
      </c>
      <c r="E370" s="9" t="inlineStr">
        <is>
          <t>Marina Bay Sands, Gardens by the Bay, Sri Mariamman, Sri Krishnan temple, Sentosa</t>
        </is>
      </c>
      <c r="F370" s="9" t="inlineStr">
        <is>
          <t>Modern</t>
        </is>
      </c>
      <c r="G370" s="19" t="inlineStr"/>
      <c r="H370" s="9">
        <f>IF(COUNTIF('Country Summary'!$B$5:$B$200,B370)&gt;0,"Yes","")</f>
        <v/>
      </c>
      <c r="I370" s="9" t="inlineStr"/>
    </row>
    <row r="371">
      <c r="A371" s="9" t="n">
        <v>367</v>
      </c>
      <c r="B371" s="9" t="inlineStr">
        <is>
          <t>Indonesia</t>
        </is>
      </c>
      <c r="C371" s="9" t="inlineStr">
        <is>
          <t>Bali</t>
        </is>
      </c>
      <c r="D371" s="9" t="inlineStr">
        <is>
          <t>Ubud / Uluwatu / Besakih</t>
        </is>
      </c>
      <c r="E371" s="9" t="inlineStr">
        <is>
          <t>Besakih mother temple, Tanah Lot, Uluwatu, Tirta Empul; Kecak dance (Ramayana)</t>
        </is>
      </c>
      <c r="F371" s="9" t="inlineStr">
        <is>
          <t>Temple</t>
        </is>
      </c>
      <c r="G371" s="19" t="inlineStr"/>
      <c r="H371" s="9">
        <f>IF(COUNTIF('Country Summary'!$B$5:$B$200,B371)&gt;0,"Yes","")</f>
        <v/>
      </c>
      <c r="I371" s="9" t="inlineStr"/>
    </row>
    <row r="372">
      <c r="A372" s="9" t="n">
        <v>368</v>
      </c>
      <c r="B372" s="9" t="inlineStr">
        <is>
          <t>Indonesia</t>
        </is>
      </c>
      <c r="C372" s="9" t="inlineStr">
        <is>
          <t>Central Java</t>
        </is>
      </c>
      <c r="D372" s="9" t="inlineStr">
        <is>
          <t>Yogyakarta</t>
        </is>
      </c>
      <c r="E372" s="9" t="inlineStr">
        <is>
          <t>Prambanan (Shiva-Vishnu-Brahma) - UNESCO; Borobudur - UNESCO</t>
        </is>
      </c>
      <c r="F372" s="9" t="inlineStr">
        <is>
          <t>UNESCO</t>
        </is>
      </c>
      <c r="G372" s="19" t="inlineStr"/>
      <c r="H372" s="9">
        <f>IF(COUNTIF('Country Summary'!$B$5:$B$200,B372)&gt;0,"Yes","")</f>
        <v/>
      </c>
      <c r="I372" s="9" t="inlineStr"/>
    </row>
    <row r="373">
      <c r="A373" s="9" t="n">
        <v>369</v>
      </c>
      <c r="B373" s="9" t="inlineStr">
        <is>
          <t>Indonesia</t>
        </is>
      </c>
      <c r="C373" s="9" t="inlineStr">
        <is>
          <t>Jakarta</t>
        </is>
      </c>
      <c r="D373" s="9" t="inlineStr">
        <is>
          <t>Jakarta</t>
        </is>
      </c>
      <c r="E373" s="9" t="inlineStr">
        <is>
          <t>ISKCON Jakarta; Monas</t>
        </is>
      </c>
      <c r="F373" s="9" t="inlineStr">
        <is>
          <t>ISKCON</t>
        </is>
      </c>
      <c r="G373" s="19" t="inlineStr"/>
      <c r="H373" s="9">
        <f>IF(COUNTIF('Country Summary'!$B$5:$B$200,B373)&gt;0,"Yes","")</f>
        <v/>
      </c>
      <c r="I373" s="9" t="inlineStr"/>
    </row>
    <row r="374">
      <c r="A374" s="9" t="n">
        <v>370</v>
      </c>
      <c r="B374" s="9" t="inlineStr">
        <is>
          <t>Vietnam</t>
        </is>
      </c>
      <c r="C374" s="9" t="inlineStr">
        <is>
          <t>Quang Nam / Ha Long</t>
        </is>
      </c>
      <c r="D374" s="9" t="inlineStr">
        <is>
          <t>My Son / Ha Long Bay</t>
        </is>
      </c>
      <c r="E374" s="9" t="inlineStr">
        <is>
          <t>My Son Cham Shiva temples - UNESCO; Ha Long Bay - UNESCO</t>
        </is>
      </c>
      <c r="F374" s="9" t="inlineStr">
        <is>
          <t>UNESCO</t>
        </is>
      </c>
      <c r="G374" s="19" t="inlineStr"/>
      <c r="H374" s="9">
        <f>IF(COUNTIF('Country Summary'!$B$5:$B$200,B374)&gt;0,"Yes","")</f>
        <v/>
      </c>
      <c r="I374" s="9" t="inlineStr"/>
    </row>
    <row r="375">
      <c r="A375" s="9" t="n">
        <v>371</v>
      </c>
      <c r="B375" s="9" t="inlineStr">
        <is>
          <t>Laos</t>
        </is>
      </c>
      <c r="C375" s="9" t="inlineStr">
        <is>
          <t>Champasak</t>
        </is>
      </c>
      <c r="D375" s="9" t="inlineStr">
        <is>
          <t>Vat Phou</t>
        </is>
      </c>
      <c r="E375" s="9" t="inlineStr">
        <is>
          <t>Vat Phou Khmer Hindu temple - UNESCO; Luang Prabang - UNESCO</t>
        </is>
      </c>
      <c r="F375" s="9" t="inlineStr">
        <is>
          <t>UNESCO</t>
        </is>
      </c>
      <c r="G375" s="19" t="inlineStr"/>
      <c r="H375" s="9">
        <f>IF(COUNTIF('Country Summary'!$B$5:$B$200,B375)&gt;0,"Yes","")</f>
        <v/>
      </c>
      <c r="I375" s="9" t="inlineStr"/>
    </row>
    <row r="376">
      <c r="A376" s="9" t="n">
        <v>372</v>
      </c>
      <c r="B376" s="9" t="inlineStr">
        <is>
          <t>Myanmar</t>
        </is>
      </c>
      <c r="C376" s="9" t="inlineStr">
        <is>
          <t>Mandalay / Bagan</t>
        </is>
      </c>
      <c r="D376" s="9" t="inlineStr">
        <is>
          <t>Bagan</t>
        </is>
      </c>
      <c r="E376" s="9" t="inlineStr">
        <is>
          <t>Bagan temples - UNESCO; Shwedagon Pagoda (Yangon)</t>
        </is>
      </c>
      <c r="F376" s="9" t="inlineStr">
        <is>
          <t>UNESCO</t>
        </is>
      </c>
      <c r="G376" s="19" t="inlineStr"/>
      <c r="H376" s="9">
        <f>IF(COUNTIF('Country Summary'!$B$5:$B$200,B376)&gt;0,"Yes","")</f>
        <v/>
      </c>
      <c r="I376" s="9" t="inlineStr"/>
    </row>
    <row r="377">
      <c r="A377" s="9" t="n">
        <v>373</v>
      </c>
      <c r="B377" s="9" t="inlineStr">
        <is>
          <t>Philippines</t>
        </is>
      </c>
      <c r="C377" s="9" t="inlineStr">
        <is>
          <t>Luzon</t>
        </is>
      </c>
      <c r="D377" s="9" t="inlineStr">
        <is>
          <t>Manila / Banaue</t>
        </is>
      </c>
      <c r="E377" s="9" t="inlineStr">
        <is>
          <t>Intramuros; rice terraces - UNESCO</t>
        </is>
      </c>
      <c r="F377" s="9" t="inlineStr">
        <is>
          <t>UNESCO</t>
        </is>
      </c>
      <c r="G377" s="19" t="inlineStr"/>
      <c r="H377" s="9">
        <f>IF(COUNTIF('Country Summary'!$B$5:$B$200,B377)&gt;0,"Yes","")</f>
        <v/>
      </c>
      <c r="I377" s="9" t="inlineStr"/>
    </row>
    <row r="378">
      <c r="A378" s="9" t="n">
        <v>374</v>
      </c>
      <c r="B378" s="9" t="inlineStr">
        <is>
          <t>Japan</t>
        </is>
      </c>
      <c r="C378" s="9" t="inlineStr">
        <is>
          <t>Kanto</t>
        </is>
      </c>
      <c r="D378" s="9" t="inlineStr">
        <is>
          <t>Tokyo</t>
        </is>
      </c>
      <c r="E378" s="9" t="inlineStr">
        <is>
          <t>Senso-ji, Meiji shrine, Shibuya, Skytree; ISKCON Tokyo (Funabori)</t>
        </is>
      </c>
      <c r="F378" s="9" t="inlineStr">
        <is>
          <t>Monument</t>
        </is>
      </c>
      <c r="G378" s="19" t="inlineStr"/>
      <c r="H378" s="9">
        <f>IF(COUNTIF('Country Summary'!$B$5:$B$200,B378)&gt;0,"Yes","")</f>
        <v/>
      </c>
      <c r="I378" s="9" t="inlineStr"/>
    </row>
    <row r="379">
      <c r="A379" s="9" t="n">
        <v>375</v>
      </c>
      <c r="B379" s="9" t="inlineStr">
        <is>
          <t>Japan</t>
        </is>
      </c>
      <c r="C379" s="9" t="inlineStr">
        <is>
          <t>Kansai</t>
        </is>
      </c>
      <c r="D379" s="9" t="inlineStr">
        <is>
          <t>Kyoto / Nara</t>
        </is>
      </c>
      <c r="E379" s="9" t="inlineStr">
        <is>
          <t>Fushimi Inari, Kinkaku-ji, Kiyomizu - UNESCO; Todai-ji (Nara)</t>
        </is>
      </c>
      <c r="F379" s="9" t="inlineStr">
        <is>
          <t>UNESCO</t>
        </is>
      </c>
      <c r="G379" s="19" t="inlineStr"/>
      <c r="H379" s="9">
        <f>IF(COUNTIF('Country Summary'!$B$5:$B$200,B379)&gt;0,"Yes","")</f>
        <v/>
      </c>
      <c r="I379" s="9" t="inlineStr"/>
    </row>
    <row r="380">
      <c r="A380" s="9" t="n">
        <v>376</v>
      </c>
      <c r="B380" s="9" t="inlineStr">
        <is>
          <t>Japan</t>
        </is>
      </c>
      <c r="C380" s="9" t="inlineStr">
        <is>
          <t>Kansai</t>
        </is>
      </c>
      <c r="D380" s="9" t="inlineStr">
        <is>
          <t>Osaka / Hiroshima</t>
        </is>
      </c>
      <c r="E380" s="9" t="inlineStr">
        <is>
          <t>Osaka Castle; Peace Memorial - UNESCO; Miyajima</t>
        </is>
      </c>
      <c r="F380" s="9" t="inlineStr">
        <is>
          <t>UNESCO</t>
        </is>
      </c>
      <c r="G380" s="19" t="inlineStr"/>
      <c r="H380" s="9">
        <f>IF(COUNTIF('Country Summary'!$B$5:$B$200,B380)&gt;0,"Yes","")</f>
        <v/>
      </c>
      <c r="I380" s="9" t="inlineStr"/>
    </row>
    <row r="381">
      <c r="A381" s="9" t="n">
        <v>377</v>
      </c>
      <c r="B381" s="9" t="inlineStr">
        <is>
          <t>Japan</t>
        </is>
      </c>
      <c r="C381" s="9" t="inlineStr">
        <is>
          <t>Chubu</t>
        </is>
      </c>
      <c r="D381" s="9" t="inlineStr">
        <is>
          <t>Mt Fuji / Hakone</t>
        </is>
      </c>
      <c r="E381" s="9" t="inlineStr">
        <is>
          <t>Mt Fuji - UNESCO</t>
        </is>
      </c>
      <c r="F381" s="9" t="inlineStr">
        <is>
          <t>UNESCO</t>
        </is>
      </c>
      <c r="G381" s="19" t="inlineStr"/>
      <c r="H381" s="9">
        <f>IF(COUNTIF('Country Summary'!$B$5:$B$200,B381)&gt;0,"Yes","")</f>
        <v/>
      </c>
      <c r="I381" s="9" t="inlineStr"/>
    </row>
    <row r="382">
      <c r="A382" s="9" t="n">
        <v>378</v>
      </c>
      <c r="B382" s="9" t="inlineStr">
        <is>
          <t>South Korea</t>
        </is>
      </c>
      <c r="C382" s="9" t="inlineStr">
        <is>
          <t>Seoul</t>
        </is>
      </c>
      <c r="D382" s="9" t="inlineStr">
        <is>
          <t>Seoul</t>
        </is>
      </c>
      <c r="E382" s="9" t="inlineStr">
        <is>
          <t>Gyeongbokgung, Bukchon, N Seoul Tower; Gimhae (Queen Heo, Ayodhya princess link)</t>
        </is>
      </c>
      <c r="F382" s="9" t="inlineStr">
        <is>
          <t>Monument</t>
        </is>
      </c>
      <c r="G382" s="19" t="inlineStr"/>
      <c r="H382" s="9">
        <f>IF(COUNTIF('Country Summary'!$B$5:$B$200,B382)&gt;0,"Yes","")</f>
        <v/>
      </c>
      <c r="I382" s="9" t="inlineStr"/>
    </row>
    <row r="383">
      <c r="A383" s="9" t="n">
        <v>379</v>
      </c>
      <c r="B383" s="9" t="inlineStr">
        <is>
          <t>China</t>
        </is>
      </c>
      <c r="C383" s="9" t="inlineStr">
        <is>
          <t>Beijing</t>
        </is>
      </c>
      <c r="D383" s="9" t="inlineStr">
        <is>
          <t>Beijing</t>
        </is>
      </c>
      <c r="E383" s="9" t="inlineStr">
        <is>
          <t>Great Wall - UNESCO, Forbidden City - UNESCO, Temple of Heaven</t>
        </is>
      </c>
      <c r="F383" s="9" t="inlineStr">
        <is>
          <t>UNESCO</t>
        </is>
      </c>
      <c r="G383" s="19" t="inlineStr"/>
      <c r="H383" s="9">
        <f>IF(COUNTIF('Country Summary'!$B$5:$B$200,B383)&gt;0,"Yes","")</f>
        <v/>
      </c>
      <c r="I383" s="9" t="inlineStr"/>
    </row>
    <row r="384">
      <c r="A384" s="9" t="n">
        <v>380</v>
      </c>
      <c r="B384" s="9" t="inlineStr">
        <is>
          <t>China</t>
        </is>
      </c>
      <c r="C384" s="9" t="inlineStr">
        <is>
          <t>Shaanxi</t>
        </is>
      </c>
      <c r="D384" s="9" t="inlineStr">
        <is>
          <t>Xi'an</t>
        </is>
      </c>
      <c r="E384" s="9" t="inlineStr">
        <is>
          <t>Terracotta Army - UNESCO</t>
        </is>
      </c>
      <c r="F384" s="9" t="inlineStr">
        <is>
          <t>UNESCO</t>
        </is>
      </c>
      <c r="G384" s="19" t="inlineStr"/>
      <c r="H384" s="9">
        <f>IF(COUNTIF('Country Summary'!$B$5:$B$200,B384)&gt;0,"Yes","")</f>
        <v/>
      </c>
      <c r="I384" s="9" t="inlineStr"/>
    </row>
    <row r="385">
      <c r="A385" s="9" t="n">
        <v>381</v>
      </c>
      <c r="B385" s="9" t="inlineStr">
        <is>
          <t>China</t>
        </is>
      </c>
      <c r="C385" s="9" t="inlineStr">
        <is>
          <t>Shanghai</t>
        </is>
      </c>
      <c r="D385" s="9" t="inlineStr">
        <is>
          <t>Shanghai</t>
        </is>
      </c>
      <c r="E385" s="9" t="inlineStr">
        <is>
          <t>The Bund, Pudong</t>
        </is>
      </c>
      <c r="F385" s="9" t="inlineStr">
        <is>
          <t>Modern</t>
        </is>
      </c>
      <c r="G385" s="19" t="inlineStr"/>
      <c r="H385" s="9">
        <f>IF(COUNTIF('Country Summary'!$B$5:$B$200,B385)&gt;0,"Yes","")</f>
        <v/>
      </c>
      <c r="I385" s="9" t="inlineStr"/>
    </row>
    <row r="386">
      <c r="A386" s="9" t="n">
        <v>382</v>
      </c>
      <c r="B386" s="9" t="inlineStr">
        <is>
          <t>China</t>
        </is>
      </c>
      <c r="C386" s="9" t="inlineStr">
        <is>
          <t>Tibet</t>
        </is>
      </c>
      <c r="D386" s="9" t="inlineStr">
        <is>
          <t>Kailash / Manasarovar</t>
        </is>
      </c>
      <c r="E386" s="9" t="inlineStr">
        <is>
          <t>Mt Kailash outer kora (Dolma La) &amp; Lake Manasarovar parikrama</t>
        </is>
      </c>
      <c r="F386" s="9" t="inlineStr">
        <is>
          <t>Temple</t>
        </is>
      </c>
      <c r="G386" s="19" t="inlineStr">
        <is>
          <t>Yes</t>
        </is>
      </c>
      <c r="H386" s="9">
        <f>IF(COUNTIF('Country Summary'!$B$5:$B$200,B386)&gt;0,"Yes","")</f>
        <v/>
      </c>
      <c r="I386" s="9" t="inlineStr"/>
    </row>
    <row r="387">
      <c r="A387" s="9" t="n">
        <v>383</v>
      </c>
      <c r="B387" s="9" t="inlineStr">
        <is>
          <t>China</t>
        </is>
      </c>
      <c r="C387" s="9" t="inlineStr">
        <is>
          <t>Tibet</t>
        </is>
      </c>
      <c r="D387" s="9" t="inlineStr">
        <is>
          <t>Lhasa</t>
        </is>
      </c>
      <c r="E387" s="9" t="inlineStr">
        <is>
          <t>Potala Palace - UNESCO, Jokhang</t>
        </is>
      </c>
      <c r="F387" s="9" t="inlineStr">
        <is>
          <t>UNESCO</t>
        </is>
      </c>
      <c r="G387" s="19" t="inlineStr"/>
      <c r="H387" s="9">
        <f>IF(COUNTIF('Country Summary'!$B$5:$B$200,B387)&gt;0,"Yes","")</f>
        <v/>
      </c>
      <c r="I387" s="9" t="inlineStr"/>
    </row>
    <row r="388">
      <c r="A388" s="9" t="n">
        <v>384</v>
      </c>
      <c r="B388" s="9" t="inlineStr">
        <is>
          <t>Hong Kong</t>
        </is>
      </c>
      <c r="C388" s="9" t="inlineStr">
        <is>
          <t>-</t>
        </is>
      </c>
      <c r="D388" s="9" t="inlineStr">
        <is>
          <t>Hong Kong</t>
        </is>
      </c>
      <c r="E388" s="9" t="inlineStr">
        <is>
          <t>Victoria Peak, Big Buddha (Lantau); ISKCON Hong Kong</t>
        </is>
      </c>
      <c r="F388" s="9" t="inlineStr">
        <is>
          <t>Modern</t>
        </is>
      </c>
      <c r="G388" s="19" t="inlineStr"/>
      <c r="H388" s="9">
        <f>IF(COUNTIF('Country Summary'!$B$5:$B$200,B388)&gt;0,"Yes","")</f>
        <v/>
      </c>
      <c r="I388" s="9" t="inlineStr"/>
    </row>
    <row r="389">
      <c r="A389" s="9" t="n">
        <v>385</v>
      </c>
      <c r="B389" s="9" t="inlineStr">
        <is>
          <t>Taiwan</t>
        </is>
      </c>
      <c r="C389" s="9" t="inlineStr">
        <is>
          <t>-</t>
        </is>
      </c>
      <c r="D389" s="9" t="inlineStr">
        <is>
          <t>Taipei</t>
        </is>
      </c>
      <c r="E389" s="9" t="inlineStr">
        <is>
          <t>Taipei 101, Taroko Gorge</t>
        </is>
      </c>
      <c r="F389" s="9" t="inlineStr">
        <is>
          <t>Modern</t>
        </is>
      </c>
      <c r="G389" s="19" t="inlineStr"/>
      <c r="H389" s="9">
        <f>IF(COUNTIF('Country Summary'!$B$5:$B$200,B389)&gt;0,"Yes","")</f>
        <v/>
      </c>
      <c r="I389" s="9" t="inlineStr"/>
    </row>
    <row r="390">
      <c r="A390" s="9" t="n">
        <v>386</v>
      </c>
      <c r="B390" s="9" t="inlineStr">
        <is>
          <t>Kazakhstan</t>
        </is>
      </c>
      <c r="C390" s="9" t="inlineStr">
        <is>
          <t>Almaty</t>
        </is>
      </c>
      <c r="D390" s="9" t="inlineStr">
        <is>
          <t>Almaty</t>
        </is>
      </c>
      <c r="E390" s="9" t="inlineStr">
        <is>
          <t>Charyn Canyon; Sri Vrindavan Dham (ISKCON farm)</t>
        </is>
      </c>
      <c r="F390" s="9" t="inlineStr">
        <is>
          <t>Nature</t>
        </is>
      </c>
      <c r="G390" s="19" t="inlineStr"/>
      <c r="H390" s="9">
        <f>IF(COUNTIF('Country Summary'!$B$5:$B$200,B390)&gt;0,"Yes","")</f>
        <v/>
      </c>
      <c r="I390" s="9" t="inlineStr"/>
    </row>
    <row r="391">
      <c r="A391" s="9" t="n">
        <v>387</v>
      </c>
      <c r="B391" s="9" t="inlineStr">
        <is>
          <t>Uzbekistan</t>
        </is>
      </c>
      <c r="C391" s="9" t="inlineStr">
        <is>
          <t>-</t>
        </is>
      </c>
      <c r="D391" s="9" t="inlineStr">
        <is>
          <t>Samarkand / Bukhara</t>
        </is>
      </c>
      <c r="E391" s="9" t="inlineStr">
        <is>
          <t>Registan - UNESCO; Bukhara - UNESCO</t>
        </is>
      </c>
      <c r="F391" s="9" t="inlineStr">
        <is>
          <t>UNESCO</t>
        </is>
      </c>
      <c r="G391" s="19" t="inlineStr"/>
      <c r="H391" s="9">
        <f>IF(COUNTIF('Country Summary'!$B$5:$B$200,B391)&gt;0,"Yes","")</f>
        <v/>
      </c>
      <c r="I391" s="9" t="inlineStr"/>
    </row>
    <row r="392">
      <c r="A392" s="9" t="n">
        <v>388</v>
      </c>
      <c r="B392" s="9" t="inlineStr">
        <is>
          <t>Georgia</t>
        </is>
      </c>
      <c r="C392" s="9" t="inlineStr">
        <is>
          <t>-</t>
        </is>
      </c>
      <c r="D392" s="9" t="inlineStr">
        <is>
          <t>Tbilisi / Kazbegi</t>
        </is>
      </c>
      <c r="E392" s="9" t="inlineStr">
        <is>
          <t>Old Tbilisi, Gergeti Trinity Church</t>
        </is>
      </c>
      <c r="F392" s="9" t="inlineStr">
        <is>
          <t>Monument</t>
        </is>
      </c>
      <c r="G392" s="19" t="inlineStr"/>
      <c r="H392" s="9">
        <f>IF(COUNTIF('Country Summary'!$B$5:$B$200,B392)&gt;0,"Yes","")</f>
        <v/>
      </c>
      <c r="I392" s="9" t="inlineStr"/>
    </row>
    <row r="393">
      <c r="A393" s="9" t="n">
        <v>389</v>
      </c>
      <c r="B393" s="9" t="inlineStr">
        <is>
          <t>Armenia</t>
        </is>
      </c>
      <c r="C393" s="9" t="inlineStr">
        <is>
          <t>-</t>
        </is>
      </c>
      <c r="D393" s="9" t="inlineStr">
        <is>
          <t>Yerevan / Geghard</t>
        </is>
      </c>
      <c r="E393" s="9" t="inlineStr">
        <is>
          <t>Geghard - UNESCO, Garni temple</t>
        </is>
      </c>
      <c r="F393" s="9" t="inlineStr">
        <is>
          <t>UNESCO</t>
        </is>
      </c>
      <c r="G393" s="19" t="inlineStr"/>
      <c r="H393" s="9">
        <f>IF(COUNTIF('Country Summary'!$B$5:$B$200,B393)&gt;0,"Yes","")</f>
        <v/>
      </c>
      <c r="I393" s="9" t="inlineStr"/>
    </row>
    <row r="394">
      <c r="A394" s="9" t="n">
        <v>390</v>
      </c>
      <c r="B394" s="9" t="inlineStr">
        <is>
          <t>Israel / Palestine</t>
        </is>
      </c>
      <c r="C394" s="9" t="inlineStr">
        <is>
          <t>-</t>
        </is>
      </c>
      <c r="D394" s="9" t="inlineStr">
        <is>
          <t>Jerusalem</t>
        </is>
      </c>
      <c r="E394" s="9" t="inlineStr">
        <is>
          <t>Old City - UNESCO (Western Wall, Church of Holy Sepulchre, Dome of the Rock)</t>
        </is>
      </c>
      <c r="F394" s="9" t="inlineStr">
        <is>
          <t>UNESCO</t>
        </is>
      </c>
      <c r="G394" s="19" t="inlineStr"/>
      <c r="H394" s="9">
        <f>IF(COUNTIF('Country Summary'!$B$5:$B$200,B394)&gt;0,"Yes","")</f>
        <v/>
      </c>
      <c r="I394" s="9" t="inlineStr"/>
    </row>
    <row r="395">
      <c r="A395" s="9" t="n">
        <v>391</v>
      </c>
      <c r="B395" s="9" t="inlineStr">
        <is>
          <t>Jordan</t>
        </is>
      </c>
      <c r="C395" s="9" t="inlineStr">
        <is>
          <t>-</t>
        </is>
      </c>
      <c r="D395" s="9" t="inlineStr">
        <is>
          <t>Petra / Wadi Rum</t>
        </is>
      </c>
      <c r="E395" s="9" t="inlineStr">
        <is>
          <t>Petra - UNESCO; Wadi Rum - UNESCO; Dead Sea</t>
        </is>
      </c>
      <c r="F395" s="9" t="inlineStr">
        <is>
          <t>UNESCO</t>
        </is>
      </c>
      <c r="G395" s="19" t="inlineStr"/>
      <c r="H395" s="9">
        <f>IF(COUNTIF('Country Summary'!$B$5:$B$200,B395)&gt;0,"Yes","")</f>
        <v/>
      </c>
      <c r="I395" s="9" t="inlineStr"/>
    </row>
    <row r="396">
      <c r="A396" s="9" t="n">
        <v>392</v>
      </c>
      <c r="B396" s="9" t="inlineStr">
        <is>
          <t>Saudi Arabia</t>
        </is>
      </c>
      <c r="C396" s="9" t="inlineStr">
        <is>
          <t>-</t>
        </is>
      </c>
      <c r="D396" s="9" t="inlineStr">
        <is>
          <t>AlUla</t>
        </is>
      </c>
      <c r="E396" s="9" t="inlineStr">
        <is>
          <t>Hegra - UNESCO</t>
        </is>
      </c>
      <c r="F396" s="9" t="inlineStr">
        <is>
          <t>UNESCO</t>
        </is>
      </c>
      <c r="G396" s="19" t="inlineStr"/>
      <c r="H396" s="9">
        <f>IF(COUNTIF('Country Summary'!$B$5:$B$200,B396)&gt;0,"Yes","")</f>
        <v/>
      </c>
      <c r="I396" s="9" t="inlineStr"/>
    </row>
    <row r="397">
      <c r="A397" s="9" t="n">
        <v>393</v>
      </c>
      <c r="B397" s="9" t="inlineStr">
        <is>
          <t>Oman</t>
        </is>
      </c>
      <c r="C397" s="9" t="inlineStr">
        <is>
          <t>Muscat</t>
        </is>
      </c>
      <c r="D397" s="9" t="inlineStr">
        <is>
          <t>Muscat</t>
        </is>
      </c>
      <c r="E397" s="9" t="inlineStr">
        <is>
          <t>Sultan Qaboos Mosque, Motishwar Mandir (oldest Hindu temple in Gulf), Nizwa</t>
        </is>
      </c>
      <c r="F397" s="9" t="inlineStr">
        <is>
          <t>Temple</t>
        </is>
      </c>
      <c r="G397" s="19" t="inlineStr"/>
      <c r="H397" s="9">
        <f>IF(COUNTIF('Country Summary'!$B$5:$B$200,B397)&gt;0,"Yes","")</f>
        <v/>
      </c>
      <c r="I397" s="9" t="inlineStr"/>
    </row>
    <row r="398">
      <c r="A398" s="9" t="n">
        <v>394</v>
      </c>
      <c r="B398" s="9" t="inlineStr">
        <is>
          <t>Qatar</t>
        </is>
      </c>
      <c r="C398" s="9" t="inlineStr">
        <is>
          <t>Doha</t>
        </is>
      </c>
      <c r="D398" s="9" t="inlineStr">
        <is>
          <t>Doha</t>
        </is>
      </c>
      <c r="E398" s="9" t="inlineStr">
        <is>
          <t>Museum of Islamic Art, Souq Waqif, Katara</t>
        </is>
      </c>
      <c r="F398" s="9" t="inlineStr">
        <is>
          <t>Museum</t>
        </is>
      </c>
      <c r="G398" s="19" t="inlineStr"/>
      <c r="H398" s="9">
        <f>IF(COUNTIF('Country Summary'!$B$5:$B$200,B398)&gt;0,"Yes","")</f>
        <v/>
      </c>
      <c r="I398" s="9" t="inlineStr"/>
    </row>
    <row r="399">
      <c r="A399" s="9" t="n">
        <v>395</v>
      </c>
      <c r="B399" s="9" t="inlineStr">
        <is>
          <t>Bahrain</t>
        </is>
      </c>
      <c r="C399" s="9" t="inlineStr">
        <is>
          <t>Manama</t>
        </is>
      </c>
      <c r="D399" s="9" t="inlineStr">
        <is>
          <t>Manama</t>
        </is>
      </c>
      <c r="E399" s="9" t="inlineStr">
        <is>
          <t>Shreenathji Temple (200-yr-old), Bahrain Fort - UNESCO</t>
        </is>
      </c>
      <c r="F399" s="9" t="inlineStr">
        <is>
          <t>Temple</t>
        </is>
      </c>
      <c r="G399" s="19" t="inlineStr"/>
      <c r="H399" s="9">
        <f>IF(COUNTIF('Country Summary'!$B$5:$B$200,B399)&gt;0,"Yes","")</f>
        <v/>
      </c>
      <c r="I399" s="9" t="inlineStr"/>
    </row>
    <row r="400">
      <c r="A400" s="9" t="n">
        <v>396</v>
      </c>
      <c r="B400" s="9" t="inlineStr">
        <is>
          <t>Egypt</t>
        </is>
      </c>
      <c r="C400" s="9" t="inlineStr">
        <is>
          <t>Giza / Luxor</t>
        </is>
      </c>
      <c r="D400" s="9" t="inlineStr">
        <is>
          <t>Giza / Luxor / Aswan</t>
        </is>
      </c>
      <c r="E400" s="9" t="inlineStr">
        <is>
          <t>Pyramids &amp; Sphinx - UNESCO; Karnak, Valley of Kings - UNESCO; Abu Simbel; Nile cruise</t>
        </is>
      </c>
      <c r="F400" s="9" t="inlineStr">
        <is>
          <t>UNESCO</t>
        </is>
      </c>
      <c r="G400" s="19" t="inlineStr"/>
      <c r="H400" s="9">
        <f>IF(COUNTIF('Country Summary'!$B$5:$B$200,B400)&gt;0,"Yes","")</f>
        <v/>
      </c>
      <c r="I400" s="9" t="inlineStr"/>
    </row>
    <row r="401">
      <c r="A401" s="9" t="n">
        <v>397</v>
      </c>
      <c r="B401" s="9" t="inlineStr">
        <is>
          <t>Kenya</t>
        </is>
      </c>
      <c r="C401" s="9" t="inlineStr">
        <is>
          <t>Nairobi / Maasai Mara</t>
        </is>
      </c>
      <c r="D401" s="9" t="inlineStr">
        <is>
          <t>Nairobi</t>
        </is>
      </c>
      <c r="E401" s="9" t="inlineStr">
        <is>
          <t>ISKCON Nairobi; Maasai Mara migration (Jul-Oct)</t>
        </is>
      </c>
      <c r="F401" s="9" t="inlineStr">
        <is>
          <t>ISKCON</t>
        </is>
      </c>
      <c r="G401" s="19" t="inlineStr"/>
      <c r="H401" s="9">
        <f>IF(COUNTIF('Country Summary'!$B$5:$B$200,B401)&gt;0,"Yes","")</f>
        <v/>
      </c>
      <c r="I401" s="9" t="inlineStr"/>
    </row>
    <row r="402">
      <c r="A402" s="9" t="n">
        <v>398</v>
      </c>
      <c r="B402" s="9" t="inlineStr">
        <is>
          <t>Tanzania</t>
        </is>
      </c>
      <c r="C402" s="9" t="inlineStr">
        <is>
          <t>Arusha / Zanzibar</t>
        </is>
      </c>
      <c r="D402" s="9" t="inlineStr">
        <is>
          <t>Serengeti / Kilimanjaro / Zanzibar</t>
        </is>
      </c>
      <c r="E402" s="9" t="inlineStr">
        <is>
          <t>Serengeti - UNESCO; Kilimanjaro - UNESCO; Stone Town - UNESCO</t>
        </is>
      </c>
      <c r="F402" s="9" t="inlineStr">
        <is>
          <t>UNESCO</t>
        </is>
      </c>
      <c r="G402" s="19" t="inlineStr"/>
      <c r="H402" s="9">
        <f>IF(COUNTIF('Country Summary'!$B$5:$B$200,B402)&gt;0,"Yes","")</f>
        <v/>
      </c>
      <c r="I402" s="9" t="inlineStr"/>
    </row>
    <row r="403">
      <c r="A403" s="9" t="n">
        <v>399</v>
      </c>
      <c r="B403" s="9" t="inlineStr">
        <is>
          <t>South Africa</t>
        </is>
      </c>
      <c r="C403" s="9" t="inlineStr">
        <is>
          <t>Western Cape / KZN</t>
        </is>
      </c>
      <c r="D403" s="9" t="inlineStr">
        <is>
          <t>Cape Town / Durban</t>
        </is>
      </c>
      <c r="E403" s="9" t="inlineStr">
        <is>
          <t>Table Mountain, Robben Island - UNESCO; ISKCON Durban (Sri Sri Radha Radhanath), Kruger NP</t>
        </is>
      </c>
      <c r="F403" s="9" t="inlineStr">
        <is>
          <t>ISKCON</t>
        </is>
      </c>
      <c r="G403" s="19" t="inlineStr"/>
      <c r="H403" s="9">
        <f>IF(COUNTIF('Country Summary'!$B$5:$B$200,B403)&gt;0,"Yes","")</f>
        <v/>
      </c>
      <c r="I403" s="9" t="inlineStr"/>
    </row>
    <row r="404">
      <c r="A404" s="9" t="n">
        <v>400</v>
      </c>
      <c r="B404" s="9" t="inlineStr">
        <is>
          <t>Morocco</t>
        </is>
      </c>
      <c r="C404" s="9" t="inlineStr">
        <is>
          <t>-</t>
        </is>
      </c>
      <c r="D404" s="9" t="inlineStr">
        <is>
          <t>Marrakech / Fes / Chefchaouen</t>
        </is>
      </c>
      <c r="E404" s="9" t="inlineStr">
        <is>
          <t>Medinas - UNESCO</t>
        </is>
      </c>
      <c r="F404" s="9" t="inlineStr">
        <is>
          <t>UNESCO</t>
        </is>
      </c>
      <c r="G404" s="19" t="inlineStr"/>
      <c r="H404" s="9">
        <f>IF(COUNTIF('Country Summary'!$B$5:$B$200,B404)&gt;0,"Yes","")</f>
        <v/>
      </c>
      <c r="I404" s="9" t="inlineStr"/>
    </row>
    <row r="405">
      <c r="A405" s="9" t="n">
        <v>401</v>
      </c>
      <c r="B405" s="9" t="inlineStr">
        <is>
          <t>Ethiopia</t>
        </is>
      </c>
      <c r="C405" s="9" t="inlineStr">
        <is>
          <t>Amhara</t>
        </is>
      </c>
      <c r="D405" s="9" t="inlineStr">
        <is>
          <t>Lalibela</t>
        </is>
      </c>
      <c r="E405" s="9" t="inlineStr">
        <is>
          <t>Rock-hewn churches - UNESCO</t>
        </is>
      </c>
      <c r="F405" s="9" t="inlineStr">
        <is>
          <t>UNESCO</t>
        </is>
      </c>
      <c r="G405" s="19" t="inlineStr"/>
      <c r="H405" s="9">
        <f>IF(COUNTIF('Country Summary'!$B$5:$B$200,B405)&gt;0,"Yes","")</f>
        <v/>
      </c>
      <c r="I405" s="9" t="inlineStr"/>
    </row>
    <row r="406">
      <c r="A406" s="9" t="n">
        <v>402</v>
      </c>
      <c r="B406" s="9" t="inlineStr">
        <is>
          <t>Zimbabwe / Zambia</t>
        </is>
      </c>
      <c r="C406" s="9" t="inlineStr">
        <is>
          <t>-</t>
        </is>
      </c>
      <c r="D406" s="9" t="inlineStr">
        <is>
          <t>Victoria Falls</t>
        </is>
      </c>
      <c r="E406" s="9" t="inlineStr">
        <is>
          <t>Victoria Falls - UNESCO</t>
        </is>
      </c>
      <c r="F406" s="9" t="inlineStr">
        <is>
          <t>UNESCO</t>
        </is>
      </c>
      <c r="G406" s="19" t="inlineStr"/>
      <c r="H406" s="9">
        <f>IF(COUNTIF('Country Summary'!$B$5:$B$200,B406)&gt;0,"Yes","")</f>
        <v/>
      </c>
      <c r="I406" s="9" t="inlineStr"/>
    </row>
    <row r="407">
      <c r="A407" s="9" t="n">
        <v>403</v>
      </c>
      <c r="B407" s="9" t="inlineStr">
        <is>
          <t>Uganda / Rwanda</t>
        </is>
      </c>
      <c r="C407" s="9" t="inlineStr">
        <is>
          <t>-</t>
        </is>
      </c>
      <c r="D407" s="9" t="inlineStr">
        <is>
          <t>Bwindi / Volcanoes</t>
        </is>
      </c>
      <c r="E407" s="9" t="inlineStr">
        <is>
          <t>Mountain gorillas; ISKCON Kampala</t>
        </is>
      </c>
      <c r="F407" s="9" t="inlineStr">
        <is>
          <t>Nature</t>
        </is>
      </c>
      <c r="G407" s="19" t="inlineStr"/>
      <c r="H407" s="9">
        <f>IF(COUNTIF('Country Summary'!$B$5:$B$200,B407)&gt;0,"Yes","")</f>
        <v/>
      </c>
      <c r="I407" s="9" t="inlineStr"/>
    </row>
    <row r="408">
      <c r="A408" s="9" t="n">
        <v>404</v>
      </c>
      <c r="B408" s="9" t="inlineStr">
        <is>
          <t>Canada</t>
        </is>
      </c>
      <c r="C408" s="9" t="inlineStr">
        <is>
          <t>Ontario</t>
        </is>
      </c>
      <c r="D408" s="9" t="inlineStr">
        <is>
          <t>Toronto / Niagara</t>
        </is>
      </c>
      <c r="E408" s="9" t="inlineStr">
        <is>
          <t>ISKCON Toronto (Hare Krishna Centre); CN Tower; Niagara Falls</t>
        </is>
      </c>
      <c r="F408" s="9" t="inlineStr">
        <is>
          <t>ISKCON</t>
        </is>
      </c>
      <c r="G408" s="19" t="inlineStr"/>
      <c r="H408" s="9">
        <f>IF(COUNTIF('Country Summary'!$B$5:$B$200,B408)&gt;0,"Yes","")</f>
        <v/>
      </c>
      <c r="I408" s="9" t="inlineStr"/>
    </row>
    <row r="409">
      <c r="A409" s="9" t="n">
        <v>405</v>
      </c>
      <c r="B409" s="9" t="inlineStr">
        <is>
          <t>Canada</t>
        </is>
      </c>
      <c r="C409" s="9" t="inlineStr">
        <is>
          <t>British Columbia</t>
        </is>
      </c>
      <c r="D409" s="9" t="inlineStr">
        <is>
          <t>Vancouver / Banff</t>
        </is>
      </c>
      <c r="E409" s="9" t="inlineStr">
        <is>
          <t>ISKCON Vancouver (Burnaby); Banff &amp; Jasper - UNESCO</t>
        </is>
      </c>
      <c r="F409" s="9" t="inlineStr">
        <is>
          <t>UNESCO</t>
        </is>
      </c>
      <c r="G409" s="19" t="inlineStr"/>
      <c r="H409" s="9">
        <f>IF(COUNTIF('Country Summary'!$B$5:$B$200,B409)&gt;0,"Yes","")</f>
        <v/>
      </c>
      <c r="I409" s="9" t="inlineStr"/>
    </row>
    <row r="410">
      <c r="A410" s="9" t="n">
        <v>406</v>
      </c>
      <c r="B410" s="9" t="inlineStr">
        <is>
          <t>Canada</t>
        </is>
      </c>
      <c r="C410" s="9" t="inlineStr">
        <is>
          <t>Quebec</t>
        </is>
      </c>
      <c r="D410" s="9" t="inlineStr">
        <is>
          <t>Montreal / Quebec City</t>
        </is>
      </c>
      <c r="E410" s="9" t="inlineStr">
        <is>
          <t>ISKCON Montreal; Old Quebec - UNESCO</t>
        </is>
      </c>
      <c r="F410" s="9" t="inlineStr">
        <is>
          <t>UNESCO</t>
        </is>
      </c>
      <c r="G410" s="19" t="inlineStr"/>
      <c r="H410" s="9">
        <f>IF(COUNTIF('Country Summary'!$B$5:$B$200,B410)&gt;0,"Yes","")</f>
        <v/>
      </c>
      <c r="I410" s="9" t="inlineStr"/>
    </row>
    <row r="411">
      <c r="A411" s="9" t="n">
        <v>407</v>
      </c>
      <c r="B411" s="9" t="inlineStr">
        <is>
          <t>Mexico</t>
        </is>
      </c>
      <c r="C411" s="9" t="inlineStr">
        <is>
          <t>Yucatan</t>
        </is>
      </c>
      <c r="D411" s="9" t="inlineStr">
        <is>
          <t>Chichen Itza / Tulum / Cancun</t>
        </is>
      </c>
      <c r="E411" s="9" t="inlineStr">
        <is>
          <t>Chichen Itza - UNESCO; Tulum</t>
        </is>
      </c>
      <c r="F411" s="9" t="inlineStr">
        <is>
          <t>UNESCO</t>
        </is>
      </c>
      <c r="G411" s="19" t="inlineStr"/>
      <c r="H411" s="9">
        <f>IF(COUNTIF('Country Summary'!$B$5:$B$200,B411)&gt;0,"Yes","")</f>
        <v/>
      </c>
      <c r="I411" s="9" t="inlineStr"/>
    </row>
    <row r="412">
      <c r="A412" s="9" t="n">
        <v>408</v>
      </c>
      <c r="B412" s="9" t="inlineStr">
        <is>
          <t>Mexico</t>
        </is>
      </c>
      <c r="C412" s="9" t="inlineStr">
        <is>
          <t>Mexico City</t>
        </is>
      </c>
      <c r="D412" s="9" t="inlineStr">
        <is>
          <t>Mexico City</t>
        </is>
      </c>
      <c r="E412" s="9" t="inlineStr">
        <is>
          <t>Teotihuacan - UNESCO; Zocalo; ISKCON Mexico City</t>
        </is>
      </c>
      <c r="F412" s="9" t="inlineStr">
        <is>
          <t>UNESCO</t>
        </is>
      </c>
      <c r="G412" s="19" t="inlineStr"/>
      <c r="H412" s="9">
        <f>IF(COUNTIF('Country Summary'!$B$5:$B$200,B412)&gt;0,"Yes","")</f>
        <v/>
      </c>
      <c r="I412" s="9" t="inlineStr"/>
    </row>
    <row r="413">
      <c r="A413" s="9" t="n">
        <v>409</v>
      </c>
      <c r="B413" s="9" t="inlineStr">
        <is>
          <t>Peru</t>
        </is>
      </c>
      <c r="C413" s="9" t="inlineStr">
        <is>
          <t>Cusco</t>
        </is>
      </c>
      <c r="D413" s="9" t="inlineStr">
        <is>
          <t>Machu Picchu / Cusco</t>
        </is>
      </c>
      <c r="E413" s="9" t="inlineStr">
        <is>
          <t>Machu Picchu - UNESCO; Sacred Valley; ISKCON Cusco</t>
        </is>
      </c>
      <c r="F413" s="9" t="inlineStr">
        <is>
          <t>UNESCO</t>
        </is>
      </c>
      <c r="G413" s="19" t="inlineStr"/>
      <c r="H413" s="9">
        <f>IF(COUNTIF('Country Summary'!$B$5:$B$200,B413)&gt;0,"Yes","")</f>
        <v/>
      </c>
      <c r="I413" s="9" t="inlineStr"/>
    </row>
    <row r="414">
      <c r="A414" s="9" t="n">
        <v>410</v>
      </c>
      <c r="B414" s="9" t="inlineStr">
        <is>
          <t>Peru</t>
        </is>
      </c>
      <c r="C414" s="9" t="inlineStr">
        <is>
          <t>Lima / Puno</t>
        </is>
      </c>
      <c r="D414" s="9" t="inlineStr">
        <is>
          <t>Lima / Lake Titicaca</t>
        </is>
      </c>
      <c r="E414" s="9" t="inlineStr">
        <is>
          <t>Historic centre - UNESCO; Titicaca</t>
        </is>
      </c>
      <c r="F414" s="9" t="inlineStr">
        <is>
          <t>UNESCO</t>
        </is>
      </c>
      <c r="G414" s="19" t="inlineStr"/>
      <c r="H414" s="9">
        <f>IF(COUNTIF('Country Summary'!$B$5:$B$200,B414)&gt;0,"Yes","")</f>
        <v/>
      </c>
      <c r="I414" s="9" t="inlineStr"/>
    </row>
    <row r="415">
      <c r="A415" s="9" t="n">
        <v>411</v>
      </c>
      <c r="B415" s="9" t="inlineStr">
        <is>
          <t>Brazil</t>
        </is>
      </c>
      <c r="C415" s="9" t="inlineStr">
        <is>
          <t>Rio / Sao Paulo</t>
        </is>
      </c>
      <c r="D415" s="9" t="inlineStr">
        <is>
          <t>Rio de Janeiro</t>
        </is>
      </c>
      <c r="E415" s="9" t="inlineStr">
        <is>
          <t>Christ the Redeemer, Sugarloaf - UNESCO; Iguazu Falls - UNESCO; Nova Gokula (ISKCON farm, Pindamonhangaba)</t>
        </is>
      </c>
      <c r="F415" s="9" t="inlineStr">
        <is>
          <t>UNESCO</t>
        </is>
      </c>
      <c r="G415" s="19" t="inlineStr"/>
      <c r="H415" s="9">
        <f>IF(COUNTIF('Country Summary'!$B$5:$B$200,B415)&gt;0,"Yes","")</f>
        <v/>
      </c>
      <c r="I415" s="9" t="inlineStr"/>
    </row>
    <row r="416">
      <c r="A416" s="9" t="n">
        <v>412</v>
      </c>
      <c r="B416" s="9" t="inlineStr">
        <is>
          <t>Argentina</t>
        </is>
      </c>
      <c r="C416" s="9" t="inlineStr">
        <is>
          <t>Buenos Aires / Misiones</t>
        </is>
      </c>
      <c r="D416" s="9" t="inlineStr">
        <is>
          <t>Buenos Aires / Iguazu</t>
        </is>
      </c>
      <c r="E416" s="9" t="inlineStr">
        <is>
          <t>Recoleta, Tango; Iguazu - UNESCO; Perito Moreno glacier</t>
        </is>
      </c>
      <c r="F416" s="9" t="inlineStr">
        <is>
          <t>UNESCO</t>
        </is>
      </c>
      <c r="G416" s="19" t="inlineStr"/>
      <c r="H416" s="9">
        <f>IF(COUNTIF('Country Summary'!$B$5:$B$200,B416)&gt;0,"Yes","")</f>
        <v/>
      </c>
      <c r="I416" s="9" t="inlineStr"/>
    </row>
    <row r="417">
      <c r="A417" s="9" t="n">
        <v>413</v>
      </c>
      <c r="B417" s="9" t="inlineStr">
        <is>
          <t>Chile</t>
        </is>
      </c>
      <c r="C417" s="9" t="inlineStr">
        <is>
          <t>-</t>
        </is>
      </c>
      <c r="D417" s="9" t="inlineStr">
        <is>
          <t>Santiago / Atacama / Easter Island</t>
        </is>
      </c>
      <c r="E417" s="9" t="inlineStr">
        <is>
          <t>Atacama desert; Rapa Nui moai - UNESCO</t>
        </is>
      </c>
      <c r="F417" s="9" t="inlineStr">
        <is>
          <t>UNESCO</t>
        </is>
      </c>
      <c r="G417" s="19" t="inlineStr"/>
      <c r="H417" s="9">
        <f>IF(COUNTIF('Country Summary'!$B$5:$B$200,B417)&gt;0,"Yes","")</f>
        <v/>
      </c>
      <c r="I417" s="9" t="inlineStr"/>
    </row>
    <row r="418">
      <c r="A418" s="9" t="n">
        <v>414</v>
      </c>
      <c r="B418" s="9" t="inlineStr">
        <is>
          <t>Colombia</t>
        </is>
      </c>
      <c r="C418" s="9" t="inlineStr">
        <is>
          <t>-</t>
        </is>
      </c>
      <c r="D418" s="9" t="inlineStr">
        <is>
          <t>Cartagena / Bogota</t>
        </is>
      </c>
      <c r="E418" s="9" t="inlineStr">
        <is>
          <t>Cartagena old city - UNESCO</t>
        </is>
      </c>
      <c r="F418" s="9" t="inlineStr">
        <is>
          <t>UNESCO</t>
        </is>
      </c>
      <c r="G418" s="19" t="inlineStr"/>
      <c r="H418" s="9">
        <f>IF(COUNTIF('Country Summary'!$B$5:$B$200,B418)&gt;0,"Yes","")</f>
        <v/>
      </c>
      <c r="I418" s="9" t="inlineStr"/>
    </row>
    <row r="419">
      <c r="A419" s="9" t="n">
        <v>415</v>
      </c>
      <c r="B419" s="9" t="inlineStr">
        <is>
          <t>Guyana / Trinidad / Suriname</t>
        </is>
      </c>
      <c r="C419" s="9" t="inlineStr">
        <is>
          <t>-</t>
        </is>
      </c>
      <c r="D419" s="9" t="inlineStr">
        <is>
          <t>Georgetown / Port of Spain / Paramaribo</t>
        </is>
      </c>
      <c r="E419" s="9" t="inlineStr">
        <is>
          <t>Hindu diaspora temples; Temple in the Sea (Waterloo, Trinidad); ISKCON Guyana</t>
        </is>
      </c>
      <c r="F419" s="9" t="inlineStr">
        <is>
          <t>Temple</t>
        </is>
      </c>
      <c r="G419" s="19" t="inlineStr"/>
      <c r="H419" s="9">
        <f>IF(COUNTIF('Country Summary'!$B$5:$B$200,B419)&gt;0,"Yes","")</f>
        <v/>
      </c>
      <c r="I419" s="9" t="inlineStr"/>
    </row>
    <row r="420">
      <c r="A420" s="9" t="n">
        <v>416</v>
      </c>
      <c r="B420" s="9" t="inlineStr">
        <is>
          <t>Cuba</t>
        </is>
      </c>
      <c r="C420" s="9" t="inlineStr">
        <is>
          <t>Havana</t>
        </is>
      </c>
      <c r="D420" s="9" t="inlineStr">
        <is>
          <t>Havana</t>
        </is>
      </c>
      <c r="E420" s="9" t="inlineStr">
        <is>
          <t>Old Havana - UNESCO</t>
        </is>
      </c>
      <c r="F420" s="9" t="inlineStr">
        <is>
          <t>UNESCO</t>
        </is>
      </c>
      <c r="G420" s="19" t="inlineStr"/>
      <c r="H420" s="9">
        <f>IF(COUNTIF('Country Summary'!$B$5:$B$200,B420)&gt;0,"Yes","")</f>
        <v/>
      </c>
      <c r="I420" s="9" t="inlineStr"/>
    </row>
    <row r="421">
      <c r="A421" s="9" t="n">
        <v>417</v>
      </c>
      <c r="B421" s="9" t="inlineStr">
        <is>
          <t>Costa Rica / Panama</t>
        </is>
      </c>
      <c r="C421" s="9" t="inlineStr">
        <is>
          <t>-</t>
        </is>
      </c>
      <c r="D421" s="9" t="inlineStr">
        <is>
          <t>Arenal / Panama City</t>
        </is>
      </c>
      <c r="E421" s="9" t="inlineStr">
        <is>
          <t>Rainforest, Panama Canal</t>
        </is>
      </c>
      <c r="F421" s="9" t="inlineStr">
        <is>
          <t>Nature</t>
        </is>
      </c>
      <c r="G421" s="19" t="inlineStr"/>
      <c r="H421" s="9">
        <f>IF(COUNTIF('Country Summary'!$B$5:$B$200,B421)&gt;0,"Yes","")</f>
        <v/>
      </c>
      <c r="I421" s="9" t="inlineStr"/>
    </row>
    <row r="422">
      <c r="A422" s="9" t="n">
        <v>418</v>
      </c>
      <c r="B422" s="9" t="inlineStr">
        <is>
          <t>Australia</t>
        </is>
      </c>
      <c r="C422" s="9" t="inlineStr">
        <is>
          <t>New South Wales</t>
        </is>
      </c>
      <c r="D422" s="9" t="inlineStr">
        <is>
          <t>Sydney</t>
        </is>
      </c>
      <c r="E422" s="9" t="inlineStr">
        <is>
          <t>Opera House - UNESCO, Harbour Bridge, Bondi; ISKCON Sydney (North Sydney)</t>
        </is>
      </c>
      <c r="F422" s="9" t="inlineStr">
        <is>
          <t>UNESCO</t>
        </is>
      </c>
      <c r="G422" s="19" t="inlineStr"/>
      <c r="H422" s="9">
        <f>IF(COUNTIF('Country Summary'!$B$5:$B$200,B422)&gt;0,"Yes","")</f>
        <v/>
      </c>
      <c r="I422" s="9" t="inlineStr"/>
    </row>
    <row r="423">
      <c r="A423" s="9" t="n">
        <v>419</v>
      </c>
      <c r="B423" s="9" t="inlineStr">
        <is>
          <t>Australia</t>
        </is>
      </c>
      <c r="C423" s="9" t="inlineStr">
        <is>
          <t>New South Wales</t>
        </is>
      </c>
      <c r="D423" s="9" t="inlineStr">
        <is>
          <t>Murwillumbah</t>
        </is>
      </c>
      <c r="E423" s="9" t="inlineStr">
        <is>
          <t>New Govardhana (ISKCON farm); Byron Bay</t>
        </is>
      </c>
      <c r="F423" s="9" t="inlineStr">
        <is>
          <t>ISKCON</t>
        </is>
      </c>
      <c r="G423" s="19" t="inlineStr"/>
      <c r="H423" s="9">
        <f>IF(COUNTIF('Country Summary'!$B$5:$B$200,B423)&gt;0,"Yes","")</f>
        <v/>
      </c>
      <c r="I423" s="9" t="inlineStr"/>
    </row>
    <row r="424">
      <c r="A424" s="9" t="n">
        <v>420</v>
      </c>
      <c r="B424" s="9" t="inlineStr">
        <is>
          <t>Australia</t>
        </is>
      </c>
      <c r="C424" s="9" t="inlineStr">
        <is>
          <t>Victoria</t>
        </is>
      </c>
      <c r="D424" s="9" t="inlineStr">
        <is>
          <t>Melbourne</t>
        </is>
      </c>
      <c r="E424" s="9" t="inlineStr">
        <is>
          <t>ISKCON Melbourne (Albert Park); Great Ocean Road (Twelve Apostles); New Nandagram</t>
        </is>
      </c>
      <c r="F424" s="9" t="inlineStr">
        <is>
          <t>ISKCON</t>
        </is>
      </c>
      <c r="G424" s="19" t="inlineStr"/>
      <c r="H424" s="9">
        <f>IF(COUNTIF('Country Summary'!$B$5:$B$200,B424)&gt;0,"Yes","")</f>
        <v/>
      </c>
      <c r="I424" s="9" t="inlineStr"/>
    </row>
    <row r="425">
      <c r="A425" s="9" t="n">
        <v>421</v>
      </c>
      <c r="B425" s="9" t="inlineStr">
        <is>
          <t>Australia</t>
        </is>
      </c>
      <c r="C425" s="9" t="inlineStr">
        <is>
          <t>Queensland</t>
        </is>
      </c>
      <c r="D425" s="9" t="inlineStr">
        <is>
          <t>Brisbane / Cairns / Gold Coast</t>
        </is>
      </c>
      <c r="E425" s="9" t="inlineStr">
        <is>
          <t>Great Barrier Reef - UNESCO; ISKCON Brisbane; Daintree</t>
        </is>
      </c>
      <c r="F425" s="9" t="inlineStr">
        <is>
          <t>UNESCO</t>
        </is>
      </c>
      <c r="G425" s="19" t="inlineStr"/>
      <c r="H425" s="9">
        <f>IF(COUNTIF('Country Summary'!$B$5:$B$200,B425)&gt;0,"Yes","")</f>
        <v/>
      </c>
      <c r="I425" s="9" t="inlineStr"/>
    </row>
    <row r="426">
      <c r="A426" s="9" t="n">
        <v>422</v>
      </c>
      <c r="B426" s="9" t="inlineStr">
        <is>
          <t>Australia</t>
        </is>
      </c>
      <c r="C426" s="9" t="inlineStr">
        <is>
          <t>Northern Territory</t>
        </is>
      </c>
      <c r="D426" s="9" t="inlineStr">
        <is>
          <t>Uluru</t>
        </is>
      </c>
      <c r="E426" s="9" t="inlineStr">
        <is>
          <t>Uluru-Kata Tjuta - UNESCO</t>
        </is>
      </c>
      <c r="F426" s="9" t="inlineStr">
        <is>
          <t>UNESCO</t>
        </is>
      </c>
      <c r="G426" s="19" t="inlineStr"/>
      <c r="H426" s="9">
        <f>IF(COUNTIF('Country Summary'!$B$5:$B$200,B426)&gt;0,"Yes","")</f>
        <v/>
      </c>
      <c r="I426" s="9" t="inlineStr"/>
    </row>
    <row r="427">
      <c r="A427" s="9" t="n">
        <v>423</v>
      </c>
      <c r="B427" s="9" t="inlineStr">
        <is>
          <t>Australia</t>
        </is>
      </c>
      <c r="C427" s="9" t="inlineStr">
        <is>
          <t>Western Australia</t>
        </is>
      </c>
      <c r="D427" s="9" t="inlineStr">
        <is>
          <t>Perth</t>
        </is>
      </c>
      <c r="E427" s="9" t="inlineStr">
        <is>
          <t>ISKCON Perth; Pinnacles, Rottnest</t>
        </is>
      </c>
      <c r="F427" s="9" t="inlineStr">
        <is>
          <t>ISKCON</t>
        </is>
      </c>
      <c r="G427" s="19" t="inlineStr"/>
      <c r="H427" s="9">
        <f>IF(COUNTIF('Country Summary'!$B$5:$B$200,B427)&gt;0,"Yes","")</f>
        <v/>
      </c>
      <c r="I427" s="9" t="inlineStr"/>
    </row>
    <row r="428">
      <c r="A428" s="9" t="n">
        <v>424</v>
      </c>
      <c r="B428" s="9" t="inlineStr">
        <is>
          <t>Australia</t>
        </is>
      </c>
      <c r="C428" s="9" t="inlineStr">
        <is>
          <t>Tasmania</t>
        </is>
      </c>
      <c r="D428" s="9" t="inlineStr">
        <is>
          <t>Hobart</t>
        </is>
      </c>
      <c r="E428" s="9" t="inlineStr">
        <is>
          <t>Cradle Mountain, MONA</t>
        </is>
      </c>
      <c r="F428" s="9" t="inlineStr">
        <is>
          <t>Nature</t>
        </is>
      </c>
      <c r="G428" s="19" t="inlineStr"/>
      <c r="H428" s="9">
        <f>IF(COUNTIF('Country Summary'!$B$5:$B$200,B428)&gt;0,"Yes","")</f>
        <v/>
      </c>
      <c r="I428" s="9" t="inlineStr"/>
    </row>
    <row r="429">
      <c r="A429" s="9" t="n">
        <v>425</v>
      </c>
      <c r="B429" s="9" t="inlineStr">
        <is>
          <t>New Zealand</t>
        </is>
      </c>
      <c r="C429" s="9" t="inlineStr">
        <is>
          <t>North Island</t>
        </is>
      </c>
      <c r="D429" s="9" t="inlineStr">
        <is>
          <t>Auckland / Rotorua</t>
        </is>
      </c>
      <c r="E429" s="9" t="inlineStr">
        <is>
          <t>ISKCON Auckland (Kumeu); Rotorua geothermal; Hobbiton</t>
        </is>
      </c>
      <c r="F429" s="9" t="inlineStr">
        <is>
          <t>ISKCON</t>
        </is>
      </c>
      <c r="G429" s="19" t="inlineStr"/>
      <c r="H429" s="9">
        <f>IF(COUNTIF('Country Summary'!$B$5:$B$200,B429)&gt;0,"Yes","")</f>
        <v/>
      </c>
      <c r="I429" s="9" t="inlineStr"/>
    </row>
    <row r="430">
      <c r="A430" s="9" t="n">
        <v>426</v>
      </c>
      <c r="B430" s="9" t="inlineStr">
        <is>
          <t>New Zealand</t>
        </is>
      </c>
      <c r="C430" s="9" t="inlineStr">
        <is>
          <t>South Island</t>
        </is>
      </c>
      <c r="D430" s="9" t="inlineStr">
        <is>
          <t>Queenstown / Milford Sound</t>
        </is>
      </c>
      <c r="E430" s="9" t="inlineStr">
        <is>
          <t>Fiordland - UNESCO; Christchurch ISKCON</t>
        </is>
      </c>
      <c r="F430" s="9" t="inlineStr">
        <is>
          <t>UNESCO</t>
        </is>
      </c>
      <c r="G430" s="19" t="inlineStr"/>
      <c r="H430" s="9">
        <f>IF(COUNTIF('Country Summary'!$B$5:$B$200,B430)&gt;0,"Yes","")</f>
        <v/>
      </c>
      <c r="I430" s="9" t="inlineStr"/>
    </row>
    <row r="431">
      <c r="A431" s="9" t="n">
        <v>427</v>
      </c>
      <c r="B431" s="9" t="inlineStr">
        <is>
          <t>Fiji</t>
        </is>
      </c>
      <c r="C431" s="9" t="inlineStr">
        <is>
          <t>Viti Levu</t>
        </is>
      </c>
      <c r="D431" s="9" t="inlineStr">
        <is>
          <t>Nadi / Suva</t>
        </is>
      </c>
      <c r="E431" s="9" t="inlineStr">
        <is>
          <t>Sri Siva Subramaniya temple (Nadi); ISKCON Fiji (Lautoka, Suva, Labasa)</t>
        </is>
      </c>
      <c r="F431" s="9" t="inlineStr">
        <is>
          <t>Temple</t>
        </is>
      </c>
      <c r="G431" s="19" t="inlineStr"/>
      <c r="H431" s="9">
        <f>IF(COUNTIF('Country Summary'!$B$5:$B$200,B431)&gt;0,"Yes","")</f>
        <v/>
      </c>
      <c r="I431" s="9" t="inlineStr"/>
    </row>
  </sheetData>
  <autoFilter ref="A4:I831"/>
  <conditionalFormatting sqref="G5:G831">
    <cfRule type="cellIs" priority="1" operator="equal" dxfId="2">
      <formula>"Yes"</formula>
    </cfRule>
    <cfRule type="cellIs" priority="2" operator="equal" dxfId="1">
      <formula>"Likely"</formula>
    </cfRule>
    <cfRule type="cellIs" priority="3" operator="equal" dxfId="3">
      <formula>"Planned"</formula>
    </cfRule>
  </conditionalFormatting>
  <dataValidations count="2">
    <dataValidation sqref="G5:G831" showDropDown="0" showInputMessage="0" showErrorMessage="0" allowBlank="1" type="list">
      <formula1>"Yes,Likely,Planned,No"</formula1>
    </dataValidation>
    <dataValidation sqref="F5:F831" showDropDown="0" showInputMessage="0" showErrorMessage="0" allowBlank="1" type="list">
      <formula1>"Temple,ISKCON,Monument,UNESCO,Nature,Museum,Modern,Festival"</formula1>
    </dataValidation>
  </dataValidations>
  <pageMargins left="0.75" right="0.75" top="1" bottom="1" header="0.5" footer="0.5"/>
</worksheet>
</file>

<file path=xl/worksheets/sheet10.xml><?xml version="1.0" encoding="utf-8"?>
<worksheet xmlns="http://schemas.openxmlformats.org/spreadsheetml/2006/main">
  <sheetPr>
    <tabColor rgb="001F2A44"/>
    <outlinePr summaryBelow="1" summaryRight="1"/>
    <pageSetUpPr/>
  </sheetPr>
  <dimension ref="A1:H83"/>
  <sheetViews>
    <sheetView zoomScale="100" workbookViewId="0">
      <pane ySplit="4" topLeftCell="A5" activePane="bottomLeft" state="frozen"/>
      <selection pane="bottomLeft" activeCell="A1" sqref="A1"/>
    </sheetView>
  </sheetViews>
  <sheetFormatPr baseColWidth="8" defaultRowHeight="15"/>
  <cols>
    <col width="22" customWidth="1" min="1" max="1"/>
    <col width="13" customWidth="1" min="2" max="2"/>
    <col width="13" customWidth="1" min="3" max="3"/>
    <col width="10" customWidth="1" min="4" max="4"/>
    <col width="10" customWidth="1" min="5" max="5"/>
    <col width="11" customWidth="1" min="6" max="6"/>
    <col width="16" customWidth="1" min="7" max="7"/>
    <col width="15" customWidth="1" min="8" max="8"/>
  </cols>
  <sheetData>
    <row r="1">
      <c r="A1" s="1" t="inlineStr">
        <is>
          <t>Checklist Summary - progress by country (auto)</t>
        </is>
      </c>
    </row>
    <row r="2">
      <c r="A2" s="2" t="inlineStr">
        <is>
          <t>Counts come from the World Checklist sheet. Add a country name in column A to track it.</t>
        </is>
      </c>
    </row>
    <row r="4">
      <c r="A4" s="3" t="inlineStr">
        <is>
          <t>Country</t>
        </is>
      </c>
      <c r="B4" s="3" t="inlineStr">
        <is>
          <t>Places listed</t>
        </is>
      </c>
      <c r="C4" s="3" t="inlineStr">
        <is>
          <t>Visited (Yes)</t>
        </is>
      </c>
      <c r="D4" s="3" t="inlineStr">
        <is>
          <t>Likely</t>
        </is>
      </c>
      <c r="E4" s="3" t="inlineStr">
        <is>
          <t>Planned</t>
        </is>
      </c>
      <c r="F4" s="3" t="inlineStr">
        <is>
          <t>Remaining</t>
        </is>
      </c>
      <c r="G4" s="3" t="inlineStr">
        <is>
          <t>% done (Yes+Likely)</t>
        </is>
      </c>
      <c r="H4" s="3" t="inlineStr">
        <is>
          <t>Country entered?</t>
        </is>
      </c>
    </row>
    <row r="5">
      <c r="A5" s="9" t="inlineStr">
        <is>
          <t>India</t>
        </is>
      </c>
      <c r="B5" s="9">
        <f>COUNTIF('World Checklist'!$B$5:$B$831,A5)</f>
        <v/>
      </c>
      <c r="C5" s="9">
        <f>COUNTIFS('World Checklist'!$B$5:$B$831,A5,'World Checklist'!$G$5:$G$831,"Yes")</f>
        <v/>
      </c>
      <c r="D5" s="9">
        <f>COUNTIFS('World Checklist'!$B$5:$B$831,A5,'World Checklist'!$G$5:$G$831,"Likely")</f>
        <v/>
      </c>
      <c r="E5" s="9">
        <f>COUNTIFS('World Checklist'!$B$5:$B$831,A5,'World Checklist'!$G$5:$G$831,"Planned")</f>
        <v/>
      </c>
      <c r="F5" s="9">
        <f>B5-C5-D5</f>
        <v/>
      </c>
      <c r="G5" s="20">
        <f>IF(B5=0,"",(C5+D5)/B5)</f>
        <v/>
      </c>
      <c r="H5" s="9">
        <f>IF(COUNTIF('Country Summary'!$B$5:$B$200,A5)&gt;0,"Yes","")</f>
        <v/>
      </c>
    </row>
    <row r="6">
      <c r="A6" s="9" t="inlineStr">
        <is>
          <t>USA</t>
        </is>
      </c>
      <c r="B6" s="9">
        <f>COUNTIF('World Checklist'!$B$5:$B$831,A6)</f>
        <v/>
      </c>
      <c r="C6" s="9">
        <f>COUNTIFS('World Checklist'!$B$5:$B$831,A6,'World Checklist'!$G$5:$G$831,"Yes")</f>
        <v/>
      </c>
      <c r="D6" s="9">
        <f>COUNTIFS('World Checklist'!$B$5:$B$831,A6,'World Checklist'!$G$5:$G$831,"Likely")</f>
        <v/>
      </c>
      <c r="E6" s="9">
        <f>COUNTIFS('World Checklist'!$B$5:$B$831,A6,'World Checklist'!$G$5:$G$831,"Planned")</f>
        <v/>
      </c>
      <c r="F6" s="9">
        <f>B6-C6-D6</f>
        <v/>
      </c>
      <c r="G6" s="20">
        <f>IF(B6=0,"",(C6+D6)/B6)</f>
        <v/>
      </c>
      <c r="H6" s="9">
        <f>IF(COUNTIF('Country Summary'!$B$5:$B$200,A6)&gt;0,"Yes","")</f>
        <v/>
      </c>
    </row>
    <row r="7">
      <c r="A7" s="9" t="inlineStr">
        <is>
          <t>United Kingdom</t>
        </is>
      </c>
      <c r="B7" s="9">
        <f>COUNTIF('World Checklist'!$B$5:$B$831,A7)</f>
        <v/>
      </c>
      <c r="C7" s="9">
        <f>COUNTIFS('World Checklist'!$B$5:$B$831,A7,'World Checklist'!$G$5:$G$831,"Yes")</f>
        <v/>
      </c>
      <c r="D7" s="9">
        <f>COUNTIFS('World Checklist'!$B$5:$B$831,A7,'World Checklist'!$G$5:$G$831,"Likely")</f>
        <v/>
      </c>
      <c r="E7" s="9">
        <f>COUNTIFS('World Checklist'!$B$5:$B$831,A7,'World Checklist'!$G$5:$G$831,"Planned")</f>
        <v/>
      </c>
      <c r="F7" s="9">
        <f>B7-C7-D7</f>
        <v/>
      </c>
      <c r="G7" s="20">
        <f>IF(B7=0,"",(C7+D7)/B7)</f>
        <v/>
      </c>
      <c r="H7" s="9">
        <f>IF(COUNTIF('Country Summary'!$B$5:$B$200,A7)&gt;0,"Yes","")</f>
        <v/>
      </c>
    </row>
    <row r="8">
      <c r="A8" s="9" t="inlineStr">
        <is>
          <t>France</t>
        </is>
      </c>
      <c r="B8" s="9">
        <f>COUNTIF('World Checklist'!$B$5:$B$831,A8)</f>
        <v/>
      </c>
      <c r="C8" s="9">
        <f>COUNTIFS('World Checklist'!$B$5:$B$831,A8,'World Checklist'!$G$5:$G$831,"Yes")</f>
        <v/>
      </c>
      <c r="D8" s="9">
        <f>COUNTIFS('World Checklist'!$B$5:$B$831,A8,'World Checklist'!$G$5:$G$831,"Likely")</f>
        <v/>
      </c>
      <c r="E8" s="9">
        <f>COUNTIFS('World Checklist'!$B$5:$B$831,A8,'World Checklist'!$G$5:$G$831,"Planned")</f>
        <v/>
      </c>
      <c r="F8" s="9">
        <f>B8-C8-D8</f>
        <v/>
      </c>
      <c r="G8" s="20">
        <f>IF(B8=0,"",(C8+D8)/B8)</f>
        <v/>
      </c>
      <c r="H8" s="9">
        <f>IF(COUNTIF('Country Summary'!$B$5:$B$200,A8)&gt;0,"Yes","")</f>
        <v/>
      </c>
    </row>
    <row r="9">
      <c r="A9" s="9" t="inlineStr">
        <is>
          <t>Belgium</t>
        </is>
      </c>
      <c r="B9" s="9">
        <f>COUNTIF('World Checklist'!$B$5:$B$831,A9)</f>
        <v/>
      </c>
      <c r="C9" s="9">
        <f>COUNTIFS('World Checklist'!$B$5:$B$831,A9,'World Checklist'!$G$5:$G$831,"Yes")</f>
        <v/>
      </c>
      <c r="D9" s="9">
        <f>COUNTIFS('World Checklist'!$B$5:$B$831,A9,'World Checklist'!$G$5:$G$831,"Likely")</f>
        <v/>
      </c>
      <c r="E9" s="9">
        <f>COUNTIFS('World Checklist'!$B$5:$B$831,A9,'World Checklist'!$G$5:$G$831,"Planned")</f>
        <v/>
      </c>
      <c r="F9" s="9">
        <f>B9-C9-D9</f>
        <v/>
      </c>
      <c r="G9" s="20">
        <f>IF(B9=0,"",(C9+D9)/B9)</f>
        <v/>
      </c>
      <c r="H9" s="9">
        <f>IF(COUNTIF('Country Summary'!$B$5:$B$200,A9)&gt;0,"Yes","")</f>
        <v/>
      </c>
    </row>
    <row r="10">
      <c r="A10" s="9" t="inlineStr">
        <is>
          <t>Netherlands</t>
        </is>
      </c>
      <c r="B10" s="9">
        <f>COUNTIF('World Checklist'!$B$5:$B$831,A10)</f>
        <v/>
      </c>
      <c r="C10" s="9">
        <f>COUNTIFS('World Checklist'!$B$5:$B$831,A10,'World Checklist'!$G$5:$G$831,"Yes")</f>
        <v/>
      </c>
      <c r="D10" s="9">
        <f>COUNTIFS('World Checklist'!$B$5:$B$831,A10,'World Checklist'!$G$5:$G$831,"Likely")</f>
        <v/>
      </c>
      <c r="E10" s="9">
        <f>COUNTIFS('World Checklist'!$B$5:$B$831,A10,'World Checklist'!$G$5:$G$831,"Planned")</f>
        <v/>
      </c>
      <c r="F10" s="9">
        <f>B10-C10-D10</f>
        <v/>
      </c>
      <c r="G10" s="20">
        <f>IF(B10=0,"",(C10+D10)/B10)</f>
        <v/>
      </c>
      <c r="H10" s="9">
        <f>IF(COUNTIF('Country Summary'!$B$5:$B$200,A10)&gt;0,"Yes","")</f>
        <v/>
      </c>
    </row>
    <row r="11">
      <c r="A11" s="9" t="inlineStr">
        <is>
          <t>Germany</t>
        </is>
      </c>
      <c r="B11" s="9">
        <f>COUNTIF('World Checklist'!$B$5:$B$831,A11)</f>
        <v/>
      </c>
      <c r="C11" s="9">
        <f>COUNTIFS('World Checklist'!$B$5:$B$831,A11,'World Checklist'!$G$5:$G$831,"Yes")</f>
        <v/>
      </c>
      <c r="D11" s="9">
        <f>COUNTIFS('World Checklist'!$B$5:$B$831,A11,'World Checklist'!$G$5:$G$831,"Likely")</f>
        <v/>
      </c>
      <c r="E11" s="9">
        <f>COUNTIFS('World Checklist'!$B$5:$B$831,A11,'World Checklist'!$G$5:$G$831,"Planned")</f>
        <v/>
      </c>
      <c r="F11" s="9">
        <f>B11-C11-D11</f>
        <v/>
      </c>
      <c r="G11" s="20">
        <f>IF(B11=0,"",(C11+D11)/B11)</f>
        <v/>
      </c>
      <c r="H11" s="9">
        <f>IF(COUNTIF('Country Summary'!$B$5:$B$200,A11)&gt;0,"Yes","")</f>
        <v/>
      </c>
    </row>
    <row r="12">
      <c r="A12" s="9" t="inlineStr">
        <is>
          <t>Switzerland</t>
        </is>
      </c>
      <c r="B12" s="9">
        <f>COUNTIF('World Checklist'!$B$5:$B$831,A12)</f>
        <v/>
      </c>
      <c r="C12" s="9">
        <f>COUNTIFS('World Checklist'!$B$5:$B$831,A12,'World Checklist'!$G$5:$G$831,"Yes")</f>
        <v/>
      </c>
      <c r="D12" s="9">
        <f>COUNTIFS('World Checklist'!$B$5:$B$831,A12,'World Checklist'!$G$5:$G$831,"Likely")</f>
        <v/>
      </c>
      <c r="E12" s="9">
        <f>COUNTIFS('World Checklist'!$B$5:$B$831,A12,'World Checklist'!$G$5:$G$831,"Planned")</f>
        <v/>
      </c>
      <c r="F12" s="9">
        <f>B12-C12-D12</f>
        <v/>
      </c>
      <c r="G12" s="20">
        <f>IF(B12=0,"",(C12+D12)/B12)</f>
        <v/>
      </c>
      <c r="H12" s="9">
        <f>IF(COUNTIF('Country Summary'!$B$5:$B$200,A12)&gt;0,"Yes","")</f>
        <v/>
      </c>
    </row>
    <row r="13">
      <c r="A13" s="9" t="inlineStr">
        <is>
          <t>Italy</t>
        </is>
      </c>
      <c r="B13" s="9">
        <f>COUNTIF('World Checklist'!$B$5:$B$831,A13)</f>
        <v/>
      </c>
      <c r="C13" s="9">
        <f>COUNTIFS('World Checklist'!$B$5:$B$831,A13,'World Checklist'!$G$5:$G$831,"Yes")</f>
        <v/>
      </c>
      <c r="D13" s="9">
        <f>COUNTIFS('World Checklist'!$B$5:$B$831,A13,'World Checklist'!$G$5:$G$831,"Likely")</f>
        <v/>
      </c>
      <c r="E13" s="9">
        <f>COUNTIFS('World Checklist'!$B$5:$B$831,A13,'World Checklist'!$G$5:$G$831,"Planned")</f>
        <v/>
      </c>
      <c r="F13" s="9">
        <f>B13-C13-D13</f>
        <v/>
      </c>
      <c r="G13" s="20">
        <f>IF(B13=0,"",(C13+D13)/B13)</f>
        <v/>
      </c>
      <c r="H13" s="9">
        <f>IF(COUNTIF('Country Summary'!$B$5:$B$200,A13)&gt;0,"Yes","")</f>
        <v/>
      </c>
    </row>
    <row r="14">
      <c r="A14" s="9" t="inlineStr">
        <is>
          <t>Vatican City</t>
        </is>
      </c>
      <c r="B14" s="9">
        <f>COUNTIF('World Checklist'!$B$5:$B$831,A14)</f>
        <v/>
      </c>
      <c r="C14" s="9">
        <f>COUNTIFS('World Checklist'!$B$5:$B$831,A14,'World Checklist'!$G$5:$G$831,"Yes")</f>
        <v/>
      </c>
      <c r="D14" s="9">
        <f>COUNTIFS('World Checklist'!$B$5:$B$831,A14,'World Checklist'!$G$5:$G$831,"Likely")</f>
        <v/>
      </c>
      <c r="E14" s="9">
        <f>COUNTIFS('World Checklist'!$B$5:$B$831,A14,'World Checklist'!$G$5:$G$831,"Planned")</f>
        <v/>
      </c>
      <c r="F14" s="9">
        <f>B14-C14-D14</f>
        <v/>
      </c>
      <c r="G14" s="20">
        <f>IF(B14=0,"",(C14+D14)/B14)</f>
        <v/>
      </c>
      <c r="H14" s="9">
        <f>IF(COUNTIF('Country Summary'!$B$5:$B$200,A14)&gt;0,"Yes","")</f>
        <v/>
      </c>
    </row>
    <row r="15">
      <c r="A15" s="9" t="inlineStr">
        <is>
          <t>Spain</t>
        </is>
      </c>
      <c r="B15" s="9">
        <f>COUNTIF('World Checklist'!$B$5:$B$831,A15)</f>
        <v/>
      </c>
      <c r="C15" s="9">
        <f>COUNTIFS('World Checklist'!$B$5:$B$831,A15,'World Checklist'!$G$5:$G$831,"Yes")</f>
        <v/>
      </c>
      <c r="D15" s="9">
        <f>COUNTIFS('World Checklist'!$B$5:$B$831,A15,'World Checklist'!$G$5:$G$831,"Likely")</f>
        <v/>
      </c>
      <c r="E15" s="9">
        <f>COUNTIFS('World Checklist'!$B$5:$B$831,A15,'World Checklist'!$G$5:$G$831,"Planned")</f>
        <v/>
      </c>
      <c r="F15" s="9">
        <f>B15-C15-D15</f>
        <v/>
      </c>
      <c r="G15" s="20">
        <f>IF(B15=0,"",(C15+D15)/B15)</f>
        <v/>
      </c>
      <c r="H15" s="9">
        <f>IF(COUNTIF('Country Summary'!$B$5:$B$200,A15)&gt;0,"Yes","")</f>
        <v/>
      </c>
    </row>
    <row r="16">
      <c r="A16" s="9" t="inlineStr">
        <is>
          <t>Portugal</t>
        </is>
      </c>
      <c r="B16" s="9">
        <f>COUNTIF('World Checklist'!$B$5:$B$831,A16)</f>
        <v/>
      </c>
      <c r="C16" s="9">
        <f>COUNTIFS('World Checklist'!$B$5:$B$831,A16,'World Checklist'!$G$5:$G$831,"Yes")</f>
        <v/>
      </c>
      <c r="D16" s="9">
        <f>COUNTIFS('World Checklist'!$B$5:$B$831,A16,'World Checklist'!$G$5:$G$831,"Likely")</f>
        <v/>
      </c>
      <c r="E16" s="9">
        <f>COUNTIFS('World Checklist'!$B$5:$B$831,A16,'World Checklist'!$G$5:$G$831,"Planned")</f>
        <v/>
      </c>
      <c r="F16" s="9">
        <f>B16-C16-D16</f>
        <v/>
      </c>
      <c r="G16" s="20">
        <f>IF(B16=0,"",(C16+D16)/B16)</f>
        <v/>
      </c>
      <c r="H16" s="9">
        <f>IF(COUNTIF('Country Summary'!$B$5:$B$200,A16)&gt;0,"Yes","")</f>
        <v/>
      </c>
    </row>
    <row r="17">
      <c r="A17" s="9" t="inlineStr">
        <is>
          <t>Austria</t>
        </is>
      </c>
      <c r="B17" s="9">
        <f>COUNTIF('World Checklist'!$B$5:$B$831,A17)</f>
        <v/>
      </c>
      <c r="C17" s="9">
        <f>COUNTIFS('World Checklist'!$B$5:$B$831,A17,'World Checklist'!$G$5:$G$831,"Yes")</f>
        <v/>
      </c>
      <c r="D17" s="9">
        <f>COUNTIFS('World Checklist'!$B$5:$B$831,A17,'World Checklist'!$G$5:$G$831,"Likely")</f>
        <v/>
      </c>
      <c r="E17" s="9">
        <f>COUNTIFS('World Checklist'!$B$5:$B$831,A17,'World Checklist'!$G$5:$G$831,"Planned")</f>
        <v/>
      </c>
      <c r="F17" s="9">
        <f>B17-C17-D17</f>
        <v/>
      </c>
      <c r="G17" s="20">
        <f>IF(B17=0,"",(C17+D17)/B17)</f>
        <v/>
      </c>
      <c r="H17" s="9">
        <f>IF(COUNTIF('Country Summary'!$B$5:$B$200,A17)&gt;0,"Yes","")</f>
        <v/>
      </c>
    </row>
    <row r="18">
      <c r="A18" s="9" t="inlineStr">
        <is>
          <t>Czechia</t>
        </is>
      </c>
      <c r="B18" s="9">
        <f>COUNTIF('World Checklist'!$B$5:$B$831,A18)</f>
        <v/>
      </c>
      <c r="C18" s="9">
        <f>COUNTIFS('World Checklist'!$B$5:$B$831,A18,'World Checklist'!$G$5:$G$831,"Yes")</f>
        <v/>
      </c>
      <c r="D18" s="9">
        <f>COUNTIFS('World Checklist'!$B$5:$B$831,A18,'World Checklist'!$G$5:$G$831,"Likely")</f>
        <v/>
      </c>
      <c r="E18" s="9">
        <f>COUNTIFS('World Checklist'!$B$5:$B$831,A18,'World Checklist'!$G$5:$G$831,"Planned")</f>
        <v/>
      </c>
      <c r="F18" s="9">
        <f>B18-C18-D18</f>
        <v/>
      </c>
      <c r="G18" s="20">
        <f>IF(B18=0,"",(C18+D18)/B18)</f>
        <v/>
      </c>
      <c r="H18" s="9">
        <f>IF(COUNTIF('Country Summary'!$B$5:$B$200,A18)&gt;0,"Yes","")</f>
        <v/>
      </c>
    </row>
    <row r="19">
      <c r="A19" s="9" t="inlineStr">
        <is>
          <t>Hungary</t>
        </is>
      </c>
      <c r="B19" s="9">
        <f>COUNTIF('World Checklist'!$B$5:$B$831,A19)</f>
        <v/>
      </c>
      <c r="C19" s="9">
        <f>COUNTIFS('World Checklist'!$B$5:$B$831,A19,'World Checklist'!$G$5:$G$831,"Yes")</f>
        <v/>
      </c>
      <c r="D19" s="9">
        <f>COUNTIFS('World Checklist'!$B$5:$B$831,A19,'World Checklist'!$G$5:$G$831,"Likely")</f>
        <v/>
      </c>
      <c r="E19" s="9">
        <f>COUNTIFS('World Checklist'!$B$5:$B$831,A19,'World Checklist'!$G$5:$G$831,"Planned")</f>
        <v/>
      </c>
      <c r="F19" s="9">
        <f>B19-C19-D19</f>
        <v/>
      </c>
      <c r="G19" s="20">
        <f>IF(B19=0,"",(C19+D19)/B19)</f>
        <v/>
      </c>
      <c r="H19" s="9">
        <f>IF(COUNTIF('Country Summary'!$B$5:$B$200,A19)&gt;0,"Yes","")</f>
        <v/>
      </c>
    </row>
    <row r="20">
      <c r="A20" s="9" t="inlineStr">
        <is>
          <t>Poland</t>
        </is>
      </c>
      <c r="B20" s="9">
        <f>COUNTIF('World Checklist'!$B$5:$B$831,A20)</f>
        <v/>
      </c>
      <c r="C20" s="9">
        <f>COUNTIFS('World Checklist'!$B$5:$B$831,A20,'World Checklist'!$G$5:$G$831,"Yes")</f>
        <v/>
      </c>
      <c r="D20" s="9">
        <f>COUNTIFS('World Checklist'!$B$5:$B$831,A20,'World Checklist'!$G$5:$G$831,"Likely")</f>
        <v/>
      </c>
      <c r="E20" s="9">
        <f>COUNTIFS('World Checklist'!$B$5:$B$831,A20,'World Checklist'!$G$5:$G$831,"Planned")</f>
        <v/>
      </c>
      <c r="F20" s="9">
        <f>B20-C20-D20</f>
        <v/>
      </c>
      <c r="G20" s="20">
        <f>IF(B20=0,"",(C20+D20)/B20)</f>
        <v/>
      </c>
      <c r="H20" s="9">
        <f>IF(COUNTIF('Country Summary'!$B$5:$B$200,A20)&gt;0,"Yes","")</f>
        <v/>
      </c>
    </row>
    <row r="21">
      <c r="A21" s="9" t="inlineStr">
        <is>
          <t>Greece</t>
        </is>
      </c>
      <c r="B21" s="9">
        <f>COUNTIF('World Checklist'!$B$5:$B$831,A21)</f>
        <v/>
      </c>
      <c r="C21" s="9">
        <f>COUNTIFS('World Checklist'!$B$5:$B$831,A21,'World Checklist'!$G$5:$G$831,"Yes")</f>
        <v/>
      </c>
      <c r="D21" s="9">
        <f>COUNTIFS('World Checklist'!$B$5:$B$831,A21,'World Checklist'!$G$5:$G$831,"Likely")</f>
        <v/>
      </c>
      <c r="E21" s="9">
        <f>COUNTIFS('World Checklist'!$B$5:$B$831,A21,'World Checklist'!$G$5:$G$831,"Planned")</f>
        <v/>
      </c>
      <c r="F21" s="9">
        <f>B21-C21-D21</f>
        <v/>
      </c>
      <c r="G21" s="20">
        <f>IF(B21=0,"",(C21+D21)/B21)</f>
        <v/>
      </c>
      <c r="H21" s="9">
        <f>IF(COUNTIF('Country Summary'!$B$5:$B$200,A21)&gt;0,"Yes","")</f>
        <v/>
      </c>
    </row>
    <row r="22">
      <c r="A22" s="9" t="inlineStr">
        <is>
          <t>Croatia</t>
        </is>
      </c>
      <c r="B22" s="9">
        <f>COUNTIF('World Checklist'!$B$5:$B$831,A22)</f>
        <v/>
      </c>
      <c r="C22" s="9">
        <f>COUNTIFS('World Checklist'!$B$5:$B$831,A22,'World Checklist'!$G$5:$G$831,"Yes")</f>
        <v/>
      </c>
      <c r="D22" s="9">
        <f>COUNTIFS('World Checklist'!$B$5:$B$831,A22,'World Checklist'!$G$5:$G$831,"Likely")</f>
        <v/>
      </c>
      <c r="E22" s="9">
        <f>COUNTIFS('World Checklist'!$B$5:$B$831,A22,'World Checklist'!$G$5:$G$831,"Planned")</f>
        <v/>
      </c>
      <c r="F22" s="9">
        <f>B22-C22-D22</f>
        <v/>
      </c>
      <c r="G22" s="20">
        <f>IF(B22=0,"",(C22+D22)/B22)</f>
        <v/>
      </c>
      <c r="H22" s="9">
        <f>IF(COUNTIF('Country Summary'!$B$5:$B$200,A22)&gt;0,"Yes","")</f>
        <v/>
      </c>
    </row>
    <row r="23">
      <c r="A23" s="9" t="inlineStr">
        <is>
          <t>Slovenia</t>
        </is>
      </c>
      <c r="B23" s="9">
        <f>COUNTIF('World Checklist'!$B$5:$B$831,A23)</f>
        <v/>
      </c>
      <c r="C23" s="9">
        <f>COUNTIFS('World Checklist'!$B$5:$B$831,A23,'World Checklist'!$G$5:$G$831,"Yes")</f>
        <v/>
      </c>
      <c r="D23" s="9">
        <f>COUNTIFS('World Checklist'!$B$5:$B$831,A23,'World Checklist'!$G$5:$G$831,"Likely")</f>
        <v/>
      </c>
      <c r="E23" s="9">
        <f>COUNTIFS('World Checklist'!$B$5:$B$831,A23,'World Checklist'!$G$5:$G$831,"Planned")</f>
        <v/>
      </c>
      <c r="F23" s="9">
        <f>B23-C23-D23</f>
        <v/>
      </c>
      <c r="G23" s="20">
        <f>IF(B23=0,"",(C23+D23)/B23)</f>
        <v/>
      </c>
      <c r="H23" s="9">
        <f>IF(COUNTIF('Country Summary'!$B$5:$B$200,A23)&gt;0,"Yes","")</f>
        <v/>
      </c>
    </row>
    <row r="24">
      <c r="A24" s="9" t="inlineStr">
        <is>
          <t>Denmark</t>
        </is>
      </c>
      <c r="B24" s="9">
        <f>COUNTIF('World Checklist'!$B$5:$B$831,A24)</f>
        <v/>
      </c>
      <c r="C24" s="9">
        <f>COUNTIFS('World Checklist'!$B$5:$B$831,A24,'World Checklist'!$G$5:$G$831,"Yes")</f>
        <v/>
      </c>
      <c r="D24" s="9">
        <f>COUNTIFS('World Checklist'!$B$5:$B$831,A24,'World Checklist'!$G$5:$G$831,"Likely")</f>
        <v/>
      </c>
      <c r="E24" s="9">
        <f>COUNTIFS('World Checklist'!$B$5:$B$831,A24,'World Checklist'!$G$5:$G$831,"Planned")</f>
        <v/>
      </c>
      <c r="F24" s="9">
        <f>B24-C24-D24</f>
        <v/>
      </c>
      <c r="G24" s="20">
        <f>IF(B24=0,"",(C24+D24)/B24)</f>
        <v/>
      </c>
      <c r="H24" s="9">
        <f>IF(COUNTIF('Country Summary'!$B$5:$B$200,A24)&gt;0,"Yes","")</f>
        <v/>
      </c>
    </row>
    <row r="25">
      <c r="A25" s="9" t="inlineStr">
        <is>
          <t>Sweden</t>
        </is>
      </c>
      <c r="B25" s="9">
        <f>COUNTIF('World Checklist'!$B$5:$B$831,A25)</f>
        <v/>
      </c>
      <c r="C25" s="9">
        <f>COUNTIFS('World Checklist'!$B$5:$B$831,A25,'World Checklist'!$G$5:$G$831,"Yes")</f>
        <v/>
      </c>
      <c r="D25" s="9">
        <f>COUNTIFS('World Checklist'!$B$5:$B$831,A25,'World Checklist'!$G$5:$G$831,"Likely")</f>
        <v/>
      </c>
      <c r="E25" s="9">
        <f>COUNTIFS('World Checklist'!$B$5:$B$831,A25,'World Checklist'!$G$5:$G$831,"Planned")</f>
        <v/>
      </c>
      <c r="F25" s="9">
        <f>B25-C25-D25</f>
        <v/>
      </c>
      <c r="G25" s="20">
        <f>IF(B25=0,"",(C25+D25)/B25)</f>
        <v/>
      </c>
      <c r="H25" s="9">
        <f>IF(COUNTIF('Country Summary'!$B$5:$B$200,A25)&gt;0,"Yes","")</f>
        <v/>
      </c>
    </row>
    <row r="26">
      <c r="A26" s="9" t="inlineStr">
        <is>
          <t>Norway</t>
        </is>
      </c>
      <c r="B26" s="9">
        <f>COUNTIF('World Checklist'!$B$5:$B$831,A26)</f>
        <v/>
      </c>
      <c r="C26" s="9">
        <f>COUNTIFS('World Checklist'!$B$5:$B$831,A26,'World Checklist'!$G$5:$G$831,"Yes")</f>
        <v/>
      </c>
      <c r="D26" s="9">
        <f>COUNTIFS('World Checklist'!$B$5:$B$831,A26,'World Checklist'!$G$5:$G$831,"Likely")</f>
        <v/>
      </c>
      <c r="E26" s="9">
        <f>COUNTIFS('World Checklist'!$B$5:$B$831,A26,'World Checklist'!$G$5:$G$831,"Planned")</f>
        <v/>
      </c>
      <c r="F26" s="9">
        <f>B26-C26-D26</f>
        <v/>
      </c>
      <c r="G26" s="20">
        <f>IF(B26=0,"",(C26+D26)/B26)</f>
        <v/>
      </c>
      <c r="H26" s="9">
        <f>IF(COUNTIF('Country Summary'!$B$5:$B$200,A26)&gt;0,"Yes","")</f>
        <v/>
      </c>
    </row>
    <row r="27">
      <c r="A27" s="9" t="inlineStr">
        <is>
          <t>Finland / Iceland</t>
        </is>
      </c>
      <c r="B27" s="9">
        <f>COUNTIF('World Checklist'!$B$5:$B$831,A27)</f>
        <v/>
      </c>
      <c r="C27" s="9">
        <f>COUNTIFS('World Checklist'!$B$5:$B$831,A27,'World Checklist'!$G$5:$G$831,"Yes")</f>
        <v/>
      </c>
      <c r="D27" s="9">
        <f>COUNTIFS('World Checklist'!$B$5:$B$831,A27,'World Checklist'!$G$5:$G$831,"Likely")</f>
        <v/>
      </c>
      <c r="E27" s="9">
        <f>COUNTIFS('World Checklist'!$B$5:$B$831,A27,'World Checklist'!$G$5:$G$831,"Planned")</f>
        <v/>
      </c>
      <c r="F27" s="9">
        <f>B27-C27-D27</f>
        <v/>
      </c>
      <c r="G27" s="20">
        <f>IF(B27=0,"",(C27+D27)/B27)</f>
        <v/>
      </c>
      <c r="H27" s="9">
        <f>IF(COUNTIF('Country Summary'!$B$5:$B$200,A27)&gt;0,"Yes","")</f>
        <v/>
      </c>
    </row>
    <row r="28">
      <c r="A28" s="9" t="inlineStr">
        <is>
          <t>Ireland</t>
        </is>
      </c>
      <c r="B28" s="9">
        <f>COUNTIF('World Checklist'!$B$5:$B$831,A28)</f>
        <v/>
      </c>
      <c r="C28" s="9">
        <f>COUNTIFS('World Checklist'!$B$5:$B$831,A28,'World Checklist'!$G$5:$G$831,"Yes")</f>
        <v/>
      </c>
      <c r="D28" s="9">
        <f>COUNTIFS('World Checklist'!$B$5:$B$831,A28,'World Checklist'!$G$5:$G$831,"Likely")</f>
        <v/>
      </c>
      <c r="E28" s="9">
        <f>COUNTIFS('World Checklist'!$B$5:$B$831,A28,'World Checklist'!$G$5:$G$831,"Planned")</f>
        <v/>
      </c>
      <c r="F28" s="9">
        <f>B28-C28-D28</f>
        <v/>
      </c>
      <c r="G28" s="20">
        <f>IF(B28=0,"",(C28+D28)/B28)</f>
        <v/>
      </c>
      <c r="H28" s="9">
        <f>IF(COUNTIF('Country Summary'!$B$5:$B$200,A28)&gt;0,"Yes","")</f>
        <v/>
      </c>
    </row>
    <row r="29">
      <c r="A29" s="9" t="inlineStr">
        <is>
          <t>Turkey</t>
        </is>
      </c>
      <c r="B29" s="9">
        <f>COUNTIF('World Checklist'!$B$5:$B$831,A29)</f>
        <v/>
      </c>
      <c r="C29" s="9">
        <f>COUNTIFS('World Checklist'!$B$5:$B$831,A29,'World Checklist'!$G$5:$G$831,"Yes")</f>
        <v/>
      </c>
      <c r="D29" s="9">
        <f>COUNTIFS('World Checklist'!$B$5:$B$831,A29,'World Checklist'!$G$5:$G$831,"Likely")</f>
        <v/>
      </c>
      <c r="E29" s="9">
        <f>COUNTIFS('World Checklist'!$B$5:$B$831,A29,'World Checklist'!$G$5:$G$831,"Planned")</f>
        <v/>
      </c>
      <c r="F29" s="9">
        <f>B29-C29-D29</f>
        <v/>
      </c>
      <c r="G29" s="20">
        <f>IF(B29=0,"",(C29+D29)/B29)</f>
        <v/>
      </c>
      <c r="H29" s="9">
        <f>IF(COUNTIF('Country Summary'!$B$5:$B$200,A29)&gt;0,"Yes","")</f>
        <v/>
      </c>
    </row>
    <row r="30">
      <c r="A30" s="9" t="inlineStr">
        <is>
          <t>Russia</t>
        </is>
      </c>
      <c r="B30" s="9">
        <f>COUNTIF('World Checklist'!$B$5:$B$831,A30)</f>
        <v/>
      </c>
      <c r="C30" s="9">
        <f>COUNTIFS('World Checklist'!$B$5:$B$831,A30,'World Checklist'!$G$5:$G$831,"Yes")</f>
        <v/>
      </c>
      <c r="D30" s="9">
        <f>COUNTIFS('World Checklist'!$B$5:$B$831,A30,'World Checklist'!$G$5:$G$831,"Likely")</f>
        <v/>
      </c>
      <c r="E30" s="9">
        <f>COUNTIFS('World Checklist'!$B$5:$B$831,A30,'World Checklist'!$G$5:$G$831,"Planned")</f>
        <v/>
      </c>
      <c r="F30" s="9">
        <f>B30-C30-D30</f>
        <v/>
      </c>
      <c r="G30" s="20">
        <f>IF(B30=0,"",(C30+D30)/B30)</f>
        <v/>
      </c>
      <c r="H30" s="9">
        <f>IF(COUNTIF('Country Summary'!$B$5:$B$200,A30)&gt;0,"Yes","")</f>
        <v/>
      </c>
    </row>
    <row r="31">
      <c r="A31" s="9" t="inlineStr">
        <is>
          <t>UAE</t>
        </is>
      </c>
      <c r="B31" s="9">
        <f>COUNTIF('World Checklist'!$B$5:$B$831,A31)</f>
        <v/>
      </c>
      <c r="C31" s="9">
        <f>COUNTIFS('World Checklist'!$B$5:$B$831,A31,'World Checklist'!$G$5:$G$831,"Yes")</f>
        <v/>
      </c>
      <c r="D31" s="9">
        <f>COUNTIFS('World Checklist'!$B$5:$B$831,A31,'World Checklist'!$G$5:$G$831,"Likely")</f>
        <v/>
      </c>
      <c r="E31" s="9">
        <f>COUNTIFS('World Checklist'!$B$5:$B$831,A31,'World Checklist'!$G$5:$G$831,"Planned")</f>
        <v/>
      </c>
      <c r="F31" s="9">
        <f>B31-C31-D31</f>
        <v/>
      </c>
      <c r="G31" s="20">
        <f>IF(B31=0,"",(C31+D31)/B31)</f>
        <v/>
      </c>
      <c r="H31" s="9">
        <f>IF(COUNTIF('Country Summary'!$B$5:$B$200,A31)&gt;0,"Yes","")</f>
        <v/>
      </c>
    </row>
    <row r="32">
      <c r="A32" s="9" t="inlineStr">
        <is>
          <t>Sri Lanka</t>
        </is>
      </c>
      <c r="B32" s="9">
        <f>COUNTIF('World Checklist'!$B$5:$B$831,A32)</f>
        <v/>
      </c>
      <c r="C32" s="9">
        <f>COUNTIFS('World Checklist'!$B$5:$B$831,A32,'World Checklist'!$G$5:$G$831,"Yes")</f>
        <v/>
      </c>
      <c r="D32" s="9">
        <f>COUNTIFS('World Checklist'!$B$5:$B$831,A32,'World Checklist'!$G$5:$G$831,"Likely")</f>
        <v/>
      </c>
      <c r="E32" s="9">
        <f>COUNTIFS('World Checklist'!$B$5:$B$831,A32,'World Checklist'!$G$5:$G$831,"Planned")</f>
        <v/>
      </c>
      <c r="F32" s="9">
        <f>B32-C32-D32</f>
        <v/>
      </c>
      <c r="G32" s="20">
        <f>IF(B32=0,"",(C32+D32)/B32)</f>
        <v/>
      </c>
      <c r="H32" s="9">
        <f>IF(COUNTIF('Country Summary'!$B$5:$B$200,A32)&gt;0,"Yes","")</f>
        <v/>
      </c>
    </row>
    <row r="33">
      <c r="A33" s="9" t="inlineStr">
        <is>
          <t>Cambodia</t>
        </is>
      </c>
      <c r="B33" s="9">
        <f>COUNTIF('World Checklist'!$B$5:$B$831,A33)</f>
        <v/>
      </c>
      <c r="C33" s="9">
        <f>COUNTIFS('World Checklist'!$B$5:$B$831,A33,'World Checklist'!$G$5:$G$831,"Yes")</f>
        <v/>
      </c>
      <c r="D33" s="9">
        <f>COUNTIFS('World Checklist'!$B$5:$B$831,A33,'World Checklist'!$G$5:$G$831,"Likely")</f>
        <v/>
      </c>
      <c r="E33" s="9">
        <f>COUNTIFS('World Checklist'!$B$5:$B$831,A33,'World Checklist'!$G$5:$G$831,"Planned")</f>
        <v/>
      </c>
      <c r="F33" s="9">
        <f>B33-C33-D33</f>
        <v/>
      </c>
      <c r="G33" s="20">
        <f>IF(B33=0,"",(C33+D33)/B33)</f>
        <v/>
      </c>
      <c r="H33" s="9">
        <f>IF(COUNTIF('Country Summary'!$B$5:$B$200,A33)&gt;0,"Yes","")</f>
        <v/>
      </c>
    </row>
    <row r="34">
      <c r="A34" s="9" t="inlineStr">
        <is>
          <t>Thailand</t>
        </is>
      </c>
      <c r="B34" s="9">
        <f>COUNTIF('World Checklist'!$B$5:$B$831,A34)</f>
        <v/>
      </c>
      <c r="C34" s="9">
        <f>COUNTIFS('World Checklist'!$B$5:$B$831,A34,'World Checklist'!$G$5:$G$831,"Yes")</f>
        <v/>
      </c>
      <c r="D34" s="9">
        <f>COUNTIFS('World Checklist'!$B$5:$B$831,A34,'World Checklist'!$G$5:$G$831,"Likely")</f>
        <v/>
      </c>
      <c r="E34" s="9">
        <f>COUNTIFS('World Checklist'!$B$5:$B$831,A34,'World Checklist'!$G$5:$G$831,"Planned")</f>
        <v/>
      </c>
      <c r="F34" s="9">
        <f>B34-C34-D34</f>
        <v/>
      </c>
      <c r="G34" s="20">
        <f>IF(B34=0,"",(C34+D34)/B34)</f>
        <v/>
      </c>
      <c r="H34" s="9">
        <f>IF(COUNTIF('Country Summary'!$B$5:$B$200,A34)&gt;0,"Yes","")</f>
        <v/>
      </c>
    </row>
    <row r="35">
      <c r="A35" s="9" t="inlineStr">
        <is>
          <t>Nepal</t>
        </is>
      </c>
      <c r="B35" s="9">
        <f>COUNTIF('World Checklist'!$B$5:$B$831,A35)</f>
        <v/>
      </c>
      <c r="C35" s="9">
        <f>COUNTIFS('World Checklist'!$B$5:$B$831,A35,'World Checklist'!$G$5:$G$831,"Yes")</f>
        <v/>
      </c>
      <c r="D35" s="9">
        <f>COUNTIFS('World Checklist'!$B$5:$B$831,A35,'World Checklist'!$G$5:$G$831,"Likely")</f>
        <v/>
      </c>
      <c r="E35" s="9">
        <f>COUNTIFS('World Checklist'!$B$5:$B$831,A35,'World Checklist'!$G$5:$G$831,"Planned")</f>
        <v/>
      </c>
      <c r="F35" s="9">
        <f>B35-C35-D35</f>
        <v/>
      </c>
      <c r="G35" s="20">
        <f>IF(B35=0,"",(C35+D35)/B35)</f>
        <v/>
      </c>
      <c r="H35" s="9">
        <f>IF(COUNTIF('Country Summary'!$B$5:$B$200,A35)&gt;0,"Yes","")</f>
        <v/>
      </c>
    </row>
    <row r="36">
      <c r="A36" s="9" t="inlineStr">
        <is>
          <t>Bhutan</t>
        </is>
      </c>
      <c r="B36" s="9">
        <f>COUNTIF('World Checklist'!$B$5:$B$831,A36)</f>
        <v/>
      </c>
      <c r="C36" s="9">
        <f>COUNTIFS('World Checklist'!$B$5:$B$831,A36,'World Checklist'!$G$5:$G$831,"Yes")</f>
        <v/>
      </c>
      <c r="D36" s="9">
        <f>COUNTIFS('World Checklist'!$B$5:$B$831,A36,'World Checklist'!$G$5:$G$831,"Likely")</f>
        <v/>
      </c>
      <c r="E36" s="9">
        <f>COUNTIFS('World Checklist'!$B$5:$B$831,A36,'World Checklist'!$G$5:$G$831,"Planned")</f>
        <v/>
      </c>
      <c r="F36" s="9">
        <f>B36-C36-D36</f>
        <v/>
      </c>
      <c r="G36" s="20">
        <f>IF(B36=0,"",(C36+D36)/B36)</f>
        <v/>
      </c>
      <c r="H36" s="9">
        <f>IF(COUNTIF('Country Summary'!$B$5:$B$200,A36)&gt;0,"Yes","")</f>
        <v/>
      </c>
    </row>
    <row r="37">
      <c r="A37" s="9" t="inlineStr">
        <is>
          <t>Bangladesh</t>
        </is>
      </c>
      <c r="B37" s="9">
        <f>COUNTIF('World Checklist'!$B$5:$B$831,A37)</f>
        <v/>
      </c>
      <c r="C37" s="9">
        <f>COUNTIFS('World Checklist'!$B$5:$B$831,A37,'World Checklist'!$G$5:$G$831,"Yes")</f>
        <v/>
      </c>
      <c r="D37" s="9">
        <f>COUNTIFS('World Checklist'!$B$5:$B$831,A37,'World Checklist'!$G$5:$G$831,"Likely")</f>
        <v/>
      </c>
      <c r="E37" s="9">
        <f>COUNTIFS('World Checklist'!$B$5:$B$831,A37,'World Checklist'!$G$5:$G$831,"Planned")</f>
        <v/>
      </c>
      <c r="F37" s="9">
        <f>B37-C37-D37</f>
        <v/>
      </c>
      <c r="G37" s="20">
        <f>IF(B37=0,"",(C37+D37)/B37)</f>
        <v/>
      </c>
      <c r="H37" s="9">
        <f>IF(COUNTIF('Country Summary'!$B$5:$B$200,A37)&gt;0,"Yes","")</f>
        <v/>
      </c>
    </row>
    <row r="38">
      <c r="A38" s="9" t="inlineStr">
        <is>
          <t>Maldives</t>
        </is>
      </c>
      <c r="B38" s="9">
        <f>COUNTIF('World Checklist'!$B$5:$B$831,A38)</f>
        <v/>
      </c>
      <c r="C38" s="9">
        <f>COUNTIFS('World Checklist'!$B$5:$B$831,A38,'World Checklist'!$G$5:$G$831,"Yes")</f>
        <v/>
      </c>
      <c r="D38" s="9">
        <f>COUNTIFS('World Checklist'!$B$5:$B$831,A38,'World Checklist'!$G$5:$G$831,"Likely")</f>
        <v/>
      </c>
      <c r="E38" s="9">
        <f>COUNTIFS('World Checklist'!$B$5:$B$831,A38,'World Checklist'!$G$5:$G$831,"Planned")</f>
        <v/>
      </c>
      <c r="F38" s="9">
        <f>B38-C38-D38</f>
        <v/>
      </c>
      <c r="G38" s="20">
        <f>IF(B38=0,"",(C38+D38)/B38)</f>
        <v/>
      </c>
      <c r="H38" s="9">
        <f>IF(COUNTIF('Country Summary'!$B$5:$B$200,A38)&gt;0,"Yes","")</f>
        <v/>
      </c>
    </row>
    <row r="39">
      <c r="A39" s="9" t="inlineStr">
        <is>
          <t>Mauritius</t>
        </is>
      </c>
      <c r="B39" s="9">
        <f>COUNTIF('World Checklist'!$B$5:$B$831,A39)</f>
        <v/>
      </c>
      <c r="C39" s="9">
        <f>COUNTIFS('World Checklist'!$B$5:$B$831,A39,'World Checklist'!$G$5:$G$831,"Yes")</f>
        <v/>
      </c>
      <c r="D39" s="9">
        <f>COUNTIFS('World Checklist'!$B$5:$B$831,A39,'World Checklist'!$G$5:$G$831,"Likely")</f>
        <v/>
      </c>
      <c r="E39" s="9">
        <f>COUNTIFS('World Checklist'!$B$5:$B$831,A39,'World Checklist'!$G$5:$G$831,"Planned")</f>
        <v/>
      </c>
      <c r="F39" s="9">
        <f>B39-C39-D39</f>
        <v/>
      </c>
      <c r="G39" s="20">
        <f>IF(B39=0,"",(C39+D39)/B39)</f>
        <v/>
      </c>
      <c r="H39" s="9">
        <f>IF(COUNTIF('Country Summary'!$B$5:$B$200,A39)&gt;0,"Yes","")</f>
        <v/>
      </c>
    </row>
    <row r="40">
      <c r="A40" s="9" t="inlineStr">
        <is>
          <t>Malaysia</t>
        </is>
      </c>
      <c r="B40" s="9">
        <f>COUNTIF('World Checklist'!$B$5:$B$831,A40)</f>
        <v/>
      </c>
      <c r="C40" s="9">
        <f>COUNTIFS('World Checklist'!$B$5:$B$831,A40,'World Checklist'!$G$5:$G$831,"Yes")</f>
        <v/>
      </c>
      <c r="D40" s="9">
        <f>COUNTIFS('World Checklist'!$B$5:$B$831,A40,'World Checklist'!$G$5:$G$831,"Likely")</f>
        <v/>
      </c>
      <c r="E40" s="9">
        <f>COUNTIFS('World Checklist'!$B$5:$B$831,A40,'World Checklist'!$G$5:$G$831,"Planned")</f>
        <v/>
      </c>
      <c r="F40" s="9">
        <f>B40-C40-D40</f>
        <v/>
      </c>
      <c r="G40" s="20">
        <f>IF(B40=0,"",(C40+D40)/B40)</f>
        <v/>
      </c>
      <c r="H40" s="9">
        <f>IF(COUNTIF('Country Summary'!$B$5:$B$200,A40)&gt;0,"Yes","")</f>
        <v/>
      </c>
    </row>
    <row r="41">
      <c r="A41" s="9" t="inlineStr">
        <is>
          <t>Singapore</t>
        </is>
      </c>
      <c r="B41" s="9">
        <f>COUNTIF('World Checklist'!$B$5:$B$831,A41)</f>
        <v/>
      </c>
      <c r="C41" s="9">
        <f>COUNTIFS('World Checklist'!$B$5:$B$831,A41,'World Checklist'!$G$5:$G$831,"Yes")</f>
        <v/>
      </c>
      <c r="D41" s="9">
        <f>COUNTIFS('World Checklist'!$B$5:$B$831,A41,'World Checklist'!$G$5:$G$831,"Likely")</f>
        <v/>
      </c>
      <c r="E41" s="9">
        <f>COUNTIFS('World Checklist'!$B$5:$B$831,A41,'World Checklist'!$G$5:$G$831,"Planned")</f>
        <v/>
      </c>
      <c r="F41" s="9">
        <f>B41-C41-D41</f>
        <v/>
      </c>
      <c r="G41" s="20">
        <f>IF(B41=0,"",(C41+D41)/B41)</f>
        <v/>
      </c>
      <c r="H41" s="9">
        <f>IF(COUNTIF('Country Summary'!$B$5:$B$200,A41)&gt;0,"Yes","")</f>
        <v/>
      </c>
    </row>
    <row r="42">
      <c r="A42" s="9" t="inlineStr">
        <is>
          <t>Indonesia</t>
        </is>
      </c>
      <c r="B42" s="9">
        <f>COUNTIF('World Checklist'!$B$5:$B$831,A42)</f>
        <v/>
      </c>
      <c r="C42" s="9">
        <f>COUNTIFS('World Checklist'!$B$5:$B$831,A42,'World Checklist'!$G$5:$G$831,"Yes")</f>
        <v/>
      </c>
      <c r="D42" s="9">
        <f>COUNTIFS('World Checklist'!$B$5:$B$831,A42,'World Checklist'!$G$5:$G$831,"Likely")</f>
        <v/>
      </c>
      <c r="E42" s="9">
        <f>COUNTIFS('World Checklist'!$B$5:$B$831,A42,'World Checklist'!$G$5:$G$831,"Planned")</f>
        <v/>
      </c>
      <c r="F42" s="9">
        <f>B42-C42-D42</f>
        <v/>
      </c>
      <c r="G42" s="20">
        <f>IF(B42=0,"",(C42+D42)/B42)</f>
        <v/>
      </c>
      <c r="H42" s="9">
        <f>IF(COUNTIF('Country Summary'!$B$5:$B$200,A42)&gt;0,"Yes","")</f>
        <v/>
      </c>
    </row>
    <row r="43">
      <c r="A43" s="9" t="inlineStr">
        <is>
          <t>Vietnam</t>
        </is>
      </c>
      <c r="B43" s="9">
        <f>COUNTIF('World Checklist'!$B$5:$B$831,A43)</f>
        <v/>
      </c>
      <c r="C43" s="9">
        <f>COUNTIFS('World Checklist'!$B$5:$B$831,A43,'World Checklist'!$G$5:$G$831,"Yes")</f>
        <v/>
      </c>
      <c r="D43" s="9">
        <f>COUNTIFS('World Checklist'!$B$5:$B$831,A43,'World Checklist'!$G$5:$G$831,"Likely")</f>
        <v/>
      </c>
      <c r="E43" s="9">
        <f>COUNTIFS('World Checklist'!$B$5:$B$831,A43,'World Checklist'!$G$5:$G$831,"Planned")</f>
        <v/>
      </c>
      <c r="F43" s="9">
        <f>B43-C43-D43</f>
        <v/>
      </c>
      <c r="G43" s="20">
        <f>IF(B43=0,"",(C43+D43)/B43)</f>
        <v/>
      </c>
      <c r="H43" s="9">
        <f>IF(COUNTIF('Country Summary'!$B$5:$B$200,A43)&gt;0,"Yes","")</f>
        <v/>
      </c>
    </row>
    <row r="44">
      <c r="A44" s="9" t="inlineStr">
        <is>
          <t>Laos</t>
        </is>
      </c>
      <c r="B44" s="9">
        <f>COUNTIF('World Checklist'!$B$5:$B$831,A44)</f>
        <v/>
      </c>
      <c r="C44" s="9">
        <f>COUNTIFS('World Checklist'!$B$5:$B$831,A44,'World Checklist'!$G$5:$G$831,"Yes")</f>
        <v/>
      </c>
      <c r="D44" s="9">
        <f>COUNTIFS('World Checklist'!$B$5:$B$831,A44,'World Checklist'!$G$5:$G$831,"Likely")</f>
        <v/>
      </c>
      <c r="E44" s="9">
        <f>COUNTIFS('World Checklist'!$B$5:$B$831,A44,'World Checklist'!$G$5:$G$831,"Planned")</f>
        <v/>
      </c>
      <c r="F44" s="9">
        <f>B44-C44-D44</f>
        <v/>
      </c>
      <c r="G44" s="20">
        <f>IF(B44=0,"",(C44+D44)/B44)</f>
        <v/>
      </c>
      <c r="H44" s="9">
        <f>IF(COUNTIF('Country Summary'!$B$5:$B$200,A44)&gt;0,"Yes","")</f>
        <v/>
      </c>
    </row>
    <row r="45">
      <c r="A45" s="9" t="inlineStr">
        <is>
          <t>Myanmar</t>
        </is>
      </c>
      <c r="B45" s="9">
        <f>COUNTIF('World Checklist'!$B$5:$B$831,A45)</f>
        <v/>
      </c>
      <c r="C45" s="9">
        <f>COUNTIFS('World Checklist'!$B$5:$B$831,A45,'World Checklist'!$G$5:$G$831,"Yes")</f>
        <v/>
      </c>
      <c r="D45" s="9">
        <f>COUNTIFS('World Checklist'!$B$5:$B$831,A45,'World Checklist'!$G$5:$G$831,"Likely")</f>
        <v/>
      </c>
      <c r="E45" s="9">
        <f>COUNTIFS('World Checklist'!$B$5:$B$831,A45,'World Checklist'!$G$5:$G$831,"Planned")</f>
        <v/>
      </c>
      <c r="F45" s="9">
        <f>B45-C45-D45</f>
        <v/>
      </c>
      <c r="G45" s="20">
        <f>IF(B45=0,"",(C45+D45)/B45)</f>
        <v/>
      </c>
      <c r="H45" s="9">
        <f>IF(COUNTIF('Country Summary'!$B$5:$B$200,A45)&gt;0,"Yes","")</f>
        <v/>
      </c>
    </row>
    <row r="46">
      <c r="A46" s="9" t="inlineStr">
        <is>
          <t>Philippines</t>
        </is>
      </c>
      <c r="B46" s="9">
        <f>COUNTIF('World Checklist'!$B$5:$B$831,A46)</f>
        <v/>
      </c>
      <c r="C46" s="9">
        <f>COUNTIFS('World Checklist'!$B$5:$B$831,A46,'World Checklist'!$G$5:$G$831,"Yes")</f>
        <v/>
      </c>
      <c r="D46" s="9">
        <f>COUNTIFS('World Checklist'!$B$5:$B$831,A46,'World Checklist'!$G$5:$G$831,"Likely")</f>
        <v/>
      </c>
      <c r="E46" s="9">
        <f>COUNTIFS('World Checklist'!$B$5:$B$831,A46,'World Checklist'!$G$5:$G$831,"Planned")</f>
        <v/>
      </c>
      <c r="F46" s="9">
        <f>B46-C46-D46</f>
        <v/>
      </c>
      <c r="G46" s="20">
        <f>IF(B46=0,"",(C46+D46)/B46)</f>
        <v/>
      </c>
      <c r="H46" s="9">
        <f>IF(COUNTIF('Country Summary'!$B$5:$B$200,A46)&gt;0,"Yes","")</f>
        <v/>
      </c>
    </row>
    <row r="47">
      <c r="A47" s="9" t="inlineStr">
        <is>
          <t>Japan</t>
        </is>
      </c>
      <c r="B47" s="9">
        <f>COUNTIF('World Checklist'!$B$5:$B$831,A47)</f>
        <v/>
      </c>
      <c r="C47" s="9">
        <f>COUNTIFS('World Checklist'!$B$5:$B$831,A47,'World Checklist'!$G$5:$G$831,"Yes")</f>
        <v/>
      </c>
      <c r="D47" s="9">
        <f>COUNTIFS('World Checklist'!$B$5:$B$831,A47,'World Checklist'!$G$5:$G$831,"Likely")</f>
        <v/>
      </c>
      <c r="E47" s="9">
        <f>COUNTIFS('World Checklist'!$B$5:$B$831,A47,'World Checklist'!$G$5:$G$831,"Planned")</f>
        <v/>
      </c>
      <c r="F47" s="9">
        <f>B47-C47-D47</f>
        <v/>
      </c>
      <c r="G47" s="20">
        <f>IF(B47=0,"",(C47+D47)/B47)</f>
        <v/>
      </c>
      <c r="H47" s="9">
        <f>IF(COUNTIF('Country Summary'!$B$5:$B$200,A47)&gt;0,"Yes","")</f>
        <v/>
      </c>
    </row>
    <row r="48">
      <c r="A48" s="9" t="inlineStr">
        <is>
          <t>South Korea</t>
        </is>
      </c>
      <c r="B48" s="9">
        <f>COUNTIF('World Checklist'!$B$5:$B$831,A48)</f>
        <v/>
      </c>
      <c r="C48" s="9">
        <f>COUNTIFS('World Checklist'!$B$5:$B$831,A48,'World Checklist'!$G$5:$G$831,"Yes")</f>
        <v/>
      </c>
      <c r="D48" s="9">
        <f>COUNTIFS('World Checklist'!$B$5:$B$831,A48,'World Checklist'!$G$5:$G$831,"Likely")</f>
        <v/>
      </c>
      <c r="E48" s="9">
        <f>COUNTIFS('World Checklist'!$B$5:$B$831,A48,'World Checklist'!$G$5:$G$831,"Planned")</f>
        <v/>
      </c>
      <c r="F48" s="9">
        <f>B48-C48-D48</f>
        <v/>
      </c>
      <c r="G48" s="20">
        <f>IF(B48=0,"",(C48+D48)/B48)</f>
        <v/>
      </c>
      <c r="H48" s="9">
        <f>IF(COUNTIF('Country Summary'!$B$5:$B$200,A48)&gt;0,"Yes","")</f>
        <v/>
      </c>
    </row>
    <row r="49">
      <c r="A49" s="9" t="inlineStr">
        <is>
          <t>China</t>
        </is>
      </c>
      <c r="B49" s="9">
        <f>COUNTIF('World Checklist'!$B$5:$B$831,A49)</f>
        <v/>
      </c>
      <c r="C49" s="9">
        <f>COUNTIFS('World Checklist'!$B$5:$B$831,A49,'World Checklist'!$G$5:$G$831,"Yes")</f>
        <v/>
      </c>
      <c r="D49" s="9">
        <f>COUNTIFS('World Checklist'!$B$5:$B$831,A49,'World Checklist'!$G$5:$G$831,"Likely")</f>
        <v/>
      </c>
      <c r="E49" s="9">
        <f>COUNTIFS('World Checklist'!$B$5:$B$831,A49,'World Checklist'!$G$5:$G$831,"Planned")</f>
        <v/>
      </c>
      <c r="F49" s="9">
        <f>B49-C49-D49</f>
        <v/>
      </c>
      <c r="G49" s="20">
        <f>IF(B49=0,"",(C49+D49)/B49)</f>
        <v/>
      </c>
      <c r="H49" s="9">
        <f>IF(COUNTIF('Country Summary'!$B$5:$B$200,A49)&gt;0,"Yes","")</f>
        <v/>
      </c>
    </row>
    <row r="50">
      <c r="A50" s="9" t="inlineStr">
        <is>
          <t>Hong Kong</t>
        </is>
      </c>
      <c r="B50" s="9">
        <f>COUNTIF('World Checklist'!$B$5:$B$831,A50)</f>
        <v/>
      </c>
      <c r="C50" s="9">
        <f>COUNTIFS('World Checklist'!$B$5:$B$831,A50,'World Checklist'!$G$5:$G$831,"Yes")</f>
        <v/>
      </c>
      <c r="D50" s="9">
        <f>COUNTIFS('World Checklist'!$B$5:$B$831,A50,'World Checklist'!$G$5:$G$831,"Likely")</f>
        <v/>
      </c>
      <c r="E50" s="9">
        <f>COUNTIFS('World Checklist'!$B$5:$B$831,A50,'World Checklist'!$G$5:$G$831,"Planned")</f>
        <v/>
      </c>
      <c r="F50" s="9">
        <f>B50-C50-D50</f>
        <v/>
      </c>
      <c r="G50" s="20">
        <f>IF(B50=0,"",(C50+D50)/B50)</f>
        <v/>
      </c>
      <c r="H50" s="9">
        <f>IF(COUNTIF('Country Summary'!$B$5:$B$200,A50)&gt;0,"Yes","")</f>
        <v/>
      </c>
    </row>
    <row r="51">
      <c r="A51" s="9" t="inlineStr">
        <is>
          <t>Taiwan</t>
        </is>
      </c>
      <c r="B51" s="9">
        <f>COUNTIF('World Checklist'!$B$5:$B$831,A51)</f>
        <v/>
      </c>
      <c r="C51" s="9">
        <f>COUNTIFS('World Checklist'!$B$5:$B$831,A51,'World Checklist'!$G$5:$G$831,"Yes")</f>
        <v/>
      </c>
      <c r="D51" s="9">
        <f>COUNTIFS('World Checklist'!$B$5:$B$831,A51,'World Checklist'!$G$5:$G$831,"Likely")</f>
        <v/>
      </c>
      <c r="E51" s="9">
        <f>COUNTIFS('World Checklist'!$B$5:$B$831,A51,'World Checklist'!$G$5:$G$831,"Planned")</f>
        <v/>
      </c>
      <c r="F51" s="9">
        <f>B51-C51-D51</f>
        <v/>
      </c>
      <c r="G51" s="20">
        <f>IF(B51=0,"",(C51+D51)/B51)</f>
        <v/>
      </c>
      <c r="H51" s="9">
        <f>IF(COUNTIF('Country Summary'!$B$5:$B$200,A51)&gt;0,"Yes","")</f>
        <v/>
      </c>
    </row>
    <row r="52">
      <c r="A52" s="9" t="inlineStr">
        <is>
          <t>Kazakhstan</t>
        </is>
      </c>
      <c r="B52" s="9">
        <f>COUNTIF('World Checklist'!$B$5:$B$831,A52)</f>
        <v/>
      </c>
      <c r="C52" s="9">
        <f>COUNTIFS('World Checklist'!$B$5:$B$831,A52,'World Checklist'!$G$5:$G$831,"Yes")</f>
        <v/>
      </c>
      <c r="D52" s="9">
        <f>COUNTIFS('World Checklist'!$B$5:$B$831,A52,'World Checklist'!$G$5:$G$831,"Likely")</f>
        <v/>
      </c>
      <c r="E52" s="9">
        <f>COUNTIFS('World Checklist'!$B$5:$B$831,A52,'World Checklist'!$G$5:$G$831,"Planned")</f>
        <v/>
      </c>
      <c r="F52" s="9">
        <f>B52-C52-D52</f>
        <v/>
      </c>
      <c r="G52" s="20">
        <f>IF(B52=0,"",(C52+D52)/B52)</f>
        <v/>
      </c>
      <c r="H52" s="9">
        <f>IF(COUNTIF('Country Summary'!$B$5:$B$200,A52)&gt;0,"Yes","")</f>
        <v/>
      </c>
    </row>
    <row r="53">
      <c r="A53" s="9" t="inlineStr">
        <is>
          <t>Uzbekistan</t>
        </is>
      </c>
      <c r="B53" s="9">
        <f>COUNTIF('World Checklist'!$B$5:$B$831,A53)</f>
        <v/>
      </c>
      <c r="C53" s="9">
        <f>COUNTIFS('World Checklist'!$B$5:$B$831,A53,'World Checklist'!$G$5:$G$831,"Yes")</f>
        <v/>
      </c>
      <c r="D53" s="9">
        <f>COUNTIFS('World Checklist'!$B$5:$B$831,A53,'World Checklist'!$G$5:$G$831,"Likely")</f>
        <v/>
      </c>
      <c r="E53" s="9">
        <f>COUNTIFS('World Checklist'!$B$5:$B$831,A53,'World Checklist'!$G$5:$G$831,"Planned")</f>
        <v/>
      </c>
      <c r="F53" s="9">
        <f>B53-C53-D53</f>
        <v/>
      </c>
      <c r="G53" s="20">
        <f>IF(B53=0,"",(C53+D53)/B53)</f>
        <v/>
      </c>
      <c r="H53" s="9">
        <f>IF(COUNTIF('Country Summary'!$B$5:$B$200,A53)&gt;0,"Yes","")</f>
        <v/>
      </c>
    </row>
    <row r="54">
      <c r="A54" s="9" t="inlineStr">
        <is>
          <t>Georgia</t>
        </is>
      </c>
      <c r="B54" s="9">
        <f>COUNTIF('World Checklist'!$B$5:$B$831,A54)</f>
        <v/>
      </c>
      <c r="C54" s="9">
        <f>COUNTIFS('World Checklist'!$B$5:$B$831,A54,'World Checklist'!$G$5:$G$831,"Yes")</f>
        <v/>
      </c>
      <c r="D54" s="9">
        <f>COUNTIFS('World Checklist'!$B$5:$B$831,A54,'World Checklist'!$G$5:$G$831,"Likely")</f>
        <v/>
      </c>
      <c r="E54" s="9">
        <f>COUNTIFS('World Checklist'!$B$5:$B$831,A54,'World Checklist'!$G$5:$G$831,"Planned")</f>
        <v/>
      </c>
      <c r="F54" s="9">
        <f>B54-C54-D54</f>
        <v/>
      </c>
      <c r="G54" s="20">
        <f>IF(B54=0,"",(C54+D54)/B54)</f>
        <v/>
      </c>
      <c r="H54" s="9">
        <f>IF(COUNTIF('Country Summary'!$B$5:$B$200,A54)&gt;0,"Yes","")</f>
        <v/>
      </c>
    </row>
    <row r="55">
      <c r="A55" s="9" t="inlineStr">
        <is>
          <t>Armenia</t>
        </is>
      </c>
      <c r="B55" s="9">
        <f>COUNTIF('World Checklist'!$B$5:$B$831,A55)</f>
        <v/>
      </c>
      <c r="C55" s="9">
        <f>COUNTIFS('World Checklist'!$B$5:$B$831,A55,'World Checklist'!$G$5:$G$831,"Yes")</f>
        <v/>
      </c>
      <c r="D55" s="9">
        <f>COUNTIFS('World Checklist'!$B$5:$B$831,A55,'World Checklist'!$G$5:$G$831,"Likely")</f>
        <v/>
      </c>
      <c r="E55" s="9">
        <f>COUNTIFS('World Checklist'!$B$5:$B$831,A55,'World Checklist'!$G$5:$G$831,"Planned")</f>
        <v/>
      </c>
      <c r="F55" s="9">
        <f>B55-C55-D55</f>
        <v/>
      </c>
      <c r="G55" s="20">
        <f>IF(B55=0,"",(C55+D55)/B55)</f>
        <v/>
      </c>
      <c r="H55" s="9">
        <f>IF(COUNTIF('Country Summary'!$B$5:$B$200,A55)&gt;0,"Yes","")</f>
        <v/>
      </c>
    </row>
    <row r="56">
      <c r="A56" s="9" t="inlineStr">
        <is>
          <t>Israel / Palestine</t>
        </is>
      </c>
      <c r="B56" s="9">
        <f>COUNTIF('World Checklist'!$B$5:$B$831,A56)</f>
        <v/>
      </c>
      <c r="C56" s="9">
        <f>COUNTIFS('World Checklist'!$B$5:$B$831,A56,'World Checklist'!$G$5:$G$831,"Yes")</f>
        <v/>
      </c>
      <c r="D56" s="9">
        <f>COUNTIFS('World Checklist'!$B$5:$B$831,A56,'World Checklist'!$G$5:$G$831,"Likely")</f>
        <v/>
      </c>
      <c r="E56" s="9">
        <f>COUNTIFS('World Checklist'!$B$5:$B$831,A56,'World Checklist'!$G$5:$G$831,"Planned")</f>
        <v/>
      </c>
      <c r="F56" s="9">
        <f>B56-C56-D56</f>
        <v/>
      </c>
      <c r="G56" s="20">
        <f>IF(B56=0,"",(C56+D56)/B56)</f>
        <v/>
      </c>
      <c r="H56" s="9">
        <f>IF(COUNTIF('Country Summary'!$B$5:$B$200,A56)&gt;0,"Yes","")</f>
        <v/>
      </c>
    </row>
    <row r="57">
      <c r="A57" s="9" t="inlineStr">
        <is>
          <t>Jordan</t>
        </is>
      </c>
      <c r="B57" s="9">
        <f>COUNTIF('World Checklist'!$B$5:$B$831,A57)</f>
        <v/>
      </c>
      <c r="C57" s="9">
        <f>COUNTIFS('World Checklist'!$B$5:$B$831,A57,'World Checklist'!$G$5:$G$831,"Yes")</f>
        <v/>
      </c>
      <c r="D57" s="9">
        <f>COUNTIFS('World Checklist'!$B$5:$B$831,A57,'World Checklist'!$G$5:$G$831,"Likely")</f>
        <v/>
      </c>
      <c r="E57" s="9">
        <f>COUNTIFS('World Checklist'!$B$5:$B$831,A57,'World Checklist'!$G$5:$G$831,"Planned")</f>
        <v/>
      </c>
      <c r="F57" s="9">
        <f>B57-C57-D57</f>
        <v/>
      </c>
      <c r="G57" s="20">
        <f>IF(B57=0,"",(C57+D57)/B57)</f>
        <v/>
      </c>
      <c r="H57" s="9">
        <f>IF(COUNTIF('Country Summary'!$B$5:$B$200,A57)&gt;0,"Yes","")</f>
        <v/>
      </c>
    </row>
    <row r="58">
      <c r="A58" s="9" t="inlineStr">
        <is>
          <t>Saudi Arabia</t>
        </is>
      </c>
      <c r="B58" s="9">
        <f>COUNTIF('World Checklist'!$B$5:$B$831,A58)</f>
        <v/>
      </c>
      <c r="C58" s="9">
        <f>COUNTIFS('World Checklist'!$B$5:$B$831,A58,'World Checklist'!$G$5:$G$831,"Yes")</f>
        <v/>
      </c>
      <c r="D58" s="9">
        <f>COUNTIFS('World Checklist'!$B$5:$B$831,A58,'World Checklist'!$G$5:$G$831,"Likely")</f>
        <v/>
      </c>
      <c r="E58" s="9">
        <f>COUNTIFS('World Checklist'!$B$5:$B$831,A58,'World Checklist'!$G$5:$G$831,"Planned")</f>
        <v/>
      </c>
      <c r="F58" s="9">
        <f>B58-C58-D58</f>
        <v/>
      </c>
      <c r="G58" s="20">
        <f>IF(B58=0,"",(C58+D58)/B58)</f>
        <v/>
      </c>
      <c r="H58" s="9">
        <f>IF(COUNTIF('Country Summary'!$B$5:$B$200,A58)&gt;0,"Yes","")</f>
        <v/>
      </c>
    </row>
    <row r="59">
      <c r="A59" s="9" t="inlineStr">
        <is>
          <t>Oman</t>
        </is>
      </c>
      <c r="B59" s="9">
        <f>COUNTIF('World Checklist'!$B$5:$B$831,A59)</f>
        <v/>
      </c>
      <c r="C59" s="9">
        <f>COUNTIFS('World Checklist'!$B$5:$B$831,A59,'World Checklist'!$G$5:$G$831,"Yes")</f>
        <v/>
      </c>
      <c r="D59" s="9">
        <f>COUNTIFS('World Checklist'!$B$5:$B$831,A59,'World Checklist'!$G$5:$G$831,"Likely")</f>
        <v/>
      </c>
      <c r="E59" s="9">
        <f>COUNTIFS('World Checklist'!$B$5:$B$831,A59,'World Checklist'!$G$5:$G$831,"Planned")</f>
        <v/>
      </c>
      <c r="F59" s="9">
        <f>B59-C59-D59</f>
        <v/>
      </c>
      <c r="G59" s="20">
        <f>IF(B59=0,"",(C59+D59)/B59)</f>
        <v/>
      </c>
      <c r="H59" s="9">
        <f>IF(COUNTIF('Country Summary'!$B$5:$B$200,A59)&gt;0,"Yes","")</f>
        <v/>
      </c>
    </row>
    <row r="60">
      <c r="A60" s="9" t="inlineStr">
        <is>
          <t>Qatar</t>
        </is>
      </c>
      <c r="B60" s="9">
        <f>COUNTIF('World Checklist'!$B$5:$B$831,A60)</f>
        <v/>
      </c>
      <c r="C60" s="9">
        <f>COUNTIFS('World Checklist'!$B$5:$B$831,A60,'World Checklist'!$G$5:$G$831,"Yes")</f>
        <v/>
      </c>
      <c r="D60" s="9">
        <f>COUNTIFS('World Checklist'!$B$5:$B$831,A60,'World Checklist'!$G$5:$G$831,"Likely")</f>
        <v/>
      </c>
      <c r="E60" s="9">
        <f>COUNTIFS('World Checklist'!$B$5:$B$831,A60,'World Checklist'!$G$5:$G$831,"Planned")</f>
        <v/>
      </c>
      <c r="F60" s="9">
        <f>B60-C60-D60</f>
        <v/>
      </c>
      <c r="G60" s="20">
        <f>IF(B60=0,"",(C60+D60)/B60)</f>
        <v/>
      </c>
      <c r="H60" s="9">
        <f>IF(COUNTIF('Country Summary'!$B$5:$B$200,A60)&gt;0,"Yes","")</f>
        <v/>
      </c>
    </row>
    <row r="61">
      <c r="A61" s="9" t="inlineStr">
        <is>
          <t>Bahrain</t>
        </is>
      </c>
      <c r="B61" s="9">
        <f>COUNTIF('World Checklist'!$B$5:$B$831,A61)</f>
        <v/>
      </c>
      <c r="C61" s="9">
        <f>COUNTIFS('World Checklist'!$B$5:$B$831,A61,'World Checklist'!$G$5:$G$831,"Yes")</f>
        <v/>
      </c>
      <c r="D61" s="9">
        <f>COUNTIFS('World Checklist'!$B$5:$B$831,A61,'World Checklist'!$G$5:$G$831,"Likely")</f>
        <v/>
      </c>
      <c r="E61" s="9">
        <f>COUNTIFS('World Checklist'!$B$5:$B$831,A61,'World Checklist'!$G$5:$G$831,"Planned")</f>
        <v/>
      </c>
      <c r="F61" s="9">
        <f>B61-C61-D61</f>
        <v/>
      </c>
      <c r="G61" s="20">
        <f>IF(B61=0,"",(C61+D61)/B61)</f>
        <v/>
      </c>
      <c r="H61" s="9">
        <f>IF(COUNTIF('Country Summary'!$B$5:$B$200,A61)&gt;0,"Yes","")</f>
        <v/>
      </c>
    </row>
    <row r="62">
      <c r="A62" s="9" t="inlineStr">
        <is>
          <t>Egypt</t>
        </is>
      </c>
      <c r="B62" s="9">
        <f>COUNTIF('World Checklist'!$B$5:$B$831,A62)</f>
        <v/>
      </c>
      <c r="C62" s="9">
        <f>COUNTIFS('World Checklist'!$B$5:$B$831,A62,'World Checklist'!$G$5:$G$831,"Yes")</f>
        <v/>
      </c>
      <c r="D62" s="9">
        <f>COUNTIFS('World Checklist'!$B$5:$B$831,A62,'World Checklist'!$G$5:$G$831,"Likely")</f>
        <v/>
      </c>
      <c r="E62" s="9">
        <f>COUNTIFS('World Checklist'!$B$5:$B$831,A62,'World Checklist'!$G$5:$G$831,"Planned")</f>
        <v/>
      </c>
      <c r="F62" s="9">
        <f>B62-C62-D62</f>
        <v/>
      </c>
      <c r="G62" s="20">
        <f>IF(B62=0,"",(C62+D62)/B62)</f>
        <v/>
      </c>
      <c r="H62" s="9">
        <f>IF(COUNTIF('Country Summary'!$B$5:$B$200,A62)&gt;0,"Yes","")</f>
        <v/>
      </c>
    </row>
    <row r="63">
      <c r="A63" s="9" t="inlineStr">
        <is>
          <t>Kenya</t>
        </is>
      </c>
      <c r="B63" s="9">
        <f>COUNTIF('World Checklist'!$B$5:$B$831,A63)</f>
        <v/>
      </c>
      <c r="C63" s="9">
        <f>COUNTIFS('World Checklist'!$B$5:$B$831,A63,'World Checklist'!$G$5:$G$831,"Yes")</f>
        <v/>
      </c>
      <c r="D63" s="9">
        <f>COUNTIFS('World Checklist'!$B$5:$B$831,A63,'World Checklist'!$G$5:$G$831,"Likely")</f>
        <v/>
      </c>
      <c r="E63" s="9">
        <f>COUNTIFS('World Checklist'!$B$5:$B$831,A63,'World Checklist'!$G$5:$G$831,"Planned")</f>
        <v/>
      </c>
      <c r="F63" s="9">
        <f>B63-C63-D63</f>
        <v/>
      </c>
      <c r="G63" s="20">
        <f>IF(B63=0,"",(C63+D63)/B63)</f>
        <v/>
      </c>
      <c r="H63" s="9">
        <f>IF(COUNTIF('Country Summary'!$B$5:$B$200,A63)&gt;0,"Yes","")</f>
        <v/>
      </c>
    </row>
    <row r="64">
      <c r="A64" s="9" t="inlineStr">
        <is>
          <t>Tanzania</t>
        </is>
      </c>
      <c r="B64" s="9">
        <f>COUNTIF('World Checklist'!$B$5:$B$831,A64)</f>
        <v/>
      </c>
      <c r="C64" s="9">
        <f>COUNTIFS('World Checklist'!$B$5:$B$831,A64,'World Checklist'!$G$5:$G$831,"Yes")</f>
        <v/>
      </c>
      <c r="D64" s="9">
        <f>COUNTIFS('World Checklist'!$B$5:$B$831,A64,'World Checklist'!$G$5:$G$831,"Likely")</f>
        <v/>
      </c>
      <c r="E64" s="9">
        <f>COUNTIFS('World Checklist'!$B$5:$B$831,A64,'World Checklist'!$G$5:$G$831,"Planned")</f>
        <v/>
      </c>
      <c r="F64" s="9">
        <f>B64-C64-D64</f>
        <v/>
      </c>
      <c r="G64" s="20">
        <f>IF(B64=0,"",(C64+D64)/B64)</f>
        <v/>
      </c>
      <c r="H64" s="9">
        <f>IF(COUNTIF('Country Summary'!$B$5:$B$200,A64)&gt;0,"Yes","")</f>
        <v/>
      </c>
    </row>
    <row r="65">
      <c r="A65" s="9" t="inlineStr">
        <is>
          <t>South Africa</t>
        </is>
      </c>
      <c r="B65" s="9">
        <f>COUNTIF('World Checklist'!$B$5:$B$831,A65)</f>
        <v/>
      </c>
      <c r="C65" s="9">
        <f>COUNTIFS('World Checklist'!$B$5:$B$831,A65,'World Checklist'!$G$5:$G$831,"Yes")</f>
        <v/>
      </c>
      <c r="D65" s="9">
        <f>COUNTIFS('World Checklist'!$B$5:$B$831,A65,'World Checklist'!$G$5:$G$831,"Likely")</f>
        <v/>
      </c>
      <c r="E65" s="9">
        <f>COUNTIFS('World Checklist'!$B$5:$B$831,A65,'World Checklist'!$G$5:$G$831,"Planned")</f>
        <v/>
      </c>
      <c r="F65" s="9">
        <f>B65-C65-D65</f>
        <v/>
      </c>
      <c r="G65" s="20">
        <f>IF(B65=0,"",(C65+D65)/B65)</f>
        <v/>
      </c>
      <c r="H65" s="9">
        <f>IF(COUNTIF('Country Summary'!$B$5:$B$200,A65)&gt;0,"Yes","")</f>
        <v/>
      </c>
    </row>
    <row r="66">
      <c r="A66" s="9" t="inlineStr">
        <is>
          <t>Morocco</t>
        </is>
      </c>
      <c r="B66" s="9">
        <f>COUNTIF('World Checklist'!$B$5:$B$831,A66)</f>
        <v/>
      </c>
      <c r="C66" s="9">
        <f>COUNTIFS('World Checklist'!$B$5:$B$831,A66,'World Checklist'!$G$5:$G$831,"Yes")</f>
        <v/>
      </c>
      <c r="D66" s="9">
        <f>COUNTIFS('World Checklist'!$B$5:$B$831,A66,'World Checklist'!$G$5:$G$831,"Likely")</f>
        <v/>
      </c>
      <c r="E66" s="9">
        <f>COUNTIFS('World Checklist'!$B$5:$B$831,A66,'World Checklist'!$G$5:$G$831,"Planned")</f>
        <v/>
      </c>
      <c r="F66" s="9">
        <f>B66-C66-D66</f>
        <v/>
      </c>
      <c r="G66" s="20">
        <f>IF(B66=0,"",(C66+D66)/B66)</f>
        <v/>
      </c>
      <c r="H66" s="9">
        <f>IF(COUNTIF('Country Summary'!$B$5:$B$200,A66)&gt;0,"Yes","")</f>
        <v/>
      </c>
    </row>
    <row r="67">
      <c r="A67" s="9" t="inlineStr">
        <is>
          <t>Ethiopia</t>
        </is>
      </c>
      <c r="B67" s="9">
        <f>COUNTIF('World Checklist'!$B$5:$B$831,A67)</f>
        <v/>
      </c>
      <c r="C67" s="9">
        <f>COUNTIFS('World Checklist'!$B$5:$B$831,A67,'World Checklist'!$G$5:$G$831,"Yes")</f>
        <v/>
      </c>
      <c r="D67" s="9">
        <f>COUNTIFS('World Checklist'!$B$5:$B$831,A67,'World Checklist'!$G$5:$G$831,"Likely")</f>
        <v/>
      </c>
      <c r="E67" s="9">
        <f>COUNTIFS('World Checklist'!$B$5:$B$831,A67,'World Checklist'!$G$5:$G$831,"Planned")</f>
        <v/>
      </c>
      <c r="F67" s="9">
        <f>B67-C67-D67</f>
        <v/>
      </c>
      <c r="G67" s="20">
        <f>IF(B67=0,"",(C67+D67)/B67)</f>
        <v/>
      </c>
      <c r="H67" s="9">
        <f>IF(COUNTIF('Country Summary'!$B$5:$B$200,A67)&gt;0,"Yes","")</f>
        <v/>
      </c>
    </row>
    <row r="68">
      <c r="A68" s="9" t="inlineStr">
        <is>
          <t>Zimbabwe / Zambia</t>
        </is>
      </c>
      <c r="B68" s="9">
        <f>COUNTIF('World Checklist'!$B$5:$B$831,A68)</f>
        <v/>
      </c>
      <c r="C68" s="9">
        <f>COUNTIFS('World Checklist'!$B$5:$B$831,A68,'World Checklist'!$G$5:$G$831,"Yes")</f>
        <v/>
      </c>
      <c r="D68" s="9">
        <f>COUNTIFS('World Checklist'!$B$5:$B$831,A68,'World Checklist'!$G$5:$G$831,"Likely")</f>
        <v/>
      </c>
      <c r="E68" s="9">
        <f>COUNTIFS('World Checklist'!$B$5:$B$831,A68,'World Checklist'!$G$5:$G$831,"Planned")</f>
        <v/>
      </c>
      <c r="F68" s="9">
        <f>B68-C68-D68</f>
        <v/>
      </c>
      <c r="G68" s="20">
        <f>IF(B68=0,"",(C68+D68)/B68)</f>
        <v/>
      </c>
      <c r="H68" s="9">
        <f>IF(COUNTIF('Country Summary'!$B$5:$B$200,A68)&gt;0,"Yes","")</f>
        <v/>
      </c>
    </row>
    <row r="69">
      <c r="A69" s="9" t="inlineStr">
        <is>
          <t>Uganda / Rwanda</t>
        </is>
      </c>
      <c r="B69" s="9">
        <f>COUNTIF('World Checklist'!$B$5:$B$831,A69)</f>
        <v/>
      </c>
      <c r="C69" s="9">
        <f>COUNTIFS('World Checklist'!$B$5:$B$831,A69,'World Checklist'!$G$5:$G$831,"Yes")</f>
        <v/>
      </c>
      <c r="D69" s="9">
        <f>COUNTIFS('World Checklist'!$B$5:$B$831,A69,'World Checklist'!$G$5:$G$831,"Likely")</f>
        <v/>
      </c>
      <c r="E69" s="9">
        <f>COUNTIFS('World Checklist'!$B$5:$B$831,A69,'World Checklist'!$G$5:$G$831,"Planned")</f>
        <v/>
      </c>
      <c r="F69" s="9">
        <f>B69-C69-D69</f>
        <v/>
      </c>
      <c r="G69" s="20">
        <f>IF(B69=0,"",(C69+D69)/B69)</f>
        <v/>
      </c>
      <c r="H69" s="9">
        <f>IF(COUNTIF('Country Summary'!$B$5:$B$200,A69)&gt;0,"Yes","")</f>
        <v/>
      </c>
    </row>
    <row r="70">
      <c r="A70" s="9" t="inlineStr">
        <is>
          <t>Canada</t>
        </is>
      </c>
      <c r="B70" s="9">
        <f>COUNTIF('World Checklist'!$B$5:$B$831,A70)</f>
        <v/>
      </c>
      <c r="C70" s="9">
        <f>COUNTIFS('World Checklist'!$B$5:$B$831,A70,'World Checklist'!$G$5:$G$831,"Yes")</f>
        <v/>
      </c>
      <c r="D70" s="9">
        <f>COUNTIFS('World Checklist'!$B$5:$B$831,A70,'World Checklist'!$G$5:$G$831,"Likely")</f>
        <v/>
      </c>
      <c r="E70" s="9">
        <f>COUNTIFS('World Checklist'!$B$5:$B$831,A70,'World Checklist'!$G$5:$G$831,"Planned")</f>
        <v/>
      </c>
      <c r="F70" s="9">
        <f>B70-C70-D70</f>
        <v/>
      </c>
      <c r="G70" s="20">
        <f>IF(B70=0,"",(C70+D70)/B70)</f>
        <v/>
      </c>
      <c r="H70" s="9">
        <f>IF(COUNTIF('Country Summary'!$B$5:$B$200,A70)&gt;0,"Yes","")</f>
        <v/>
      </c>
    </row>
    <row r="71">
      <c r="A71" s="9" t="inlineStr">
        <is>
          <t>Mexico</t>
        </is>
      </c>
      <c r="B71" s="9">
        <f>COUNTIF('World Checklist'!$B$5:$B$831,A71)</f>
        <v/>
      </c>
      <c r="C71" s="9">
        <f>COUNTIFS('World Checklist'!$B$5:$B$831,A71,'World Checklist'!$G$5:$G$831,"Yes")</f>
        <v/>
      </c>
      <c r="D71" s="9">
        <f>COUNTIFS('World Checklist'!$B$5:$B$831,A71,'World Checklist'!$G$5:$G$831,"Likely")</f>
        <v/>
      </c>
      <c r="E71" s="9">
        <f>COUNTIFS('World Checklist'!$B$5:$B$831,A71,'World Checklist'!$G$5:$G$831,"Planned")</f>
        <v/>
      </c>
      <c r="F71" s="9">
        <f>B71-C71-D71</f>
        <v/>
      </c>
      <c r="G71" s="20">
        <f>IF(B71=0,"",(C71+D71)/B71)</f>
        <v/>
      </c>
      <c r="H71" s="9">
        <f>IF(COUNTIF('Country Summary'!$B$5:$B$200,A71)&gt;0,"Yes","")</f>
        <v/>
      </c>
    </row>
    <row r="72">
      <c r="A72" s="9" t="inlineStr">
        <is>
          <t>Peru</t>
        </is>
      </c>
      <c r="B72" s="9">
        <f>COUNTIF('World Checklist'!$B$5:$B$831,A72)</f>
        <v/>
      </c>
      <c r="C72" s="9">
        <f>COUNTIFS('World Checklist'!$B$5:$B$831,A72,'World Checklist'!$G$5:$G$831,"Yes")</f>
        <v/>
      </c>
      <c r="D72" s="9">
        <f>COUNTIFS('World Checklist'!$B$5:$B$831,A72,'World Checklist'!$G$5:$G$831,"Likely")</f>
        <v/>
      </c>
      <c r="E72" s="9">
        <f>COUNTIFS('World Checklist'!$B$5:$B$831,A72,'World Checklist'!$G$5:$G$831,"Planned")</f>
        <v/>
      </c>
      <c r="F72" s="9">
        <f>B72-C72-D72</f>
        <v/>
      </c>
      <c r="G72" s="20">
        <f>IF(B72=0,"",(C72+D72)/B72)</f>
        <v/>
      </c>
      <c r="H72" s="9">
        <f>IF(COUNTIF('Country Summary'!$B$5:$B$200,A72)&gt;0,"Yes","")</f>
        <v/>
      </c>
    </row>
    <row r="73">
      <c r="A73" s="9" t="inlineStr">
        <is>
          <t>Brazil</t>
        </is>
      </c>
      <c r="B73" s="9">
        <f>COUNTIF('World Checklist'!$B$5:$B$831,A73)</f>
        <v/>
      </c>
      <c r="C73" s="9">
        <f>COUNTIFS('World Checklist'!$B$5:$B$831,A73,'World Checklist'!$G$5:$G$831,"Yes")</f>
        <v/>
      </c>
      <c r="D73" s="9">
        <f>COUNTIFS('World Checklist'!$B$5:$B$831,A73,'World Checklist'!$G$5:$G$831,"Likely")</f>
        <v/>
      </c>
      <c r="E73" s="9">
        <f>COUNTIFS('World Checklist'!$B$5:$B$831,A73,'World Checklist'!$G$5:$G$831,"Planned")</f>
        <v/>
      </c>
      <c r="F73" s="9">
        <f>B73-C73-D73</f>
        <v/>
      </c>
      <c r="G73" s="20">
        <f>IF(B73=0,"",(C73+D73)/B73)</f>
        <v/>
      </c>
      <c r="H73" s="9">
        <f>IF(COUNTIF('Country Summary'!$B$5:$B$200,A73)&gt;0,"Yes","")</f>
        <v/>
      </c>
    </row>
    <row r="74">
      <c r="A74" s="9" t="inlineStr">
        <is>
          <t>Argentina</t>
        </is>
      </c>
      <c r="B74" s="9">
        <f>COUNTIF('World Checklist'!$B$5:$B$831,A74)</f>
        <v/>
      </c>
      <c r="C74" s="9">
        <f>COUNTIFS('World Checklist'!$B$5:$B$831,A74,'World Checklist'!$G$5:$G$831,"Yes")</f>
        <v/>
      </c>
      <c r="D74" s="9">
        <f>COUNTIFS('World Checklist'!$B$5:$B$831,A74,'World Checklist'!$G$5:$G$831,"Likely")</f>
        <v/>
      </c>
      <c r="E74" s="9">
        <f>COUNTIFS('World Checklist'!$B$5:$B$831,A74,'World Checklist'!$G$5:$G$831,"Planned")</f>
        <v/>
      </c>
      <c r="F74" s="9">
        <f>B74-C74-D74</f>
        <v/>
      </c>
      <c r="G74" s="20">
        <f>IF(B74=0,"",(C74+D74)/B74)</f>
        <v/>
      </c>
      <c r="H74" s="9">
        <f>IF(COUNTIF('Country Summary'!$B$5:$B$200,A74)&gt;0,"Yes","")</f>
        <v/>
      </c>
    </row>
    <row r="75">
      <c r="A75" s="9" t="inlineStr">
        <is>
          <t>Chile</t>
        </is>
      </c>
      <c r="B75" s="9">
        <f>COUNTIF('World Checklist'!$B$5:$B$831,A75)</f>
        <v/>
      </c>
      <c r="C75" s="9">
        <f>COUNTIFS('World Checklist'!$B$5:$B$831,A75,'World Checklist'!$G$5:$G$831,"Yes")</f>
        <v/>
      </c>
      <c r="D75" s="9">
        <f>COUNTIFS('World Checklist'!$B$5:$B$831,A75,'World Checklist'!$G$5:$G$831,"Likely")</f>
        <v/>
      </c>
      <c r="E75" s="9">
        <f>COUNTIFS('World Checklist'!$B$5:$B$831,A75,'World Checklist'!$G$5:$G$831,"Planned")</f>
        <v/>
      </c>
      <c r="F75" s="9">
        <f>B75-C75-D75</f>
        <v/>
      </c>
      <c r="G75" s="20">
        <f>IF(B75=0,"",(C75+D75)/B75)</f>
        <v/>
      </c>
      <c r="H75" s="9">
        <f>IF(COUNTIF('Country Summary'!$B$5:$B$200,A75)&gt;0,"Yes","")</f>
        <v/>
      </c>
    </row>
    <row r="76">
      <c r="A76" s="9" t="inlineStr">
        <is>
          <t>Colombia</t>
        </is>
      </c>
      <c r="B76" s="9">
        <f>COUNTIF('World Checklist'!$B$5:$B$831,A76)</f>
        <v/>
      </c>
      <c r="C76" s="9">
        <f>COUNTIFS('World Checklist'!$B$5:$B$831,A76,'World Checklist'!$G$5:$G$831,"Yes")</f>
        <v/>
      </c>
      <c r="D76" s="9">
        <f>COUNTIFS('World Checklist'!$B$5:$B$831,A76,'World Checklist'!$G$5:$G$831,"Likely")</f>
        <v/>
      </c>
      <c r="E76" s="9">
        <f>COUNTIFS('World Checklist'!$B$5:$B$831,A76,'World Checklist'!$G$5:$G$831,"Planned")</f>
        <v/>
      </c>
      <c r="F76" s="9">
        <f>B76-C76-D76</f>
        <v/>
      </c>
      <c r="G76" s="20">
        <f>IF(B76=0,"",(C76+D76)/B76)</f>
        <v/>
      </c>
      <c r="H76" s="9">
        <f>IF(COUNTIF('Country Summary'!$B$5:$B$200,A76)&gt;0,"Yes","")</f>
        <v/>
      </c>
    </row>
    <row r="77">
      <c r="A77" s="9" t="inlineStr">
        <is>
          <t>Guyana / Trinidad / Suriname</t>
        </is>
      </c>
      <c r="B77" s="9">
        <f>COUNTIF('World Checklist'!$B$5:$B$831,A77)</f>
        <v/>
      </c>
      <c r="C77" s="9">
        <f>COUNTIFS('World Checklist'!$B$5:$B$831,A77,'World Checklist'!$G$5:$G$831,"Yes")</f>
        <v/>
      </c>
      <c r="D77" s="9">
        <f>COUNTIFS('World Checklist'!$B$5:$B$831,A77,'World Checklist'!$G$5:$G$831,"Likely")</f>
        <v/>
      </c>
      <c r="E77" s="9">
        <f>COUNTIFS('World Checklist'!$B$5:$B$831,A77,'World Checklist'!$G$5:$G$831,"Planned")</f>
        <v/>
      </c>
      <c r="F77" s="9">
        <f>B77-C77-D77</f>
        <v/>
      </c>
      <c r="G77" s="20">
        <f>IF(B77=0,"",(C77+D77)/B77)</f>
        <v/>
      </c>
      <c r="H77" s="9">
        <f>IF(COUNTIF('Country Summary'!$B$5:$B$200,A77)&gt;0,"Yes","")</f>
        <v/>
      </c>
    </row>
    <row r="78">
      <c r="A78" s="9" t="inlineStr">
        <is>
          <t>Cuba</t>
        </is>
      </c>
      <c r="B78" s="9">
        <f>COUNTIF('World Checklist'!$B$5:$B$831,A78)</f>
        <v/>
      </c>
      <c r="C78" s="9">
        <f>COUNTIFS('World Checklist'!$B$5:$B$831,A78,'World Checklist'!$G$5:$G$831,"Yes")</f>
        <v/>
      </c>
      <c r="D78" s="9">
        <f>COUNTIFS('World Checklist'!$B$5:$B$831,A78,'World Checklist'!$G$5:$G$831,"Likely")</f>
        <v/>
      </c>
      <c r="E78" s="9">
        <f>COUNTIFS('World Checklist'!$B$5:$B$831,A78,'World Checklist'!$G$5:$G$831,"Planned")</f>
        <v/>
      </c>
      <c r="F78" s="9">
        <f>B78-C78-D78</f>
        <v/>
      </c>
      <c r="G78" s="20">
        <f>IF(B78=0,"",(C78+D78)/B78)</f>
        <v/>
      </c>
      <c r="H78" s="9">
        <f>IF(COUNTIF('Country Summary'!$B$5:$B$200,A78)&gt;0,"Yes","")</f>
        <v/>
      </c>
    </row>
    <row r="79">
      <c r="A79" s="9" t="inlineStr">
        <is>
          <t>Costa Rica / Panama</t>
        </is>
      </c>
      <c r="B79" s="9">
        <f>COUNTIF('World Checklist'!$B$5:$B$831,A79)</f>
        <v/>
      </c>
      <c r="C79" s="9">
        <f>COUNTIFS('World Checklist'!$B$5:$B$831,A79,'World Checklist'!$G$5:$G$831,"Yes")</f>
        <v/>
      </c>
      <c r="D79" s="9">
        <f>COUNTIFS('World Checklist'!$B$5:$B$831,A79,'World Checklist'!$G$5:$G$831,"Likely")</f>
        <v/>
      </c>
      <c r="E79" s="9">
        <f>COUNTIFS('World Checklist'!$B$5:$B$831,A79,'World Checklist'!$G$5:$G$831,"Planned")</f>
        <v/>
      </c>
      <c r="F79" s="9">
        <f>B79-C79-D79</f>
        <v/>
      </c>
      <c r="G79" s="20">
        <f>IF(B79=0,"",(C79+D79)/B79)</f>
        <v/>
      </c>
      <c r="H79" s="9">
        <f>IF(COUNTIF('Country Summary'!$B$5:$B$200,A79)&gt;0,"Yes","")</f>
        <v/>
      </c>
    </row>
    <row r="80">
      <c r="A80" s="9" t="inlineStr">
        <is>
          <t>Australia</t>
        </is>
      </c>
      <c r="B80" s="9">
        <f>COUNTIF('World Checklist'!$B$5:$B$831,A80)</f>
        <v/>
      </c>
      <c r="C80" s="9">
        <f>COUNTIFS('World Checklist'!$B$5:$B$831,A80,'World Checklist'!$G$5:$G$831,"Yes")</f>
        <v/>
      </c>
      <c r="D80" s="9">
        <f>COUNTIFS('World Checklist'!$B$5:$B$831,A80,'World Checklist'!$G$5:$G$831,"Likely")</f>
        <v/>
      </c>
      <c r="E80" s="9">
        <f>COUNTIFS('World Checklist'!$B$5:$B$831,A80,'World Checklist'!$G$5:$G$831,"Planned")</f>
        <v/>
      </c>
      <c r="F80" s="9">
        <f>B80-C80-D80</f>
        <v/>
      </c>
      <c r="G80" s="20">
        <f>IF(B80=0,"",(C80+D80)/B80)</f>
        <v/>
      </c>
      <c r="H80" s="9">
        <f>IF(COUNTIF('Country Summary'!$B$5:$B$200,A80)&gt;0,"Yes","")</f>
        <v/>
      </c>
    </row>
    <row r="81">
      <c r="A81" s="9" t="inlineStr">
        <is>
          <t>New Zealand</t>
        </is>
      </c>
      <c r="B81" s="9">
        <f>COUNTIF('World Checklist'!$B$5:$B$831,A81)</f>
        <v/>
      </c>
      <c r="C81" s="9">
        <f>COUNTIFS('World Checklist'!$B$5:$B$831,A81,'World Checklist'!$G$5:$G$831,"Yes")</f>
        <v/>
      </c>
      <c r="D81" s="9">
        <f>COUNTIFS('World Checklist'!$B$5:$B$831,A81,'World Checklist'!$G$5:$G$831,"Likely")</f>
        <v/>
      </c>
      <c r="E81" s="9">
        <f>COUNTIFS('World Checklist'!$B$5:$B$831,A81,'World Checklist'!$G$5:$G$831,"Planned")</f>
        <v/>
      </c>
      <c r="F81" s="9">
        <f>B81-C81-D81</f>
        <v/>
      </c>
      <c r="G81" s="20">
        <f>IF(B81=0,"",(C81+D81)/B81)</f>
        <v/>
      </c>
      <c r="H81" s="9">
        <f>IF(COUNTIF('Country Summary'!$B$5:$B$200,A81)&gt;0,"Yes","")</f>
        <v/>
      </c>
    </row>
    <row r="82">
      <c r="A82" s="9" t="inlineStr">
        <is>
          <t>Fiji</t>
        </is>
      </c>
      <c r="B82" s="9">
        <f>COUNTIF('World Checklist'!$B$5:$B$831,A82)</f>
        <v/>
      </c>
      <c r="C82" s="9">
        <f>COUNTIFS('World Checklist'!$B$5:$B$831,A82,'World Checklist'!$G$5:$G$831,"Yes")</f>
        <v/>
      </c>
      <c r="D82" s="9">
        <f>COUNTIFS('World Checklist'!$B$5:$B$831,A82,'World Checklist'!$G$5:$G$831,"Likely")</f>
        <v/>
      </c>
      <c r="E82" s="9">
        <f>COUNTIFS('World Checklist'!$B$5:$B$831,A82,'World Checklist'!$G$5:$G$831,"Planned")</f>
        <v/>
      </c>
      <c r="F82" s="9">
        <f>B82-C82-D82</f>
        <v/>
      </c>
      <c r="G82" s="20">
        <f>IF(B82=0,"",(C82+D82)/B82)</f>
        <v/>
      </c>
      <c r="H82" s="9">
        <f>IF(COUNTIF('Country Summary'!$B$5:$B$200,A82)&gt;0,"Yes","")</f>
        <v/>
      </c>
    </row>
    <row r="83">
      <c r="A83" s="4" t="inlineStr">
        <is>
          <t>TOTAL</t>
        </is>
      </c>
      <c r="B83" s="4">
        <f>SUM(B5:B82)</f>
        <v/>
      </c>
      <c r="C83" s="4">
        <f>SUM(C5:C82)</f>
        <v/>
      </c>
      <c r="D83" s="4">
        <f>SUM(D5:D82)</f>
        <v/>
      </c>
      <c r="E83" s="4">
        <f>SUM(E5:E82)</f>
        <v/>
      </c>
      <c r="F83" s="4">
        <f>SUM(F5:F82)</f>
        <v/>
      </c>
      <c r="G83" s="21">
        <f>IF(B83=0,"",(C83+D83)/B83)</f>
        <v/>
      </c>
    </row>
  </sheetData>
  <conditionalFormatting sqref="G5:G83">
    <cfRule type="cellIs" priority="1" operator="greaterThanOrEqual" dxfId="2">
      <formula>0.5</formula>
    </cfRule>
  </conditionalFormatting>
  <pageMargins left="0.75" right="0.75" top="1" bottom="1" header="0.5" footer="0.5"/>
</worksheet>
</file>

<file path=xl/worksheets/sheet11.xml><?xml version="1.0" encoding="utf-8"?>
<worksheet xmlns="http://schemas.openxmlformats.org/spreadsheetml/2006/main">
  <sheetPr>
    <tabColor rgb="001F2A44"/>
    <outlinePr summaryBelow="1" summaryRight="1"/>
    <pageSetUpPr/>
  </sheetPr>
  <dimension ref="A1:N13"/>
  <sheetViews>
    <sheetView zoomScale="100" workbookViewId="0">
      <pane ySplit="4" topLeftCell="A5" activePane="bottomLeft" state="frozen"/>
      <selection pane="bottomLeft" activeCell="A1" sqref="A1"/>
    </sheetView>
  </sheetViews>
  <sheetFormatPr baseColWidth="8" defaultRowHeight="15"/>
  <cols>
    <col width="5" customWidth="1" min="1" max="1"/>
    <col width="26" customWidth="1" min="2" max="2"/>
    <col width="28" customWidth="1" min="3" max="3"/>
    <col width="20" customWidth="1" min="4" max="4"/>
    <col width="22" customWidth="1" min="5" max="5"/>
    <col width="34" customWidth="1" min="6" max="6"/>
    <col width="7" customWidth="1" min="7" max="7"/>
    <col width="40" customWidth="1" min="8" max="8"/>
    <col width="60" customWidth="1" min="9" max="9"/>
    <col width="9" customWidth="1" min="10" max="10"/>
    <col width="12" customWidth="1" min="11" max="11"/>
    <col width="11" customWidth="1" min="12" max="12"/>
    <col width="26" customWidth="1" min="13" max="13"/>
    <col width="12" customWidth="1" min="14" max="14"/>
  </cols>
  <sheetData>
    <row r="1">
      <c r="A1" s="1" t="inlineStr">
        <is>
          <t>Yatra Wishlist - places to visit, explore and plan</t>
        </is>
      </c>
    </row>
    <row r="2">
      <c r="A2" s="2" t="inlineStr">
        <is>
          <t>Live list: add a row per idea; set Status from the dropdown. Dates/permits are planning notes - confirm each year's official calendar.</t>
        </is>
      </c>
    </row>
    <row r="4">
      <c r="A4" s="3" t="inlineStr">
        <is>
          <t>#</t>
        </is>
      </c>
      <c r="B4" s="3" t="inlineStr">
        <is>
          <t>Yatra / place</t>
        </is>
      </c>
      <c r="C4" s="3" t="inlineStr">
        <is>
          <t>Location</t>
        </is>
      </c>
      <c r="D4" s="3" t="inlineStr">
        <is>
          <t>Type</t>
        </is>
      </c>
      <c r="E4" s="3" t="inlineStr">
        <is>
          <t>Best time</t>
        </is>
      </c>
      <c r="F4" s="3" t="inlineStr">
        <is>
          <t>Typical dates / festival window</t>
        </is>
      </c>
      <c r="G4" s="3" t="inlineStr">
        <is>
          <t>Days</t>
        </is>
      </c>
      <c r="H4" s="3" t="inlineStr">
        <is>
          <t>Visa / permit / registration</t>
        </is>
      </c>
      <c r="I4" s="3" t="inlineStr">
        <is>
          <t>Notes &amp; highlights</t>
        </is>
      </c>
      <c r="J4" s="3" t="inlineStr">
        <is>
          <t>Priority</t>
        </is>
      </c>
      <c r="K4" s="3" t="inlineStr">
        <is>
          <t>Status</t>
        </is>
      </c>
      <c r="L4" s="3" t="inlineStr">
        <is>
          <t>Target year</t>
        </is>
      </c>
      <c r="M4" s="3" t="inlineStr">
        <is>
          <t>Next step</t>
        </is>
      </c>
      <c r="N4" s="3" t="inlineStr">
        <is>
          <t>Added on</t>
        </is>
      </c>
    </row>
    <row r="5">
      <c r="A5" s="9" t="n">
        <v>1</v>
      </c>
      <c r="B5" s="9" t="inlineStr">
        <is>
          <t>Mysore Dasara</t>
        </is>
      </c>
      <c r="C5" s="9" t="inlineStr">
        <is>
          <t>Mysuru, Karnataka, India</t>
        </is>
      </c>
      <c r="D5" s="9" t="inlineStr">
        <is>
          <t>Festival yatra</t>
        </is>
      </c>
      <c r="E5" s="9" t="inlineStr">
        <is>
          <t>Sep-Oct (Navaratri)</t>
        </is>
      </c>
      <c r="F5" s="9" t="inlineStr">
        <is>
          <t>10 days ending Vijayadashami; Jamboo Savari on the last day</t>
        </is>
      </c>
      <c r="G5" s="9" t="inlineStr">
        <is>
          <t>3-4</t>
        </is>
      </c>
      <c r="H5" s="9" t="inlineStr">
        <is>
          <t>None (domestic)</t>
        </is>
      </c>
      <c r="I5" s="9" t="inlineStr">
        <is>
          <t>Palace illumination, Chamundi Hill, Jamboo Savari procession. Book stay months ahead; ISKCON Mysore nearby. Combine with Srirangapatna, Melukote.</t>
        </is>
      </c>
      <c r="J5" s="19" t="inlineStr">
        <is>
          <t>High</t>
        </is>
      </c>
      <c r="K5" s="19" t="inlineStr">
        <is>
          <t>Idea</t>
        </is>
      </c>
      <c r="L5" s="19" t="inlineStr"/>
      <c r="M5" s="19" t="inlineStr"/>
      <c r="N5" s="12" t="n">
        <v>46316</v>
      </c>
    </row>
    <row r="6">
      <c r="A6" s="9" t="n">
        <v>2</v>
      </c>
      <c r="B6" s="9" t="inlineStr">
        <is>
          <t>Tirupati Balaji Brahmotsavam</t>
        </is>
      </c>
      <c r="C6" s="9" t="inlineStr">
        <is>
          <t>Tirumala, Andhra Pradesh, India</t>
        </is>
      </c>
      <c r="D6" s="9" t="inlineStr">
        <is>
          <t>Festival yatra</t>
        </is>
      </c>
      <c r="E6" s="9" t="inlineStr">
        <is>
          <t>Sep-Oct (Salakatla Brahmotsavam); some years a 2nd Navaratri Brahmotsavam</t>
        </is>
      </c>
      <c r="F6" s="9" t="inlineStr">
        <is>
          <t>9 days; Garuda Seva day is the peak</t>
        </is>
      </c>
      <c r="G6" s="9" t="inlineStr">
        <is>
          <t>2-3</t>
        </is>
      </c>
      <c r="H6" s="9" t="inlineStr">
        <is>
          <t>None; TTD darshan tokens / SED booking via tirupatibalaji.ap.gov.in</t>
        </is>
      </c>
      <c r="I6" s="9" t="inlineStr">
        <is>
          <t>Vahana sevas each morning/evening; Garuda Seva night draws lakhs. Arrange accommodation via TTD or HKM contacts well in advance.</t>
        </is>
      </c>
      <c r="J6" s="19" t="inlineStr">
        <is>
          <t>High</t>
        </is>
      </c>
      <c r="K6" s="19" t="inlineStr">
        <is>
          <t>Idea</t>
        </is>
      </c>
      <c r="L6" s="19" t="inlineStr"/>
      <c r="M6" s="19" t="inlineStr"/>
      <c r="N6" s="12" t="n">
        <v>46316</v>
      </c>
    </row>
    <row r="7">
      <c r="A7" s="9" t="n">
        <v>3</v>
      </c>
      <c r="B7" s="9" t="inlineStr">
        <is>
          <t>Vaishno Devi</t>
        </is>
      </c>
      <c r="C7" s="9" t="inlineStr">
        <is>
          <t>Katra, Jammu &amp; Kashmir, India</t>
        </is>
      </c>
      <c r="D7" s="9" t="inlineStr">
        <is>
          <t>Shakti-peetha trek</t>
        </is>
      </c>
      <c r="E7" s="9" t="inlineStr">
        <is>
          <t>Mar-Jun and Sep-Nov (avoid peak summer rush and Jan snow)</t>
        </is>
      </c>
      <c r="F7" s="9" t="inlineStr">
        <is>
          <t>Navaratri very crowded</t>
        </is>
      </c>
      <c r="G7" s="9" t="inlineStr">
        <is>
          <t>3-4 (with travel)</t>
        </is>
      </c>
      <c r="H7" s="9" t="inlineStr">
        <is>
          <t>None; free RFID yatra card from SMVDSB (online or Katra)</t>
        </is>
      </c>
      <c r="I7" s="9" t="inlineStr">
        <is>
          <t>13 km trek from Katra (ponies/palki/helicopter available). Combine with Jammu Raghunath temple; optionally Amritsar.</t>
        </is>
      </c>
      <c r="J7" s="19" t="inlineStr">
        <is>
          <t>High</t>
        </is>
      </c>
      <c r="K7" s="19" t="inlineStr">
        <is>
          <t>Idea</t>
        </is>
      </c>
      <c r="L7" s="19" t="inlineStr"/>
      <c r="M7" s="19" t="inlineStr"/>
      <c r="N7" s="12" t="n">
        <v>46316</v>
      </c>
    </row>
    <row r="8">
      <c r="A8" s="9" t="n">
        <v>4</v>
      </c>
      <c r="B8" s="9" t="inlineStr">
        <is>
          <t>Amarnath Yatra</t>
        </is>
      </c>
      <c r="C8" s="9" t="inlineStr">
        <is>
          <t>Pahalgam / Baltal, Jammu &amp; Kashmir, India</t>
        </is>
      </c>
      <c r="D8" s="9" t="inlineStr">
        <is>
          <t>High-altitude cave pilgrimage</t>
        </is>
      </c>
      <c r="E8" s="9" t="inlineStr">
        <is>
          <t>Jul-Aug only (yatra window set yearly by SASB)</t>
        </is>
      </c>
      <c r="F8" s="9" t="inlineStr">
        <is>
          <t>~45-60 days, Ashadha Purnima to Shravana Purnima (Raksha Bandhan)</t>
        </is>
      </c>
      <c r="G8" s="9" t="inlineStr">
        <is>
          <t>5-7</t>
        </is>
      </c>
      <c r="H8" s="9" t="inlineStr">
        <is>
          <t>Compulsory SASB registration + Compulsory Health Certificate from authorised doctor; RFID card; age 13-70</t>
        </is>
      </c>
      <c r="I8" s="9" t="inlineStr">
        <is>
          <t>Register as soon as the window opens (Mar-Apr). Pahalgam route 32 km (3 days) or Baltal 14 km (1 day); helicopter options. Needs fitness prep.</t>
        </is>
      </c>
      <c r="J8" s="19" t="inlineStr">
        <is>
          <t>High</t>
        </is>
      </c>
      <c r="K8" s="19" t="inlineStr">
        <is>
          <t>Idea</t>
        </is>
      </c>
      <c r="L8" s="19" t="inlineStr"/>
      <c r="M8" s="19" t="inlineStr"/>
      <c r="N8" s="12" t="n">
        <v>46316</v>
      </c>
    </row>
    <row r="9">
      <c r="A9" s="9" t="n">
        <v>5</v>
      </c>
      <c r="B9" s="9" t="inlineStr">
        <is>
          <t>Seven Sisters (North-East India)</t>
        </is>
      </c>
      <c r="C9" s="9" t="inlineStr">
        <is>
          <t>Assam, Meghalaya, Arunachal, Nagaland, Manipur, Mizoram, Tripura</t>
        </is>
      </c>
      <c r="D9" s="9" t="inlineStr">
        <is>
          <t>Multi-state exploration yatra</t>
        </is>
      </c>
      <c r="E9" s="9" t="inlineStr">
        <is>
          <t>Oct-Apr (dry, clear)</t>
        </is>
      </c>
      <c r="F9" s="9" t="inlineStr">
        <is>
          <t>Avoid Jun-Sep monsoon</t>
        </is>
      </c>
      <c r="G9" s="9" t="inlineStr">
        <is>
          <t>10-14</t>
        </is>
      </c>
      <c r="H9" s="9" t="inlineStr">
        <is>
          <t>Inner Line Permit (ILP) for Arunachal, Nagaland, Mizoram, Manipur - online; none for Assam/Meghalaya/Tripura</t>
        </is>
      </c>
      <c r="I9" s="9" t="inlineStr">
        <is>
          <t>Kamakhya (Guwahati), Majuli satras (Vaishnava), Tawang monastery, Cherrapunji/Living root bridges, Loktak lake, Tripureshwari temple. Plan as 2 circuits (Assam-Meghalaya-Arunachal; Manipur-Mizoram-Tripura-Nagaland).</t>
        </is>
      </c>
      <c r="J9" s="19" t="inlineStr">
        <is>
          <t>Medium</t>
        </is>
      </c>
      <c r="K9" s="19" t="inlineStr">
        <is>
          <t>Idea</t>
        </is>
      </c>
      <c r="L9" s="19" t="inlineStr"/>
      <c r="M9" s="19" t="inlineStr"/>
      <c r="N9" s="12" t="n">
        <v>46316</v>
      </c>
    </row>
    <row r="10">
      <c r="A10" s="9" t="n">
        <v>6</v>
      </c>
      <c r="B10" s="9" t="inlineStr">
        <is>
          <t>Pune</t>
        </is>
      </c>
      <c r="C10" s="9" t="inlineStr">
        <is>
          <t>Pune, Maharashtra, India</t>
        </is>
      </c>
      <c r="D10" s="9" t="inlineStr">
        <is>
          <t>City + temple exploration</t>
        </is>
      </c>
      <c r="E10" s="9" t="inlineStr">
        <is>
          <t>Oct-Feb (pleasant); Ganesh Chaturthi (Aug-Sep) for the festival</t>
        </is>
      </c>
      <c r="F10" s="9" t="inlineStr">
        <is>
          <t>Ganeshotsav 10 days ending Anant Chaturdashi</t>
        </is>
      </c>
      <c r="G10" s="9" t="inlineStr">
        <is>
          <t>3-4</t>
        </is>
      </c>
      <c r="H10" s="9" t="inlineStr">
        <is>
          <t>None (domestic)</t>
        </is>
      </c>
      <c r="I10" s="9" t="inlineStr">
        <is>
          <t>ISKCON NVCC (Katraj) and ISKCON Camp; Dagdusheth Halwai Ganapati; Alandi (Dnyaneshwar samadhi) and Dehu (Tukaram) - Warkari heritage; Jejuri Khandoba; Bhimashankar Jyotirlinga day trip; Shaniwar Wada, Parvati hill. Can combine with Pandharpur (Ashadhi Ekadashi) or Shirdi.</t>
        </is>
      </c>
      <c r="J10" s="19" t="inlineStr">
        <is>
          <t>Medium</t>
        </is>
      </c>
      <c r="K10" s="19" t="inlineStr">
        <is>
          <t>Idea</t>
        </is>
      </c>
      <c r="L10" s="19" t="inlineStr"/>
      <c r="M10" s="19" t="inlineStr"/>
      <c r="N10" s="12" t="n">
        <v>46316</v>
      </c>
    </row>
    <row r="11">
      <c r="A11" s="9" t="n">
        <v>7</v>
      </c>
      <c r="B11" s="9" t="inlineStr">
        <is>
          <t>Indore &amp; Madhya Pradesh</t>
        </is>
      </c>
      <c r="C11" s="9" t="inlineStr">
        <is>
          <t>Indore / Ujjain / Omkareshwar / Maheshwar, Madhya Pradesh, India</t>
        </is>
      </c>
      <c r="D11" s="9" t="inlineStr">
        <is>
          <t>Jyotirlinga + heritage yatra</t>
        </is>
      </c>
      <c r="E11" s="9" t="inlineStr">
        <is>
          <t>Oct-Mar (avoid Apr-Jun heat)</t>
        </is>
      </c>
      <c r="F11" s="9" t="inlineStr">
        <is>
          <t>Ujjain Simhastha Kumbh next due 2028 (Apr-May); Mahakal Bhasma Aarti daily at ~4 am (book online)</t>
        </is>
      </c>
      <c r="G11" s="9" t="inlineStr">
        <is>
          <t>5-7</t>
        </is>
      </c>
      <c r="H11" s="9" t="inlineStr">
        <is>
          <t>None (domestic); Bhasma Aarti permission via shrimahakaleshwar.com</t>
        </is>
      </c>
      <c r="I11" s="9" t="inlineStr">
        <is>
          <t>Base at Indore (Khajrana Ganesh, ISKCON Indore, Sarafa night food street). Ujjain: Mahakaleshwar + Mahakal Lok corridor, Kal Bhairav, Sandipani Ashram (Krishna's school). Omkareshwar Jyotirlinga + parikrama; Maheshwar ghats (Ahilyabai); Mandu. Optional extension: Chitrakoot / Khajuraho / Sanchi. Plan a 2028 Simhastha batch separately.</t>
        </is>
      </c>
      <c r="J11" s="19" t="inlineStr">
        <is>
          <t>High</t>
        </is>
      </c>
      <c r="K11" s="19" t="inlineStr">
        <is>
          <t>Idea</t>
        </is>
      </c>
      <c r="L11" s="19" t="inlineStr"/>
      <c r="M11" s="19" t="inlineStr"/>
      <c r="N11" s="12" t="n">
        <v>46316</v>
      </c>
    </row>
    <row r="12">
      <c r="A12" s="9" t="n">
        <v>8</v>
      </c>
      <c r="B12" s="9" t="inlineStr">
        <is>
          <t>Mumbai - NMACC (Nita Mukesh Ambani Cultural Centre)</t>
        </is>
      </c>
      <c r="C12" s="9" t="inlineStr">
        <is>
          <t>BKC, Mumbai, Maharashtra, India</t>
        </is>
      </c>
      <c r="D12" s="9" t="inlineStr">
        <is>
          <t>Culture + temple exploration</t>
        </is>
      </c>
      <c r="E12" s="9" t="inlineStr">
        <is>
          <t>Oct-Feb (dry season); check NMACC programme calendar for shows/exhibitions</t>
        </is>
      </c>
      <c r="F12" s="9" t="inlineStr">
        <is>
          <t>Year-round; 'Swadesh' crafts exhibition is permanent, theatre shows are ticketed</t>
        </is>
      </c>
      <c r="G12" s="9" t="inlineStr">
        <is>
          <t>2-3</t>
        </is>
      </c>
      <c r="H12" s="9" t="inlineStr">
        <is>
          <t>None (domestic); NMACC show tickets via nmacc.com / BookMyShow</t>
        </is>
      </c>
      <c r="I12" s="9" t="inlineStr">
        <is>
          <t>NMACC: Grand Theatre, Studio Theatre, Cube, Art House exhibitions, Swadesh artisan showcase. Combine with ISKCON Juhu (Prabhupada samadhi/museum), ISKCON Chowpatty (Radha Gopinath), Siddhivinayak, Mahalakshmi, Babulnath, Mumba Devi; Elephanta caves day trip. Was already on your Bucket List tab.</t>
        </is>
      </c>
      <c r="J12" s="19" t="inlineStr">
        <is>
          <t>Medium</t>
        </is>
      </c>
      <c r="K12" s="19" t="inlineStr">
        <is>
          <t>Idea</t>
        </is>
      </c>
      <c r="L12" s="19" t="inlineStr"/>
      <c r="M12" s="19" t="inlineStr"/>
      <c r="N12" s="12" t="n">
        <v>46316</v>
      </c>
    </row>
    <row r="13">
      <c r="A13" s="9" t="n">
        <v>9</v>
      </c>
      <c r="B13" s="9" t="inlineStr">
        <is>
          <t>Kerala</t>
        </is>
      </c>
      <c r="C13" s="9" t="inlineStr">
        <is>
          <t>Kerala, India</t>
        </is>
      </c>
      <c r="D13" s="9" t="inlineStr">
        <is>
          <t>Temple + culture yatra</t>
        </is>
      </c>
      <c r="E13" s="9" t="inlineStr">
        <is>
          <t>Oct-Mar; Sabarimala season Nov-Jan</t>
        </is>
      </c>
      <c r="F13" s="9" t="inlineStr">
        <is>
          <t>Guruvayur Ekadasi (Nov-Dec); Thrissur Pooram (Apr-May)</t>
        </is>
      </c>
      <c r="G13" s="9" t="inlineStr">
        <is>
          <t>6-8</t>
        </is>
      </c>
      <c r="H13" s="9" t="inlineStr">
        <is>
          <t>None (domestic); Sabarimala needs virtual-queue booking</t>
        </is>
      </c>
      <c r="I13" s="9" t="inlineStr">
        <is>
          <t>Guruvayur, Padmanabhaswamy (dress code), Sabarimala, Ambalappuzha, Aranmula, Chottanikkara; backwaters. Combine with Kanyakumari/Suchindram.</t>
        </is>
      </c>
      <c r="J13" s="19" t="inlineStr">
        <is>
          <t>Medium</t>
        </is>
      </c>
      <c r="K13" s="19" t="inlineStr">
        <is>
          <t>Idea</t>
        </is>
      </c>
      <c r="L13" s="19" t="inlineStr"/>
      <c r="M13" s="19" t="inlineStr"/>
      <c r="N13" s="12" t="n">
        <v>46316</v>
      </c>
    </row>
  </sheetData>
  <autoFilter ref="A4:N113"/>
  <conditionalFormatting sqref="K5:K113">
    <cfRule type="cellIs" priority="1" operator="equal" dxfId="2">
      <formula>"Done"</formula>
    </cfRule>
    <cfRule type="cellIs" priority="2" operator="equal" dxfId="2">
      <formula>"Booked"</formula>
    </cfRule>
    <cfRule type="cellIs" priority="3" operator="equal" dxfId="1">
      <formula>"Planned"</formula>
    </cfRule>
    <cfRule type="cellIs" priority="4" operator="equal" dxfId="0">
      <formula>"Dropped"</formula>
    </cfRule>
  </conditionalFormatting>
  <dataValidations count="2">
    <dataValidation sqref="K5:K113" showDropDown="0" showInputMessage="0" showErrorMessage="0" allowBlank="1" type="list">
      <formula1>"Idea,Researching,Planned,Booked,Done,Dropped"</formula1>
    </dataValidation>
    <dataValidation sqref="J5:J113" showDropDown="0" showInputMessage="0" showErrorMessage="0" allowBlank="1" type="list">
      <formula1>"High,Medium,Low"</formula1>
    </dataValidation>
  </dataValidations>
  <pageMargins left="0.75" right="0.75" top="1" bottom="1" header="0.5" footer="0.5"/>
</worksheet>
</file>

<file path=xl/worksheets/sheet12.xml><?xml version="1.0" encoding="utf-8"?>
<worksheet xmlns="http://schemas.openxmlformats.org/spreadsheetml/2006/main">
  <sheetPr>
    <tabColor rgb="001F2A44"/>
    <outlinePr summaryBelow="1" summaryRight="1"/>
    <pageSetUpPr/>
  </sheetPr>
  <dimension ref="A1:H14"/>
  <sheetViews>
    <sheetView zoomScale="100" workbookViewId="0">
      <pane ySplit="4" topLeftCell="A5" activePane="bottomLeft" state="frozen"/>
      <selection pane="bottomLeft" activeCell="A1" sqref="A1"/>
    </sheetView>
  </sheetViews>
  <sheetFormatPr baseColWidth="8" defaultRowHeight="15"/>
  <cols>
    <col width="5" customWidth="1" min="1" max="1"/>
    <col width="30" customWidth="1" min="2" max="2"/>
    <col width="13" customWidth="1" min="3" max="3"/>
    <col width="13" customWidth="1" min="4" max="4"/>
    <col width="26" customWidth="1" min="5" max="5"/>
    <col width="70" customWidth="1" min="6" max="6"/>
    <col width="12" customWidth="1" min="7" max="7"/>
    <col width="14" customWidth="1" min="8" max="8"/>
  </cols>
  <sheetData>
    <row r="1">
      <c r="A1" s="1" t="inlineStr">
        <is>
          <t>Trips in your dashboard with NO passport stamp yet</t>
        </is>
      </c>
    </row>
    <row r="2">
      <c r="A2" s="2" t="inlineStr">
        <is>
          <t>Your spreadsheet shows these; the passport scan (to Nov 2025) doesn't. Confirm -&gt; copy to Travel Log.</t>
        </is>
      </c>
    </row>
    <row r="4">
      <c r="A4" s="3" t="inlineStr">
        <is>
          <t>#</t>
        </is>
      </c>
      <c r="B4" s="3" t="inlineStr">
        <is>
          <t>Trip</t>
        </is>
      </c>
      <c r="C4" s="3" t="inlineStr">
        <is>
          <t>From</t>
        </is>
      </c>
      <c r="D4" s="3" t="inlineStr">
        <is>
          <t>To</t>
        </is>
      </c>
      <c r="E4" s="3" t="inlineStr">
        <is>
          <t>Where recorded</t>
        </is>
      </c>
      <c r="F4" s="3" t="inlineStr">
        <is>
          <t>Observation</t>
        </is>
      </c>
      <c r="G4" s="3" t="inlineStr">
        <is>
          <t>Action</t>
        </is>
      </c>
      <c r="H4" s="3" t="inlineStr">
        <is>
          <t>Confirmed? (Y/N)</t>
        </is>
      </c>
    </row>
    <row r="5">
      <c r="A5" s="9" t="n">
        <v>1</v>
      </c>
      <c r="B5" s="9" t="inlineStr">
        <is>
          <t>Europe (Schengen)</t>
        </is>
      </c>
      <c r="C5" s="12" t="n">
        <v>45934</v>
      </c>
      <c r="D5" s="12" t="n">
        <v>45947</v>
      </c>
      <c r="E5" s="9" t="inlineStr">
        <is>
          <t>Dashboard 'MKCD' column</t>
        </is>
      </c>
      <c r="F5" s="9" t="inlineStr">
        <is>
          <t>Schengen visa #2 only valid from 21 Oct 2025 - this window pre-dates it; likely moved to Nov</t>
        </is>
      </c>
      <c r="G5" s="9" t="inlineStr">
        <is>
          <t>Confirm</t>
        </is>
      </c>
      <c r="H5" s="19" t="inlineStr"/>
    </row>
    <row r="6">
      <c r="A6" s="9" t="n">
        <v>2</v>
      </c>
      <c r="B6" s="9" t="inlineStr">
        <is>
          <t>Europe (Schengen)</t>
        </is>
      </c>
      <c r="C6" s="12" t="n">
        <v>45967</v>
      </c>
      <c r="D6" s="12" t="n">
        <v>45981</v>
      </c>
      <c r="E6" s="9" t="inlineStr">
        <is>
          <t>Dashboard 'MKCD' column</t>
        </is>
      </c>
      <c r="F6" s="9" t="inlineStr">
        <is>
          <t>Inside Schengen #2 validity (21 Oct 2025-19 Apr 2026); no stamp in Nov-2025 scan</t>
        </is>
      </c>
      <c r="G6" s="9" t="inlineStr">
        <is>
          <t>Confirm</t>
        </is>
      </c>
      <c r="H6" s="19" t="inlineStr"/>
    </row>
    <row r="7">
      <c r="A7" s="9" t="n">
        <v>3</v>
      </c>
      <c r="B7" s="9" t="inlineStr">
        <is>
          <t>Australia (Yatra)</t>
        </is>
      </c>
      <c r="C7" s="12" t="n">
        <v>46063</v>
      </c>
      <c r="D7" s="12" t="n">
        <v>46072</v>
      </c>
      <c r="E7" s="9" t="inlineStr">
        <is>
          <t>Dashboard 'MKCD' column</t>
        </is>
      </c>
      <c r="F7" s="9" t="inlineStr">
        <is>
          <t>Visa granted 13 Nov 2025; would be FIRST Australia entry - confirm</t>
        </is>
      </c>
      <c r="G7" s="9" t="inlineStr">
        <is>
          <t>Confirm</t>
        </is>
      </c>
      <c r="H7" s="19" t="inlineStr"/>
    </row>
    <row r="8">
      <c r="A8" s="9" t="n">
        <v>4</v>
      </c>
      <c r="B8" s="9" t="inlineStr">
        <is>
          <t>Bali, Indonesia</t>
        </is>
      </c>
      <c r="C8" s="12" t="n">
        <v>46074</v>
      </c>
      <c r="D8" s="12" t="n">
        <v>46080</v>
      </c>
      <c r="E8" s="9" t="inlineStr">
        <is>
          <t>Dashboard 'MKCD' column</t>
        </is>
      </c>
      <c r="F8" s="9" t="inlineStr">
        <is>
          <t>Confirm</t>
        </is>
      </c>
      <c r="G8" s="9" t="inlineStr">
        <is>
          <t>Confirm</t>
        </is>
      </c>
      <c r="H8" s="19" t="inlineStr"/>
    </row>
    <row r="9">
      <c r="A9" s="9" t="n">
        <v>5</v>
      </c>
      <c r="B9" s="9" t="inlineStr">
        <is>
          <t>USA Yatra (brochure)</t>
        </is>
      </c>
      <c r="C9" s="12" t="n">
        <v>46134</v>
      </c>
      <c r="D9" s="12" t="n">
        <v>46150</v>
      </c>
      <c r="E9" s="9" t="inlineStr">
        <is>
          <t>USA Yatra brochure you sent</t>
        </is>
      </c>
      <c r="F9" s="9" t="inlineStr">
        <is>
          <t>Brochure route NY-DC-New Vrindaban-Niagara-Orlando-LA-SF is dated 22 Apr-8 May; your stamped USA trip is 4-30 Sep 2025. Was Apr-May 2026 a SECOND USA trip? If yes I will add it to the Travel Log</t>
        </is>
      </c>
      <c r="G9" s="9" t="inlineStr">
        <is>
          <t>Confirm</t>
        </is>
      </c>
      <c r="H9" s="19" t="inlineStr"/>
    </row>
    <row r="10">
      <c r="A10" s="9" t="n">
        <v>6</v>
      </c>
      <c r="B10" s="9" t="inlineStr">
        <is>
          <t>Nepal (Muktinath Yatra)</t>
        </is>
      </c>
      <c r="C10" s="12" t="n">
        <v>45592</v>
      </c>
      <c r="D10" s="12" t="n">
        <v>45598</v>
      </c>
      <c r="E10" s="9" t="inlineStr">
        <is>
          <t>Dashboard yatra column</t>
        </is>
      </c>
      <c r="F10" s="9" t="inlineStr">
        <is>
          <t>No 2024 Nepal stamp seen - may have been an escorted group yatra or not run</t>
        </is>
      </c>
      <c r="G10" s="9" t="inlineStr">
        <is>
          <t>Confirm</t>
        </is>
      </c>
      <c r="H10" s="19" t="inlineStr"/>
    </row>
    <row r="11">
      <c r="A11" s="9" t="n">
        <v>7</v>
      </c>
      <c r="B11" s="9" t="inlineStr">
        <is>
          <t>Sri Lanka (Ramayan Yatra)</t>
        </is>
      </c>
      <c r="C11" s="12" t="n">
        <v>45627</v>
      </c>
      <c r="D11" s="12" t="n">
        <v>45633</v>
      </c>
      <c r="E11" s="9" t="inlineStr">
        <is>
          <t>Dashboard yatra column</t>
        </is>
      </c>
      <c r="F11" s="9" t="inlineStr">
        <is>
          <t>No Dec-2024 SL stamp in scan - confirm</t>
        </is>
      </c>
      <c r="G11" s="9" t="inlineStr">
        <is>
          <t>Confirm</t>
        </is>
      </c>
      <c r="H11" s="19" t="inlineStr"/>
    </row>
    <row r="12">
      <c r="A12" s="9" t="n">
        <v>8</v>
      </c>
      <c r="B12" s="9" t="inlineStr">
        <is>
          <t>Thailand / Cambodia Yatra</t>
        </is>
      </c>
      <c r="C12" s="12" t="n">
        <v>45664</v>
      </c>
      <c r="D12" s="12" t="n">
        <v>45669</v>
      </c>
      <c r="E12" s="9" t="inlineStr">
        <is>
          <t>Dashboard yatra column</t>
        </is>
      </c>
      <c r="F12" s="9" t="inlineStr">
        <is>
          <t>No Jan-2025 stamp in scan - confirm</t>
        </is>
      </c>
      <c r="G12" s="9" t="inlineStr">
        <is>
          <t>Confirm</t>
        </is>
      </c>
      <c r="H12" s="19" t="inlineStr"/>
    </row>
    <row r="13">
      <c r="A13" s="9" t="n">
        <v>9</v>
      </c>
      <c r="B13" s="9" t="inlineStr">
        <is>
          <t>Nepal (Muktinath Yatra)</t>
        </is>
      </c>
      <c r="C13" s="12" t="n">
        <v>45748</v>
      </c>
      <c r="D13" s="12" t="n">
        <v>45768</v>
      </c>
      <c r="E13" s="9" t="inlineStr">
        <is>
          <t>Dashboard yatra column</t>
        </is>
      </c>
      <c r="F13" s="9" t="inlineStr">
        <is>
          <t>No Apr-2025 stamp in scan - confirm</t>
        </is>
      </c>
      <c r="G13" s="9" t="inlineStr">
        <is>
          <t>Confirm</t>
        </is>
      </c>
      <c r="H13" s="19" t="inlineStr"/>
    </row>
    <row r="14">
      <c r="A14" s="9" t="n">
        <v>10</v>
      </c>
      <c r="B14" s="9" t="inlineStr">
        <is>
          <t>OOS / BJ (domestic?)</t>
        </is>
      </c>
      <c r="C14" s="12" t="n">
        <v>45727</v>
      </c>
      <c r="D14" s="12" t="n">
        <v>45732</v>
      </c>
      <c r="E14" s="9" t="inlineStr">
        <is>
          <t>Dashboard 'MKCD' column</t>
        </is>
      </c>
      <c r="F14" s="9" t="inlineStr">
        <is>
          <t>Label unclear ('OOS'); probably out-of-station, not international</t>
        </is>
      </c>
      <c r="G14" s="9" t="inlineStr">
        <is>
          <t>Ignore?</t>
        </is>
      </c>
      <c r="H14" s="19" t="inlineStr"/>
    </row>
  </sheetData>
  <pageMargins left="0.75" right="0.75" top="1" bottom="1" header="0.5" footer="0.5"/>
</worksheet>
</file>

<file path=xl/worksheets/sheet13.xml><?xml version="1.0" encoding="utf-8"?>
<worksheet xmlns="http://schemas.openxmlformats.org/spreadsheetml/2006/main">
  <sheetPr>
    <tabColor rgb="001F2A44"/>
    <outlinePr summaryBelow="1" summaryRight="1"/>
    <pageSetUpPr/>
  </sheetPr>
  <dimension ref="A1:C18"/>
  <sheetViews>
    <sheetView zoomScale="100" workbookViewId="0">
      <pane ySplit="4" topLeftCell="A5" activePane="bottomLeft" state="frozen"/>
      <selection pane="bottomLeft" activeCell="A1" sqref="A1"/>
    </sheetView>
  </sheetViews>
  <sheetFormatPr baseColWidth="8" defaultRowHeight="15"/>
  <cols>
    <col width="5" customWidth="1" min="1" max="1"/>
    <col width="42" customWidth="1" min="2" max="2"/>
    <col width="120" customWidth="1" min="3" max="3"/>
  </cols>
  <sheetData>
    <row r="1">
      <c r="A1" s="1" t="inlineStr">
        <is>
          <t>Alerts &amp; action items</t>
        </is>
      </c>
    </row>
    <row r="2">
      <c r="A2" s="2" t="inlineStr">
        <is>
          <t>Review every month.</t>
        </is>
      </c>
    </row>
    <row r="4">
      <c r="A4" s="3" t="inlineStr">
        <is>
          <t>#</t>
        </is>
      </c>
      <c r="B4" s="3" t="inlineStr">
        <is>
          <t>Alert</t>
        </is>
      </c>
      <c r="C4" s="3" t="inlineStr">
        <is>
          <t>What to do</t>
        </is>
      </c>
    </row>
    <row r="5">
      <c r="A5" s="9" t="n">
        <v>1</v>
      </c>
      <c r="B5" s="9" t="inlineStr">
        <is>
          <t>Passport expires 17 Sep 2028</t>
        </is>
      </c>
      <c r="C5" s="9"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6">
      <c r="A6" s="9" t="n">
        <v>2</v>
      </c>
      <c r="B6" s="9" t="inlineStr">
        <is>
          <t>Schengen: no valid visa</t>
        </is>
      </c>
      <c r="C6" s="9" t="inlineStr">
        <is>
          <t>Both France visas expired (Apr 2026). You now have 2 lawful visas in 3 years -&gt; eligible for the EU 'cascade' 2-year multiple-entry visa. Apply 3 months before the next Europe yatra.</t>
        </is>
      </c>
    </row>
    <row r="7">
      <c r="A7" s="9" t="n">
        <v>3</v>
      </c>
      <c r="B7" s="9" t="inlineStr">
        <is>
          <t>UK: no valid visa</t>
        </is>
      </c>
      <c r="C7" s="9" t="inlineStr">
        <is>
          <t>UK visa expired 29 Dec 2024. Apply 3-4 weeks ahead; consider a 2-year or 5-year Standard Visitor visa if you will return often.</t>
        </is>
      </c>
    </row>
    <row r="8">
      <c r="A8" s="9" t="n">
        <v>4</v>
      </c>
      <c r="B8" s="9" t="inlineStr">
        <is>
          <t>Australia: confirm stream</t>
        </is>
      </c>
      <c r="C8" s="9" t="inlineStr">
        <is>
          <t>Visa is Business Visitor stream (condition 8115). A pilgrimage yatra with devotees may count as tourism - confirm whether to apply for a Tourist-stream visa.</t>
        </is>
      </c>
    </row>
    <row r="9">
      <c r="A9" s="9" t="n">
        <v>5</v>
      </c>
      <c r="B9" s="9" t="inlineStr">
        <is>
          <t>Malaysia visa-free ends 31 Dec 2026</t>
        </is>
      </c>
      <c r="C9" s="9" t="inlineStr">
        <is>
          <t>Get visa/e-visa for any 2027 Malaysia yatra unless extended.</t>
        </is>
      </c>
    </row>
    <row r="10">
      <c r="A10" s="9" t="n">
        <v>6</v>
      </c>
      <c r="B10" s="9" t="inlineStr">
        <is>
          <t>Thailand now 30 days (from 15 Sep 2026, reported)</t>
        </is>
      </c>
      <c r="C10" s="9" t="inlineStr">
        <is>
          <t>Plan group stays accordingly; complete TDAC before arrival.</t>
        </is>
      </c>
    </row>
    <row r="12">
      <c r="A12" s="17" t="inlineStr">
        <is>
          <t>Mismatches found between your sheets and the documents</t>
        </is>
      </c>
    </row>
    <row r="13">
      <c r="A13" s="9" t="n">
        <v>1</v>
      </c>
      <c r="B13" s="9" t="inlineStr">
        <is>
          <t>Schengen #1 duration</t>
        </is>
      </c>
      <c r="C13" s="9" t="inlineStr">
        <is>
          <t>Your 'Visa' tab says 45 days; the visa sticker says 30 days (valid 15-Jul-24 to 29-Aug-24).</t>
        </is>
      </c>
    </row>
    <row r="14">
      <c r="A14" s="9" t="n">
        <v>2</v>
      </c>
      <c r="B14" s="9" t="inlineStr">
        <is>
          <t>Schengen #2 duration</t>
        </is>
      </c>
      <c r="C14" s="9" t="inlineStr">
        <is>
          <t>Sticker: 30 days within 21-Oct-25 to 19-Apr-26 (your tab shows 180 = validity window, not stay).</t>
        </is>
      </c>
    </row>
    <row r="15">
      <c r="A15" s="9" t="n">
        <v>3</v>
      </c>
      <c r="B15" s="9" t="inlineStr">
        <is>
          <t>US visa stay</t>
        </is>
      </c>
      <c r="C15" s="9" t="inlineStr">
        <is>
          <t>Your tab shows 3,647 days = visa validity. Stay per entry is set by CBP at the port (I-94), not by the visa.</t>
        </is>
      </c>
    </row>
    <row r="16">
      <c r="A16" s="9" t="n">
        <v>4</v>
      </c>
      <c r="B16" s="9" t="inlineStr">
        <is>
          <t>Australia</t>
        </is>
      </c>
      <c r="C16" s="9" t="inlineStr">
        <is>
          <t>Your tab says 'Business'. VEVO confirms Business Visitor stream (conditions 8115/8201). Tourism/pilgrimage may need Tourist stream.</t>
        </is>
      </c>
    </row>
    <row r="17">
      <c r="A17" s="9" t="n">
        <v>5</v>
      </c>
      <c r="B17" s="9" t="inlineStr">
        <is>
          <t>Old access lists</t>
        </is>
      </c>
      <c r="C17" s="9" t="inlineStr">
        <is>
          <t>Armenia 'UK visa 120 days', Bosnia '30 days', Montenegro 'US 15 days', Turkey/Qatar/Kuwait entries were out of date - corrected in Access Map.</t>
        </is>
      </c>
    </row>
    <row r="18">
      <c r="A18" s="9" t="n">
        <v>6</v>
      </c>
      <c r="B18" s="9" t="inlineStr">
        <is>
          <t>Hong Kong / Barbados etc.</t>
        </is>
      </c>
      <c r="C18" s="9" t="inlineStr">
        <is>
          <t>Your 'Indian PP visa on arrival' rows were not re-researched except those listed in the Yatra Visa Planner. Treat as unverified.</t>
        </is>
      </c>
    </row>
  </sheetData>
  <pageMargins left="0.75" right="0.75" top="1" bottom="1" header="0.5" footer="0.5"/>
</worksheet>
</file>

<file path=xl/worksheets/sheet14.xml><?xml version="1.0" encoding="utf-8"?>
<worksheet xmlns="http://schemas.openxmlformats.org/spreadsheetml/2006/main">
  <sheetPr>
    <tabColor rgb="001F2A44"/>
    <outlinePr summaryBelow="1" summaryRight="1"/>
    <pageSetUpPr/>
  </sheetPr>
  <dimension ref="A1:A9"/>
  <sheetViews>
    <sheetView zoomScale="100" workbookViewId="0">
      <selection activeCell="A1" sqref="A1"/>
    </sheetView>
  </sheetViews>
  <sheetFormatPr baseColWidth="8" defaultRowHeight="15"/>
  <cols>
    <col width="150" customWidth="1" min="1" max="1"/>
  </cols>
  <sheetData>
    <row r="1">
      <c r="A1" s="1" t="inlineStr">
        <is>
          <t>Sources, method and change log</t>
        </is>
      </c>
    </row>
    <row r="3">
      <c r="A3" s="8" t="inlineStr">
        <is>
          <t>Travel history: read from the 13-page passport scan 'as on November 2025' (stamps + visa stickers) and the VEVO check dated 13 Nov 2025. Faint stamps are marked 'Check'.</t>
        </is>
      </c>
    </row>
    <row r="4">
      <c r="A4" s="8" t="inlineStr">
        <is>
          <t>Planned/other trips: from tabs 'ACTUAL-Main Updated Dashboard' and 'PLANNED' in 'MKCD 2026 - MY TRAVEL PLAN 2026.xlsx' - NOT proof of travel; listed under To Confirm.</t>
        </is>
      </c>
    </row>
    <row r="5">
      <c r="A5" s="8" t="inlineStr">
        <is>
          <t>Entry rules: research on 20 Oct 2026 mostly from secondary sources (Wikipedia 'Visa requirements for Indian citizens', news, embassy PDFs). Some official sites (IRCC, Taiwan BOCA) would not load. Always verify on the official government portal before issuing tickets.</t>
        </is>
      </c>
    </row>
    <row r="6">
      <c r="A6" s="8" t="inlineStr">
        <is>
          <t>Old passport (issued 2008) was not provided, so pre-2018 travel is not captured.</t>
        </is>
      </c>
    </row>
    <row r="7">
      <c r="A7" s="8" t="inlineStr">
        <is>
          <t>Passport number is shown only in masked form in these files.</t>
        </is>
      </c>
    </row>
    <row r="8">
      <c r="A8" s="8" t="inlineStr">
        <is>
          <t>Change log:</t>
        </is>
      </c>
    </row>
    <row r="9">
      <c r="A9" s="8" t="inlineStr">
        <is>
          <t>20-Oct-2026 - v1 created from the four uploaded files + research.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2026-10-21T18:03:34Z</dcterms:created>
  <dcterms:modified xmlns:dcterms="http://purl.org/dc/terms/" xmlns:xsi="http://www.w3.org/2001/XMLSchema-instance" xsi:type="dcterms:W3CDTF">2026-10-21T18:03:34Z</dcterms:modified>
</cp:coreProperties>
</file>
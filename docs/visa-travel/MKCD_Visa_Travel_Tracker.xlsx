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Places Visited" sheetId="8" state="visible" r:id="rId8"/>
    <sheet xmlns:r="http://schemas.openxmlformats.org/officeDocument/2006/relationships" name="Yatra Wishlist" sheetId="9" state="visible" r:id="rId9"/>
    <sheet xmlns:r="http://schemas.openxmlformats.org/officeDocument/2006/relationships" name="To Confirm" sheetId="10" state="visible" r:id="rId10"/>
    <sheet xmlns:r="http://schemas.openxmlformats.org/officeDocument/2006/relationships" name="Alerts" sheetId="11" state="visible" r:id="rId11"/>
    <sheet xmlns:r="http://schemas.openxmlformats.org/officeDocument/2006/relationships" name="Sources &amp; Method" sheetId="12" state="visible" r:id="rId12"/>
  </sheets>
  <definedNames>
    <definedName name="_xlnm._FilterDatabase" localSheetId="1" hidden="1">'Travel Log'!$A$4:$L$85</definedName>
    <definedName name="_xlnm._FilterDatabase" localSheetId="4" hidden="1">'Access Map'!$A$4:$N$40</definedName>
    <definedName name="_xlnm._FilterDatabase" localSheetId="6" hidden="1">'Yatra Visa Planner'!$A$4:$K$36</definedName>
    <definedName name="_xlnm._FilterDatabase" localSheetId="7" hidden="1">'Places Visited'!$A$4:$H$358</definedName>
    <definedName name="_xlnm._FilterDatabase" localSheetId="8" hidden="1">'Yatra Wishlist'!$A$4:$N$113</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0"/>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Summary'!B5:B18,"&gt;0")</f>
        <v/>
      </c>
      <c r="C14" t="inlineStr">
        <is>
          <t>Includes Schengen countries visited Jul 2024</t>
        </is>
      </c>
    </row>
    <row r="15">
      <c r="A15" s="4" t="inlineStr">
        <is>
          <t>Total international visits logged</t>
        </is>
      </c>
      <c r="B15" s="6">
        <f>'Country Summary'!B20</f>
        <v/>
      </c>
      <c r="C15" t="inlineStr">
        <is>
          <t>Each entry = one visit</t>
        </is>
      </c>
    </row>
    <row r="16">
      <c r="A16" s="4" t="inlineStr">
        <is>
          <t>Visits to most-visited country</t>
        </is>
      </c>
      <c r="B16" s="6">
        <f>MAX('Country Summary'!B5:B18)</f>
        <v/>
      </c>
      <c r="C16" t="inlineStr"/>
    </row>
    <row r="17">
      <c r="A17" s="4" t="inlineStr">
        <is>
          <t>Destinations reachable NOW via visa privileges</t>
        </is>
      </c>
      <c r="B17" s="6">
        <f>COUNTIF('Access Map'!N5:N40,"YES")</f>
        <v/>
      </c>
      <c r="C17" t="inlineStr">
        <is>
          <t>Excludes visa-free countries for Indians; see Access Map</t>
        </is>
      </c>
    </row>
    <row r="18">
      <c r="A18" s="4" t="inlineStr">
        <is>
          <t>Places / sites logged (master list)</t>
        </is>
      </c>
      <c r="B18" s="6">
        <f>'Places Visited'!$B$62</f>
        <v/>
      </c>
      <c r="C18" t="inlineStr">
        <is>
          <t>See Places Visited</t>
        </is>
      </c>
    </row>
    <row r="19">
      <c r="A19" s="4" t="inlineStr">
        <is>
          <t xml:space="preserve">  of which ISKCON / temples</t>
        </is>
      </c>
      <c r="B19" s="6">
        <f>'Places Visited'!$B$63</f>
        <v/>
      </c>
      <c r="C19" t="inlineStr"/>
    </row>
    <row r="20">
      <c r="A20" s="4" t="inlineStr">
        <is>
          <t>Distinct cities logged</t>
        </is>
      </c>
      <c r="B20" s="6">
        <f>'Places Visited'!$B$64</f>
        <v/>
      </c>
      <c r="C20" t="inlineStr"/>
    </row>
    <row r="21">
      <c r="A21" s="4" t="inlineStr">
        <is>
          <t>Wishlist ideas (open)</t>
        </is>
      </c>
      <c r="B21" s="6">
        <f>COUNTIFS('Yatra Wishlist'!K5:K200,"&lt;&gt;Done",'Yatra Wishlist'!K5:K200,"&lt;&gt;Dropped",'Yatra Wishlist'!B5:B200,"&lt;&gt;")</f>
        <v/>
      </c>
      <c r="C21" t="inlineStr">
        <is>
          <t>See Yatra Wishlist</t>
        </is>
      </c>
    </row>
    <row r="22">
      <c r="A22" s="4" t="inlineStr">
        <is>
          <t>Valid visas right now</t>
        </is>
      </c>
      <c r="B22" s="6">
        <f>COUNTIF('Visas Held'!H5:H30,"VALID")</f>
        <v/>
      </c>
      <c r="C22" t="inlineStr"/>
    </row>
    <row r="23">
      <c r="A23" s="4" t="inlineStr">
        <is>
          <t>Expired visas to renew</t>
        </is>
      </c>
      <c r="B23" s="6">
        <f>COUNTIF('Visas Held'!H5:H30,"EXPIRED")</f>
        <v/>
      </c>
      <c r="C23" t="inlineStr">
        <is>
          <t>Schengen &amp; UK</t>
        </is>
      </c>
    </row>
    <row r="25">
      <c r="A25" s="7" t="inlineStr">
        <is>
          <t>Top actions</t>
        </is>
      </c>
    </row>
    <row r="26" ht="48" customHeight="1">
      <c r="A26" s="8" t="inlineStr">
        <is>
          <t>Passport expires 17 Sep 2028</t>
        </is>
      </c>
      <c r="C26"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7" ht="48" customHeight="1">
      <c r="A27" s="8" t="inlineStr">
        <is>
          <t>Schengen: no valid visa</t>
        </is>
      </c>
      <c r="C27" s="8" t="inlineStr">
        <is>
          <t>Both France visas expired (Apr 2026). You now have 2 lawful visas in 3 years -&gt; eligible for the EU 'cascade' 2-year multiple-entry visa. Apply 3 months before the next Europe yatra.</t>
        </is>
      </c>
    </row>
    <row r="28" ht="48" customHeight="1">
      <c r="A28" s="8" t="inlineStr">
        <is>
          <t>UK: no valid visa</t>
        </is>
      </c>
      <c r="C28" s="8" t="inlineStr">
        <is>
          <t>UK visa expired 29 Dec 2024. Apply 3-4 weeks ahead; consider a 2-year or 5-year Standard Visitor visa if you will return often.</t>
        </is>
      </c>
    </row>
    <row r="29" ht="48" customHeight="1">
      <c r="A29" s="8" t="inlineStr">
        <is>
          <t>Australia: confirm stream</t>
        </is>
      </c>
      <c r="C29" s="8" t="inlineStr">
        <is>
          <t>Visa is Business Visitor stream (condition 8115). A pilgrimage yatra with devotees may count as tourism - confirm whether to apply for a Tourist-stream visa.</t>
        </is>
      </c>
    </row>
    <row r="30" ht="48" customHeight="1">
      <c r="A30" s="8" t="inlineStr">
        <is>
          <t>Malaysia visa-free ends 31 Dec 2026</t>
        </is>
      </c>
      <c r="C30"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Visa/entry per stamp (Indian PP)</t>
        </is>
      </c>
      <c r="J24" s="9" t="inlineStr">
        <is>
          <t>Passport p.10: UAE entry stamp 01 Aug 2024;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sheetData>
  <autoFilter ref="A4:L85"/>
  <dataValidations count="1">
    <dataValidation sqref="F5:F8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Log'!$B$5:$B$85,A5,'Travel Log'!$F$5:$F$85,"Visit")</f>
        <v/>
      </c>
      <c r="C5" s="12">
        <f>IF(COUNTIFS('Travel Log'!$B$5:$B$85,A5,'Travel Log'!$C$5:$C$85,"&gt;0")=0,"",_xlfn.MINIFS('Travel Log'!$C$5:$C$85,'Travel Log'!$B$5:$B$85,A5,'Travel Log'!$C$5:$C$85,"&gt;0"))</f>
        <v/>
      </c>
      <c r="D5" s="12">
        <f>IF(COUNTIFS('Travel Log'!$B$5:$B$85,A5,'Travel Log'!$C$5:$C$85,"&gt;0")=0,"",_xlfn.MAXIFS('Travel Log'!$C$5:$C$85,'Travel Log'!$B$5:$B$85,A5,'Travel Log'!$C$5:$C$85,"&gt;0"))</f>
        <v/>
      </c>
      <c r="E5" s="9">
        <f>SUMIFS('Travel Log'!$E$5:$E$85,'Travel Log'!$B$5:$B$85,A5,'Travel Log'!$F$5:$F$85,"Visit")</f>
        <v/>
      </c>
      <c r="F5" s="9" t="inlineStr">
        <is>
          <t>Schengen C visa #1</t>
        </is>
      </c>
    </row>
    <row r="6">
      <c r="A6" s="9" t="inlineStr">
        <is>
          <t>Cambodia</t>
        </is>
      </c>
      <c r="B6" s="9">
        <f>COUNTIFS('Travel Log'!$B$5:$B$85,A6,'Travel Log'!$F$5:$F$85,"Visit")</f>
        <v/>
      </c>
      <c r="C6" s="12">
        <f>IF(COUNTIFS('Travel Log'!$B$5:$B$85,A6,'Travel Log'!$C$5:$C$85,"&gt;0")=0,"",_xlfn.MINIFS('Travel Log'!$C$5:$C$85,'Travel Log'!$B$5:$B$85,A6,'Travel Log'!$C$5:$C$85,"&gt;0"))</f>
        <v/>
      </c>
      <c r="D6" s="12">
        <f>IF(COUNTIFS('Travel Log'!$B$5:$B$85,A6,'Travel Log'!$C$5:$C$85,"&gt;0")=0,"",_xlfn.MAXIFS('Travel Log'!$C$5:$C$85,'Travel Log'!$B$5:$B$85,A6,'Travel Log'!$C$5:$C$85,"&gt;0"))</f>
        <v/>
      </c>
      <c r="E6" s="9">
        <f>SUMIFS('Travel Log'!$E$5:$E$85,'Travel Log'!$B$5:$B$85,A6,'Travel Log'!$F$5:$F$85,"Visit")</f>
        <v/>
      </c>
      <c r="F6" s="9" t="inlineStr">
        <is>
          <t>e-Visa (valid 27 Jun-26 Jul 2023); e-Visa (valid to 07 Mar 2023)</t>
        </is>
      </c>
    </row>
    <row r="7">
      <c r="A7" s="9" t="inlineStr">
        <is>
          <t>France</t>
        </is>
      </c>
      <c r="B7" s="9">
        <f>COUNTIFS('Travel Log'!$B$5:$B$85,A7,'Travel Log'!$F$5:$F$85,"Visit")</f>
        <v/>
      </c>
      <c r="C7" s="12">
        <f>IF(COUNTIFS('Travel Log'!$B$5:$B$85,A7,'Travel Log'!$C$5:$C$85,"&gt;0")=0,"",_xlfn.MINIFS('Travel Log'!$C$5:$C$85,'Travel Log'!$B$5:$B$85,A7,'Travel Log'!$C$5:$C$85,"&gt;0"))</f>
        <v/>
      </c>
      <c r="D7" s="12">
        <f>IF(COUNTIFS('Travel Log'!$B$5:$B$85,A7,'Travel Log'!$C$5:$C$85,"&gt;0")=0,"",_xlfn.MAXIFS('Travel Log'!$C$5:$C$85,'Travel Log'!$B$5:$B$85,A7,'Travel Log'!$C$5:$C$85,"&gt;0"))</f>
        <v/>
      </c>
      <c r="E7" s="9">
        <f>SUMIFS('Travel Log'!$E$5:$E$85,'Travel Log'!$B$5:$B$85,A7,'Travel Log'!$F$5:$F$85,"Visit")</f>
        <v/>
      </c>
      <c r="F7" s="9" t="inlineStr">
        <is>
          <t>Schengen C visa #1 (France-issued, Pondicherry)</t>
        </is>
      </c>
    </row>
    <row r="8">
      <c r="A8" s="9" t="inlineStr">
        <is>
          <t>Germany</t>
        </is>
      </c>
      <c r="B8" s="9">
        <f>COUNTIFS('Travel Log'!$B$5:$B$85,A8,'Travel Log'!$F$5:$F$85,"Visit")</f>
        <v/>
      </c>
      <c r="C8" s="12">
        <f>IF(COUNTIFS('Travel Log'!$B$5:$B$85,A8,'Travel Log'!$C$5:$C$85,"&gt;0")=0,"",_xlfn.MINIFS('Travel Log'!$C$5:$C$85,'Travel Log'!$B$5:$B$85,A8,'Travel Log'!$C$5:$C$85,"&gt;0"))</f>
        <v/>
      </c>
      <c r="D8" s="12">
        <f>IF(COUNTIFS('Travel Log'!$B$5:$B$85,A8,'Travel Log'!$C$5:$C$85,"&gt;0")=0,"",_xlfn.MAXIFS('Travel Log'!$C$5:$C$85,'Travel Log'!$B$5:$B$85,A8,'Travel Log'!$C$5:$C$85,"&gt;0"))</f>
        <v/>
      </c>
      <c r="E8" s="9">
        <f>SUMIFS('Travel Log'!$E$5:$E$85,'Travel Log'!$B$5:$B$85,A8,'Travel Log'!$F$5:$F$85,"Visit")</f>
        <v/>
      </c>
      <c r="F8" s="9" t="inlineStr">
        <is>
          <t>Schengen C visa #1</t>
        </is>
      </c>
    </row>
    <row r="9">
      <c r="A9" s="9" t="inlineStr">
        <is>
          <t>Italy</t>
        </is>
      </c>
      <c r="B9" s="9">
        <f>COUNTIFS('Travel Log'!$B$5:$B$85,A9,'Travel Log'!$F$5:$F$85,"Visit")</f>
        <v/>
      </c>
      <c r="C9" s="12">
        <f>IF(COUNTIFS('Travel Log'!$B$5:$B$85,A9,'Travel Log'!$C$5:$C$85,"&gt;0")=0,"",_xlfn.MINIFS('Travel Log'!$C$5:$C$85,'Travel Log'!$B$5:$B$85,A9,'Travel Log'!$C$5:$C$85,"&gt;0"))</f>
        <v/>
      </c>
      <c r="D9" s="12">
        <f>IF(COUNTIFS('Travel Log'!$B$5:$B$85,A9,'Travel Log'!$C$5:$C$85,"&gt;0")=0,"",_xlfn.MAXIFS('Travel Log'!$C$5:$C$85,'Travel Log'!$B$5:$B$85,A9,'Travel Log'!$C$5:$C$85,"&gt;0"))</f>
        <v/>
      </c>
      <c r="E9" s="9">
        <f>SUMIFS('Travel Log'!$E$5:$E$85,'Travel Log'!$B$5:$B$85,A9,'Travel Log'!$F$5:$F$85,"Visit")</f>
        <v/>
      </c>
      <c r="F9" s="9" t="inlineStr">
        <is>
          <t>Schengen C visa #1</t>
        </is>
      </c>
    </row>
    <row r="10">
      <c r="A10" s="9" t="inlineStr">
        <is>
          <t>Nepal</t>
        </is>
      </c>
      <c r="B10" s="9">
        <f>COUNTIFS('Travel Log'!$B$5:$B$85,A10,'Travel Log'!$F$5:$F$85,"Visit")</f>
        <v/>
      </c>
      <c r="C10" s="12">
        <f>IF(COUNTIFS('Travel Log'!$B$5:$B$85,A10,'Travel Log'!$C$5:$C$85,"&gt;0")=0,"",_xlfn.MINIFS('Travel Log'!$C$5:$C$85,'Travel Log'!$B$5:$B$85,A10,'Travel Log'!$C$5:$C$85,"&gt;0"))</f>
        <v/>
      </c>
      <c r="D10" s="12">
        <f>IF(COUNTIFS('Travel Log'!$B$5:$B$85,A10,'Travel Log'!$C$5:$C$85,"&gt;0")=0,"",_xlfn.MAXIFS('Travel Log'!$C$5:$C$85,'Travel Log'!$B$5:$B$85,A10,'Travel Log'!$C$5:$C$85,"&gt;0"))</f>
        <v/>
      </c>
      <c r="E10" s="9">
        <f>SUMIFS('Travel Log'!$E$5:$E$85,'Travel Log'!$B$5:$B$85,A10,'Travel Log'!$F$5:$F$85,"Visit")</f>
        <v/>
      </c>
      <c r="F10" s="9" t="inlineStr">
        <is>
          <t>No visa needed; No visa needed (Indian PP)</t>
        </is>
      </c>
    </row>
    <row r="11">
      <c r="A11" s="9" t="inlineStr">
        <is>
          <t>Netherlands</t>
        </is>
      </c>
      <c r="B11" s="9">
        <f>COUNTIFS('Travel Log'!$B$5:$B$85,A11,'Travel Log'!$F$5:$F$85,"Visit")</f>
        <v/>
      </c>
      <c r="C11" s="12">
        <f>IF(COUNTIFS('Travel Log'!$B$5:$B$85,A11,'Travel Log'!$C$5:$C$85,"&gt;0")=0,"",_xlfn.MINIFS('Travel Log'!$C$5:$C$85,'Travel Log'!$B$5:$B$85,A11,'Travel Log'!$C$5:$C$85,"&gt;0"))</f>
        <v/>
      </c>
      <c r="D11" s="12">
        <f>IF(COUNTIFS('Travel Log'!$B$5:$B$85,A11,'Travel Log'!$C$5:$C$85,"&gt;0")=0,"",_xlfn.MAXIFS('Travel Log'!$C$5:$C$85,'Travel Log'!$B$5:$B$85,A11,'Travel Log'!$C$5:$C$85,"&gt;0"))</f>
        <v/>
      </c>
      <c r="E11" s="9">
        <f>SUMIFS('Travel Log'!$E$5:$E$85,'Travel Log'!$B$5:$B$85,A11,'Travel Log'!$F$5:$F$85,"Visit")</f>
        <v/>
      </c>
      <c r="F11" s="9" t="inlineStr">
        <is>
          <t>Schengen C visa #1</t>
        </is>
      </c>
    </row>
    <row r="12">
      <c r="A12" s="9" t="inlineStr">
        <is>
          <t>Sri Lanka</t>
        </is>
      </c>
      <c r="B12" s="9">
        <f>COUNTIFS('Travel Log'!$B$5:$B$85,A12,'Travel Log'!$F$5:$F$85,"Visit")</f>
        <v/>
      </c>
      <c r="C12" s="12">
        <f>IF(COUNTIFS('Travel Log'!$B$5:$B$85,A12,'Travel Log'!$C$5:$C$85,"&gt;0")=0,"",_xlfn.MINIFS('Travel Log'!$C$5:$C$85,'Travel Log'!$B$5:$B$85,A12,'Travel Log'!$C$5:$C$85,"&gt;0"))</f>
        <v/>
      </c>
      <c r="D12" s="12">
        <f>IF(COUNTIFS('Travel Log'!$B$5:$B$85,A12,'Travel Log'!$C$5:$C$85,"&gt;0")=0,"",_xlfn.MAXIFS('Travel Log'!$C$5:$C$85,'Travel Log'!$B$5:$B$85,A12,'Travel Log'!$C$5:$C$85,"&gt;0"))</f>
        <v/>
      </c>
      <c r="E12" s="9">
        <f>SUMIFS('Travel Log'!$E$5:$E$85,'Travel Log'!$B$5:$B$85,A12,'Travel Log'!$F$5:$F$85,"Visit")</f>
        <v/>
      </c>
      <c r="F12" s="9" t="inlineStr">
        <is>
          <t>ETA 30-day, 1st visit (exp 16/01/2020); ETA 30-day, 1st visit (exp 23/02/2022); ETA 30-day, 1st visit (exp 28/10/2019)</t>
        </is>
      </c>
    </row>
    <row r="13">
      <c r="A13" s="9" t="inlineStr">
        <is>
          <t>Switzerland</t>
        </is>
      </c>
      <c r="B13" s="9">
        <f>COUNTIFS('Travel Log'!$B$5:$B$85,A13,'Travel Log'!$F$5:$F$85,"Visit")</f>
        <v/>
      </c>
      <c r="C13" s="12">
        <f>IF(COUNTIFS('Travel Log'!$B$5:$B$85,A13,'Travel Log'!$C$5:$C$85,"&gt;0")=0,"",_xlfn.MINIFS('Travel Log'!$C$5:$C$85,'Travel Log'!$B$5:$B$85,A13,'Travel Log'!$C$5:$C$85,"&gt;0"))</f>
        <v/>
      </c>
      <c r="D13" s="12">
        <f>IF(COUNTIFS('Travel Log'!$B$5:$B$85,A13,'Travel Log'!$C$5:$C$85,"&gt;0")=0,"",_xlfn.MAXIFS('Travel Log'!$C$5:$C$85,'Travel Log'!$B$5:$B$85,A13,'Travel Log'!$C$5:$C$85,"&gt;0"))</f>
        <v/>
      </c>
      <c r="E13" s="9">
        <f>SUMIFS('Travel Log'!$E$5:$E$85,'Travel Log'!$B$5:$B$85,A13,'Travel Log'!$F$5:$F$85,"Visit")</f>
        <v/>
      </c>
      <c r="F13" s="9" t="inlineStr">
        <is>
          <t>Schengen C visa #1</t>
        </is>
      </c>
    </row>
    <row r="14">
      <c r="A14" s="9" t="inlineStr">
        <is>
          <t>Thailand</t>
        </is>
      </c>
      <c r="B14" s="9">
        <f>COUNTIFS('Travel Log'!$B$5:$B$85,A14,'Travel Log'!$F$5:$F$85,"Visit")</f>
        <v/>
      </c>
      <c r="C14" s="12">
        <f>IF(COUNTIFS('Travel Log'!$B$5:$B$85,A14,'Travel Log'!$C$5:$C$85,"&gt;0")=0,"",_xlfn.MINIFS('Travel Log'!$C$5:$C$85,'Travel Log'!$B$5:$B$85,A14,'Travel Log'!$C$5:$C$85,"&gt;0"))</f>
        <v/>
      </c>
      <c r="D14" s="12">
        <f>IF(COUNTIFS('Travel Log'!$B$5:$B$85,A14,'Travel Log'!$C$5:$C$85,"&gt;0")=0,"",_xlfn.MAXIFS('Travel Log'!$C$5:$C$85,'Travel Log'!$B$5:$B$85,A14,'Travel Log'!$C$5:$C$85,"&gt;0"))</f>
        <v/>
      </c>
      <c r="E14" s="9">
        <f>SUMIFS('Travel Log'!$E$5:$E$85,'Travel Log'!$B$5:$B$85,A14,'Travel Log'!$F$5:$F$85,"Visit")</f>
        <v/>
      </c>
      <c r="F14" s="9" t="inlineStr">
        <is>
          <t>Visa on Arrival; Visa on Arrival (30 days)</t>
        </is>
      </c>
    </row>
    <row r="15">
      <c r="A15" s="9" t="inlineStr">
        <is>
          <t>UAE</t>
        </is>
      </c>
      <c r="B15" s="9">
        <f>COUNTIFS('Travel Log'!$B$5:$B$85,A15,'Travel Log'!$F$5:$F$85,"Visit")</f>
        <v/>
      </c>
      <c r="C15" s="12">
        <f>IF(COUNTIFS('Travel Log'!$B$5:$B$85,A15,'Travel Log'!$C$5:$C$85,"&gt;0")=0,"",_xlfn.MINIFS('Travel Log'!$C$5:$C$85,'Travel Log'!$B$5:$B$85,A15,'Travel Log'!$C$5:$C$85,"&gt;0"))</f>
        <v/>
      </c>
      <c r="D15" s="12">
        <f>IF(COUNTIFS('Travel Log'!$B$5:$B$85,A15,'Travel Log'!$C$5:$C$85,"&gt;0")=0,"",_xlfn.MAXIFS('Travel Log'!$C$5:$C$85,'Travel Log'!$B$5:$B$85,A15,'Travel Log'!$C$5:$C$85,"&gt;0"))</f>
        <v/>
      </c>
      <c r="E15" s="9">
        <f>SUMIFS('Travel Log'!$E$5:$E$85,'Travel Log'!$B$5:$B$85,A15,'Travel Log'!$F$5:$F$85,"Visit")</f>
        <v/>
      </c>
      <c r="F15" s="9" t="inlineStr">
        <is>
          <t>Visa/entry per stamp (Indian PP)</t>
        </is>
      </c>
    </row>
    <row r="16">
      <c r="A16" s="9" t="inlineStr">
        <is>
          <t>USA</t>
        </is>
      </c>
      <c r="B16" s="9">
        <f>COUNTIFS('Travel Log'!$B$5:$B$85,A16,'Travel Log'!$F$5:$F$85,"Visit")</f>
        <v/>
      </c>
      <c r="C16" s="12">
        <f>IF(COUNTIFS('Travel Log'!$B$5:$B$85,A16,'Travel Log'!$C$5:$C$85,"&gt;0")=0,"",_xlfn.MINIFS('Travel Log'!$C$5:$C$85,'Travel Log'!$B$5:$B$85,A16,'Travel Log'!$C$5:$C$85,"&gt;0"))</f>
        <v/>
      </c>
      <c r="D16" s="12">
        <f>IF(COUNTIFS('Travel Log'!$B$5:$B$85,A16,'Travel Log'!$C$5:$C$85,"&gt;0")=0,"",_xlfn.MAXIFS('Travel Log'!$C$5:$C$85,'Travel Log'!$B$5:$B$85,A16,'Travel Log'!$C$5:$C$85,"&gt;0"))</f>
        <v/>
      </c>
      <c r="E16" s="9">
        <f>SUMIFS('Travel Log'!$E$5:$E$85,'Travel Log'!$B$5:$B$85,A16,'Travel Log'!$F$5:$F$85,"Visit")</f>
        <v/>
      </c>
      <c r="F16" s="9" t="inlineStr">
        <is>
          <t>B1/B2 10-yr visa (admitted until 03 Mar 2026)</t>
        </is>
      </c>
    </row>
    <row r="17">
      <c r="A17" s="9" t="inlineStr">
        <is>
          <t>United Kingdom</t>
        </is>
      </c>
      <c r="B17" s="9">
        <f>COUNTIFS('Travel Log'!$B$5:$B$85,A17,'Travel Log'!$F$5:$F$85,"Visit")</f>
        <v/>
      </c>
      <c r="C17" s="12">
        <f>IF(COUNTIFS('Travel Log'!$B$5:$B$85,A17,'Travel Log'!$C$5:$C$85,"&gt;0")=0,"",_xlfn.MINIFS('Travel Log'!$C$5:$C$85,'Travel Log'!$B$5:$B$85,A17,'Travel Log'!$C$5:$C$85,"&gt;0"))</f>
        <v/>
      </c>
      <c r="D17" s="12">
        <f>IF(COUNTIFS('Travel Log'!$B$5:$B$85,A17,'Travel Log'!$C$5:$C$85,"&gt;0")=0,"",_xlfn.MAXIFS('Travel Log'!$C$5:$C$85,'Travel Log'!$B$5:$B$85,A17,'Travel Log'!$C$5:$C$85,"&gt;0"))</f>
        <v/>
      </c>
      <c r="E17" s="9">
        <f>SUMIFS('Travel Log'!$E$5:$E$85,'Travel Log'!$B$5:$B$85,A17,'Travel Log'!$F$5:$F$85,"Visit")</f>
        <v/>
      </c>
      <c r="F17" s="9" t="inlineStr">
        <is>
          <t>UK Standard Visitor C-visit, multiple, 29 Jun-29 Dec 2024</t>
        </is>
      </c>
    </row>
    <row r="18">
      <c r="A18" s="9" t="inlineStr">
        <is>
          <t>Vatican City</t>
        </is>
      </c>
      <c r="B18" s="9">
        <f>COUNTIFS('Travel Log'!$B$5:$B$85,A18,'Travel Log'!$F$5:$F$85,"Visit")</f>
        <v/>
      </c>
      <c r="C18" s="12">
        <f>IF(COUNTIFS('Travel Log'!$B$5:$B$85,A18,'Travel Log'!$C$5:$C$85,"&gt;0")=0,"",_xlfn.MINIFS('Travel Log'!$C$5:$C$85,'Travel Log'!$B$5:$B$85,A18,'Travel Log'!$C$5:$C$85,"&gt;0"))</f>
        <v/>
      </c>
      <c r="D18" s="12">
        <f>IF(COUNTIFS('Travel Log'!$B$5:$B$85,A18,'Travel Log'!$C$5:$C$85,"&gt;0")=0,"",_xlfn.MAXIFS('Travel Log'!$C$5:$C$85,'Travel Log'!$B$5:$B$85,A18,'Travel Log'!$C$5:$C$85,"&gt;0"))</f>
        <v/>
      </c>
      <c r="E18" s="9">
        <f>SUMIFS('Travel Log'!$E$5:$E$85,'Travel Log'!$B$5:$B$85,A18,'Travel Log'!$F$5:$F$85,"Visit")</f>
        <v/>
      </c>
      <c r="F18" s="9" t="inlineStr">
        <is>
          <t>Schengen C visa #1 (open border with Italy)</t>
        </is>
      </c>
    </row>
    <row r="20">
      <c r="A20" s="4" t="inlineStr">
        <is>
          <t>TOTAL</t>
        </is>
      </c>
      <c r="B20" s="4">
        <f>SUM(B5:B18)</f>
        <v/>
      </c>
      <c r="E20" s="4">
        <f>SUM(E5:E18)</f>
        <v/>
      </c>
    </row>
    <row r="22" ht="45" customHeight="1">
      <c r="A22" s="8" t="inlineStr">
        <is>
          <t>Schengen trip 15-27 Jul 2024: France (entry CDG), Belgium, Netherlands, Germany, Switzerland, Italy/Rome + Vatican City (exit Milan) - internal borders are not stamped, so per-country dates are blank until you add them.</t>
        </is>
      </c>
    </row>
  </sheetData>
  <mergeCells count="1">
    <mergeCell ref="A22:F22"/>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H64"/>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Sri Lanka</t>
        </is>
      </c>
      <c r="C52" s="9" t="inlineStr">
        <is>
          <t>Colombo (BIA)</t>
        </is>
      </c>
      <c r="D52" s="11" t="inlineStr">
        <is>
          <t>Colombo - Ramayana trail bases</t>
        </is>
      </c>
      <c r="E52" s="9" t="inlineStr">
        <is>
          <t>City tour</t>
        </is>
      </c>
      <c r="F52" s="9" t="inlineStr">
        <is>
          <t>Sep-Oct 2019; Dec 2019; Jan 2022</t>
        </is>
      </c>
      <c r="G52" s="9" t="inlineStr">
        <is>
          <t>Passport stamps</t>
        </is>
      </c>
      <c r="H52" s="9" t="inlineStr">
        <is>
          <t>Add sites visited (e.g. Seetha Amman Kovil, Ashok Vatika, Munneswaram, Kelaniya)</t>
        </is>
      </c>
    </row>
    <row r="53">
      <c r="A53" s="9" t="n">
        <v>49</v>
      </c>
      <c r="B53" s="9" t="inlineStr">
        <is>
          <t>Nepal</t>
        </is>
      </c>
      <c r="C53" s="9" t="inlineStr">
        <is>
          <t>Kathmandu</t>
        </is>
      </c>
      <c r="D53" s="11" t="inlineStr">
        <is>
          <t>Kathmandu (Pashupatinath etc.)</t>
        </is>
      </c>
      <c r="E53" s="9" t="inlineStr">
        <is>
          <t>City tour</t>
        </is>
      </c>
      <c r="F53" s="9" t="inlineStr">
        <is>
          <t>May 2019; Apr 2022 (+Mar 2019 exit)</t>
        </is>
      </c>
      <c r="G53" s="9" t="inlineStr">
        <is>
          <t>Passport stamps</t>
        </is>
      </c>
      <c r="H53" s="9" t="inlineStr">
        <is>
          <t>Add sites (Pashupatinath, Budhanilkantha, Krishna Mandir Patan)</t>
        </is>
      </c>
    </row>
    <row r="54">
      <c r="A54" s="9" t="n">
        <v>50</v>
      </c>
      <c r="B54" s="9" t="inlineStr">
        <is>
          <t>Nepal</t>
        </is>
      </c>
      <c r="C54" s="9" t="inlineStr">
        <is>
          <t>Pokhara / Jomsom / Muktinath</t>
        </is>
      </c>
      <c r="D54" s="11" t="inlineStr">
        <is>
          <t>Muktinath yatra route</t>
        </is>
      </c>
      <c r="E54" s="9" t="inlineStr">
        <is>
          <t>ISKCON/Temple</t>
        </is>
      </c>
      <c r="F54" s="9" t="inlineStr">
        <is>
          <t>(from your dashboard - confirm trip)</t>
        </is>
      </c>
      <c r="G54" s="9" t="inlineStr">
        <is>
          <t>Your dashboard</t>
        </is>
      </c>
      <c r="H54" s="9" t="inlineStr">
        <is>
          <t>Add when confirmed</t>
        </is>
      </c>
    </row>
    <row r="55">
      <c r="A55" s="9" t="n">
        <v>51</v>
      </c>
      <c r="B55" s="9" t="inlineStr">
        <is>
          <t>Thailand</t>
        </is>
      </c>
      <c r="C55" s="9" t="inlineStr">
        <is>
          <t>Bangkok (BKK)</t>
        </is>
      </c>
      <c r="D55" s="11" t="inlineStr">
        <is>
          <t>Bangkok</t>
        </is>
      </c>
      <c r="E55" s="9" t="inlineStr">
        <is>
          <t>City tour</t>
        </is>
      </c>
      <c r="F55" s="9" t="inlineStr">
        <is>
          <t>Feb 2023 (x2); Jun 2023</t>
        </is>
      </c>
      <c r="G55" s="9" t="inlineStr">
        <is>
          <t>Passport stamps</t>
        </is>
      </c>
      <c r="H55" s="9" t="inlineStr">
        <is>
          <t>Add sites (ISKCON Bangkok, Wat Arun, Grand Palace...)</t>
        </is>
      </c>
    </row>
    <row r="56">
      <c r="A56" s="9" t="n">
        <v>52</v>
      </c>
      <c r="B56" s="9" t="inlineStr">
        <is>
          <t>Cambodia</t>
        </is>
      </c>
      <c r="C56" s="9" t="inlineStr">
        <is>
          <t>Siem Reap</t>
        </is>
      </c>
      <c r="D56" s="11" t="inlineStr">
        <is>
          <t>Angkor Wat / Angkor Thom</t>
        </is>
      </c>
      <c r="E56" s="9" t="inlineStr">
        <is>
          <t>Landmark</t>
        </is>
      </c>
      <c r="F56" s="9" t="inlineStr">
        <is>
          <t>Feb 2023; Jun 2023</t>
        </is>
      </c>
      <c r="G56" s="9" t="inlineStr">
        <is>
          <t>Passport stamps (Siem Reap)</t>
        </is>
      </c>
      <c r="H56" s="9" t="inlineStr">
        <is>
          <t>Confirm sites</t>
        </is>
      </c>
    </row>
    <row r="57">
      <c r="A57" s="9" t="n">
        <v>53</v>
      </c>
      <c r="B57" s="9" t="inlineStr">
        <is>
          <t>UAE</t>
        </is>
      </c>
      <c r="C57" s="9" t="inlineStr">
        <is>
          <t>Dubai</t>
        </is>
      </c>
      <c r="D57" s="11" t="inlineStr">
        <is>
          <t>Dubai</t>
        </is>
      </c>
      <c r="E57" s="9" t="inlineStr">
        <is>
          <t>City tour</t>
        </is>
      </c>
      <c r="F57" s="9" t="inlineStr">
        <is>
          <t>1-~5 Aug 2024</t>
        </is>
      </c>
      <c r="G57" s="9" t="inlineStr">
        <is>
          <t>Passport stamp</t>
        </is>
      </c>
      <c r="H57" s="9" t="inlineStr">
        <is>
          <t>Add sites (ISKCON Dubai Bur Dubai, Burj Khalifa...)</t>
        </is>
      </c>
    </row>
    <row r="58">
      <c r="A58" s="9" t="n">
        <v>54</v>
      </c>
      <c r="B58" s="9" t="inlineStr">
        <is>
          <t>USA</t>
        </is>
      </c>
      <c r="C58" s="9" t="inlineStr">
        <is>
          <t>(cities to add)</t>
        </is>
      </c>
      <c r="D58" s="11" t="inlineStr">
        <is>
          <t>USA trip Sep 2025</t>
        </is>
      </c>
      <c r="E58" s="9" t="inlineStr">
        <is>
          <t>City tour</t>
        </is>
      </c>
      <c r="F58" s="9" t="inlineStr">
        <is>
          <t>4-30 Sep 2025</t>
        </is>
      </c>
      <c r="G58" s="9" t="inlineStr">
        <is>
          <t>Passport stamp</t>
        </is>
      </c>
      <c r="H58" s="9" t="inlineStr">
        <is>
          <t>Add cities &amp; temples visited (27 days)</t>
        </is>
      </c>
    </row>
    <row r="61">
      <c r="A61" s="17" t="inlineStr">
        <is>
          <t>Counts (auto)</t>
        </is>
      </c>
    </row>
    <row r="62">
      <c r="A62" t="inlineStr">
        <is>
          <t>Places logged</t>
        </is>
      </c>
      <c r="B62">
        <f>COUNTA(D5:D358)</f>
        <v/>
      </c>
    </row>
    <row r="63">
      <c r="A63" t="inlineStr">
        <is>
          <t>ISKCON / temples</t>
        </is>
      </c>
      <c r="B63">
        <f>COUNTIF(E5:E358,"ISKCON/Temple")</f>
        <v/>
      </c>
    </row>
    <row r="64">
      <c r="A64" t="inlineStr">
        <is>
          <t>Distinct cities</t>
        </is>
      </c>
      <c r="B64">
        <f>SUMPRODUCT((C5:C58&lt;&gt;"")/COUNTIF(C5:C58,C5:C58&amp;""))</f>
        <v/>
      </c>
    </row>
  </sheetData>
  <autoFilter ref="A4:H358"/>
  <dataValidations count="1">
    <dataValidation sqref="E5:E358"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N13"/>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19" t="inlineStr">
        <is>
          <t>Medium</t>
        </is>
      </c>
      <c r="K10" s="19" t="inlineStr">
        <is>
          <t>Idea</t>
        </is>
      </c>
      <c r="L10" s="19" t="inlineStr"/>
      <c r="M10" s="19"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19" t="inlineStr">
        <is>
          <t>High</t>
        </is>
      </c>
      <c r="K11" s="19" t="inlineStr">
        <is>
          <t>Idea</t>
        </is>
      </c>
      <c r="L11" s="19" t="inlineStr"/>
      <c r="M11" s="19" t="inlineStr"/>
      <c r="N11" s="12" t="n">
        <v>46316</v>
      </c>
    </row>
    <row r="12">
      <c r="A12" s="9" t="n">
        <v>8</v>
      </c>
      <c r="B12" s="9" t="inlineStr">
        <is>
          <t>Mumbai - NMACC (Nita Mukesh Ambani Cultural Centre)</t>
        </is>
      </c>
      <c r="C12" s="9" t="inlineStr">
        <is>
          <t>BKC, Mumbai, Maharashtra, India</t>
        </is>
      </c>
      <c r="D12" s="9" t="inlineStr">
        <is>
          <t>Culture + temple exploration</t>
        </is>
      </c>
      <c r="E12" s="9" t="inlineStr">
        <is>
          <t>Oct-Feb (dry season); check NMACC programme calendar for shows/exhibitions</t>
        </is>
      </c>
      <c r="F12" s="9" t="inlineStr">
        <is>
          <t>Year-round; 'Swadesh' crafts exhibition is permanent, theatre shows are ticketed</t>
        </is>
      </c>
      <c r="G12" s="9" t="inlineStr">
        <is>
          <t>2-3</t>
        </is>
      </c>
      <c r="H12" s="9" t="inlineStr">
        <is>
          <t>None (domestic); NMACC show tickets via nmacc.com / BookMyShow</t>
        </is>
      </c>
      <c r="I12"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2" s="19" t="inlineStr">
        <is>
          <t>Medium</t>
        </is>
      </c>
      <c r="K12" s="19" t="inlineStr">
        <is>
          <t>Idea</t>
        </is>
      </c>
      <c r="L12" s="19" t="inlineStr"/>
      <c r="M12" s="19" t="inlineStr"/>
      <c r="N12" s="12" t="n">
        <v>46316</v>
      </c>
    </row>
    <row r="13">
      <c r="A13" s="9" t="n">
        <v>9</v>
      </c>
      <c r="B13" s="9" t="inlineStr">
        <is>
          <t>Kerala</t>
        </is>
      </c>
      <c r="C13" s="9" t="inlineStr">
        <is>
          <t>Kerala, India</t>
        </is>
      </c>
      <c r="D13" s="9" t="inlineStr">
        <is>
          <t>Temple + culture yatra</t>
        </is>
      </c>
      <c r="E13" s="9" t="inlineStr">
        <is>
          <t>Oct-Mar; Sabarimala season Nov-Jan</t>
        </is>
      </c>
      <c r="F13" s="9" t="inlineStr">
        <is>
          <t>Guruvayur Ekadasi (Nov-Dec); Thrissur Pooram (Apr-May)</t>
        </is>
      </c>
      <c r="G13" s="9" t="inlineStr">
        <is>
          <t>6-8</t>
        </is>
      </c>
      <c r="H13" s="9" t="inlineStr">
        <is>
          <t>None (domestic); Sabarimala needs virtual-queue booking</t>
        </is>
      </c>
      <c r="I13" s="9" t="inlineStr">
        <is>
          <t>Guruvayur, Padmanabhaswamy (dress code), Sabarimala, Ambalappuzha, Aranmula, Chottanikkara; backwaters. Combine with Kanyakumari/Suchindram.</t>
        </is>
      </c>
      <c r="J13" s="19" t="inlineStr">
        <is>
          <t>Medium</t>
        </is>
      </c>
      <c r="K13" s="19" t="inlineStr">
        <is>
          <t>Idea</t>
        </is>
      </c>
      <c r="L13" s="19" t="inlineStr"/>
      <c r="M13" s="19" t="inlineStr"/>
      <c r="N13" s="12" t="n">
        <v>46316</v>
      </c>
    </row>
  </sheetData>
  <autoFilter ref="A4:N113"/>
  <conditionalFormatting sqref="K5:K113">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3" showDropDown="0" showInputMessage="0" showErrorMessage="0" allowBlank="1" type="list">
      <formula1>"Idea,Researching,Planned,Booked,Done,Dropped"</formula1>
    </dataValidation>
    <dataValidation sqref="J5:J113" showDropDown="0" showInputMessage="0" showErrorMessage="0" allowBlank="1" type="list">
      <formula1>"High,Medium,Low"</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2026-10-21T16:07:09Z</dcterms:created>
  <dcterms:modified xmlns:dcterms="http://purl.org/dc/terms/" xmlns:xsi="http://www.w3.org/2001/XMLSchema-instance" xsi:type="dcterms:W3CDTF">2026-10-21T16:07:09Z</dcterms:modified>
</cp:coreProperties>
</file>
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8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17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tem Master" sheetId="2" state="visible" r:id="rId4"/>
    <sheet name="Packing Guide" sheetId="3" state="visible" r:id="rId5"/>
    <sheet name="Nov-2026" sheetId="4" state="visible" r:id="rId6"/>
    <sheet name="Dec-2026" sheetId="5" state="visible" r:id="rId7"/>
    <sheet name="Jan-2027" sheetId="6" state="visible" r:id="rId8"/>
    <sheet name="Feb-2027" sheetId="7" state="visible" r:id="rId9"/>
    <sheet name="Mar-2027" sheetId="8" state="visible" r:id="rId10"/>
    <sheet name="Apr-2027" sheetId="9" state="visible" r:id="rId11"/>
    <sheet name="May-2027" sheetId="10" state="visible" r:id="rId12"/>
    <sheet name="Jun-2027" sheetId="11" state="visible" r:id="rId13"/>
    <sheet name="Jul-2027" sheetId="12" state="visible" r:id="rId14"/>
    <sheet name="Aug-2027" sheetId="13" state="visible" r:id="rId15"/>
    <sheet name="Sep-2027" sheetId="14" state="visible" r:id="rId16"/>
    <sheet name="Oct-2027" sheetId="15" state="visible" r:id="rId17"/>
    <sheet name="Annual Summary" sheetId="16" state="visible" r:id="rId18"/>
    <sheet name="Kits" sheetId="17" state="visible" r:id="rId19"/>
    <sheet name="Distribution Register" sheetId="18" state="visible" r:id="rId20"/>
    <sheet name="Services" sheetId="19" state="visible" r:id="rId21"/>
  </sheets>
  <definedNames>
    <definedName function="false" hidden="true" localSheetId="15" name="_xlnm._FilterDatabase" vbProcedure="false">'Annual Summary'!$A$6:$Z$65</definedName>
    <definedName function="false" hidden="false" localSheetId="8" name="_xlnm.Print_Titles" vbProcedure="false">'Apr-2027'!$6:$7</definedName>
    <definedName function="false" hidden="true" localSheetId="8" name="_xlnm._FilterDatabase" vbProcedure="false">'Apr-2027'!$A$7:$AD$66</definedName>
    <definedName function="false" hidden="false" localSheetId="12" name="_xlnm.Print_Titles" vbProcedure="false">'Aug-2027'!$6:$7</definedName>
    <definedName function="false" hidden="true" localSheetId="12" name="_xlnm._FilterDatabase" vbProcedure="false">'Aug-2027'!$A$7:$AD$66</definedName>
    <definedName function="false" hidden="false" localSheetId="4" name="_xlnm.Print_Titles" vbProcedure="false">'Dec-2026'!$6:$7</definedName>
    <definedName function="false" hidden="true" localSheetId="4" name="_xlnm._FilterDatabase" vbProcedure="false">'Dec-2026'!$A$7:$AD$66</definedName>
    <definedName function="false" hidden="true" localSheetId="17" name="_xlnm._FilterDatabase" vbProcedure="false">'Distribution Register'!$A$4:$P$504</definedName>
    <definedName function="false" hidden="false" localSheetId="6" name="_xlnm.Print_Titles" vbProcedure="false">'Feb-2027'!$6:$7</definedName>
    <definedName function="false" hidden="true" localSheetId="6" name="_xlnm._FilterDatabase" vbProcedure="false">'Feb-2027'!$A$7:$AD$66</definedName>
    <definedName function="false" hidden="true" localSheetId="1" name="_xlnm._FilterDatabase" vbProcedure="false">'Item Master'!$A$4:$S$63</definedName>
    <definedName function="false" hidden="false" localSheetId="5" name="_xlnm.Print_Titles" vbProcedure="false">'Jan-2027'!$6:$7</definedName>
    <definedName function="false" hidden="true" localSheetId="5" name="_xlnm._FilterDatabase" vbProcedure="false">'Jan-2027'!$A$7:$AD$66</definedName>
    <definedName function="false" hidden="false" localSheetId="11" name="_xlnm.Print_Titles" vbProcedure="false">'Jul-2027'!$6:$7</definedName>
    <definedName function="false" hidden="true" localSheetId="11" name="_xlnm._FilterDatabase" vbProcedure="false">'Jul-2027'!$A$7:$AD$66</definedName>
    <definedName function="false" hidden="false" localSheetId="10" name="_xlnm.Print_Titles" vbProcedure="false">'Jun-2027'!$6:$7</definedName>
    <definedName function="false" hidden="true" localSheetId="10" name="_xlnm._FilterDatabase" vbProcedure="false">'Jun-2027'!$A$7:$AD$66</definedName>
    <definedName function="false" hidden="false" localSheetId="7" name="_xlnm.Print_Titles" vbProcedure="false">'Mar-2027'!$6:$7</definedName>
    <definedName function="false" hidden="true" localSheetId="7" name="_xlnm._FilterDatabase" vbProcedure="false">'Mar-2027'!$A$7:$AD$66</definedName>
    <definedName function="false" hidden="false" localSheetId="9" name="_xlnm.Print_Titles" vbProcedure="false">'May-2027'!$6:$7</definedName>
    <definedName function="false" hidden="true" localSheetId="9" name="_xlnm._FilterDatabase" vbProcedure="false">'May-2027'!$A$7:$AD$66</definedName>
    <definedName function="false" hidden="false" localSheetId="3" name="_xlnm.Print_Titles" vbProcedure="false">'Nov-2026'!$6:$7</definedName>
    <definedName function="false" hidden="true" localSheetId="3" name="_xlnm._FilterDatabase" vbProcedure="false">'Nov-2026'!$A$7:$AD$66</definedName>
    <definedName function="false" hidden="false" localSheetId="14" name="_xlnm.Print_Titles" vbProcedure="false">'Oct-2027'!$6:$7</definedName>
    <definedName function="false" hidden="true" localSheetId="14" name="_xlnm._FilterDatabase" vbProcedure="false">'Oct-2027'!$A$7:$AD$66</definedName>
    <definedName function="false" hidden="false" localSheetId="13" name="_xlnm.Print_Titles" vbProcedure="false">'Sep-2027'!$6:$7</definedName>
    <definedName function="false" hidden="true" localSheetId="13" name="_xlnm._FilterDatabase" vbProcedure="false">'Sep-2027'!$A$7:$AD$66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9" authorId="0">
      <text>
        <r>
          <rPr>
            <sz val="10"/>
            <rFont val="Arial"/>
            <family val="2"/>
          </rPr>
          <t xml:space="preserve">Example values – replace with your real opening stock.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Example: 50 yatris on the next yatra. Change to your numbers.</t>
        </r>
      </text>
    </comment>
  </commentList>
</comments>
</file>

<file path=xl/sharedStrings.xml><?xml version="1.0" encoding="utf-8"?>
<sst xmlns="http://schemas.openxmlformats.org/spreadsheetml/2006/main" count="2031" uniqueCount="855">
  <si>
    <t xml:space="preserve">Donor &amp; Yatri Gift Items – Packing &amp; Stock Register</t>
  </si>
  <si>
    <t xml:space="preserve">Hare Krishna Movement, Hyderabad  •  Storeroom / Warehouse  •  Nov 2026 – Oct 2027</t>
  </si>
  <si>
    <t xml:space="preserve">Purpose</t>
  </si>
  <si>
    <t xml:space="preserve">•  Keep sufficient, well-packed stock of blessed items (prasadam, threads, tilak, photos, books, souvenirs) to be given to DONORS and to YATRIS who join our yatras.</t>
  </si>
  <si>
    <t xml:space="preserve">•  This workbook tells the storeroom person HOW to pack each item, WHERE to store it, and records WHEN items were prepared &amp; stored and HOW MUCH stock is left – every month.</t>
  </si>
  <si>
    <t xml:space="preserve">Sheets in this workbook</t>
  </si>
  <si>
    <t xml:space="preserve">Item Master</t>
  </si>
  <si>
    <t xml:space="preserve">Master list of every item: category, who gets it, recommended packing method, material spec, label text, shelf life, storage rack, reorder level. Edit here – all monthly sheets update automatically.</t>
  </si>
  <si>
    <t xml:space="preserve">Packing Guide</t>
  </si>
  <si>
    <t xml:space="preserve">Research-based comparison of packing options (zip-lock, sachets, containers, bottles, sleeves…), golden rules for oily/liquid items, packing-station SOP, label &amp; batch-number format, rack layout, compliance notes.</t>
  </si>
  <si>
    <t xml:space="preserve">Kits</t>
  </si>
  <si>
    <t xml:space="preserve">Ready combinations: Yatri Welcome Kit, Donor kits by donation level, Birthday/Anniversary kit. Enter how many kits you plan – the sheet calculates items needed vs. stock available.</t>
  </si>
  <si>
    <t xml:space="preserve">Nov-2026 … Oct-2027</t>
  </si>
  <si>
    <t xml:space="preserve">12 monthly stock sheets. For each item: opening stock, up to 2 packing batches (date packed, date stored, batch no., qty), issued to donors / yatris / events, damaged, closing stock, physical count, variance, status, qty to pack next month. Monthly checklist at the bottom.</t>
  </si>
  <si>
    <t xml:space="preserve">Annual Summary</t>
  </si>
  <si>
    <t xml:space="preserve">Year view: closing stock every month, total packed and issued, average monthly use and a suggested reorder level. Choose a month at the top to see current stock &amp; status.</t>
  </si>
  <si>
    <t xml:space="preserve">Distribution Register</t>
  </si>
  <si>
    <t xml:space="preserve">Who received what: date, donor/yatri name, phone, yatra/event, receipt no., kit given. Helps follow-up (Sankalpa video, thank-you call).</t>
  </si>
  <si>
    <t xml:space="preserve">Services</t>
  </si>
  <si>
    <t xml:space="preserve">Non-stock offerings (Sankalpa/Archana video, birthday cake, Kalyanam/Abhishekam booking, catering) and fresh prasadam (Sweet Pongal, Shayana / Baalya / Chappan Bhog) with packing guidance.</t>
  </si>
  <si>
    <t xml:space="preserve">Monthly routine for the storeroom person</t>
  </si>
  <si>
    <t xml:space="preserve">1st of the month: open the month's sheet. Opening stock comes automatically from last month (physical count if entered, otherwise book closing). Only Nov-2026 opening is typed by hand.</t>
  </si>
  <si>
    <t xml:space="preserve">When you pack a batch: write Date Packed, Date Stored, Batch No. (format ITEMID-YYMM-01, e.g. TIL-2611-01) and Qty Packed. Use Batch 2 columns for a second batch in the same month.</t>
  </si>
  <si>
    <t xml:space="preserve">Every issue: record in Distribution Register; at month end total the issues into the Issued – Donors / Yatris / Events columns.</t>
  </si>
  <si>
    <t xml:space="preserve">Damaged, leaked, expired or returned items go into the Damaged / Expired column – never just remove them silently.</t>
  </si>
  <si>
    <t xml:space="preserve">Last working day: physically count every item, enter Physical Count. Investigate any Variance that is not zero.</t>
  </si>
  <si>
    <t xml:space="preserve">Check Status column: REORDER NOW / OUT OF STOCK items must be packed or ordered first. 'Qty to Pack Next Month' tells you how many.</t>
  </si>
  <si>
    <t xml:space="preserve">Tick the Monthly Checklist at the bottom of the sheet, sign, and get it verified by the in-charge.</t>
  </si>
  <si>
    <t xml:space="preserve">Colour legend</t>
  </si>
  <si>
    <t xml:space="preserve">Yellow cells – type here (dates, quantities, names, counts).</t>
  </si>
  <si>
    <t xml:space="preserve">Green cells – automatic formulas. Please do not overwrite.</t>
  </si>
  <si>
    <t xml:space="preserve">Status OK</t>
  </si>
  <si>
    <t xml:space="preserve">Status LOW – plan packing soon</t>
  </si>
  <si>
    <t xml:space="preserve">Status REORDER NOW – stock at or below reorder level</t>
  </si>
  <si>
    <t xml:space="preserve">Status OUT OF STOCK</t>
  </si>
  <si>
    <t xml:space="preserve">Notes &amp; assumptions</t>
  </si>
  <si>
    <t xml:space="preserve">•  Reorder levels and target stock in Item Master are suggested starting values. After 2–3 months, use 'Suggested Reorder Level' in Annual Summary to adjust them.</t>
  </si>
  <si>
    <t xml:space="preserve">•  Packing costs are indicative per-unit estimates based on Indian wholesale marketplace listings (IndiaMart / TradeIndia, Oct 2026). Always take 3 quotes from local suppliers (e.g. Begum Bazar, Hyderabad) before bulk buying.</t>
  </si>
  <si>
    <t xml:space="preserve">•  Donor kit levels in 'Kits' (₹ ranges) are examples – management can change the names, ranges and contents.</t>
  </si>
  <si>
    <t xml:space="preserve">•  'LP Set Combo' contents were not specified – please confirm and update its row in Item Master.</t>
  </si>
  <si>
    <t xml:space="preserve">•  The first row of the Nov-2026 sheet and of the Distribution Register shows an EXAMPLE entry so the format is clear – overwrite it with real data.</t>
  </si>
  <si>
    <t xml:space="preserve">Item Master – What we give, how we pack it, where we store it</t>
  </si>
  <si>
    <t xml:space="preserve">Edit names, packing, reorder &amp; target levels here – the 12 monthly sheets, Kits and Annual Summary pick them up automatically.</t>
  </si>
  <si>
    <t xml:space="preserve">Yellow = editable inputs (reorder level, target stock, cost). Storage Location fills from the Storage Code (see Packing Guide → Rack layout).</t>
  </si>
  <si>
    <t xml:space="preserve">Item ID</t>
  </si>
  <si>
    <t xml:space="preserve">Item Name</t>
  </si>
  <si>
    <t xml:space="preserve">Category</t>
  </si>
  <si>
    <t xml:space="preserve">Given To</t>
  </si>
  <si>
    <t xml:space="preserve">Purpose / Description</t>
  </si>
  <si>
    <t xml:space="preserve">Unit of Issue</t>
  </si>
  <si>
    <t xml:space="preserve">Qty per Pack</t>
  </si>
  <si>
    <t xml:space="preserve">Recommended Packing</t>
  </si>
  <si>
    <t xml:space="preserve">Packing Material Specification</t>
  </si>
  <si>
    <t xml:space="preserve">Est. Packing Cost per Unit (₹)</t>
  </si>
  <si>
    <t xml:space="preserve">Label Must Show</t>
  </si>
  <si>
    <t xml:space="preserve">Shelf Life</t>
  </si>
  <si>
    <t xml:space="preserve">Storage Code</t>
  </si>
  <si>
    <t xml:space="preserve">Storage Location</t>
  </si>
  <si>
    <t xml:space="preserve">Storage &amp; Handling Notes</t>
  </si>
  <si>
    <t xml:space="preserve">Reorder Level (Min Stock)</t>
  </si>
  <si>
    <t xml:space="preserve">Target Stock (Max)</t>
  </si>
  <si>
    <t xml:space="preserve">Item Status</t>
  </si>
  <si>
    <t xml:space="preserve">Remarks</t>
  </si>
  <si>
    <t xml:space="preserve">THR</t>
  </si>
  <si>
    <t xml:space="preserve">Kalasha Thread (wrist thread)</t>
  </si>
  <si>
    <t xml:space="preserve">Kalasha &amp; Yagna Prasadam</t>
  </si>
  <si>
    <t xml:space="preserve">Both</t>
  </si>
  <si>
    <t xml:space="preserve">Sacred thread from Kalasha – Abhishekams, Swathi Nakshatra, Narasimha Kalasha etc. Tied around the wrist for protection.</t>
  </si>
  <si>
    <t xml:space="preserve">Pouch</t>
  </si>
  <si>
    <t xml:space="preserve">1 thread (30 cm)</t>
  </si>
  <si>
    <t xml:space="preserve">Zip-lock pouch + small printed insert card</t>
  </si>
  <si>
    <t xml:space="preserve">2"x3" clear LDPE zip-lock, 50 micron; cut thread to 30 cm, coil neatly; insert 2"x2.5" card naming the Kalasha/Utsav &amp; date</t>
  </si>
  <si>
    <t xml:space="preserve">Item name, Kalasha/Utsav name, Batch No., Packed date</t>
  </si>
  <si>
    <t xml:space="preserve">12 months</t>
  </si>
  <si>
    <t xml:space="preserve">R1</t>
  </si>
  <si>
    <t xml:space="preserve">Keep dry. Bundle 50 pouches in one larger zip bag labelled with batch no.</t>
  </si>
  <si>
    <t xml:space="preserve">Existing</t>
  </si>
  <si>
    <t xml:space="preserve">TIL</t>
  </si>
  <si>
    <t xml:space="preserve">Narasimha Yagna Tilak</t>
  </si>
  <si>
    <t xml:space="preserve">Daily available from Vigna Vinaashaka Narasimha Yagna – Maha Prasadam tilak (yagna bhasma with ghee/oil).</t>
  </si>
  <si>
    <t xml:space="preserve">Container</t>
  </si>
  <si>
    <t xml:space="preserve">5 g</t>
  </si>
  <si>
    <t xml:space="preserve">DOUBLE BARRIER: 5 g leak-proof PP screw-cap container → zip-lock pouch</t>
  </si>
  <si>
    <t xml:space="preserve">5 g PP container with inner wad/plug; fill only 80%; wipe rim; tape cap; then 2"x3" zip-lock 60 micron. Alternative: heat-sealed laminated sachet</t>
  </si>
  <si>
    <t xml:space="preserve">"Vigna Vinaashaka Narasimha Yagna Maha Prasadam", Batch No., Packed date, Best before</t>
  </si>
  <si>
    <t xml:space="preserve">3 months</t>
  </si>
  <si>
    <t xml:space="preserve">R2</t>
  </si>
  <si>
    <t xml:space="preserve">OIL MUST NOT LEAK – store UPRIGHT in a tray; leak-test 5 pcs per batch (invert 30 min on tissue). Keep below 30°C.</t>
  </si>
  <si>
    <t xml:space="preserve">Do not pack oily tilak directly in zip-lock – oil seeps through the zip.</t>
  </si>
  <si>
    <t xml:space="preserve">KAV</t>
  </si>
  <si>
    <t xml:space="preserve">Narasimha Kavacha (protective amulet / locket)</t>
  </si>
  <si>
    <t xml:space="preserve">Protection &amp; Mantra</t>
  </si>
  <si>
    <t xml:space="preserve">Donors</t>
  </si>
  <si>
    <t xml:space="preserve">Energised Narasimha Kavacha for protection.</t>
  </si>
  <si>
    <t xml:space="preserve">Piece</t>
  </si>
  <si>
    <t xml:space="preserve">1</t>
  </si>
  <si>
    <t xml:space="preserve">Small organza / velvet pouch with care card</t>
  </si>
  <si>
    <t xml:space="preserve">3"x4" drawstring organza pouch (saffron/red) + printed card with Kavacha meaning &amp; how to wear</t>
  </si>
  <si>
    <t xml:space="preserve">Item name, Batch No., Care instructions</t>
  </si>
  <si>
    <t xml:space="preserve">Long life</t>
  </si>
  <si>
    <t xml:space="preserve">LK</t>
  </si>
  <si>
    <t xml:space="preserve">Count every month (higher value). Keep away from moisture.</t>
  </si>
  <si>
    <t xml:space="preserve">AKV</t>
  </si>
  <si>
    <t xml:space="preserve">Audio – Narasimha Kavacha (QR card)</t>
  </si>
  <si>
    <t xml:space="preserve">Audio / Digital</t>
  </si>
  <si>
    <t xml:space="preserve">Audio recitation of Narasimha Kavacha – shared as QR-code card + WhatsApp link.</t>
  </si>
  <si>
    <t xml:space="preserve">Card</t>
  </si>
  <si>
    <t xml:space="preserve">Printed QR card (visiting-card size), bundled in OPP sleeve of 50</t>
  </si>
  <si>
    <t xml:space="preserve">300 GSM matte card, 3.5"x2"; QR code to audio + temple contact; lamination optional</t>
  </si>
  <si>
    <t xml:space="preserve">Title, QR code, Temple contact number</t>
  </si>
  <si>
    <t xml:space="preserve">Long life (check QR link every month)</t>
  </si>
  <si>
    <t xml:space="preserve">R4</t>
  </si>
  <si>
    <t xml:space="preserve">Test QR link monthly. Also send audio on WhatsApp after donation.</t>
  </si>
  <si>
    <t xml:space="preserve">Digital – near-zero cost per donor.</t>
  </si>
  <si>
    <t xml:space="preserve">AKR</t>
  </si>
  <si>
    <t xml:space="preserve">Audio – Narasimha Kirtan (QR card)</t>
  </si>
  <si>
    <t xml:space="preserve">Narasimha Kirtan audio – QR-code card + WhatsApp link.</t>
  </si>
  <si>
    <t xml:space="preserve">Printed QR card, bundled in OPP sleeve of 50</t>
  </si>
  <si>
    <t xml:space="preserve">300 GSM matte card, 3.5"x2"; QR code to playlist</t>
  </si>
  <si>
    <t xml:space="preserve">Can be combined with AKV on a single two-sided card to save cost.</t>
  </si>
  <si>
    <t xml:space="preserve">PFR</t>
  </si>
  <si>
    <t xml:space="preserve">Narasimha Photo Frame</t>
  </si>
  <si>
    <t xml:space="preserve">Deity Photos &amp; Frames</t>
  </si>
  <si>
    <t xml:space="preserve">Framed photo of Lord Narasimha for home altar.</t>
  </si>
  <si>
    <t xml:space="preserve">Bubble wrap + corner protectors + corrugated (3-ply) box</t>
  </si>
  <si>
    <t xml:space="preserve">Glass face taped with masking-tape "X"; 2 layers bubble wrap; 3-ply carton sized to frame</t>
  </si>
  <si>
    <t xml:space="preserve">Item name, size, FRAGILE sticker</t>
  </si>
  <si>
    <t xml:space="preserve">R3</t>
  </si>
  <si>
    <t xml:space="preserve">Store VERTICALLY like books, never stacked flat. Max 10 per shelf section.</t>
  </si>
  <si>
    <t xml:space="preserve">TTP</t>
  </si>
  <si>
    <t xml:space="preserve">Narasimha Table Top (idol/stand)</t>
  </si>
  <si>
    <t xml:space="preserve">Table-top Narasimha murti/stand for office or car dashboard.</t>
  </si>
  <si>
    <t xml:space="preserve">Foam/bubble wrap + gift box</t>
  </si>
  <si>
    <t xml:space="preserve">Moulded or cut-foam insert; printed gift box</t>
  </si>
  <si>
    <t xml:space="preserve">Item name, FRAGILE sticker</t>
  </si>
  <si>
    <t xml:space="preserve">Keep in original boxes; handle with both hands.</t>
  </si>
  <si>
    <t xml:space="preserve">STK</t>
  </si>
  <si>
    <t xml:space="preserve">Narasimha Sticker</t>
  </si>
  <si>
    <t xml:space="preserve">Sticker for car, door, laptop – remembrance of the Lord.</t>
  </si>
  <si>
    <t xml:space="preserve">Flat in OPP self-adhesive sleeve (sets of 10)</t>
  </si>
  <si>
    <t xml:space="preserve">OPP cellophane sleeve slightly larger than sticker; keep a card backing so stickers stay flat</t>
  </si>
  <si>
    <t xml:space="preserve">Bundle label: Item, Qty, Batch No.</t>
  </si>
  <si>
    <t xml:space="preserve">24 months</t>
  </si>
  <si>
    <t xml:space="preserve">Keep flat, away from heat and humidity (adhesive weakens).</t>
  </si>
  <si>
    <t xml:space="preserve">KPR</t>
  </si>
  <si>
    <t xml:space="preserve">Narasimha Kavacha Print Out</t>
  </si>
  <si>
    <t xml:space="preserve">Printed Narasimha Kavacha text (Sanskrit + transliteration + meaning).</t>
  </si>
  <si>
    <t xml:space="preserve">Sheet</t>
  </si>
  <si>
    <t xml:space="preserve">Laminated A5 card in OPP sleeve</t>
  </si>
  <si>
    <t xml:space="preserve">A5, 250 micron lamination; both sides printed</t>
  </si>
  <si>
    <t xml:space="preserve">Title, Temple name</t>
  </si>
  <si>
    <t xml:space="preserve">Store flat in boxes of 100.</t>
  </si>
  <si>
    <t xml:space="preserve">MBX</t>
  </si>
  <si>
    <t xml:space="preserve">Mantra Box</t>
  </si>
  <si>
    <t xml:space="preserve">Box with mantra slips / sacred items for the altar.</t>
  </si>
  <si>
    <t xml:space="preserve">Box</t>
  </si>
  <si>
    <t xml:space="preserve">Shrink-wrap or OPP bag over box</t>
  </si>
  <si>
    <t xml:space="preserve">Box sealed with transparent sticker; OPP bag 1" larger than box</t>
  </si>
  <si>
    <t xml:space="preserve">Item name, Batch No.</t>
  </si>
  <si>
    <t xml:space="preserve">Stack max 10 high.</t>
  </si>
  <si>
    <t xml:space="preserve">PRG</t>
  </si>
  <si>
    <t xml:space="preserve">Radha Govinda Photo</t>
  </si>
  <si>
    <t xml:space="preserve">Photo of Sri Sri Radha Govinda (temple Deities).</t>
  </si>
  <si>
    <t xml:space="preserve">Laminated photo + cardboard backing in OPP sleeve</t>
  </si>
  <si>
    <t xml:space="preserve">Sizes: 4"x6" (yatris) / 8"x10" (donors); 125 micron lamination</t>
  </si>
  <si>
    <t xml:space="preserve">Deity name, Temple name</t>
  </si>
  <si>
    <t xml:space="preserve">Store flat, never folded. Separate by size.</t>
  </si>
  <si>
    <t xml:space="preserve">PHN</t>
  </si>
  <si>
    <t xml:space="preserve">Hanuman Photo</t>
  </si>
  <si>
    <t xml:space="preserve">Photo of Sri Hanuman.</t>
  </si>
  <si>
    <t xml:space="preserve">4"x6" / 8"x10"; 125 micron lamination</t>
  </si>
  <si>
    <t xml:space="preserve">Store flat.</t>
  </si>
  <si>
    <t xml:space="preserve">PLN</t>
  </si>
  <si>
    <t xml:space="preserve">Lakshmi Narasimha Photo</t>
  </si>
  <si>
    <t xml:space="preserve">Photo of Sri Lakshmi Narasimha.</t>
  </si>
  <si>
    <t xml:space="preserve">CTL</t>
  </si>
  <si>
    <t xml:space="preserve">Charan Tulasi</t>
  </si>
  <si>
    <t xml:space="preserve">Tulasi leaves offered at the Lord's Lotus Feet.</t>
  </si>
  <si>
    <t xml:space="preserve">3–5 leaves</t>
  </si>
  <si>
    <t xml:space="preserve">Shade-dry fully (2–3 days), then food-grade zip-lock or butter-paper pouch</t>
  </si>
  <si>
    <t xml:space="preserve">2"x3" FOOD-GRADE virgin LDPE zip-lock, or glassine/butter-paper pouch; NO silica gel inside (edible)</t>
  </si>
  <si>
    <t xml:space="preserve">"Charan Tulasi – please honour, do not discard", Packed date</t>
  </si>
  <si>
    <t xml:space="preserve">6 months (dry)</t>
  </si>
  <si>
    <t xml:space="preserve">Must be completely dry before packing (else fungus). Keep away from agarbathi/perfume rack (absorbs smell).</t>
  </si>
  <si>
    <t xml:space="preserve">CAM</t>
  </si>
  <si>
    <t xml:space="preserve">Charanamrita</t>
  </si>
  <si>
    <t xml:space="preserve">Holy Items &amp; Liquids</t>
  </si>
  <si>
    <t xml:space="preserve">Sacred water/liquid from the Abhishekam of the Lord.</t>
  </si>
  <si>
    <t xml:space="preserve">Bottle</t>
  </si>
  <si>
    <t xml:space="preserve">20–30 ml</t>
  </si>
  <si>
    <t xml:space="preserve">Small PET bottle, screw cap + shrink band (tamper evident)</t>
  </si>
  <si>
    <t xml:space="preserve">20/30 ml PET bottle, food grade; fill to neck; screw cap + PVC shrink band; pack bottles upright in zip bag of 10</t>
  </si>
  <si>
    <t xml:space="preserve">"Charanamrita", Packed date, Best before, "Keep cool"</t>
  </si>
  <si>
    <t xml:space="preserve">Water-based: 7 days; Milk/curd-based: SAME DAY only</t>
  </si>
  <si>
    <t xml:space="preserve">Dairy-based charanamrita must NOT be stocked – prepare on the day. Store water-based in cool place.</t>
  </si>
  <si>
    <t xml:space="preserve">Perishable – pack in small batches only.</t>
  </si>
  <si>
    <t xml:space="preserve">HWR</t>
  </si>
  <si>
    <t xml:space="preserve">Holy Water from Holy Rivers</t>
  </si>
  <si>
    <t xml:space="preserve">Ganga / Yamuna / holy-river water brought from yatras.</t>
  </si>
  <si>
    <t xml:space="preserve">30–50 ml</t>
  </si>
  <si>
    <t xml:space="preserve">PET/HDPE bottle, screw cap + shrink band</t>
  </si>
  <si>
    <t xml:space="preserve">30/50 ml PET; label with river &amp; place; pack upright in zip bag of 10</t>
  </si>
  <si>
    <t xml:space="preserve">River name, Place, Collected date, Batch No.</t>
  </si>
  <si>
    <t xml:space="preserve">24 months (sealed)</t>
  </si>
  <si>
    <t xml:space="preserve">Filter before bottling. Store upright, away from sunlight.</t>
  </si>
  <si>
    <t xml:space="preserve">Great yatra souvenir – collect during each yatra.</t>
  </si>
  <si>
    <t xml:space="preserve">BPF</t>
  </si>
  <si>
    <t xml:space="preserve">Badrinath Prasadam Perfume (Attar)</t>
  </si>
  <si>
    <t xml:space="preserve">Fragrance &amp; Puja</t>
  </si>
  <si>
    <t xml:space="preserve">Perfume/attar prasadam from Badrinath.</t>
  </si>
  <si>
    <t xml:space="preserve">3 ml</t>
  </si>
  <si>
    <t xml:space="preserve">Glass roll-on/attar vial in bubble sleeve, placed in small box</t>
  </si>
  <si>
    <t xml:space="preserve">3 ml glass vial, tight cap + cap tape; bubble sleeve; keep upright</t>
  </si>
  <si>
    <t xml:space="preserve">Item name, Origin, FRAGILE</t>
  </si>
  <si>
    <t xml:space="preserve">Heat &amp; light reduce fragrance – keep in closed cabinet. Never store with food items.</t>
  </si>
  <si>
    <t xml:space="preserve">CHN</t>
  </si>
  <si>
    <t xml:space="preserve">Chandan Prasadam</t>
  </si>
  <si>
    <t xml:space="preserve">Sandalwood paste offered to the Lord (e.g. Chandan Yatra).</t>
  </si>
  <si>
    <t xml:space="preserve">2–3 g dried tablet / powder</t>
  </si>
  <si>
    <t xml:space="preserve">Dry the chandan into small tablets/powder → zip-lock; if paste, 5 g PP container</t>
  </si>
  <si>
    <t xml:space="preserve">2"x3" food-grade zip-lock 50 micron (dry), or 5 g PP container (paste)</t>
  </si>
  <si>
    <t xml:space="preserve">"Chandan Prasadam", Packed date, Batch No.</t>
  </si>
  <si>
    <t xml:space="preserve">Dry: 12 months; Paste: 7 days</t>
  </si>
  <si>
    <t xml:space="preserve">Wet chandan spoils – always dry before stocking.</t>
  </si>
  <si>
    <t xml:space="preserve">AGR</t>
  </si>
  <si>
    <t xml:space="preserve">Agarbathi</t>
  </si>
  <si>
    <t xml:space="preserve">Incense sticks (temple brand or offered).</t>
  </si>
  <si>
    <t xml:space="preserve">Pack</t>
  </si>
  <si>
    <t xml:space="preserve">10 sticks</t>
  </si>
  <si>
    <t xml:space="preserve">Kraft/OPP pouch with temple sticker (or keep original sealed pack)</t>
  </si>
  <si>
    <t xml:space="preserve">Repack 10 sticks in OPP sleeve or kraft pouch; temple sticker</t>
  </si>
  <si>
    <t xml:space="preserve">Fragrance name, Temple name</t>
  </si>
  <si>
    <t xml:space="preserve">R5</t>
  </si>
  <si>
    <t xml:space="preserve">Keep dry, away from edibles &amp; tulasi.</t>
  </si>
  <si>
    <t xml:space="preserve">BKS</t>
  </si>
  <si>
    <t xml:space="preserve">Book (small booklet)</t>
  </si>
  <si>
    <t xml:space="preserve">Books &amp; Media</t>
  </si>
  <si>
    <t xml:space="preserve">Small spiritual booklet for first-time visitors/yatris.</t>
  </si>
  <si>
    <t xml:space="preserve">Shrink wrap (bundles of 10) or OPP sleeve</t>
  </si>
  <si>
    <t xml:space="preserve">Heat-shrink film bundle of 10; individual OPP sleeve for donor kits</t>
  </si>
  <si>
    <t xml:space="preserve">Title, Language</t>
  </si>
  <si>
    <t xml:space="preserve">Store flat, off the floor, away from walls (damp).</t>
  </si>
  <si>
    <t xml:space="preserve">JML</t>
  </si>
  <si>
    <t xml:space="preserve">Japa Mala (Tulasi beads)</t>
  </si>
  <si>
    <t xml:space="preserve">Japa &amp; Spiritual</t>
  </si>
  <si>
    <t xml:space="preserve">108-bead tulasi japa mala for chanting Hare Krishna Maha-mantra.</t>
  </si>
  <si>
    <t xml:space="preserve">Zip-lock pouch with "How to chant" card (or inside Japa Bag)</t>
  </si>
  <si>
    <t xml:space="preserve">4"x6" zip-lock 50 micron + chanting instruction card</t>
  </si>
  <si>
    <t xml:space="preserve">Item name, How-to-chant card</t>
  </si>
  <si>
    <t xml:space="preserve">Keep dry (tulasi beads crack/fungus in damp).</t>
  </si>
  <si>
    <t xml:space="preserve">JBG</t>
  </si>
  <si>
    <t xml:space="preserve">Japa Bag</t>
  </si>
  <si>
    <t xml:space="preserve">Cloth bag for japa mala.</t>
  </si>
  <si>
    <t xml:space="preserve">Fold, OPP bag (bundles of 10)</t>
  </si>
  <si>
    <t xml:space="preserve">OPP bag 6"x9"</t>
  </si>
  <si>
    <t xml:space="preserve">Item name, Size</t>
  </si>
  <si>
    <t xml:space="preserve">Keep dry, pest-free (naphthalene NOT near edibles).</t>
  </si>
  <si>
    <t xml:space="preserve">MCD</t>
  </si>
  <si>
    <t xml:space="preserve">Mantra Card</t>
  </si>
  <si>
    <t xml:space="preserve">Hare Krishna Maha-mantra card / Narasimha pranam card.</t>
  </si>
  <si>
    <t xml:space="preserve">Laminated card, OPP bundles of 50</t>
  </si>
  <si>
    <t xml:space="preserve">Visiting-card or A6 size, 300 GSM, lamination</t>
  </si>
  <si>
    <t xml:space="preserve">Title, Temple contact</t>
  </si>
  <si>
    <t xml:space="preserve">Cheapest high-impact item – include in every kit.</t>
  </si>
  <si>
    <t xml:space="preserve">SPB</t>
  </si>
  <si>
    <t xml:space="preserve">Srila Prabhupada Books (Gita, Krishna Book)</t>
  </si>
  <si>
    <t xml:space="preserve">Bhagavad-gita As It Is, Krishna Book and other SP books.</t>
  </si>
  <si>
    <t xml:space="preserve">Book</t>
  </si>
  <si>
    <t xml:space="preserve">Shrink wrap + gift tag / bookmark inside</t>
  </si>
  <si>
    <t xml:space="preserve">Heat-shrink film; for big donors gift-wrap in kraft paper</t>
  </si>
  <si>
    <t xml:space="preserve">Store flat, max 15 high; off floor; check for termites.</t>
  </si>
  <si>
    <t xml:space="preserve">LPS</t>
  </si>
  <si>
    <t xml:space="preserve">LP Set Combo</t>
  </si>
  <si>
    <t xml:space="preserve">Combo set (contents to be confirmed by management).</t>
  </si>
  <si>
    <t xml:space="preserve">Set</t>
  </si>
  <si>
    <t xml:space="preserve">Gift box / shrink wrap</t>
  </si>
  <si>
    <t xml:space="preserve">Box or shrink-wrapped set</t>
  </si>
  <si>
    <t xml:space="preserve">Set name, Contents list</t>
  </si>
  <si>
    <t xml:space="preserve">Please confirm contents and update this row.</t>
  </si>
  <si>
    <t xml:space="preserve">CLARIFY: what does 'LP Set' contain?</t>
  </si>
  <si>
    <t xml:space="preserve">PEN</t>
  </si>
  <si>
    <t xml:space="preserve">Pen Drive with Kirtans &amp; Mantras</t>
  </si>
  <si>
    <t xml:space="preserve">Pen drive pre-loaded with kirtans, mantras, lectures.</t>
  </si>
  <si>
    <t xml:space="preserve">Small plastic/kraft box or anti-static zip pouch + content list card</t>
  </si>
  <si>
    <t xml:space="preserve">Anti-static zip pouch or 2"x3" box; content list card</t>
  </si>
  <si>
    <t xml:space="preserve">Content list, Capacity, Version/date</t>
  </si>
  <si>
    <t xml:space="preserve">Long life (re-verify files every 6 months)</t>
  </si>
  <si>
    <t xml:space="preserve">Test 1 in 20 before issue. Keep in locked cabinet.</t>
  </si>
  <si>
    <t xml:space="preserve">CDS</t>
  </si>
  <si>
    <t xml:space="preserve">Chardham Souvenir</t>
  </si>
  <si>
    <t xml:space="preserve">Souvenirs &amp; Coins</t>
  </si>
  <si>
    <t xml:space="preserve">Souvenir from Chardham Yatra (Kedarnath, Badrinath, Gangotri, Yamunotri).</t>
  </si>
  <si>
    <t xml:space="preserve">Bubble wrap + gift box</t>
  </si>
  <si>
    <t xml:space="preserve">Bubble wrap; printed gift box with yatra name</t>
  </si>
  <si>
    <t xml:space="preserve">Item, Yatra name, Year</t>
  </si>
  <si>
    <t xml:space="preserve">Fragile items on lower shelves.</t>
  </si>
  <si>
    <t xml:space="preserve">LXC</t>
  </si>
  <si>
    <t xml:space="preserve">Lakshmi Coins</t>
  </si>
  <si>
    <t xml:space="preserve">Lakshmi coins (silver-plated/brass) for prosperity blessings.</t>
  </si>
  <si>
    <t xml:space="preserve">Coin capsule or velvet pouch + anti-tarnish paper</t>
  </si>
  <si>
    <t xml:space="preserve">Clear coin capsule (fits coin size) in small velvet pouch</t>
  </si>
  <si>
    <t xml:space="preserve">Item, Metal, Batch No.</t>
  </si>
  <si>
    <t xml:space="preserve">HIGH VALUE – keep in locked cabinet; issue against register; count weekly.</t>
  </si>
  <si>
    <t xml:space="preserve">KUM</t>
  </si>
  <si>
    <t xml:space="preserve">Kumkum</t>
  </si>
  <si>
    <t xml:space="preserve">Kumkum prasadam.</t>
  </si>
  <si>
    <t xml:space="preserve">5 g PP snap/screw container, OR heat-sealed sachet inside zip-lock</t>
  </si>
  <si>
    <t xml:space="preserve">5 g PP container; or 2"x3" heat-sealed sachet</t>
  </si>
  <si>
    <t xml:space="preserve">"Kumkum Prasadam", Packed date</t>
  </si>
  <si>
    <t xml:space="preserve">Powder stains – always double-pack. Keep dry.</t>
  </si>
  <si>
    <t xml:space="preserve">SCT</t>
  </si>
  <si>
    <t xml:space="preserve">Scent Sticks</t>
  </si>
  <si>
    <t xml:space="preserve">Scented sticks.</t>
  </si>
  <si>
    <t xml:space="preserve">5 sticks</t>
  </si>
  <si>
    <t xml:space="preserve">Zip cover (as specified)</t>
  </si>
  <si>
    <t xml:space="preserve">3"x8" zip-lock 50 micron</t>
  </si>
  <si>
    <t xml:space="preserve">Keep away from edibles.</t>
  </si>
  <si>
    <t xml:space="preserve">DHP</t>
  </si>
  <si>
    <t xml:space="preserve">Dhoop Sticks</t>
  </si>
  <si>
    <t xml:space="preserve">Dhoop sticks for home puja.</t>
  </si>
  <si>
    <t xml:space="preserve">Original box, or zip-lock with sticker</t>
  </si>
  <si>
    <t xml:space="preserve">Fragrance name</t>
  </si>
  <si>
    <t xml:space="preserve">Keep dry.</t>
  </si>
  <si>
    <t xml:space="preserve">CDL</t>
  </si>
  <si>
    <t xml:space="preserve">Candles / Diyas</t>
  </si>
  <si>
    <t xml:space="preserve">Candles for festivals (Karthika, Diwali).</t>
  </si>
  <si>
    <t xml:space="preserve">Kraft box or shrink wrap</t>
  </si>
  <si>
    <t xml:space="preserve">Store in original boxes</t>
  </si>
  <si>
    <t xml:space="preserve">Item, Burn time</t>
  </si>
  <si>
    <t xml:space="preserve">Keep below 30°C (melts/bends). Not near gas or heat.</t>
  </si>
  <si>
    <t xml:space="preserve">BBS</t>
  </si>
  <si>
    <t xml:space="preserve">Bahumana Bag – Small</t>
  </si>
  <si>
    <t xml:space="preserve">Gift Packaging Material</t>
  </si>
  <si>
    <t xml:space="preserve">Small gift bag (yatri kits / small donations).</t>
  </si>
  <si>
    <t xml:space="preserve">—</t>
  </si>
  <si>
    <t xml:space="preserve">Cloth/jute/kraft paper bag (plastic carry bags avoided)</t>
  </si>
  <si>
    <t xml:space="preserve">R6</t>
  </si>
  <si>
    <t xml:space="preserve">Store flat in bundles of 50.</t>
  </si>
  <si>
    <t xml:space="preserve">BBM</t>
  </si>
  <si>
    <t xml:space="preserve">Bahumana Bag – Medium</t>
  </si>
  <si>
    <t xml:space="preserve">Medium gift bag (regular donors).</t>
  </si>
  <si>
    <t xml:space="preserve">Cloth/jute bag with temple print</t>
  </si>
  <si>
    <t xml:space="preserve">Store flat in bundles of 25.</t>
  </si>
  <si>
    <t xml:space="preserve">BBB</t>
  </si>
  <si>
    <t xml:space="preserve">Bahumana Bag – Big</t>
  </si>
  <si>
    <t xml:space="preserve">Big gift bag (major donors / patrons).</t>
  </si>
  <si>
    <t xml:space="preserve">Premium jute/canvas bag with temple print</t>
  </si>
  <si>
    <t xml:space="preserve">PBS</t>
  </si>
  <si>
    <t xml:space="preserve">Prasadam Box – Small</t>
  </si>
  <si>
    <t xml:space="preserve">Prasadam Serving Material</t>
  </si>
  <si>
    <t xml:space="preserve">Small sweet/prasadam box.</t>
  </si>
  <si>
    <t xml:space="preserve">Food-grade duplex board box</t>
  </si>
  <si>
    <t xml:space="preserve">Keep flat-packed; assemble only on the day.</t>
  </si>
  <si>
    <t xml:space="preserve">PBB</t>
  </si>
  <si>
    <t xml:space="preserve">Prasadam Box – Big</t>
  </si>
  <si>
    <t xml:space="preserve">Big prasadam box.</t>
  </si>
  <si>
    <t xml:space="preserve">Keep flat-packed.</t>
  </si>
  <si>
    <t xml:space="preserve">BPC</t>
  </si>
  <si>
    <t xml:space="preserve">Butter Paper Cover – "Always Remember Krishna, Never Forget Krishna"</t>
  </si>
  <si>
    <t xml:space="preserve">Printed butter-paper cover for dry prasadam.</t>
  </si>
  <si>
    <t xml:space="preserve">Food-grade butter/glassine paper, printed</t>
  </si>
  <si>
    <t xml:space="preserve">Keep dry, flat, bundles of 100.</t>
  </si>
  <si>
    <t xml:space="preserve">MPT</t>
  </si>
  <si>
    <t xml:space="preserve">Mud Pots (Pongal / Kichadi Prasadam)</t>
  </si>
  <si>
    <t xml:space="preserve">Clay pots for serving Sweet Pongal or Kichadi prasadam.</t>
  </si>
  <si>
    <t xml:space="preserve">Small clay pots with lid/butter-paper cover</t>
  </si>
  <si>
    <t xml:space="preserve">FRAGILE – store in crates with straw/paper; wash &amp; sun-dry before use.</t>
  </si>
  <si>
    <t xml:space="preserve">BTS</t>
  </si>
  <si>
    <t xml:space="preserve">Bento Box – Small</t>
  </si>
  <si>
    <t xml:space="preserve">Compartment box – small.</t>
  </si>
  <si>
    <t xml:space="preserve">Food-grade compartment box with lid</t>
  </si>
  <si>
    <t xml:space="preserve">Keep in cartons, dust-free.</t>
  </si>
  <si>
    <t xml:space="preserve">BTM</t>
  </si>
  <si>
    <t xml:space="preserve">Bento Box – Medium</t>
  </si>
  <si>
    <t xml:space="preserve">Compartment box – medium.</t>
  </si>
  <si>
    <t xml:space="preserve">BTB</t>
  </si>
  <si>
    <t xml:space="preserve">Bento Box – Big (Chappan Bhog)</t>
  </si>
  <si>
    <t xml:space="preserve">Compartment box – big (multi-item bhog).</t>
  </si>
  <si>
    <t xml:space="preserve">Food-grade multi-compartment box with lid</t>
  </si>
  <si>
    <t xml:space="preserve">ARP</t>
  </si>
  <si>
    <t xml:space="preserve">Areca-nut Leaf Plates</t>
  </si>
  <si>
    <t xml:space="preserve">Eco-friendly areca plates for prasadam.</t>
  </si>
  <si>
    <t xml:space="preserve">6" / 8" / 10" areca plates</t>
  </si>
  <si>
    <t xml:space="preserve">12 months (keep dry)</t>
  </si>
  <si>
    <t xml:space="preserve">Damp causes fungus – keep sealed, off floor.</t>
  </si>
  <si>
    <t xml:space="preserve">ZL1</t>
  </si>
  <si>
    <t xml:space="preserve">Zip-lock Pouch 2"x3" (50–60 micron)</t>
  </si>
  <si>
    <t xml:space="preserve">Packing Consumables</t>
  </si>
  <si>
    <t xml:space="preserve">Internal</t>
  </si>
  <si>
    <t xml:space="preserve">For thread, tilak outer, tulasi, chandan, kumkum.</t>
  </si>
  <si>
    <t xml:space="preserve">Clear LDPE, food grade, 50–60 micron</t>
  </si>
  <si>
    <t xml:space="preserve">Order in 1,000s.</t>
  </si>
  <si>
    <t xml:space="preserve">Suggested</t>
  </si>
  <si>
    <t xml:space="preserve">Approx ₹1–2/pc (online listings, Oct 2026).</t>
  </si>
  <si>
    <t xml:space="preserve">ZL2</t>
  </si>
  <si>
    <t xml:space="preserve">Zip-lock Pouch 4"x6"</t>
  </si>
  <si>
    <t xml:space="preserve">For japa mala, small kits.</t>
  </si>
  <si>
    <t xml:space="preserve">Clear LDPE 50 micron</t>
  </si>
  <si>
    <t xml:space="preserve">ZL3</t>
  </si>
  <si>
    <t xml:space="preserve">Zip-lock Pouch 3"x8" (sticks)</t>
  </si>
  <si>
    <t xml:space="preserve">For scent / dhoop sticks.</t>
  </si>
  <si>
    <t xml:space="preserve">CNT</t>
  </si>
  <si>
    <t xml:space="preserve">5 g Leak-proof PP Container</t>
  </si>
  <si>
    <t xml:space="preserve">For tilak and kumkum.</t>
  </si>
  <si>
    <t xml:space="preserve">PP screw cap with inner wad</t>
  </si>
  <si>
    <t xml:space="preserve">Approx ₹5–7/pc (online listings, Oct 2026).</t>
  </si>
  <si>
    <t xml:space="preserve">BTL</t>
  </si>
  <si>
    <t xml:space="preserve">20–50 ml PET Bottle + Cap + Shrink Band</t>
  </si>
  <si>
    <t xml:space="preserve">For holy water and charanamrita.</t>
  </si>
  <si>
    <t xml:space="preserve">Food-grade PET, matching cap neck size</t>
  </si>
  <si>
    <t xml:space="preserve">Check cap neck size matches bottle.</t>
  </si>
  <si>
    <t xml:space="preserve">Approx ₹2–5/pc incl. cap.</t>
  </si>
  <si>
    <t xml:space="preserve">LBL</t>
  </si>
  <si>
    <t xml:space="preserve">Printed Labels / Stickers (roll)</t>
  </si>
  <si>
    <t xml:space="preserve">Item labels with batch no. &amp; date.</t>
  </si>
  <si>
    <t xml:space="preserve">Label</t>
  </si>
  <si>
    <t xml:space="preserve">Chromo paper sticker roll; batch/date written or stamped</t>
  </si>
  <si>
    <t xml:space="preserve">OPP</t>
  </si>
  <si>
    <t xml:space="preserve">OPP Self-adhesive Sleeves (assorted)</t>
  </si>
  <si>
    <t xml:space="preserve">For photos, cards, books.</t>
  </si>
  <si>
    <t xml:space="preserve">4"x6", A5, A4 sizes</t>
  </si>
  <si>
    <t xml:space="preserve">BWR</t>
  </si>
  <si>
    <t xml:space="preserve">Bubble Wrap</t>
  </si>
  <si>
    <t xml:space="preserve">For frames, table tops, souvenirs.</t>
  </si>
  <si>
    <t xml:space="preserve">Metre</t>
  </si>
  <si>
    <t xml:space="preserve">1 m wide roll</t>
  </si>
  <si>
    <t xml:space="preserve">CAL</t>
  </si>
  <si>
    <t xml:space="preserve">Temple Calendar 2027</t>
  </si>
  <si>
    <t xml:space="preserve">Suggested New Items</t>
  </si>
  <si>
    <t xml:space="preserve">Wall/table calendar with festival &amp; Ekadashi dates – donors see the temple 365 days a year.</t>
  </si>
  <si>
    <t xml:space="preserve">Shrink wrap / OPP bag</t>
  </si>
  <si>
    <t xml:space="preserve">Table calendar with Deity photos &amp; donation QR</t>
  </si>
  <si>
    <t xml:space="preserve">Year</t>
  </si>
  <si>
    <t xml:space="preserve">Valid till Dec 2027</t>
  </si>
  <si>
    <t xml:space="preserve">Order by November for January distribution.</t>
  </si>
  <si>
    <t xml:space="preserve">High recall value – put seva/donation QR on each page.</t>
  </si>
  <si>
    <t xml:space="preserve">BMK</t>
  </si>
  <si>
    <t xml:space="preserve">Bookmark with Mantra</t>
  </si>
  <si>
    <t xml:space="preserve">Bookmark with Narasimha pranam / Maha-mantra.</t>
  </si>
  <si>
    <t xml:space="preserve">OPP bundles of 50</t>
  </si>
  <si>
    <t xml:space="preserve">300 GSM, laminated</t>
  </si>
  <si>
    <t xml:space="preserve">Title</t>
  </si>
  <si>
    <t xml:space="preserve">Insert into every book given.</t>
  </si>
  <si>
    <t xml:space="preserve">KNT</t>
  </si>
  <si>
    <t xml:space="preserve">Kanthi Mala (neck beads)</t>
  </si>
  <si>
    <t xml:space="preserve">Tulasi neck beads.</t>
  </si>
  <si>
    <t xml:space="preserve">Mini zip-lock + card</t>
  </si>
  <si>
    <t xml:space="preserve">2"x3" zip-lock</t>
  </si>
  <si>
    <t xml:space="preserve">Item name</t>
  </si>
  <si>
    <t xml:space="preserve">GCH</t>
  </si>
  <si>
    <t xml:space="preserve">Gopi Chandan Tilak</t>
  </si>
  <si>
    <t xml:space="preserve">Gopi chandan for Vaishnava tilak.</t>
  </si>
  <si>
    <t xml:space="preserve">1 small block</t>
  </si>
  <si>
    <t xml:space="preserve">Zip-lock + how-to-apply card</t>
  </si>
  <si>
    <t xml:space="preserve">Item name, How-to card</t>
  </si>
  <si>
    <t xml:space="preserve">GWK</t>
  </si>
  <si>
    <t xml:space="preserve">Ghee Wicks / Diya (Karthika Deepam)</t>
  </si>
  <si>
    <t xml:space="preserve">Ready-to-light ghee wicks for Karthika month.</t>
  </si>
  <si>
    <t xml:space="preserve">5 wicks</t>
  </si>
  <si>
    <t xml:space="preserve">Food-grade sealed pouch / small box</t>
  </si>
  <si>
    <t xml:space="preserve">Heat-sealed pouch</t>
  </si>
  <si>
    <t xml:space="preserve">Item, Packed date, Best before</t>
  </si>
  <si>
    <t xml:space="preserve">Keep cool; ghee can turn rancid.</t>
  </si>
  <si>
    <t xml:space="preserve">Seasonal: Oct–Nov.</t>
  </si>
  <si>
    <t xml:space="preserve">DRP</t>
  </si>
  <si>
    <t xml:space="preserve">Dry Prasadam Pack (laddu / chikki / dry fruits)</t>
  </si>
  <si>
    <t xml:space="preserve">Longer-life dry prasadam for yatris &amp; out-station donors.</t>
  </si>
  <si>
    <t xml:space="preserve">100 g</t>
  </si>
  <si>
    <t xml:space="preserve">Butter-paper cover inside printed prasadam box</t>
  </si>
  <si>
    <t xml:space="preserve">Food-grade butter paper + duplex box</t>
  </si>
  <si>
    <t xml:space="preserve">Prasadam name, Prepared date, Best before, FSSAI no.</t>
  </si>
  <si>
    <t xml:space="preserve">7–15 days</t>
  </si>
  <si>
    <t xml:space="preserve">FIFO strictly; check best-before every week.</t>
  </si>
  <si>
    <t xml:space="preserve">Coordinate with kitchen; prepare 1–2 days before yatra.</t>
  </si>
  <si>
    <t xml:space="preserve">TYC</t>
  </si>
  <si>
    <t xml:space="preserve">Thank-you Card + Receipt Envelope</t>
  </si>
  <si>
    <t xml:space="preserve">Personal thank-you card &amp; envelope for 80G receipt.</t>
  </si>
  <si>
    <t xml:space="preserve">Bundles of 50</t>
  </si>
  <si>
    <t xml:space="preserve">Printed card + envelope</t>
  </si>
  <si>
    <t xml:space="preserve">Handwrite donor name – builds lasting relationship.</t>
  </si>
  <si>
    <t xml:space="preserve">YID</t>
  </si>
  <si>
    <t xml:space="preserve">Yatri ID Card + Lanyard</t>
  </si>
  <si>
    <t xml:space="preserve">Yatris</t>
  </si>
  <si>
    <t xml:space="preserve">Identification card for each yatri (name, group, emergency contact).</t>
  </si>
  <si>
    <t xml:space="preserve">Zip-lock 4"x6"</t>
  </si>
  <si>
    <t xml:space="preserve">PVC card holder + lanyard</t>
  </si>
  <si>
    <t xml:space="preserve">Useful for crowd management &amp; safety on yatras.</t>
  </si>
  <si>
    <t xml:space="preserve">Note: 'Est. Packing Cost' = packing material only (pouch/container/label), not the item itself. Indicative – based on IndiaMart/TradeIndia listings, Oct 2026.</t>
  </si>
  <si>
    <t xml:space="preserve">Packing Guide – Simple, low-cost, leak-proof &amp; respectful</t>
  </si>
  <si>
    <t xml:space="preserve">Research summary: which packing to use for which item, step-by-step SOP, labels, storage layout and compliance.</t>
  </si>
  <si>
    <t xml:space="preserve">A. Packing options compared (indicative costs, India, Oct 2026)</t>
  </si>
  <si>
    <t xml:space="preserve">Packing Option</t>
  </si>
  <si>
    <t xml:space="preserve">Best For (Item IDs)</t>
  </si>
  <si>
    <t xml:space="preserve">Approx. Cost / Unit (₹)</t>
  </si>
  <si>
    <t xml:space="preserve">Advantages</t>
  </si>
  <si>
    <t xml:space="preserve">Limitations</t>
  </si>
  <si>
    <t xml:space="preserve">Verdict</t>
  </si>
  <si>
    <t xml:space="preserve">Clear LDPE zip-lock pouch, 50–60 micron (2"x3", 3"x4", 4"x6", 3"x8")</t>
  </si>
  <si>
    <t xml:space="preserve">THR, CTL, CHN, SCT, DHP, JML, KNT, GCH, outer layer for TIL &amp; KUM</t>
  </si>
  <si>
    <t xml:space="preserve">₹0.50 – 2</t>
  </si>
  <si>
    <t xml:space="preserve">Cheapest; re-closable; transparent (donor sees the item); no machine needed; easy to count &amp; stack</t>
  </si>
  <si>
    <t xml:space="preserve">Zip does not stop oil seepage; thin (&lt;40 micron) bags tear; plastic – use food-grade for edibles</t>
  </si>
  <si>
    <t xml:space="preserve">★ PRIMARY CHOICE for dry items</t>
  </si>
  <si>
    <t xml:space="preserve">Heat-sealed LDPE / laminated sachet (hand impulse sealer ~₹1,500–3,000 one-time)</t>
  </si>
  <si>
    <t xml:space="preserve">TIL (oily), KUM (powder), GWK</t>
  </si>
  <si>
    <t xml:space="preserve">₹0.30 – 1</t>
  </si>
  <si>
    <t xml:space="preserve">Air-tight &amp; leak-proof; tamper-evident; very low running cost; professional look</t>
  </si>
  <si>
    <t xml:space="preserve">Needs a sealer machine &amp; a little training; not re-closable</t>
  </si>
  <si>
    <t xml:space="preserve">★ Best for oily/powder items at volume</t>
  </si>
  <si>
    <t xml:space="preserve">5 g / 10 g PP screw-cap container with inner wad</t>
  </si>
  <si>
    <t xml:space="preserve">TIL, KUM, CHN (paste)</t>
  </si>
  <si>
    <t xml:space="preserve">₹3 – 7</t>
  </si>
  <si>
    <t xml:space="preserve">Rigid, re-usable by devotee, holds oily tilak safely; looks premium</t>
  </si>
  <si>
    <t xml:space="preserve">Costlier; must not overfill; cap can loosen in transit – tape it</t>
  </si>
  <si>
    <t xml:space="preserve">★ Recommended for tilak (inside zip-lock)</t>
  </si>
  <si>
    <t xml:space="preserve">PET / HDPE bottle 20–50 ml, screw cap + PVC shrink band</t>
  </si>
  <si>
    <t xml:space="preserve">HWR, CAM</t>
  </si>
  <si>
    <t xml:space="preserve">₹2 – 5 (incl. cap)</t>
  </si>
  <si>
    <t xml:space="preserve">Leak-proof; tamper-evident; light; ideal for yatra holy water</t>
  </si>
  <si>
    <t xml:space="preserve">Cap neck size must match bottle; dairy liquids spoil</t>
  </si>
  <si>
    <t xml:space="preserve">★ Standard for liquids</t>
  </si>
  <si>
    <t xml:space="preserve">Glass attar vial 3 ml + bubble sleeve</t>
  </si>
  <si>
    <t xml:space="preserve">₹8 – 15</t>
  </si>
  <si>
    <t xml:space="preserve">Protects fragrance; premium feel</t>
  </si>
  <si>
    <t xml:space="preserve">Fragile; costlier</t>
  </si>
  <si>
    <t xml:space="preserve">Use for perfume only</t>
  </si>
  <si>
    <t xml:space="preserve">OPP self-adhesive cellophane sleeve</t>
  </si>
  <si>
    <t xml:space="preserve">PRG, PHN, PLN, KPR, MCD, STK, AKV, AKR, BKS, CAL, BMK</t>
  </si>
  <si>
    <t xml:space="preserve">₹0.50 – 3</t>
  </si>
  <si>
    <t xml:space="preserve">Crystal-clear; protects from dust &amp; finger-marks; flat storage</t>
  </si>
  <si>
    <t xml:space="preserve">Not for liquids/oils</t>
  </si>
  <si>
    <t xml:space="preserve">★ Standard for photos &amp; printed items</t>
  </si>
  <si>
    <t xml:space="preserve">Butter paper / glassine cover (printed)</t>
  </si>
  <si>
    <t xml:space="preserve">CTL, DRP, dry prasadam</t>
  </si>
  <si>
    <t xml:space="preserve">₹1 – 2</t>
  </si>
  <si>
    <t xml:space="preserve">Food-safe, eco-friendly, breathable, carries our message</t>
  </si>
  <si>
    <t xml:space="preserve">Not moisture-proof; not for oily items unless grease-proof grade</t>
  </si>
  <si>
    <t xml:space="preserve">Eco option for edibles</t>
  </si>
  <si>
    <t xml:space="preserve">Kraft-paper stand-up pouch with window &amp; zip</t>
  </si>
  <si>
    <t xml:space="preserve">Premium donor kits, AGR, CHN</t>
  </si>
  <si>
    <t xml:space="preserve">₹5 – 12</t>
  </si>
  <si>
    <t xml:space="preserve">Eco look; premium; printable</t>
  </si>
  <si>
    <t xml:space="preserve">Costlier than plain zip-lock</t>
  </si>
  <si>
    <t xml:space="preserve">For Gold / Patron donor kits</t>
  </si>
  <si>
    <t xml:space="preserve">Organza / velvet drawstring pouch</t>
  </si>
  <si>
    <t xml:space="preserve">KAV, LXC, JML (donor)</t>
  </si>
  <si>
    <t xml:space="preserve">₹4 – 15</t>
  </si>
  <si>
    <t xml:space="preserve">Auspicious &amp; gift-like; re-usable</t>
  </si>
  <si>
    <t xml:space="preserve">Not waterproof</t>
  </si>
  <si>
    <t xml:space="preserve">For valuables &amp; amulets</t>
  </si>
  <si>
    <t xml:space="preserve">Bubble wrap + 3-ply corrugated box / gift box</t>
  </si>
  <si>
    <t xml:space="preserve">PFR, TTP, CDS</t>
  </si>
  <si>
    <t xml:space="preserve">₹10 – 40</t>
  </si>
  <si>
    <t xml:space="preserve">Prevents breakage in transit</t>
  </si>
  <si>
    <t xml:space="preserve">Bulky; more storage space</t>
  </si>
  <si>
    <t xml:space="preserve">Must for glass / fragile</t>
  </si>
  <si>
    <t xml:space="preserve">Heat-shrink film (heat gun)</t>
  </si>
  <si>
    <t xml:space="preserve">SPB, BKS bundles, LPS, MBX</t>
  </si>
  <si>
    <t xml:space="preserve">₹1 – 3</t>
  </si>
  <si>
    <t xml:space="preserve">Dust &amp; moisture protection; neat bundles</t>
  </si>
  <si>
    <t xml:space="preserve">Needs heat gun</t>
  </si>
  <si>
    <t xml:space="preserve">For books &amp; sets</t>
  </si>
  <si>
    <t xml:space="preserve">Cloth / jute Bahumana bag</t>
  </si>
  <si>
    <t xml:space="preserve">Outer bag for every kit</t>
  </si>
  <si>
    <t xml:space="preserve">₹15 – 80</t>
  </si>
  <si>
    <t xml:space="preserve">Re-usable, carries temple branding into homes for years; avoids banned plastic carry bags</t>
  </si>
  <si>
    <t xml:space="preserve">Higher cost</t>
  </si>
  <si>
    <t xml:space="preserve">★ Outer bag for all kits</t>
  </si>
  <si>
    <t xml:space="preserve">Prices: indicative ranges compiled from Indian wholesale marketplace listings (IndiaMart / TradeIndia), Oct 2026. Take 3 local quotes before buying in bulk.</t>
  </si>
  <si>
    <t xml:space="preserve">B. Golden rules for OILY &amp; LIQUID items (Narasimha Yagna Tilak, Charanamrita, Holy Water, Perfume)</t>
  </si>
  <si>
    <t xml:space="preserve">1. NEVER put oily tilak directly in a zip-lock – oil creeps through the zip. Always: leak-proof container (or heat-sealed sachet) → then zip-lock = DOUBLE BARRIER.</t>
  </si>
  <si>
    <t xml:space="preserve">2. Fill containers only up to 80%. Wipe the rim and threads with a clean dry cloth before closing.</t>
  </si>
  <si>
    <t xml:space="preserve">3. Close tightly, wrap a strip of cello-tape over the cap edge (or use shrink band for bottles).</t>
  </si>
  <si>
    <t xml:space="preserve">4. Leak test each batch: take 5 random pieces, place upside-down on tissue paper for 30 minutes. Any stain = re-pack the whole batch.</t>
  </si>
  <si>
    <t xml:space="preserve">5. Store UPRIGHT in plastic trays on the LOWEST shelf (Rack 2), so any leak does not spoil items below.</t>
  </si>
  <si>
    <t xml:space="preserve">6. Keep below 30°C and away from direct sunlight. Ghee/oil-based items: best before 3 months.</t>
  </si>
  <si>
    <t xml:space="preserve">7. Dairy-based Charanamrita is NOT stocked – prepare on the day. Only water-based charanamrita may be bottled (7 days).</t>
  </si>
  <si>
    <t xml:space="preserve">C. Packing-station SOP (step by step)</t>
  </si>
  <si>
    <t xml:space="preserve">1. Clean table, wash hands; for edible prasadam (tulasi, chandan, dry prasadam) wear gloves &amp; hair cover. Chant / play kirtan – these are the Lord's mercy.</t>
  </si>
  <si>
    <t xml:space="preserve">2. Prepare materials: pouches, containers, labels, pen, batch stamp, scissors, tray, sealer (if used).</t>
  </si>
  <si>
    <t xml:space="preserve">3. Check the item: dry (tulasi/chandan fully dried), clean, correct quantity per pack (see Item Master → Qty per Pack).</t>
  </si>
  <si>
    <t xml:space="preserve">4. Pack → seal → label (see D) → count in bundles of 10 / 25 / 50 → put bundle label on the outer bag.</t>
  </si>
  <si>
    <t xml:space="preserve">5. Quality check by a second person (spot-check 1 in 20).</t>
  </si>
  <si>
    <t xml:space="preserve">6. Move to the correct rack (Storage Code). Older stock to the FRONT, new stock BEHIND (FIFO / First-Expiry-First-Out).</t>
  </si>
  <si>
    <t xml:space="preserve">7. Enter Date Packed, Date Stored, Batch No. and Qty Packed in this month's sheet the SAME DAY.</t>
  </si>
  <si>
    <t xml:space="preserve">D. Label standard &amp; batch number</t>
  </si>
  <si>
    <t xml:space="preserve">Every label shows</t>
  </si>
  <si>
    <t xml:space="preserve">Item name  •  Hare Krishna Movement, Hyderabad  •  Batch No.  •  Packed date  •  Best before (if perishable)  •  Temple phone / QR</t>
  </si>
  <si>
    <t xml:space="preserve">Batch No. format</t>
  </si>
  <si>
    <t xml:space="preserve">ITEMID-YYMM-NN   e.g.  TIL-2611-01 = Narasimha Yagna Tilak, Nov 2026, batch 1</t>
  </si>
  <si>
    <t xml:space="preserve">Respect line (optional)</t>
  </si>
  <si>
    <t xml:space="preserve">"Maha Prasadam – please honour, do not discard"  /  "Always Remember Krishna, Never Forget Krishna"</t>
  </si>
  <si>
    <t xml:space="preserve">Label size</t>
  </si>
  <si>
    <t xml:space="preserve">Small pouch: 1.5" x 1" sticker  •  Bottles: wrap label 2" x 1"  •  Boxes: 3" x 2"</t>
  </si>
  <si>
    <t xml:space="preserve">E. Compliance &amp; good practice</t>
  </si>
  <si>
    <t xml:space="preserve">• Plastic Waste Management Rules (India): plastic carry bags below 120 micron are banned – use cloth/jute/kraft Bahumana bags as the OUTER bag. Small zip-lock pouches are used only as item packaging.</t>
  </si>
  <si>
    <t xml:space="preserve">• Use FOOD-GRADE virgin LDPE / PET for anything edible (tulasi, chandan, charanamrita, dry prasadam). Never put silica gel or naphthalene inside edible packs.</t>
  </si>
  <si>
    <t xml:space="preserve">• Keep fragrance items (agarbathi, dhoop, perfume, scent sticks) on a SEPARATE rack from edibles – tulasi and prasadam absorb smells.</t>
  </si>
  <si>
    <t xml:space="preserve">• Dry prasadam given outside the temple: mention prepared date &amp; best before; follow FSSAI labelling if the kitchen is registered.</t>
  </si>
  <si>
    <t xml:space="preserve">F. Storeroom rack layout (Storage Codes)</t>
  </si>
  <si>
    <t xml:space="preserve">Code</t>
  </si>
  <si>
    <t xml:space="preserve">Rack / Location</t>
  </si>
  <si>
    <t xml:space="preserve">Keep here</t>
  </si>
  <si>
    <t xml:space="preserve">Conditions</t>
  </si>
  <si>
    <t xml:space="preserve">Rack 1 – Prasadam &amp; Edibles</t>
  </si>
  <si>
    <t xml:space="preserve">Charan Tulasi, Chandan, Kalasha threads, dry prasadam, Gopi chandan</t>
  </si>
  <si>
    <t xml:space="preserve">Dry, cool, odour-free; NO fragrance items nearby</t>
  </si>
  <si>
    <t xml:space="preserve">Rack 2 – Liquids &amp; Oils (bottom shelf, in trays)</t>
  </si>
  <si>
    <t xml:space="preserve">Tilak, Holy water, Charanamrita</t>
  </si>
  <si>
    <t xml:space="preserve">Lowest shelf, upright in trays, below 30°C</t>
  </si>
  <si>
    <t xml:space="preserve">Rack 3 – Photos, Frames &amp; Fragile</t>
  </si>
  <si>
    <t xml:space="preserve">Photo frames, table tops, photos, souvenirs</t>
  </si>
  <si>
    <t xml:space="preserve">Frames vertical; heavy items low</t>
  </si>
  <si>
    <t xml:space="preserve">Rack 4 – Books, Cards &amp; Paper</t>
  </si>
  <si>
    <t xml:space="preserve">Books, cards, printouts, QR cards, calendars, stickers</t>
  </si>
  <si>
    <t xml:space="preserve">Flat, off floor, away from wall dampness</t>
  </si>
  <si>
    <t xml:space="preserve">Rack 5 – Fragrance &amp; Puja items</t>
  </si>
  <si>
    <t xml:space="preserve">Agarbathi, dhoop, scent sticks, kumkum, candles, japa items</t>
  </si>
  <si>
    <t xml:space="preserve">Separate from edibles; candles below 30°C</t>
  </si>
  <si>
    <t xml:space="preserve">Rack 6 – Packing &amp; Serving Material</t>
  </si>
  <si>
    <t xml:space="preserve">Bags, boxes, bento boxes, mud pots, plates, packing consumables</t>
  </si>
  <si>
    <t xml:space="preserve">Flat-packed, dust-free, bundles labelled</t>
  </si>
  <si>
    <t xml:space="preserve">Locked Cabinet – Valuables</t>
  </si>
  <si>
    <t xml:space="preserve">Lakshmi coins, kavacha, perfume, pen drives</t>
  </si>
  <si>
    <t xml:space="preserve">Locked; key with in-charge; count weekly</t>
  </si>
  <si>
    <t xml:space="preserve">Monthly Stock &amp; Packing Register – Nov-2026</t>
  </si>
  <si>
    <t xml:space="preserve">Hare Krishna Movement, Hyderabad  •  Festivals / focus this month: Karthika month (deepam, ghee wicks), Gita Jayanti prep</t>
  </si>
  <si>
    <t xml:space="preserve">Month:</t>
  </si>
  <si>
    <t xml:space="preserve">Nov-2026</t>
  </si>
  <si>
    <t xml:space="preserve">Storekeeper:</t>
  </si>
  <si>
    <t xml:space="preserve">Physical count date:</t>
  </si>
  <si>
    <t xml:space="preserve">Verified by (In-charge):</t>
  </si>
  <si>
    <t xml:space="preserve">Yellow = type here • Green = automatic • Opening stock = last month's physical count (or book closing if not counted) • NOV-2026: type opening stock by hand.</t>
  </si>
  <si>
    <t xml:space="preserve">ITEM &amp; OPENING</t>
  </si>
  <si>
    <t xml:space="preserve">PACKING BATCH 1</t>
  </si>
  <si>
    <t xml:space="preserve">PACKING BATCH 2</t>
  </si>
  <si>
    <t xml:space="preserve">IN</t>
  </si>
  <si>
    <t xml:space="preserve">OUT (ISSUED)</t>
  </si>
  <si>
    <t xml:space="preserve">CLOSING &amp; CONTROL</t>
  </si>
  <si>
    <t xml:space="preserve">STORAGE &amp; NOTES</t>
  </si>
  <si>
    <t xml:space="preserve">S.No</t>
  </si>
  <si>
    <t xml:space="preserve">Unit</t>
  </si>
  <si>
    <t xml:space="preserve">Opening Stock</t>
  </si>
  <si>
    <t xml:space="preserve">Date Packed</t>
  </si>
  <si>
    <t xml:space="preserve">Date Stored</t>
  </si>
  <si>
    <t xml:space="preserve">Batch No.</t>
  </si>
  <si>
    <t xml:space="preserve">Qty Packed</t>
  </si>
  <si>
    <t xml:space="preserve">Total Packed / Received</t>
  </si>
  <si>
    <t xml:space="preserve">Issued – Donors</t>
  </si>
  <si>
    <t xml:space="preserve">Issued – Yatris</t>
  </si>
  <si>
    <t xml:space="preserve">Issued – Events / Other</t>
  </si>
  <si>
    <t xml:space="preserve">Damaged / Expired</t>
  </si>
  <si>
    <t xml:space="preserve">Total Issued &amp; Out</t>
  </si>
  <si>
    <t xml:space="preserve">Closing Stock (Book)</t>
  </si>
  <si>
    <t xml:space="preserve">Physical Count (Month End)</t>
  </si>
  <si>
    <t xml:space="preserve">Variance (Physical – Book)</t>
  </si>
  <si>
    <t xml:space="preserve">Reorder Level</t>
  </si>
  <si>
    <t xml:space="preserve">Stock Status</t>
  </si>
  <si>
    <t xml:space="preserve">Qty to Pack / Order Next Month</t>
  </si>
  <si>
    <t xml:space="preserve">Best Before / Expiry</t>
  </si>
  <si>
    <t xml:space="preserve">Packed By</t>
  </si>
  <si>
    <t xml:space="preserve">TIL-2611-01</t>
  </si>
  <si>
    <t xml:space="preserve">Example – overwrite</t>
  </si>
  <si>
    <t xml:space="preserve">EXAMPLE ROW: 3 Nov packed 300, stored 4 Nov; 5 leaked in test</t>
  </si>
  <si>
    <t xml:space="preserve">TOTAL (all items)</t>
  </si>
  <si>
    <t xml:space="preserve">MONTHLY STOREROOM CHECKLIST  (write Y / N and initials)</t>
  </si>
  <si>
    <t xml:space="preserve">Done?</t>
  </si>
  <si>
    <t xml:space="preserve">Initials</t>
  </si>
  <si>
    <t xml:space="preserve">Physical count of every item done and entered in 'Physical Count'</t>
  </si>
  <si>
    <t xml:space="preserve">All variances explained in Remarks</t>
  </si>
  <si>
    <t xml:space="preserve">Leak test done for tilak / liquid batches packed this month</t>
  </si>
  <si>
    <t xml:space="preserve">Best-before dates checked – items expiring within 30 days moved to front / issued first</t>
  </si>
  <si>
    <t xml:space="preserve">FIFO followed – old stock in front, new stock behind</t>
  </si>
  <si>
    <t xml:space="preserve">Racks cleaned; floor dry; no pests / termites / rodent signs</t>
  </si>
  <si>
    <t xml:space="preserve">Edibles kept separate from fragrance items</t>
  </si>
  <si>
    <t xml:space="preserve">Locked cabinet (coins, kavacha, perfume, pen drives) counted &amp; tallied</t>
  </si>
  <si>
    <t xml:space="preserve">QR audio links tested and working</t>
  </si>
  <si>
    <t xml:space="preserve">Packing consumables (pouches, containers, labels) sufficient for next month</t>
  </si>
  <si>
    <t xml:space="preserve">Upcoming festival / yatra demand checked with Yatra &amp; Donor teams</t>
  </si>
  <si>
    <t xml:space="preserve">Sheet signed by Storekeeper and verified by In-charge</t>
  </si>
  <si>
    <t xml:space="preserve">Storekeeper signature: ____________________</t>
  </si>
  <si>
    <t xml:space="preserve">In-charge signature: ____________________</t>
  </si>
  <si>
    <t xml:space="preserve">Date: ____________</t>
  </si>
  <si>
    <t xml:space="preserve">Monthly Stock &amp; Packing Register – Dec-2026</t>
  </si>
  <si>
    <t xml:space="preserve">Hare Krishna Movement, Hyderabad  •  Festivals / focus this month: Gita Jayanti / Vaikuntha Ekadashi prep – books &amp; calendars demand high</t>
  </si>
  <si>
    <t xml:space="preserve">Dec-2026</t>
  </si>
  <si>
    <t xml:space="preserve">Yellow = type here • Green = automatic • Opening stock = last month's physical count (or book closing if not counted)</t>
  </si>
  <si>
    <t xml:space="preserve">Monthly Stock &amp; Packing Register – Jan-2027</t>
  </si>
  <si>
    <t xml:space="preserve">Hare Krishna Movement, Hyderabad  •  Festivals / focus this month: Vaikuntha Ekadashi, Sankranti – Pongal prasadam (mud pots)</t>
  </si>
  <si>
    <t xml:space="preserve">Jan-2027</t>
  </si>
  <si>
    <t xml:space="preserve">Monthly Stock &amp; Packing Register – Feb-2027</t>
  </si>
  <si>
    <t xml:space="preserve">Hare Krishna Movement, Hyderabad  •  Festivals / focus this month: Nityananda Trayodashi</t>
  </si>
  <si>
    <t xml:space="preserve">Feb-2027</t>
  </si>
  <si>
    <t xml:space="preserve">Monthly Stock &amp; Packing Register – Mar-2027</t>
  </si>
  <si>
    <t xml:space="preserve">Hare Krishna Movement, Hyderabad  •  Festivals / focus this month: Gaura Purnima</t>
  </si>
  <si>
    <t xml:space="preserve">Mar-2027</t>
  </si>
  <si>
    <t xml:space="preserve">Monthly Stock &amp; Packing Register – Apr-2027</t>
  </si>
  <si>
    <t xml:space="preserve">Hare Krishna Movement, Hyderabad  •  Festivals / focus this month: Rama Navami, Chandan Yatra begins – collect &amp; dry chandan</t>
  </si>
  <si>
    <t xml:space="preserve">Apr-2027</t>
  </si>
  <si>
    <t xml:space="preserve">Monthly Stock &amp; Packing Register – May-2027</t>
  </si>
  <si>
    <t xml:space="preserve">Hare Krishna Movement, Hyderabad  •  Festivals / focus this month: Narasimha Chaturdashi – PEAK demand for Narasimha items</t>
  </si>
  <si>
    <t xml:space="preserve">May-2027</t>
  </si>
  <si>
    <t xml:space="preserve">Monthly Stock &amp; Packing Register – Jun-2027</t>
  </si>
  <si>
    <t xml:space="preserve">Hare Krishna Movement, Hyderabad  •  Festivals / focus this month: Snana Yatra – holy water/charanamrita; Chardham yatra season</t>
  </si>
  <si>
    <t xml:space="preserve">Jun-2027</t>
  </si>
  <si>
    <t xml:space="preserve">Monthly Stock &amp; Packing Register – Jul-2027</t>
  </si>
  <si>
    <t xml:space="preserve">Hare Krishna Movement, Hyderabad  •  Festivals / focus this month: Ratha Yatra</t>
  </si>
  <si>
    <t xml:space="preserve">Jul-2027</t>
  </si>
  <si>
    <t xml:space="preserve">Monthly Stock &amp; Packing Register – Aug-2027</t>
  </si>
  <si>
    <t xml:space="preserve">Hare Krishna Movement, Hyderabad  •  Festivals / focus this month: Jhulan Yatra, Balarama Purnima, Sri Krishna Janmashtami – PEAK</t>
  </si>
  <si>
    <t xml:space="preserve">Aug-2027</t>
  </si>
  <si>
    <t xml:space="preserve">Monthly Stock &amp; Packing Register – Sep-2027</t>
  </si>
  <si>
    <t xml:space="preserve">Hare Krishna Movement, Hyderabad  •  Festivals / focus this month: Radhashtami</t>
  </si>
  <si>
    <t xml:space="preserve">Sep-2027</t>
  </si>
  <si>
    <t xml:space="preserve">Monthly Stock &amp; Packing Register – Oct-2027</t>
  </si>
  <si>
    <t xml:space="preserve">Hare Krishna Movement, Hyderabad  •  Festivals / focus this month: Navaratri / Dussehra, Diwali &amp; Govardhan prep</t>
  </si>
  <si>
    <t xml:space="preserve">Oct-2027</t>
  </si>
  <si>
    <t xml:space="preserve">Annual Summary – Nov 2026 to Oct 2027</t>
  </si>
  <si>
    <t xml:space="preserve">Month columns show closing stock (physical count if entered, else book closing). Totals add up all 12 monthly sheets.</t>
  </si>
  <si>
    <t xml:space="preserve">Select month ▶</t>
  </si>
  <si>
    <t xml:space="preserve">Suggested Reorder Level = 1.5 × average monthly issue (rounded up to 10) – compare with your current level in Item Master.</t>
  </si>
  <si>
    <t xml:space="preserve">Total Packed (Year)</t>
  </si>
  <si>
    <t xml:space="preserve">Issued – Events</t>
  </si>
  <si>
    <t xml:space="preserve">Total Issued (Year)</t>
  </si>
  <si>
    <t xml:space="preserve">Avg Monthly Issue</t>
  </si>
  <si>
    <t xml:space="preserve">Suggested Reorder Level</t>
  </si>
  <si>
    <t xml:space="preserve">Current Reorder Level</t>
  </si>
  <si>
    <t xml:space="preserve">Stock in Selected Month</t>
  </si>
  <si>
    <t xml:space="preserve">Status in Selected Month</t>
  </si>
  <si>
    <t xml:space="preserve">TOTAL</t>
  </si>
  <si>
    <t xml:space="preserve">Gift Kits – Ready combinations for Yatris &amp; Donors</t>
  </si>
  <si>
    <t xml:space="preserve">Step 1: adjust qty per kit (yellow). Step 2: enter number of kits planned. Sheet shows items required vs stock in the month selected on Annual Summary.</t>
  </si>
  <si>
    <t xml:space="preserve">Stock month used (from Annual Summary):</t>
  </si>
  <si>
    <t xml:space="preserve">No. of kits planned ▶</t>
  </si>
  <si>
    <t xml:space="preserve">Who / when ▶</t>
  </si>
  <si>
    <t xml:space="preserve">Every yatri at start of yatra</t>
  </si>
  <si>
    <t xml:space="preserve">Every yatri at end of yatra</t>
  </si>
  <si>
    <t xml:space="preserve">Donation up to ₹4,999 (example)</t>
  </si>
  <si>
    <t xml:space="preserve">₹5,000 – ₹24,999 (example)</t>
  </si>
  <si>
    <t xml:space="preserve">₹25,000 – ₹99,999 (example)</t>
  </si>
  <si>
    <t xml:space="preserve">₹1,00,000 and above (example)</t>
  </si>
  <si>
    <t xml:space="preserve">Donor's special day</t>
  </si>
  <si>
    <t xml:space="preserve">Yatri Welcome Kit</t>
  </si>
  <si>
    <t xml:space="preserve">Yatri Blessing Kit (return)</t>
  </si>
  <si>
    <t xml:space="preserve">Donor – Seva Kit</t>
  </si>
  <si>
    <t xml:space="preserve">Donor – Silver Kit</t>
  </si>
  <si>
    <t xml:space="preserve">Donor – Gold Kit</t>
  </si>
  <si>
    <t xml:space="preserve">Donor – Patron Kit</t>
  </si>
  <si>
    <t xml:space="preserve">Birthday / Anniversary Kit</t>
  </si>
  <si>
    <t xml:space="preserve">Total Required</t>
  </si>
  <si>
    <t xml:space="preserve">Stock Available</t>
  </si>
  <si>
    <t xml:space="preserve">Shortfall to Pack</t>
  </si>
  <si>
    <t xml:space="preserve">Packing a kit:</t>
  </si>
  <si>
    <t xml:space="preserve">• Put small pouches (thread, tilak, tulasi, chandan, kumkum) together in one 4"x6" zip-lock 'blessing pouch' so they do not get lost in the bag.</t>
  </si>
  <si>
    <t xml:space="preserve">• Photos &amp; cards go flat against the back of the bag; books/frames at the bottom; liquids upright in a side pocket or separate zip bag.</t>
  </si>
  <si>
    <t xml:space="preserve">• Add a thank-you card with the donor's name handwritten – and send the Sankalpa / Archana video on WhatsApp the same day.</t>
  </si>
  <si>
    <t xml:space="preserve">• Kit levels and ₹ ranges are examples – management can rename and change contents freely.</t>
  </si>
  <si>
    <t xml:space="preserve">Distribution Register – who received which items</t>
  </si>
  <si>
    <t xml:space="preserve">Quick count</t>
  </si>
  <si>
    <t xml:space="preserve">Fill one line per donor / yatri. At month end, total by Recipient Type into the monthly sheet 'Issued' columns.</t>
  </si>
  <si>
    <t xml:space="preserve">Donor</t>
  </si>
  <si>
    <t xml:space="preserve">Yatri</t>
  </si>
  <si>
    <t xml:space="preserve">Date</t>
  </si>
  <si>
    <t xml:space="preserve">Recipient Type</t>
  </si>
  <si>
    <t xml:space="preserve">Name</t>
  </si>
  <si>
    <t xml:space="preserve">Phone</t>
  </si>
  <si>
    <t xml:space="preserve">City</t>
  </si>
  <si>
    <t xml:space="preserve">Yatra / Event</t>
  </si>
  <si>
    <t xml:space="preserve">Donation Receipt No.</t>
  </si>
  <si>
    <t xml:space="preserve">Donation Amount (₹)</t>
  </si>
  <si>
    <t xml:space="preserve">Kit Given</t>
  </si>
  <si>
    <t xml:space="preserve">Additional Items Given</t>
  </si>
  <si>
    <t xml:space="preserve">Total Pieces</t>
  </si>
  <si>
    <t xml:space="preserve">Issued By</t>
  </si>
  <si>
    <t xml:space="preserve">Sankalpa / Archana Video Sent?</t>
  </si>
  <si>
    <t xml:space="preserve">Thank-you Call Done?</t>
  </si>
  <si>
    <t xml:space="preserve">Guest / Visitor</t>
  </si>
  <si>
    <t xml:space="preserve">Example Name</t>
  </si>
  <si>
    <t xml:space="preserve">98XXXXXXXX</t>
  </si>
  <si>
    <t xml:space="preserve">Hyderabad</t>
  </si>
  <si>
    <t xml:space="preserve">Narasimha Yagna</t>
  </si>
  <si>
    <t xml:space="preserve">RCPT-0001</t>
  </si>
  <si>
    <t xml:space="preserve">Extra Japa Mala</t>
  </si>
  <si>
    <t xml:space="preserve">Storekeeper</t>
  </si>
  <si>
    <t xml:space="preserve">Yes</t>
  </si>
  <si>
    <t xml:space="preserve">No</t>
  </si>
  <si>
    <t xml:space="preserve">EXAMPLE ROW – overwrite</t>
  </si>
  <si>
    <t xml:space="preserve">Volunteer</t>
  </si>
  <si>
    <t xml:space="preserve">Event</t>
  </si>
  <si>
    <t xml:space="preserve">Services &amp; Fresh Prasadam – not stocked, prepared on demand</t>
  </si>
  <si>
    <t xml:space="preserve">These build lifelong relationships with donors and yatris. Serving materials (boxes, pots, plates) are tracked in the monthly stock sheets.</t>
  </si>
  <si>
    <t xml:space="preserve">Offering</t>
  </si>
  <si>
    <t xml:space="preserve">Type</t>
  </si>
  <si>
    <t xml:space="preserve">For</t>
  </si>
  <si>
    <t xml:space="preserve">How it works</t>
  </si>
  <si>
    <t xml:space="preserve">Packing / Delivery</t>
  </si>
  <si>
    <t xml:space="preserve">Lead Time</t>
  </si>
  <si>
    <t xml:space="preserve">Responsible Team</t>
  </si>
  <si>
    <t xml:space="preserve">Notes</t>
  </si>
  <si>
    <t xml:space="preserve">Sankalpa / Archana video in donor's family name</t>
  </si>
  <si>
    <t xml:space="preserve">Digital service</t>
  </si>
  <si>
    <t xml:space="preserve">Priest chants sankalpa with donor's name, gotra &amp; family names during archana; 30–60 sec video recorded.</t>
  </si>
  <si>
    <t xml:space="preserve">Send on WhatsApp the same day with thank-you message &amp; next festival date.</t>
  </si>
  <si>
    <t xml:space="preserve">Same day</t>
  </si>
  <si>
    <t xml:space="preserve">Donor Care</t>
  </si>
  <si>
    <t xml:space="preserve">Most powerful relationship tool – zero material cost.</t>
  </si>
  <si>
    <t xml:space="preserve">Cake on Birthday / Wedding Anniversary</t>
  </si>
  <si>
    <t xml:space="preserve">Service</t>
  </si>
  <si>
    <t xml:space="preserve">Keep donor DOBs &amp; anniversaries (Google/Airtable form). Order eggless cake offered to the Lord.</t>
  </si>
  <si>
    <t xml:space="preserve">Cake box + Prasadam label + greeting card; deliver or invite donor to temple.</t>
  </si>
  <si>
    <t xml:space="preserve">2 days</t>
  </si>
  <si>
    <t xml:space="preserve">Donor Care / Kitchen</t>
  </si>
  <si>
    <t xml:space="preserve">Maintain a birthday calendar; review every Monday.</t>
  </si>
  <si>
    <t xml:space="preserve">Food / Prasadam catering for donor's business or functions</t>
  </si>
  <si>
    <t xml:space="preserve">Offer prasadam catering for office pujas, house-warmings, functions.</t>
  </si>
  <si>
    <t xml:space="preserve">Bento boxes / areca plates / mud pots from storeroom stock.</t>
  </si>
  <si>
    <t xml:space="preserve">3–7 days</t>
  </si>
  <si>
    <t xml:space="preserve">Kitchen / Catering</t>
  </si>
  <si>
    <t xml:space="preserve">Revenue + seva opportunity.</t>
  </si>
  <si>
    <t xml:space="preserve">Book Kalyanam or Abhishekam on special days</t>
  </si>
  <si>
    <t xml:space="preserve">Seva booking</t>
  </si>
  <si>
    <t xml:space="preserve">Book Kalyanam / Abhishekam on birthdays, anniversaries, new ventures.</t>
  </si>
  <si>
    <t xml:space="preserve">Send Kalasha thread, tilak &amp; photo afterwards (from stock).</t>
  </si>
  <si>
    <t xml:space="preserve">7 days</t>
  </si>
  <si>
    <t xml:space="preserve">Seva Desk</t>
  </si>
  <si>
    <t xml:space="preserve">Google Form / Airtable Form (simple)</t>
  </si>
  <si>
    <t xml:space="preserve">Data collection</t>
  </si>
  <si>
    <t xml:space="preserve">Donors &amp; Yatris</t>
  </si>
  <si>
    <t xml:space="preserve">Collect name, phone, DOB, anniversary, gotra, address, interests. QR code on mantra card &amp; bags.</t>
  </si>
  <si>
    <t xml:space="preserve">One-time setup</t>
  </si>
  <si>
    <t xml:space="preserve">Donor Care / IT</t>
  </si>
  <si>
    <t xml:space="preserve">Feeds birthday calendar and follow-up.</t>
  </si>
  <si>
    <t xml:space="preserve">Blessing of important documents at Lord's Lotus Feet</t>
  </si>
  <si>
    <t xml:space="preserve">Seva</t>
  </si>
  <si>
    <t xml:space="preserve">Encourage donors to bring important project documents &amp; agreements to keep at the Lord's Lotus Feet and take back.</t>
  </si>
  <si>
    <t xml:space="preserve">Return documents in a clean folder / cloth bag with Charan Tulasi &amp; tilak.</t>
  </si>
  <si>
    <t xml:space="preserve">Pujari / Donor Care</t>
  </si>
  <si>
    <t xml:space="preserve">Sweet Pongal – Vigna Vinaashaka Narasimha Yagna Maha Prasadam</t>
  </si>
  <si>
    <t xml:space="preserve">Fresh prasadam</t>
  </si>
  <si>
    <t xml:space="preserve">Prepared fresh for Narasimha Yagna days.</t>
  </si>
  <si>
    <t xml:space="preserve">Mud pot or small bento box, covered with butter-paper; consume within 6–8 hours.</t>
  </si>
  <si>
    <t xml:space="preserve">Kitchen</t>
  </si>
  <si>
    <t xml:space="preserve">Do not stock. Record mud pots / boxes used.</t>
  </si>
  <si>
    <t xml:space="preserve">Shayana Bhog</t>
  </si>
  <si>
    <t xml:space="preserve">Night offering prasadam.</t>
  </si>
  <si>
    <t xml:space="preserve">Small prasadam box / bento box.</t>
  </si>
  <si>
    <t xml:space="preserve">Consume within 12 hours.</t>
  </si>
  <si>
    <t xml:space="preserve">Baalya Bhog</t>
  </si>
  <si>
    <t xml:space="preserve">Early-morning offering prasadam.</t>
  </si>
  <si>
    <t xml:space="preserve">Chappan Bhog (56 items)</t>
  </si>
  <si>
    <t xml:space="preserve">Major Donors</t>
  </si>
  <si>
    <t xml:space="preserve">Grand offering of 56 preparations.</t>
  </si>
  <si>
    <t xml:space="preserve">Big multi-compartment bento box; dry sweets in butter-paper; label each compartment.</t>
  </si>
  <si>
    <t xml:space="preserve">2–3 days</t>
  </si>
  <si>
    <t xml:space="preserve">Ideal for Patron donors' special days.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</si>
</sst>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.00;;\-"/>
    <numFmt numFmtId="166" formatCode="#,##0;[RED]\-#,##0;\-"/>
    <numFmt numFmtId="167" formatCode="dd\-mmm\-yy"/>
    <numFmt numFmtId="168" formatCode="#,##0;\-#,##0;\-"/>
    <numFmt numFmtId="169" formatCode="#,##0.0;\-#,##0.0;\-"/>
    <numFmt numFmtId="170" formatCode="General"/>
    <numFmt numFmtId="171" formatCode="\₹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A3A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B1E1E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5A3A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E8871E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9"/>
      <color rgb="FF7B1E1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5A3A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"/>
      <color rgb="FF00000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7B1E1E"/>
        <bgColor rgb="FF800000"/>
      </patternFill>
    </fill>
    <fill>
      <patternFill patternType="solid">
        <fgColor rgb="FFF6C453"/>
        <bgColor rgb="FFF8CBAD"/>
      </patternFill>
    </fill>
    <fill>
      <patternFill patternType="solid">
        <fgColor rgb="FFE8871E"/>
        <bgColor rgb="FFFF6600"/>
      </patternFill>
    </fill>
    <fill>
      <patternFill patternType="solid">
        <fgColor rgb="FFFFF2CC"/>
        <bgColor rgb="FFFFF8E7"/>
      </patternFill>
    </fill>
    <fill>
      <patternFill patternType="solid">
        <fgColor rgb="FFEEF3E8"/>
        <bgColor rgb="FFF2F2F2"/>
      </patternFill>
    </fill>
    <fill>
      <patternFill patternType="solid">
        <fgColor rgb="FFC6EFCE"/>
        <bgColor rgb="FFEEF3E8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EB9C"/>
      </patternFill>
    </fill>
    <fill>
      <patternFill patternType="solid">
        <fgColor rgb="FFFF7C80"/>
        <bgColor rgb="FFE8871E"/>
      </patternFill>
    </fill>
    <fill>
      <patternFill patternType="solid">
        <fgColor rgb="FFFFFDF7"/>
        <bgColor rgb="FFFFFFFF"/>
      </patternFill>
    </fill>
    <fill>
      <patternFill patternType="solid">
        <fgColor rgb="FFFFFFFF"/>
        <bgColor rgb="FFFFFDF7"/>
      </patternFill>
    </fill>
    <fill>
      <patternFill patternType="solid">
        <fgColor rgb="FFFFF8E7"/>
        <bgColor rgb="FFFFF9E6"/>
      </patternFill>
    </fill>
    <fill>
      <patternFill patternType="solid">
        <fgColor rgb="FFF2F2F2"/>
        <bgColor rgb="FFEEF3E8"/>
      </patternFill>
    </fill>
    <fill>
      <patternFill patternType="solid">
        <fgColor rgb="FF2E7D32"/>
        <bgColor rgb="FF008000"/>
      </patternFill>
    </fill>
    <fill>
      <patternFill patternType="solid">
        <fgColor rgb="FF1F5F8B"/>
        <bgColor rgb="FF008080"/>
      </patternFill>
    </fill>
    <fill>
      <patternFill patternType="solid">
        <fgColor rgb="FFB45309"/>
        <bgColor rgb="FF9C5700"/>
      </patternFill>
    </fill>
    <fill>
      <patternFill patternType="solid">
        <fgColor rgb="FF6B4F2A"/>
        <bgColor rgb="FF5A3A00"/>
      </patternFill>
    </fill>
    <fill>
      <patternFill patternType="solid">
        <fgColor rgb="FFFFF9E6"/>
        <bgColor rgb="FFFFF8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B79C"/>
      </left>
      <right style="thin">
        <color rgb="FFC9B79C"/>
      </right>
      <top style="thin">
        <color rgb="FFC9B79C"/>
      </top>
      <bottom style="thin">
        <color rgb="FFC9B79C"/>
      </bottom>
      <diagonal/>
    </border>
    <border diagonalUp="false" diagonalDown="false">
      <left style="thin">
        <color rgb="FFC9B79C"/>
      </left>
      <right/>
      <top style="thin">
        <color rgb="FFC9B79C"/>
      </top>
      <bottom style="thin">
        <color rgb="FFC9B79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7B1E1E"/>
          <bgColor rgb="FF000000"/>
        </patternFill>
      </fill>
    </dxf>
    <dxf>
      <fill>
        <patternFill patternType="solid">
          <fgColor rgb="FFFFFD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EF3E8"/>
          <bgColor rgb="FF000000"/>
        </patternFill>
      </fill>
    </dxf>
    <dxf>
      <fill>
        <patternFill patternType="solid">
          <fgColor rgb="FFE8871E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1F5F8B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F7C80"/>
        </patternFill>
      </fill>
    </dxf>
    <dxf>
      <fill>
        <patternFill>
          <bgColor rgb="FFF8CBAD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bgColor rgb="FF000000"/>
        </patternFill>
      </fill>
    </dxf>
    <dxf>
      <fill>
        <patternFill patternType="solid">
          <fgColor rgb="FFFFF9E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5700"/>
      <rgbColor rgb="FF800080"/>
      <rgbColor rgb="FF008080"/>
      <rgbColor rgb="FFC9B79C"/>
      <rgbColor rgb="FF808080"/>
      <rgbColor rgb="FF9999FF"/>
      <rgbColor rgb="FFB45309"/>
      <rgbColor rgb="FFFFF9E6"/>
      <rgbColor rgb="FFEEF3E8"/>
      <rgbColor rgb="FF660066"/>
      <rgbColor rgb="FFFF7C80"/>
      <rgbColor rgb="FF1F5F8B"/>
      <rgbColor rgb="FFFFF2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FF8E7"/>
      <rgbColor rgb="FFFFFDF7"/>
      <rgbColor rgb="FFCC99FF"/>
      <rgbColor rgb="FFF8CBAD"/>
      <rgbColor rgb="FF3366FF"/>
      <rgbColor rgb="FF33CCCC"/>
      <rgbColor rgb="FF99CC00"/>
      <rgbColor rgb="FFF6C453"/>
      <rgbColor rgb="FFE8871E"/>
      <rgbColor rgb="FFFF6600"/>
      <rgbColor rgb="FF666699"/>
      <rgbColor rgb="FF969696"/>
      <rgbColor rgb="FF003366"/>
      <rgbColor rgb="FF2E7D32"/>
      <rgbColor rgb="FF006100"/>
      <rgbColor rgb="FF5A3A00"/>
      <rgbColor rgb="FF7B1E1E"/>
      <rgbColor rgb="FF993366"/>
      <rgbColor rgb="FF333399"/>
      <rgbColor rgb="FF6B4F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2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2" t="s">
        <v>1</v>
      </c>
      <c r="B2" s="2"/>
      <c r="C2" s="2"/>
    </row>
    <row r="4" customFormat="false" ht="21.75" hidden="false" customHeight="true" outlineLevel="0" collapsed="false">
      <c r="A4" s="3" t="s">
        <v>2</v>
      </c>
      <c r="B4" s="3"/>
      <c r="C4" s="3"/>
    </row>
    <row r="5" customFormat="false" ht="30" hidden="false" customHeight="true" outlineLevel="0" collapsed="false">
      <c r="B5" s="4" t="s">
        <v>3</v>
      </c>
      <c r="C5" s="4"/>
    </row>
    <row r="6" customFormat="false" ht="30" hidden="false" customHeight="true" outlineLevel="0" collapsed="false">
      <c r="B6" s="4" t="s">
        <v>4</v>
      </c>
      <c r="C6" s="4"/>
    </row>
    <row r="8" customFormat="false" ht="21.75" hidden="false" customHeight="true" outlineLevel="0" collapsed="false">
      <c r="A8" s="3" t="s">
        <v>5</v>
      </c>
      <c r="B8" s="3"/>
      <c r="C8" s="3"/>
    </row>
    <row r="9" customFormat="false" ht="42" hidden="false" customHeight="true" outlineLevel="0" collapsed="false">
      <c r="B9" s="5" t="s">
        <v>6</v>
      </c>
      <c r="C9" s="6" t="s">
        <v>7</v>
      </c>
    </row>
    <row r="10" customFormat="false" ht="42" hidden="false" customHeight="true" outlineLevel="0" collapsed="false">
      <c r="B10" s="5" t="s">
        <v>8</v>
      </c>
      <c r="C10" s="6" t="s">
        <v>9</v>
      </c>
    </row>
    <row r="11" customFormat="false" ht="42" hidden="false" customHeight="true" outlineLevel="0" collapsed="false">
      <c r="B11" s="5" t="s">
        <v>10</v>
      </c>
      <c r="C11" s="6" t="s">
        <v>11</v>
      </c>
    </row>
    <row r="12" customFormat="false" ht="42" hidden="false" customHeight="true" outlineLevel="0" collapsed="false">
      <c r="B12" s="5" t="s">
        <v>12</v>
      </c>
      <c r="C12" s="6" t="s">
        <v>13</v>
      </c>
    </row>
    <row r="13" customFormat="false" ht="42" hidden="false" customHeight="true" outlineLevel="0" collapsed="false">
      <c r="B13" s="5" t="s">
        <v>14</v>
      </c>
      <c r="C13" s="6" t="s">
        <v>15</v>
      </c>
    </row>
    <row r="14" customFormat="false" ht="42" hidden="false" customHeight="true" outlineLevel="0" collapsed="false">
      <c r="B14" s="5" t="s">
        <v>16</v>
      </c>
      <c r="C14" s="6" t="s">
        <v>17</v>
      </c>
    </row>
    <row r="15" customFormat="false" ht="42" hidden="false" customHeight="true" outlineLevel="0" collapsed="false">
      <c r="B15" s="5" t="s">
        <v>18</v>
      </c>
      <c r="C15" s="6" t="s">
        <v>19</v>
      </c>
    </row>
    <row r="17" customFormat="false" ht="21.75" hidden="false" customHeight="true" outlineLevel="0" collapsed="false">
      <c r="A17" s="3" t="s">
        <v>20</v>
      </c>
      <c r="B17" s="3"/>
      <c r="C17" s="3"/>
    </row>
    <row r="18" customFormat="false" ht="30" hidden="false" customHeight="true" outlineLevel="0" collapsed="false">
      <c r="B18" s="4" t="s">
        <v>21</v>
      </c>
      <c r="C18" s="4"/>
    </row>
    <row r="19" customFormat="false" ht="30" hidden="false" customHeight="true" outlineLevel="0" collapsed="false">
      <c r="B19" s="4" t="s">
        <v>22</v>
      </c>
      <c r="C19" s="4"/>
    </row>
    <row r="20" customFormat="false" ht="30" hidden="false" customHeight="true" outlineLevel="0" collapsed="false">
      <c r="B20" s="4" t="s">
        <v>23</v>
      </c>
      <c r="C20" s="4"/>
    </row>
    <row r="21" customFormat="false" ht="30" hidden="false" customHeight="true" outlineLevel="0" collapsed="false">
      <c r="B21" s="4" t="s">
        <v>24</v>
      </c>
      <c r="C21" s="4"/>
    </row>
    <row r="22" customFormat="false" ht="30" hidden="false" customHeight="true" outlineLevel="0" collapsed="false">
      <c r="B22" s="4" t="s">
        <v>25</v>
      </c>
      <c r="C22" s="4"/>
    </row>
    <row r="23" customFormat="false" ht="30" hidden="false" customHeight="true" outlineLevel="0" collapsed="false">
      <c r="B23" s="4" t="s">
        <v>26</v>
      </c>
      <c r="C23" s="4"/>
    </row>
    <row r="24" customFormat="false" ht="30" hidden="false" customHeight="true" outlineLevel="0" collapsed="false">
      <c r="B24" s="4" t="s">
        <v>27</v>
      </c>
      <c r="C24" s="4"/>
    </row>
    <row r="26" customFormat="false" ht="21.75" hidden="false" customHeight="true" outlineLevel="0" collapsed="false">
      <c r="A26" s="3" t="s">
        <v>28</v>
      </c>
      <c r="B26" s="3"/>
      <c r="C26" s="3"/>
    </row>
    <row r="27" customFormat="false" ht="15" hidden="false" customHeight="false" outlineLevel="0" collapsed="false">
      <c r="B27" s="7"/>
      <c r="C27" s="8" t="s">
        <v>29</v>
      </c>
    </row>
    <row r="28" customFormat="false" ht="15" hidden="false" customHeight="false" outlineLevel="0" collapsed="false">
      <c r="B28" s="9"/>
      <c r="C28" s="8" t="s">
        <v>30</v>
      </c>
    </row>
    <row r="29" customFormat="false" ht="15" hidden="false" customHeight="false" outlineLevel="0" collapsed="false">
      <c r="B29" s="10"/>
      <c r="C29" s="8" t="s">
        <v>31</v>
      </c>
    </row>
    <row r="30" customFormat="false" ht="15" hidden="false" customHeight="false" outlineLevel="0" collapsed="false">
      <c r="B30" s="11"/>
      <c r="C30" s="8" t="s">
        <v>32</v>
      </c>
    </row>
    <row r="31" customFormat="false" ht="15" hidden="false" customHeight="false" outlineLevel="0" collapsed="false">
      <c r="B31" s="12"/>
      <c r="C31" s="8" t="s">
        <v>33</v>
      </c>
    </row>
    <row r="32" customFormat="false" ht="15" hidden="false" customHeight="false" outlineLevel="0" collapsed="false">
      <c r="B32" s="13"/>
      <c r="C32" s="8" t="s">
        <v>34</v>
      </c>
    </row>
    <row r="34" customFormat="false" ht="21.75" hidden="false" customHeight="true" outlineLevel="0" collapsed="false">
      <c r="A34" s="3" t="s">
        <v>35</v>
      </c>
      <c r="B34" s="3"/>
      <c r="C34" s="3"/>
    </row>
    <row r="35" customFormat="false" ht="30" hidden="false" customHeight="true" outlineLevel="0" collapsed="false">
      <c r="B35" s="14" t="s">
        <v>36</v>
      </c>
      <c r="C35" s="14"/>
    </row>
    <row r="36" customFormat="false" ht="30" hidden="false" customHeight="true" outlineLevel="0" collapsed="false">
      <c r="B36" s="14" t="s">
        <v>37</v>
      </c>
      <c r="C36" s="14"/>
    </row>
    <row r="37" customFormat="false" ht="30" hidden="false" customHeight="true" outlineLevel="0" collapsed="false">
      <c r="B37" s="14" t="s">
        <v>38</v>
      </c>
      <c r="C37" s="14"/>
    </row>
    <row r="38" customFormat="false" ht="30" hidden="false" customHeight="true" outlineLevel="0" collapsed="false">
      <c r="B38" s="14" t="s">
        <v>39</v>
      </c>
      <c r="C38" s="14"/>
    </row>
    <row r="39" customFormat="false" ht="30" hidden="false" customHeight="true" outlineLevel="0" collapsed="false">
      <c r="B39" s="14" t="s">
        <v>40</v>
      </c>
      <c r="C39" s="14"/>
    </row>
  </sheetData>
  <mergeCells count="21">
    <mergeCell ref="A1:C1"/>
    <mergeCell ref="A2:C2"/>
    <mergeCell ref="A4:C4"/>
    <mergeCell ref="B5:C5"/>
    <mergeCell ref="B6:C6"/>
    <mergeCell ref="A8:C8"/>
    <mergeCell ref="A17:C17"/>
    <mergeCell ref="B18:C18"/>
    <mergeCell ref="B19:C19"/>
    <mergeCell ref="B20:C20"/>
    <mergeCell ref="B21:C21"/>
    <mergeCell ref="B22:C22"/>
    <mergeCell ref="B23:C23"/>
    <mergeCell ref="B24:C24"/>
    <mergeCell ref="A26:C26"/>
    <mergeCell ref="A34:C34"/>
    <mergeCell ref="B35:C35"/>
    <mergeCell ref="B36:C36"/>
    <mergeCell ref="B37:C37"/>
    <mergeCell ref="B38:C38"/>
    <mergeCell ref="B39:C39"/>
  </mergeCell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42"/>
    <col collapsed="false" customWidth="true" hidden="false" outlineLevel="0" max="10" min="10" style="0" width="12"/>
    <col collapsed="false" customWidth="true" hidden="false" outlineLevel="0" max="11" min="11" style="0" width="32"/>
    <col collapsed="false" customWidth="true" hidden="false" outlineLevel="0" max="12" min="12" style="0" width="16"/>
    <col collapsed="false" customWidth="true" hidden="false" outlineLevel="0" max="13" min="13" style="0" width="8"/>
    <col collapsed="false" customWidth="true" hidden="false" outlineLevel="0" max="14" min="14" style="0" width="26"/>
    <col collapsed="false" customWidth="true" hidden="false" outlineLevel="0" max="15" min="15" style="0" width="40"/>
    <col collapsed="false" customWidth="true" hidden="false" outlineLevel="0" max="18" min="16" style="0" width="11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9.5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15" t="s">
        <v>43</v>
      </c>
    </row>
    <row r="4" customFormat="false" ht="48" hidden="false" customHeight="true" outlineLevel="0" collapsed="false">
      <c r="A4" s="16" t="s">
        <v>44</v>
      </c>
      <c r="B4" s="16" t="s">
        <v>45</v>
      </c>
      <c r="C4" s="16" t="s">
        <v>46</v>
      </c>
      <c r="D4" s="16" t="s">
        <v>47</v>
      </c>
      <c r="E4" s="16" t="s">
        <v>48</v>
      </c>
      <c r="F4" s="16" t="s">
        <v>49</v>
      </c>
      <c r="G4" s="16" t="s">
        <v>50</v>
      </c>
      <c r="H4" s="16" t="s">
        <v>51</v>
      </c>
      <c r="I4" s="16" t="s">
        <v>52</v>
      </c>
      <c r="J4" s="16" t="s">
        <v>53</v>
      </c>
      <c r="K4" s="16" t="s">
        <v>54</v>
      </c>
      <c r="L4" s="16" t="s">
        <v>55</v>
      </c>
      <c r="M4" s="16" t="s">
        <v>56</v>
      </c>
      <c r="N4" s="16" t="s">
        <v>57</v>
      </c>
      <c r="O4" s="16" t="s">
        <v>58</v>
      </c>
      <c r="P4" s="16" t="s">
        <v>59</v>
      </c>
      <c r="Q4" s="16" t="s">
        <v>60</v>
      </c>
      <c r="R4" s="16" t="s">
        <v>61</v>
      </c>
      <c r="S4" s="16" t="s">
        <v>62</v>
      </c>
    </row>
    <row r="5" customFormat="false" ht="54" hidden="false" customHeight="true" outlineLevel="0" collapsed="false">
      <c r="A5" s="17" t="s">
        <v>63</v>
      </c>
      <c r="B5" s="17" t="s">
        <v>64</v>
      </c>
      <c r="C5" s="18" t="s">
        <v>65</v>
      </c>
      <c r="D5" s="18" t="s">
        <v>66</v>
      </c>
      <c r="E5" s="18" t="s">
        <v>67</v>
      </c>
      <c r="F5" s="18" t="s">
        <v>68</v>
      </c>
      <c r="G5" s="18" t="s">
        <v>69</v>
      </c>
      <c r="H5" s="18" t="s">
        <v>70</v>
      </c>
      <c r="I5" s="18" t="s">
        <v>71</v>
      </c>
      <c r="J5" s="19" t="n">
        <v>1</v>
      </c>
      <c r="K5" s="18" t="s">
        <v>72</v>
      </c>
      <c r="L5" s="18" t="s">
        <v>73</v>
      </c>
      <c r="M5" s="18" t="s">
        <v>74</v>
      </c>
      <c r="N5" s="20" t="str">
        <f aca="false">IFERROR(VLOOKUP(M5,'Packing Guide'!$A$60:$B$66,2,FALSE()),"")</f>
        <v>Rack 1 – Prasadam &amp; Edibles</v>
      </c>
      <c r="O5" s="18" t="s">
        <v>75</v>
      </c>
      <c r="P5" s="21" t="n">
        <v>300</v>
      </c>
      <c r="Q5" s="21" t="n">
        <v>600</v>
      </c>
      <c r="R5" s="18" t="s">
        <v>76</v>
      </c>
      <c r="S5" s="18"/>
    </row>
    <row r="6" customFormat="false" ht="54" hidden="false" customHeight="true" outlineLevel="0" collapsed="false">
      <c r="A6" s="22" t="s">
        <v>77</v>
      </c>
      <c r="B6" s="22" t="s">
        <v>78</v>
      </c>
      <c r="C6" s="23" t="s">
        <v>65</v>
      </c>
      <c r="D6" s="23" t="s">
        <v>66</v>
      </c>
      <c r="E6" s="23" t="s">
        <v>79</v>
      </c>
      <c r="F6" s="23" t="s">
        <v>80</v>
      </c>
      <c r="G6" s="23" t="s">
        <v>81</v>
      </c>
      <c r="H6" s="23" t="s">
        <v>82</v>
      </c>
      <c r="I6" s="23" t="s">
        <v>83</v>
      </c>
      <c r="J6" s="19" t="n">
        <v>6</v>
      </c>
      <c r="K6" s="23" t="s">
        <v>84</v>
      </c>
      <c r="L6" s="23" t="s">
        <v>85</v>
      </c>
      <c r="M6" s="23" t="s">
        <v>86</v>
      </c>
      <c r="N6" s="20" t="str">
        <f aca="false">IFERROR(VLOOKUP(M6,'Packing Guide'!$A$60:$B$66,2,FALSE()),"")</f>
        <v>Rack 2 – Liquids &amp; Oils (bottom shelf, in trays)</v>
      </c>
      <c r="O6" s="23" t="s">
        <v>87</v>
      </c>
      <c r="P6" s="21" t="n">
        <v>300</v>
      </c>
      <c r="Q6" s="21" t="n">
        <v>600</v>
      </c>
      <c r="R6" s="23" t="s">
        <v>76</v>
      </c>
      <c r="S6" s="23" t="s">
        <v>88</v>
      </c>
    </row>
    <row r="7" customFormat="false" ht="54" hidden="false" customHeight="true" outlineLevel="0" collapsed="false">
      <c r="A7" s="17" t="s">
        <v>89</v>
      </c>
      <c r="B7" s="17" t="s">
        <v>90</v>
      </c>
      <c r="C7" s="18" t="s">
        <v>91</v>
      </c>
      <c r="D7" s="18" t="s">
        <v>92</v>
      </c>
      <c r="E7" s="18" t="s">
        <v>93</v>
      </c>
      <c r="F7" s="18" t="s">
        <v>94</v>
      </c>
      <c r="G7" s="18" t="s">
        <v>95</v>
      </c>
      <c r="H7" s="18" t="s">
        <v>96</v>
      </c>
      <c r="I7" s="18" t="s">
        <v>97</v>
      </c>
      <c r="J7" s="19" t="n">
        <v>5</v>
      </c>
      <c r="K7" s="18" t="s">
        <v>98</v>
      </c>
      <c r="L7" s="18" t="s">
        <v>99</v>
      </c>
      <c r="M7" s="18" t="s">
        <v>100</v>
      </c>
      <c r="N7" s="20" t="str">
        <f aca="false">IFERROR(VLOOKUP(M7,'Packing Guide'!$A$60:$B$66,2,FALSE()),"")</f>
        <v>Locked Cabinet – Valuables</v>
      </c>
      <c r="O7" s="18" t="s">
        <v>101</v>
      </c>
      <c r="P7" s="21" t="n">
        <v>100</v>
      </c>
      <c r="Q7" s="21" t="n">
        <v>200</v>
      </c>
      <c r="R7" s="18" t="s">
        <v>76</v>
      </c>
      <c r="S7" s="18"/>
    </row>
    <row r="8" customFormat="false" ht="54" hidden="false" customHeight="true" outlineLevel="0" collapsed="false">
      <c r="A8" s="22" t="s">
        <v>102</v>
      </c>
      <c r="B8" s="22" t="s">
        <v>103</v>
      </c>
      <c r="C8" s="23" t="s">
        <v>104</v>
      </c>
      <c r="D8" s="23" t="s">
        <v>66</v>
      </c>
      <c r="E8" s="23" t="s">
        <v>105</v>
      </c>
      <c r="F8" s="23" t="s">
        <v>106</v>
      </c>
      <c r="G8" s="23" t="s">
        <v>95</v>
      </c>
      <c r="H8" s="23" t="s">
        <v>107</v>
      </c>
      <c r="I8" s="23" t="s">
        <v>108</v>
      </c>
      <c r="J8" s="19" t="n">
        <v>1.5</v>
      </c>
      <c r="K8" s="23" t="s">
        <v>109</v>
      </c>
      <c r="L8" s="23" t="s">
        <v>110</v>
      </c>
      <c r="M8" s="23" t="s">
        <v>111</v>
      </c>
      <c r="N8" s="20" t="str">
        <f aca="false">IFERROR(VLOOKUP(M8,'Packing Guide'!$A$60:$B$66,2,FALSE()),"")</f>
        <v>Rack 4 – Books, Cards &amp; Paper</v>
      </c>
      <c r="O8" s="23" t="s">
        <v>112</v>
      </c>
      <c r="P8" s="21" t="n">
        <v>200</v>
      </c>
      <c r="Q8" s="21" t="n">
        <v>500</v>
      </c>
      <c r="R8" s="23" t="s">
        <v>76</v>
      </c>
      <c r="S8" s="23" t="s">
        <v>113</v>
      </c>
    </row>
    <row r="9" customFormat="false" ht="54" hidden="false" customHeight="true" outlineLevel="0" collapsed="false">
      <c r="A9" s="17" t="s">
        <v>114</v>
      </c>
      <c r="B9" s="17" t="s">
        <v>115</v>
      </c>
      <c r="C9" s="18" t="s">
        <v>104</v>
      </c>
      <c r="D9" s="18" t="s">
        <v>66</v>
      </c>
      <c r="E9" s="18" t="s">
        <v>116</v>
      </c>
      <c r="F9" s="18" t="s">
        <v>106</v>
      </c>
      <c r="G9" s="18" t="s">
        <v>95</v>
      </c>
      <c r="H9" s="18" t="s">
        <v>117</v>
      </c>
      <c r="I9" s="18" t="s">
        <v>118</v>
      </c>
      <c r="J9" s="19" t="n">
        <v>1.5</v>
      </c>
      <c r="K9" s="18" t="s">
        <v>109</v>
      </c>
      <c r="L9" s="18" t="s">
        <v>110</v>
      </c>
      <c r="M9" s="18" t="s">
        <v>111</v>
      </c>
      <c r="N9" s="20" t="str">
        <f aca="false">IFERROR(VLOOKUP(M9,'Packing Guide'!$A$60:$B$66,2,FALSE()),"")</f>
        <v>Rack 4 – Books, Cards &amp; Paper</v>
      </c>
      <c r="O9" s="18" t="s">
        <v>119</v>
      </c>
      <c r="P9" s="21" t="n">
        <v>200</v>
      </c>
      <c r="Q9" s="21" t="n">
        <v>500</v>
      </c>
      <c r="R9" s="18" t="s">
        <v>76</v>
      </c>
      <c r="S9" s="18"/>
    </row>
    <row r="10" customFormat="false" ht="54" hidden="false" customHeight="true" outlineLevel="0" collapsed="false">
      <c r="A10" s="22" t="s">
        <v>120</v>
      </c>
      <c r="B10" s="22" t="s">
        <v>121</v>
      </c>
      <c r="C10" s="23" t="s">
        <v>122</v>
      </c>
      <c r="D10" s="23" t="s">
        <v>92</v>
      </c>
      <c r="E10" s="23" t="s">
        <v>123</v>
      </c>
      <c r="F10" s="23" t="s">
        <v>94</v>
      </c>
      <c r="G10" s="23" t="s">
        <v>95</v>
      </c>
      <c r="H10" s="23" t="s">
        <v>124</v>
      </c>
      <c r="I10" s="23" t="s">
        <v>125</v>
      </c>
      <c r="J10" s="19" t="n">
        <v>25</v>
      </c>
      <c r="K10" s="23" t="s">
        <v>126</v>
      </c>
      <c r="L10" s="23" t="s">
        <v>99</v>
      </c>
      <c r="M10" s="23" t="s">
        <v>127</v>
      </c>
      <c r="N10" s="20" t="str">
        <f aca="false">IFERROR(VLOOKUP(M10,'Packing Guide'!$A$60:$B$66,2,FALSE()),"")</f>
        <v>Rack 3 – Photos, Frames &amp; Fragile</v>
      </c>
      <c r="O10" s="23" t="s">
        <v>128</v>
      </c>
      <c r="P10" s="21" t="n">
        <v>25</v>
      </c>
      <c r="Q10" s="21" t="n">
        <v>50</v>
      </c>
      <c r="R10" s="23" t="s">
        <v>76</v>
      </c>
      <c r="S10" s="23"/>
    </row>
    <row r="11" customFormat="false" ht="54" hidden="false" customHeight="true" outlineLevel="0" collapsed="false">
      <c r="A11" s="17" t="s">
        <v>129</v>
      </c>
      <c r="B11" s="17" t="s">
        <v>130</v>
      </c>
      <c r="C11" s="18" t="s">
        <v>122</v>
      </c>
      <c r="D11" s="18" t="s">
        <v>92</v>
      </c>
      <c r="E11" s="18" t="s">
        <v>131</v>
      </c>
      <c r="F11" s="18" t="s">
        <v>94</v>
      </c>
      <c r="G11" s="18" t="s">
        <v>95</v>
      </c>
      <c r="H11" s="18" t="s">
        <v>132</v>
      </c>
      <c r="I11" s="18" t="s">
        <v>133</v>
      </c>
      <c r="J11" s="19" t="n">
        <v>20</v>
      </c>
      <c r="K11" s="18" t="s">
        <v>134</v>
      </c>
      <c r="L11" s="18" t="s">
        <v>99</v>
      </c>
      <c r="M11" s="18" t="s">
        <v>127</v>
      </c>
      <c r="N11" s="20" t="str">
        <f aca="false">IFERROR(VLOOKUP(M11,'Packing Guide'!$A$60:$B$66,2,FALSE()),"")</f>
        <v>Rack 3 – Photos, Frames &amp; Fragile</v>
      </c>
      <c r="O11" s="18" t="s">
        <v>135</v>
      </c>
      <c r="P11" s="21" t="n">
        <v>20</v>
      </c>
      <c r="Q11" s="21" t="n">
        <v>40</v>
      </c>
      <c r="R11" s="18" t="s">
        <v>76</v>
      </c>
      <c r="S11" s="18"/>
    </row>
    <row r="12" customFormat="false" ht="54" hidden="false" customHeight="true" outlineLevel="0" collapsed="false">
      <c r="A12" s="22" t="s">
        <v>136</v>
      </c>
      <c r="B12" s="22" t="s">
        <v>137</v>
      </c>
      <c r="C12" s="23" t="s">
        <v>91</v>
      </c>
      <c r="D12" s="23" t="s">
        <v>66</v>
      </c>
      <c r="E12" s="23" t="s">
        <v>138</v>
      </c>
      <c r="F12" s="23" t="s">
        <v>94</v>
      </c>
      <c r="G12" s="23" t="s">
        <v>95</v>
      </c>
      <c r="H12" s="23" t="s">
        <v>139</v>
      </c>
      <c r="I12" s="23" t="s">
        <v>140</v>
      </c>
      <c r="J12" s="19" t="n">
        <v>0.5</v>
      </c>
      <c r="K12" s="23" t="s">
        <v>141</v>
      </c>
      <c r="L12" s="23" t="s">
        <v>142</v>
      </c>
      <c r="M12" s="23" t="s">
        <v>111</v>
      </c>
      <c r="N12" s="20" t="str">
        <f aca="false">IFERROR(VLOOKUP(M12,'Packing Guide'!$A$60:$B$66,2,FALSE()),"")</f>
        <v>Rack 4 – Books, Cards &amp; Paper</v>
      </c>
      <c r="O12" s="23" t="s">
        <v>143</v>
      </c>
      <c r="P12" s="21" t="n">
        <v>300</v>
      </c>
      <c r="Q12" s="21" t="n">
        <v>600</v>
      </c>
      <c r="R12" s="23" t="s">
        <v>76</v>
      </c>
      <c r="S12" s="23"/>
    </row>
    <row r="13" customFormat="false" ht="54" hidden="false" customHeight="true" outlineLevel="0" collapsed="false">
      <c r="A13" s="17" t="s">
        <v>144</v>
      </c>
      <c r="B13" s="17" t="s">
        <v>145</v>
      </c>
      <c r="C13" s="18" t="s">
        <v>91</v>
      </c>
      <c r="D13" s="18" t="s">
        <v>66</v>
      </c>
      <c r="E13" s="18" t="s">
        <v>146</v>
      </c>
      <c r="F13" s="18" t="s">
        <v>147</v>
      </c>
      <c r="G13" s="18" t="s">
        <v>95</v>
      </c>
      <c r="H13" s="18" t="s">
        <v>148</v>
      </c>
      <c r="I13" s="18" t="s">
        <v>149</v>
      </c>
      <c r="J13" s="19" t="n">
        <v>6</v>
      </c>
      <c r="K13" s="18" t="s">
        <v>150</v>
      </c>
      <c r="L13" s="18" t="s">
        <v>99</v>
      </c>
      <c r="M13" s="18" t="s">
        <v>111</v>
      </c>
      <c r="N13" s="20" t="str">
        <f aca="false">IFERROR(VLOOKUP(M13,'Packing Guide'!$A$60:$B$66,2,FALSE()),"")</f>
        <v>Rack 4 – Books, Cards &amp; Paper</v>
      </c>
      <c r="O13" s="18" t="s">
        <v>151</v>
      </c>
      <c r="P13" s="21" t="n">
        <v>200</v>
      </c>
      <c r="Q13" s="21" t="n">
        <v>400</v>
      </c>
      <c r="R13" s="18" t="s">
        <v>76</v>
      </c>
      <c r="S13" s="18"/>
    </row>
    <row r="14" customFormat="false" ht="54" hidden="false" customHeight="true" outlineLevel="0" collapsed="false">
      <c r="A14" s="22" t="s">
        <v>152</v>
      </c>
      <c r="B14" s="22" t="s">
        <v>153</v>
      </c>
      <c r="C14" s="23" t="s">
        <v>91</v>
      </c>
      <c r="D14" s="23" t="s">
        <v>92</v>
      </c>
      <c r="E14" s="23" t="s">
        <v>154</v>
      </c>
      <c r="F14" s="23" t="s">
        <v>155</v>
      </c>
      <c r="G14" s="23" t="s">
        <v>95</v>
      </c>
      <c r="H14" s="23" t="s">
        <v>156</v>
      </c>
      <c r="I14" s="23" t="s">
        <v>157</v>
      </c>
      <c r="J14" s="19" t="n">
        <v>2</v>
      </c>
      <c r="K14" s="23" t="s">
        <v>158</v>
      </c>
      <c r="L14" s="23" t="s">
        <v>99</v>
      </c>
      <c r="M14" s="23" t="s">
        <v>111</v>
      </c>
      <c r="N14" s="20" t="str">
        <f aca="false">IFERROR(VLOOKUP(M14,'Packing Guide'!$A$60:$B$66,2,FALSE()),"")</f>
        <v>Rack 4 – Books, Cards &amp; Paper</v>
      </c>
      <c r="O14" s="23" t="s">
        <v>159</v>
      </c>
      <c r="P14" s="21" t="n">
        <v>50</v>
      </c>
      <c r="Q14" s="21" t="n">
        <v>100</v>
      </c>
      <c r="R14" s="23" t="s">
        <v>76</v>
      </c>
      <c r="S14" s="23"/>
    </row>
    <row r="15" customFormat="false" ht="54" hidden="false" customHeight="true" outlineLevel="0" collapsed="false">
      <c r="A15" s="17" t="s">
        <v>160</v>
      </c>
      <c r="B15" s="17" t="s">
        <v>161</v>
      </c>
      <c r="C15" s="18" t="s">
        <v>122</v>
      </c>
      <c r="D15" s="18" t="s">
        <v>66</v>
      </c>
      <c r="E15" s="18" t="s">
        <v>162</v>
      </c>
      <c r="F15" s="18" t="s">
        <v>94</v>
      </c>
      <c r="G15" s="18" t="s">
        <v>95</v>
      </c>
      <c r="H15" s="18" t="s">
        <v>163</v>
      </c>
      <c r="I15" s="18" t="s">
        <v>164</v>
      </c>
      <c r="J15" s="19" t="n">
        <v>4</v>
      </c>
      <c r="K15" s="18" t="s">
        <v>165</v>
      </c>
      <c r="L15" s="18" t="s">
        <v>99</v>
      </c>
      <c r="M15" s="18" t="s">
        <v>127</v>
      </c>
      <c r="N15" s="20" t="str">
        <f aca="false">IFERROR(VLOOKUP(M15,'Packing Guide'!$A$60:$B$66,2,FALSE()),"")</f>
        <v>Rack 3 – Photos, Frames &amp; Fragile</v>
      </c>
      <c r="O15" s="18" t="s">
        <v>166</v>
      </c>
      <c r="P15" s="21" t="n">
        <v>200</v>
      </c>
      <c r="Q15" s="21" t="n">
        <v>400</v>
      </c>
      <c r="R15" s="18" t="s">
        <v>76</v>
      </c>
      <c r="S15" s="18"/>
    </row>
    <row r="16" customFormat="false" ht="54" hidden="false" customHeight="true" outlineLevel="0" collapsed="false">
      <c r="A16" s="22" t="s">
        <v>167</v>
      </c>
      <c r="B16" s="22" t="s">
        <v>168</v>
      </c>
      <c r="C16" s="23" t="s">
        <v>122</v>
      </c>
      <c r="D16" s="23" t="s">
        <v>66</v>
      </c>
      <c r="E16" s="23" t="s">
        <v>169</v>
      </c>
      <c r="F16" s="23" t="s">
        <v>94</v>
      </c>
      <c r="G16" s="23" t="s">
        <v>95</v>
      </c>
      <c r="H16" s="23" t="s">
        <v>163</v>
      </c>
      <c r="I16" s="23" t="s">
        <v>170</v>
      </c>
      <c r="J16" s="19" t="n">
        <v>4</v>
      </c>
      <c r="K16" s="23" t="s">
        <v>165</v>
      </c>
      <c r="L16" s="23" t="s">
        <v>99</v>
      </c>
      <c r="M16" s="23" t="s">
        <v>127</v>
      </c>
      <c r="N16" s="20" t="str">
        <f aca="false">IFERROR(VLOOKUP(M16,'Packing Guide'!$A$60:$B$66,2,FALSE()),"")</f>
        <v>Rack 3 – Photos, Frames &amp; Fragile</v>
      </c>
      <c r="O16" s="23" t="s">
        <v>171</v>
      </c>
      <c r="P16" s="21" t="n">
        <v>100</v>
      </c>
      <c r="Q16" s="21" t="n">
        <v>200</v>
      </c>
      <c r="R16" s="23" t="s">
        <v>76</v>
      </c>
      <c r="S16" s="23"/>
    </row>
    <row r="17" customFormat="false" ht="54" hidden="false" customHeight="true" outlineLevel="0" collapsed="false">
      <c r="A17" s="17" t="s">
        <v>172</v>
      </c>
      <c r="B17" s="17" t="s">
        <v>173</v>
      </c>
      <c r="C17" s="18" t="s">
        <v>122</v>
      </c>
      <c r="D17" s="18" t="s">
        <v>66</v>
      </c>
      <c r="E17" s="18" t="s">
        <v>174</v>
      </c>
      <c r="F17" s="18" t="s">
        <v>94</v>
      </c>
      <c r="G17" s="18" t="s">
        <v>95</v>
      </c>
      <c r="H17" s="18" t="s">
        <v>163</v>
      </c>
      <c r="I17" s="18" t="s">
        <v>170</v>
      </c>
      <c r="J17" s="19" t="n">
        <v>4</v>
      </c>
      <c r="K17" s="18" t="s">
        <v>165</v>
      </c>
      <c r="L17" s="18" t="s">
        <v>99</v>
      </c>
      <c r="M17" s="18" t="s">
        <v>127</v>
      </c>
      <c r="N17" s="20" t="str">
        <f aca="false">IFERROR(VLOOKUP(M17,'Packing Guide'!$A$60:$B$66,2,FALSE()),"")</f>
        <v>Rack 3 – Photos, Frames &amp; Fragile</v>
      </c>
      <c r="O17" s="18" t="s">
        <v>171</v>
      </c>
      <c r="P17" s="21" t="n">
        <v>150</v>
      </c>
      <c r="Q17" s="21" t="n">
        <v>300</v>
      </c>
      <c r="R17" s="18" t="s">
        <v>76</v>
      </c>
      <c r="S17" s="18"/>
    </row>
    <row r="18" customFormat="false" ht="54" hidden="false" customHeight="true" outlineLevel="0" collapsed="false">
      <c r="A18" s="22" t="s">
        <v>175</v>
      </c>
      <c r="B18" s="22" t="s">
        <v>176</v>
      </c>
      <c r="C18" s="23" t="s">
        <v>65</v>
      </c>
      <c r="D18" s="23" t="s">
        <v>66</v>
      </c>
      <c r="E18" s="23" t="s">
        <v>177</v>
      </c>
      <c r="F18" s="23" t="s">
        <v>68</v>
      </c>
      <c r="G18" s="23" t="s">
        <v>178</v>
      </c>
      <c r="H18" s="23" t="s">
        <v>179</v>
      </c>
      <c r="I18" s="23" t="s">
        <v>180</v>
      </c>
      <c r="J18" s="19" t="n">
        <v>1</v>
      </c>
      <c r="K18" s="23" t="s">
        <v>181</v>
      </c>
      <c r="L18" s="23" t="s">
        <v>182</v>
      </c>
      <c r="M18" s="23" t="s">
        <v>74</v>
      </c>
      <c r="N18" s="20" t="str">
        <f aca="false">IFERROR(VLOOKUP(M18,'Packing Guide'!$A$60:$B$66,2,FALSE()),"")</f>
        <v>Rack 1 – Prasadam &amp; Edibles</v>
      </c>
      <c r="O18" s="23" t="s">
        <v>183</v>
      </c>
      <c r="P18" s="21" t="n">
        <v>300</v>
      </c>
      <c r="Q18" s="21" t="n">
        <v>600</v>
      </c>
      <c r="R18" s="23" t="s">
        <v>76</v>
      </c>
      <c r="S18" s="23"/>
    </row>
    <row r="19" customFormat="false" ht="54" hidden="false" customHeight="true" outlineLevel="0" collapsed="false">
      <c r="A19" s="17" t="s">
        <v>184</v>
      </c>
      <c r="B19" s="17" t="s">
        <v>185</v>
      </c>
      <c r="C19" s="18" t="s">
        <v>186</v>
      </c>
      <c r="D19" s="18" t="s">
        <v>66</v>
      </c>
      <c r="E19" s="18" t="s">
        <v>187</v>
      </c>
      <c r="F19" s="18" t="s">
        <v>188</v>
      </c>
      <c r="G19" s="18" t="s">
        <v>189</v>
      </c>
      <c r="H19" s="18" t="s">
        <v>190</v>
      </c>
      <c r="I19" s="18" t="s">
        <v>191</v>
      </c>
      <c r="J19" s="19" t="n">
        <v>4</v>
      </c>
      <c r="K19" s="18" t="s">
        <v>192</v>
      </c>
      <c r="L19" s="18" t="s">
        <v>193</v>
      </c>
      <c r="M19" s="18" t="s">
        <v>86</v>
      </c>
      <c r="N19" s="20" t="str">
        <f aca="false">IFERROR(VLOOKUP(M19,'Packing Guide'!$A$60:$B$66,2,FALSE()),"")</f>
        <v>Rack 2 – Liquids &amp; Oils (bottom shelf, in trays)</v>
      </c>
      <c r="O19" s="18" t="s">
        <v>194</v>
      </c>
      <c r="P19" s="21" t="n">
        <v>50</v>
      </c>
      <c r="Q19" s="21" t="n">
        <v>100</v>
      </c>
      <c r="R19" s="18" t="s">
        <v>76</v>
      </c>
      <c r="S19" s="18" t="s">
        <v>195</v>
      </c>
    </row>
    <row r="20" customFormat="false" ht="54" hidden="false" customHeight="true" outlineLevel="0" collapsed="false">
      <c r="A20" s="22" t="s">
        <v>196</v>
      </c>
      <c r="B20" s="22" t="s">
        <v>197</v>
      </c>
      <c r="C20" s="23" t="s">
        <v>186</v>
      </c>
      <c r="D20" s="23" t="s">
        <v>66</v>
      </c>
      <c r="E20" s="23" t="s">
        <v>198</v>
      </c>
      <c r="F20" s="23" t="s">
        <v>188</v>
      </c>
      <c r="G20" s="23" t="s">
        <v>199</v>
      </c>
      <c r="H20" s="23" t="s">
        <v>200</v>
      </c>
      <c r="I20" s="23" t="s">
        <v>201</v>
      </c>
      <c r="J20" s="19" t="n">
        <v>4</v>
      </c>
      <c r="K20" s="23" t="s">
        <v>202</v>
      </c>
      <c r="L20" s="23" t="s">
        <v>203</v>
      </c>
      <c r="M20" s="23" t="s">
        <v>86</v>
      </c>
      <c r="N20" s="20" t="str">
        <f aca="false">IFERROR(VLOOKUP(M20,'Packing Guide'!$A$60:$B$66,2,FALSE()),"")</f>
        <v>Rack 2 – Liquids &amp; Oils (bottom shelf, in trays)</v>
      </c>
      <c r="O20" s="23" t="s">
        <v>204</v>
      </c>
      <c r="P20" s="21" t="n">
        <v>100</v>
      </c>
      <c r="Q20" s="21" t="n">
        <v>200</v>
      </c>
      <c r="R20" s="23" t="s">
        <v>76</v>
      </c>
      <c r="S20" s="23" t="s">
        <v>205</v>
      </c>
    </row>
    <row r="21" customFormat="false" ht="54" hidden="false" customHeight="true" outlineLevel="0" collapsed="false">
      <c r="A21" s="17" t="s">
        <v>206</v>
      </c>
      <c r="B21" s="17" t="s">
        <v>207</v>
      </c>
      <c r="C21" s="18" t="s">
        <v>208</v>
      </c>
      <c r="D21" s="18" t="s">
        <v>92</v>
      </c>
      <c r="E21" s="18" t="s">
        <v>209</v>
      </c>
      <c r="F21" s="18" t="s">
        <v>188</v>
      </c>
      <c r="G21" s="18" t="s">
        <v>210</v>
      </c>
      <c r="H21" s="18" t="s">
        <v>211</v>
      </c>
      <c r="I21" s="18" t="s">
        <v>212</v>
      </c>
      <c r="J21" s="19" t="n">
        <v>12</v>
      </c>
      <c r="K21" s="18" t="s">
        <v>213</v>
      </c>
      <c r="L21" s="18" t="s">
        <v>142</v>
      </c>
      <c r="M21" s="18" t="s">
        <v>100</v>
      </c>
      <c r="N21" s="20" t="str">
        <f aca="false">IFERROR(VLOOKUP(M21,'Packing Guide'!$A$60:$B$66,2,FALSE()),"")</f>
        <v>Locked Cabinet – Valuables</v>
      </c>
      <c r="O21" s="18" t="s">
        <v>214</v>
      </c>
      <c r="P21" s="21" t="n">
        <v>50</v>
      </c>
      <c r="Q21" s="21" t="n">
        <v>100</v>
      </c>
      <c r="R21" s="18" t="s">
        <v>76</v>
      </c>
      <c r="S21" s="18"/>
    </row>
    <row r="22" customFormat="false" ht="54" hidden="false" customHeight="true" outlineLevel="0" collapsed="false">
      <c r="A22" s="22" t="s">
        <v>215</v>
      </c>
      <c r="B22" s="22" t="s">
        <v>216</v>
      </c>
      <c r="C22" s="23" t="s">
        <v>65</v>
      </c>
      <c r="D22" s="23" t="s">
        <v>66</v>
      </c>
      <c r="E22" s="23" t="s">
        <v>217</v>
      </c>
      <c r="F22" s="23" t="s">
        <v>68</v>
      </c>
      <c r="G22" s="23" t="s">
        <v>218</v>
      </c>
      <c r="H22" s="23" t="s">
        <v>219</v>
      </c>
      <c r="I22" s="23" t="s">
        <v>220</v>
      </c>
      <c r="J22" s="19" t="n">
        <v>1.5</v>
      </c>
      <c r="K22" s="23" t="s">
        <v>221</v>
      </c>
      <c r="L22" s="23" t="s">
        <v>222</v>
      </c>
      <c r="M22" s="23" t="s">
        <v>74</v>
      </c>
      <c r="N22" s="20" t="str">
        <f aca="false">IFERROR(VLOOKUP(M22,'Packing Guide'!$A$60:$B$66,2,FALSE()),"")</f>
        <v>Rack 1 – Prasadam &amp; Edibles</v>
      </c>
      <c r="O22" s="23" t="s">
        <v>223</v>
      </c>
      <c r="P22" s="21" t="n">
        <v>200</v>
      </c>
      <c r="Q22" s="21" t="n">
        <v>400</v>
      </c>
      <c r="R22" s="23" t="s">
        <v>76</v>
      </c>
      <c r="S22" s="23"/>
    </row>
    <row r="23" customFormat="false" ht="54" hidden="false" customHeight="true" outlineLevel="0" collapsed="false">
      <c r="A23" s="17" t="s">
        <v>224</v>
      </c>
      <c r="B23" s="17" t="s">
        <v>225</v>
      </c>
      <c r="C23" s="18" t="s">
        <v>208</v>
      </c>
      <c r="D23" s="18" t="s">
        <v>66</v>
      </c>
      <c r="E23" s="18" t="s">
        <v>226</v>
      </c>
      <c r="F23" s="18" t="s">
        <v>227</v>
      </c>
      <c r="G23" s="18" t="s">
        <v>228</v>
      </c>
      <c r="H23" s="18" t="s">
        <v>229</v>
      </c>
      <c r="I23" s="18" t="s">
        <v>230</v>
      </c>
      <c r="J23" s="19" t="n">
        <v>1.5</v>
      </c>
      <c r="K23" s="18" t="s">
        <v>231</v>
      </c>
      <c r="L23" s="18" t="s">
        <v>142</v>
      </c>
      <c r="M23" s="18" t="s">
        <v>232</v>
      </c>
      <c r="N23" s="20" t="str">
        <f aca="false">IFERROR(VLOOKUP(M23,'Packing Guide'!$A$60:$B$66,2,FALSE()),"")</f>
        <v>Rack 5 – Fragrance &amp; Puja items</v>
      </c>
      <c r="O23" s="18" t="s">
        <v>233</v>
      </c>
      <c r="P23" s="21" t="n">
        <v>200</v>
      </c>
      <c r="Q23" s="21" t="n">
        <v>400</v>
      </c>
      <c r="R23" s="18" t="s">
        <v>76</v>
      </c>
      <c r="S23" s="18"/>
    </row>
    <row r="24" customFormat="false" ht="54" hidden="false" customHeight="true" outlineLevel="0" collapsed="false">
      <c r="A24" s="22" t="s">
        <v>234</v>
      </c>
      <c r="B24" s="22" t="s">
        <v>235</v>
      </c>
      <c r="C24" s="23" t="s">
        <v>236</v>
      </c>
      <c r="D24" s="23" t="s">
        <v>66</v>
      </c>
      <c r="E24" s="23" t="s">
        <v>237</v>
      </c>
      <c r="F24" s="23" t="s">
        <v>94</v>
      </c>
      <c r="G24" s="23" t="s">
        <v>95</v>
      </c>
      <c r="H24" s="23" t="s">
        <v>238</v>
      </c>
      <c r="I24" s="23" t="s">
        <v>239</v>
      </c>
      <c r="J24" s="19" t="n">
        <v>1</v>
      </c>
      <c r="K24" s="23" t="s">
        <v>240</v>
      </c>
      <c r="L24" s="23" t="s">
        <v>99</v>
      </c>
      <c r="M24" s="23" t="s">
        <v>111</v>
      </c>
      <c r="N24" s="20" t="str">
        <f aca="false">IFERROR(VLOOKUP(M24,'Packing Guide'!$A$60:$B$66,2,FALSE()),"")</f>
        <v>Rack 4 – Books, Cards &amp; Paper</v>
      </c>
      <c r="O24" s="23" t="s">
        <v>241</v>
      </c>
      <c r="P24" s="21" t="n">
        <v>200</v>
      </c>
      <c r="Q24" s="21" t="n">
        <v>400</v>
      </c>
      <c r="R24" s="23" t="s">
        <v>76</v>
      </c>
      <c r="S24" s="23"/>
    </row>
    <row r="25" customFormat="false" ht="54" hidden="false" customHeight="true" outlineLevel="0" collapsed="false">
      <c r="A25" s="17" t="s">
        <v>242</v>
      </c>
      <c r="B25" s="17" t="s">
        <v>243</v>
      </c>
      <c r="C25" s="18" t="s">
        <v>244</v>
      </c>
      <c r="D25" s="18" t="s">
        <v>66</v>
      </c>
      <c r="E25" s="18" t="s">
        <v>245</v>
      </c>
      <c r="F25" s="18" t="s">
        <v>94</v>
      </c>
      <c r="G25" s="18" t="s">
        <v>95</v>
      </c>
      <c r="H25" s="18" t="s">
        <v>246</v>
      </c>
      <c r="I25" s="18" t="s">
        <v>247</v>
      </c>
      <c r="J25" s="19" t="n">
        <v>2</v>
      </c>
      <c r="K25" s="18" t="s">
        <v>248</v>
      </c>
      <c r="L25" s="18" t="s">
        <v>99</v>
      </c>
      <c r="M25" s="18" t="s">
        <v>232</v>
      </c>
      <c r="N25" s="20" t="str">
        <f aca="false">IFERROR(VLOOKUP(M25,'Packing Guide'!$A$60:$B$66,2,FALSE()),"")</f>
        <v>Rack 5 – Fragrance &amp; Puja items</v>
      </c>
      <c r="O25" s="18" t="s">
        <v>249</v>
      </c>
      <c r="P25" s="21" t="n">
        <v>100</v>
      </c>
      <c r="Q25" s="21" t="n">
        <v>200</v>
      </c>
      <c r="R25" s="18" t="s">
        <v>76</v>
      </c>
      <c r="S25" s="18"/>
    </row>
    <row r="26" customFormat="false" ht="54" hidden="false" customHeight="true" outlineLevel="0" collapsed="false">
      <c r="A26" s="22" t="s">
        <v>250</v>
      </c>
      <c r="B26" s="22" t="s">
        <v>251</v>
      </c>
      <c r="C26" s="23" t="s">
        <v>244</v>
      </c>
      <c r="D26" s="23" t="s">
        <v>66</v>
      </c>
      <c r="E26" s="23" t="s">
        <v>252</v>
      </c>
      <c r="F26" s="23" t="s">
        <v>94</v>
      </c>
      <c r="G26" s="23" t="s">
        <v>95</v>
      </c>
      <c r="H26" s="23" t="s">
        <v>253</v>
      </c>
      <c r="I26" s="23" t="s">
        <v>254</v>
      </c>
      <c r="J26" s="19" t="n">
        <v>1</v>
      </c>
      <c r="K26" s="23" t="s">
        <v>255</v>
      </c>
      <c r="L26" s="23" t="s">
        <v>99</v>
      </c>
      <c r="M26" s="23" t="s">
        <v>232</v>
      </c>
      <c r="N26" s="20" t="str">
        <f aca="false">IFERROR(VLOOKUP(M26,'Packing Guide'!$A$60:$B$66,2,FALSE()),"")</f>
        <v>Rack 5 – Fragrance &amp; Puja items</v>
      </c>
      <c r="O26" s="23" t="s">
        <v>256</v>
      </c>
      <c r="P26" s="21" t="n">
        <v>100</v>
      </c>
      <c r="Q26" s="21" t="n">
        <v>200</v>
      </c>
      <c r="R26" s="23" t="s">
        <v>76</v>
      </c>
      <c r="S26" s="23"/>
    </row>
    <row r="27" customFormat="false" ht="54" hidden="false" customHeight="true" outlineLevel="0" collapsed="false">
      <c r="A27" s="17" t="s">
        <v>257</v>
      </c>
      <c r="B27" s="17" t="s">
        <v>258</v>
      </c>
      <c r="C27" s="18" t="s">
        <v>91</v>
      </c>
      <c r="D27" s="18" t="s">
        <v>66</v>
      </c>
      <c r="E27" s="18" t="s">
        <v>259</v>
      </c>
      <c r="F27" s="18" t="s">
        <v>106</v>
      </c>
      <c r="G27" s="18" t="s">
        <v>95</v>
      </c>
      <c r="H27" s="18" t="s">
        <v>260</v>
      </c>
      <c r="I27" s="18" t="s">
        <v>261</v>
      </c>
      <c r="J27" s="19" t="n">
        <v>1.5</v>
      </c>
      <c r="K27" s="18" t="s">
        <v>262</v>
      </c>
      <c r="L27" s="18" t="s">
        <v>99</v>
      </c>
      <c r="M27" s="18" t="s">
        <v>111</v>
      </c>
      <c r="N27" s="20" t="str">
        <f aca="false">IFERROR(VLOOKUP(M27,'Packing Guide'!$A$60:$B$66,2,FALSE()),"")</f>
        <v>Rack 4 – Books, Cards &amp; Paper</v>
      </c>
      <c r="O27" s="18" t="s">
        <v>171</v>
      </c>
      <c r="P27" s="21" t="n">
        <v>300</v>
      </c>
      <c r="Q27" s="21" t="n">
        <v>600</v>
      </c>
      <c r="R27" s="18" t="s">
        <v>76</v>
      </c>
      <c r="S27" s="18" t="s">
        <v>263</v>
      </c>
    </row>
    <row r="28" customFormat="false" ht="54" hidden="false" customHeight="true" outlineLevel="0" collapsed="false">
      <c r="A28" s="22" t="s">
        <v>264</v>
      </c>
      <c r="B28" s="22" t="s">
        <v>265</v>
      </c>
      <c r="C28" s="23" t="s">
        <v>236</v>
      </c>
      <c r="D28" s="23" t="s">
        <v>92</v>
      </c>
      <c r="E28" s="23" t="s">
        <v>266</v>
      </c>
      <c r="F28" s="23" t="s">
        <v>267</v>
      </c>
      <c r="G28" s="23" t="s">
        <v>95</v>
      </c>
      <c r="H28" s="23" t="s">
        <v>268</v>
      </c>
      <c r="I28" s="23" t="s">
        <v>269</v>
      </c>
      <c r="J28" s="19" t="n">
        <v>3</v>
      </c>
      <c r="K28" s="23" t="s">
        <v>240</v>
      </c>
      <c r="L28" s="23" t="s">
        <v>99</v>
      </c>
      <c r="M28" s="23" t="s">
        <v>111</v>
      </c>
      <c r="N28" s="20" t="str">
        <f aca="false">IFERROR(VLOOKUP(M28,'Packing Guide'!$A$60:$B$66,2,FALSE()),"")</f>
        <v>Rack 4 – Books, Cards &amp; Paper</v>
      </c>
      <c r="O28" s="23" t="s">
        <v>270</v>
      </c>
      <c r="P28" s="21" t="n">
        <v>50</v>
      </c>
      <c r="Q28" s="21" t="n">
        <v>100</v>
      </c>
      <c r="R28" s="23" t="s">
        <v>76</v>
      </c>
      <c r="S28" s="23"/>
    </row>
    <row r="29" customFormat="false" ht="54" hidden="false" customHeight="true" outlineLevel="0" collapsed="false">
      <c r="A29" s="17" t="s">
        <v>271</v>
      </c>
      <c r="B29" s="17" t="s">
        <v>272</v>
      </c>
      <c r="C29" s="18" t="s">
        <v>236</v>
      </c>
      <c r="D29" s="18" t="s">
        <v>92</v>
      </c>
      <c r="E29" s="18" t="s">
        <v>273</v>
      </c>
      <c r="F29" s="18" t="s">
        <v>274</v>
      </c>
      <c r="G29" s="18" t="s">
        <v>95</v>
      </c>
      <c r="H29" s="18" t="s">
        <v>275</v>
      </c>
      <c r="I29" s="18" t="s">
        <v>276</v>
      </c>
      <c r="J29" s="19" t="n">
        <v>5</v>
      </c>
      <c r="K29" s="18" t="s">
        <v>277</v>
      </c>
      <c r="L29" s="18" t="s">
        <v>99</v>
      </c>
      <c r="M29" s="18" t="s">
        <v>111</v>
      </c>
      <c r="N29" s="20" t="str">
        <f aca="false">IFERROR(VLOOKUP(M29,'Packing Guide'!$A$60:$B$66,2,FALSE()),"")</f>
        <v>Rack 4 – Books, Cards &amp; Paper</v>
      </c>
      <c r="O29" s="18" t="s">
        <v>278</v>
      </c>
      <c r="P29" s="21" t="n">
        <v>25</v>
      </c>
      <c r="Q29" s="21" t="n">
        <v>50</v>
      </c>
      <c r="R29" s="18" t="s">
        <v>76</v>
      </c>
      <c r="S29" s="18" t="s">
        <v>279</v>
      </c>
    </row>
    <row r="30" customFormat="false" ht="54" hidden="false" customHeight="true" outlineLevel="0" collapsed="false">
      <c r="A30" s="22" t="s">
        <v>280</v>
      </c>
      <c r="B30" s="22" t="s">
        <v>281</v>
      </c>
      <c r="C30" s="23" t="s">
        <v>236</v>
      </c>
      <c r="D30" s="23" t="s">
        <v>92</v>
      </c>
      <c r="E30" s="23" t="s">
        <v>282</v>
      </c>
      <c r="F30" s="23" t="s">
        <v>94</v>
      </c>
      <c r="G30" s="23" t="s">
        <v>95</v>
      </c>
      <c r="H30" s="23" t="s">
        <v>283</v>
      </c>
      <c r="I30" s="23" t="s">
        <v>284</v>
      </c>
      <c r="J30" s="19" t="n">
        <v>3</v>
      </c>
      <c r="K30" s="23" t="s">
        <v>285</v>
      </c>
      <c r="L30" s="23" t="s">
        <v>286</v>
      </c>
      <c r="M30" s="23" t="s">
        <v>100</v>
      </c>
      <c r="N30" s="20" t="str">
        <f aca="false">IFERROR(VLOOKUP(M30,'Packing Guide'!$A$60:$B$66,2,FALSE()),"")</f>
        <v>Locked Cabinet – Valuables</v>
      </c>
      <c r="O30" s="23" t="s">
        <v>287</v>
      </c>
      <c r="P30" s="21" t="n">
        <v>25</v>
      </c>
      <c r="Q30" s="21" t="n">
        <v>50</v>
      </c>
      <c r="R30" s="23" t="s">
        <v>76</v>
      </c>
      <c r="S30" s="23"/>
    </row>
    <row r="31" customFormat="false" ht="54" hidden="false" customHeight="true" outlineLevel="0" collapsed="false">
      <c r="A31" s="17" t="s">
        <v>288</v>
      </c>
      <c r="B31" s="17" t="s">
        <v>289</v>
      </c>
      <c r="C31" s="18" t="s">
        <v>290</v>
      </c>
      <c r="D31" s="18" t="s">
        <v>66</v>
      </c>
      <c r="E31" s="18" t="s">
        <v>291</v>
      </c>
      <c r="F31" s="18" t="s">
        <v>94</v>
      </c>
      <c r="G31" s="18" t="s">
        <v>95</v>
      </c>
      <c r="H31" s="18" t="s">
        <v>292</v>
      </c>
      <c r="I31" s="18" t="s">
        <v>293</v>
      </c>
      <c r="J31" s="19" t="n">
        <v>10</v>
      </c>
      <c r="K31" s="18" t="s">
        <v>294</v>
      </c>
      <c r="L31" s="18" t="s">
        <v>99</v>
      </c>
      <c r="M31" s="18" t="s">
        <v>127</v>
      </c>
      <c r="N31" s="20" t="str">
        <f aca="false">IFERROR(VLOOKUP(M31,'Packing Guide'!$A$60:$B$66,2,FALSE()),"")</f>
        <v>Rack 3 – Photos, Frames &amp; Fragile</v>
      </c>
      <c r="O31" s="18" t="s">
        <v>295</v>
      </c>
      <c r="P31" s="21" t="n">
        <v>50</v>
      </c>
      <c r="Q31" s="21" t="n">
        <v>100</v>
      </c>
      <c r="R31" s="18" t="s">
        <v>76</v>
      </c>
      <c r="S31" s="18"/>
    </row>
    <row r="32" customFormat="false" ht="54" hidden="false" customHeight="true" outlineLevel="0" collapsed="false">
      <c r="A32" s="22" t="s">
        <v>296</v>
      </c>
      <c r="B32" s="22" t="s">
        <v>297</v>
      </c>
      <c r="C32" s="23" t="s">
        <v>290</v>
      </c>
      <c r="D32" s="23" t="s">
        <v>92</v>
      </c>
      <c r="E32" s="23" t="s">
        <v>298</v>
      </c>
      <c r="F32" s="23" t="s">
        <v>94</v>
      </c>
      <c r="G32" s="23" t="s">
        <v>95</v>
      </c>
      <c r="H32" s="23" t="s">
        <v>299</v>
      </c>
      <c r="I32" s="23" t="s">
        <v>300</v>
      </c>
      <c r="J32" s="19" t="n">
        <v>6</v>
      </c>
      <c r="K32" s="23" t="s">
        <v>301</v>
      </c>
      <c r="L32" s="23" t="s">
        <v>99</v>
      </c>
      <c r="M32" s="23" t="s">
        <v>100</v>
      </c>
      <c r="N32" s="20" t="str">
        <f aca="false">IFERROR(VLOOKUP(M32,'Packing Guide'!$A$60:$B$66,2,FALSE()),"")</f>
        <v>Locked Cabinet – Valuables</v>
      </c>
      <c r="O32" s="23" t="s">
        <v>302</v>
      </c>
      <c r="P32" s="21" t="n">
        <v>50</v>
      </c>
      <c r="Q32" s="21" t="n">
        <v>100</v>
      </c>
      <c r="R32" s="23" t="s">
        <v>76</v>
      </c>
      <c r="S32" s="23"/>
    </row>
    <row r="33" customFormat="false" ht="54" hidden="false" customHeight="true" outlineLevel="0" collapsed="false">
      <c r="A33" s="17" t="s">
        <v>303</v>
      </c>
      <c r="B33" s="17" t="s">
        <v>304</v>
      </c>
      <c r="C33" s="18" t="s">
        <v>208</v>
      </c>
      <c r="D33" s="18" t="s">
        <v>66</v>
      </c>
      <c r="E33" s="18" t="s">
        <v>305</v>
      </c>
      <c r="F33" s="18" t="s">
        <v>80</v>
      </c>
      <c r="G33" s="18" t="s">
        <v>81</v>
      </c>
      <c r="H33" s="18" t="s">
        <v>306</v>
      </c>
      <c r="I33" s="18" t="s">
        <v>307</v>
      </c>
      <c r="J33" s="19" t="n">
        <v>3</v>
      </c>
      <c r="K33" s="18" t="s">
        <v>308</v>
      </c>
      <c r="L33" s="18" t="s">
        <v>142</v>
      </c>
      <c r="M33" s="18" t="s">
        <v>232</v>
      </c>
      <c r="N33" s="20" t="str">
        <f aca="false">IFERROR(VLOOKUP(M33,'Packing Guide'!$A$60:$B$66,2,FALSE()),"")</f>
        <v>Rack 5 – Fragrance &amp; Puja items</v>
      </c>
      <c r="O33" s="18" t="s">
        <v>309</v>
      </c>
      <c r="P33" s="21" t="n">
        <v>200</v>
      </c>
      <c r="Q33" s="21" t="n">
        <v>400</v>
      </c>
      <c r="R33" s="18" t="s">
        <v>76</v>
      </c>
      <c r="S33" s="18"/>
    </row>
    <row r="34" customFormat="false" ht="54" hidden="false" customHeight="true" outlineLevel="0" collapsed="false">
      <c r="A34" s="22" t="s">
        <v>310</v>
      </c>
      <c r="B34" s="22" t="s">
        <v>311</v>
      </c>
      <c r="C34" s="23" t="s">
        <v>208</v>
      </c>
      <c r="D34" s="23" t="s">
        <v>66</v>
      </c>
      <c r="E34" s="23" t="s">
        <v>312</v>
      </c>
      <c r="F34" s="23" t="s">
        <v>68</v>
      </c>
      <c r="G34" s="23" t="s">
        <v>313</v>
      </c>
      <c r="H34" s="23" t="s">
        <v>314</v>
      </c>
      <c r="I34" s="23" t="s">
        <v>315</v>
      </c>
      <c r="J34" s="19" t="n">
        <v>1.5</v>
      </c>
      <c r="K34" s="23" t="s">
        <v>231</v>
      </c>
      <c r="L34" s="23" t="s">
        <v>142</v>
      </c>
      <c r="M34" s="23" t="s">
        <v>232</v>
      </c>
      <c r="N34" s="20" t="str">
        <f aca="false">IFERROR(VLOOKUP(M34,'Packing Guide'!$A$60:$B$66,2,FALSE()),"")</f>
        <v>Rack 5 – Fragrance &amp; Puja items</v>
      </c>
      <c r="O34" s="23" t="s">
        <v>316</v>
      </c>
      <c r="P34" s="21" t="n">
        <v>200</v>
      </c>
      <c r="Q34" s="21" t="n">
        <v>400</v>
      </c>
      <c r="R34" s="23" t="s">
        <v>76</v>
      </c>
      <c r="S34" s="23"/>
    </row>
    <row r="35" customFormat="false" ht="54" hidden="false" customHeight="true" outlineLevel="0" collapsed="false">
      <c r="A35" s="17" t="s">
        <v>317</v>
      </c>
      <c r="B35" s="17" t="s">
        <v>318</v>
      </c>
      <c r="C35" s="18" t="s">
        <v>208</v>
      </c>
      <c r="D35" s="18" t="s">
        <v>66</v>
      </c>
      <c r="E35" s="18" t="s">
        <v>319</v>
      </c>
      <c r="F35" s="18" t="s">
        <v>227</v>
      </c>
      <c r="G35" s="18" t="s">
        <v>228</v>
      </c>
      <c r="H35" s="18" t="s">
        <v>320</v>
      </c>
      <c r="I35" s="18" t="s">
        <v>315</v>
      </c>
      <c r="J35" s="19" t="n">
        <v>1.5</v>
      </c>
      <c r="K35" s="18" t="s">
        <v>321</v>
      </c>
      <c r="L35" s="18" t="s">
        <v>142</v>
      </c>
      <c r="M35" s="18" t="s">
        <v>232</v>
      </c>
      <c r="N35" s="20" t="str">
        <f aca="false">IFERROR(VLOOKUP(M35,'Packing Guide'!$A$60:$B$66,2,FALSE()),"")</f>
        <v>Rack 5 – Fragrance &amp; Puja items</v>
      </c>
      <c r="O35" s="18" t="s">
        <v>322</v>
      </c>
      <c r="P35" s="21" t="n">
        <v>150</v>
      </c>
      <c r="Q35" s="21" t="n">
        <v>300</v>
      </c>
      <c r="R35" s="18" t="s">
        <v>76</v>
      </c>
      <c r="S35" s="18"/>
    </row>
    <row r="36" customFormat="false" ht="54" hidden="false" customHeight="true" outlineLevel="0" collapsed="false">
      <c r="A36" s="22" t="s">
        <v>323</v>
      </c>
      <c r="B36" s="22" t="s">
        <v>324</v>
      </c>
      <c r="C36" s="23" t="s">
        <v>208</v>
      </c>
      <c r="D36" s="23" t="s">
        <v>66</v>
      </c>
      <c r="E36" s="23" t="s">
        <v>325</v>
      </c>
      <c r="F36" s="23" t="s">
        <v>94</v>
      </c>
      <c r="G36" s="23" t="s">
        <v>95</v>
      </c>
      <c r="H36" s="23" t="s">
        <v>326</v>
      </c>
      <c r="I36" s="23" t="s">
        <v>327</v>
      </c>
      <c r="J36" s="19" t="n">
        <v>1</v>
      </c>
      <c r="K36" s="23" t="s">
        <v>328</v>
      </c>
      <c r="L36" s="23" t="s">
        <v>99</v>
      </c>
      <c r="M36" s="23" t="s">
        <v>232</v>
      </c>
      <c r="N36" s="20" t="str">
        <f aca="false">IFERROR(VLOOKUP(M36,'Packing Guide'!$A$60:$B$66,2,FALSE()),"")</f>
        <v>Rack 5 – Fragrance &amp; Puja items</v>
      </c>
      <c r="O36" s="23" t="s">
        <v>329</v>
      </c>
      <c r="P36" s="21" t="n">
        <v>100</v>
      </c>
      <c r="Q36" s="21" t="n">
        <v>200</v>
      </c>
      <c r="R36" s="23" t="s">
        <v>76</v>
      </c>
      <c r="S36" s="23"/>
    </row>
    <row r="37" customFormat="false" ht="54" hidden="false" customHeight="true" outlineLevel="0" collapsed="false">
      <c r="A37" s="17" t="s">
        <v>330</v>
      </c>
      <c r="B37" s="17" t="s">
        <v>331</v>
      </c>
      <c r="C37" s="18" t="s">
        <v>332</v>
      </c>
      <c r="D37" s="18" t="s">
        <v>66</v>
      </c>
      <c r="E37" s="18" t="s">
        <v>333</v>
      </c>
      <c r="F37" s="18" t="s">
        <v>94</v>
      </c>
      <c r="G37" s="18" t="s">
        <v>95</v>
      </c>
      <c r="H37" s="18" t="s">
        <v>334</v>
      </c>
      <c r="I37" s="18" t="s">
        <v>335</v>
      </c>
      <c r="J37" s="19"/>
      <c r="K37" s="18" t="s">
        <v>334</v>
      </c>
      <c r="L37" s="18" t="s">
        <v>99</v>
      </c>
      <c r="M37" s="18" t="s">
        <v>336</v>
      </c>
      <c r="N37" s="20" t="str">
        <f aca="false">IFERROR(VLOOKUP(M37,'Packing Guide'!$A$60:$B$66,2,FALSE()),"")</f>
        <v>Rack 6 – Packing &amp; Serving Material</v>
      </c>
      <c r="O37" s="18" t="s">
        <v>337</v>
      </c>
      <c r="P37" s="21" t="n">
        <v>200</v>
      </c>
      <c r="Q37" s="21" t="n">
        <v>400</v>
      </c>
      <c r="R37" s="18" t="s">
        <v>76</v>
      </c>
      <c r="S37" s="18"/>
    </row>
    <row r="38" customFormat="false" ht="54" hidden="false" customHeight="true" outlineLevel="0" collapsed="false">
      <c r="A38" s="22" t="s">
        <v>338</v>
      </c>
      <c r="B38" s="22" t="s">
        <v>339</v>
      </c>
      <c r="C38" s="23" t="s">
        <v>332</v>
      </c>
      <c r="D38" s="23" t="s">
        <v>66</v>
      </c>
      <c r="E38" s="23" t="s">
        <v>340</v>
      </c>
      <c r="F38" s="23" t="s">
        <v>94</v>
      </c>
      <c r="G38" s="23" t="s">
        <v>95</v>
      </c>
      <c r="H38" s="23" t="s">
        <v>334</v>
      </c>
      <c r="I38" s="23" t="s">
        <v>341</v>
      </c>
      <c r="J38" s="19"/>
      <c r="K38" s="23" t="s">
        <v>334</v>
      </c>
      <c r="L38" s="23" t="s">
        <v>99</v>
      </c>
      <c r="M38" s="23" t="s">
        <v>336</v>
      </c>
      <c r="N38" s="20" t="str">
        <f aca="false">IFERROR(VLOOKUP(M38,'Packing Guide'!$A$60:$B$66,2,FALSE()),"")</f>
        <v>Rack 6 – Packing &amp; Serving Material</v>
      </c>
      <c r="O38" s="23" t="s">
        <v>342</v>
      </c>
      <c r="P38" s="21" t="n">
        <v>100</v>
      </c>
      <c r="Q38" s="21" t="n">
        <v>200</v>
      </c>
      <c r="R38" s="23" t="s">
        <v>76</v>
      </c>
      <c r="S38" s="23"/>
    </row>
    <row r="39" customFormat="false" ht="54" hidden="false" customHeight="true" outlineLevel="0" collapsed="false">
      <c r="A39" s="17" t="s">
        <v>343</v>
      </c>
      <c r="B39" s="17" t="s">
        <v>344</v>
      </c>
      <c r="C39" s="18" t="s">
        <v>332</v>
      </c>
      <c r="D39" s="18" t="s">
        <v>92</v>
      </c>
      <c r="E39" s="18" t="s">
        <v>345</v>
      </c>
      <c r="F39" s="18" t="s">
        <v>94</v>
      </c>
      <c r="G39" s="18" t="s">
        <v>95</v>
      </c>
      <c r="H39" s="18" t="s">
        <v>334</v>
      </c>
      <c r="I39" s="18" t="s">
        <v>346</v>
      </c>
      <c r="J39" s="19"/>
      <c r="K39" s="18" t="s">
        <v>334</v>
      </c>
      <c r="L39" s="18" t="s">
        <v>99</v>
      </c>
      <c r="M39" s="18" t="s">
        <v>336</v>
      </c>
      <c r="N39" s="20" t="str">
        <f aca="false">IFERROR(VLOOKUP(M39,'Packing Guide'!$A$60:$B$66,2,FALSE()),"")</f>
        <v>Rack 6 – Packing &amp; Serving Material</v>
      </c>
      <c r="O39" s="18" t="s">
        <v>342</v>
      </c>
      <c r="P39" s="21" t="n">
        <v>50</v>
      </c>
      <c r="Q39" s="21" t="n">
        <v>100</v>
      </c>
      <c r="R39" s="18" t="s">
        <v>76</v>
      </c>
      <c r="S39" s="18"/>
    </row>
    <row r="40" customFormat="false" ht="54" hidden="false" customHeight="true" outlineLevel="0" collapsed="false">
      <c r="A40" s="22" t="s">
        <v>347</v>
      </c>
      <c r="B40" s="22" t="s">
        <v>348</v>
      </c>
      <c r="C40" s="23" t="s">
        <v>349</v>
      </c>
      <c r="D40" s="23" t="s">
        <v>66</v>
      </c>
      <c r="E40" s="23" t="s">
        <v>350</v>
      </c>
      <c r="F40" s="23" t="s">
        <v>94</v>
      </c>
      <c r="G40" s="23" t="s">
        <v>95</v>
      </c>
      <c r="H40" s="23" t="s">
        <v>334</v>
      </c>
      <c r="I40" s="23" t="s">
        <v>351</v>
      </c>
      <c r="J40" s="19"/>
      <c r="K40" s="23" t="s">
        <v>334</v>
      </c>
      <c r="L40" s="23" t="s">
        <v>99</v>
      </c>
      <c r="M40" s="23" t="s">
        <v>336</v>
      </c>
      <c r="N40" s="20" t="str">
        <f aca="false">IFERROR(VLOOKUP(M40,'Packing Guide'!$A$60:$B$66,2,FALSE()),"")</f>
        <v>Rack 6 – Packing &amp; Serving Material</v>
      </c>
      <c r="O40" s="23" t="s">
        <v>352</v>
      </c>
      <c r="P40" s="21" t="n">
        <v>300</v>
      </c>
      <c r="Q40" s="21" t="n">
        <v>600</v>
      </c>
      <c r="R40" s="23" t="s">
        <v>76</v>
      </c>
      <c r="S40" s="23"/>
    </row>
    <row r="41" customFormat="false" ht="54" hidden="false" customHeight="true" outlineLevel="0" collapsed="false">
      <c r="A41" s="17" t="s">
        <v>353</v>
      </c>
      <c r="B41" s="17" t="s">
        <v>354</v>
      </c>
      <c r="C41" s="18" t="s">
        <v>349</v>
      </c>
      <c r="D41" s="18" t="s">
        <v>92</v>
      </c>
      <c r="E41" s="18" t="s">
        <v>355</v>
      </c>
      <c r="F41" s="18" t="s">
        <v>94</v>
      </c>
      <c r="G41" s="18" t="s">
        <v>95</v>
      </c>
      <c r="H41" s="18" t="s">
        <v>334</v>
      </c>
      <c r="I41" s="18" t="s">
        <v>351</v>
      </c>
      <c r="J41" s="19"/>
      <c r="K41" s="18" t="s">
        <v>334</v>
      </c>
      <c r="L41" s="18" t="s">
        <v>99</v>
      </c>
      <c r="M41" s="18" t="s">
        <v>336</v>
      </c>
      <c r="N41" s="20" t="str">
        <f aca="false">IFERROR(VLOOKUP(M41,'Packing Guide'!$A$60:$B$66,2,FALSE()),"")</f>
        <v>Rack 6 – Packing &amp; Serving Material</v>
      </c>
      <c r="O41" s="18" t="s">
        <v>356</v>
      </c>
      <c r="P41" s="21" t="n">
        <v>100</v>
      </c>
      <c r="Q41" s="21" t="n">
        <v>200</v>
      </c>
      <c r="R41" s="18" t="s">
        <v>76</v>
      </c>
      <c r="S41" s="18"/>
    </row>
    <row r="42" customFormat="false" ht="54" hidden="false" customHeight="true" outlineLevel="0" collapsed="false">
      <c r="A42" s="22" t="s">
        <v>357</v>
      </c>
      <c r="B42" s="22" t="s">
        <v>358</v>
      </c>
      <c r="C42" s="23" t="s">
        <v>349</v>
      </c>
      <c r="D42" s="23" t="s">
        <v>66</v>
      </c>
      <c r="E42" s="23" t="s">
        <v>359</v>
      </c>
      <c r="F42" s="23" t="s">
        <v>94</v>
      </c>
      <c r="G42" s="23" t="s">
        <v>95</v>
      </c>
      <c r="H42" s="23" t="s">
        <v>334</v>
      </c>
      <c r="I42" s="23" t="s">
        <v>360</v>
      </c>
      <c r="J42" s="19"/>
      <c r="K42" s="23" t="s">
        <v>334</v>
      </c>
      <c r="L42" s="23" t="s">
        <v>99</v>
      </c>
      <c r="M42" s="23" t="s">
        <v>336</v>
      </c>
      <c r="N42" s="20" t="str">
        <f aca="false">IFERROR(VLOOKUP(M42,'Packing Guide'!$A$60:$B$66,2,FALSE()),"")</f>
        <v>Rack 6 – Packing &amp; Serving Material</v>
      </c>
      <c r="O42" s="23" t="s">
        <v>361</v>
      </c>
      <c r="P42" s="21" t="n">
        <v>500</v>
      </c>
      <c r="Q42" s="21" t="n">
        <v>1000</v>
      </c>
      <c r="R42" s="23" t="s">
        <v>76</v>
      </c>
      <c r="S42" s="23"/>
    </row>
    <row r="43" customFormat="false" ht="54" hidden="false" customHeight="true" outlineLevel="0" collapsed="false">
      <c r="A43" s="17" t="s">
        <v>362</v>
      </c>
      <c r="B43" s="17" t="s">
        <v>363</v>
      </c>
      <c r="C43" s="18" t="s">
        <v>349</v>
      </c>
      <c r="D43" s="18" t="s">
        <v>66</v>
      </c>
      <c r="E43" s="18" t="s">
        <v>364</v>
      </c>
      <c r="F43" s="18" t="s">
        <v>94</v>
      </c>
      <c r="G43" s="18" t="s">
        <v>95</v>
      </c>
      <c r="H43" s="18" t="s">
        <v>334</v>
      </c>
      <c r="I43" s="18" t="s">
        <v>365</v>
      </c>
      <c r="J43" s="19"/>
      <c r="K43" s="18" t="s">
        <v>334</v>
      </c>
      <c r="L43" s="18" t="s">
        <v>99</v>
      </c>
      <c r="M43" s="18" t="s">
        <v>336</v>
      </c>
      <c r="N43" s="20" t="str">
        <f aca="false">IFERROR(VLOOKUP(M43,'Packing Guide'!$A$60:$B$66,2,FALSE()),"")</f>
        <v>Rack 6 – Packing &amp; Serving Material</v>
      </c>
      <c r="O43" s="18" t="s">
        <v>366</v>
      </c>
      <c r="P43" s="21" t="n">
        <v>100</v>
      </c>
      <c r="Q43" s="21" t="n">
        <v>200</v>
      </c>
      <c r="R43" s="18" t="s">
        <v>76</v>
      </c>
      <c r="S43" s="18"/>
    </row>
    <row r="44" customFormat="false" ht="54" hidden="false" customHeight="true" outlineLevel="0" collapsed="false">
      <c r="A44" s="22" t="s">
        <v>367</v>
      </c>
      <c r="B44" s="22" t="s">
        <v>368</v>
      </c>
      <c r="C44" s="23" t="s">
        <v>349</v>
      </c>
      <c r="D44" s="23" t="s">
        <v>66</v>
      </c>
      <c r="E44" s="23" t="s">
        <v>369</v>
      </c>
      <c r="F44" s="23" t="s">
        <v>94</v>
      </c>
      <c r="G44" s="23" t="s">
        <v>95</v>
      </c>
      <c r="H44" s="23" t="s">
        <v>334</v>
      </c>
      <c r="I44" s="23" t="s">
        <v>370</v>
      </c>
      <c r="J44" s="19"/>
      <c r="K44" s="23" t="s">
        <v>334</v>
      </c>
      <c r="L44" s="23" t="s">
        <v>99</v>
      </c>
      <c r="M44" s="23" t="s">
        <v>336</v>
      </c>
      <c r="N44" s="20" t="str">
        <f aca="false">IFERROR(VLOOKUP(M44,'Packing Guide'!$A$60:$B$66,2,FALSE()),"")</f>
        <v>Rack 6 – Packing &amp; Serving Material</v>
      </c>
      <c r="O44" s="23" t="s">
        <v>371</v>
      </c>
      <c r="P44" s="21" t="n">
        <v>100</v>
      </c>
      <c r="Q44" s="21" t="n">
        <v>200</v>
      </c>
      <c r="R44" s="23" t="s">
        <v>76</v>
      </c>
      <c r="S44" s="23"/>
    </row>
    <row r="45" customFormat="false" ht="54" hidden="false" customHeight="true" outlineLevel="0" collapsed="false">
      <c r="A45" s="17" t="s">
        <v>372</v>
      </c>
      <c r="B45" s="17" t="s">
        <v>373</v>
      </c>
      <c r="C45" s="18" t="s">
        <v>349</v>
      </c>
      <c r="D45" s="18" t="s">
        <v>66</v>
      </c>
      <c r="E45" s="18" t="s">
        <v>374</v>
      </c>
      <c r="F45" s="18" t="s">
        <v>94</v>
      </c>
      <c r="G45" s="18" t="s">
        <v>95</v>
      </c>
      <c r="H45" s="18" t="s">
        <v>334</v>
      </c>
      <c r="I45" s="18" t="s">
        <v>370</v>
      </c>
      <c r="J45" s="19"/>
      <c r="K45" s="18" t="s">
        <v>334</v>
      </c>
      <c r="L45" s="18" t="s">
        <v>99</v>
      </c>
      <c r="M45" s="18" t="s">
        <v>336</v>
      </c>
      <c r="N45" s="20" t="str">
        <f aca="false">IFERROR(VLOOKUP(M45,'Packing Guide'!$A$60:$B$66,2,FALSE()),"")</f>
        <v>Rack 6 – Packing &amp; Serving Material</v>
      </c>
      <c r="O45" s="18" t="s">
        <v>371</v>
      </c>
      <c r="P45" s="21" t="n">
        <v>100</v>
      </c>
      <c r="Q45" s="21" t="n">
        <v>200</v>
      </c>
      <c r="R45" s="18" t="s">
        <v>76</v>
      </c>
      <c r="S45" s="18"/>
    </row>
    <row r="46" customFormat="false" ht="54" hidden="false" customHeight="true" outlineLevel="0" collapsed="false">
      <c r="A46" s="22" t="s">
        <v>375</v>
      </c>
      <c r="B46" s="22" t="s">
        <v>376</v>
      </c>
      <c r="C46" s="23" t="s">
        <v>349</v>
      </c>
      <c r="D46" s="23" t="s">
        <v>92</v>
      </c>
      <c r="E46" s="23" t="s">
        <v>377</v>
      </c>
      <c r="F46" s="23" t="s">
        <v>94</v>
      </c>
      <c r="G46" s="23" t="s">
        <v>95</v>
      </c>
      <c r="H46" s="23" t="s">
        <v>334</v>
      </c>
      <c r="I46" s="23" t="s">
        <v>378</v>
      </c>
      <c r="J46" s="19"/>
      <c r="K46" s="23" t="s">
        <v>334</v>
      </c>
      <c r="L46" s="23" t="s">
        <v>99</v>
      </c>
      <c r="M46" s="23" t="s">
        <v>336</v>
      </c>
      <c r="N46" s="20" t="str">
        <f aca="false">IFERROR(VLOOKUP(M46,'Packing Guide'!$A$60:$B$66,2,FALSE()),"")</f>
        <v>Rack 6 – Packing &amp; Serving Material</v>
      </c>
      <c r="O46" s="23" t="s">
        <v>371</v>
      </c>
      <c r="P46" s="21" t="n">
        <v>50</v>
      </c>
      <c r="Q46" s="21" t="n">
        <v>100</v>
      </c>
      <c r="R46" s="23" t="s">
        <v>76</v>
      </c>
      <c r="S46" s="23"/>
    </row>
    <row r="47" customFormat="false" ht="54" hidden="false" customHeight="true" outlineLevel="0" collapsed="false">
      <c r="A47" s="17" t="s">
        <v>379</v>
      </c>
      <c r="B47" s="17" t="s">
        <v>380</v>
      </c>
      <c r="C47" s="18" t="s">
        <v>349</v>
      </c>
      <c r="D47" s="18" t="s">
        <v>66</v>
      </c>
      <c r="E47" s="18" t="s">
        <v>381</v>
      </c>
      <c r="F47" s="18" t="s">
        <v>94</v>
      </c>
      <c r="G47" s="18" t="s">
        <v>95</v>
      </c>
      <c r="H47" s="18" t="s">
        <v>334</v>
      </c>
      <c r="I47" s="18" t="s">
        <v>382</v>
      </c>
      <c r="J47" s="19"/>
      <c r="K47" s="18" t="s">
        <v>334</v>
      </c>
      <c r="L47" s="18" t="s">
        <v>383</v>
      </c>
      <c r="M47" s="18" t="s">
        <v>336</v>
      </c>
      <c r="N47" s="20" t="str">
        <f aca="false">IFERROR(VLOOKUP(M47,'Packing Guide'!$A$60:$B$66,2,FALSE()),"")</f>
        <v>Rack 6 – Packing &amp; Serving Material</v>
      </c>
      <c r="O47" s="18" t="s">
        <v>384</v>
      </c>
      <c r="P47" s="21" t="n">
        <v>500</v>
      </c>
      <c r="Q47" s="21" t="n">
        <v>1000</v>
      </c>
      <c r="R47" s="18" t="s">
        <v>76</v>
      </c>
      <c r="S47" s="18"/>
    </row>
    <row r="48" customFormat="false" ht="54" hidden="false" customHeight="true" outlineLevel="0" collapsed="false">
      <c r="A48" s="22" t="s">
        <v>385</v>
      </c>
      <c r="B48" s="22" t="s">
        <v>386</v>
      </c>
      <c r="C48" s="23" t="s">
        <v>387</v>
      </c>
      <c r="D48" s="23" t="s">
        <v>388</v>
      </c>
      <c r="E48" s="23" t="s">
        <v>389</v>
      </c>
      <c r="F48" s="23" t="s">
        <v>94</v>
      </c>
      <c r="G48" s="23" t="s">
        <v>95</v>
      </c>
      <c r="H48" s="23" t="s">
        <v>334</v>
      </c>
      <c r="I48" s="23" t="s">
        <v>390</v>
      </c>
      <c r="J48" s="19"/>
      <c r="K48" s="23" t="s">
        <v>334</v>
      </c>
      <c r="L48" s="23" t="s">
        <v>99</v>
      </c>
      <c r="M48" s="23" t="s">
        <v>336</v>
      </c>
      <c r="N48" s="20" t="str">
        <f aca="false">IFERROR(VLOOKUP(M48,'Packing Guide'!$A$60:$B$66,2,FALSE()),"")</f>
        <v>Rack 6 – Packing &amp; Serving Material</v>
      </c>
      <c r="O48" s="23" t="s">
        <v>391</v>
      </c>
      <c r="P48" s="21" t="n">
        <v>1000</v>
      </c>
      <c r="Q48" s="21" t="n">
        <v>3000</v>
      </c>
      <c r="R48" s="24" t="s">
        <v>392</v>
      </c>
      <c r="S48" s="23" t="s">
        <v>393</v>
      </c>
    </row>
    <row r="49" customFormat="false" ht="54" hidden="false" customHeight="true" outlineLevel="0" collapsed="false">
      <c r="A49" s="17" t="s">
        <v>394</v>
      </c>
      <c r="B49" s="17" t="s">
        <v>395</v>
      </c>
      <c r="C49" s="18" t="s">
        <v>387</v>
      </c>
      <c r="D49" s="18" t="s">
        <v>388</v>
      </c>
      <c r="E49" s="18" t="s">
        <v>396</v>
      </c>
      <c r="F49" s="18" t="s">
        <v>94</v>
      </c>
      <c r="G49" s="18" t="s">
        <v>95</v>
      </c>
      <c r="H49" s="18" t="s">
        <v>334</v>
      </c>
      <c r="I49" s="18" t="s">
        <v>397</v>
      </c>
      <c r="J49" s="19"/>
      <c r="K49" s="18" t="s">
        <v>334</v>
      </c>
      <c r="L49" s="18" t="s">
        <v>99</v>
      </c>
      <c r="M49" s="18" t="s">
        <v>336</v>
      </c>
      <c r="N49" s="20" t="str">
        <f aca="false">IFERROR(VLOOKUP(M49,'Packing Guide'!$A$60:$B$66,2,FALSE()),"")</f>
        <v>Rack 6 – Packing &amp; Serving Material</v>
      </c>
      <c r="O49" s="18"/>
      <c r="P49" s="21" t="n">
        <v>300</v>
      </c>
      <c r="Q49" s="21" t="n">
        <v>1000</v>
      </c>
      <c r="R49" s="25" t="s">
        <v>392</v>
      </c>
      <c r="S49" s="18"/>
    </row>
    <row r="50" customFormat="false" ht="54" hidden="false" customHeight="true" outlineLevel="0" collapsed="false">
      <c r="A50" s="22" t="s">
        <v>398</v>
      </c>
      <c r="B50" s="22" t="s">
        <v>399</v>
      </c>
      <c r="C50" s="23" t="s">
        <v>387</v>
      </c>
      <c r="D50" s="23" t="s">
        <v>388</v>
      </c>
      <c r="E50" s="23" t="s">
        <v>400</v>
      </c>
      <c r="F50" s="23" t="s">
        <v>94</v>
      </c>
      <c r="G50" s="23" t="s">
        <v>95</v>
      </c>
      <c r="H50" s="23" t="s">
        <v>334</v>
      </c>
      <c r="I50" s="23" t="s">
        <v>397</v>
      </c>
      <c r="J50" s="19"/>
      <c r="K50" s="23" t="s">
        <v>334</v>
      </c>
      <c r="L50" s="23" t="s">
        <v>99</v>
      </c>
      <c r="M50" s="23" t="s">
        <v>336</v>
      </c>
      <c r="N50" s="20" t="str">
        <f aca="false">IFERROR(VLOOKUP(M50,'Packing Guide'!$A$60:$B$66,2,FALSE()),"")</f>
        <v>Rack 6 – Packing &amp; Serving Material</v>
      </c>
      <c r="O50" s="23"/>
      <c r="P50" s="21" t="n">
        <v>300</v>
      </c>
      <c r="Q50" s="21" t="n">
        <v>1000</v>
      </c>
      <c r="R50" s="24" t="s">
        <v>392</v>
      </c>
      <c r="S50" s="23"/>
    </row>
    <row r="51" customFormat="false" ht="54" hidden="false" customHeight="true" outlineLevel="0" collapsed="false">
      <c r="A51" s="17" t="s">
        <v>401</v>
      </c>
      <c r="B51" s="17" t="s">
        <v>402</v>
      </c>
      <c r="C51" s="18" t="s">
        <v>387</v>
      </c>
      <c r="D51" s="18" t="s">
        <v>388</v>
      </c>
      <c r="E51" s="18" t="s">
        <v>403</v>
      </c>
      <c r="F51" s="18" t="s">
        <v>94</v>
      </c>
      <c r="G51" s="18" t="s">
        <v>95</v>
      </c>
      <c r="H51" s="18" t="s">
        <v>334</v>
      </c>
      <c r="I51" s="18" t="s">
        <v>404</v>
      </c>
      <c r="J51" s="19"/>
      <c r="K51" s="18" t="s">
        <v>334</v>
      </c>
      <c r="L51" s="18" t="s">
        <v>99</v>
      </c>
      <c r="M51" s="18" t="s">
        <v>336</v>
      </c>
      <c r="N51" s="20" t="str">
        <f aca="false">IFERROR(VLOOKUP(M51,'Packing Guide'!$A$60:$B$66,2,FALSE()),"")</f>
        <v>Rack 6 – Packing &amp; Serving Material</v>
      </c>
      <c r="O51" s="18"/>
      <c r="P51" s="21" t="n">
        <v>300</v>
      </c>
      <c r="Q51" s="21" t="n">
        <v>1000</v>
      </c>
      <c r="R51" s="25" t="s">
        <v>392</v>
      </c>
      <c r="S51" s="18" t="s">
        <v>405</v>
      </c>
    </row>
    <row r="52" customFormat="false" ht="54" hidden="false" customHeight="true" outlineLevel="0" collapsed="false">
      <c r="A52" s="22" t="s">
        <v>406</v>
      </c>
      <c r="B52" s="22" t="s">
        <v>407</v>
      </c>
      <c r="C52" s="23" t="s">
        <v>387</v>
      </c>
      <c r="D52" s="23" t="s">
        <v>388</v>
      </c>
      <c r="E52" s="23" t="s">
        <v>408</v>
      </c>
      <c r="F52" s="23" t="s">
        <v>94</v>
      </c>
      <c r="G52" s="23" t="s">
        <v>95</v>
      </c>
      <c r="H52" s="23" t="s">
        <v>334</v>
      </c>
      <c r="I52" s="23" t="s">
        <v>409</v>
      </c>
      <c r="J52" s="19"/>
      <c r="K52" s="23" t="s">
        <v>334</v>
      </c>
      <c r="L52" s="23" t="s">
        <v>99</v>
      </c>
      <c r="M52" s="23" t="s">
        <v>336</v>
      </c>
      <c r="N52" s="20" t="str">
        <f aca="false">IFERROR(VLOOKUP(M52,'Packing Guide'!$A$60:$B$66,2,FALSE()),"")</f>
        <v>Rack 6 – Packing &amp; Serving Material</v>
      </c>
      <c r="O52" s="23" t="s">
        <v>410</v>
      </c>
      <c r="P52" s="21" t="n">
        <v>200</v>
      </c>
      <c r="Q52" s="21" t="n">
        <v>500</v>
      </c>
      <c r="R52" s="24" t="s">
        <v>392</v>
      </c>
      <c r="S52" s="23" t="s">
        <v>411</v>
      </c>
    </row>
    <row r="53" customFormat="false" ht="54" hidden="false" customHeight="true" outlineLevel="0" collapsed="false">
      <c r="A53" s="17" t="s">
        <v>412</v>
      </c>
      <c r="B53" s="17" t="s">
        <v>413</v>
      </c>
      <c r="C53" s="18" t="s">
        <v>387</v>
      </c>
      <c r="D53" s="18" t="s">
        <v>388</v>
      </c>
      <c r="E53" s="18" t="s">
        <v>414</v>
      </c>
      <c r="F53" s="18" t="s">
        <v>415</v>
      </c>
      <c r="G53" s="18" t="s">
        <v>95</v>
      </c>
      <c r="H53" s="18" t="s">
        <v>334</v>
      </c>
      <c r="I53" s="18" t="s">
        <v>416</v>
      </c>
      <c r="J53" s="19"/>
      <c r="K53" s="18" t="s">
        <v>334</v>
      </c>
      <c r="L53" s="18" t="s">
        <v>99</v>
      </c>
      <c r="M53" s="18" t="s">
        <v>336</v>
      </c>
      <c r="N53" s="20" t="str">
        <f aca="false">IFERROR(VLOOKUP(M53,'Packing Guide'!$A$60:$B$66,2,FALSE()),"")</f>
        <v>Rack 6 – Packing &amp; Serving Material</v>
      </c>
      <c r="O53" s="18"/>
      <c r="P53" s="21" t="n">
        <v>1000</v>
      </c>
      <c r="Q53" s="21" t="n">
        <v>3000</v>
      </c>
      <c r="R53" s="25" t="s">
        <v>392</v>
      </c>
      <c r="S53" s="18"/>
    </row>
    <row r="54" customFormat="false" ht="54" hidden="false" customHeight="true" outlineLevel="0" collapsed="false">
      <c r="A54" s="22" t="s">
        <v>417</v>
      </c>
      <c r="B54" s="22" t="s">
        <v>418</v>
      </c>
      <c r="C54" s="23" t="s">
        <v>387</v>
      </c>
      <c r="D54" s="23" t="s">
        <v>388</v>
      </c>
      <c r="E54" s="23" t="s">
        <v>419</v>
      </c>
      <c r="F54" s="23" t="s">
        <v>94</v>
      </c>
      <c r="G54" s="23" t="s">
        <v>95</v>
      </c>
      <c r="H54" s="23" t="s">
        <v>334</v>
      </c>
      <c r="I54" s="23" t="s">
        <v>420</v>
      </c>
      <c r="J54" s="19"/>
      <c r="K54" s="23" t="s">
        <v>334</v>
      </c>
      <c r="L54" s="23" t="s">
        <v>99</v>
      </c>
      <c r="M54" s="23" t="s">
        <v>336</v>
      </c>
      <c r="N54" s="20" t="str">
        <f aca="false">IFERROR(VLOOKUP(M54,'Packing Guide'!$A$60:$B$66,2,FALSE()),"")</f>
        <v>Rack 6 – Packing &amp; Serving Material</v>
      </c>
      <c r="O54" s="23"/>
      <c r="P54" s="21" t="n">
        <v>500</v>
      </c>
      <c r="Q54" s="21" t="n">
        <v>1500</v>
      </c>
      <c r="R54" s="24" t="s">
        <v>392</v>
      </c>
      <c r="S54" s="23"/>
    </row>
    <row r="55" customFormat="false" ht="54" hidden="false" customHeight="true" outlineLevel="0" collapsed="false">
      <c r="A55" s="17" t="s">
        <v>421</v>
      </c>
      <c r="B55" s="17" t="s">
        <v>422</v>
      </c>
      <c r="C55" s="18" t="s">
        <v>387</v>
      </c>
      <c r="D55" s="18" t="s">
        <v>388</v>
      </c>
      <c r="E55" s="18" t="s">
        <v>423</v>
      </c>
      <c r="F55" s="18" t="s">
        <v>424</v>
      </c>
      <c r="G55" s="18" t="s">
        <v>95</v>
      </c>
      <c r="H55" s="18" t="s">
        <v>334</v>
      </c>
      <c r="I55" s="18" t="s">
        <v>425</v>
      </c>
      <c r="J55" s="19"/>
      <c r="K55" s="18" t="s">
        <v>334</v>
      </c>
      <c r="L55" s="18" t="s">
        <v>99</v>
      </c>
      <c r="M55" s="18" t="s">
        <v>336</v>
      </c>
      <c r="N55" s="20" t="str">
        <f aca="false">IFERROR(VLOOKUP(M55,'Packing Guide'!$A$60:$B$66,2,FALSE()),"")</f>
        <v>Rack 6 – Packing &amp; Serving Material</v>
      </c>
      <c r="O55" s="18"/>
      <c r="P55" s="21" t="n">
        <v>20</v>
      </c>
      <c r="Q55" s="21" t="n">
        <v>50</v>
      </c>
      <c r="R55" s="25" t="s">
        <v>392</v>
      </c>
      <c r="S55" s="18"/>
    </row>
    <row r="56" customFormat="false" ht="54" hidden="false" customHeight="true" outlineLevel="0" collapsed="false">
      <c r="A56" s="22" t="s">
        <v>426</v>
      </c>
      <c r="B56" s="22" t="s">
        <v>427</v>
      </c>
      <c r="C56" s="23" t="s">
        <v>428</v>
      </c>
      <c r="D56" s="23" t="s">
        <v>66</v>
      </c>
      <c r="E56" s="23" t="s">
        <v>429</v>
      </c>
      <c r="F56" s="23" t="s">
        <v>94</v>
      </c>
      <c r="G56" s="23" t="s">
        <v>95</v>
      </c>
      <c r="H56" s="23" t="s">
        <v>430</v>
      </c>
      <c r="I56" s="23" t="s">
        <v>431</v>
      </c>
      <c r="J56" s="19"/>
      <c r="K56" s="23" t="s">
        <v>432</v>
      </c>
      <c r="L56" s="23" t="s">
        <v>433</v>
      </c>
      <c r="M56" s="23" t="s">
        <v>111</v>
      </c>
      <c r="N56" s="20" t="str">
        <f aca="false">IFERROR(VLOOKUP(M56,'Packing Guide'!$A$60:$B$66,2,FALSE()),"")</f>
        <v>Rack 4 – Books, Cards &amp; Paper</v>
      </c>
      <c r="O56" s="23" t="s">
        <v>434</v>
      </c>
      <c r="P56" s="21" t="n">
        <v>100</v>
      </c>
      <c r="Q56" s="21" t="n">
        <v>300</v>
      </c>
      <c r="R56" s="24" t="s">
        <v>392</v>
      </c>
      <c r="S56" s="23" t="s">
        <v>435</v>
      </c>
    </row>
    <row r="57" customFormat="false" ht="54" hidden="false" customHeight="true" outlineLevel="0" collapsed="false">
      <c r="A57" s="17" t="s">
        <v>436</v>
      </c>
      <c r="B57" s="17" t="s">
        <v>437</v>
      </c>
      <c r="C57" s="18" t="s">
        <v>428</v>
      </c>
      <c r="D57" s="18" t="s">
        <v>66</v>
      </c>
      <c r="E57" s="18" t="s">
        <v>438</v>
      </c>
      <c r="F57" s="18" t="s">
        <v>94</v>
      </c>
      <c r="G57" s="18" t="s">
        <v>95</v>
      </c>
      <c r="H57" s="18" t="s">
        <v>439</v>
      </c>
      <c r="I57" s="18" t="s">
        <v>440</v>
      </c>
      <c r="J57" s="19"/>
      <c r="K57" s="18" t="s">
        <v>441</v>
      </c>
      <c r="L57" s="18" t="s">
        <v>99</v>
      </c>
      <c r="M57" s="18" t="s">
        <v>111</v>
      </c>
      <c r="N57" s="20" t="str">
        <f aca="false">IFERROR(VLOOKUP(M57,'Packing Guide'!$A$60:$B$66,2,FALSE()),"")</f>
        <v>Rack 4 – Books, Cards &amp; Paper</v>
      </c>
      <c r="O57" s="18"/>
      <c r="P57" s="21" t="n">
        <v>300</v>
      </c>
      <c r="Q57" s="21" t="n">
        <v>600</v>
      </c>
      <c r="R57" s="25" t="s">
        <v>392</v>
      </c>
      <c r="S57" s="18" t="s">
        <v>442</v>
      </c>
    </row>
    <row r="58" customFormat="false" ht="54" hidden="false" customHeight="true" outlineLevel="0" collapsed="false">
      <c r="A58" s="22" t="s">
        <v>443</v>
      </c>
      <c r="B58" s="22" t="s">
        <v>444</v>
      </c>
      <c r="C58" s="23" t="s">
        <v>428</v>
      </c>
      <c r="D58" s="23" t="s">
        <v>66</v>
      </c>
      <c r="E58" s="23" t="s">
        <v>445</v>
      </c>
      <c r="F58" s="23" t="s">
        <v>94</v>
      </c>
      <c r="G58" s="23" t="s">
        <v>95</v>
      </c>
      <c r="H58" s="23" t="s">
        <v>446</v>
      </c>
      <c r="I58" s="23" t="s">
        <v>447</v>
      </c>
      <c r="J58" s="19"/>
      <c r="K58" s="23" t="s">
        <v>448</v>
      </c>
      <c r="L58" s="23" t="s">
        <v>99</v>
      </c>
      <c r="M58" s="23" t="s">
        <v>232</v>
      </c>
      <c r="N58" s="20" t="str">
        <f aca="false">IFERROR(VLOOKUP(M58,'Packing Guide'!$A$60:$B$66,2,FALSE()),"")</f>
        <v>Rack 5 – Fragrance &amp; Puja items</v>
      </c>
      <c r="O58" s="23" t="s">
        <v>322</v>
      </c>
      <c r="P58" s="21" t="n">
        <v>100</v>
      </c>
      <c r="Q58" s="21" t="n">
        <v>200</v>
      </c>
      <c r="R58" s="24" t="s">
        <v>392</v>
      </c>
      <c r="S58" s="23"/>
    </row>
    <row r="59" customFormat="false" ht="54" hidden="false" customHeight="true" outlineLevel="0" collapsed="false">
      <c r="A59" s="17" t="s">
        <v>449</v>
      </c>
      <c r="B59" s="17" t="s">
        <v>450</v>
      </c>
      <c r="C59" s="18" t="s">
        <v>428</v>
      </c>
      <c r="D59" s="18" t="s">
        <v>66</v>
      </c>
      <c r="E59" s="18" t="s">
        <v>451</v>
      </c>
      <c r="F59" s="18" t="s">
        <v>94</v>
      </c>
      <c r="G59" s="18" t="s">
        <v>452</v>
      </c>
      <c r="H59" s="18" t="s">
        <v>453</v>
      </c>
      <c r="I59" s="18" t="s">
        <v>447</v>
      </c>
      <c r="J59" s="19"/>
      <c r="K59" s="18" t="s">
        <v>454</v>
      </c>
      <c r="L59" s="18" t="s">
        <v>99</v>
      </c>
      <c r="M59" s="18" t="s">
        <v>74</v>
      </c>
      <c r="N59" s="20" t="str">
        <f aca="false">IFERROR(VLOOKUP(M59,'Packing Guide'!$A$60:$B$66,2,FALSE()),"")</f>
        <v>Rack 1 – Prasadam &amp; Edibles</v>
      </c>
      <c r="O59" s="18"/>
      <c r="P59" s="21" t="n">
        <v>100</v>
      </c>
      <c r="Q59" s="21" t="n">
        <v>200</v>
      </c>
      <c r="R59" s="25" t="s">
        <v>392</v>
      </c>
      <c r="S59" s="18"/>
    </row>
    <row r="60" customFormat="false" ht="54" hidden="false" customHeight="true" outlineLevel="0" collapsed="false">
      <c r="A60" s="22" t="s">
        <v>455</v>
      </c>
      <c r="B60" s="22" t="s">
        <v>456</v>
      </c>
      <c r="C60" s="23" t="s">
        <v>428</v>
      </c>
      <c r="D60" s="23" t="s">
        <v>66</v>
      </c>
      <c r="E60" s="23" t="s">
        <v>457</v>
      </c>
      <c r="F60" s="23" t="s">
        <v>227</v>
      </c>
      <c r="G60" s="23" t="s">
        <v>458</v>
      </c>
      <c r="H60" s="23" t="s">
        <v>459</v>
      </c>
      <c r="I60" s="23" t="s">
        <v>460</v>
      </c>
      <c r="J60" s="19"/>
      <c r="K60" s="23" t="s">
        <v>461</v>
      </c>
      <c r="L60" s="23" t="s">
        <v>85</v>
      </c>
      <c r="M60" s="23" t="s">
        <v>232</v>
      </c>
      <c r="N60" s="20" t="str">
        <f aca="false">IFERROR(VLOOKUP(M60,'Packing Guide'!$A$60:$B$66,2,FALSE()),"")</f>
        <v>Rack 5 – Fragrance &amp; Puja items</v>
      </c>
      <c r="O60" s="23" t="s">
        <v>462</v>
      </c>
      <c r="P60" s="21" t="n">
        <v>100</v>
      </c>
      <c r="Q60" s="21" t="n">
        <v>300</v>
      </c>
      <c r="R60" s="24" t="s">
        <v>392</v>
      </c>
      <c r="S60" s="23" t="s">
        <v>463</v>
      </c>
    </row>
    <row r="61" customFormat="false" ht="54" hidden="false" customHeight="true" outlineLevel="0" collapsed="false">
      <c r="A61" s="17" t="s">
        <v>464</v>
      </c>
      <c r="B61" s="17" t="s">
        <v>465</v>
      </c>
      <c r="C61" s="18" t="s">
        <v>428</v>
      </c>
      <c r="D61" s="18" t="s">
        <v>66</v>
      </c>
      <c r="E61" s="18" t="s">
        <v>466</v>
      </c>
      <c r="F61" s="18" t="s">
        <v>227</v>
      </c>
      <c r="G61" s="18" t="s">
        <v>467</v>
      </c>
      <c r="H61" s="18" t="s">
        <v>468</v>
      </c>
      <c r="I61" s="18" t="s">
        <v>469</v>
      </c>
      <c r="J61" s="19"/>
      <c r="K61" s="18" t="s">
        <v>470</v>
      </c>
      <c r="L61" s="18" t="s">
        <v>471</v>
      </c>
      <c r="M61" s="18" t="s">
        <v>74</v>
      </c>
      <c r="N61" s="20" t="str">
        <f aca="false">IFERROR(VLOOKUP(M61,'Packing Guide'!$A$60:$B$66,2,FALSE()),"")</f>
        <v>Rack 1 – Prasadam &amp; Edibles</v>
      </c>
      <c r="O61" s="18" t="s">
        <v>472</v>
      </c>
      <c r="P61" s="21" t="n">
        <v>50</v>
      </c>
      <c r="Q61" s="21" t="n">
        <v>150</v>
      </c>
      <c r="R61" s="25" t="s">
        <v>392</v>
      </c>
      <c r="S61" s="18" t="s">
        <v>473</v>
      </c>
    </row>
    <row r="62" customFormat="false" ht="54" hidden="false" customHeight="true" outlineLevel="0" collapsed="false">
      <c r="A62" s="22" t="s">
        <v>474</v>
      </c>
      <c r="B62" s="22" t="s">
        <v>475</v>
      </c>
      <c r="C62" s="23" t="s">
        <v>428</v>
      </c>
      <c r="D62" s="23" t="s">
        <v>92</v>
      </c>
      <c r="E62" s="23" t="s">
        <v>476</v>
      </c>
      <c r="F62" s="23" t="s">
        <v>274</v>
      </c>
      <c r="G62" s="23" t="s">
        <v>95</v>
      </c>
      <c r="H62" s="23" t="s">
        <v>477</v>
      </c>
      <c r="I62" s="23" t="s">
        <v>478</v>
      </c>
      <c r="J62" s="19"/>
      <c r="K62" s="23" t="s">
        <v>334</v>
      </c>
      <c r="L62" s="23" t="s">
        <v>99</v>
      </c>
      <c r="M62" s="23" t="s">
        <v>111</v>
      </c>
      <c r="N62" s="20" t="str">
        <f aca="false">IFERROR(VLOOKUP(M62,'Packing Guide'!$A$60:$B$66,2,FALSE()),"")</f>
        <v>Rack 4 – Books, Cards &amp; Paper</v>
      </c>
      <c r="O62" s="23"/>
      <c r="P62" s="21" t="n">
        <v>200</v>
      </c>
      <c r="Q62" s="21" t="n">
        <v>500</v>
      </c>
      <c r="R62" s="24" t="s">
        <v>392</v>
      </c>
      <c r="S62" s="23" t="s">
        <v>479</v>
      </c>
    </row>
    <row r="63" customFormat="false" ht="54" hidden="false" customHeight="true" outlineLevel="0" collapsed="false">
      <c r="A63" s="17" t="s">
        <v>480</v>
      </c>
      <c r="B63" s="17" t="s">
        <v>481</v>
      </c>
      <c r="C63" s="18" t="s">
        <v>428</v>
      </c>
      <c r="D63" s="18" t="s">
        <v>482</v>
      </c>
      <c r="E63" s="18" t="s">
        <v>483</v>
      </c>
      <c r="F63" s="18" t="s">
        <v>274</v>
      </c>
      <c r="G63" s="18" t="s">
        <v>95</v>
      </c>
      <c r="H63" s="18" t="s">
        <v>484</v>
      </c>
      <c r="I63" s="18" t="s">
        <v>485</v>
      </c>
      <c r="J63" s="19"/>
      <c r="K63" s="18" t="s">
        <v>334</v>
      </c>
      <c r="L63" s="18" t="s">
        <v>99</v>
      </c>
      <c r="M63" s="18" t="s">
        <v>336</v>
      </c>
      <c r="N63" s="20" t="str">
        <f aca="false">IFERROR(VLOOKUP(M63,'Packing Guide'!$A$60:$B$66,2,FALSE()),"")</f>
        <v>Rack 6 – Packing &amp; Serving Material</v>
      </c>
      <c r="O63" s="18"/>
      <c r="P63" s="21" t="n">
        <v>100</v>
      </c>
      <c r="Q63" s="21" t="n">
        <v>300</v>
      </c>
      <c r="R63" s="25" t="s">
        <v>392</v>
      </c>
      <c r="S63" s="18" t="s">
        <v>486</v>
      </c>
    </row>
    <row r="65" customFormat="false" ht="15" hidden="false" customHeight="false" outlineLevel="0" collapsed="false">
      <c r="A65" s="26" t="s">
        <v>487</v>
      </c>
    </row>
  </sheetData>
  <autoFilter ref="A4:S63"/>
  <mergeCells count="2">
    <mergeCell ref="A1:S1"/>
    <mergeCell ref="A2:S2"/>
  </mergeCells>
  <dataValidations count="3">
    <dataValidation allowBlank="true" errorStyle="stop" operator="between" showDropDown="false" showErrorMessage="false" showInputMessage="false" sqref="D5:D63" type="list">
      <formula1>"Donors,Yatris,Both,Internal"</formula1>
      <formula2>0</formula2>
    </dataValidation>
    <dataValidation allowBlank="true" errorStyle="stop" operator="between" showDropDown="false" showErrorMessage="false" showInputMessage="false" sqref="M5:M63" type="list">
      <formula1>"R1,R2,R3,R4,R5,R6,LK"</formula1>
      <formula2>0</formula2>
    </dataValidation>
    <dataValidation allowBlank="true" errorStyle="stop" operator="between" showDropDown="false" showErrorMessage="false" showInputMessage="false" sqref="R5:R63" type="list">
      <formula1>"Existing,Suggested,Discontinued"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38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488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489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490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16" t="s">
        <v>491</v>
      </c>
      <c r="B5" s="16" t="s">
        <v>492</v>
      </c>
      <c r="C5" s="16" t="s">
        <v>493</v>
      </c>
      <c r="D5" s="16" t="s">
        <v>494</v>
      </c>
      <c r="E5" s="16" t="s">
        <v>495</v>
      </c>
      <c r="F5" s="16" t="s">
        <v>496</v>
      </c>
    </row>
    <row r="6" customFormat="false" ht="43.5" hidden="false" customHeight="true" outlineLevel="0" collapsed="false">
      <c r="A6" s="27" t="s">
        <v>497</v>
      </c>
      <c r="B6" s="28" t="s">
        <v>498</v>
      </c>
      <c r="C6" s="28" t="s">
        <v>499</v>
      </c>
      <c r="D6" s="28" t="s">
        <v>500</v>
      </c>
      <c r="E6" s="28" t="s">
        <v>501</v>
      </c>
      <c r="F6" s="27" t="s">
        <v>502</v>
      </c>
    </row>
    <row r="7" customFormat="false" ht="43.5" hidden="false" customHeight="true" outlineLevel="0" collapsed="false">
      <c r="A7" s="27" t="s">
        <v>503</v>
      </c>
      <c r="B7" s="28" t="s">
        <v>504</v>
      </c>
      <c r="C7" s="28" t="s">
        <v>505</v>
      </c>
      <c r="D7" s="28" t="s">
        <v>506</v>
      </c>
      <c r="E7" s="28" t="s">
        <v>507</v>
      </c>
      <c r="F7" s="27" t="s">
        <v>508</v>
      </c>
    </row>
    <row r="8" customFormat="false" ht="43.5" hidden="false" customHeight="true" outlineLevel="0" collapsed="false">
      <c r="A8" s="27" t="s">
        <v>509</v>
      </c>
      <c r="B8" s="28" t="s">
        <v>510</v>
      </c>
      <c r="C8" s="28" t="s">
        <v>511</v>
      </c>
      <c r="D8" s="28" t="s">
        <v>512</v>
      </c>
      <c r="E8" s="28" t="s">
        <v>513</v>
      </c>
      <c r="F8" s="27" t="s">
        <v>514</v>
      </c>
    </row>
    <row r="9" customFormat="false" ht="43.5" hidden="false" customHeight="true" outlineLevel="0" collapsed="false">
      <c r="A9" s="27" t="s">
        <v>515</v>
      </c>
      <c r="B9" s="28" t="s">
        <v>516</v>
      </c>
      <c r="C9" s="28" t="s">
        <v>517</v>
      </c>
      <c r="D9" s="28" t="s">
        <v>518</v>
      </c>
      <c r="E9" s="28" t="s">
        <v>519</v>
      </c>
      <c r="F9" s="27" t="s">
        <v>520</v>
      </c>
    </row>
    <row r="10" customFormat="false" ht="43.5" hidden="false" customHeight="true" outlineLevel="0" collapsed="false">
      <c r="A10" s="22" t="s">
        <v>521</v>
      </c>
      <c r="B10" s="23" t="s">
        <v>206</v>
      </c>
      <c r="C10" s="23" t="s">
        <v>522</v>
      </c>
      <c r="D10" s="23" t="s">
        <v>523</v>
      </c>
      <c r="E10" s="23" t="s">
        <v>524</v>
      </c>
      <c r="F10" s="22" t="s">
        <v>525</v>
      </c>
    </row>
    <row r="11" customFormat="false" ht="43.5" hidden="false" customHeight="true" outlineLevel="0" collapsed="false">
      <c r="A11" s="27" t="s">
        <v>526</v>
      </c>
      <c r="B11" s="28" t="s">
        <v>527</v>
      </c>
      <c r="C11" s="28" t="s">
        <v>528</v>
      </c>
      <c r="D11" s="28" t="s">
        <v>529</v>
      </c>
      <c r="E11" s="28" t="s">
        <v>530</v>
      </c>
      <c r="F11" s="27" t="s">
        <v>531</v>
      </c>
    </row>
    <row r="12" customFormat="false" ht="43.5" hidden="false" customHeight="true" outlineLevel="0" collapsed="false">
      <c r="A12" s="22" t="s">
        <v>532</v>
      </c>
      <c r="B12" s="23" t="s">
        <v>533</v>
      </c>
      <c r="C12" s="23" t="s">
        <v>534</v>
      </c>
      <c r="D12" s="23" t="s">
        <v>535</v>
      </c>
      <c r="E12" s="23" t="s">
        <v>536</v>
      </c>
      <c r="F12" s="22" t="s">
        <v>537</v>
      </c>
    </row>
    <row r="13" customFormat="false" ht="43.5" hidden="false" customHeight="true" outlineLevel="0" collapsed="false">
      <c r="A13" s="22" t="s">
        <v>538</v>
      </c>
      <c r="B13" s="23" t="s">
        <v>539</v>
      </c>
      <c r="C13" s="23" t="s">
        <v>540</v>
      </c>
      <c r="D13" s="23" t="s">
        <v>541</v>
      </c>
      <c r="E13" s="23" t="s">
        <v>542</v>
      </c>
      <c r="F13" s="22" t="s">
        <v>543</v>
      </c>
    </row>
    <row r="14" customFormat="false" ht="43.5" hidden="false" customHeight="true" outlineLevel="0" collapsed="false">
      <c r="A14" s="22" t="s">
        <v>544</v>
      </c>
      <c r="B14" s="23" t="s">
        <v>545</v>
      </c>
      <c r="C14" s="23" t="s">
        <v>546</v>
      </c>
      <c r="D14" s="23" t="s">
        <v>547</v>
      </c>
      <c r="E14" s="23" t="s">
        <v>548</v>
      </c>
      <c r="F14" s="22" t="s">
        <v>549</v>
      </c>
    </row>
    <row r="15" customFormat="false" ht="43.5" hidden="false" customHeight="true" outlineLevel="0" collapsed="false">
      <c r="A15" s="22" t="s">
        <v>550</v>
      </c>
      <c r="B15" s="23" t="s">
        <v>551</v>
      </c>
      <c r="C15" s="23" t="s">
        <v>552</v>
      </c>
      <c r="D15" s="23" t="s">
        <v>553</v>
      </c>
      <c r="E15" s="23" t="s">
        <v>554</v>
      </c>
      <c r="F15" s="22" t="s">
        <v>555</v>
      </c>
    </row>
    <row r="16" customFormat="false" ht="43.5" hidden="false" customHeight="true" outlineLevel="0" collapsed="false">
      <c r="A16" s="22" t="s">
        <v>556</v>
      </c>
      <c r="B16" s="23" t="s">
        <v>557</v>
      </c>
      <c r="C16" s="23" t="s">
        <v>558</v>
      </c>
      <c r="D16" s="23" t="s">
        <v>559</v>
      </c>
      <c r="E16" s="23" t="s">
        <v>560</v>
      </c>
      <c r="F16" s="22" t="s">
        <v>561</v>
      </c>
    </row>
    <row r="17" customFormat="false" ht="43.5" hidden="false" customHeight="true" outlineLevel="0" collapsed="false">
      <c r="A17" s="27" t="s">
        <v>562</v>
      </c>
      <c r="B17" s="28" t="s">
        <v>563</v>
      </c>
      <c r="C17" s="28" t="s">
        <v>564</v>
      </c>
      <c r="D17" s="28" t="s">
        <v>565</v>
      </c>
      <c r="E17" s="28" t="s">
        <v>566</v>
      </c>
      <c r="F17" s="27" t="s">
        <v>567</v>
      </c>
    </row>
    <row r="18" customFormat="false" ht="15" hidden="false" customHeight="false" outlineLevel="0" collapsed="false">
      <c r="A18" s="29" t="s">
        <v>568</v>
      </c>
    </row>
    <row r="20" customFormat="false" ht="21.75" hidden="false" customHeight="true" outlineLevel="0" collapsed="false">
      <c r="A20" s="3" t="s">
        <v>569</v>
      </c>
      <c r="B20" s="3"/>
      <c r="C20" s="3"/>
      <c r="D20" s="3"/>
      <c r="E20" s="3"/>
      <c r="F20" s="3"/>
    </row>
    <row r="21" customFormat="false" ht="21.75" hidden="false" customHeight="true" outlineLevel="0" collapsed="false">
      <c r="A21" s="4" t="s">
        <v>570</v>
      </c>
      <c r="B21" s="4"/>
      <c r="C21" s="4"/>
      <c r="D21" s="4"/>
      <c r="E21" s="4"/>
      <c r="F21" s="4"/>
    </row>
    <row r="22" customFormat="false" ht="21.75" hidden="false" customHeight="true" outlineLevel="0" collapsed="false">
      <c r="A22" s="4" t="s">
        <v>571</v>
      </c>
      <c r="B22" s="4"/>
      <c r="C22" s="4"/>
      <c r="D22" s="4"/>
      <c r="E22" s="4"/>
      <c r="F22" s="4"/>
    </row>
    <row r="23" customFormat="false" ht="21.75" hidden="false" customHeight="true" outlineLevel="0" collapsed="false">
      <c r="A23" s="4" t="s">
        <v>572</v>
      </c>
      <c r="B23" s="4"/>
      <c r="C23" s="4"/>
      <c r="D23" s="4"/>
      <c r="E23" s="4"/>
      <c r="F23" s="4"/>
    </row>
    <row r="24" customFormat="false" ht="21.75" hidden="false" customHeight="true" outlineLevel="0" collapsed="false">
      <c r="A24" s="4" t="s">
        <v>573</v>
      </c>
      <c r="B24" s="4"/>
      <c r="C24" s="4"/>
      <c r="D24" s="4"/>
      <c r="E24" s="4"/>
      <c r="F24" s="4"/>
    </row>
    <row r="25" customFormat="false" ht="21.75" hidden="false" customHeight="true" outlineLevel="0" collapsed="false">
      <c r="A25" s="4" t="s">
        <v>574</v>
      </c>
      <c r="B25" s="4"/>
      <c r="C25" s="4"/>
      <c r="D25" s="4"/>
      <c r="E25" s="4"/>
      <c r="F25" s="4"/>
    </row>
    <row r="26" customFormat="false" ht="21.75" hidden="false" customHeight="true" outlineLevel="0" collapsed="false">
      <c r="A26" s="4" t="s">
        <v>575</v>
      </c>
      <c r="B26" s="4"/>
      <c r="C26" s="4"/>
      <c r="D26" s="4"/>
      <c r="E26" s="4"/>
      <c r="F26" s="4"/>
    </row>
    <row r="27" customFormat="false" ht="21.75" hidden="false" customHeight="true" outlineLevel="0" collapsed="false">
      <c r="A27" s="4" t="s">
        <v>576</v>
      </c>
      <c r="B27" s="4"/>
      <c r="C27" s="4"/>
      <c r="D27" s="4"/>
      <c r="E27" s="4"/>
      <c r="F27" s="4"/>
    </row>
    <row r="29" customFormat="false" ht="21.75" hidden="false" customHeight="true" outlineLevel="0" collapsed="false">
      <c r="A29" s="3" t="s">
        <v>577</v>
      </c>
      <c r="B29" s="3"/>
      <c r="C29" s="3"/>
      <c r="D29" s="3"/>
      <c r="E29" s="3"/>
      <c r="F29" s="3"/>
    </row>
    <row r="30" customFormat="false" ht="21.75" hidden="false" customHeight="true" outlineLevel="0" collapsed="false">
      <c r="A30" s="4" t="s">
        <v>578</v>
      </c>
      <c r="B30" s="4"/>
      <c r="C30" s="4"/>
      <c r="D30" s="4"/>
      <c r="E30" s="4"/>
      <c r="F30" s="4"/>
    </row>
    <row r="31" customFormat="false" ht="21.75" hidden="false" customHeight="true" outlineLevel="0" collapsed="false">
      <c r="A31" s="4" t="s">
        <v>579</v>
      </c>
      <c r="B31" s="4"/>
      <c r="C31" s="4"/>
      <c r="D31" s="4"/>
      <c r="E31" s="4"/>
      <c r="F31" s="4"/>
    </row>
    <row r="32" customFormat="false" ht="21.75" hidden="false" customHeight="true" outlineLevel="0" collapsed="false">
      <c r="A32" s="4" t="s">
        <v>580</v>
      </c>
      <c r="B32" s="4"/>
      <c r="C32" s="4"/>
      <c r="D32" s="4"/>
      <c r="E32" s="4"/>
      <c r="F32" s="4"/>
    </row>
    <row r="33" customFormat="false" ht="21.75" hidden="false" customHeight="true" outlineLevel="0" collapsed="false">
      <c r="A33" s="4" t="s">
        <v>581</v>
      </c>
      <c r="B33" s="4"/>
      <c r="C33" s="4"/>
      <c r="D33" s="4"/>
      <c r="E33" s="4"/>
      <c r="F33" s="4"/>
    </row>
    <row r="34" customFormat="false" ht="21.75" hidden="false" customHeight="true" outlineLevel="0" collapsed="false">
      <c r="A34" s="4" t="s">
        <v>582</v>
      </c>
      <c r="B34" s="4"/>
      <c r="C34" s="4"/>
      <c r="D34" s="4"/>
      <c r="E34" s="4"/>
      <c r="F34" s="4"/>
    </row>
    <row r="35" customFormat="false" ht="21.75" hidden="false" customHeight="true" outlineLevel="0" collapsed="false">
      <c r="A35" s="4" t="s">
        <v>583</v>
      </c>
      <c r="B35" s="4"/>
      <c r="C35" s="4"/>
      <c r="D35" s="4"/>
      <c r="E35" s="4"/>
      <c r="F35" s="4"/>
    </row>
    <row r="36" customFormat="false" ht="21.75" hidden="false" customHeight="true" outlineLevel="0" collapsed="false">
      <c r="A36" s="4" t="s">
        <v>584</v>
      </c>
      <c r="B36" s="4"/>
      <c r="C36" s="4"/>
      <c r="D36" s="4"/>
      <c r="E36" s="4"/>
      <c r="F36" s="4"/>
    </row>
    <row r="38" customFormat="false" ht="21.75" hidden="false" customHeight="true" outlineLevel="0" collapsed="false">
      <c r="A38" s="3" t="s">
        <v>585</v>
      </c>
      <c r="B38" s="3"/>
      <c r="C38" s="3"/>
      <c r="D38" s="3"/>
      <c r="E38" s="3"/>
      <c r="F38" s="3"/>
    </row>
    <row r="39" customFormat="false" ht="21.75" hidden="false" customHeight="true" outlineLevel="0" collapsed="false">
      <c r="A39" s="5" t="s">
        <v>586</v>
      </c>
      <c r="B39" s="4" t="s">
        <v>587</v>
      </c>
      <c r="C39" s="4"/>
      <c r="D39" s="4"/>
      <c r="E39" s="4"/>
      <c r="F39" s="4"/>
    </row>
    <row r="40" customFormat="false" ht="21.75" hidden="false" customHeight="true" outlineLevel="0" collapsed="false">
      <c r="A40" s="5" t="s">
        <v>588</v>
      </c>
      <c r="B40" s="4" t="s">
        <v>589</v>
      </c>
      <c r="C40" s="4"/>
      <c r="D40" s="4"/>
      <c r="E40" s="4"/>
      <c r="F40" s="4"/>
    </row>
    <row r="41" customFormat="false" ht="21.75" hidden="false" customHeight="true" outlineLevel="0" collapsed="false">
      <c r="A41" s="5" t="s">
        <v>590</v>
      </c>
      <c r="B41" s="4" t="s">
        <v>591</v>
      </c>
      <c r="C41" s="4"/>
      <c r="D41" s="4"/>
      <c r="E41" s="4"/>
      <c r="F41" s="4"/>
    </row>
    <row r="42" customFormat="false" ht="21.75" hidden="false" customHeight="true" outlineLevel="0" collapsed="false">
      <c r="A42" s="5" t="s">
        <v>592</v>
      </c>
      <c r="B42" s="4" t="s">
        <v>593</v>
      </c>
      <c r="C42" s="4"/>
      <c r="D42" s="4"/>
      <c r="E42" s="4"/>
      <c r="F42" s="4"/>
    </row>
    <row r="44" customFormat="false" ht="21.75" hidden="false" customHeight="true" outlineLevel="0" collapsed="false">
      <c r="A44" s="3" t="s">
        <v>594</v>
      </c>
      <c r="B44" s="3"/>
      <c r="C44" s="3"/>
      <c r="D44" s="3"/>
      <c r="E44" s="3"/>
      <c r="F44" s="3"/>
    </row>
    <row r="45" customFormat="false" ht="30" hidden="false" customHeight="true" outlineLevel="0" collapsed="false">
      <c r="A45" s="4" t="s">
        <v>595</v>
      </c>
      <c r="B45" s="4"/>
      <c r="C45" s="4"/>
      <c r="D45" s="4"/>
      <c r="E45" s="4"/>
      <c r="F45" s="4"/>
    </row>
    <row r="46" customFormat="false" ht="30" hidden="false" customHeight="true" outlineLevel="0" collapsed="false">
      <c r="A46" s="4" t="s">
        <v>596</v>
      </c>
      <c r="B46" s="4"/>
      <c r="C46" s="4"/>
      <c r="D46" s="4"/>
      <c r="E46" s="4"/>
      <c r="F46" s="4"/>
    </row>
    <row r="47" customFormat="false" ht="30" hidden="false" customHeight="true" outlineLevel="0" collapsed="false">
      <c r="A47" s="4" t="s">
        <v>597</v>
      </c>
      <c r="B47" s="4"/>
      <c r="C47" s="4"/>
      <c r="D47" s="4"/>
      <c r="E47" s="4"/>
      <c r="F47" s="4"/>
    </row>
    <row r="48" customFormat="false" ht="30" hidden="false" customHeight="true" outlineLevel="0" collapsed="false">
      <c r="A48" s="4" t="s">
        <v>598</v>
      </c>
      <c r="B48" s="4"/>
      <c r="C48" s="4"/>
      <c r="D48" s="4"/>
      <c r="E48" s="4"/>
      <c r="F48" s="4"/>
    </row>
    <row r="58" customFormat="false" ht="21.75" hidden="false" customHeight="true" outlineLevel="0" collapsed="false">
      <c r="A58" s="3" t="s">
        <v>599</v>
      </c>
      <c r="B58" s="3"/>
      <c r="C58" s="3"/>
      <c r="D58" s="3"/>
      <c r="E58" s="3"/>
      <c r="F58" s="3"/>
    </row>
    <row r="59" customFormat="false" ht="24" hidden="false" customHeight="true" outlineLevel="0" collapsed="false">
      <c r="A59" s="16" t="s">
        <v>600</v>
      </c>
      <c r="B59" s="16" t="s">
        <v>601</v>
      </c>
      <c r="C59" s="16" t="s">
        <v>602</v>
      </c>
      <c r="D59" s="16" t="s">
        <v>603</v>
      </c>
      <c r="E59" s="16"/>
      <c r="F59" s="16"/>
    </row>
    <row r="60" customFormat="false" ht="30" hidden="false" customHeight="true" outlineLevel="0" collapsed="false">
      <c r="A60" s="30" t="s">
        <v>74</v>
      </c>
      <c r="B60" s="31" t="s">
        <v>604</v>
      </c>
      <c r="C60" s="31" t="s">
        <v>605</v>
      </c>
      <c r="D60" s="31" t="s">
        <v>606</v>
      </c>
    </row>
    <row r="61" customFormat="false" ht="30" hidden="false" customHeight="true" outlineLevel="0" collapsed="false">
      <c r="A61" s="30" t="s">
        <v>86</v>
      </c>
      <c r="B61" s="31" t="s">
        <v>607</v>
      </c>
      <c r="C61" s="31" t="s">
        <v>608</v>
      </c>
      <c r="D61" s="31" t="s">
        <v>609</v>
      </c>
    </row>
    <row r="62" customFormat="false" ht="30" hidden="false" customHeight="true" outlineLevel="0" collapsed="false">
      <c r="A62" s="30" t="s">
        <v>127</v>
      </c>
      <c r="B62" s="31" t="s">
        <v>610</v>
      </c>
      <c r="C62" s="31" t="s">
        <v>611</v>
      </c>
      <c r="D62" s="31" t="s">
        <v>612</v>
      </c>
    </row>
    <row r="63" customFormat="false" ht="30" hidden="false" customHeight="true" outlineLevel="0" collapsed="false">
      <c r="A63" s="30" t="s">
        <v>111</v>
      </c>
      <c r="B63" s="31" t="s">
        <v>613</v>
      </c>
      <c r="C63" s="31" t="s">
        <v>614</v>
      </c>
      <c r="D63" s="31" t="s">
        <v>615</v>
      </c>
    </row>
    <row r="64" customFormat="false" ht="30" hidden="false" customHeight="true" outlineLevel="0" collapsed="false">
      <c r="A64" s="30" t="s">
        <v>232</v>
      </c>
      <c r="B64" s="31" t="s">
        <v>616</v>
      </c>
      <c r="C64" s="31" t="s">
        <v>617</v>
      </c>
      <c r="D64" s="31" t="s">
        <v>618</v>
      </c>
    </row>
    <row r="65" customFormat="false" ht="30" hidden="false" customHeight="true" outlineLevel="0" collapsed="false">
      <c r="A65" s="30" t="s">
        <v>336</v>
      </c>
      <c r="B65" s="31" t="s">
        <v>619</v>
      </c>
      <c r="C65" s="31" t="s">
        <v>620</v>
      </c>
      <c r="D65" s="31" t="s">
        <v>621</v>
      </c>
    </row>
    <row r="66" customFormat="false" ht="30" hidden="false" customHeight="true" outlineLevel="0" collapsed="false">
      <c r="A66" s="30" t="s">
        <v>100</v>
      </c>
      <c r="B66" s="31" t="s">
        <v>622</v>
      </c>
      <c r="C66" s="31" t="s">
        <v>623</v>
      </c>
      <c r="D66" s="31" t="s">
        <v>624</v>
      </c>
    </row>
  </sheetData>
  <mergeCells count="30">
    <mergeCell ref="A1:F1"/>
    <mergeCell ref="A2:F2"/>
    <mergeCell ref="A4:F4"/>
    <mergeCell ref="A20:F20"/>
    <mergeCell ref="A21:F21"/>
    <mergeCell ref="A22:F22"/>
    <mergeCell ref="A23:F23"/>
    <mergeCell ref="A24:F24"/>
    <mergeCell ref="A25:F25"/>
    <mergeCell ref="A26:F26"/>
    <mergeCell ref="A27:F27"/>
    <mergeCell ref="A29:F29"/>
    <mergeCell ref="A30:F30"/>
    <mergeCell ref="A31:F31"/>
    <mergeCell ref="A32:F32"/>
    <mergeCell ref="A33:F33"/>
    <mergeCell ref="A34:F34"/>
    <mergeCell ref="A35:F35"/>
    <mergeCell ref="A36:F36"/>
    <mergeCell ref="A38:F38"/>
    <mergeCell ref="B39:F39"/>
    <mergeCell ref="B40:F40"/>
    <mergeCell ref="B41:F41"/>
    <mergeCell ref="B42:F42"/>
    <mergeCell ref="A44:F44"/>
    <mergeCell ref="A45:F45"/>
    <mergeCell ref="A46:F46"/>
    <mergeCell ref="A47:F47"/>
    <mergeCell ref="A48:F48"/>
    <mergeCell ref="A58:F58"/>
  </mergeCell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87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625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626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628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632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44"/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44" t="n">
        <v>120</v>
      </c>
      <c r="G9" s="45" t="n">
        <f aca="false">DATE(2026,11,3)</f>
        <v>46329</v>
      </c>
      <c r="H9" s="45" t="n">
        <f aca="false">DATE(2026,11,4)</f>
        <v>46330</v>
      </c>
      <c r="I9" s="46" t="s">
        <v>661</v>
      </c>
      <c r="J9" s="47" t="n">
        <v>300</v>
      </c>
      <c r="K9" s="45"/>
      <c r="L9" s="45"/>
      <c r="M9" s="46"/>
      <c r="N9" s="47"/>
      <c r="O9" s="48" t="n">
        <f aca="false">N(J9)+N(N9)</f>
        <v>300</v>
      </c>
      <c r="P9" s="47" t="n">
        <v>140</v>
      </c>
      <c r="Q9" s="47" t="n">
        <v>60</v>
      </c>
      <c r="R9" s="47" t="n">
        <v>20</v>
      </c>
      <c r="S9" s="47" t="n">
        <v>5</v>
      </c>
      <c r="T9" s="48" t="n">
        <f aca="false">SUM(P9:S9)</f>
        <v>225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 t="n">
        <f aca="false">DATE(2027,2,3)</f>
        <v>46421</v>
      </c>
      <c r="AB9" s="43" t="str">
        <f aca="false">'Item Master'!N6</f>
        <v>Rack 2 – Liquids &amp; Oils (bottom shelf, in trays)</v>
      </c>
      <c r="AC9" s="46" t="s">
        <v>662</v>
      </c>
      <c r="AD9" s="52" t="s">
        <v>663</v>
      </c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44"/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44"/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44"/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44"/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44"/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44"/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44"/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44"/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44"/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44"/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44"/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44"/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44"/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44"/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44"/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44"/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44"/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44"/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44"/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44"/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44"/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44"/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44"/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44"/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44"/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44"/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44"/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44"/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44"/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44"/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44"/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44"/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44"/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44"/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44"/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44"/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44"/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44"/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44"/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44"/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44"/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44"/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44"/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44"/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44"/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44"/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44"/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44"/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44"/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44"/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44"/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44"/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44"/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44"/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44"/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44"/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44"/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120</v>
      </c>
      <c r="G67" s="53"/>
      <c r="H67" s="53"/>
      <c r="I67" s="53"/>
      <c r="J67" s="55" t="n">
        <f aca="false">SUM(J8:J66)</f>
        <v>300</v>
      </c>
      <c r="K67" s="53"/>
      <c r="L67" s="53"/>
      <c r="M67" s="53"/>
      <c r="N67" s="55" t="n">
        <f aca="false">SUM(N8:N66)</f>
        <v>0</v>
      </c>
      <c r="O67" s="55" t="n">
        <f aca="false">SUM(O8:O66)</f>
        <v>300</v>
      </c>
      <c r="P67" s="55" t="n">
        <f aca="false">SUM(P8:P66)</f>
        <v>140</v>
      </c>
      <c r="Q67" s="55" t="n">
        <f aca="false">SUM(Q8:Q66)</f>
        <v>60</v>
      </c>
      <c r="R67" s="55" t="n">
        <f aca="false">SUM(R8:R66)</f>
        <v>20</v>
      </c>
      <c r="S67" s="55" t="n">
        <f aca="false">SUM(S8:S66)</f>
        <v>5</v>
      </c>
      <c r="T67" s="55" t="n">
        <f aca="false">SUM(T8:T66)</f>
        <v>225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F8:F66 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E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683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684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685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IF('Nov-2026'!V8&lt;&gt;"",'Nov-2026'!V8,'Nov-2026'!U8)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IF('Nov-2026'!V9&lt;&gt;"",'Nov-2026'!V9,'Nov-2026'!U9)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IF('Nov-2026'!V10&lt;&gt;"",'Nov-2026'!V10,'Nov-2026'!U10)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IF('Nov-2026'!V11&lt;&gt;"",'Nov-2026'!V11,'Nov-2026'!U11)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IF('Nov-2026'!V12&lt;&gt;"",'Nov-2026'!V12,'Nov-2026'!U12)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IF('Nov-2026'!V13&lt;&gt;"",'Nov-2026'!V13,'Nov-2026'!U13)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IF('Nov-2026'!V14&lt;&gt;"",'Nov-2026'!V14,'Nov-2026'!U14)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IF('Nov-2026'!V15&lt;&gt;"",'Nov-2026'!V15,'Nov-2026'!U15)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IF('Nov-2026'!V16&lt;&gt;"",'Nov-2026'!V16,'Nov-2026'!U16)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IF('Nov-2026'!V17&lt;&gt;"",'Nov-2026'!V17,'Nov-2026'!U17)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IF('Nov-2026'!V18&lt;&gt;"",'Nov-2026'!V18,'Nov-2026'!U18)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IF('Nov-2026'!V19&lt;&gt;"",'Nov-2026'!V19,'Nov-2026'!U19)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IF('Nov-2026'!V20&lt;&gt;"",'Nov-2026'!V20,'Nov-2026'!U20)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IF('Nov-2026'!V21&lt;&gt;"",'Nov-2026'!V21,'Nov-2026'!U21)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IF('Nov-2026'!V22&lt;&gt;"",'Nov-2026'!V22,'Nov-2026'!U22)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IF('Nov-2026'!V23&lt;&gt;"",'Nov-2026'!V23,'Nov-2026'!U23)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IF('Nov-2026'!V24&lt;&gt;"",'Nov-2026'!V24,'Nov-2026'!U24)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IF('Nov-2026'!V25&lt;&gt;"",'Nov-2026'!V25,'Nov-2026'!U25)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IF('Nov-2026'!V26&lt;&gt;"",'Nov-2026'!V26,'Nov-2026'!U26)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IF('Nov-2026'!V27&lt;&gt;"",'Nov-2026'!V27,'Nov-2026'!U27)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IF('Nov-2026'!V28&lt;&gt;"",'Nov-2026'!V28,'Nov-2026'!U28)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IF('Nov-2026'!V29&lt;&gt;"",'Nov-2026'!V29,'Nov-2026'!U29)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IF('Nov-2026'!V30&lt;&gt;"",'Nov-2026'!V30,'Nov-2026'!U30)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IF('Nov-2026'!V31&lt;&gt;"",'Nov-2026'!V31,'Nov-2026'!U31)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IF('Nov-2026'!V32&lt;&gt;"",'Nov-2026'!V32,'Nov-2026'!U32)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IF('Nov-2026'!V33&lt;&gt;"",'Nov-2026'!V33,'Nov-2026'!U33)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IF('Nov-2026'!V34&lt;&gt;"",'Nov-2026'!V34,'Nov-2026'!U34)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IF('Nov-2026'!V35&lt;&gt;"",'Nov-2026'!V35,'Nov-2026'!U35)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IF('Nov-2026'!V36&lt;&gt;"",'Nov-2026'!V36,'Nov-2026'!U36)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IF('Nov-2026'!V37&lt;&gt;"",'Nov-2026'!V37,'Nov-2026'!U37)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IF('Nov-2026'!V38&lt;&gt;"",'Nov-2026'!V38,'Nov-2026'!U38)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IF('Nov-2026'!V39&lt;&gt;"",'Nov-2026'!V39,'Nov-2026'!U39)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IF('Nov-2026'!V40&lt;&gt;"",'Nov-2026'!V40,'Nov-2026'!U40)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IF('Nov-2026'!V41&lt;&gt;"",'Nov-2026'!V41,'Nov-2026'!U41)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IF('Nov-2026'!V42&lt;&gt;"",'Nov-2026'!V42,'Nov-2026'!U42)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IF('Nov-2026'!V43&lt;&gt;"",'Nov-2026'!V43,'Nov-2026'!U43)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IF('Nov-2026'!V44&lt;&gt;"",'Nov-2026'!V44,'Nov-2026'!U44)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IF('Nov-2026'!V45&lt;&gt;"",'Nov-2026'!V45,'Nov-2026'!U45)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IF('Nov-2026'!V46&lt;&gt;"",'Nov-2026'!V46,'Nov-2026'!U46)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IF('Nov-2026'!V47&lt;&gt;"",'Nov-2026'!V47,'Nov-2026'!U47)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IF('Nov-2026'!V48&lt;&gt;"",'Nov-2026'!V48,'Nov-2026'!U48)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IF('Nov-2026'!V49&lt;&gt;"",'Nov-2026'!V49,'Nov-2026'!U49)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IF('Nov-2026'!V50&lt;&gt;"",'Nov-2026'!V50,'Nov-2026'!U50)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IF('Nov-2026'!V51&lt;&gt;"",'Nov-2026'!V51,'Nov-2026'!U51)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IF('Nov-2026'!V52&lt;&gt;"",'Nov-2026'!V52,'Nov-2026'!U52)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IF('Nov-2026'!V53&lt;&gt;"",'Nov-2026'!V53,'Nov-2026'!U53)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IF('Nov-2026'!V54&lt;&gt;"",'Nov-2026'!V54,'Nov-2026'!U54)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IF('Nov-2026'!V55&lt;&gt;"",'Nov-2026'!V55,'Nov-2026'!U55)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IF('Nov-2026'!V56&lt;&gt;"",'Nov-2026'!V56,'Nov-2026'!U56)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IF('Nov-2026'!V57&lt;&gt;"",'Nov-2026'!V57,'Nov-2026'!U57)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IF('Nov-2026'!V58&lt;&gt;"",'Nov-2026'!V58,'Nov-2026'!U58)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IF('Nov-2026'!V59&lt;&gt;"",'Nov-2026'!V59,'Nov-2026'!U59)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IF('Nov-2026'!V60&lt;&gt;"",'Nov-2026'!V60,'Nov-2026'!U60)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IF('Nov-2026'!V61&lt;&gt;"",'Nov-2026'!V61,'Nov-2026'!U61)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IF('Nov-2026'!V62&lt;&gt;"",'Nov-2026'!V62,'Nov-2026'!U62)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IF('Nov-2026'!V63&lt;&gt;"",'Nov-2026'!V63,'Nov-2026'!U63)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IF('Nov-2026'!V64&lt;&gt;"",'Nov-2026'!V64,'Nov-2026'!U64)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IF('Nov-2026'!V65&lt;&gt;"",'Nov-2026'!V65,'Nov-2026'!U65)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IF('Nov-2026'!V66&lt;&gt;"",'Nov-2026'!V66,'Nov-2026'!U66)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87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687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688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689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IF('Dec-2026'!V8&lt;&gt;"",'Dec-2026'!V8,'Dec-2026'!U8)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IF('Dec-2026'!V9&lt;&gt;"",'Dec-2026'!V9,'Dec-2026'!U9)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IF('Dec-2026'!V10&lt;&gt;"",'Dec-2026'!V10,'Dec-2026'!U10)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IF('Dec-2026'!V11&lt;&gt;"",'Dec-2026'!V11,'Dec-2026'!U11)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IF('Dec-2026'!V12&lt;&gt;"",'Dec-2026'!V12,'Dec-2026'!U12)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IF('Dec-2026'!V13&lt;&gt;"",'Dec-2026'!V13,'Dec-2026'!U13)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IF('Dec-2026'!V14&lt;&gt;"",'Dec-2026'!V14,'Dec-2026'!U14)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IF('Dec-2026'!V15&lt;&gt;"",'Dec-2026'!V15,'Dec-2026'!U15)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IF('Dec-2026'!V16&lt;&gt;"",'Dec-2026'!V16,'Dec-2026'!U16)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IF('Dec-2026'!V17&lt;&gt;"",'Dec-2026'!V17,'Dec-2026'!U17)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IF('Dec-2026'!V18&lt;&gt;"",'Dec-2026'!V18,'Dec-2026'!U18)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IF('Dec-2026'!V19&lt;&gt;"",'Dec-2026'!V19,'Dec-2026'!U19)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IF('Dec-2026'!V20&lt;&gt;"",'Dec-2026'!V20,'Dec-2026'!U20)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IF('Dec-2026'!V21&lt;&gt;"",'Dec-2026'!V21,'Dec-2026'!U21)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IF('Dec-2026'!V22&lt;&gt;"",'Dec-2026'!V22,'Dec-2026'!U22)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IF('Dec-2026'!V23&lt;&gt;"",'Dec-2026'!V23,'Dec-2026'!U23)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IF('Dec-2026'!V24&lt;&gt;"",'Dec-2026'!V24,'Dec-2026'!U24)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IF('Dec-2026'!V25&lt;&gt;"",'Dec-2026'!V25,'Dec-2026'!U25)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IF('Dec-2026'!V26&lt;&gt;"",'Dec-2026'!V26,'Dec-2026'!U26)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IF('Dec-2026'!V27&lt;&gt;"",'Dec-2026'!V27,'Dec-2026'!U27)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IF('Dec-2026'!V28&lt;&gt;"",'Dec-2026'!V28,'Dec-2026'!U28)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IF('Dec-2026'!V29&lt;&gt;"",'Dec-2026'!V29,'Dec-2026'!U29)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IF('Dec-2026'!V30&lt;&gt;"",'Dec-2026'!V30,'Dec-2026'!U30)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IF('Dec-2026'!V31&lt;&gt;"",'Dec-2026'!V31,'Dec-2026'!U31)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IF('Dec-2026'!V32&lt;&gt;"",'Dec-2026'!V32,'Dec-2026'!U32)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IF('Dec-2026'!V33&lt;&gt;"",'Dec-2026'!V33,'Dec-2026'!U33)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IF('Dec-2026'!V34&lt;&gt;"",'Dec-2026'!V34,'Dec-2026'!U34)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IF('Dec-2026'!V35&lt;&gt;"",'Dec-2026'!V35,'Dec-2026'!U35)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IF('Dec-2026'!V36&lt;&gt;"",'Dec-2026'!V36,'Dec-2026'!U36)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IF('Dec-2026'!V37&lt;&gt;"",'Dec-2026'!V37,'Dec-2026'!U37)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IF('Dec-2026'!V38&lt;&gt;"",'Dec-2026'!V38,'Dec-2026'!U38)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IF('Dec-2026'!V39&lt;&gt;"",'Dec-2026'!V39,'Dec-2026'!U39)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IF('Dec-2026'!V40&lt;&gt;"",'Dec-2026'!V40,'Dec-2026'!U40)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IF('Dec-2026'!V41&lt;&gt;"",'Dec-2026'!V41,'Dec-2026'!U41)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IF('Dec-2026'!V42&lt;&gt;"",'Dec-2026'!V42,'Dec-2026'!U42)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IF('Dec-2026'!V43&lt;&gt;"",'Dec-2026'!V43,'Dec-2026'!U43)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IF('Dec-2026'!V44&lt;&gt;"",'Dec-2026'!V44,'Dec-2026'!U44)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IF('Dec-2026'!V45&lt;&gt;"",'Dec-2026'!V45,'Dec-2026'!U45)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IF('Dec-2026'!V46&lt;&gt;"",'Dec-2026'!V46,'Dec-2026'!U46)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IF('Dec-2026'!V47&lt;&gt;"",'Dec-2026'!V47,'Dec-2026'!U47)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IF('Dec-2026'!V48&lt;&gt;"",'Dec-2026'!V48,'Dec-2026'!U48)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IF('Dec-2026'!V49&lt;&gt;"",'Dec-2026'!V49,'Dec-2026'!U49)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IF('Dec-2026'!V50&lt;&gt;"",'Dec-2026'!V50,'Dec-2026'!U50)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IF('Dec-2026'!V51&lt;&gt;"",'Dec-2026'!V51,'Dec-2026'!U51)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IF('Dec-2026'!V52&lt;&gt;"",'Dec-2026'!V52,'Dec-2026'!U52)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IF('Dec-2026'!V53&lt;&gt;"",'Dec-2026'!V53,'Dec-2026'!U53)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IF('Dec-2026'!V54&lt;&gt;"",'Dec-2026'!V54,'Dec-2026'!U54)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IF('Dec-2026'!V55&lt;&gt;"",'Dec-2026'!V55,'Dec-2026'!U55)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IF('Dec-2026'!V56&lt;&gt;"",'Dec-2026'!V56,'Dec-2026'!U56)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IF('Dec-2026'!V57&lt;&gt;"",'Dec-2026'!V57,'Dec-2026'!U57)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IF('Dec-2026'!V58&lt;&gt;"",'Dec-2026'!V58,'Dec-2026'!U58)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IF('Dec-2026'!V59&lt;&gt;"",'Dec-2026'!V59,'Dec-2026'!U59)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IF('Dec-2026'!V60&lt;&gt;"",'Dec-2026'!V60,'Dec-2026'!U60)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IF('Dec-2026'!V61&lt;&gt;"",'Dec-2026'!V61,'Dec-2026'!U61)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IF('Dec-2026'!V62&lt;&gt;"",'Dec-2026'!V62,'Dec-2026'!U62)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IF('Dec-2026'!V63&lt;&gt;"",'Dec-2026'!V63,'Dec-2026'!U63)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IF('Dec-2026'!V64&lt;&gt;"",'Dec-2026'!V64,'Dec-2026'!U64)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IF('Dec-2026'!V65&lt;&gt;"",'Dec-2026'!V65,'Dec-2026'!U65)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IF('Dec-2026'!V66&lt;&gt;"",'Dec-2026'!V66,'Dec-2026'!U66)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E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690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691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692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IF('Jan-2027'!V8&lt;&gt;"",'Jan-2027'!V8,'Jan-2027'!U8)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IF('Jan-2027'!V9&lt;&gt;"",'Jan-2027'!V9,'Jan-2027'!U9)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IF('Jan-2027'!V10&lt;&gt;"",'Jan-2027'!V10,'Jan-2027'!U10)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IF('Jan-2027'!V11&lt;&gt;"",'Jan-2027'!V11,'Jan-2027'!U11)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IF('Jan-2027'!V12&lt;&gt;"",'Jan-2027'!V12,'Jan-2027'!U12)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IF('Jan-2027'!V13&lt;&gt;"",'Jan-2027'!V13,'Jan-2027'!U13)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IF('Jan-2027'!V14&lt;&gt;"",'Jan-2027'!V14,'Jan-2027'!U14)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IF('Jan-2027'!V15&lt;&gt;"",'Jan-2027'!V15,'Jan-2027'!U15)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IF('Jan-2027'!V16&lt;&gt;"",'Jan-2027'!V16,'Jan-2027'!U16)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IF('Jan-2027'!V17&lt;&gt;"",'Jan-2027'!V17,'Jan-2027'!U17)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IF('Jan-2027'!V18&lt;&gt;"",'Jan-2027'!V18,'Jan-2027'!U18)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IF('Jan-2027'!V19&lt;&gt;"",'Jan-2027'!V19,'Jan-2027'!U19)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IF('Jan-2027'!V20&lt;&gt;"",'Jan-2027'!V20,'Jan-2027'!U20)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IF('Jan-2027'!V21&lt;&gt;"",'Jan-2027'!V21,'Jan-2027'!U21)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IF('Jan-2027'!V22&lt;&gt;"",'Jan-2027'!V22,'Jan-2027'!U22)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IF('Jan-2027'!V23&lt;&gt;"",'Jan-2027'!V23,'Jan-2027'!U23)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IF('Jan-2027'!V24&lt;&gt;"",'Jan-2027'!V24,'Jan-2027'!U24)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IF('Jan-2027'!V25&lt;&gt;"",'Jan-2027'!V25,'Jan-2027'!U25)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IF('Jan-2027'!V26&lt;&gt;"",'Jan-2027'!V26,'Jan-2027'!U26)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IF('Jan-2027'!V27&lt;&gt;"",'Jan-2027'!V27,'Jan-2027'!U27)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IF('Jan-2027'!V28&lt;&gt;"",'Jan-2027'!V28,'Jan-2027'!U28)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IF('Jan-2027'!V29&lt;&gt;"",'Jan-2027'!V29,'Jan-2027'!U29)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IF('Jan-2027'!V30&lt;&gt;"",'Jan-2027'!V30,'Jan-2027'!U30)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IF('Jan-2027'!V31&lt;&gt;"",'Jan-2027'!V31,'Jan-2027'!U31)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IF('Jan-2027'!V32&lt;&gt;"",'Jan-2027'!V32,'Jan-2027'!U32)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IF('Jan-2027'!V33&lt;&gt;"",'Jan-2027'!V33,'Jan-2027'!U33)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IF('Jan-2027'!V34&lt;&gt;"",'Jan-2027'!V34,'Jan-2027'!U34)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IF('Jan-2027'!V35&lt;&gt;"",'Jan-2027'!V35,'Jan-2027'!U35)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IF('Jan-2027'!V36&lt;&gt;"",'Jan-2027'!V36,'Jan-2027'!U36)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IF('Jan-2027'!V37&lt;&gt;"",'Jan-2027'!V37,'Jan-2027'!U37)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IF('Jan-2027'!V38&lt;&gt;"",'Jan-2027'!V38,'Jan-2027'!U38)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IF('Jan-2027'!V39&lt;&gt;"",'Jan-2027'!V39,'Jan-2027'!U39)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IF('Jan-2027'!V40&lt;&gt;"",'Jan-2027'!V40,'Jan-2027'!U40)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IF('Jan-2027'!V41&lt;&gt;"",'Jan-2027'!V41,'Jan-2027'!U41)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IF('Jan-2027'!V42&lt;&gt;"",'Jan-2027'!V42,'Jan-2027'!U42)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IF('Jan-2027'!V43&lt;&gt;"",'Jan-2027'!V43,'Jan-2027'!U43)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IF('Jan-2027'!V44&lt;&gt;"",'Jan-2027'!V44,'Jan-2027'!U44)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IF('Jan-2027'!V45&lt;&gt;"",'Jan-2027'!V45,'Jan-2027'!U45)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IF('Jan-2027'!V46&lt;&gt;"",'Jan-2027'!V46,'Jan-2027'!U46)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IF('Jan-2027'!V47&lt;&gt;"",'Jan-2027'!V47,'Jan-2027'!U47)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IF('Jan-2027'!V48&lt;&gt;"",'Jan-2027'!V48,'Jan-2027'!U48)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IF('Jan-2027'!V49&lt;&gt;"",'Jan-2027'!V49,'Jan-2027'!U49)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IF('Jan-2027'!V50&lt;&gt;"",'Jan-2027'!V50,'Jan-2027'!U50)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IF('Jan-2027'!V51&lt;&gt;"",'Jan-2027'!V51,'Jan-2027'!U51)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IF('Jan-2027'!V52&lt;&gt;"",'Jan-2027'!V52,'Jan-2027'!U52)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IF('Jan-2027'!V53&lt;&gt;"",'Jan-2027'!V53,'Jan-2027'!U53)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IF('Jan-2027'!V54&lt;&gt;"",'Jan-2027'!V54,'Jan-2027'!U54)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IF('Jan-2027'!V55&lt;&gt;"",'Jan-2027'!V55,'Jan-2027'!U55)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IF('Jan-2027'!V56&lt;&gt;"",'Jan-2027'!V56,'Jan-2027'!U56)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IF('Jan-2027'!V57&lt;&gt;"",'Jan-2027'!V57,'Jan-2027'!U57)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IF('Jan-2027'!V58&lt;&gt;"",'Jan-2027'!V58,'Jan-2027'!U58)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IF('Jan-2027'!V59&lt;&gt;"",'Jan-2027'!V59,'Jan-2027'!U59)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IF('Jan-2027'!V60&lt;&gt;"",'Jan-2027'!V60,'Jan-2027'!U60)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IF('Jan-2027'!V61&lt;&gt;"",'Jan-2027'!V61,'Jan-2027'!U61)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IF('Jan-2027'!V62&lt;&gt;"",'Jan-2027'!V62,'Jan-2027'!U62)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IF('Jan-2027'!V63&lt;&gt;"",'Jan-2027'!V63,'Jan-2027'!U63)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IF('Jan-2027'!V64&lt;&gt;"",'Jan-2027'!V64,'Jan-2027'!U64)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IF('Jan-2027'!V65&lt;&gt;"",'Jan-2027'!V65,'Jan-2027'!U65)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IF('Jan-2027'!V66&lt;&gt;"",'Jan-2027'!V66,'Jan-2027'!U66)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87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693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694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695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IF('Feb-2027'!V8&lt;&gt;"",'Feb-2027'!V8,'Feb-2027'!U8)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IF('Feb-2027'!V9&lt;&gt;"",'Feb-2027'!V9,'Feb-2027'!U9)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IF('Feb-2027'!V10&lt;&gt;"",'Feb-2027'!V10,'Feb-2027'!U10)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IF('Feb-2027'!V11&lt;&gt;"",'Feb-2027'!V11,'Feb-2027'!U11)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IF('Feb-2027'!V12&lt;&gt;"",'Feb-2027'!V12,'Feb-2027'!U12)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IF('Feb-2027'!V13&lt;&gt;"",'Feb-2027'!V13,'Feb-2027'!U13)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IF('Feb-2027'!V14&lt;&gt;"",'Feb-2027'!V14,'Feb-2027'!U14)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IF('Feb-2027'!V15&lt;&gt;"",'Feb-2027'!V15,'Feb-2027'!U15)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IF('Feb-2027'!V16&lt;&gt;"",'Feb-2027'!V16,'Feb-2027'!U16)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IF('Feb-2027'!V17&lt;&gt;"",'Feb-2027'!V17,'Feb-2027'!U17)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IF('Feb-2027'!V18&lt;&gt;"",'Feb-2027'!V18,'Feb-2027'!U18)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IF('Feb-2027'!V19&lt;&gt;"",'Feb-2027'!V19,'Feb-2027'!U19)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IF('Feb-2027'!V20&lt;&gt;"",'Feb-2027'!V20,'Feb-2027'!U20)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IF('Feb-2027'!V21&lt;&gt;"",'Feb-2027'!V21,'Feb-2027'!U21)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IF('Feb-2027'!V22&lt;&gt;"",'Feb-2027'!V22,'Feb-2027'!U22)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IF('Feb-2027'!V23&lt;&gt;"",'Feb-2027'!V23,'Feb-2027'!U23)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IF('Feb-2027'!V24&lt;&gt;"",'Feb-2027'!V24,'Feb-2027'!U24)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IF('Feb-2027'!V25&lt;&gt;"",'Feb-2027'!V25,'Feb-2027'!U25)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IF('Feb-2027'!V26&lt;&gt;"",'Feb-2027'!V26,'Feb-2027'!U26)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IF('Feb-2027'!V27&lt;&gt;"",'Feb-2027'!V27,'Feb-2027'!U27)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IF('Feb-2027'!V28&lt;&gt;"",'Feb-2027'!V28,'Feb-2027'!U28)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IF('Feb-2027'!V29&lt;&gt;"",'Feb-2027'!V29,'Feb-2027'!U29)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IF('Feb-2027'!V30&lt;&gt;"",'Feb-2027'!V30,'Feb-2027'!U30)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IF('Feb-2027'!V31&lt;&gt;"",'Feb-2027'!V31,'Feb-2027'!U31)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IF('Feb-2027'!V32&lt;&gt;"",'Feb-2027'!V32,'Feb-2027'!U32)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IF('Feb-2027'!V33&lt;&gt;"",'Feb-2027'!V33,'Feb-2027'!U33)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IF('Feb-2027'!V34&lt;&gt;"",'Feb-2027'!V34,'Feb-2027'!U34)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IF('Feb-2027'!V35&lt;&gt;"",'Feb-2027'!V35,'Feb-2027'!U35)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IF('Feb-2027'!V36&lt;&gt;"",'Feb-2027'!V36,'Feb-2027'!U36)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IF('Feb-2027'!V37&lt;&gt;"",'Feb-2027'!V37,'Feb-2027'!U37)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IF('Feb-2027'!V38&lt;&gt;"",'Feb-2027'!V38,'Feb-2027'!U38)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IF('Feb-2027'!V39&lt;&gt;"",'Feb-2027'!V39,'Feb-2027'!U39)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IF('Feb-2027'!V40&lt;&gt;"",'Feb-2027'!V40,'Feb-2027'!U40)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IF('Feb-2027'!V41&lt;&gt;"",'Feb-2027'!V41,'Feb-2027'!U41)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IF('Feb-2027'!V42&lt;&gt;"",'Feb-2027'!V42,'Feb-2027'!U42)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IF('Feb-2027'!V43&lt;&gt;"",'Feb-2027'!V43,'Feb-2027'!U43)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IF('Feb-2027'!V44&lt;&gt;"",'Feb-2027'!V44,'Feb-2027'!U44)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IF('Feb-2027'!V45&lt;&gt;"",'Feb-2027'!V45,'Feb-2027'!U45)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IF('Feb-2027'!V46&lt;&gt;"",'Feb-2027'!V46,'Feb-2027'!U46)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IF('Feb-2027'!V47&lt;&gt;"",'Feb-2027'!V47,'Feb-2027'!U47)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IF('Feb-2027'!V48&lt;&gt;"",'Feb-2027'!V48,'Feb-2027'!U48)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IF('Feb-2027'!V49&lt;&gt;"",'Feb-2027'!V49,'Feb-2027'!U49)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IF('Feb-2027'!V50&lt;&gt;"",'Feb-2027'!V50,'Feb-2027'!U50)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IF('Feb-2027'!V51&lt;&gt;"",'Feb-2027'!V51,'Feb-2027'!U51)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IF('Feb-2027'!V52&lt;&gt;"",'Feb-2027'!V52,'Feb-2027'!U52)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IF('Feb-2027'!V53&lt;&gt;"",'Feb-2027'!V53,'Feb-2027'!U53)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IF('Feb-2027'!V54&lt;&gt;"",'Feb-2027'!V54,'Feb-2027'!U54)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IF('Feb-2027'!V55&lt;&gt;"",'Feb-2027'!V55,'Feb-2027'!U55)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IF('Feb-2027'!V56&lt;&gt;"",'Feb-2027'!V56,'Feb-2027'!U56)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IF('Feb-2027'!V57&lt;&gt;"",'Feb-2027'!V57,'Feb-2027'!U57)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IF('Feb-2027'!V58&lt;&gt;"",'Feb-2027'!V58,'Feb-2027'!U58)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IF('Feb-2027'!V59&lt;&gt;"",'Feb-2027'!V59,'Feb-2027'!U59)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IF('Feb-2027'!V60&lt;&gt;"",'Feb-2027'!V60,'Feb-2027'!U60)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IF('Feb-2027'!V61&lt;&gt;"",'Feb-2027'!V61,'Feb-2027'!U61)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IF('Feb-2027'!V62&lt;&gt;"",'Feb-2027'!V62,'Feb-2027'!U62)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IF('Feb-2027'!V63&lt;&gt;"",'Feb-2027'!V63,'Feb-2027'!U63)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IF('Feb-2027'!V64&lt;&gt;"",'Feb-2027'!V64,'Feb-2027'!U64)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IF('Feb-2027'!V65&lt;&gt;"",'Feb-2027'!V65,'Feb-2027'!U65)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IF('Feb-2027'!V66&lt;&gt;"",'Feb-2027'!V66,'Feb-2027'!U66)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E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696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697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698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IF('Mar-2027'!V8&lt;&gt;"",'Mar-2027'!V8,'Mar-2027'!U8)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IF('Mar-2027'!V9&lt;&gt;"",'Mar-2027'!V9,'Mar-2027'!U9)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IF('Mar-2027'!V10&lt;&gt;"",'Mar-2027'!V10,'Mar-2027'!U10)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IF('Mar-2027'!V11&lt;&gt;"",'Mar-2027'!V11,'Mar-2027'!U11)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IF('Mar-2027'!V12&lt;&gt;"",'Mar-2027'!V12,'Mar-2027'!U12)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IF('Mar-2027'!V13&lt;&gt;"",'Mar-2027'!V13,'Mar-2027'!U13)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IF('Mar-2027'!V14&lt;&gt;"",'Mar-2027'!V14,'Mar-2027'!U14)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IF('Mar-2027'!V15&lt;&gt;"",'Mar-2027'!V15,'Mar-2027'!U15)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IF('Mar-2027'!V16&lt;&gt;"",'Mar-2027'!V16,'Mar-2027'!U16)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IF('Mar-2027'!V17&lt;&gt;"",'Mar-2027'!V17,'Mar-2027'!U17)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IF('Mar-2027'!V18&lt;&gt;"",'Mar-2027'!V18,'Mar-2027'!U18)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IF('Mar-2027'!V19&lt;&gt;"",'Mar-2027'!V19,'Mar-2027'!U19)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IF('Mar-2027'!V20&lt;&gt;"",'Mar-2027'!V20,'Mar-2027'!U20)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IF('Mar-2027'!V21&lt;&gt;"",'Mar-2027'!V21,'Mar-2027'!U21)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IF('Mar-2027'!V22&lt;&gt;"",'Mar-2027'!V22,'Mar-2027'!U22)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IF('Mar-2027'!V23&lt;&gt;"",'Mar-2027'!V23,'Mar-2027'!U23)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IF('Mar-2027'!V24&lt;&gt;"",'Mar-2027'!V24,'Mar-2027'!U24)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IF('Mar-2027'!V25&lt;&gt;"",'Mar-2027'!V25,'Mar-2027'!U25)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IF('Mar-2027'!V26&lt;&gt;"",'Mar-2027'!V26,'Mar-2027'!U26)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IF('Mar-2027'!V27&lt;&gt;"",'Mar-2027'!V27,'Mar-2027'!U27)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IF('Mar-2027'!V28&lt;&gt;"",'Mar-2027'!V28,'Mar-2027'!U28)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IF('Mar-2027'!V29&lt;&gt;"",'Mar-2027'!V29,'Mar-2027'!U29)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IF('Mar-2027'!V30&lt;&gt;"",'Mar-2027'!V30,'Mar-2027'!U30)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IF('Mar-2027'!V31&lt;&gt;"",'Mar-2027'!V31,'Mar-2027'!U31)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IF('Mar-2027'!V32&lt;&gt;"",'Mar-2027'!V32,'Mar-2027'!U32)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IF('Mar-2027'!V33&lt;&gt;"",'Mar-2027'!V33,'Mar-2027'!U33)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IF('Mar-2027'!V34&lt;&gt;"",'Mar-2027'!V34,'Mar-2027'!U34)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IF('Mar-2027'!V35&lt;&gt;"",'Mar-2027'!V35,'Mar-2027'!U35)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IF('Mar-2027'!V36&lt;&gt;"",'Mar-2027'!V36,'Mar-2027'!U36)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IF('Mar-2027'!V37&lt;&gt;"",'Mar-2027'!V37,'Mar-2027'!U37)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IF('Mar-2027'!V38&lt;&gt;"",'Mar-2027'!V38,'Mar-2027'!U38)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IF('Mar-2027'!V39&lt;&gt;"",'Mar-2027'!V39,'Mar-2027'!U39)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IF('Mar-2027'!V40&lt;&gt;"",'Mar-2027'!V40,'Mar-2027'!U40)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IF('Mar-2027'!V41&lt;&gt;"",'Mar-2027'!V41,'Mar-2027'!U41)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IF('Mar-2027'!V42&lt;&gt;"",'Mar-2027'!V42,'Mar-2027'!U42)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IF('Mar-2027'!V43&lt;&gt;"",'Mar-2027'!V43,'Mar-2027'!U43)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IF('Mar-2027'!V44&lt;&gt;"",'Mar-2027'!V44,'Mar-2027'!U44)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IF('Mar-2027'!V45&lt;&gt;"",'Mar-2027'!V45,'Mar-2027'!U45)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IF('Mar-2027'!V46&lt;&gt;"",'Mar-2027'!V46,'Mar-2027'!U46)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IF('Mar-2027'!V47&lt;&gt;"",'Mar-2027'!V47,'Mar-2027'!U47)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IF('Mar-2027'!V48&lt;&gt;"",'Mar-2027'!V48,'Mar-2027'!U48)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IF('Mar-2027'!V49&lt;&gt;"",'Mar-2027'!V49,'Mar-2027'!U49)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IF('Mar-2027'!V50&lt;&gt;"",'Mar-2027'!V50,'Mar-2027'!U50)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IF('Mar-2027'!V51&lt;&gt;"",'Mar-2027'!V51,'Mar-2027'!U51)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IF('Mar-2027'!V52&lt;&gt;"",'Mar-2027'!V52,'Mar-2027'!U52)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IF('Mar-2027'!V53&lt;&gt;"",'Mar-2027'!V53,'Mar-2027'!U53)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IF('Mar-2027'!V54&lt;&gt;"",'Mar-2027'!V54,'Mar-2027'!U54)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IF('Mar-2027'!V55&lt;&gt;"",'Mar-2027'!V55,'Mar-2027'!U55)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IF('Mar-2027'!V56&lt;&gt;"",'Mar-2027'!V56,'Mar-2027'!U56)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IF('Mar-2027'!V57&lt;&gt;"",'Mar-2027'!V57,'Mar-2027'!U57)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IF('Mar-2027'!V58&lt;&gt;"",'Mar-2027'!V58,'Mar-2027'!U58)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IF('Mar-2027'!V59&lt;&gt;"",'Mar-2027'!V59,'Mar-2027'!U59)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IF('Mar-2027'!V60&lt;&gt;"",'Mar-2027'!V60,'Mar-2027'!U60)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IF('Mar-2027'!V61&lt;&gt;"",'Mar-2027'!V61,'Mar-2027'!U61)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IF('Mar-2027'!V62&lt;&gt;"",'Mar-2027'!V62,'Mar-2027'!U62)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IF('Mar-2027'!V63&lt;&gt;"",'Mar-2027'!V63,'Mar-2027'!U63)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IF('Mar-2027'!V64&lt;&gt;"",'Mar-2027'!V64,'Mar-2027'!U64)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IF('Mar-2027'!V65&lt;&gt;"",'Mar-2027'!V65,'Mar-2027'!U65)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IF('Mar-2027'!V66&lt;&gt;"",'Mar-2027'!V66,'Mar-2027'!U66)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87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699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700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701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IF('Apr-2027'!V8&lt;&gt;"",'Apr-2027'!V8,'Apr-2027'!U8)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IF('Apr-2027'!V9&lt;&gt;"",'Apr-2027'!V9,'Apr-2027'!U9)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IF('Apr-2027'!V10&lt;&gt;"",'Apr-2027'!V10,'Apr-2027'!U10)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IF('Apr-2027'!V11&lt;&gt;"",'Apr-2027'!V11,'Apr-2027'!U11)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IF('Apr-2027'!V12&lt;&gt;"",'Apr-2027'!V12,'Apr-2027'!U12)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IF('Apr-2027'!V13&lt;&gt;"",'Apr-2027'!V13,'Apr-2027'!U13)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IF('Apr-2027'!V14&lt;&gt;"",'Apr-2027'!V14,'Apr-2027'!U14)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IF('Apr-2027'!V15&lt;&gt;"",'Apr-2027'!V15,'Apr-2027'!U15)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IF('Apr-2027'!V16&lt;&gt;"",'Apr-2027'!V16,'Apr-2027'!U16)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IF('Apr-2027'!V17&lt;&gt;"",'Apr-2027'!V17,'Apr-2027'!U17)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IF('Apr-2027'!V18&lt;&gt;"",'Apr-2027'!V18,'Apr-2027'!U18)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IF('Apr-2027'!V19&lt;&gt;"",'Apr-2027'!V19,'Apr-2027'!U19)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IF('Apr-2027'!V20&lt;&gt;"",'Apr-2027'!V20,'Apr-2027'!U20)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IF('Apr-2027'!V21&lt;&gt;"",'Apr-2027'!V21,'Apr-2027'!U21)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IF('Apr-2027'!V22&lt;&gt;"",'Apr-2027'!V22,'Apr-2027'!U22)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IF('Apr-2027'!V23&lt;&gt;"",'Apr-2027'!V23,'Apr-2027'!U23)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IF('Apr-2027'!V24&lt;&gt;"",'Apr-2027'!V24,'Apr-2027'!U24)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IF('Apr-2027'!V25&lt;&gt;"",'Apr-2027'!V25,'Apr-2027'!U25)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IF('Apr-2027'!V26&lt;&gt;"",'Apr-2027'!V26,'Apr-2027'!U26)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IF('Apr-2027'!V27&lt;&gt;"",'Apr-2027'!V27,'Apr-2027'!U27)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IF('Apr-2027'!V28&lt;&gt;"",'Apr-2027'!V28,'Apr-2027'!U28)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IF('Apr-2027'!V29&lt;&gt;"",'Apr-2027'!V29,'Apr-2027'!U29)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IF('Apr-2027'!V30&lt;&gt;"",'Apr-2027'!V30,'Apr-2027'!U30)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IF('Apr-2027'!V31&lt;&gt;"",'Apr-2027'!V31,'Apr-2027'!U31)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IF('Apr-2027'!V32&lt;&gt;"",'Apr-2027'!V32,'Apr-2027'!U32)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IF('Apr-2027'!V33&lt;&gt;"",'Apr-2027'!V33,'Apr-2027'!U33)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IF('Apr-2027'!V34&lt;&gt;"",'Apr-2027'!V34,'Apr-2027'!U34)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IF('Apr-2027'!V35&lt;&gt;"",'Apr-2027'!V35,'Apr-2027'!U35)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IF('Apr-2027'!V36&lt;&gt;"",'Apr-2027'!V36,'Apr-2027'!U36)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IF('Apr-2027'!V37&lt;&gt;"",'Apr-2027'!V37,'Apr-2027'!U37)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IF('Apr-2027'!V38&lt;&gt;"",'Apr-2027'!V38,'Apr-2027'!U38)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IF('Apr-2027'!V39&lt;&gt;"",'Apr-2027'!V39,'Apr-2027'!U39)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IF('Apr-2027'!V40&lt;&gt;"",'Apr-2027'!V40,'Apr-2027'!U40)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IF('Apr-2027'!V41&lt;&gt;"",'Apr-2027'!V41,'Apr-2027'!U41)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IF('Apr-2027'!V42&lt;&gt;"",'Apr-2027'!V42,'Apr-2027'!U42)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IF('Apr-2027'!V43&lt;&gt;"",'Apr-2027'!V43,'Apr-2027'!U43)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IF('Apr-2027'!V44&lt;&gt;"",'Apr-2027'!V44,'Apr-2027'!U44)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IF('Apr-2027'!V45&lt;&gt;"",'Apr-2027'!V45,'Apr-2027'!U45)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IF('Apr-2027'!V46&lt;&gt;"",'Apr-2027'!V46,'Apr-2027'!U46)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IF('Apr-2027'!V47&lt;&gt;"",'Apr-2027'!V47,'Apr-2027'!U47)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IF('Apr-2027'!V48&lt;&gt;"",'Apr-2027'!V48,'Apr-2027'!U48)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IF('Apr-2027'!V49&lt;&gt;"",'Apr-2027'!V49,'Apr-2027'!U49)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IF('Apr-2027'!V50&lt;&gt;"",'Apr-2027'!V50,'Apr-2027'!U50)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IF('Apr-2027'!V51&lt;&gt;"",'Apr-2027'!V51,'Apr-2027'!U51)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IF('Apr-2027'!V52&lt;&gt;"",'Apr-2027'!V52,'Apr-2027'!U52)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IF('Apr-2027'!V53&lt;&gt;"",'Apr-2027'!V53,'Apr-2027'!U53)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IF('Apr-2027'!V54&lt;&gt;"",'Apr-2027'!V54,'Apr-2027'!U54)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IF('Apr-2027'!V55&lt;&gt;"",'Apr-2027'!V55,'Apr-2027'!U55)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IF('Apr-2027'!V56&lt;&gt;"",'Apr-2027'!V56,'Apr-2027'!U56)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IF('Apr-2027'!V57&lt;&gt;"",'Apr-2027'!V57,'Apr-2027'!U57)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IF('Apr-2027'!V58&lt;&gt;"",'Apr-2027'!V58,'Apr-2027'!U58)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IF('Apr-2027'!V59&lt;&gt;"",'Apr-2027'!V59,'Apr-2027'!U59)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IF('Apr-2027'!V60&lt;&gt;"",'Apr-2027'!V60,'Apr-2027'!U60)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IF('Apr-2027'!V61&lt;&gt;"",'Apr-2027'!V61,'Apr-2027'!U61)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IF('Apr-2027'!V62&lt;&gt;"",'Apr-2027'!V62,'Apr-2027'!U62)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IF('Apr-2027'!V63&lt;&gt;"",'Apr-2027'!V63,'Apr-2027'!U63)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IF('Apr-2027'!V64&lt;&gt;"",'Apr-2027'!V64,'Apr-2027'!U64)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IF('Apr-2027'!V65&lt;&gt;"",'Apr-2027'!V65,'Apr-2027'!U65)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IF('Apr-2027'!V66&lt;&gt;"",'Apr-2027'!V66,'Apr-2027'!U66)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E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702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703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704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IF('May-2027'!V8&lt;&gt;"",'May-2027'!V8,'May-2027'!U8)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IF('May-2027'!V9&lt;&gt;"",'May-2027'!V9,'May-2027'!U9)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IF('May-2027'!V10&lt;&gt;"",'May-2027'!V10,'May-2027'!U10)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IF('May-2027'!V11&lt;&gt;"",'May-2027'!V11,'May-2027'!U11)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IF('May-2027'!V12&lt;&gt;"",'May-2027'!V12,'May-2027'!U12)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IF('May-2027'!V13&lt;&gt;"",'May-2027'!V13,'May-2027'!U13)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IF('May-2027'!V14&lt;&gt;"",'May-2027'!V14,'May-2027'!U14)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IF('May-2027'!V15&lt;&gt;"",'May-2027'!V15,'May-2027'!U15)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IF('May-2027'!V16&lt;&gt;"",'May-2027'!V16,'May-2027'!U16)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IF('May-2027'!V17&lt;&gt;"",'May-2027'!V17,'May-2027'!U17)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IF('May-2027'!V18&lt;&gt;"",'May-2027'!V18,'May-2027'!U18)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IF('May-2027'!V19&lt;&gt;"",'May-2027'!V19,'May-2027'!U19)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IF('May-2027'!V20&lt;&gt;"",'May-2027'!V20,'May-2027'!U20)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IF('May-2027'!V21&lt;&gt;"",'May-2027'!V21,'May-2027'!U21)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IF('May-2027'!V22&lt;&gt;"",'May-2027'!V22,'May-2027'!U22)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IF('May-2027'!V23&lt;&gt;"",'May-2027'!V23,'May-2027'!U23)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IF('May-2027'!V24&lt;&gt;"",'May-2027'!V24,'May-2027'!U24)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IF('May-2027'!V25&lt;&gt;"",'May-2027'!V25,'May-2027'!U25)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IF('May-2027'!V26&lt;&gt;"",'May-2027'!V26,'May-2027'!U26)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IF('May-2027'!V27&lt;&gt;"",'May-2027'!V27,'May-2027'!U27)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IF('May-2027'!V28&lt;&gt;"",'May-2027'!V28,'May-2027'!U28)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IF('May-2027'!V29&lt;&gt;"",'May-2027'!V29,'May-2027'!U29)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IF('May-2027'!V30&lt;&gt;"",'May-2027'!V30,'May-2027'!U30)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IF('May-2027'!V31&lt;&gt;"",'May-2027'!V31,'May-2027'!U31)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IF('May-2027'!V32&lt;&gt;"",'May-2027'!V32,'May-2027'!U32)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IF('May-2027'!V33&lt;&gt;"",'May-2027'!V33,'May-2027'!U33)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IF('May-2027'!V34&lt;&gt;"",'May-2027'!V34,'May-2027'!U34)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IF('May-2027'!V35&lt;&gt;"",'May-2027'!V35,'May-2027'!U35)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IF('May-2027'!V36&lt;&gt;"",'May-2027'!V36,'May-2027'!U36)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IF('May-2027'!V37&lt;&gt;"",'May-2027'!V37,'May-2027'!U37)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IF('May-2027'!V38&lt;&gt;"",'May-2027'!V38,'May-2027'!U38)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IF('May-2027'!V39&lt;&gt;"",'May-2027'!V39,'May-2027'!U39)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IF('May-2027'!V40&lt;&gt;"",'May-2027'!V40,'May-2027'!U40)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IF('May-2027'!V41&lt;&gt;"",'May-2027'!V41,'May-2027'!U41)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IF('May-2027'!V42&lt;&gt;"",'May-2027'!V42,'May-2027'!U42)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IF('May-2027'!V43&lt;&gt;"",'May-2027'!V43,'May-2027'!U43)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IF('May-2027'!V44&lt;&gt;"",'May-2027'!V44,'May-2027'!U44)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IF('May-2027'!V45&lt;&gt;"",'May-2027'!V45,'May-2027'!U45)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IF('May-2027'!V46&lt;&gt;"",'May-2027'!V46,'May-2027'!U46)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IF('May-2027'!V47&lt;&gt;"",'May-2027'!V47,'May-2027'!U47)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IF('May-2027'!V48&lt;&gt;"",'May-2027'!V48,'May-2027'!U48)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IF('May-2027'!V49&lt;&gt;"",'May-2027'!V49,'May-2027'!U49)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IF('May-2027'!V50&lt;&gt;"",'May-2027'!V50,'May-2027'!U50)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IF('May-2027'!V51&lt;&gt;"",'May-2027'!V51,'May-2027'!U51)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IF('May-2027'!V52&lt;&gt;"",'May-2027'!V52,'May-2027'!U52)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IF('May-2027'!V53&lt;&gt;"",'May-2027'!V53,'May-2027'!U53)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IF('May-2027'!V54&lt;&gt;"",'May-2027'!V54,'May-2027'!U54)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IF('May-2027'!V55&lt;&gt;"",'May-2027'!V55,'May-2027'!U55)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IF('May-2027'!V56&lt;&gt;"",'May-2027'!V56,'May-2027'!U56)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IF('May-2027'!V57&lt;&gt;"",'May-2027'!V57,'May-2027'!U57)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IF('May-2027'!V58&lt;&gt;"",'May-2027'!V58,'May-2027'!U58)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IF('May-2027'!V59&lt;&gt;"",'May-2027'!V59,'May-2027'!U59)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IF('May-2027'!V60&lt;&gt;"",'May-2027'!V60,'May-2027'!U60)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IF('May-2027'!V61&lt;&gt;"",'May-2027'!V61,'May-2027'!U61)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IF('May-2027'!V62&lt;&gt;"",'May-2027'!V62,'May-2027'!U62)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IF('May-2027'!V63&lt;&gt;"",'May-2027'!V63,'May-2027'!U63)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IF('May-2027'!V64&lt;&gt;"",'May-2027'!V64,'May-2027'!U64)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IF('May-2027'!V65&lt;&gt;"",'May-2027'!V65,'May-2027'!U65)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IF('May-2027'!V66&lt;&gt;"",'May-2027'!V66,'May-2027'!U66)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87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705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706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707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IF('Jun-2027'!V8&lt;&gt;"",'Jun-2027'!V8,'Jun-2027'!U8)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IF('Jun-2027'!V9&lt;&gt;"",'Jun-2027'!V9,'Jun-2027'!U9)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IF('Jun-2027'!V10&lt;&gt;"",'Jun-2027'!V10,'Jun-2027'!U10)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IF('Jun-2027'!V11&lt;&gt;"",'Jun-2027'!V11,'Jun-2027'!U11)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IF('Jun-2027'!V12&lt;&gt;"",'Jun-2027'!V12,'Jun-2027'!U12)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IF('Jun-2027'!V13&lt;&gt;"",'Jun-2027'!V13,'Jun-2027'!U13)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IF('Jun-2027'!V14&lt;&gt;"",'Jun-2027'!V14,'Jun-2027'!U14)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IF('Jun-2027'!V15&lt;&gt;"",'Jun-2027'!V15,'Jun-2027'!U15)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IF('Jun-2027'!V16&lt;&gt;"",'Jun-2027'!V16,'Jun-2027'!U16)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IF('Jun-2027'!V17&lt;&gt;"",'Jun-2027'!V17,'Jun-2027'!U17)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IF('Jun-2027'!V18&lt;&gt;"",'Jun-2027'!V18,'Jun-2027'!U18)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IF('Jun-2027'!V19&lt;&gt;"",'Jun-2027'!V19,'Jun-2027'!U19)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IF('Jun-2027'!V20&lt;&gt;"",'Jun-2027'!V20,'Jun-2027'!U20)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IF('Jun-2027'!V21&lt;&gt;"",'Jun-2027'!V21,'Jun-2027'!U21)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IF('Jun-2027'!V22&lt;&gt;"",'Jun-2027'!V22,'Jun-2027'!U22)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IF('Jun-2027'!V23&lt;&gt;"",'Jun-2027'!V23,'Jun-2027'!U23)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IF('Jun-2027'!V24&lt;&gt;"",'Jun-2027'!V24,'Jun-2027'!U24)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IF('Jun-2027'!V25&lt;&gt;"",'Jun-2027'!V25,'Jun-2027'!U25)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IF('Jun-2027'!V26&lt;&gt;"",'Jun-2027'!V26,'Jun-2027'!U26)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IF('Jun-2027'!V27&lt;&gt;"",'Jun-2027'!V27,'Jun-2027'!U27)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IF('Jun-2027'!V28&lt;&gt;"",'Jun-2027'!V28,'Jun-2027'!U28)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IF('Jun-2027'!V29&lt;&gt;"",'Jun-2027'!V29,'Jun-2027'!U29)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IF('Jun-2027'!V30&lt;&gt;"",'Jun-2027'!V30,'Jun-2027'!U30)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IF('Jun-2027'!V31&lt;&gt;"",'Jun-2027'!V31,'Jun-2027'!U31)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IF('Jun-2027'!V32&lt;&gt;"",'Jun-2027'!V32,'Jun-2027'!U32)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IF('Jun-2027'!V33&lt;&gt;"",'Jun-2027'!V33,'Jun-2027'!U33)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IF('Jun-2027'!V34&lt;&gt;"",'Jun-2027'!V34,'Jun-2027'!U34)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IF('Jun-2027'!V35&lt;&gt;"",'Jun-2027'!V35,'Jun-2027'!U35)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IF('Jun-2027'!V36&lt;&gt;"",'Jun-2027'!V36,'Jun-2027'!U36)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IF('Jun-2027'!V37&lt;&gt;"",'Jun-2027'!V37,'Jun-2027'!U37)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IF('Jun-2027'!V38&lt;&gt;"",'Jun-2027'!V38,'Jun-2027'!U38)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IF('Jun-2027'!V39&lt;&gt;"",'Jun-2027'!V39,'Jun-2027'!U39)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IF('Jun-2027'!V40&lt;&gt;"",'Jun-2027'!V40,'Jun-2027'!U40)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IF('Jun-2027'!V41&lt;&gt;"",'Jun-2027'!V41,'Jun-2027'!U41)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IF('Jun-2027'!V42&lt;&gt;"",'Jun-2027'!V42,'Jun-2027'!U42)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IF('Jun-2027'!V43&lt;&gt;"",'Jun-2027'!V43,'Jun-2027'!U43)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IF('Jun-2027'!V44&lt;&gt;"",'Jun-2027'!V44,'Jun-2027'!U44)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IF('Jun-2027'!V45&lt;&gt;"",'Jun-2027'!V45,'Jun-2027'!U45)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IF('Jun-2027'!V46&lt;&gt;"",'Jun-2027'!V46,'Jun-2027'!U46)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IF('Jun-2027'!V47&lt;&gt;"",'Jun-2027'!V47,'Jun-2027'!U47)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IF('Jun-2027'!V48&lt;&gt;"",'Jun-2027'!V48,'Jun-2027'!U48)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IF('Jun-2027'!V49&lt;&gt;"",'Jun-2027'!V49,'Jun-2027'!U49)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IF('Jun-2027'!V50&lt;&gt;"",'Jun-2027'!V50,'Jun-2027'!U50)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IF('Jun-2027'!V51&lt;&gt;"",'Jun-2027'!V51,'Jun-2027'!U51)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IF('Jun-2027'!V52&lt;&gt;"",'Jun-2027'!V52,'Jun-2027'!U52)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IF('Jun-2027'!V53&lt;&gt;"",'Jun-2027'!V53,'Jun-2027'!U53)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IF('Jun-2027'!V54&lt;&gt;"",'Jun-2027'!V54,'Jun-2027'!U54)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IF('Jun-2027'!V55&lt;&gt;"",'Jun-2027'!V55,'Jun-2027'!U55)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IF('Jun-2027'!V56&lt;&gt;"",'Jun-2027'!V56,'Jun-2027'!U56)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IF('Jun-2027'!V57&lt;&gt;"",'Jun-2027'!V57,'Jun-2027'!U57)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IF('Jun-2027'!V58&lt;&gt;"",'Jun-2027'!V58,'Jun-2027'!U58)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IF('Jun-2027'!V59&lt;&gt;"",'Jun-2027'!V59,'Jun-2027'!U59)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IF('Jun-2027'!V60&lt;&gt;"",'Jun-2027'!V60,'Jun-2027'!U60)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IF('Jun-2027'!V61&lt;&gt;"",'Jun-2027'!V61,'Jun-2027'!U61)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IF('Jun-2027'!V62&lt;&gt;"",'Jun-2027'!V62,'Jun-2027'!U62)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IF('Jun-2027'!V63&lt;&gt;"",'Jun-2027'!V63,'Jun-2027'!U63)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IF('Jun-2027'!V64&lt;&gt;"",'Jun-2027'!V64,'Jun-2027'!U64)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IF('Jun-2027'!V65&lt;&gt;"",'Jun-2027'!V65,'Jun-2027'!U65)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IF('Jun-2027'!V66&lt;&gt;"",'Jun-2027'!V66,'Jun-2027'!U66)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E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708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709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710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IF('Jul-2027'!V8&lt;&gt;"",'Jul-2027'!V8,'Jul-2027'!U8)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IF('Jul-2027'!V9&lt;&gt;"",'Jul-2027'!V9,'Jul-2027'!U9)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IF('Jul-2027'!V10&lt;&gt;"",'Jul-2027'!V10,'Jul-2027'!U10)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IF('Jul-2027'!V11&lt;&gt;"",'Jul-2027'!V11,'Jul-2027'!U11)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IF('Jul-2027'!V12&lt;&gt;"",'Jul-2027'!V12,'Jul-2027'!U12)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IF('Jul-2027'!V13&lt;&gt;"",'Jul-2027'!V13,'Jul-2027'!U13)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IF('Jul-2027'!V14&lt;&gt;"",'Jul-2027'!V14,'Jul-2027'!U14)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IF('Jul-2027'!V15&lt;&gt;"",'Jul-2027'!V15,'Jul-2027'!U15)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IF('Jul-2027'!V16&lt;&gt;"",'Jul-2027'!V16,'Jul-2027'!U16)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IF('Jul-2027'!V17&lt;&gt;"",'Jul-2027'!V17,'Jul-2027'!U17)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IF('Jul-2027'!V18&lt;&gt;"",'Jul-2027'!V18,'Jul-2027'!U18)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IF('Jul-2027'!V19&lt;&gt;"",'Jul-2027'!V19,'Jul-2027'!U19)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IF('Jul-2027'!V20&lt;&gt;"",'Jul-2027'!V20,'Jul-2027'!U20)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IF('Jul-2027'!V21&lt;&gt;"",'Jul-2027'!V21,'Jul-2027'!U21)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IF('Jul-2027'!V22&lt;&gt;"",'Jul-2027'!V22,'Jul-2027'!U22)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IF('Jul-2027'!V23&lt;&gt;"",'Jul-2027'!V23,'Jul-2027'!U23)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IF('Jul-2027'!V24&lt;&gt;"",'Jul-2027'!V24,'Jul-2027'!U24)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IF('Jul-2027'!V25&lt;&gt;"",'Jul-2027'!V25,'Jul-2027'!U25)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IF('Jul-2027'!V26&lt;&gt;"",'Jul-2027'!V26,'Jul-2027'!U26)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IF('Jul-2027'!V27&lt;&gt;"",'Jul-2027'!V27,'Jul-2027'!U27)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IF('Jul-2027'!V28&lt;&gt;"",'Jul-2027'!V28,'Jul-2027'!U28)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IF('Jul-2027'!V29&lt;&gt;"",'Jul-2027'!V29,'Jul-2027'!U29)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IF('Jul-2027'!V30&lt;&gt;"",'Jul-2027'!V30,'Jul-2027'!U30)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IF('Jul-2027'!V31&lt;&gt;"",'Jul-2027'!V31,'Jul-2027'!U31)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IF('Jul-2027'!V32&lt;&gt;"",'Jul-2027'!V32,'Jul-2027'!U32)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IF('Jul-2027'!V33&lt;&gt;"",'Jul-2027'!V33,'Jul-2027'!U33)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IF('Jul-2027'!V34&lt;&gt;"",'Jul-2027'!V34,'Jul-2027'!U34)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IF('Jul-2027'!V35&lt;&gt;"",'Jul-2027'!V35,'Jul-2027'!U35)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IF('Jul-2027'!V36&lt;&gt;"",'Jul-2027'!V36,'Jul-2027'!U36)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IF('Jul-2027'!V37&lt;&gt;"",'Jul-2027'!V37,'Jul-2027'!U37)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IF('Jul-2027'!V38&lt;&gt;"",'Jul-2027'!V38,'Jul-2027'!U38)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IF('Jul-2027'!V39&lt;&gt;"",'Jul-2027'!V39,'Jul-2027'!U39)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IF('Jul-2027'!V40&lt;&gt;"",'Jul-2027'!V40,'Jul-2027'!U40)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IF('Jul-2027'!V41&lt;&gt;"",'Jul-2027'!V41,'Jul-2027'!U41)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IF('Jul-2027'!V42&lt;&gt;"",'Jul-2027'!V42,'Jul-2027'!U42)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IF('Jul-2027'!V43&lt;&gt;"",'Jul-2027'!V43,'Jul-2027'!U43)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IF('Jul-2027'!V44&lt;&gt;"",'Jul-2027'!V44,'Jul-2027'!U44)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IF('Jul-2027'!V45&lt;&gt;"",'Jul-2027'!V45,'Jul-2027'!U45)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IF('Jul-2027'!V46&lt;&gt;"",'Jul-2027'!V46,'Jul-2027'!U46)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IF('Jul-2027'!V47&lt;&gt;"",'Jul-2027'!V47,'Jul-2027'!U47)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IF('Jul-2027'!V48&lt;&gt;"",'Jul-2027'!V48,'Jul-2027'!U48)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IF('Jul-2027'!V49&lt;&gt;"",'Jul-2027'!V49,'Jul-2027'!U49)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IF('Jul-2027'!V50&lt;&gt;"",'Jul-2027'!V50,'Jul-2027'!U50)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IF('Jul-2027'!V51&lt;&gt;"",'Jul-2027'!V51,'Jul-2027'!U51)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IF('Jul-2027'!V52&lt;&gt;"",'Jul-2027'!V52,'Jul-2027'!U52)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IF('Jul-2027'!V53&lt;&gt;"",'Jul-2027'!V53,'Jul-2027'!U53)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IF('Jul-2027'!V54&lt;&gt;"",'Jul-2027'!V54,'Jul-2027'!U54)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IF('Jul-2027'!V55&lt;&gt;"",'Jul-2027'!V55,'Jul-2027'!U55)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IF('Jul-2027'!V56&lt;&gt;"",'Jul-2027'!V56,'Jul-2027'!U56)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IF('Jul-2027'!V57&lt;&gt;"",'Jul-2027'!V57,'Jul-2027'!U57)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IF('Jul-2027'!V58&lt;&gt;"",'Jul-2027'!V58,'Jul-2027'!U58)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IF('Jul-2027'!V59&lt;&gt;"",'Jul-2027'!V59,'Jul-2027'!U59)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IF('Jul-2027'!V60&lt;&gt;"",'Jul-2027'!V60,'Jul-2027'!U60)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IF('Jul-2027'!V61&lt;&gt;"",'Jul-2027'!V61,'Jul-2027'!U61)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IF('Jul-2027'!V62&lt;&gt;"",'Jul-2027'!V62,'Jul-2027'!U62)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IF('Jul-2027'!V63&lt;&gt;"",'Jul-2027'!V63,'Jul-2027'!U63)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IF('Jul-2027'!V64&lt;&gt;"",'Jul-2027'!V64,'Jul-2027'!U64)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IF('Jul-2027'!V65&lt;&gt;"",'Jul-2027'!V65,'Jul-2027'!U65)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IF('Jul-2027'!V66&lt;&gt;"",'Jul-2027'!V66,'Jul-2027'!U66)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87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711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712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713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IF('Aug-2027'!V8&lt;&gt;"",'Aug-2027'!V8,'Aug-2027'!U8)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IF('Aug-2027'!V9&lt;&gt;"",'Aug-2027'!V9,'Aug-2027'!U9)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IF('Aug-2027'!V10&lt;&gt;"",'Aug-2027'!V10,'Aug-2027'!U10)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IF('Aug-2027'!V11&lt;&gt;"",'Aug-2027'!V11,'Aug-2027'!U11)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IF('Aug-2027'!V12&lt;&gt;"",'Aug-2027'!V12,'Aug-2027'!U12)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IF('Aug-2027'!V13&lt;&gt;"",'Aug-2027'!V13,'Aug-2027'!U13)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IF('Aug-2027'!V14&lt;&gt;"",'Aug-2027'!V14,'Aug-2027'!U14)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IF('Aug-2027'!V15&lt;&gt;"",'Aug-2027'!V15,'Aug-2027'!U15)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IF('Aug-2027'!V16&lt;&gt;"",'Aug-2027'!V16,'Aug-2027'!U16)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IF('Aug-2027'!V17&lt;&gt;"",'Aug-2027'!V17,'Aug-2027'!U17)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IF('Aug-2027'!V18&lt;&gt;"",'Aug-2027'!V18,'Aug-2027'!U18)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IF('Aug-2027'!V19&lt;&gt;"",'Aug-2027'!V19,'Aug-2027'!U19)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IF('Aug-2027'!V20&lt;&gt;"",'Aug-2027'!V20,'Aug-2027'!U20)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IF('Aug-2027'!V21&lt;&gt;"",'Aug-2027'!V21,'Aug-2027'!U21)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IF('Aug-2027'!V22&lt;&gt;"",'Aug-2027'!V22,'Aug-2027'!U22)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IF('Aug-2027'!V23&lt;&gt;"",'Aug-2027'!V23,'Aug-2027'!U23)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IF('Aug-2027'!V24&lt;&gt;"",'Aug-2027'!V24,'Aug-2027'!U24)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IF('Aug-2027'!V25&lt;&gt;"",'Aug-2027'!V25,'Aug-2027'!U25)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IF('Aug-2027'!V26&lt;&gt;"",'Aug-2027'!V26,'Aug-2027'!U26)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IF('Aug-2027'!V27&lt;&gt;"",'Aug-2027'!V27,'Aug-2027'!U27)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IF('Aug-2027'!V28&lt;&gt;"",'Aug-2027'!V28,'Aug-2027'!U28)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IF('Aug-2027'!V29&lt;&gt;"",'Aug-2027'!V29,'Aug-2027'!U29)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IF('Aug-2027'!V30&lt;&gt;"",'Aug-2027'!V30,'Aug-2027'!U30)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IF('Aug-2027'!V31&lt;&gt;"",'Aug-2027'!V31,'Aug-2027'!U31)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IF('Aug-2027'!V32&lt;&gt;"",'Aug-2027'!V32,'Aug-2027'!U32)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IF('Aug-2027'!V33&lt;&gt;"",'Aug-2027'!V33,'Aug-2027'!U33)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IF('Aug-2027'!V34&lt;&gt;"",'Aug-2027'!V34,'Aug-2027'!U34)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IF('Aug-2027'!V35&lt;&gt;"",'Aug-2027'!V35,'Aug-2027'!U35)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IF('Aug-2027'!V36&lt;&gt;"",'Aug-2027'!V36,'Aug-2027'!U36)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IF('Aug-2027'!V37&lt;&gt;"",'Aug-2027'!V37,'Aug-2027'!U37)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IF('Aug-2027'!V38&lt;&gt;"",'Aug-2027'!V38,'Aug-2027'!U38)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IF('Aug-2027'!V39&lt;&gt;"",'Aug-2027'!V39,'Aug-2027'!U39)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IF('Aug-2027'!V40&lt;&gt;"",'Aug-2027'!V40,'Aug-2027'!U40)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IF('Aug-2027'!V41&lt;&gt;"",'Aug-2027'!V41,'Aug-2027'!U41)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IF('Aug-2027'!V42&lt;&gt;"",'Aug-2027'!V42,'Aug-2027'!U42)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IF('Aug-2027'!V43&lt;&gt;"",'Aug-2027'!V43,'Aug-2027'!U43)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IF('Aug-2027'!V44&lt;&gt;"",'Aug-2027'!V44,'Aug-2027'!U44)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IF('Aug-2027'!V45&lt;&gt;"",'Aug-2027'!V45,'Aug-2027'!U45)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IF('Aug-2027'!V46&lt;&gt;"",'Aug-2027'!V46,'Aug-2027'!U46)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IF('Aug-2027'!V47&lt;&gt;"",'Aug-2027'!V47,'Aug-2027'!U47)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IF('Aug-2027'!V48&lt;&gt;"",'Aug-2027'!V48,'Aug-2027'!U48)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IF('Aug-2027'!V49&lt;&gt;"",'Aug-2027'!V49,'Aug-2027'!U49)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IF('Aug-2027'!V50&lt;&gt;"",'Aug-2027'!V50,'Aug-2027'!U50)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IF('Aug-2027'!V51&lt;&gt;"",'Aug-2027'!V51,'Aug-2027'!U51)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IF('Aug-2027'!V52&lt;&gt;"",'Aug-2027'!V52,'Aug-2027'!U52)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IF('Aug-2027'!V53&lt;&gt;"",'Aug-2027'!V53,'Aug-2027'!U53)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IF('Aug-2027'!V54&lt;&gt;"",'Aug-2027'!V54,'Aug-2027'!U54)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IF('Aug-2027'!V55&lt;&gt;"",'Aug-2027'!V55,'Aug-2027'!U55)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IF('Aug-2027'!V56&lt;&gt;"",'Aug-2027'!V56,'Aug-2027'!U56)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IF('Aug-2027'!V57&lt;&gt;"",'Aug-2027'!V57,'Aug-2027'!U57)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IF('Aug-2027'!V58&lt;&gt;"",'Aug-2027'!V58,'Aug-2027'!U58)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IF('Aug-2027'!V59&lt;&gt;"",'Aug-2027'!V59,'Aug-2027'!U59)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IF('Aug-2027'!V60&lt;&gt;"",'Aug-2027'!V60,'Aug-2027'!U60)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IF('Aug-2027'!V61&lt;&gt;"",'Aug-2027'!V61,'Aug-2027'!U61)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IF('Aug-2027'!V62&lt;&gt;"",'Aug-2027'!V62,'Aug-2027'!U62)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IF('Aug-2027'!V63&lt;&gt;"",'Aug-2027'!V63,'Aug-2027'!U63)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IF('Aug-2027'!V64&lt;&gt;"",'Aug-2027'!V64,'Aug-2027'!U64)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IF('Aug-2027'!V65&lt;&gt;"",'Aug-2027'!V65,'Aug-2027'!U65)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IF('Aug-2027'!V66&lt;&gt;"",'Aug-2027'!V66,'Aug-2027'!U66)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E1E"/>
    <pageSetUpPr fitToPage="tru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0" min="16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22"/>
    <col collapsed="false" customWidth="true" hidden="false" outlineLevel="0" max="29" min="29" style="0" width="12"/>
    <col collapsed="false" customWidth="true" hidden="false" outlineLevel="0" max="30" min="30" style="0" width="24"/>
  </cols>
  <sheetData>
    <row r="1" customFormat="false" ht="30" hidden="false" customHeight="true" outlineLevel="0" collapsed="false">
      <c r="A1" s="1" t="s">
        <v>714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9.5" hidden="false" customHeight="true" outlineLevel="0" collapsed="false">
      <c r="A2" s="2" t="s">
        <v>715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32" t="s">
        <v>627</v>
      </c>
      <c r="B3" s="32"/>
      <c r="C3" s="33" t="s">
        <v>716</v>
      </c>
      <c r="D3" s="33"/>
      <c r="E3" s="33"/>
      <c r="G3" s="32" t="s">
        <v>629</v>
      </c>
      <c r="H3" s="32"/>
      <c r="I3" s="34"/>
      <c r="J3" s="34"/>
      <c r="K3" s="34"/>
      <c r="M3" s="32" t="s">
        <v>630</v>
      </c>
      <c r="N3" s="32"/>
      <c r="O3" s="34"/>
      <c r="P3" s="34"/>
      <c r="Q3" s="34"/>
      <c r="S3" s="32" t="s">
        <v>631</v>
      </c>
      <c r="T3" s="32"/>
      <c r="U3" s="34"/>
      <c r="V3" s="34"/>
      <c r="W3" s="34"/>
    </row>
    <row r="4" customFormat="false" ht="15" hidden="false" customHeight="false" outlineLevel="0" collapsed="false">
      <c r="A4" s="35" t="s">
        <v>686</v>
      </c>
    </row>
    <row r="6" customFormat="false" ht="15" hidden="false" customHeight="true" outlineLevel="0" collapsed="false">
      <c r="A6" s="16" t="s">
        <v>633</v>
      </c>
      <c r="B6" s="16"/>
      <c r="C6" s="16"/>
      <c r="D6" s="16"/>
      <c r="E6" s="16"/>
      <c r="F6" s="16"/>
      <c r="G6" s="36" t="s">
        <v>634</v>
      </c>
      <c r="H6" s="36"/>
      <c r="I6" s="36"/>
      <c r="J6" s="36"/>
      <c r="K6" s="36" t="s">
        <v>635</v>
      </c>
      <c r="L6" s="36"/>
      <c r="M6" s="36"/>
      <c r="N6" s="36"/>
      <c r="O6" s="37" t="s">
        <v>636</v>
      </c>
      <c r="P6" s="38" t="s">
        <v>637</v>
      </c>
      <c r="Q6" s="38"/>
      <c r="R6" s="38"/>
      <c r="S6" s="38"/>
      <c r="T6" s="38"/>
      <c r="U6" s="16" t="s">
        <v>638</v>
      </c>
      <c r="V6" s="16"/>
      <c r="W6" s="16"/>
      <c r="X6" s="16"/>
      <c r="Y6" s="16"/>
      <c r="Z6" s="16"/>
      <c r="AA6" s="39" t="s">
        <v>639</v>
      </c>
      <c r="AB6" s="39"/>
      <c r="AC6" s="39"/>
      <c r="AD6" s="39"/>
    </row>
    <row r="7" customFormat="false" ht="45.75" hidden="false" customHeight="true" outlineLevel="0" collapsed="false">
      <c r="A7" s="16" t="s">
        <v>640</v>
      </c>
      <c r="B7" s="16" t="s">
        <v>44</v>
      </c>
      <c r="C7" s="16" t="s">
        <v>45</v>
      </c>
      <c r="D7" s="16" t="s">
        <v>46</v>
      </c>
      <c r="E7" s="16" t="s">
        <v>641</v>
      </c>
      <c r="F7" s="16" t="s">
        <v>642</v>
      </c>
      <c r="G7" s="36" t="s">
        <v>643</v>
      </c>
      <c r="H7" s="36" t="s">
        <v>644</v>
      </c>
      <c r="I7" s="36" t="s">
        <v>645</v>
      </c>
      <c r="J7" s="36" t="s">
        <v>646</v>
      </c>
      <c r="K7" s="36" t="s">
        <v>643</v>
      </c>
      <c r="L7" s="36" t="s">
        <v>644</v>
      </c>
      <c r="M7" s="36" t="s">
        <v>645</v>
      </c>
      <c r="N7" s="36" t="s">
        <v>646</v>
      </c>
      <c r="O7" s="37" t="s">
        <v>647</v>
      </c>
      <c r="P7" s="38" t="s">
        <v>648</v>
      </c>
      <c r="Q7" s="38" t="s">
        <v>649</v>
      </c>
      <c r="R7" s="38" t="s">
        <v>650</v>
      </c>
      <c r="S7" s="38" t="s">
        <v>651</v>
      </c>
      <c r="T7" s="38" t="s">
        <v>652</v>
      </c>
      <c r="U7" s="16" t="s">
        <v>653</v>
      </c>
      <c r="V7" s="16" t="s">
        <v>654</v>
      </c>
      <c r="W7" s="16" t="s">
        <v>655</v>
      </c>
      <c r="X7" s="16" t="s">
        <v>656</v>
      </c>
      <c r="Y7" s="16" t="s">
        <v>657</v>
      </c>
      <c r="Z7" s="16" t="s">
        <v>658</v>
      </c>
      <c r="AA7" s="16" t="s">
        <v>659</v>
      </c>
      <c r="AB7" s="16" t="s">
        <v>57</v>
      </c>
      <c r="AC7" s="16" t="s">
        <v>660</v>
      </c>
      <c r="AD7" s="16" t="s">
        <v>62</v>
      </c>
    </row>
    <row r="8" customFormat="false" ht="25.5" hidden="false" customHeight="true" outlineLevel="0" collapsed="false">
      <c r="A8" s="40" t="n">
        <v>1</v>
      </c>
      <c r="B8" s="41" t="str">
        <f aca="false">'Item Master'!A5</f>
        <v>THR</v>
      </c>
      <c r="C8" s="42" t="str">
        <f aca="false">'Item Master'!B5</f>
        <v>Kalasha Thread (wrist thread)</v>
      </c>
      <c r="D8" s="43" t="str">
        <f aca="false">'Item Master'!C5</f>
        <v>Kalasha &amp; Yagna Prasadam</v>
      </c>
      <c r="E8" s="41" t="str">
        <f aca="false">'Item Master'!F5</f>
        <v>Pouch</v>
      </c>
      <c r="F8" s="50" t="n">
        <f aca="false">IF('Sep-2027'!V8&lt;&gt;"",'Sep-2027'!V8,'Sep-2027'!U8)</f>
        <v>0</v>
      </c>
      <c r="G8" s="45"/>
      <c r="H8" s="45"/>
      <c r="I8" s="46"/>
      <c r="J8" s="47"/>
      <c r="K8" s="45"/>
      <c r="L8" s="45"/>
      <c r="M8" s="46"/>
      <c r="N8" s="47"/>
      <c r="O8" s="48" t="n">
        <f aca="false">N(J8)+N(N8)</f>
        <v>0</v>
      </c>
      <c r="P8" s="47"/>
      <c r="Q8" s="47"/>
      <c r="R8" s="47"/>
      <c r="S8" s="47"/>
      <c r="T8" s="48" t="n">
        <f aca="false">SUM(P8:S8)</f>
        <v>0</v>
      </c>
      <c r="U8" s="49" t="n">
        <f aca="false">N(F8)+O8-T8</f>
        <v>0</v>
      </c>
      <c r="V8" s="47"/>
      <c r="W8" s="48" t="str">
        <f aca="false">IF(V8="","",V8-U8)</f>
        <v/>
      </c>
      <c r="X8" s="50" t="n">
        <f aca="false">'Item Master'!P5</f>
        <v>300</v>
      </c>
      <c r="Y8" s="51" t="str">
        <f aca="false">IF(B8="","",IF(U8&lt;=0,"OUT OF STOCK",IF(U8&lt;=X8,"REORDER NOW",IF(U8&lt;=X8*1.5,"LOW","OK"))))</f>
        <v>OUT OF STOCK</v>
      </c>
      <c r="Z8" s="48" t="n">
        <f aca="false">MAX(0,'Item Master'!Q5-IF(V8&lt;&gt;"",V8,U8))</f>
        <v>600</v>
      </c>
      <c r="AA8" s="45"/>
      <c r="AB8" s="43" t="str">
        <f aca="false">'Item Master'!N5</f>
        <v>Rack 1 – Prasadam &amp; Edibles</v>
      </c>
      <c r="AC8" s="46"/>
      <c r="AD8" s="52"/>
    </row>
    <row r="9" customFormat="false" ht="25.5" hidden="false" customHeight="true" outlineLevel="0" collapsed="false">
      <c r="A9" s="40" t="n">
        <v>2</v>
      </c>
      <c r="B9" s="41" t="str">
        <f aca="false">'Item Master'!A6</f>
        <v>TIL</v>
      </c>
      <c r="C9" s="42" t="str">
        <f aca="false">'Item Master'!B6</f>
        <v>Narasimha Yagna Tilak</v>
      </c>
      <c r="D9" s="43" t="str">
        <f aca="false">'Item Master'!C6</f>
        <v>Kalasha &amp; Yagna Prasadam</v>
      </c>
      <c r="E9" s="41" t="str">
        <f aca="false">'Item Master'!F6</f>
        <v>Container</v>
      </c>
      <c r="F9" s="50" t="n">
        <f aca="false">IF('Sep-2027'!V9&lt;&gt;"",'Sep-2027'!V9,'Sep-2027'!U9)</f>
        <v>195</v>
      </c>
      <c r="G9" s="45"/>
      <c r="H9" s="45"/>
      <c r="I9" s="46"/>
      <c r="J9" s="47"/>
      <c r="K9" s="45"/>
      <c r="L9" s="45"/>
      <c r="M9" s="46"/>
      <c r="N9" s="47"/>
      <c r="O9" s="48" t="n">
        <f aca="false">N(J9)+N(N9)</f>
        <v>0</v>
      </c>
      <c r="P9" s="47"/>
      <c r="Q9" s="47"/>
      <c r="R9" s="47"/>
      <c r="S9" s="47"/>
      <c r="T9" s="48" t="n">
        <f aca="false">SUM(P9:S9)</f>
        <v>0</v>
      </c>
      <c r="U9" s="49" t="n">
        <f aca="false">N(F9)+O9-T9</f>
        <v>195</v>
      </c>
      <c r="V9" s="47"/>
      <c r="W9" s="48" t="str">
        <f aca="false">IF(V9="","",V9-U9)</f>
        <v/>
      </c>
      <c r="X9" s="50" t="n">
        <f aca="false">'Item Master'!P6</f>
        <v>300</v>
      </c>
      <c r="Y9" s="51" t="str">
        <f aca="false">IF(B9="","",IF(U9&lt;=0,"OUT OF STOCK",IF(U9&lt;=X9,"REORDER NOW",IF(U9&lt;=X9*1.5,"LOW","OK"))))</f>
        <v>REORDER NOW</v>
      </c>
      <c r="Z9" s="48" t="n">
        <f aca="false">MAX(0,'Item Master'!Q6-IF(V9&lt;&gt;"",V9,U9))</f>
        <v>405</v>
      </c>
      <c r="AA9" s="45"/>
      <c r="AB9" s="43" t="str">
        <f aca="false">'Item Master'!N6</f>
        <v>Rack 2 – Liquids &amp; Oils (bottom shelf, in trays)</v>
      </c>
      <c r="AC9" s="46"/>
      <c r="AD9" s="52"/>
    </row>
    <row r="10" customFormat="false" ht="25.5" hidden="false" customHeight="true" outlineLevel="0" collapsed="false">
      <c r="A10" s="40" t="n">
        <v>3</v>
      </c>
      <c r="B10" s="41" t="str">
        <f aca="false">'Item Master'!A7</f>
        <v>KAV</v>
      </c>
      <c r="C10" s="42" t="str">
        <f aca="false">'Item Master'!B7</f>
        <v>Narasimha Kavacha (protective amulet / locket)</v>
      </c>
      <c r="D10" s="43" t="str">
        <f aca="false">'Item Master'!C7</f>
        <v>Protection &amp; Mantra</v>
      </c>
      <c r="E10" s="41" t="str">
        <f aca="false">'Item Master'!F7</f>
        <v>Piece</v>
      </c>
      <c r="F10" s="50" t="n">
        <f aca="false">IF('Sep-2027'!V10&lt;&gt;"",'Sep-2027'!V10,'Sep-2027'!U10)</f>
        <v>0</v>
      </c>
      <c r="G10" s="45"/>
      <c r="H10" s="45"/>
      <c r="I10" s="46"/>
      <c r="J10" s="47"/>
      <c r="K10" s="45"/>
      <c r="L10" s="45"/>
      <c r="M10" s="46"/>
      <c r="N10" s="47"/>
      <c r="O10" s="48" t="n">
        <f aca="false">N(J10)+N(N10)</f>
        <v>0</v>
      </c>
      <c r="P10" s="47"/>
      <c r="Q10" s="47"/>
      <c r="R10" s="47"/>
      <c r="S10" s="47"/>
      <c r="T10" s="48" t="n">
        <f aca="false">SUM(P10:S10)</f>
        <v>0</v>
      </c>
      <c r="U10" s="49" t="n">
        <f aca="false">N(F10)+O10-T10</f>
        <v>0</v>
      </c>
      <c r="V10" s="47"/>
      <c r="W10" s="48" t="str">
        <f aca="false">IF(V10="","",V10-U10)</f>
        <v/>
      </c>
      <c r="X10" s="50" t="n">
        <f aca="false">'Item Master'!P7</f>
        <v>100</v>
      </c>
      <c r="Y10" s="51" t="str">
        <f aca="false">IF(B10="","",IF(U10&lt;=0,"OUT OF STOCK",IF(U10&lt;=X10,"REORDER NOW",IF(U10&lt;=X10*1.5,"LOW","OK"))))</f>
        <v>OUT OF STOCK</v>
      </c>
      <c r="Z10" s="48" t="n">
        <f aca="false">MAX(0,'Item Master'!Q7-IF(V10&lt;&gt;"",V10,U10))</f>
        <v>200</v>
      </c>
      <c r="AA10" s="45"/>
      <c r="AB10" s="43" t="str">
        <f aca="false">'Item Master'!N7</f>
        <v>Locked Cabinet – Valuables</v>
      </c>
      <c r="AC10" s="46"/>
      <c r="AD10" s="52"/>
    </row>
    <row r="11" customFormat="false" ht="25.5" hidden="false" customHeight="true" outlineLevel="0" collapsed="false">
      <c r="A11" s="40" t="n">
        <v>4</v>
      </c>
      <c r="B11" s="41" t="str">
        <f aca="false">'Item Master'!A8</f>
        <v>AKV</v>
      </c>
      <c r="C11" s="42" t="str">
        <f aca="false">'Item Master'!B8</f>
        <v>Audio – Narasimha Kavacha (QR card)</v>
      </c>
      <c r="D11" s="43" t="str">
        <f aca="false">'Item Master'!C8</f>
        <v>Audio / Digital</v>
      </c>
      <c r="E11" s="41" t="str">
        <f aca="false">'Item Master'!F8</f>
        <v>Card</v>
      </c>
      <c r="F11" s="50" t="n">
        <f aca="false">IF('Sep-2027'!V11&lt;&gt;"",'Sep-2027'!V11,'Sep-2027'!U11)</f>
        <v>0</v>
      </c>
      <c r="G11" s="45"/>
      <c r="H11" s="45"/>
      <c r="I11" s="46"/>
      <c r="J11" s="47"/>
      <c r="K11" s="45"/>
      <c r="L11" s="45"/>
      <c r="M11" s="46"/>
      <c r="N11" s="47"/>
      <c r="O11" s="48" t="n">
        <f aca="false">N(J11)+N(N11)</f>
        <v>0</v>
      </c>
      <c r="P11" s="47"/>
      <c r="Q11" s="47"/>
      <c r="R11" s="47"/>
      <c r="S11" s="47"/>
      <c r="T11" s="48" t="n">
        <f aca="false">SUM(P11:S11)</f>
        <v>0</v>
      </c>
      <c r="U11" s="49" t="n">
        <f aca="false">N(F11)+O11-T11</f>
        <v>0</v>
      </c>
      <c r="V11" s="47"/>
      <c r="W11" s="48" t="str">
        <f aca="false">IF(V11="","",V11-U11)</f>
        <v/>
      </c>
      <c r="X11" s="50" t="n">
        <f aca="false">'Item Master'!P8</f>
        <v>200</v>
      </c>
      <c r="Y11" s="51" t="str">
        <f aca="false">IF(B11="","",IF(U11&lt;=0,"OUT OF STOCK",IF(U11&lt;=X11,"REORDER NOW",IF(U11&lt;=X11*1.5,"LOW","OK"))))</f>
        <v>OUT OF STOCK</v>
      </c>
      <c r="Z11" s="48" t="n">
        <f aca="false">MAX(0,'Item Master'!Q8-IF(V11&lt;&gt;"",V11,U11))</f>
        <v>500</v>
      </c>
      <c r="AA11" s="45"/>
      <c r="AB11" s="43" t="str">
        <f aca="false">'Item Master'!N8</f>
        <v>Rack 4 – Books, Cards &amp; Paper</v>
      </c>
      <c r="AC11" s="46"/>
      <c r="AD11" s="52"/>
    </row>
    <row r="12" customFormat="false" ht="25.5" hidden="false" customHeight="true" outlineLevel="0" collapsed="false">
      <c r="A12" s="40" t="n">
        <v>5</v>
      </c>
      <c r="B12" s="41" t="str">
        <f aca="false">'Item Master'!A9</f>
        <v>AKR</v>
      </c>
      <c r="C12" s="42" t="str">
        <f aca="false">'Item Master'!B9</f>
        <v>Audio – Narasimha Kirtan (QR card)</v>
      </c>
      <c r="D12" s="43" t="str">
        <f aca="false">'Item Master'!C9</f>
        <v>Audio / Digital</v>
      </c>
      <c r="E12" s="41" t="str">
        <f aca="false">'Item Master'!F9</f>
        <v>Card</v>
      </c>
      <c r="F12" s="50" t="n">
        <f aca="false">IF('Sep-2027'!V12&lt;&gt;"",'Sep-2027'!V12,'Sep-2027'!U12)</f>
        <v>0</v>
      </c>
      <c r="G12" s="45"/>
      <c r="H12" s="45"/>
      <c r="I12" s="46"/>
      <c r="J12" s="47"/>
      <c r="K12" s="45"/>
      <c r="L12" s="45"/>
      <c r="M12" s="46"/>
      <c r="N12" s="47"/>
      <c r="O12" s="48" t="n">
        <f aca="false">N(J12)+N(N12)</f>
        <v>0</v>
      </c>
      <c r="P12" s="47"/>
      <c r="Q12" s="47"/>
      <c r="R12" s="47"/>
      <c r="S12" s="47"/>
      <c r="T12" s="48" t="n">
        <f aca="false">SUM(P12:S12)</f>
        <v>0</v>
      </c>
      <c r="U12" s="49" t="n">
        <f aca="false">N(F12)+O12-T12</f>
        <v>0</v>
      </c>
      <c r="V12" s="47"/>
      <c r="W12" s="48" t="str">
        <f aca="false">IF(V12="","",V12-U12)</f>
        <v/>
      </c>
      <c r="X12" s="50" t="n">
        <f aca="false">'Item Master'!P9</f>
        <v>200</v>
      </c>
      <c r="Y12" s="51" t="str">
        <f aca="false">IF(B12="","",IF(U12&lt;=0,"OUT OF STOCK",IF(U12&lt;=X12,"REORDER NOW",IF(U12&lt;=X12*1.5,"LOW","OK"))))</f>
        <v>OUT OF STOCK</v>
      </c>
      <c r="Z12" s="48" t="n">
        <f aca="false">MAX(0,'Item Master'!Q9-IF(V12&lt;&gt;"",V12,U12))</f>
        <v>500</v>
      </c>
      <c r="AA12" s="45"/>
      <c r="AB12" s="43" t="str">
        <f aca="false">'Item Master'!N9</f>
        <v>Rack 4 – Books, Cards &amp; Paper</v>
      </c>
      <c r="AC12" s="46"/>
      <c r="AD12" s="52"/>
    </row>
    <row r="13" customFormat="false" ht="25.5" hidden="false" customHeight="true" outlineLevel="0" collapsed="false">
      <c r="A13" s="40" t="n">
        <v>6</v>
      </c>
      <c r="B13" s="41" t="str">
        <f aca="false">'Item Master'!A10</f>
        <v>PFR</v>
      </c>
      <c r="C13" s="42" t="str">
        <f aca="false">'Item Master'!B10</f>
        <v>Narasimha Photo Frame</v>
      </c>
      <c r="D13" s="43" t="str">
        <f aca="false">'Item Master'!C10</f>
        <v>Deity Photos &amp; Frames</v>
      </c>
      <c r="E13" s="41" t="str">
        <f aca="false">'Item Master'!F10</f>
        <v>Piece</v>
      </c>
      <c r="F13" s="50" t="n">
        <f aca="false">IF('Sep-2027'!V13&lt;&gt;"",'Sep-2027'!V13,'Sep-2027'!U13)</f>
        <v>0</v>
      </c>
      <c r="G13" s="45"/>
      <c r="H13" s="45"/>
      <c r="I13" s="46"/>
      <c r="J13" s="47"/>
      <c r="K13" s="45"/>
      <c r="L13" s="45"/>
      <c r="M13" s="46"/>
      <c r="N13" s="47"/>
      <c r="O13" s="48" t="n">
        <f aca="false">N(J13)+N(N13)</f>
        <v>0</v>
      </c>
      <c r="P13" s="47"/>
      <c r="Q13" s="47"/>
      <c r="R13" s="47"/>
      <c r="S13" s="47"/>
      <c r="T13" s="48" t="n">
        <f aca="false">SUM(P13:S13)</f>
        <v>0</v>
      </c>
      <c r="U13" s="49" t="n">
        <f aca="false">N(F13)+O13-T13</f>
        <v>0</v>
      </c>
      <c r="V13" s="47"/>
      <c r="W13" s="48" t="str">
        <f aca="false">IF(V13="","",V13-U13)</f>
        <v/>
      </c>
      <c r="X13" s="50" t="n">
        <f aca="false">'Item Master'!P10</f>
        <v>25</v>
      </c>
      <c r="Y13" s="51" t="str">
        <f aca="false">IF(B13="","",IF(U13&lt;=0,"OUT OF STOCK",IF(U13&lt;=X13,"REORDER NOW",IF(U13&lt;=X13*1.5,"LOW","OK"))))</f>
        <v>OUT OF STOCK</v>
      </c>
      <c r="Z13" s="48" t="n">
        <f aca="false">MAX(0,'Item Master'!Q10-IF(V13&lt;&gt;"",V13,U13))</f>
        <v>50</v>
      </c>
      <c r="AA13" s="45"/>
      <c r="AB13" s="43" t="str">
        <f aca="false">'Item Master'!N10</f>
        <v>Rack 3 – Photos, Frames &amp; Fragile</v>
      </c>
      <c r="AC13" s="46"/>
      <c r="AD13" s="52"/>
    </row>
    <row r="14" customFormat="false" ht="25.5" hidden="false" customHeight="true" outlineLevel="0" collapsed="false">
      <c r="A14" s="40" t="n">
        <v>7</v>
      </c>
      <c r="B14" s="41" t="str">
        <f aca="false">'Item Master'!A11</f>
        <v>TTP</v>
      </c>
      <c r="C14" s="42" t="str">
        <f aca="false">'Item Master'!B11</f>
        <v>Narasimha Table Top (idol/stand)</v>
      </c>
      <c r="D14" s="43" t="str">
        <f aca="false">'Item Master'!C11</f>
        <v>Deity Photos &amp; Frames</v>
      </c>
      <c r="E14" s="41" t="str">
        <f aca="false">'Item Master'!F11</f>
        <v>Piece</v>
      </c>
      <c r="F14" s="50" t="n">
        <f aca="false">IF('Sep-2027'!V14&lt;&gt;"",'Sep-2027'!V14,'Sep-2027'!U14)</f>
        <v>0</v>
      </c>
      <c r="G14" s="45"/>
      <c r="H14" s="45"/>
      <c r="I14" s="46"/>
      <c r="J14" s="47"/>
      <c r="K14" s="45"/>
      <c r="L14" s="45"/>
      <c r="M14" s="46"/>
      <c r="N14" s="47"/>
      <c r="O14" s="48" t="n">
        <f aca="false">N(J14)+N(N14)</f>
        <v>0</v>
      </c>
      <c r="P14" s="47"/>
      <c r="Q14" s="47"/>
      <c r="R14" s="47"/>
      <c r="S14" s="47"/>
      <c r="T14" s="48" t="n">
        <f aca="false">SUM(P14:S14)</f>
        <v>0</v>
      </c>
      <c r="U14" s="49" t="n">
        <f aca="false">N(F14)+O14-T14</f>
        <v>0</v>
      </c>
      <c r="V14" s="47"/>
      <c r="W14" s="48" t="str">
        <f aca="false">IF(V14="","",V14-U14)</f>
        <v/>
      </c>
      <c r="X14" s="50" t="n">
        <f aca="false">'Item Master'!P11</f>
        <v>20</v>
      </c>
      <c r="Y14" s="51" t="str">
        <f aca="false">IF(B14="","",IF(U14&lt;=0,"OUT OF STOCK",IF(U14&lt;=X14,"REORDER NOW",IF(U14&lt;=X14*1.5,"LOW","OK"))))</f>
        <v>OUT OF STOCK</v>
      </c>
      <c r="Z14" s="48" t="n">
        <f aca="false">MAX(0,'Item Master'!Q11-IF(V14&lt;&gt;"",V14,U14))</f>
        <v>40</v>
      </c>
      <c r="AA14" s="45"/>
      <c r="AB14" s="43" t="str">
        <f aca="false">'Item Master'!N11</f>
        <v>Rack 3 – Photos, Frames &amp; Fragile</v>
      </c>
      <c r="AC14" s="46"/>
      <c r="AD14" s="52"/>
    </row>
    <row r="15" customFormat="false" ht="25.5" hidden="false" customHeight="true" outlineLevel="0" collapsed="false">
      <c r="A15" s="40" t="n">
        <v>8</v>
      </c>
      <c r="B15" s="41" t="str">
        <f aca="false">'Item Master'!A12</f>
        <v>STK</v>
      </c>
      <c r="C15" s="42" t="str">
        <f aca="false">'Item Master'!B12</f>
        <v>Narasimha Sticker</v>
      </c>
      <c r="D15" s="43" t="str">
        <f aca="false">'Item Master'!C12</f>
        <v>Protection &amp; Mantra</v>
      </c>
      <c r="E15" s="41" t="str">
        <f aca="false">'Item Master'!F12</f>
        <v>Piece</v>
      </c>
      <c r="F15" s="50" t="n">
        <f aca="false">IF('Sep-2027'!V15&lt;&gt;"",'Sep-2027'!V15,'Sep-2027'!U15)</f>
        <v>0</v>
      </c>
      <c r="G15" s="45"/>
      <c r="H15" s="45"/>
      <c r="I15" s="46"/>
      <c r="J15" s="47"/>
      <c r="K15" s="45"/>
      <c r="L15" s="45"/>
      <c r="M15" s="46"/>
      <c r="N15" s="47"/>
      <c r="O15" s="48" t="n">
        <f aca="false">N(J15)+N(N15)</f>
        <v>0</v>
      </c>
      <c r="P15" s="47"/>
      <c r="Q15" s="47"/>
      <c r="R15" s="47"/>
      <c r="S15" s="47"/>
      <c r="T15" s="48" t="n">
        <f aca="false">SUM(P15:S15)</f>
        <v>0</v>
      </c>
      <c r="U15" s="49" t="n">
        <f aca="false">N(F15)+O15-T15</f>
        <v>0</v>
      </c>
      <c r="V15" s="47"/>
      <c r="W15" s="48" t="str">
        <f aca="false">IF(V15="","",V15-U15)</f>
        <v/>
      </c>
      <c r="X15" s="50" t="n">
        <f aca="false">'Item Master'!P12</f>
        <v>300</v>
      </c>
      <c r="Y15" s="51" t="str">
        <f aca="false">IF(B15="","",IF(U15&lt;=0,"OUT OF STOCK",IF(U15&lt;=X15,"REORDER NOW",IF(U15&lt;=X15*1.5,"LOW","OK"))))</f>
        <v>OUT OF STOCK</v>
      </c>
      <c r="Z15" s="48" t="n">
        <f aca="false">MAX(0,'Item Master'!Q12-IF(V15&lt;&gt;"",V15,U15))</f>
        <v>600</v>
      </c>
      <c r="AA15" s="45"/>
      <c r="AB15" s="43" t="str">
        <f aca="false">'Item Master'!N12</f>
        <v>Rack 4 – Books, Cards &amp; Paper</v>
      </c>
      <c r="AC15" s="46"/>
      <c r="AD15" s="52"/>
    </row>
    <row r="16" customFormat="false" ht="25.5" hidden="false" customHeight="true" outlineLevel="0" collapsed="false">
      <c r="A16" s="40" t="n">
        <v>9</v>
      </c>
      <c r="B16" s="41" t="str">
        <f aca="false">'Item Master'!A13</f>
        <v>KPR</v>
      </c>
      <c r="C16" s="42" t="str">
        <f aca="false">'Item Master'!B13</f>
        <v>Narasimha Kavacha Print Out</v>
      </c>
      <c r="D16" s="43" t="str">
        <f aca="false">'Item Master'!C13</f>
        <v>Protection &amp; Mantra</v>
      </c>
      <c r="E16" s="41" t="str">
        <f aca="false">'Item Master'!F13</f>
        <v>Sheet</v>
      </c>
      <c r="F16" s="50" t="n">
        <f aca="false">IF('Sep-2027'!V16&lt;&gt;"",'Sep-2027'!V16,'Sep-2027'!U16)</f>
        <v>0</v>
      </c>
      <c r="G16" s="45"/>
      <c r="H16" s="45"/>
      <c r="I16" s="46"/>
      <c r="J16" s="47"/>
      <c r="K16" s="45"/>
      <c r="L16" s="45"/>
      <c r="M16" s="46"/>
      <c r="N16" s="47"/>
      <c r="O16" s="48" t="n">
        <f aca="false">N(J16)+N(N16)</f>
        <v>0</v>
      </c>
      <c r="P16" s="47"/>
      <c r="Q16" s="47"/>
      <c r="R16" s="47"/>
      <c r="S16" s="47"/>
      <c r="T16" s="48" t="n">
        <f aca="false">SUM(P16:S16)</f>
        <v>0</v>
      </c>
      <c r="U16" s="49" t="n">
        <f aca="false">N(F16)+O16-T16</f>
        <v>0</v>
      </c>
      <c r="V16" s="47"/>
      <c r="W16" s="48" t="str">
        <f aca="false">IF(V16="","",V16-U16)</f>
        <v/>
      </c>
      <c r="X16" s="50" t="n">
        <f aca="false">'Item Master'!P13</f>
        <v>200</v>
      </c>
      <c r="Y16" s="51" t="str">
        <f aca="false">IF(B16="","",IF(U16&lt;=0,"OUT OF STOCK",IF(U16&lt;=X16,"REORDER NOW",IF(U16&lt;=X16*1.5,"LOW","OK"))))</f>
        <v>OUT OF STOCK</v>
      </c>
      <c r="Z16" s="48" t="n">
        <f aca="false">MAX(0,'Item Master'!Q13-IF(V16&lt;&gt;"",V16,U16))</f>
        <v>400</v>
      </c>
      <c r="AA16" s="45"/>
      <c r="AB16" s="43" t="str">
        <f aca="false">'Item Master'!N13</f>
        <v>Rack 4 – Books, Cards &amp; Paper</v>
      </c>
      <c r="AC16" s="46"/>
      <c r="AD16" s="52"/>
    </row>
    <row r="17" customFormat="false" ht="25.5" hidden="false" customHeight="true" outlineLevel="0" collapsed="false">
      <c r="A17" s="40" t="n">
        <v>10</v>
      </c>
      <c r="B17" s="41" t="str">
        <f aca="false">'Item Master'!A14</f>
        <v>MBX</v>
      </c>
      <c r="C17" s="42" t="str">
        <f aca="false">'Item Master'!B14</f>
        <v>Mantra Box</v>
      </c>
      <c r="D17" s="43" t="str">
        <f aca="false">'Item Master'!C14</f>
        <v>Protection &amp; Mantra</v>
      </c>
      <c r="E17" s="41" t="str">
        <f aca="false">'Item Master'!F14</f>
        <v>Box</v>
      </c>
      <c r="F17" s="50" t="n">
        <f aca="false">IF('Sep-2027'!V17&lt;&gt;"",'Sep-2027'!V17,'Sep-2027'!U17)</f>
        <v>0</v>
      </c>
      <c r="G17" s="45"/>
      <c r="H17" s="45"/>
      <c r="I17" s="46"/>
      <c r="J17" s="47"/>
      <c r="K17" s="45"/>
      <c r="L17" s="45"/>
      <c r="M17" s="46"/>
      <c r="N17" s="47"/>
      <c r="O17" s="48" t="n">
        <f aca="false">N(J17)+N(N17)</f>
        <v>0</v>
      </c>
      <c r="P17" s="47"/>
      <c r="Q17" s="47"/>
      <c r="R17" s="47"/>
      <c r="S17" s="47"/>
      <c r="T17" s="48" t="n">
        <f aca="false">SUM(P17:S17)</f>
        <v>0</v>
      </c>
      <c r="U17" s="49" t="n">
        <f aca="false">N(F17)+O17-T17</f>
        <v>0</v>
      </c>
      <c r="V17" s="47"/>
      <c r="W17" s="48" t="str">
        <f aca="false">IF(V17="","",V17-U17)</f>
        <v/>
      </c>
      <c r="X17" s="50" t="n">
        <f aca="false">'Item Master'!P14</f>
        <v>50</v>
      </c>
      <c r="Y17" s="51" t="str">
        <f aca="false">IF(B17="","",IF(U17&lt;=0,"OUT OF STOCK",IF(U17&lt;=X17,"REORDER NOW",IF(U17&lt;=X17*1.5,"LOW","OK"))))</f>
        <v>OUT OF STOCK</v>
      </c>
      <c r="Z17" s="48" t="n">
        <f aca="false">MAX(0,'Item Master'!Q14-IF(V17&lt;&gt;"",V17,U17))</f>
        <v>100</v>
      </c>
      <c r="AA17" s="45"/>
      <c r="AB17" s="43" t="str">
        <f aca="false">'Item Master'!N14</f>
        <v>Rack 4 – Books, Cards &amp; Paper</v>
      </c>
      <c r="AC17" s="46"/>
      <c r="AD17" s="52"/>
    </row>
    <row r="18" customFormat="false" ht="25.5" hidden="false" customHeight="true" outlineLevel="0" collapsed="false">
      <c r="A18" s="40" t="n">
        <v>11</v>
      </c>
      <c r="B18" s="41" t="str">
        <f aca="false">'Item Master'!A15</f>
        <v>PRG</v>
      </c>
      <c r="C18" s="42" t="str">
        <f aca="false">'Item Master'!B15</f>
        <v>Radha Govinda Photo</v>
      </c>
      <c r="D18" s="43" t="str">
        <f aca="false">'Item Master'!C15</f>
        <v>Deity Photos &amp; Frames</v>
      </c>
      <c r="E18" s="41" t="str">
        <f aca="false">'Item Master'!F15</f>
        <v>Piece</v>
      </c>
      <c r="F18" s="50" t="n">
        <f aca="false">IF('Sep-2027'!V18&lt;&gt;"",'Sep-2027'!V18,'Sep-2027'!U18)</f>
        <v>0</v>
      </c>
      <c r="G18" s="45"/>
      <c r="H18" s="45"/>
      <c r="I18" s="46"/>
      <c r="J18" s="47"/>
      <c r="K18" s="45"/>
      <c r="L18" s="45"/>
      <c r="M18" s="46"/>
      <c r="N18" s="47"/>
      <c r="O18" s="48" t="n">
        <f aca="false">N(J18)+N(N18)</f>
        <v>0</v>
      </c>
      <c r="P18" s="47"/>
      <c r="Q18" s="47"/>
      <c r="R18" s="47"/>
      <c r="S18" s="47"/>
      <c r="T18" s="48" t="n">
        <f aca="false">SUM(P18:S18)</f>
        <v>0</v>
      </c>
      <c r="U18" s="49" t="n">
        <f aca="false">N(F18)+O18-T18</f>
        <v>0</v>
      </c>
      <c r="V18" s="47"/>
      <c r="W18" s="48" t="str">
        <f aca="false">IF(V18="","",V18-U18)</f>
        <v/>
      </c>
      <c r="X18" s="50" t="n">
        <f aca="false">'Item Master'!P15</f>
        <v>200</v>
      </c>
      <c r="Y18" s="51" t="str">
        <f aca="false">IF(B18="","",IF(U18&lt;=0,"OUT OF STOCK",IF(U18&lt;=X18,"REORDER NOW",IF(U18&lt;=X18*1.5,"LOW","OK"))))</f>
        <v>OUT OF STOCK</v>
      </c>
      <c r="Z18" s="48" t="n">
        <f aca="false">MAX(0,'Item Master'!Q15-IF(V18&lt;&gt;"",V18,U18))</f>
        <v>400</v>
      </c>
      <c r="AA18" s="45"/>
      <c r="AB18" s="43" t="str">
        <f aca="false">'Item Master'!N15</f>
        <v>Rack 3 – Photos, Frames &amp; Fragile</v>
      </c>
      <c r="AC18" s="46"/>
      <c r="AD18" s="52"/>
    </row>
    <row r="19" customFormat="false" ht="25.5" hidden="false" customHeight="true" outlineLevel="0" collapsed="false">
      <c r="A19" s="40" t="n">
        <v>12</v>
      </c>
      <c r="B19" s="41" t="str">
        <f aca="false">'Item Master'!A16</f>
        <v>PHN</v>
      </c>
      <c r="C19" s="42" t="str">
        <f aca="false">'Item Master'!B16</f>
        <v>Hanuman Photo</v>
      </c>
      <c r="D19" s="43" t="str">
        <f aca="false">'Item Master'!C16</f>
        <v>Deity Photos &amp; Frames</v>
      </c>
      <c r="E19" s="41" t="str">
        <f aca="false">'Item Master'!F16</f>
        <v>Piece</v>
      </c>
      <c r="F19" s="50" t="n">
        <f aca="false">IF('Sep-2027'!V19&lt;&gt;"",'Sep-2027'!V19,'Sep-2027'!U19)</f>
        <v>0</v>
      </c>
      <c r="G19" s="45"/>
      <c r="H19" s="45"/>
      <c r="I19" s="46"/>
      <c r="J19" s="47"/>
      <c r="K19" s="45"/>
      <c r="L19" s="45"/>
      <c r="M19" s="46"/>
      <c r="N19" s="47"/>
      <c r="O19" s="48" t="n">
        <f aca="false">N(J19)+N(N19)</f>
        <v>0</v>
      </c>
      <c r="P19" s="47"/>
      <c r="Q19" s="47"/>
      <c r="R19" s="47"/>
      <c r="S19" s="47"/>
      <c r="T19" s="48" t="n">
        <f aca="false">SUM(P19:S19)</f>
        <v>0</v>
      </c>
      <c r="U19" s="49" t="n">
        <f aca="false">N(F19)+O19-T19</f>
        <v>0</v>
      </c>
      <c r="V19" s="47"/>
      <c r="W19" s="48" t="str">
        <f aca="false">IF(V19="","",V19-U19)</f>
        <v/>
      </c>
      <c r="X19" s="50" t="n">
        <f aca="false">'Item Master'!P16</f>
        <v>100</v>
      </c>
      <c r="Y19" s="51" t="str">
        <f aca="false">IF(B19="","",IF(U19&lt;=0,"OUT OF STOCK",IF(U19&lt;=X19,"REORDER NOW",IF(U19&lt;=X19*1.5,"LOW","OK"))))</f>
        <v>OUT OF STOCK</v>
      </c>
      <c r="Z19" s="48" t="n">
        <f aca="false">MAX(0,'Item Master'!Q16-IF(V19&lt;&gt;"",V19,U19))</f>
        <v>200</v>
      </c>
      <c r="AA19" s="45"/>
      <c r="AB19" s="43" t="str">
        <f aca="false">'Item Master'!N16</f>
        <v>Rack 3 – Photos, Frames &amp; Fragile</v>
      </c>
      <c r="AC19" s="46"/>
      <c r="AD19" s="52"/>
    </row>
    <row r="20" customFormat="false" ht="25.5" hidden="false" customHeight="true" outlineLevel="0" collapsed="false">
      <c r="A20" s="40" t="n">
        <v>13</v>
      </c>
      <c r="B20" s="41" t="str">
        <f aca="false">'Item Master'!A17</f>
        <v>PLN</v>
      </c>
      <c r="C20" s="42" t="str">
        <f aca="false">'Item Master'!B17</f>
        <v>Lakshmi Narasimha Photo</v>
      </c>
      <c r="D20" s="43" t="str">
        <f aca="false">'Item Master'!C17</f>
        <v>Deity Photos &amp; Frames</v>
      </c>
      <c r="E20" s="41" t="str">
        <f aca="false">'Item Master'!F17</f>
        <v>Piece</v>
      </c>
      <c r="F20" s="50" t="n">
        <f aca="false">IF('Sep-2027'!V20&lt;&gt;"",'Sep-2027'!V20,'Sep-2027'!U20)</f>
        <v>0</v>
      </c>
      <c r="G20" s="45"/>
      <c r="H20" s="45"/>
      <c r="I20" s="46"/>
      <c r="J20" s="47"/>
      <c r="K20" s="45"/>
      <c r="L20" s="45"/>
      <c r="M20" s="46"/>
      <c r="N20" s="47"/>
      <c r="O20" s="48" t="n">
        <f aca="false">N(J20)+N(N20)</f>
        <v>0</v>
      </c>
      <c r="P20" s="47"/>
      <c r="Q20" s="47"/>
      <c r="R20" s="47"/>
      <c r="S20" s="47"/>
      <c r="T20" s="48" t="n">
        <f aca="false">SUM(P20:S20)</f>
        <v>0</v>
      </c>
      <c r="U20" s="49" t="n">
        <f aca="false">N(F20)+O20-T20</f>
        <v>0</v>
      </c>
      <c r="V20" s="47"/>
      <c r="W20" s="48" t="str">
        <f aca="false">IF(V20="","",V20-U20)</f>
        <v/>
      </c>
      <c r="X20" s="50" t="n">
        <f aca="false">'Item Master'!P17</f>
        <v>150</v>
      </c>
      <c r="Y20" s="51" t="str">
        <f aca="false">IF(B20="","",IF(U20&lt;=0,"OUT OF STOCK",IF(U20&lt;=X20,"REORDER NOW",IF(U20&lt;=X20*1.5,"LOW","OK"))))</f>
        <v>OUT OF STOCK</v>
      </c>
      <c r="Z20" s="48" t="n">
        <f aca="false">MAX(0,'Item Master'!Q17-IF(V20&lt;&gt;"",V20,U20))</f>
        <v>300</v>
      </c>
      <c r="AA20" s="45"/>
      <c r="AB20" s="43" t="str">
        <f aca="false">'Item Master'!N17</f>
        <v>Rack 3 – Photos, Frames &amp; Fragile</v>
      </c>
      <c r="AC20" s="46"/>
      <c r="AD20" s="52"/>
    </row>
    <row r="21" customFormat="false" ht="25.5" hidden="false" customHeight="true" outlineLevel="0" collapsed="false">
      <c r="A21" s="40" t="n">
        <v>14</v>
      </c>
      <c r="B21" s="41" t="str">
        <f aca="false">'Item Master'!A18</f>
        <v>CTL</v>
      </c>
      <c r="C21" s="42" t="str">
        <f aca="false">'Item Master'!B18</f>
        <v>Charan Tulasi</v>
      </c>
      <c r="D21" s="43" t="str">
        <f aca="false">'Item Master'!C18</f>
        <v>Kalasha &amp; Yagna Prasadam</v>
      </c>
      <c r="E21" s="41" t="str">
        <f aca="false">'Item Master'!F18</f>
        <v>Pouch</v>
      </c>
      <c r="F21" s="50" t="n">
        <f aca="false">IF('Sep-2027'!V21&lt;&gt;"",'Sep-2027'!V21,'Sep-2027'!U21)</f>
        <v>0</v>
      </c>
      <c r="G21" s="45"/>
      <c r="H21" s="45"/>
      <c r="I21" s="46"/>
      <c r="J21" s="47"/>
      <c r="K21" s="45"/>
      <c r="L21" s="45"/>
      <c r="M21" s="46"/>
      <c r="N21" s="47"/>
      <c r="O21" s="48" t="n">
        <f aca="false">N(J21)+N(N21)</f>
        <v>0</v>
      </c>
      <c r="P21" s="47"/>
      <c r="Q21" s="47"/>
      <c r="R21" s="47"/>
      <c r="S21" s="47"/>
      <c r="T21" s="48" t="n">
        <f aca="false">SUM(P21:S21)</f>
        <v>0</v>
      </c>
      <c r="U21" s="49" t="n">
        <f aca="false">N(F21)+O21-T21</f>
        <v>0</v>
      </c>
      <c r="V21" s="47"/>
      <c r="W21" s="48" t="str">
        <f aca="false">IF(V21="","",V21-U21)</f>
        <v/>
      </c>
      <c r="X21" s="50" t="n">
        <f aca="false">'Item Master'!P18</f>
        <v>300</v>
      </c>
      <c r="Y21" s="51" t="str">
        <f aca="false">IF(B21="","",IF(U21&lt;=0,"OUT OF STOCK",IF(U21&lt;=X21,"REORDER NOW",IF(U21&lt;=X21*1.5,"LOW","OK"))))</f>
        <v>OUT OF STOCK</v>
      </c>
      <c r="Z21" s="48" t="n">
        <f aca="false">MAX(0,'Item Master'!Q18-IF(V21&lt;&gt;"",V21,U21))</f>
        <v>600</v>
      </c>
      <c r="AA21" s="45"/>
      <c r="AB21" s="43" t="str">
        <f aca="false">'Item Master'!N18</f>
        <v>Rack 1 – Prasadam &amp; Edibles</v>
      </c>
      <c r="AC21" s="46"/>
      <c r="AD21" s="52"/>
    </row>
    <row r="22" customFormat="false" ht="25.5" hidden="false" customHeight="true" outlineLevel="0" collapsed="false">
      <c r="A22" s="40" t="n">
        <v>15</v>
      </c>
      <c r="B22" s="41" t="str">
        <f aca="false">'Item Master'!A19</f>
        <v>CAM</v>
      </c>
      <c r="C22" s="42" t="str">
        <f aca="false">'Item Master'!B19</f>
        <v>Charanamrita</v>
      </c>
      <c r="D22" s="43" t="str">
        <f aca="false">'Item Master'!C19</f>
        <v>Holy Items &amp; Liquids</v>
      </c>
      <c r="E22" s="41" t="str">
        <f aca="false">'Item Master'!F19</f>
        <v>Bottle</v>
      </c>
      <c r="F22" s="50" t="n">
        <f aca="false">IF('Sep-2027'!V22&lt;&gt;"",'Sep-2027'!V22,'Sep-2027'!U22)</f>
        <v>0</v>
      </c>
      <c r="G22" s="45"/>
      <c r="H22" s="45"/>
      <c r="I22" s="46"/>
      <c r="J22" s="47"/>
      <c r="K22" s="45"/>
      <c r="L22" s="45"/>
      <c r="M22" s="46"/>
      <c r="N22" s="47"/>
      <c r="O22" s="48" t="n">
        <f aca="false">N(J22)+N(N22)</f>
        <v>0</v>
      </c>
      <c r="P22" s="47"/>
      <c r="Q22" s="47"/>
      <c r="R22" s="47"/>
      <c r="S22" s="47"/>
      <c r="T22" s="48" t="n">
        <f aca="false">SUM(P22:S22)</f>
        <v>0</v>
      </c>
      <c r="U22" s="49" t="n">
        <f aca="false">N(F22)+O22-T22</f>
        <v>0</v>
      </c>
      <c r="V22" s="47"/>
      <c r="W22" s="48" t="str">
        <f aca="false">IF(V22="","",V22-U22)</f>
        <v/>
      </c>
      <c r="X22" s="50" t="n">
        <f aca="false">'Item Master'!P19</f>
        <v>50</v>
      </c>
      <c r="Y22" s="51" t="str">
        <f aca="false">IF(B22="","",IF(U22&lt;=0,"OUT OF STOCK",IF(U22&lt;=X22,"REORDER NOW",IF(U22&lt;=X22*1.5,"LOW","OK"))))</f>
        <v>OUT OF STOCK</v>
      </c>
      <c r="Z22" s="48" t="n">
        <f aca="false">MAX(0,'Item Master'!Q19-IF(V22&lt;&gt;"",V22,U22))</f>
        <v>100</v>
      </c>
      <c r="AA22" s="45"/>
      <c r="AB22" s="43" t="str">
        <f aca="false">'Item Master'!N19</f>
        <v>Rack 2 – Liquids &amp; Oils (bottom shelf, in trays)</v>
      </c>
      <c r="AC22" s="46"/>
      <c r="AD22" s="52"/>
    </row>
    <row r="23" customFormat="false" ht="25.5" hidden="false" customHeight="true" outlineLevel="0" collapsed="false">
      <c r="A23" s="40" t="n">
        <v>16</v>
      </c>
      <c r="B23" s="41" t="str">
        <f aca="false">'Item Master'!A20</f>
        <v>HWR</v>
      </c>
      <c r="C23" s="42" t="str">
        <f aca="false">'Item Master'!B20</f>
        <v>Holy Water from Holy Rivers</v>
      </c>
      <c r="D23" s="43" t="str">
        <f aca="false">'Item Master'!C20</f>
        <v>Holy Items &amp; Liquids</v>
      </c>
      <c r="E23" s="41" t="str">
        <f aca="false">'Item Master'!F20</f>
        <v>Bottle</v>
      </c>
      <c r="F23" s="50" t="n">
        <f aca="false">IF('Sep-2027'!V23&lt;&gt;"",'Sep-2027'!V23,'Sep-2027'!U23)</f>
        <v>0</v>
      </c>
      <c r="G23" s="45"/>
      <c r="H23" s="45"/>
      <c r="I23" s="46"/>
      <c r="J23" s="47"/>
      <c r="K23" s="45"/>
      <c r="L23" s="45"/>
      <c r="M23" s="46"/>
      <c r="N23" s="47"/>
      <c r="O23" s="48" t="n">
        <f aca="false">N(J23)+N(N23)</f>
        <v>0</v>
      </c>
      <c r="P23" s="47"/>
      <c r="Q23" s="47"/>
      <c r="R23" s="47"/>
      <c r="S23" s="47"/>
      <c r="T23" s="48" t="n">
        <f aca="false">SUM(P23:S23)</f>
        <v>0</v>
      </c>
      <c r="U23" s="49" t="n">
        <f aca="false">N(F23)+O23-T23</f>
        <v>0</v>
      </c>
      <c r="V23" s="47"/>
      <c r="W23" s="48" t="str">
        <f aca="false">IF(V23="","",V23-U23)</f>
        <v/>
      </c>
      <c r="X23" s="50" t="n">
        <f aca="false">'Item Master'!P20</f>
        <v>100</v>
      </c>
      <c r="Y23" s="51" t="str">
        <f aca="false">IF(B23="","",IF(U23&lt;=0,"OUT OF STOCK",IF(U23&lt;=X23,"REORDER NOW",IF(U23&lt;=X23*1.5,"LOW","OK"))))</f>
        <v>OUT OF STOCK</v>
      </c>
      <c r="Z23" s="48" t="n">
        <f aca="false">MAX(0,'Item Master'!Q20-IF(V23&lt;&gt;"",V23,U23))</f>
        <v>200</v>
      </c>
      <c r="AA23" s="45"/>
      <c r="AB23" s="43" t="str">
        <f aca="false">'Item Master'!N20</f>
        <v>Rack 2 – Liquids &amp; Oils (bottom shelf, in trays)</v>
      </c>
      <c r="AC23" s="46"/>
      <c r="AD23" s="52"/>
    </row>
    <row r="24" customFormat="false" ht="25.5" hidden="false" customHeight="true" outlineLevel="0" collapsed="false">
      <c r="A24" s="40" t="n">
        <v>17</v>
      </c>
      <c r="B24" s="41" t="str">
        <f aca="false">'Item Master'!A21</f>
        <v>BPF</v>
      </c>
      <c r="C24" s="42" t="str">
        <f aca="false">'Item Master'!B21</f>
        <v>Badrinath Prasadam Perfume (Attar)</v>
      </c>
      <c r="D24" s="43" t="str">
        <f aca="false">'Item Master'!C21</f>
        <v>Fragrance &amp; Puja</v>
      </c>
      <c r="E24" s="41" t="str">
        <f aca="false">'Item Master'!F21</f>
        <v>Bottle</v>
      </c>
      <c r="F24" s="50" t="n">
        <f aca="false">IF('Sep-2027'!V24&lt;&gt;"",'Sep-2027'!V24,'Sep-2027'!U24)</f>
        <v>0</v>
      </c>
      <c r="G24" s="45"/>
      <c r="H24" s="45"/>
      <c r="I24" s="46"/>
      <c r="J24" s="47"/>
      <c r="K24" s="45"/>
      <c r="L24" s="45"/>
      <c r="M24" s="46"/>
      <c r="N24" s="47"/>
      <c r="O24" s="48" t="n">
        <f aca="false">N(J24)+N(N24)</f>
        <v>0</v>
      </c>
      <c r="P24" s="47"/>
      <c r="Q24" s="47"/>
      <c r="R24" s="47"/>
      <c r="S24" s="47"/>
      <c r="T24" s="48" t="n">
        <f aca="false">SUM(P24:S24)</f>
        <v>0</v>
      </c>
      <c r="U24" s="49" t="n">
        <f aca="false">N(F24)+O24-T24</f>
        <v>0</v>
      </c>
      <c r="V24" s="47"/>
      <c r="W24" s="48" t="str">
        <f aca="false">IF(V24="","",V24-U24)</f>
        <v/>
      </c>
      <c r="X24" s="50" t="n">
        <f aca="false">'Item Master'!P21</f>
        <v>50</v>
      </c>
      <c r="Y24" s="51" t="str">
        <f aca="false">IF(B24="","",IF(U24&lt;=0,"OUT OF STOCK",IF(U24&lt;=X24,"REORDER NOW",IF(U24&lt;=X24*1.5,"LOW","OK"))))</f>
        <v>OUT OF STOCK</v>
      </c>
      <c r="Z24" s="48" t="n">
        <f aca="false">MAX(0,'Item Master'!Q21-IF(V24&lt;&gt;"",V24,U24))</f>
        <v>100</v>
      </c>
      <c r="AA24" s="45"/>
      <c r="AB24" s="43" t="str">
        <f aca="false">'Item Master'!N21</f>
        <v>Locked Cabinet – Valuables</v>
      </c>
      <c r="AC24" s="46"/>
      <c r="AD24" s="52"/>
    </row>
    <row r="25" customFormat="false" ht="25.5" hidden="false" customHeight="true" outlineLevel="0" collapsed="false">
      <c r="A25" s="40" t="n">
        <v>18</v>
      </c>
      <c r="B25" s="41" t="str">
        <f aca="false">'Item Master'!A22</f>
        <v>CHN</v>
      </c>
      <c r="C25" s="42" t="str">
        <f aca="false">'Item Master'!B22</f>
        <v>Chandan Prasadam</v>
      </c>
      <c r="D25" s="43" t="str">
        <f aca="false">'Item Master'!C22</f>
        <v>Kalasha &amp; Yagna Prasadam</v>
      </c>
      <c r="E25" s="41" t="str">
        <f aca="false">'Item Master'!F22</f>
        <v>Pouch</v>
      </c>
      <c r="F25" s="50" t="n">
        <f aca="false">IF('Sep-2027'!V25&lt;&gt;"",'Sep-2027'!V25,'Sep-2027'!U25)</f>
        <v>0</v>
      </c>
      <c r="G25" s="45"/>
      <c r="H25" s="45"/>
      <c r="I25" s="46"/>
      <c r="J25" s="47"/>
      <c r="K25" s="45"/>
      <c r="L25" s="45"/>
      <c r="M25" s="46"/>
      <c r="N25" s="47"/>
      <c r="O25" s="48" t="n">
        <f aca="false">N(J25)+N(N25)</f>
        <v>0</v>
      </c>
      <c r="P25" s="47"/>
      <c r="Q25" s="47"/>
      <c r="R25" s="47"/>
      <c r="S25" s="47"/>
      <c r="T25" s="48" t="n">
        <f aca="false">SUM(P25:S25)</f>
        <v>0</v>
      </c>
      <c r="U25" s="49" t="n">
        <f aca="false">N(F25)+O25-T25</f>
        <v>0</v>
      </c>
      <c r="V25" s="47"/>
      <c r="W25" s="48" t="str">
        <f aca="false">IF(V25="","",V25-U25)</f>
        <v/>
      </c>
      <c r="X25" s="50" t="n">
        <f aca="false">'Item Master'!P22</f>
        <v>200</v>
      </c>
      <c r="Y25" s="51" t="str">
        <f aca="false">IF(B25="","",IF(U25&lt;=0,"OUT OF STOCK",IF(U25&lt;=X25,"REORDER NOW",IF(U25&lt;=X25*1.5,"LOW","OK"))))</f>
        <v>OUT OF STOCK</v>
      </c>
      <c r="Z25" s="48" t="n">
        <f aca="false">MAX(0,'Item Master'!Q22-IF(V25&lt;&gt;"",V25,U25))</f>
        <v>400</v>
      </c>
      <c r="AA25" s="45"/>
      <c r="AB25" s="43" t="str">
        <f aca="false">'Item Master'!N22</f>
        <v>Rack 1 – Prasadam &amp; Edibles</v>
      </c>
      <c r="AC25" s="46"/>
      <c r="AD25" s="52"/>
    </row>
    <row r="26" customFormat="false" ht="25.5" hidden="false" customHeight="true" outlineLevel="0" collapsed="false">
      <c r="A26" s="40" t="n">
        <v>19</v>
      </c>
      <c r="B26" s="41" t="str">
        <f aca="false">'Item Master'!A23</f>
        <v>AGR</v>
      </c>
      <c r="C26" s="42" t="str">
        <f aca="false">'Item Master'!B23</f>
        <v>Agarbathi</v>
      </c>
      <c r="D26" s="43" t="str">
        <f aca="false">'Item Master'!C23</f>
        <v>Fragrance &amp; Puja</v>
      </c>
      <c r="E26" s="41" t="str">
        <f aca="false">'Item Master'!F23</f>
        <v>Pack</v>
      </c>
      <c r="F26" s="50" t="n">
        <f aca="false">IF('Sep-2027'!V26&lt;&gt;"",'Sep-2027'!V26,'Sep-2027'!U26)</f>
        <v>0</v>
      </c>
      <c r="G26" s="45"/>
      <c r="H26" s="45"/>
      <c r="I26" s="46"/>
      <c r="J26" s="47"/>
      <c r="K26" s="45"/>
      <c r="L26" s="45"/>
      <c r="M26" s="46"/>
      <c r="N26" s="47"/>
      <c r="O26" s="48" t="n">
        <f aca="false">N(J26)+N(N26)</f>
        <v>0</v>
      </c>
      <c r="P26" s="47"/>
      <c r="Q26" s="47"/>
      <c r="R26" s="47"/>
      <c r="S26" s="47"/>
      <c r="T26" s="48" t="n">
        <f aca="false">SUM(P26:S26)</f>
        <v>0</v>
      </c>
      <c r="U26" s="49" t="n">
        <f aca="false">N(F26)+O26-T26</f>
        <v>0</v>
      </c>
      <c r="V26" s="47"/>
      <c r="W26" s="48" t="str">
        <f aca="false">IF(V26="","",V26-U26)</f>
        <v/>
      </c>
      <c r="X26" s="50" t="n">
        <f aca="false">'Item Master'!P23</f>
        <v>200</v>
      </c>
      <c r="Y26" s="51" t="str">
        <f aca="false">IF(B26="","",IF(U26&lt;=0,"OUT OF STOCK",IF(U26&lt;=X26,"REORDER NOW",IF(U26&lt;=X26*1.5,"LOW","OK"))))</f>
        <v>OUT OF STOCK</v>
      </c>
      <c r="Z26" s="48" t="n">
        <f aca="false">MAX(0,'Item Master'!Q23-IF(V26&lt;&gt;"",V26,U26))</f>
        <v>400</v>
      </c>
      <c r="AA26" s="45"/>
      <c r="AB26" s="43" t="str">
        <f aca="false">'Item Master'!N23</f>
        <v>Rack 5 – Fragrance &amp; Puja items</v>
      </c>
      <c r="AC26" s="46"/>
      <c r="AD26" s="52"/>
    </row>
    <row r="27" customFormat="false" ht="25.5" hidden="false" customHeight="true" outlineLevel="0" collapsed="false">
      <c r="A27" s="40" t="n">
        <v>20</v>
      </c>
      <c r="B27" s="41" t="str">
        <f aca="false">'Item Master'!A24</f>
        <v>BKS</v>
      </c>
      <c r="C27" s="42" t="str">
        <f aca="false">'Item Master'!B24</f>
        <v>Book (small booklet)</v>
      </c>
      <c r="D27" s="43" t="str">
        <f aca="false">'Item Master'!C24</f>
        <v>Books &amp; Media</v>
      </c>
      <c r="E27" s="41" t="str">
        <f aca="false">'Item Master'!F24</f>
        <v>Piece</v>
      </c>
      <c r="F27" s="50" t="n">
        <f aca="false">IF('Sep-2027'!V27&lt;&gt;"",'Sep-2027'!V27,'Sep-2027'!U27)</f>
        <v>0</v>
      </c>
      <c r="G27" s="45"/>
      <c r="H27" s="45"/>
      <c r="I27" s="46"/>
      <c r="J27" s="47"/>
      <c r="K27" s="45"/>
      <c r="L27" s="45"/>
      <c r="M27" s="46"/>
      <c r="N27" s="47"/>
      <c r="O27" s="48" t="n">
        <f aca="false">N(J27)+N(N27)</f>
        <v>0</v>
      </c>
      <c r="P27" s="47"/>
      <c r="Q27" s="47"/>
      <c r="R27" s="47"/>
      <c r="S27" s="47"/>
      <c r="T27" s="48" t="n">
        <f aca="false">SUM(P27:S27)</f>
        <v>0</v>
      </c>
      <c r="U27" s="49" t="n">
        <f aca="false">N(F27)+O27-T27</f>
        <v>0</v>
      </c>
      <c r="V27" s="47"/>
      <c r="W27" s="48" t="str">
        <f aca="false">IF(V27="","",V27-U27)</f>
        <v/>
      </c>
      <c r="X27" s="50" t="n">
        <f aca="false">'Item Master'!P24</f>
        <v>200</v>
      </c>
      <c r="Y27" s="51" t="str">
        <f aca="false">IF(B27="","",IF(U27&lt;=0,"OUT OF STOCK",IF(U27&lt;=X27,"REORDER NOW",IF(U27&lt;=X27*1.5,"LOW","OK"))))</f>
        <v>OUT OF STOCK</v>
      </c>
      <c r="Z27" s="48" t="n">
        <f aca="false">MAX(0,'Item Master'!Q24-IF(V27&lt;&gt;"",V27,U27))</f>
        <v>400</v>
      </c>
      <c r="AA27" s="45"/>
      <c r="AB27" s="43" t="str">
        <f aca="false">'Item Master'!N24</f>
        <v>Rack 4 – Books, Cards &amp; Paper</v>
      </c>
      <c r="AC27" s="46"/>
      <c r="AD27" s="52"/>
    </row>
    <row r="28" customFormat="false" ht="25.5" hidden="false" customHeight="true" outlineLevel="0" collapsed="false">
      <c r="A28" s="40" t="n">
        <v>21</v>
      </c>
      <c r="B28" s="41" t="str">
        <f aca="false">'Item Master'!A25</f>
        <v>JML</v>
      </c>
      <c r="C28" s="42" t="str">
        <f aca="false">'Item Master'!B25</f>
        <v>Japa Mala (Tulasi beads)</v>
      </c>
      <c r="D28" s="43" t="str">
        <f aca="false">'Item Master'!C25</f>
        <v>Japa &amp; Spiritual</v>
      </c>
      <c r="E28" s="41" t="str">
        <f aca="false">'Item Master'!F25</f>
        <v>Piece</v>
      </c>
      <c r="F28" s="50" t="n">
        <f aca="false">IF('Sep-2027'!V28&lt;&gt;"",'Sep-2027'!V28,'Sep-2027'!U28)</f>
        <v>0</v>
      </c>
      <c r="G28" s="45"/>
      <c r="H28" s="45"/>
      <c r="I28" s="46"/>
      <c r="J28" s="47"/>
      <c r="K28" s="45"/>
      <c r="L28" s="45"/>
      <c r="M28" s="46"/>
      <c r="N28" s="47"/>
      <c r="O28" s="48" t="n">
        <f aca="false">N(J28)+N(N28)</f>
        <v>0</v>
      </c>
      <c r="P28" s="47"/>
      <c r="Q28" s="47"/>
      <c r="R28" s="47"/>
      <c r="S28" s="47"/>
      <c r="T28" s="48" t="n">
        <f aca="false">SUM(P28:S28)</f>
        <v>0</v>
      </c>
      <c r="U28" s="49" t="n">
        <f aca="false">N(F28)+O28-T28</f>
        <v>0</v>
      </c>
      <c r="V28" s="47"/>
      <c r="W28" s="48" t="str">
        <f aca="false">IF(V28="","",V28-U28)</f>
        <v/>
      </c>
      <c r="X28" s="50" t="n">
        <f aca="false">'Item Master'!P25</f>
        <v>100</v>
      </c>
      <c r="Y28" s="51" t="str">
        <f aca="false">IF(B28="","",IF(U28&lt;=0,"OUT OF STOCK",IF(U28&lt;=X28,"REORDER NOW",IF(U28&lt;=X28*1.5,"LOW","OK"))))</f>
        <v>OUT OF STOCK</v>
      </c>
      <c r="Z28" s="48" t="n">
        <f aca="false">MAX(0,'Item Master'!Q25-IF(V28&lt;&gt;"",V28,U28))</f>
        <v>200</v>
      </c>
      <c r="AA28" s="45"/>
      <c r="AB28" s="43" t="str">
        <f aca="false">'Item Master'!N25</f>
        <v>Rack 5 – Fragrance &amp; Puja items</v>
      </c>
      <c r="AC28" s="46"/>
      <c r="AD28" s="52"/>
    </row>
    <row r="29" customFormat="false" ht="25.5" hidden="false" customHeight="true" outlineLevel="0" collapsed="false">
      <c r="A29" s="40" t="n">
        <v>22</v>
      </c>
      <c r="B29" s="41" t="str">
        <f aca="false">'Item Master'!A26</f>
        <v>JBG</v>
      </c>
      <c r="C29" s="42" t="str">
        <f aca="false">'Item Master'!B26</f>
        <v>Japa Bag</v>
      </c>
      <c r="D29" s="43" t="str">
        <f aca="false">'Item Master'!C26</f>
        <v>Japa &amp; Spiritual</v>
      </c>
      <c r="E29" s="41" t="str">
        <f aca="false">'Item Master'!F26</f>
        <v>Piece</v>
      </c>
      <c r="F29" s="50" t="n">
        <f aca="false">IF('Sep-2027'!V29&lt;&gt;"",'Sep-2027'!V29,'Sep-2027'!U29)</f>
        <v>0</v>
      </c>
      <c r="G29" s="45"/>
      <c r="H29" s="45"/>
      <c r="I29" s="46"/>
      <c r="J29" s="47"/>
      <c r="K29" s="45"/>
      <c r="L29" s="45"/>
      <c r="M29" s="46"/>
      <c r="N29" s="47"/>
      <c r="O29" s="48" t="n">
        <f aca="false">N(J29)+N(N29)</f>
        <v>0</v>
      </c>
      <c r="P29" s="47"/>
      <c r="Q29" s="47"/>
      <c r="R29" s="47"/>
      <c r="S29" s="47"/>
      <c r="T29" s="48" t="n">
        <f aca="false">SUM(P29:S29)</f>
        <v>0</v>
      </c>
      <c r="U29" s="49" t="n">
        <f aca="false">N(F29)+O29-T29</f>
        <v>0</v>
      </c>
      <c r="V29" s="47"/>
      <c r="W29" s="48" t="str">
        <f aca="false">IF(V29="","",V29-U29)</f>
        <v/>
      </c>
      <c r="X29" s="50" t="n">
        <f aca="false">'Item Master'!P26</f>
        <v>100</v>
      </c>
      <c r="Y29" s="51" t="str">
        <f aca="false">IF(B29="","",IF(U29&lt;=0,"OUT OF STOCK",IF(U29&lt;=X29,"REORDER NOW",IF(U29&lt;=X29*1.5,"LOW","OK"))))</f>
        <v>OUT OF STOCK</v>
      </c>
      <c r="Z29" s="48" t="n">
        <f aca="false">MAX(0,'Item Master'!Q26-IF(V29&lt;&gt;"",V29,U29))</f>
        <v>200</v>
      </c>
      <c r="AA29" s="45"/>
      <c r="AB29" s="43" t="str">
        <f aca="false">'Item Master'!N26</f>
        <v>Rack 5 – Fragrance &amp; Puja items</v>
      </c>
      <c r="AC29" s="46"/>
      <c r="AD29" s="52"/>
    </row>
    <row r="30" customFormat="false" ht="25.5" hidden="false" customHeight="true" outlineLevel="0" collapsed="false">
      <c r="A30" s="40" t="n">
        <v>23</v>
      </c>
      <c r="B30" s="41" t="str">
        <f aca="false">'Item Master'!A27</f>
        <v>MCD</v>
      </c>
      <c r="C30" s="42" t="str">
        <f aca="false">'Item Master'!B27</f>
        <v>Mantra Card</v>
      </c>
      <c r="D30" s="43" t="str">
        <f aca="false">'Item Master'!C27</f>
        <v>Protection &amp; Mantra</v>
      </c>
      <c r="E30" s="41" t="str">
        <f aca="false">'Item Master'!F27</f>
        <v>Card</v>
      </c>
      <c r="F30" s="50" t="n">
        <f aca="false">IF('Sep-2027'!V30&lt;&gt;"",'Sep-2027'!V30,'Sep-2027'!U30)</f>
        <v>0</v>
      </c>
      <c r="G30" s="45"/>
      <c r="H30" s="45"/>
      <c r="I30" s="46"/>
      <c r="J30" s="47"/>
      <c r="K30" s="45"/>
      <c r="L30" s="45"/>
      <c r="M30" s="46"/>
      <c r="N30" s="47"/>
      <c r="O30" s="48" t="n">
        <f aca="false">N(J30)+N(N30)</f>
        <v>0</v>
      </c>
      <c r="P30" s="47"/>
      <c r="Q30" s="47"/>
      <c r="R30" s="47"/>
      <c r="S30" s="47"/>
      <c r="T30" s="48" t="n">
        <f aca="false">SUM(P30:S30)</f>
        <v>0</v>
      </c>
      <c r="U30" s="49" t="n">
        <f aca="false">N(F30)+O30-T30</f>
        <v>0</v>
      </c>
      <c r="V30" s="47"/>
      <c r="W30" s="48" t="str">
        <f aca="false">IF(V30="","",V30-U30)</f>
        <v/>
      </c>
      <c r="X30" s="50" t="n">
        <f aca="false">'Item Master'!P27</f>
        <v>300</v>
      </c>
      <c r="Y30" s="51" t="str">
        <f aca="false">IF(B30="","",IF(U30&lt;=0,"OUT OF STOCK",IF(U30&lt;=X30,"REORDER NOW",IF(U30&lt;=X30*1.5,"LOW","OK"))))</f>
        <v>OUT OF STOCK</v>
      </c>
      <c r="Z30" s="48" t="n">
        <f aca="false">MAX(0,'Item Master'!Q27-IF(V30&lt;&gt;"",V30,U30))</f>
        <v>600</v>
      </c>
      <c r="AA30" s="45"/>
      <c r="AB30" s="43" t="str">
        <f aca="false">'Item Master'!N27</f>
        <v>Rack 4 – Books, Cards &amp; Paper</v>
      </c>
      <c r="AC30" s="46"/>
      <c r="AD30" s="52"/>
    </row>
    <row r="31" customFormat="false" ht="25.5" hidden="false" customHeight="true" outlineLevel="0" collapsed="false">
      <c r="A31" s="40" t="n">
        <v>24</v>
      </c>
      <c r="B31" s="41" t="str">
        <f aca="false">'Item Master'!A28</f>
        <v>SPB</v>
      </c>
      <c r="C31" s="42" t="str">
        <f aca="false">'Item Master'!B28</f>
        <v>Srila Prabhupada Books (Gita, Krishna Book)</v>
      </c>
      <c r="D31" s="43" t="str">
        <f aca="false">'Item Master'!C28</f>
        <v>Books &amp; Media</v>
      </c>
      <c r="E31" s="41" t="str">
        <f aca="false">'Item Master'!F28</f>
        <v>Book</v>
      </c>
      <c r="F31" s="50" t="n">
        <f aca="false">IF('Sep-2027'!V31&lt;&gt;"",'Sep-2027'!V31,'Sep-2027'!U31)</f>
        <v>0</v>
      </c>
      <c r="G31" s="45"/>
      <c r="H31" s="45"/>
      <c r="I31" s="46"/>
      <c r="J31" s="47"/>
      <c r="K31" s="45"/>
      <c r="L31" s="45"/>
      <c r="M31" s="46"/>
      <c r="N31" s="47"/>
      <c r="O31" s="48" t="n">
        <f aca="false">N(J31)+N(N31)</f>
        <v>0</v>
      </c>
      <c r="P31" s="47"/>
      <c r="Q31" s="47"/>
      <c r="R31" s="47"/>
      <c r="S31" s="47"/>
      <c r="T31" s="48" t="n">
        <f aca="false">SUM(P31:S31)</f>
        <v>0</v>
      </c>
      <c r="U31" s="49" t="n">
        <f aca="false">N(F31)+O31-T31</f>
        <v>0</v>
      </c>
      <c r="V31" s="47"/>
      <c r="W31" s="48" t="str">
        <f aca="false">IF(V31="","",V31-U31)</f>
        <v/>
      </c>
      <c r="X31" s="50" t="n">
        <f aca="false">'Item Master'!P28</f>
        <v>50</v>
      </c>
      <c r="Y31" s="51" t="str">
        <f aca="false">IF(B31="","",IF(U31&lt;=0,"OUT OF STOCK",IF(U31&lt;=X31,"REORDER NOW",IF(U31&lt;=X31*1.5,"LOW","OK"))))</f>
        <v>OUT OF STOCK</v>
      </c>
      <c r="Z31" s="48" t="n">
        <f aca="false">MAX(0,'Item Master'!Q28-IF(V31&lt;&gt;"",V31,U31))</f>
        <v>100</v>
      </c>
      <c r="AA31" s="45"/>
      <c r="AB31" s="43" t="str">
        <f aca="false">'Item Master'!N28</f>
        <v>Rack 4 – Books, Cards &amp; Paper</v>
      </c>
      <c r="AC31" s="46"/>
      <c r="AD31" s="52"/>
    </row>
    <row r="32" customFormat="false" ht="25.5" hidden="false" customHeight="true" outlineLevel="0" collapsed="false">
      <c r="A32" s="40" t="n">
        <v>25</v>
      </c>
      <c r="B32" s="41" t="str">
        <f aca="false">'Item Master'!A29</f>
        <v>LPS</v>
      </c>
      <c r="C32" s="42" t="str">
        <f aca="false">'Item Master'!B29</f>
        <v>LP Set Combo</v>
      </c>
      <c r="D32" s="43" t="str">
        <f aca="false">'Item Master'!C29</f>
        <v>Books &amp; Media</v>
      </c>
      <c r="E32" s="41" t="str">
        <f aca="false">'Item Master'!F29</f>
        <v>Set</v>
      </c>
      <c r="F32" s="50" t="n">
        <f aca="false">IF('Sep-2027'!V32&lt;&gt;"",'Sep-2027'!V32,'Sep-2027'!U32)</f>
        <v>0</v>
      </c>
      <c r="G32" s="45"/>
      <c r="H32" s="45"/>
      <c r="I32" s="46"/>
      <c r="J32" s="47"/>
      <c r="K32" s="45"/>
      <c r="L32" s="45"/>
      <c r="M32" s="46"/>
      <c r="N32" s="47"/>
      <c r="O32" s="48" t="n">
        <f aca="false">N(J32)+N(N32)</f>
        <v>0</v>
      </c>
      <c r="P32" s="47"/>
      <c r="Q32" s="47"/>
      <c r="R32" s="47"/>
      <c r="S32" s="47"/>
      <c r="T32" s="48" t="n">
        <f aca="false">SUM(P32:S32)</f>
        <v>0</v>
      </c>
      <c r="U32" s="49" t="n">
        <f aca="false">N(F32)+O32-T32</f>
        <v>0</v>
      </c>
      <c r="V32" s="47"/>
      <c r="W32" s="48" t="str">
        <f aca="false">IF(V32="","",V32-U32)</f>
        <v/>
      </c>
      <c r="X32" s="50" t="n">
        <f aca="false">'Item Master'!P29</f>
        <v>25</v>
      </c>
      <c r="Y32" s="51" t="str">
        <f aca="false">IF(B32="","",IF(U32&lt;=0,"OUT OF STOCK",IF(U32&lt;=X32,"REORDER NOW",IF(U32&lt;=X32*1.5,"LOW","OK"))))</f>
        <v>OUT OF STOCK</v>
      </c>
      <c r="Z32" s="48" t="n">
        <f aca="false">MAX(0,'Item Master'!Q29-IF(V32&lt;&gt;"",V32,U32))</f>
        <v>50</v>
      </c>
      <c r="AA32" s="45"/>
      <c r="AB32" s="43" t="str">
        <f aca="false">'Item Master'!N29</f>
        <v>Rack 4 – Books, Cards &amp; Paper</v>
      </c>
      <c r="AC32" s="46"/>
      <c r="AD32" s="52"/>
    </row>
    <row r="33" customFormat="false" ht="25.5" hidden="false" customHeight="true" outlineLevel="0" collapsed="false">
      <c r="A33" s="40" t="n">
        <v>26</v>
      </c>
      <c r="B33" s="41" t="str">
        <f aca="false">'Item Master'!A30</f>
        <v>PEN</v>
      </c>
      <c r="C33" s="42" t="str">
        <f aca="false">'Item Master'!B30</f>
        <v>Pen Drive with Kirtans &amp; Mantras</v>
      </c>
      <c r="D33" s="43" t="str">
        <f aca="false">'Item Master'!C30</f>
        <v>Books &amp; Media</v>
      </c>
      <c r="E33" s="41" t="str">
        <f aca="false">'Item Master'!F30</f>
        <v>Piece</v>
      </c>
      <c r="F33" s="50" t="n">
        <f aca="false">IF('Sep-2027'!V33&lt;&gt;"",'Sep-2027'!V33,'Sep-2027'!U33)</f>
        <v>0</v>
      </c>
      <c r="G33" s="45"/>
      <c r="H33" s="45"/>
      <c r="I33" s="46"/>
      <c r="J33" s="47"/>
      <c r="K33" s="45"/>
      <c r="L33" s="45"/>
      <c r="M33" s="46"/>
      <c r="N33" s="47"/>
      <c r="O33" s="48" t="n">
        <f aca="false">N(J33)+N(N33)</f>
        <v>0</v>
      </c>
      <c r="P33" s="47"/>
      <c r="Q33" s="47"/>
      <c r="R33" s="47"/>
      <c r="S33" s="47"/>
      <c r="T33" s="48" t="n">
        <f aca="false">SUM(P33:S33)</f>
        <v>0</v>
      </c>
      <c r="U33" s="49" t="n">
        <f aca="false">N(F33)+O33-T33</f>
        <v>0</v>
      </c>
      <c r="V33" s="47"/>
      <c r="W33" s="48" t="str">
        <f aca="false">IF(V33="","",V33-U33)</f>
        <v/>
      </c>
      <c r="X33" s="50" t="n">
        <f aca="false">'Item Master'!P30</f>
        <v>25</v>
      </c>
      <c r="Y33" s="51" t="str">
        <f aca="false">IF(B33="","",IF(U33&lt;=0,"OUT OF STOCK",IF(U33&lt;=X33,"REORDER NOW",IF(U33&lt;=X33*1.5,"LOW","OK"))))</f>
        <v>OUT OF STOCK</v>
      </c>
      <c r="Z33" s="48" t="n">
        <f aca="false">MAX(0,'Item Master'!Q30-IF(V33&lt;&gt;"",V33,U33))</f>
        <v>50</v>
      </c>
      <c r="AA33" s="45"/>
      <c r="AB33" s="43" t="str">
        <f aca="false">'Item Master'!N30</f>
        <v>Locked Cabinet – Valuables</v>
      </c>
      <c r="AC33" s="46"/>
      <c r="AD33" s="52"/>
    </row>
    <row r="34" customFormat="false" ht="25.5" hidden="false" customHeight="true" outlineLevel="0" collapsed="false">
      <c r="A34" s="40" t="n">
        <v>27</v>
      </c>
      <c r="B34" s="41" t="str">
        <f aca="false">'Item Master'!A31</f>
        <v>CDS</v>
      </c>
      <c r="C34" s="42" t="str">
        <f aca="false">'Item Master'!B31</f>
        <v>Chardham Souvenir</v>
      </c>
      <c r="D34" s="43" t="str">
        <f aca="false">'Item Master'!C31</f>
        <v>Souvenirs &amp; Coins</v>
      </c>
      <c r="E34" s="41" t="str">
        <f aca="false">'Item Master'!F31</f>
        <v>Piece</v>
      </c>
      <c r="F34" s="50" t="n">
        <f aca="false">IF('Sep-2027'!V34&lt;&gt;"",'Sep-2027'!V34,'Sep-2027'!U34)</f>
        <v>0</v>
      </c>
      <c r="G34" s="45"/>
      <c r="H34" s="45"/>
      <c r="I34" s="46"/>
      <c r="J34" s="47"/>
      <c r="K34" s="45"/>
      <c r="L34" s="45"/>
      <c r="M34" s="46"/>
      <c r="N34" s="47"/>
      <c r="O34" s="48" t="n">
        <f aca="false">N(J34)+N(N34)</f>
        <v>0</v>
      </c>
      <c r="P34" s="47"/>
      <c r="Q34" s="47"/>
      <c r="R34" s="47"/>
      <c r="S34" s="47"/>
      <c r="T34" s="48" t="n">
        <f aca="false">SUM(P34:S34)</f>
        <v>0</v>
      </c>
      <c r="U34" s="49" t="n">
        <f aca="false">N(F34)+O34-T34</f>
        <v>0</v>
      </c>
      <c r="V34" s="47"/>
      <c r="W34" s="48" t="str">
        <f aca="false">IF(V34="","",V34-U34)</f>
        <v/>
      </c>
      <c r="X34" s="50" t="n">
        <f aca="false">'Item Master'!P31</f>
        <v>50</v>
      </c>
      <c r="Y34" s="51" t="str">
        <f aca="false">IF(B34="","",IF(U34&lt;=0,"OUT OF STOCK",IF(U34&lt;=X34,"REORDER NOW",IF(U34&lt;=X34*1.5,"LOW","OK"))))</f>
        <v>OUT OF STOCK</v>
      </c>
      <c r="Z34" s="48" t="n">
        <f aca="false">MAX(0,'Item Master'!Q31-IF(V34&lt;&gt;"",V34,U34))</f>
        <v>100</v>
      </c>
      <c r="AA34" s="45"/>
      <c r="AB34" s="43" t="str">
        <f aca="false">'Item Master'!N31</f>
        <v>Rack 3 – Photos, Frames &amp; Fragile</v>
      </c>
      <c r="AC34" s="46"/>
      <c r="AD34" s="52"/>
    </row>
    <row r="35" customFormat="false" ht="25.5" hidden="false" customHeight="true" outlineLevel="0" collapsed="false">
      <c r="A35" s="40" t="n">
        <v>28</v>
      </c>
      <c r="B35" s="41" t="str">
        <f aca="false">'Item Master'!A32</f>
        <v>LXC</v>
      </c>
      <c r="C35" s="42" t="str">
        <f aca="false">'Item Master'!B32</f>
        <v>Lakshmi Coins</v>
      </c>
      <c r="D35" s="43" t="str">
        <f aca="false">'Item Master'!C32</f>
        <v>Souvenirs &amp; Coins</v>
      </c>
      <c r="E35" s="41" t="str">
        <f aca="false">'Item Master'!F32</f>
        <v>Piece</v>
      </c>
      <c r="F35" s="50" t="n">
        <f aca="false">IF('Sep-2027'!V35&lt;&gt;"",'Sep-2027'!V35,'Sep-2027'!U35)</f>
        <v>0</v>
      </c>
      <c r="G35" s="45"/>
      <c r="H35" s="45"/>
      <c r="I35" s="46"/>
      <c r="J35" s="47"/>
      <c r="K35" s="45"/>
      <c r="L35" s="45"/>
      <c r="M35" s="46"/>
      <c r="N35" s="47"/>
      <c r="O35" s="48" t="n">
        <f aca="false">N(J35)+N(N35)</f>
        <v>0</v>
      </c>
      <c r="P35" s="47"/>
      <c r="Q35" s="47"/>
      <c r="R35" s="47"/>
      <c r="S35" s="47"/>
      <c r="T35" s="48" t="n">
        <f aca="false">SUM(P35:S35)</f>
        <v>0</v>
      </c>
      <c r="U35" s="49" t="n">
        <f aca="false">N(F35)+O35-T35</f>
        <v>0</v>
      </c>
      <c r="V35" s="47"/>
      <c r="W35" s="48" t="str">
        <f aca="false">IF(V35="","",V35-U35)</f>
        <v/>
      </c>
      <c r="X35" s="50" t="n">
        <f aca="false">'Item Master'!P32</f>
        <v>50</v>
      </c>
      <c r="Y35" s="51" t="str">
        <f aca="false">IF(B35="","",IF(U35&lt;=0,"OUT OF STOCK",IF(U35&lt;=X35,"REORDER NOW",IF(U35&lt;=X35*1.5,"LOW","OK"))))</f>
        <v>OUT OF STOCK</v>
      </c>
      <c r="Z35" s="48" t="n">
        <f aca="false">MAX(0,'Item Master'!Q32-IF(V35&lt;&gt;"",V35,U35))</f>
        <v>100</v>
      </c>
      <c r="AA35" s="45"/>
      <c r="AB35" s="43" t="str">
        <f aca="false">'Item Master'!N32</f>
        <v>Locked Cabinet – Valuables</v>
      </c>
      <c r="AC35" s="46"/>
      <c r="AD35" s="52"/>
    </row>
    <row r="36" customFormat="false" ht="25.5" hidden="false" customHeight="true" outlineLevel="0" collapsed="false">
      <c r="A36" s="40" t="n">
        <v>29</v>
      </c>
      <c r="B36" s="41" t="str">
        <f aca="false">'Item Master'!A33</f>
        <v>KUM</v>
      </c>
      <c r="C36" s="42" t="str">
        <f aca="false">'Item Master'!B33</f>
        <v>Kumkum</v>
      </c>
      <c r="D36" s="43" t="str">
        <f aca="false">'Item Master'!C33</f>
        <v>Fragrance &amp; Puja</v>
      </c>
      <c r="E36" s="41" t="str">
        <f aca="false">'Item Master'!F33</f>
        <v>Container</v>
      </c>
      <c r="F36" s="50" t="n">
        <f aca="false">IF('Sep-2027'!V36&lt;&gt;"",'Sep-2027'!V36,'Sep-2027'!U36)</f>
        <v>0</v>
      </c>
      <c r="G36" s="45"/>
      <c r="H36" s="45"/>
      <c r="I36" s="46"/>
      <c r="J36" s="47"/>
      <c r="K36" s="45"/>
      <c r="L36" s="45"/>
      <c r="M36" s="46"/>
      <c r="N36" s="47"/>
      <c r="O36" s="48" t="n">
        <f aca="false">N(J36)+N(N36)</f>
        <v>0</v>
      </c>
      <c r="P36" s="47"/>
      <c r="Q36" s="47"/>
      <c r="R36" s="47"/>
      <c r="S36" s="47"/>
      <c r="T36" s="48" t="n">
        <f aca="false">SUM(P36:S36)</f>
        <v>0</v>
      </c>
      <c r="U36" s="49" t="n">
        <f aca="false">N(F36)+O36-T36</f>
        <v>0</v>
      </c>
      <c r="V36" s="47"/>
      <c r="W36" s="48" t="str">
        <f aca="false">IF(V36="","",V36-U36)</f>
        <v/>
      </c>
      <c r="X36" s="50" t="n">
        <f aca="false">'Item Master'!P33</f>
        <v>200</v>
      </c>
      <c r="Y36" s="51" t="str">
        <f aca="false">IF(B36="","",IF(U36&lt;=0,"OUT OF STOCK",IF(U36&lt;=X36,"REORDER NOW",IF(U36&lt;=X36*1.5,"LOW","OK"))))</f>
        <v>OUT OF STOCK</v>
      </c>
      <c r="Z36" s="48" t="n">
        <f aca="false">MAX(0,'Item Master'!Q33-IF(V36&lt;&gt;"",V36,U36))</f>
        <v>400</v>
      </c>
      <c r="AA36" s="45"/>
      <c r="AB36" s="43" t="str">
        <f aca="false">'Item Master'!N33</f>
        <v>Rack 5 – Fragrance &amp; Puja items</v>
      </c>
      <c r="AC36" s="46"/>
      <c r="AD36" s="52"/>
    </row>
    <row r="37" customFormat="false" ht="25.5" hidden="false" customHeight="true" outlineLevel="0" collapsed="false">
      <c r="A37" s="40" t="n">
        <v>30</v>
      </c>
      <c r="B37" s="41" t="str">
        <f aca="false">'Item Master'!A34</f>
        <v>SCT</v>
      </c>
      <c r="C37" s="42" t="str">
        <f aca="false">'Item Master'!B34</f>
        <v>Scent Sticks</v>
      </c>
      <c r="D37" s="43" t="str">
        <f aca="false">'Item Master'!C34</f>
        <v>Fragrance &amp; Puja</v>
      </c>
      <c r="E37" s="41" t="str">
        <f aca="false">'Item Master'!F34</f>
        <v>Pouch</v>
      </c>
      <c r="F37" s="50" t="n">
        <f aca="false">IF('Sep-2027'!V37&lt;&gt;"",'Sep-2027'!V37,'Sep-2027'!U37)</f>
        <v>0</v>
      </c>
      <c r="G37" s="45"/>
      <c r="H37" s="45"/>
      <c r="I37" s="46"/>
      <c r="J37" s="47"/>
      <c r="K37" s="45"/>
      <c r="L37" s="45"/>
      <c r="M37" s="46"/>
      <c r="N37" s="47"/>
      <c r="O37" s="48" t="n">
        <f aca="false">N(J37)+N(N37)</f>
        <v>0</v>
      </c>
      <c r="P37" s="47"/>
      <c r="Q37" s="47"/>
      <c r="R37" s="47"/>
      <c r="S37" s="47"/>
      <c r="T37" s="48" t="n">
        <f aca="false">SUM(P37:S37)</f>
        <v>0</v>
      </c>
      <c r="U37" s="49" t="n">
        <f aca="false">N(F37)+O37-T37</f>
        <v>0</v>
      </c>
      <c r="V37" s="47"/>
      <c r="W37" s="48" t="str">
        <f aca="false">IF(V37="","",V37-U37)</f>
        <v/>
      </c>
      <c r="X37" s="50" t="n">
        <f aca="false">'Item Master'!P34</f>
        <v>200</v>
      </c>
      <c r="Y37" s="51" t="str">
        <f aca="false">IF(B37="","",IF(U37&lt;=0,"OUT OF STOCK",IF(U37&lt;=X37,"REORDER NOW",IF(U37&lt;=X37*1.5,"LOW","OK"))))</f>
        <v>OUT OF STOCK</v>
      </c>
      <c r="Z37" s="48" t="n">
        <f aca="false">MAX(0,'Item Master'!Q34-IF(V37&lt;&gt;"",V37,U37))</f>
        <v>400</v>
      </c>
      <c r="AA37" s="45"/>
      <c r="AB37" s="43" t="str">
        <f aca="false">'Item Master'!N34</f>
        <v>Rack 5 – Fragrance &amp; Puja items</v>
      </c>
      <c r="AC37" s="46"/>
      <c r="AD37" s="52"/>
    </row>
    <row r="38" customFormat="false" ht="25.5" hidden="false" customHeight="true" outlineLevel="0" collapsed="false">
      <c r="A38" s="40" t="n">
        <v>31</v>
      </c>
      <c r="B38" s="41" t="str">
        <f aca="false">'Item Master'!A35</f>
        <v>DHP</v>
      </c>
      <c r="C38" s="42" t="str">
        <f aca="false">'Item Master'!B35</f>
        <v>Dhoop Sticks</v>
      </c>
      <c r="D38" s="43" t="str">
        <f aca="false">'Item Master'!C35</f>
        <v>Fragrance &amp; Puja</v>
      </c>
      <c r="E38" s="41" t="str">
        <f aca="false">'Item Master'!F35</f>
        <v>Pack</v>
      </c>
      <c r="F38" s="50" t="n">
        <f aca="false">IF('Sep-2027'!V38&lt;&gt;"",'Sep-2027'!V38,'Sep-2027'!U38)</f>
        <v>0</v>
      </c>
      <c r="G38" s="45"/>
      <c r="H38" s="45"/>
      <c r="I38" s="46"/>
      <c r="J38" s="47"/>
      <c r="K38" s="45"/>
      <c r="L38" s="45"/>
      <c r="M38" s="46"/>
      <c r="N38" s="47"/>
      <c r="O38" s="48" t="n">
        <f aca="false">N(J38)+N(N38)</f>
        <v>0</v>
      </c>
      <c r="P38" s="47"/>
      <c r="Q38" s="47"/>
      <c r="R38" s="47"/>
      <c r="S38" s="47"/>
      <c r="T38" s="48" t="n">
        <f aca="false">SUM(P38:S38)</f>
        <v>0</v>
      </c>
      <c r="U38" s="49" t="n">
        <f aca="false">N(F38)+O38-T38</f>
        <v>0</v>
      </c>
      <c r="V38" s="47"/>
      <c r="W38" s="48" t="str">
        <f aca="false">IF(V38="","",V38-U38)</f>
        <v/>
      </c>
      <c r="X38" s="50" t="n">
        <f aca="false">'Item Master'!P35</f>
        <v>150</v>
      </c>
      <c r="Y38" s="51" t="str">
        <f aca="false">IF(B38="","",IF(U38&lt;=0,"OUT OF STOCK",IF(U38&lt;=X38,"REORDER NOW",IF(U38&lt;=X38*1.5,"LOW","OK"))))</f>
        <v>OUT OF STOCK</v>
      </c>
      <c r="Z38" s="48" t="n">
        <f aca="false">MAX(0,'Item Master'!Q35-IF(V38&lt;&gt;"",V38,U38))</f>
        <v>300</v>
      </c>
      <c r="AA38" s="45"/>
      <c r="AB38" s="43" t="str">
        <f aca="false">'Item Master'!N35</f>
        <v>Rack 5 – Fragrance &amp; Puja items</v>
      </c>
      <c r="AC38" s="46"/>
      <c r="AD38" s="52"/>
    </row>
    <row r="39" customFormat="false" ht="25.5" hidden="false" customHeight="true" outlineLevel="0" collapsed="false">
      <c r="A39" s="40" t="n">
        <v>32</v>
      </c>
      <c r="B39" s="41" t="str">
        <f aca="false">'Item Master'!A36</f>
        <v>CDL</v>
      </c>
      <c r="C39" s="42" t="str">
        <f aca="false">'Item Master'!B36</f>
        <v>Candles / Diyas</v>
      </c>
      <c r="D39" s="43" t="str">
        <f aca="false">'Item Master'!C36</f>
        <v>Fragrance &amp; Puja</v>
      </c>
      <c r="E39" s="41" t="str">
        <f aca="false">'Item Master'!F36</f>
        <v>Piece</v>
      </c>
      <c r="F39" s="50" t="n">
        <f aca="false">IF('Sep-2027'!V39&lt;&gt;"",'Sep-2027'!V39,'Sep-2027'!U39)</f>
        <v>0</v>
      </c>
      <c r="G39" s="45"/>
      <c r="H39" s="45"/>
      <c r="I39" s="46"/>
      <c r="J39" s="47"/>
      <c r="K39" s="45"/>
      <c r="L39" s="45"/>
      <c r="M39" s="46"/>
      <c r="N39" s="47"/>
      <c r="O39" s="48" t="n">
        <f aca="false">N(J39)+N(N39)</f>
        <v>0</v>
      </c>
      <c r="P39" s="47"/>
      <c r="Q39" s="47"/>
      <c r="R39" s="47"/>
      <c r="S39" s="47"/>
      <c r="T39" s="48" t="n">
        <f aca="false">SUM(P39:S39)</f>
        <v>0</v>
      </c>
      <c r="U39" s="49" t="n">
        <f aca="false">N(F39)+O39-T39</f>
        <v>0</v>
      </c>
      <c r="V39" s="47"/>
      <c r="W39" s="48" t="str">
        <f aca="false">IF(V39="","",V39-U39)</f>
        <v/>
      </c>
      <c r="X39" s="50" t="n">
        <f aca="false">'Item Master'!P36</f>
        <v>100</v>
      </c>
      <c r="Y39" s="51" t="str">
        <f aca="false">IF(B39="","",IF(U39&lt;=0,"OUT OF STOCK",IF(U39&lt;=X39,"REORDER NOW",IF(U39&lt;=X39*1.5,"LOW","OK"))))</f>
        <v>OUT OF STOCK</v>
      </c>
      <c r="Z39" s="48" t="n">
        <f aca="false">MAX(0,'Item Master'!Q36-IF(V39&lt;&gt;"",V39,U39))</f>
        <v>200</v>
      </c>
      <c r="AA39" s="45"/>
      <c r="AB39" s="43" t="str">
        <f aca="false">'Item Master'!N36</f>
        <v>Rack 5 – Fragrance &amp; Puja items</v>
      </c>
      <c r="AC39" s="46"/>
      <c r="AD39" s="52"/>
    </row>
    <row r="40" customFormat="false" ht="25.5" hidden="false" customHeight="true" outlineLevel="0" collapsed="false">
      <c r="A40" s="40" t="n">
        <v>33</v>
      </c>
      <c r="B40" s="41" t="str">
        <f aca="false">'Item Master'!A37</f>
        <v>BBS</v>
      </c>
      <c r="C40" s="42" t="str">
        <f aca="false">'Item Master'!B37</f>
        <v>Bahumana Bag – Small</v>
      </c>
      <c r="D40" s="43" t="str">
        <f aca="false">'Item Master'!C37</f>
        <v>Gift Packaging Material</v>
      </c>
      <c r="E40" s="41" t="str">
        <f aca="false">'Item Master'!F37</f>
        <v>Piece</v>
      </c>
      <c r="F40" s="50" t="n">
        <f aca="false">IF('Sep-2027'!V40&lt;&gt;"",'Sep-2027'!V40,'Sep-2027'!U40)</f>
        <v>0</v>
      </c>
      <c r="G40" s="45"/>
      <c r="H40" s="45"/>
      <c r="I40" s="46"/>
      <c r="J40" s="47"/>
      <c r="K40" s="45"/>
      <c r="L40" s="45"/>
      <c r="M40" s="46"/>
      <c r="N40" s="47"/>
      <c r="O40" s="48" t="n">
        <f aca="false">N(J40)+N(N40)</f>
        <v>0</v>
      </c>
      <c r="P40" s="47"/>
      <c r="Q40" s="47"/>
      <c r="R40" s="47"/>
      <c r="S40" s="47"/>
      <c r="T40" s="48" t="n">
        <f aca="false">SUM(P40:S40)</f>
        <v>0</v>
      </c>
      <c r="U40" s="49" t="n">
        <f aca="false">N(F40)+O40-T40</f>
        <v>0</v>
      </c>
      <c r="V40" s="47"/>
      <c r="W40" s="48" t="str">
        <f aca="false">IF(V40="","",V40-U40)</f>
        <v/>
      </c>
      <c r="X40" s="50" t="n">
        <f aca="false">'Item Master'!P37</f>
        <v>200</v>
      </c>
      <c r="Y40" s="51" t="str">
        <f aca="false">IF(B40="","",IF(U40&lt;=0,"OUT OF STOCK",IF(U40&lt;=X40,"REORDER NOW",IF(U40&lt;=X40*1.5,"LOW","OK"))))</f>
        <v>OUT OF STOCK</v>
      </c>
      <c r="Z40" s="48" t="n">
        <f aca="false">MAX(0,'Item Master'!Q37-IF(V40&lt;&gt;"",V40,U40))</f>
        <v>400</v>
      </c>
      <c r="AA40" s="45"/>
      <c r="AB40" s="43" t="str">
        <f aca="false">'Item Master'!N37</f>
        <v>Rack 6 – Packing &amp; Serving Material</v>
      </c>
      <c r="AC40" s="46"/>
      <c r="AD40" s="52"/>
    </row>
    <row r="41" customFormat="false" ht="25.5" hidden="false" customHeight="true" outlineLevel="0" collapsed="false">
      <c r="A41" s="40" t="n">
        <v>34</v>
      </c>
      <c r="B41" s="41" t="str">
        <f aca="false">'Item Master'!A38</f>
        <v>BBM</v>
      </c>
      <c r="C41" s="42" t="str">
        <f aca="false">'Item Master'!B38</f>
        <v>Bahumana Bag – Medium</v>
      </c>
      <c r="D41" s="43" t="str">
        <f aca="false">'Item Master'!C38</f>
        <v>Gift Packaging Material</v>
      </c>
      <c r="E41" s="41" t="str">
        <f aca="false">'Item Master'!F38</f>
        <v>Piece</v>
      </c>
      <c r="F41" s="50" t="n">
        <f aca="false">IF('Sep-2027'!V41&lt;&gt;"",'Sep-2027'!V41,'Sep-2027'!U41)</f>
        <v>0</v>
      </c>
      <c r="G41" s="45"/>
      <c r="H41" s="45"/>
      <c r="I41" s="46"/>
      <c r="J41" s="47"/>
      <c r="K41" s="45"/>
      <c r="L41" s="45"/>
      <c r="M41" s="46"/>
      <c r="N41" s="47"/>
      <c r="O41" s="48" t="n">
        <f aca="false">N(J41)+N(N41)</f>
        <v>0</v>
      </c>
      <c r="P41" s="47"/>
      <c r="Q41" s="47"/>
      <c r="R41" s="47"/>
      <c r="S41" s="47"/>
      <c r="T41" s="48" t="n">
        <f aca="false">SUM(P41:S41)</f>
        <v>0</v>
      </c>
      <c r="U41" s="49" t="n">
        <f aca="false">N(F41)+O41-T41</f>
        <v>0</v>
      </c>
      <c r="V41" s="47"/>
      <c r="W41" s="48" t="str">
        <f aca="false">IF(V41="","",V41-U41)</f>
        <v/>
      </c>
      <c r="X41" s="50" t="n">
        <f aca="false">'Item Master'!P38</f>
        <v>100</v>
      </c>
      <c r="Y41" s="51" t="str">
        <f aca="false">IF(B41="","",IF(U41&lt;=0,"OUT OF STOCK",IF(U41&lt;=X41,"REORDER NOW",IF(U41&lt;=X41*1.5,"LOW","OK"))))</f>
        <v>OUT OF STOCK</v>
      </c>
      <c r="Z41" s="48" t="n">
        <f aca="false">MAX(0,'Item Master'!Q38-IF(V41&lt;&gt;"",V41,U41))</f>
        <v>200</v>
      </c>
      <c r="AA41" s="45"/>
      <c r="AB41" s="43" t="str">
        <f aca="false">'Item Master'!N38</f>
        <v>Rack 6 – Packing &amp; Serving Material</v>
      </c>
      <c r="AC41" s="46"/>
      <c r="AD41" s="52"/>
    </row>
    <row r="42" customFormat="false" ht="25.5" hidden="false" customHeight="true" outlineLevel="0" collapsed="false">
      <c r="A42" s="40" t="n">
        <v>35</v>
      </c>
      <c r="B42" s="41" t="str">
        <f aca="false">'Item Master'!A39</f>
        <v>BBB</v>
      </c>
      <c r="C42" s="42" t="str">
        <f aca="false">'Item Master'!B39</f>
        <v>Bahumana Bag – Big</v>
      </c>
      <c r="D42" s="43" t="str">
        <f aca="false">'Item Master'!C39</f>
        <v>Gift Packaging Material</v>
      </c>
      <c r="E42" s="41" t="str">
        <f aca="false">'Item Master'!F39</f>
        <v>Piece</v>
      </c>
      <c r="F42" s="50" t="n">
        <f aca="false">IF('Sep-2027'!V42&lt;&gt;"",'Sep-2027'!V42,'Sep-2027'!U42)</f>
        <v>0</v>
      </c>
      <c r="G42" s="45"/>
      <c r="H42" s="45"/>
      <c r="I42" s="46"/>
      <c r="J42" s="47"/>
      <c r="K42" s="45"/>
      <c r="L42" s="45"/>
      <c r="M42" s="46"/>
      <c r="N42" s="47"/>
      <c r="O42" s="48" t="n">
        <f aca="false">N(J42)+N(N42)</f>
        <v>0</v>
      </c>
      <c r="P42" s="47"/>
      <c r="Q42" s="47"/>
      <c r="R42" s="47"/>
      <c r="S42" s="47"/>
      <c r="T42" s="48" t="n">
        <f aca="false">SUM(P42:S42)</f>
        <v>0</v>
      </c>
      <c r="U42" s="49" t="n">
        <f aca="false">N(F42)+O42-T42</f>
        <v>0</v>
      </c>
      <c r="V42" s="47"/>
      <c r="W42" s="48" t="str">
        <f aca="false">IF(V42="","",V42-U42)</f>
        <v/>
      </c>
      <c r="X42" s="50" t="n">
        <f aca="false">'Item Master'!P39</f>
        <v>50</v>
      </c>
      <c r="Y42" s="51" t="str">
        <f aca="false">IF(B42="","",IF(U42&lt;=0,"OUT OF STOCK",IF(U42&lt;=X42,"REORDER NOW",IF(U42&lt;=X42*1.5,"LOW","OK"))))</f>
        <v>OUT OF STOCK</v>
      </c>
      <c r="Z42" s="48" t="n">
        <f aca="false">MAX(0,'Item Master'!Q39-IF(V42&lt;&gt;"",V42,U42))</f>
        <v>100</v>
      </c>
      <c r="AA42" s="45"/>
      <c r="AB42" s="43" t="str">
        <f aca="false">'Item Master'!N39</f>
        <v>Rack 6 – Packing &amp; Serving Material</v>
      </c>
      <c r="AC42" s="46"/>
      <c r="AD42" s="52"/>
    </row>
    <row r="43" customFormat="false" ht="25.5" hidden="false" customHeight="true" outlineLevel="0" collapsed="false">
      <c r="A43" s="40" t="n">
        <v>36</v>
      </c>
      <c r="B43" s="41" t="str">
        <f aca="false">'Item Master'!A40</f>
        <v>PBS</v>
      </c>
      <c r="C43" s="42" t="str">
        <f aca="false">'Item Master'!B40</f>
        <v>Prasadam Box – Small</v>
      </c>
      <c r="D43" s="43" t="str">
        <f aca="false">'Item Master'!C40</f>
        <v>Prasadam Serving Material</v>
      </c>
      <c r="E43" s="41" t="str">
        <f aca="false">'Item Master'!F40</f>
        <v>Piece</v>
      </c>
      <c r="F43" s="50" t="n">
        <f aca="false">IF('Sep-2027'!V43&lt;&gt;"",'Sep-2027'!V43,'Sep-2027'!U43)</f>
        <v>0</v>
      </c>
      <c r="G43" s="45"/>
      <c r="H43" s="45"/>
      <c r="I43" s="46"/>
      <c r="J43" s="47"/>
      <c r="K43" s="45"/>
      <c r="L43" s="45"/>
      <c r="M43" s="46"/>
      <c r="N43" s="47"/>
      <c r="O43" s="48" t="n">
        <f aca="false">N(J43)+N(N43)</f>
        <v>0</v>
      </c>
      <c r="P43" s="47"/>
      <c r="Q43" s="47"/>
      <c r="R43" s="47"/>
      <c r="S43" s="47"/>
      <c r="T43" s="48" t="n">
        <f aca="false">SUM(P43:S43)</f>
        <v>0</v>
      </c>
      <c r="U43" s="49" t="n">
        <f aca="false">N(F43)+O43-T43</f>
        <v>0</v>
      </c>
      <c r="V43" s="47"/>
      <c r="W43" s="48" t="str">
        <f aca="false">IF(V43="","",V43-U43)</f>
        <v/>
      </c>
      <c r="X43" s="50" t="n">
        <f aca="false">'Item Master'!P40</f>
        <v>300</v>
      </c>
      <c r="Y43" s="51" t="str">
        <f aca="false">IF(B43="","",IF(U43&lt;=0,"OUT OF STOCK",IF(U43&lt;=X43,"REORDER NOW",IF(U43&lt;=X43*1.5,"LOW","OK"))))</f>
        <v>OUT OF STOCK</v>
      </c>
      <c r="Z43" s="48" t="n">
        <f aca="false">MAX(0,'Item Master'!Q40-IF(V43&lt;&gt;"",V43,U43))</f>
        <v>600</v>
      </c>
      <c r="AA43" s="45"/>
      <c r="AB43" s="43" t="str">
        <f aca="false">'Item Master'!N40</f>
        <v>Rack 6 – Packing &amp; Serving Material</v>
      </c>
      <c r="AC43" s="46"/>
      <c r="AD43" s="52"/>
    </row>
    <row r="44" customFormat="false" ht="25.5" hidden="false" customHeight="true" outlineLevel="0" collapsed="false">
      <c r="A44" s="40" t="n">
        <v>37</v>
      </c>
      <c r="B44" s="41" t="str">
        <f aca="false">'Item Master'!A41</f>
        <v>PBB</v>
      </c>
      <c r="C44" s="42" t="str">
        <f aca="false">'Item Master'!B41</f>
        <v>Prasadam Box – Big</v>
      </c>
      <c r="D44" s="43" t="str">
        <f aca="false">'Item Master'!C41</f>
        <v>Prasadam Serving Material</v>
      </c>
      <c r="E44" s="41" t="str">
        <f aca="false">'Item Master'!F41</f>
        <v>Piece</v>
      </c>
      <c r="F44" s="50" t="n">
        <f aca="false">IF('Sep-2027'!V44&lt;&gt;"",'Sep-2027'!V44,'Sep-2027'!U44)</f>
        <v>0</v>
      </c>
      <c r="G44" s="45"/>
      <c r="H44" s="45"/>
      <c r="I44" s="46"/>
      <c r="J44" s="47"/>
      <c r="K44" s="45"/>
      <c r="L44" s="45"/>
      <c r="M44" s="46"/>
      <c r="N44" s="47"/>
      <c r="O44" s="48" t="n">
        <f aca="false">N(J44)+N(N44)</f>
        <v>0</v>
      </c>
      <c r="P44" s="47"/>
      <c r="Q44" s="47"/>
      <c r="R44" s="47"/>
      <c r="S44" s="47"/>
      <c r="T44" s="48" t="n">
        <f aca="false">SUM(P44:S44)</f>
        <v>0</v>
      </c>
      <c r="U44" s="49" t="n">
        <f aca="false">N(F44)+O44-T44</f>
        <v>0</v>
      </c>
      <c r="V44" s="47"/>
      <c r="W44" s="48" t="str">
        <f aca="false">IF(V44="","",V44-U44)</f>
        <v/>
      </c>
      <c r="X44" s="50" t="n">
        <f aca="false">'Item Master'!P41</f>
        <v>100</v>
      </c>
      <c r="Y44" s="51" t="str">
        <f aca="false">IF(B44="","",IF(U44&lt;=0,"OUT OF STOCK",IF(U44&lt;=X44,"REORDER NOW",IF(U44&lt;=X44*1.5,"LOW","OK"))))</f>
        <v>OUT OF STOCK</v>
      </c>
      <c r="Z44" s="48" t="n">
        <f aca="false">MAX(0,'Item Master'!Q41-IF(V44&lt;&gt;"",V44,U44))</f>
        <v>200</v>
      </c>
      <c r="AA44" s="45"/>
      <c r="AB44" s="43" t="str">
        <f aca="false">'Item Master'!N41</f>
        <v>Rack 6 – Packing &amp; Serving Material</v>
      </c>
      <c r="AC44" s="46"/>
      <c r="AD44" s="52"/>
    </row>
    <row r="45" customFormat="false" ht="25.5" hidden="false" customHeight="true" outlineLevel="0" collapsed="false">
      <c r="A45" s="40" t="n">
        <v>38</v>
      </c>
      <c r="B45" s="41" t="str">
        <f aca="false">'Item Master'!A42</f>
        <v>BPC</v>
      </c>
      <c r="C45" s="42" t="str">
        <f aca="false">'Item Master'!B42</f>
        <v>Butter Paper Cover – "Always Remember Krishna, Never Forget Krishna"</v>
      </c>
      <c r="D45" s="43" t="str">
        <f aca="false">'Item Master'!C42</f>
        <v>Prasadam Serving Material</v>
      </c>
      <c r="E45" s="41" t="str">
        <f aca="false">'Item Master'!F42</f>
        <v>Piece</v>
      </c>
      <c r="F45" s="50" t="n">
        <f aca="false">IF('Sep-2027'!V45&lt;&gt;"",'Sep-2027'!V45,'Sep-2027'!U45)</f>
        <v>0</v>
      </c>
      <c r="G45" s="45"/>
      <c r="H45" s="45"/>
      <c r="I45" s="46"/>
      <c r="J45" s="47"/>
      <c r="K45" s="45"/>
      <c r="L45" s="45"/>
      <c r="M45" s="46"/>
      <c r="N45" s="47"/>
      <c r="O45" s="48" t="n">
        <f aca="false">N(J45)+N(N45)</f>
        <v>0</v>
      </c>
      <c r="P45" s="47"/>
      <c r="Q45" s="47"/>
      <c r="R45" s="47"/>
      <c r="S45" s="47"/>
      <c r="T45" s="48" t="n">
        <f aca="false">SUM(P45:S45)</f>
        <v>0</v>
      </c>
      <c r="U45" s="49" t="n">
        <f aca="false">N(F45)+O45-T45</f>
        <v>0</v>
      </c>
      <c r="V45" s="47"/>
      <c r="W45" s="48" t="str">
        <f aca="false">IF(V45="","",V45-U45)</f>
        <v/>
      </c>
      <c r="X45" s="50" t="n">
        <f aca="false">'Item Master'!P42</f>
        <v>500</v>
      </c>
      <c r="Y45" s="51" t="str">
        <f aca="false">IF(B45="","",IF(U45&lt;=0,"OUT OF STOCK",IF(U45&lt;=X45,"REORDER NOW",IF(U45&lt;=X45*1.5,"LOW","OK"))))</f>
        <v>OUT OF STOCK</v>
      </c>
      <c r="Z45" s="48" t="n">
        <f aca="false">MAX(0,'Item Master'!Q42-IF(V45&lt;&gt;"",V45,U45))</f>
        <v>1000</v>
      </c>
      <c r="AA45" s="45"/>
      <c r="AB45" s="43" t="str">
        <f aca="false">'Item Master'!N42</f>
        <v>Rack 6 – Packing &amp; Serving Material</v>
      </c>
      <c r="AC45" s="46"/>
      <c r="AD45" s="52"/>
    </row>
    <row r="46" customFormat="false" ht="25.5" hidden="false" customHeight="true" outlineLevel="0" collapsed="false">
      <c r="A46" s="40" t="n">
        <v>39</v>
      </c>
      <c r="B46" s="41" t="str">
        <f aca="false">'Item Master'!A43</f>
        <v>MPT</v>
      </c>
      <c r="C46" s="42" t="str">
        <f aca="false">'Item Master'!B43</f>
        <v>Mud Pots (Pongal / Kichadi Prasadam)</v>
      </c>
      <c r="D46" s="43" t="str">
        <f aca="false">'Item Master'!C43</f>
        <v>Prasadam Serving Material</v>
      </c>
      <c r="E46" s="41" t="str">
        <f aca="false">'Item Master'!F43</f>
        <v>Piece</v>
      </c>
      <c r="F46" s="50" t="n">
        <f aca="false">IF('Sep-2027'!V46&lt;&gt;"",'Sep-2027'!V46,'Sep-2027'!U46)</f>
        <v>0</v>
      </c>
      <c r="G46" s="45"/>
      <c r="H46" s="45"/>
      <c r="I46" s="46"/>
      <c r="J46" s="47"/>
      <c r="K46" s="45"/>
      <c r="L46" s="45"/>
      <c r="M46" s="46"/>
      <c r="N46" s="47"/>
      <c r="O46" s="48" t="n">
        <f aca="false">N(J46)+N(N46)</f>
        <v>0</v>
      </c>
      <c r="P46" s="47"/>
      <c r="Q46" s="47"/>
      <c r="R46" s="47"/>
      <c r="S46" s="47"/>
      <c r="T46" s="48" t="n">
        <f aca="false">SUM(P46:S46)</f>
        <v>0</v>
      </c>
      <c r="U46" s="49" t="n">
        <f aca="false">N(F46)+O46-T46</f>
        <v>0</v>
      </c>
      <c r="V46" s="47"/>
      <c r="W46" s="48" t="str">
        <f aca="false">IF(V46="","",V46-U46)</f>
        <v/>
      </c>
      <c r="X46" s="50" t="n">
        <f aca="false">'Item Master'!P43</f>
        <v>100</v>
      </c>
      <c r="Y46" s="51" t="str">
        <f aca="false">IF(B46="","",IF(U46&lt;=0,"OUT OF STOCK",IF(U46&lt;=X46,"REORDER NOW",IF(U46&lt;=X46*1.5,"LOW","OK"))))</f>
        <v>OUT OF STOCK</v>
      </c>
      <c r="Z46" s="48" t="n">
        <f aca="false">MAX(0,'Item Master'!Q43-IF(V46&lt;&gt;"",V46,U46))</f>
        <v>200</v>
      </c>
      <c r="AA46" s="45"/>
      <c r="AB46" s="43" t="str">
        <f aca="false">'Item Master'!N43</f>
        <v>Rack 6 – Packing &amp; Serving Material</v>
      </c>
      <c r="AC46" s="46"/>
      <c r="AD46" s="52"/>
    </row>
    <row r="47" customFormat="false" ht="25.5" hidden="false" customHeight="true" outlineLevel="0" collapsed="false">
      <c r="A47" s="40" t="n">
        <v>40</v>
      </c>
      <c r="B47" s="41" t="str">
        <f aca="false">'Item Master'!A44</f>
        <v>BTS</v>
      </c>
      <c r="C47" s="42" t="str">
        <f aca="false">'Item Master'!B44</f>
        <v>Bento Box – Small</v>
      </c>
      <c r="D47" s="43" t="str">
        <f aca="false">'Item Master'!C44</f>
        <v>Prasadam Serving Material</v>
      </c>
      <c r="E47" s="41" t="str">
        <f aca="false">'Item Master'!F44</f>
        <v>Piece</v>
      </c>
      <c r="F47" s="50" t="n">
        <f aca="false">IF('Sep-2027'!V47&lt;&gt;"",'Sep-2027'!V47,'Sep-2027'!U47)</f>
        <v>0</v>
      </c>
      <c r="G47" s="45"/>
      <c r="H47" s="45"/>
      <c r="I47" s="46"/>
      <c r="J47" s="47"/>
      <c r="K47" s="45"/>
      <c r="L47" s="45"/>
      <c r="M47" s="46"/>
      <c r="N47" s="47"/>
      <c r="O47" s="48" t="n">
        <f aca="false">N(J47)+N(N47)</f>
        <v>0</v>
      </c>
      <c r="P47" s="47"/>
      <c r="Q47" s="47"/>
      <c r="R47" s="47"/>
      <c r="S47" s="47"/>
      <c r="T47" s="48" t="n">
        <f aca="false">SUM(P47:S47)</f>
        <v>0</v>
      </c>
      <c r="U47" s="49" t="n">
        <f aca="false">N(F47)+O47-T47</f>
        <v>0</v>
      </c>
      <c r="V47" s="47"/>
      <c r="W47" s="48" t="str">
        <f aca="false">IF(V47="","",V47-U47)</f>
        <v/>
      </c>
      <c r="X47" s="50" t="n">
        <f aca="false">'Item Master'!P44</f>
        <v>100</v>
      </c>
      <c r="Y47" s="51" t="str">
        <f aca="false">IF(B47="","",IF(U47&lt;=0,"OUT OF STOCK",IF(U47&lt;=X47,"REORDER NOW",IF(U47&lt;=X47*1.5,"LOW","OK"))))</f>
        <v>OUT OF STOCK</v>
      </c>
      <c r="Z47" s="48" t="n">
        <f aca="false">MAX(0,'Item Master'!Q44-IF(V47&lt;&gt;"",V47,U47))</f>
        <v>200</v>
      </c>
      <c r="AA47" s="45"/>
      <c r="AB47" s="43" t="str">
        <f aca="false">'Item Master'!N44</f>
        <v>Rack 6 – Packing &amp; Serving Material</v>
      </c>
      <c r="AC47" s="46"/>
      <c r="AD47" s="52"/>
    </row>
    <row r="48" customFormat="false" ht="25.5" hidden="false" customHeight="true" outlineLevel="0" collapsed="false">
      <c r="A48" s="40" t="n">
        <v>41</v>
      </c>
      <c r="B48" s="41" t="str">
        <f aca="false">'Item Master'!A45</f>
        <v>BTM</v>
      </c>
      <c r="C48" s="42" t="str">
        <f aca="false">'Item Master'!B45</f>
        <v>Bento Box – Medium</v>
      </c>
      <c r="D48" s="43" t="str">
        <f aca="false">'Item Master'!C45</f>
        <v>Prasadam Serving Material</v>
      </c>
      <c r="E48" s="41" t="str">
        <f aca="false">'Item Master'!F45</f>
        <v>Piece</v>
      </c>
      <c r="F48" s="50" t="n">
        <f aca="false">IF('Sep-2027'!V48&lt;&gt;"",'Sep-2027'!V48,'Sep-2027'!U48)</f>
        <v>0</v>
      </c>
      <c r="G48" s="45"/>
      <c r="H48" s="45"/>
      <c r="I48" s="46"/>
      <c r="J48" s="47"/>
      <c r="K48" s="45"/>
      <c r="L48" s="45"/>
      <c r="M48" s="46"/>
      <c r="N48" s="47"/>
      <c r="O48" s="48" t="n">
        <f aca="false">N(J48)+N(N48)</f>
        <v>0</v>
      </c>
      <c r="P48" s="47"/>
      <c r="Q48" s="47"/>
      <c r="R48" s="47"/>
      <c r="S48" s="47"/>
      <c r="T48" s="48" t="n">
        <f aca="false">SUM(P48:S48)</f>
        <v>0</v>
      </c>
      <c r="U48" s="49" t="n">
        <f aca="false">N(F48)+O48-T48</f>
        <v>0</v>
      </c>
      <c r="V48" s="47"/>
      <c r="W48" s="48" t="str">
        <f aca="false">IF(V48="","",V48-U48)</f>
        <v/>
      </c>
      <c r="X48" s="50" t="n">
        <f aca="false">'Item Master'!P45</f>
        <v>100</v>
      </c>
      <c r="Y48" s="51" t="str">
        <f aca="false">IF(B48="","",IF(U48&lt;=0,"OUT OF STOCK",IF(U48&lt;=X48,"REORDER NOW",IF(U48&lt;=X48*1.5,"LOW","OK"))))</f>
        <v>OUT OF STOCK</v>
      </c>
      <c r="Z48" s="48" t="n">
        <f aca="false">MAX(0,'Item Master'!Q45-IF(V48&lt;&gt;"",V48,U48))</f>
        <v>200</v>
      </c>
      <c r="AA48" s="45"/>
      <c r="AB48" s="43" t="str">
        <f aca="false">'Item Master'!N45</f>
        <v>Rack 6 – Packing &amp; Serving Material</v>
      </c>
      <c r="AC48" s="46"/>
      <c r="AD48" s="52"/>
    </row>
    <row r="49" customFormat="false" ht="25.5" hidden="false" customHeight="true" outlineLevel="0" collapsed="false">
      <c r="A49" s="40" t="n">
        <v>42</v>
      </c>
      <c r="B49" s="41" t="str">
        <f aca="false">'Item Master'!A46</f>
        <v>BTB</v>
      </c>
      <c r="C49" s="42" t="str">
        <f aca="false">'Item Master'!B46</f>
        <v>Bento Box – Big (Chappan Bhog)</v>
      </c>
      <c r="D49" s="43" t="str">
        <f aca="false">'Item Master'!C46</f>
        <v>Prasadam Serving Material</v>
      </c>
      <c r="E49" s="41" t="str">
        <f aca="false">'Item Master'!F46</f>
        <v>Piece</v>
      </c>
      <c r="F49" s="50" t="n">
        <f aca="false">IF('Sep-2027'!V49&lt;&gt;"",'Sep-2027'!V49,'Sep-2027'!U49)</f>
        <v>0</v>
      </c>
      <c r="G49" s="45"/>
      <c r="H49" s="45"/>
      <c r="I49" s="46"/>
      <c r="J49" s="47"/>
      <c r="K49" s="45"/>
      <c r="L49" s="45"/>
      <c r="M49" s="46"/>
      <c r="N49" s="47"/>
      <c r="O49" s="48" t="n">
        <f aca="false">N(J49)+N(N49)</f>
        <v>0</v>
      </c>
      <c r="P49" s="47"/>
      <c r="Q49" s="47"/>
      <c r="R49" s="47"/>
      <c r="S49" s="47"/>
      <c r="T49" s="48" t="n">
        <f aca="false">SUM(P49:S49)</f>
        <v>0</v>
      </c>
      <c r="U49" s="49" t="n">
        <f aca="false">N(F49)+O49-T49</f>
        <v>0</v>
      </c>
      <c r="V49" s="47"/>
      <c r="W49" s="48" t="str">
        <f aca="false">IF(V49="","",V49-U49)</f>
        <v/>
      </c>
      <c r="X49" s="50" t="n">
        <f aca="false">'Item Master'!P46</f>
        <v>50</v>
      </c>
      <c r="Y49" s="51" t="str">
        <f aca="false">IF(B49="","",IF(U49&lt;=0,"OUT OF STOCK",IF(U49&lt;=X49,"REORDER NOW",IF(U49&lt;=X49*1.5,"LOW","OK"))))</f>
        <v>OUT OF STOCK</v>
      </c>
      <c r="Z49" s="48" t="n">
        <f aca="false">MAX(0,'Item Master'!Q46-IF(V49&lt;&gt;"",V49,U49))</f>
        <v>100</v>
      </c>
      <c r="AA49" s="45"/>
      <c r="AB49" s="43" t="str">
        <f aca="false">'Item Master'!N46</f>
        <v>Rack 6 – Packing &amp; Serving Material</v>
      </c>
      <c r="AC49" s="46"/>
      <c r="AD49" s="52"/>
    </row>
    <row r="50" customFormat="false" ht="25.5" hidden="false" customHeight="true" outlineLevel="0" collapsed="false">
      <c r="A50" s="40" t="n">
        <v>43</v>
      </c>
      <c r="B50" s="41" t="str">
        <f aca="false">'Item Master'!A47</f>
        <v>ARP</v>
      </c>
      <c r="C50" s="42" t="str">
        <f aca="false">'Item Master'!B47</f>
        <v>Areca-nut Leaf Plates</v>
      </c>
      <c r="D50" s="43" t="str">
        <f aca="false">'Item Master'!C47</f>
        <v>Prasadam Serving Material</v>
      </c>
      <c r="E50" s="41" t="str">
        <f aca="false">'Item Master'!F47</f>
        <v>Piece</v>
      </c>
      <c r="F50" s="50" t="n">
        <f aca="false">IF('Sep-2027'!V50&lt;&gt;"",'Sep-2027'!V50,'Sep-2027'!U50)</f>
        <v>0</v>
      </c>
      <c r="G50" s="45"/>
      <c r="H50" s="45"/>
      <c r="I50" s="46"/>
      <c r="J50" s="47"/>
      <c r="K50" s="45"/>
      <c r="L50" s="45"/>
      <c r="M50" s="46"/>
      <c r="N50" s="47"/>
      <c r="O50" s="48" t="n">
        <f aca="false">N(J50)+N(N50)</f>
        <v>0</v>
      </c>
      <c r="P50" s="47"/>
      <c r="Q50" s="47"/>
      <c r="R50" s="47"/>
      <c r="S50" s="47"/>
      <c r="T50" s="48" t="n">
        <f aca="false">SUM(P50:S50)</f>
        <v>0</v>
      </c>
      <c r="U50" s="49" t="n">
        <f aca="false">N(F50)+O50-T50</f>
        <v>0</v>
      </c>
      <c r="V50" s="47"/>
      <c r="W50" s="48" t="str">
        <f aca="false">IF(V50="","",V50-U50)</f>
        <v/>
      </c>
      <c r="X50" s="50" t="n">
        <f aca="false">'Item Master'!P47</f>
        <v>500</v>
      </c>
      <c r="Y50" s="51" t="str">
        <f aca="false">IF(B50="","",IF(U50&lt;=0,"OUT OF STOCK",IF(U50&lt;=X50,"REORDER NOW",IF(U50&lt;=X50*1.5,"LOW","OK"))))</f>
        <v>OUT OF STOCK</v>
      </c>
      <c r="Z50" s="48" t="n">
        <f aca="false">MAX(0,'Item Master'!Q47-IF(V50&lt;&gt;"",V50,U50))</f>
        <v>1000</v>
      </c>
      <c r="AA50" s="45"/>
      <c r="AB50" s="43" t="str">
        <f aca="false">'Item Master'!N47</f>
        <v>Rack 6 – Packing &amp; Serving Material</v>
      </c>
      <c r="AC50" s="46"/>
      <c r="AD50" s="52"/>
    </row>
    <row r="51" customFormat="false" ht="25.5" hidden="false" customHeight="true" outlineLevel="0" collapsed="false">
      <c r="A51" s="40" t="n">
        <v>44</v>
      </c>
      <c r="B51" s="41" t="str">
        <f aca="false">'Item Master'!A48</f>
        <v>ZL1</v>
      </c>
      <c r="C51" s="42" t="str">
        <f aca="false">'Item Master'!B48</f>
        <v>Zip-lock Pouch 2"x3" (50–60 micron)</v>
      </c>
      <c r="D51" s="43" t="str">
        <f aca="false">'Item Master'!C48</f>
        <v>Packing Consumables</v>
      </c>
      <c r="E51" s="41" t="str">
        <f aca="false">'Item Master'!F48</f>
        <v>Piece</v>
      </c>
      <c r="F51" s="50" t="n">
        <f aca="false">IF('Sep-2027'!V51&lt;&gt;"",'Sep-2027'!V51,'Sep-2027'!U51)</f>
        <v>0</v>
      </c>
      <c r="G51" s="45"/>
      <c r="H51" s="45"/>
      <c r="I51" s="46"/>
      <c r="J51" s="47"/>
      <c r="K51" s="45"/>
      <c r="L51" s="45"/>
      <c r="M51" s="46"/>
      <c r="N51" s="47"/>
      <c r="O51" s="48" t="n">
        <f aca="false">N(J51)+N(N51)</f>
        <v>0</v>
      </c>
      <c r="P51" s="47"/>
      <c r="Q51" s="47"/>
      <c r="R51" s="47"/>
      <c r="S51" s="47"/>
      <c r="T51" s="48" t="n">
        <f aca="false">SUM(P51:S51)</f>
        <v>0</v>
      </c>
      <c r="U51" s="49" t="n">
        <f aca="false">N(F51)+O51-T51</f>
        <v>0</v>
      </c>
      <c r="V51" s="47"/>
      <c r="W51" s="48" t="str">
        <f aca="false">IF(V51="","",V51-U51)</f>
        <v/>
      </c>
      <c r="X51" s="50" t="n">
        <f aca="false">'Item Master'!P48</f>
        <v>1000</v>
      </c>
      <c r="Y51" s="51" t="str">
        <f aca="false">IF(B51="","",IF(U51&lt;=0,"OUT OF STOCK",IF(U51&lt;=X51,"REORDER NOW",IF(U51&lt;=X51*1.5,"LOW","OK"))))</f>
        <v>OUT OF STOCK</v>
      </c>
      <c r="Z51" s="48" t="n">
        <f aca="false">MAX(0,'Item Master'!Q48-IF(V51&lt;&gt;"",V51,U51))</f>
        <v>3000</v>
      </c>
      <c r="AA51" s="45"/>
      <c r="AB51" s="43" t="str">
        <f aca="false">'Item Master'!N48</f>
        <v>Rack 6 – Packing &amp; Serving Material</v>
      </c>
      <c r="AC51" s="46"/>
      <c r="AD51" s="52"/>
    </row>
    <row r="52" customFormat="false" ht="25.5" hidden="false" customHeight="true" outlineLevel="0" collapsed="false">
      <c r="A52" s="40" t="n">
        <v>45</v>
      </c>
      <c r="B52" s="41" t="str">
        <f aca="false">'Item Master'!A49</f>
        <v>ZL2</v>
      </c>
      <c r="C52" s="42" t="str">
        <f aca="false">'Item Master'!B49</f>
        <v>Zip-lock Pouch 4"x6"</v>
      </c>
      <c r="D52" s="43" t="str">
        <f aca="false">'Item Master'!C49</f>
        <v>Packing Consumables</v>
      </c>
      <c r="E52" s="41" t="str">
        <f aca="false">'Item Master'!F49</f>
        <v>Piece</v>
      </c>
      <c r="F52" s="50" t="n">
        <f aca="false">IF('Sep-2027'!V52&lt;&gt;"",'Sep-2027'!V52,'Sep-2027'!U52)</f>
        <v>0</v>
      </c>
      <c r="G52" s="45"/>
      <c r="H52" s="45"/>
      <c r="I52" s="46"/>
      <c r="J52" s="47"/>
      <c r="K52" s="45"/>
      <c r="L52" s="45"/>
      <c r="M52" s="46"/>
      <c r="N52" s="47"/>
      <c r="O52" s="48" t="n">
        <f aca="false">N(J52)+N(N52)</f>
        <v>0</v>
      </c>
      <c r="P52" s="47"/>
      <c r="Q52" s="47"/>
      <c r="R52" s="47"/>
      <c r="S52" s="47"/>
      <c r="T52" s="48" t="n">
        <f aca="false">SUM(P52:S52)</f>
        <v>0</v>
      </c>
      <c r="U52" s="49" t="n">
        <f aca="false">N(F52)+O52-T52</f>
        <v>0</v>
      </c>
      <c r="V52" s="47"/>
      <c r="W52" s="48" t="str">
        <f aca="false">IF(V52="","",V52-U52)</f>
        <v/>
      </c>
      <c r="X52" s="50" t="n">
        <f aca="false">'Item Master'!P49</f>
        <v>300</v>
      </c>
      <c r="Y52" s="51" t="str">
        <f aca="false">IF(B52="","",IF(U52&lt;=0,"OUT OF STOCK",IF(U52&lt;=X52,"REORDER NOW",IF(U52&lt;=X52*1.5,"LOW","OK"))))</f>
        <v>OUT OF STOCK</v>
      </c>
      <c r="Z52" s="48" t="n">
        <f aca="false">MAX(0,'Item Master'!Q49-IF(V52&lt;&gt;"",V52,U52))</f>
        <v>1000</v>
      </c>
      <c r="AA52" s="45"/>
      <c r="AB52" s="43" t="str">
        <f aca="false">'Item Master'!N49</f>
        <v>Rack 6 – Packing &amp; Serving Material</v>
      </c>
      <c r="AC52" s="46"/>
      <c r="AD52" s="52"/>
    </row>
    <row r="53" customFormat="false" ht="25.5" hidden="false" customHeight="true" outlineLevel="0" collapsed="false">
      <c r="A53" s="40" t="n">
        <v>46</v>
      </c>
      <c r="B53" s="41" t="str">
        <f aca="false">'Item Master'!A50</f>
        <v>ZL3</v>
      </c>
      <c r="C53" s="42" t="str">
        <f aca="false">'Item Master'!B50</f>
        <v>Zip-lock Pouch 3"x8" (sticks)</v>
      </c>
      <c r="D53" s="43" t="str">
        <f aca="false">'Item Master'!C50</f>
        <v>Packing Consumables</v>
      </c>
      <c r="E53" s="41" t="str">
        <f aca="false">'Item Master'!F50</f>
        <v>Piece</v>
      </c>
      <c r="F53" s="50" t="n">
        <f aca="false">IF('Sep-2027'!V53&lt;&gt;"",'Sep-2027'!V53,'Sep-2027'!U53)</f>
        <v>0</v>
      </c>
      <c r="G53" s="45"/>
      <c r="H53" s="45"/>
      <c r="I53" s="46"/>
      <c r="J53" s="47"/>
      <c r="K53" s="45"/>
      <c r="L53" s="45"/>
      <c r="M53" s="46"/>
      <c r="N53" s="47"/>
      <c r="O53" s="48" t="n">
        <f aca="false">N(J53)+N(N53)</f>
        <v>0</v>
      </c>
      <c r="P53" s="47"/>
      <c r="Q53" s="47"/>
      <c r="R53" s="47"/>
      <c r="S53" s="47"/>
      <c r="T53" s="48" t="n">
        <f aca="false">SUM(P53:S53)</f>
        <v>0</v>
      </c>
      <c r="U53" s="49" t="n">
        <f aca="false">N(F53)+O53-T53</f>
        <v>0</v>
      </c>
      <c r="V53" s="47"/>
      <c r="W53" s="48" t="str">
        <f aca="false">IF(V53="","",V53-U53)</f>
        <v/>
      </c>
      <c r="X53" s="50" t="n">
        <f aca="false">'Item Master'!P50</f>
        <v>300</v>
      </c>
      <c r="Y53" s="51" t="str">
        <f aca="false">IF(B53="","",IF(U53&lt;=0,"OUT OF STOCK",IF(U53&lt;=X53,"REORDER NOW",IF(U53&lt;=X53*1.5,"LOW","OK"))))</f>
        <v>OUT OF STOCK</v>
      </c>
      <c r="Z53" s="48" t="n">
        <f aca="false">MAX(0,'Item Master'!Q50-IF(V53&lt;&gt;"",V53,U53))</f>
        <v>1000</v>
      </c>
      <c r="AA53" s="45"/>
      <c r="AB53" s="43" t="str">
        <f aca="false">'Item Master'!N50</f>
        <v>Rack 6 – Packing &amp; Serving Material</v>
      </c>
      <c r="AC53" s="46"/>
      <c r="AD53" s="52"/>
    </row>
    <row r="54" customFormat="false" ht="25.5" hidden="false" customHeight="true" outlineLevel="0" collapsed="false">
      <c r="A54" s="40" t="n">
        <v>47</v>
      </c>
      <c r="B54" s="41" t="str">
        <f aca="false">'Item Master'!A51</f>
        <v>CNT</v>
      </c>
      <c r="C54" s="42" t="str">
        <f aca="false">'Item Master'!B51</f>
        <v>5 g Leak-proof PP Container</v>
      </c>
      <c r="D54" s="43" t="str">
        <f aca="false">'Item Master'!C51</f>
        <v>Packing Consumables</v>
      </c>
      <c r="E54" s="41" t="str">
        <f aca="false">'Item Master'!F51</f>
        <v>Piece</v>
      </c>
      <c r="F54" s="50" t="n">
        <f aca="false">IF('Sep-2027'!V54&lt;&gt;"",'Sep-2027'!V54,'Sep-2027'!U54)</f>
        <v>0</v>
      </c>
      <c r="G54" s="45"/>
      <c r="H54" s="45"/>
      <c r="I54" s="46"/>
      <c r="J54" s="47"/>
      <c r="K54" s="45"/>
      <c r="L54" s="45"/>
      <c r="M54" s="46"/>
      <c r="N54" s="47"/>
      <c r="O54" s="48" t="n">
        <f aca="false">N(J54)+N(N54)</f>
        <v>0</v>
      </c>
      <c r="P54" s="47"/>
      <c r="Q54" s="47"/>
      <c r="R54" s="47"/>
      <c r="S54" s="47"/>
      <c r="T54" s="48" t="n">
        <f aca="false">SUM(P54:S54)</f>
        <v>0</v>
      </c>
      <c r="U54" s="49" t="n">
        <f aca="false">N(F54)+O54-T54</f>
        <v>0</v>
      </c>
      <c r="V54" s="47"/>
      <c r="W54" s="48" t="str">
        <f aca="false">IF(V54="","",V54-U54)</f>
        <v/>
      </c>
      <c r="X54" s="50" t="n">
        <f aca="false">'Item Master'!P51</f>
        <v>300</v>
      </c>
      <c r="Y54" s="51" t="str">
        <f aca="false">IF(B54="","",IF(U54&lt;=0,"OUT OF STOCK",IF(U54&lt;=X54,"REORDER NOW",IF(U54&lt;=X54*1.5,"LOW","OK"))))</f>
        <v>OUT OF STOCK</v>
      </c>
      <c r="Z54" s="48" t="n">
        <f aca="false">MAX(0,'Item Master'!Q51-IF(V54&lt;&gt;"",V54,U54))</f>
        <v>1000</v>
      </c>
      <c r="AA54" s="45"/>
      <c r="AB54" s="43" t="str">
        <f aca="false">'Item Master'!N51</f>
        <v>Rack 6 – Packing &amp; Serving Material</v>
      </c>
      <c r="AC54" s="46"/>
      <c r="AD54" s="52"/>
    </row>
    <row r="55" customFormat="false" ht="25.5" hidden="false" customHeight="true" outlineLevel="0" collapsed="false">
      <c r="A55" s="40" t="n">
        <v>48</v>
      </c>
      <c r="B55" s="41" t="str">
        <f aca="false">'Item Master'!A52</f>
        <v>BTL</v>
      </c>
      <c r="C55" s="42" t="str">
        <f aca="false">'Item Master'!B52</f>
        <v>20–50 ml PET Bottle + Cap + Shrink Band</v>
      </c>
      <c r="D55" s="43" t="str">
        <f aca="false">'Item Master'!C52</f>
        <v>Packing Consumables</v>
      </c>
      <c r="E55" s="41" t="str">
        <f aca="false">'Item Master'!F52</f>
        <v>Piece</v>
      </c>
      <c r="F55" s="50" t="n">
        <f aca="false">IF('Sep-2027'!V55&lt;&gt;"",'Sep-2027'!V55,'Sep-2027'!U55)</f>
        <v>0</v>
      </c>
      <c r="G55" s="45"/>
      <c r="H55" s="45"/>
      <c r="I55" s="46"/>
      <c r="J55" s="47"/>
      <c r="K55" s="45"/>
      <c r="L55" s="45"/>
      <c r="M55" s="46"/>
      <c r="N55" s="47"/>
      <c r="O55" s="48" t="n">
        <f aca="false">N(J55)+N(N55)</f>
        <v>0</v>
      </c>
      <c r="P55" s="47"/>
      <c r="Q55" s="47"/>
      <c r="R55" s="47"/>
      <c r="S55" s="47"/>
      <c r="T55" s="48" t="n">
        <f aca="false">SUM(P55:S55)</f>
        <v>0</v>
      </c>
      <c r="U55" s="49" t="n">
        <f aca="false">N(F55)+O55-T55</f>
        <v>0</v>
      </c>
      <c r="V55" s="47"/>
      <c r="W55" s="48" t="str">
        <f aca="false">IF(V55="","",V55-U55)</f>
        <v/>
      </c>
      <c r="X55" s="50" t="n">
        <f aca="false">'Item Master'!P52</f>
        <v>200</v>
      </c>
      <c r="Y55" s="51" t="str">
        <f aca="false">IF(B55="","",IF(U55&lt;=0,"OUT OF STOCK",IF(U55&lt;=X55,"REORDER NOW",IF(U55&lt;=X55*1.5,"LOW","OK"))))</f>
        <v>OUT OF STOCK</v>
      </c>
      <c r="Z55" s="48" t="n">
        <f aca="false">MAX(0,'Item Master'!Q52-IF(V55&lt;&gt;"",V55,U55))</f>
        <v>500</v>
      </c>
      <c r="AA55" s="45"/>
      <c r="AB55" s="43" t="str">
        <f aca="false">'Item Master'!N52</f>
        <v>Rack 6 – Packing &amp; Serving Material</v>
      </c>
      <c r="AC55" s="46"/>
      <c r="AD55" s="52"/>
    </row>
    <row r="56" customFormat="false" ht="25.5" hidden="false" customHeight="true" outlineLevel="0" collapsed="false">
      <c r="A56" s="40" t="n">
        <v>49</v>
      </c>
      <c r="B56" s="41" t="str">
        <f aca="false">'Item Master'!A53</f>
        <v>LBL</v>
      </c>
      <c r="C56" s="42" t="str">
        <f aca="false">'Item Master'!B53</f>
        <v>Printed Labels / Stickers (roll)</v>
      </c>
      <c r="D56" s="43" t="str">
        <f aca="false">'Item Master'!C53</f>
        <v>Packing Consumables</v>
      </c>
      <c r="E56" s="41" t="str">
        <f aca="false">'Item Master'!F53</f>
        <v>Label</v>
      </c>
      <c r="F56" s="50" t="n">
        <f aca="false">IF('Sep-2027'!V56&lt;&gt;"",'Sep-2027'!V56,'Sep-2027'!U56)</f>
        <v>0</v>
      </c>
      <c r="G56" s="45"/>
      <c r="H56" s="45"/>
      <c r="I56" s="46"/>
      <c r="J56" s="47"/>
      <c r="K56" s="45"/>
      <c r="L56" s="45"/>
      <c r="M56" s="46"/>
      <c r="N56" s="47"/>
      <c r="O56" s="48" t="n">
        <f aca="false">N(J56)+N(N56)</f>
        <v>0</v>
      </c>
      <c r="P56" s="47"/>
      <c r="Q56" s="47"/>
      <c r="R56" s="47"/>
      <c r="S56" s="47"/>
      <c r="T56" s="48" t="n">
        <f aca="false">SUM(P56:S56)</f>
        <v>0</v>
      </c>
      <c r="U56" s="49" t="n">
        <f aca="false">N(F56)+O56-T56</f>
        <v>0</v>
      </c>
      <c r="V56" s="47"/>
      <c r="W56" s="48" t="str">
        <f aca="false">IF(V56="","",V56-U56)</f>
        <v/>
      </c>
      <c r="X56" s="50" t="n">
        <f aca="false">'Item Master'!P53</f>
        <v>1000</v>
      </c>
      <c r="Y56" s="51" t="str">
        <f aca="false">IF(B56="","",IF(U56&lt;=0,"OUT OF STOCK",IF(U56&lt;=X56,"REORDER NOW",IF(U56&lt;=X56*1.5,"LOW","OK"))))</f>
        <v>OUT OF STOCK</v>
      </c>
      <c r="Z56" s="48" t="n">
        <f aca="false">MAX(0,'Item Master'!Q53-IF(V56&lt;&gt;"",V56,U56))</f>
        <v>3000</v>
      </c>
      <c r="AA56" s="45"/>
      <c r="AB56" s="43" t="str">
        <f aca="false">'Item Master'!N53</f>
        <v>Rack 6 – Packing &amp; Serving Material</v>
      </c>
      <c r="AC56" s="46"/>
      <c r="AD56" s="52"/>
    </row>
    <row r="57" customFormat="false" ht="25.5" hidden="false" customHeight="true" outlineLevel="0" collapsed="false">
      <c r="A57" s="40" t="n">
        <v>50</v>
      </c>
      <c r="B57" s="41" t="str">
        <f aca="false">'Item Master'!A54</f>
        <v>OPP</v>
      </c>
      <c r="C57" s="42" t="str">
        <f aca="false">'Item Master'!B54</f>
        <v>OPP Self-adhesive Sleeves (assorted)</v>
      </c>
      <c r="D57" s="43" t="str">
        <f aca="false">'Item Master'!C54</f>
        <v>Packing Consumables</v>
      </c>
      <c r="E57" s="41" t="str">
        <f aca="false">'Item Master'!F54</f>
        <v>Piece</v>
      </c>
      <c r="F57" s="50" t="n">
        <f aca="false">IF('Sep-2027'!V57&lt;&gt;"",'Sep-2027'!V57,'Sep-2027'!U57)</f>
        <v>0</v>
      </c>
      <c r="G57" s="45"/>
      <c r="H57" s="45"/>
      <c r="I57" s="46"/>
      <c r="J57" s="47"/>
      <c r="K57" s="45"/>
      <c r="L57" s="45"/>
      <c r="M57" s="46"/>
      <c r="N57" s="47"/>
      <c r="O57" s="48" t="n">
        <f aca="false">N(J57)+N(N57)</f>
        <v>0</v>
      </c>
      <c r="P57" s="47"/>
      <c r="Q57" s="47"/>
      <c r="R57" s="47"/>
      <c r="S57" s="47"/>
      <c r="T57" s="48" t="n">
        <f aca="false">SUM(P57:S57)</f>
        <v>0</v>
      </c>
      <c r="U57" s="49" t="n">
        <f aca="false">N(F57)+O57-T57</f>
        <v>0</v>
      </c>
      <c r="V57" s="47"/>
      <c r="W57" s="48" t="str">
        <f aca="false">IF(V57="","",V57-U57)</f>
        <v/>
      </c>
      <c r="X57" s="50" t="n">
        <f aca="false">'Item Master'!P54</f>
        <v>500</v>
      </c>
      <c r="Y57" s="51" t="str">
        <f aca="false">IF(B57="","",IF(U57&lt;=0,"OUT OF STOCK",IF(U57&lt;=X57,"REORDER NOW",IF(U57&lt;=X57*1.5,"LOW","OK"))))</f>
        <v>OUT OF STOCK</v>
      </c>
      <c r="Z57" s="48" t="n">
        <f aca="false">MAX(0,'Item Master'!Q54-IF(V57&lt;&gt;"",V57,U57))</f>
        <v>1500</v>
      </c>
      <c r="AA57" s="45"/>
      <c r="AB57" s="43" t="str">
        <f aca="false">'Item Master'!N54</f>
        <v>Rack 6 – Packing &amp; Serving Material</v>
      </c>
      <c r="AC57" s="46"/>
      <c r="AD57" s="52"/>
    </row>
    <row r="58" customFormat="false" ht="25.5" hidden="false" customHeight="true" outlineLevel="0" collapsed="false">
      <c r="A58" s="40" t="n">
        <v>51</v>
      </c>
      <c r="B58" s="41" t="str">
        <f aca="false">'Item Master'!A55</f>
        <v>BWR</v>
      </c>
      <c r="C58" s="42" t="str">
        <f aca="false">'Item Master'!B55</f>
        <v>Bubble Wrap</v>
      </c>
      <c r="D58" s="43" t="str">
        <f aca="false">'Item Master'!C55</f>
        <v>Packing Consumables</v>
      </c>
      <c r="E58" s="41" t="str">
        <f aca="false">'Item Master'!F55</f>
        <v>Metre</v>
      </c>
      <c r="F58" s="50" t="n">
        <f aca="false">IF('Sep-2027'!V58&lt;&gt;"",'Sep-2027'!V58,'Sep-2027'!U58)</f>
        <v>0</v>
      </c>
      <c r="G58" s="45"/>
      <c r="H58" s="45"/>
      <c r="I58" s="46"/>
      <c r="J58" s="47"/>
      <c r="K58" s="45"/>
      <c r="L58" s="45"/>
      <c r="M58" s="46"/>
      <c r="N58" s="47"/>
      <c r="O58" s="48" t="n">
        <f aca="false">N(J58)+N(N58)</f>
        <v>0</v>
      </c>
      <c r="P58" s="47"/>
      <c r="Q58" s="47"/>
      <c r="R58" s="47"/>
      <c r="S58" s="47"/>
      <c r="T58" s="48" t="n">
        <f aca="false">SUM(P58:S58)</f>
        <v>0</v>
      </c>
      <c r="U58" s="49" t="n">
        <f aca="false">N(F58)+O58-T58</f>
        <v>0</v>
      </c>
      <c r="V58" s="47"/>
      <c r="W58" s="48" t="str">
        <f aca="false">IF(V58="","",V58-U58)</f>
        <v/>
      </c>
      <c r="X58" s="50" t="n">
        <f aca="false">'Item Master'!P55</f>
        <v>20</v>
      </c>
      <c r="Y58" s="51" t="str">
        <f aca="false">IF(B58="","",IF(U58&lt;=0,"OUT OF STOCK",IF(U58&lt;=X58,"REORDER NOW",IF(U58&lt;=X58*1.5,"LOW","OK"))))</f>
        <v>OUT OF STOCK</v>
      </c>
      <c r="Z58" s="48" t="n">
        <f aca="false">MAX(0,'Item Master'!Q55-IF(V58&lt;&gt;"",V58,U58))</f>
        <v>50</v>
      </c>
      <c r="AA58" s="45"/>
      <c r="AB58" s="43" t="str">
        <f aca="false">'Item Master'!N55</f>
        <v>Rack 6 – Packing &amp; Serving Material</v>
      </c>
      <c r="AC58" s="46"/>
      <c r="AD58" s="52"/>
    </row>
    <row r="59" customFormat="false" ht="25.5" hidden="false" customHeight="true" outlineLevel="0" collapsed="false">
      <c r="A59" s="40" t="n">
        <v>52</v>
      </c>
      <c r="B59" s="41" t="str">
        <f aca="false">'Item Master'!A56</f>
        <v>CAL</v>
      </c>
      <c r="C59" s="42" t="str">
        <f aca="false">'Item Master'!B56</f>
        <v>Temple Calendar 2027</v>
      </c>
      <c r="D59" s="43" t="str">
        <f aca="false">'Item Master'!C56</f>
        <v>Suggested New Items</v>
      </c>
      <c r="E59" s="41" t="str">
        <f aca="false">'Item Master'!F56</f>
        <v>Piece</v>
      </c>
      <c r="F59" s="50" t="n">
        <f aca="false">IF('Sep-2027'!V59&lt;&gt;"",'Sep-2027'!V59,'Sep-2027'!U59)</f>
        <v>0</v>
      </c>
      <c r="G59" s="45"/>
      <c r="H59" s="45"/>
      <c r="I59" s="46"/>
      <c r="J59" s="47"/>
      <c r="K59" s="45"/>
      <c r="L59" s="45"/>
      <c r="M59" s="46"/>
      <c r="N59" s="47"/>
      <c r="O59" s="48" t="n">
        <f aca="false">N(J59)+N(N59)</f>
        <v>0</v>
      </c>
      <c r="P59" s="47"/>
      <c r="Q59" s="47"/>
      <c r="R59" s="47"/>
      <c r="S59" s="47"/>
      <c r="T59" s="48" t="n">
        <f aca="false">SUM(P59:S59)</f>
        <v>0</v>
      </c>
      <c r="U59" s="49" t="n">
        <f aca="false">N(F59)+O59-T59</f>
        <v>0</v>
      </c>
      <c r="V59" s="47"/>
      <c r="W59" s="48" t="str">
        <f aca="false">IF(V59="","",V59-U59)</f>
        <v/>
      </c>
      <c r="X59" s="50" t="n">
        <f aca="false">'Item Master'!P56</f>
        <v>100</v>
      </c>
      <c r="Y59" s="51" t="str">
        <f aca="false">IF(B59="","",IF(U59&lt;=0,"OUT OF STOCK",IF(U59&lt;=X59,"REORDER NOW",IF(U59&lt;=X59*1.5,"LOW","OK"))))</f>
        <v>OUT OF STOCK</v>
      </c>
      <c r="Z59" s="48" t="n">
        <f aca="false">MAX(0,'Item Master'!Q56-IF(V59&lt;&gt;"",V59,U59))</f>
        <v>300</v>
      </c>
      <c r="AA59" s="45"/>
      <c r="AB59" s="43" t="str">
        <f aca="false">'Item Master'!N56</f>
        <v>Rack 4 – Books, Cards &amp; Paper</v>
      </c>
      <c r="AC59" s="46"/>
      <c r="AD59" s="52"/>
    </row>
    <row r="60" customFormat="false" ht="25.5" hidden="false" customHeight="true" outlineLevel="0" collapsed="false">
      <c r="A60" s="40" t="n">
        <v>53</v>
      </c>
      <c r="B60" s="41" t="str">
        <f aca="false">'Item Master'!A57</f>
        <v>BMK</v>
      </c>
      <c r="C60" s="42" t="str">
        <f aca="false">'Item Master'!B57</f>
        <v>Bookmark with Mantra</v>
      </c>
      <c r="D60" s="43" t="str">
        <f aca="false">'Item Master'!C57</f>
        <v>Suggested New Items</v>
      </c>
      <c r="E60" s="41" t="str">
        <f aca="false">'Item Master'!F57</f>
        <v>Piece</v>
      </c>
      <c r="F60" s="50" t="n">
        <f aca="false">IF('Sep-2027'!V60&lt;&gt;"",'Sep-2027'!V60,'Sep-2027'!U60)</f>
        <v>0</v>
      </c>
      <c r="G60" s="45"/>
      <c r="H60" s="45"/>
      <c r="I60" s="46"/>
      <c r="J60" s="47"/>
      <c r="K60" s="45"/>
      <c r="L60" s="45"/>
      <c r="M60" s="46"/>
      <c r="N60" s="47"/>
      <c r="O60" s="48" t="n">
        <f aca="false">N(J60)+N(N60)</f>
        <v>0</v>
      </c>
      <c r="P60" s="47"/>
      <c r="Q60" s="47"/>
      <c r="R60" s="47"/>
      <c r="S60" s="47"/>
      <c r="T60" s="48" t="n">
        <f aca="false">SUM(P60:S60)</f>
        <v>0</v>
      </c>
      <c r="U60" s="49" t="n">
        <f aca="false">N(F60)+O60-T60</f>
        <v>0</v>
      </c>
      <c r="V60" s="47"/>
      <c r="W60" s="48" t="str">
        <f aca="false">IF(V60="","",V60-U60)</f>
        <v/>
      </c>
      <c r="X60" s="50" t="n">
        <f aca="false">'Item Master'!P57</f>
        <v>300</v>
      </c>
      <c r="Y60" s="51" t="str">
        <f aca="false">IF(B60="","",IF(U60&lt;=0,"OUT OF STOCK",IF(U60&lt;=X60,"REORDER NOW",IF(U60&lt;=X60*1.5,"LOW","OK"))))</f>
        <v>OUT OF STOCK</v>
      </c>
      <c r="Z60" s="48" t="n">
        <f aca="false">MAX(0,'Item Master'!Q57-IF(V60&lt;&gt;"",V60,U60))</f>
        <v>600</v>
      </c>
      <c r="AA60" s="45"/>
      <c r="AB60" s="43" t="str">
        <f aca="false">'Item Master'!N57</f>
        <v>Rack 4 – Books, Cards &amp; Paper</v>
      </c>
      <c r="AC60" s="46"/>
      <c r="AD60" s="52"/>
    </row>
    <row r="61" customFormat="false" ht="25.5" hidden="false" customHeight="true" outlineLevel="0" collapsed="false">
      <c r="A61" s="40" t="n">
        <v>54</v>
      </c>
      <c r="B61" s="41" t="str">
        <f aca="false">'Item Master'!A58</f>
        <v>KNT</v>
      </c>
      <c r="C61" s="42" t="str">
        <f aca="false">'Item Master'!B58</f>
        <v>Kanthi Mala (neck beads)</v>
      </c>
      <c r="D61" s="43" t="str">
        <f aca="false">'Item Master'!C58</f>
        <v>Suggested New Items</v>
      </c>
      <c r="E61" s="41" t="str">
        <f aca="false">'Item Master'!F58</f>
        <v>Piece</v>
      </c>
      <c r="F61" s="50" t="n">
        <f aca="false">IF('Sep-2027'!V61&lt;&gt;"",'Sep-2027'!V61,'Sep-2027'!U61)</f>
        <v>0</v>
      </c>
      <c r="G61" s="45"/>
      <c r="H61" s="45"/>
      <c r="I61" s="46"/>
      <c r="J61" s="47"/>
      <c r="K61" s="45"/>
      <c r="L61" s="45"/>
      <c r="M61" s="46"/>
      <c r="N61" s="47"/>
      <c r="O61" s="48" t="n">
        <f aca="false">N(J61)+N(N61)</f>
        <v>0</v>
      </c>
      <c r="P61" s="47"/>
      <c r="Q61" s="47"/>
      <c r="R61" s="47"/>
      <c r="S61" s="47"/>
      <c r="T61" s="48" t="n">
        <f aca="false">SUM(P61:S61)</f>
        <v>0</v>
      </c>
      <c r="U61" s="49" t="n">
        <f aca="false">N(F61)+O61-T61</f>
        <v>0</v>
      </c>
      <c r="V61" s="47"/>
      <c r="W61" s="48" t="str">
        <f aca="false">IF(V61="","",V61-U61)</f>
        <v/>
      </c>
      <c r="X61" s="50" t="n">
        <f aca="false">'Item Master'!P58</f>
        <v>100</v>
      </c>
      <c r="Y61" s="51" t="str">
        <f aca="false">IF(B61="","",IF(U61&lt;=0,"OUT OF STOCK",IF(U61&lt;=X61,"REORDER NOW",IF(U61&lt;=X61*1.5,"LOW","OK"))))</f>
        <v>OUT OF STOCK</v>
      </c>
      <c r="Z61" s="48" t="n">
        <f aca="false">MAX(0,'Item Master'!Q58-IF(V61&lt;&gt;"",V61,U61))</f>
        <v>200</v>
      </c>
      <c r="AA61" s="45"/>
      <c r="AB61" s="43" t="str">
        <f aca="false">'Item Master'!N58</f>
        <v>Rack 5 – Fragrance &amp; Puja items</v>
      </c>
      <c r="AC61" s="46"/>
      <c r="AD61" s="52"/>
    </row>
    <row r="62" customFormat="false" ht="25.5" hidden="false" customHeight="true" outlineLevel="0" collapsed="false">
      <c r="A62" s="40" t="n">
        <v>55</v>
      </c>
      <c r="B62" s="41" t="str">
        <f aca="false">'Item Master'!A59</f>
        <v>GCH</v>
      </c>
      <c r="C62" s="42" t="str">
        <f aca="false">'Item Master'!B59</f>
        <v>Gopi Chandan Tilak</v>
      </c>
      <c r="D62" s="43" t="str">
        <f aca="false">'Item Master'!C59</f>
        <v>Suggested New Items</v>
      </c>
      <c r="E62" s="41" t="str">
        <f aca="false">'Item Master'!F59</f>
        <v>Piece</v>
      </c>
      <c r="F62" s="50" t="n">
        <f aca="false">IF('Sep-2027'!V62&lt;&gt;"",'Sep-2027'!V62,'Sep-2027'!U62)</f>
        <v>0</v>
      </c>
      <c r="G62" s="45"/>
      <c r="H62" s="45"/>
      <c r="I62" s="46"/>
      <c r="J62" s="47"/>
      <c r="K62" s="45"/>
      <c r="L62" s="45"/>
      <c r="M62" s="46"/>
      <c r="N62" s="47"/>
      <c r="O62" s="48" t="n">
        <f aca="false">N(J62)+N(N62)</f>
        <v>0</v>
      </c>
      <c r="P62" s="47"/>
      <c r="Q62" s="47"/>
      <c r="R62" s="47"/>
      <c r="S62" s="47"/>
      <c r="T62" s="48" t="n">
        <f aca="false">SUM(P62:S62)</f>
        <v>0</v>
      </c>
      <c r="U62" s="49" t="n">
        <f aca="false">N(F62)+O62-T62</f>
        <v>0</v>
      </c>
      <c r="V62" s="47"/>
      <c r="W62" s="48" t="str">
        <f aca="false">IF(V62="","",V62-U62)</f>
        <v/>
      </c>
      <c r="X62" s="50" t="n">
        <f aca="false">'Item Master'!P59</f>
        <v>100</v>
      </c>
      <c r="Y62" s="51" t="str">
        <f aca="false">IF(B62="","",IF(U62&lt;=0,"OUT OF STOCK",IF(U62&lt;=X62,"REORDER NOW",IF(U62&lt;=X62*1.5,"LOW","OK"))))</f>
        <v>OUT OF STOCK</v>
      </c>
      <c r="Z62" s="48" t="n">
        <f aca="false">MAX(0,'Item Master'!Q59-IF(V62&lt;&gt;"",V62,U62))</f>
        <v>200</v>
      </c>
      <c r="AA62" s="45"/>
      <c r="AB62" s="43" t="str">
        <f aca="false">'Item Master'!N59</f>
        <v>Rack 1 – Prasadam &amp; Edibles</v>
      </c>
      <c r="AC62" s="46"/>
      <c r="AD62" s="52"/>
    </row>
    <row r="63" customFormat="false" ht="25.5" hidden="false" customHeight="true" outlineLevel="0" collapsed="false">
      <c r="A63" s="40" t="n">
        <v>56</v>
      </c>
      <c r="B63" s="41" t="str">
        <f aca="false">'Item Master'!A60</f>
        <v>GWK</v>
      </c>
      <c r="C63" s="42" t="str">
        <f aca="false">'Item Master'!B60</f>
        <v>Ghee Wicks / Diya (Karthika Deepam)</v>
      </c>
      <c r="D63" s="43" t="str">
        <f aca="false">'Item Master'!C60</f>
        <v>Suggested New Items</v>
      </c>
      <c r="E63" s="41" t="str">
        <f aca="false">'Item Master'!F60</f>
        <v>Pack</v>
      </c>
      <c r="F63" s="50" t="n">
        <f aca="false">IF('Sep-2027'!V63&lt;&gt;"",'Sep-2027'!V63,'Sep-2027'!U63)</f>
        <v>0</v>
      </c>
      <c r="G63" s="45"/>
      <c r="H63" s="45"/>
      <c r="I63" s="46"/>
      <c r="J63" s="47"/>
      <c r="K63" s="45"/>
      <c r="L63" s="45"/>
      <c r="M63" s="46"/>
      <c r="N63" s="47"/>
      <c r="O63" s="48" t="n">
        <f aca="false">N(J63)+N(N63)</f>
        <v>0</v>
      </c>
      <c r="P63" s="47"/>
      <c r="Q63" s="47"/>
      <c r="R63" s="47"/>
      <c r="S63" s="47"/>
      <c r="T63" s="48" t="n">
        <f aca="false">SUM(P63:S63)</f>
        <v>0</v>
      </c>
      <c r="U63" s="49" t="n">
        <f aca="false">N(F63)+O63-T63</f>
        <v>0</v>
      </c>
      <c r="V63" s="47"/>
      <c r="W63" s="48" t="str">
        <f aca="false">IF(V63="","",V63-U63)</f>
        <v/>
      </c>
      <c r="X63" s="50" t="n">
        <f aca="false">'Item Master'!P60</f>
        <v>100</v>
      </c>
      <c r="Y63" s="51" t="str">
        <f aca="false">IF(B63="","",IF(U63&lt;=0,"OUT OF STOCK",IF(U63&lt;=X63,"REORDER NOW",IF(U63&lt;=X63*1.5,"LOW","OK"))))</f>
        <v>OUT OF STOCK</v>
      </c>
      <c r="Z63" s="48" t="n">
        <f aca="false">MAX(0,'Item Master'!Q60-IF(V63&lt;&gt;"",V63,U63))</f>
        <v>300</v>
      </c>
      <c r="AA63" s="45"/>
      <c r="AB63" s="43" t="str">
        <f aca="false">'Item Master'!N60</f>
        <v>Rack 5 – Fragrance &amp; Puja items</v>
      </c>
      <c r="AC63" s="46"/>
      <c r="AD63" s="52"/>
    </row>
    <row r="64" customFormat="false" ht="25.5" hidden="false" customHeight="true" outlineLevel="0" collapsed="false">
      <c r="A64" s="40" t="n">
        <v>57</v>
      </c>
      <c r="B64" s="41" t="str">
        <f aca="false">'Item Master'!A61</f>
        <v>DRP</v>
      </c>
      <c r="C64" s="42" t="str">
        <f aca="false">'Item Master'!B61</f>
        <v>Dry Prasadam Pack (laddu / chikki / dry fruits)</v>
      </c>
      <c r="D64" s="43" t="str">
        <f aca="false">'Item Master'!C61</f>
        <v>Suggested New Items</v>
      </c>
      <c r="E64" s="41" t="str">
        <f aca="false">'Item Master'!F61</f>
        <v>Pack</v>
      </c>
      <c r="F64" s="50" t="n">
        <f aca="false">IF('Sep-2027'!V64&lt;&gt;"",'Sep-2027'!V64,'Sep-2027'!U64)</f>
        <v>0</v>
      </c>
      <c r="G64" s="45"/>
      <c r="H64" s="45"/>
      <c r="I64" s="46"/>
      <c r="J64" s="47"/>
      <c r="K64" s="45"/>
      <c r="L64" s="45"/>
      <c r="M64" s="46"/>
      <c r="N64" s="47"/>
      <c r="O64" s="48" t="n">
        <f aca="false">N(J64)+N(N64)</f>
        <v>0</v>
      </c>
      <c r="P64" s="47"/>
      <c r="Q64" s="47"/>
      <c r="R64" s="47"/>
      <c r="S64" s="47"/>
      <c r="T64" s="48" t="n">
        <f aca="false">SUM(P64:S64)</f>
        <v>0</v>
      </c>
      <c r="U64" s="49" t="n">
        <f aca="false">N(F64)+O64-T64</f>
        <v>0</v>
      </c>
      <c r="V64" s="47"/>
      <c r="W64" s="48" t="str">
        <f aca="false">IF(V64="","",V64-U64)</f>
        <v/>
      </c>
      <c r="X64" s="50" t="n">
        <f aca="false">'Item Master'!P61</f>
        <v>50</v>
      </c>
      <c r="Y64" s="51" t="str">
        <f aca="false">IF(B64="","",IF(U64&lt;=0,"OUT OF STOCK",IF(U64&lt;=X64,"REORDER NOW",IF(U64&lt;=X64*1.5,"LOW","OK"))))</f>
        <v>OUT OF STOCK</v>
      </c>
      <c r="Z64" s="48" t="n">
        <f aca="false">MAX(0,'Item Master'!Q61-IF(V64&lt;&gt;"",V64,U64))</f>
        <v>150</v>
      </c>
      <c r="AA64" s="45"/>
      <c r="AB64" s="43" t="str">
        <f aca="false">'Item Master'!N61</f>
        <v>Rack 1 – Prasadam &amp; Edibles</v>
      </c>
      <c r="AC64" s="46"/>
      <c r="AD64" s="52"/>
    </row>
    <row r="65" customFormat="false" ht="25.5" hidden="false" customHeight="true" outlineLevel="0" collapsed="false">
      <c r="A65" s="40" t="n">
        <v>58</v>
      </c>
      <c r="B65" s="41" t="str">
        <f aca="false">'Item Master'!A62</f>
        <v>TYC</v>
      </c>
      <c r="C65" s="42" t="str">
        <f aca="false">'Item Master'!B62</f>
        <v>Thank-you Card + Receipt Envelope</v>
      </c>
      <c r="D65" s="43" t="str">
        <f aca="false">'Item Master'!C62</f>
        <v>Suggested New Items</v>
      </c>
      <c r="E65" s="41" t="str">
        <f aca="false">'Item Master'!F62</f>
        <v>Set</v>
      </c>
      <c r="F65" s="50" t="n">
        <f aca="false">IF('Sep-2027'!V65&lt;&gt;"",'Sep-2027'!V65,'Sep-2027'!U65)</f>
        <v>0</v>
      </c>
      <c r="G65" s="45"/>
      <c r="H65" s="45"/>
      <c r="I65" s="46"/>
      <c r="J65" s="47"/>
      <c r="K65" s="45"/>
      <c r="L65" s="45"/>
      <c r="M65" s="46"/>
      <c r="N65" s="47"/>
      <c r="O65" s="48" t="n">
        <f aca="false">N(J65)+N(N65)</f>
        <v>0</v>
      </c>
      <c r="P65" s="47"/>
      <c r="Q65" s="47"/>
      <c r="R65" s="47"/>
      <c r="S65" s="47"/>
      <c r="T65" s="48" t="n">
        <f aca="false">SUM(P65:S65)</f>
        <v>0</v>
      </c>
      <c r="U65" s="49" t="n">
        <f aca="false">N(F65)+O65-T65</f>
        <v>0</v>
      </c>
      <c r="V65" s="47"/>
      <c r="W65" s="48" t="str">
        <f aca="false">IF(V65="","",V65-U65)</f>
        <v/>
      </c>
      <c r="X65" s="50" t="n">
        <f aca="false">'Item Master'!P62</f>
        <v>200</v>
      </c>
      <c r="Y65" s="51" t="str">
        <f aca="false">IF(B65="","",IF(U65&lt;=0,"OUT OF STOCK",IF(U65&lt;=X65,"REORDER NOW",IF(U65&lt;=X65*1.5,"LOW","OK"))))</f>
        <v>OUT OF STOCK</v>
      </c>
      <c r="Z65" s="48" t="n">
        <f aca="false">MAX(0,'Item Master'!Q62-IF(V65&lt;&gt;"",V65,U65))</f>
        <v>500</v>
      </c>
      <c r="AA65" s="45"/>
      <c r="AB65" s="43" t="str">
        <f aca="false">'Item Master'!N62</f>
        <v>Rack 4 – Books, Cards &amp; Paper</v>
      </c>
      <c r="AC65" s="46"/>
      <c r="AD65" s="52"/>
    </row>
    <row r="66" customFormat="false" ht="25.5" hidden="false" customHeight="true" outlineLevel="0" collapsed="false">
      <c r="A66" s="40" t="n">
        <v>59</v>
      </c>
      <c r="B66" s="41" t="str">
        <f aca="false">'Item Master'!A63</f>
        <v>YID</v>
      </c>
      <c r="C66" s="42" t="str">
        <f aca="false">'Item Master'!B63</f>
        <v>Yatri ID Card + Lanyard</v>
      </c>
      <c r="D66" s="43" t="str">
        <f aca="false">'Item Master'!C63</f>
        <v>Suggested New Items</v>
      </c>
      <c r="E66" s="41" t="str">
        <f aca="false">'Item Master'!F63</f>
        <v>Set</v>
      </c>
      <c r="F66" s="50" t="n">
        <f aca="false">IF('Sep-2027'!V66&lt;&gt;"",'Sep-2027'!V66,'Sep-2027'!U66)</f>
        <v>0</v>
      </c>
      <c r="G66" s="45"/>
      <c r="H66" s="45"/>
      <c r="I66" s="46"/>
      <c r="J66" s="47"/>
      <c r="K66" s="45"/>
      <c r="L66" s="45"/>
      <c r="M66" s="46"/>
      <c r="N66" s="47"/>
      <c r="O66" s="48" t="n">
        <f aca="false">N(J66)+N(N66)</f>
        <v>0</v>
      </c>
      <c r="P66" s="47"/>
      <c r="Q66" s="47"/>
      <c r="R66" s="47"/>
      <c r="S66" s="47"/>
      <c r="T66" s="48" t="n">
        <f aca="false">SUM(P66:S66)</f>
        <v>0</v>
      </c>
      <c r="U66" s="49" t="n">
        <f aca="false">N(F66)+O66-T66</f>
        <v>0</v>
      </c>
      <c r="V66" s="47"/>
      <c r="W66" s="48" t="str">
        <f aca="false">IF(V66="","",V66-U66)</f>
        <v/>
      </c>
      <c r="X66" s="50" t="n">
        <f aca="false">'Item Master'!P63</f>
        <v>100</v>
      </c>
      <c r="Y66" s="51" t="str">
        <f aca="false">IF(B66="","",IF(U66&lt;=0,"OUT OF STOCK",IF(U66&lt;=X66,"REORDER NOW",IF(U66&lt;=X66*1.5,"LOW","OK"))))</f>
        <v>OUT OF STOCK</v>
      </c>
      <c r="Z66" s="48" t="n">
        <f aca="false">MAX(0,'Item Master'!Q63-IF(V66&lt;&gt;"",V66,U66))</f>
        <v>300</v>
      </c>
      <c r="AA66" s="45"/>
      <c r="AB66" s="43" t="str">
        <f aca="false">'Item Master'!N63</f>
        <v>Rack 6 – Packing &amp; Serving Material</v>
      </c>
      <c r="AC66" s="46"/>
      <c r="AD66" s="52"/>
    </row>
    <row r="67" customFormat="false" ht="15" hidden="false" customHeight="false" outlineLevel="0" collapsed="false">
      <c r="A67" s="53"/>
      <c r="B67" s="53"/>
      <c r="C67" s="54" t="s">
        <v>664</v>
      </c>
      <c r="D67" s="53"/>
      <c r="E67" s="53"/>
      <c r="F67" s="55" t="n">
        <f aca="false">SUM(F8:F66)</f>
        <v>195</v>
      </c>
      <c r="G67" s="53"/>
      <c r="H67" s="53"/>
      <c r="I67" s="53"/>
      <c r="J67" s="55" t="n">
        <f aca="false">SUM(J8:J66)</f>
        <v>0</v>
      </c>
      <c r="K67" s="53"/>
      <c r="L67" s="53"/>
      <c r="M67" s="53"/>
      <c r="N67" s="55" t="n">
        <f aca="false">SUM(N8:N66)</f>
        <v>0</v>
      </c>
      <c r="O67" s="55" t="n">
        <f aca="false">SUM(O8:O66)</f>
        <v>0</v>
      </c>
      <c r="P67" s="55" t="n">
        <f aca="false">SUM(P8:P66)</f>
        <v>0</v>
      </c>
      <c r="Q67" s="55" t="n">
        <f aca="false">SUM(Q8:Q66)</f>
        <v>0</v>
      </c>
      <c r="R67" s="55" t="n">
        <f aca="false">SUM(R8:R66)</f>
        <v>0</v>
      </c>
      <c r="S67" s="55" t="n">
        <f aca="false">SUM(S8:S66)</f>
        <v>0</v>
      </c>
      <c r="T67" s="55" t="n">
        <f aca="false">SUM(T8:T66)</f>
        <v>0</v>
      </c>
      <c r="U67" s="55" t="n">
        <f aca="false">SUM(U8:U66)</f>
        <v>195</v>
      </c>
      <c r="V67" s="55" t="n">
        <f aca="false">SUM(V8:V66)</f>
        <v>0</v>
      </c>
      <c r="W67" s="53"/>
      <c r="X67" s="53"/>
      <c r="Y67" s="56" t="str">
        <f aca="false">COUNTIF(Y8:Y66,"REORDER NOW")+COUNTIF(Y8:Y66,"OUT OF STOCK")&amp;" to act"</f>
        <v>59 to act</v>
      </c>
      <c r="Z67" s="55" t="n">
        <f aca="false">SUM(Z8:Z66)</f>
        <v>26995</v>
      </c>
      <c r="AA67" s="53"/>
      <c r="AB67" s="53"/>
      <c r="AC67" s="53"/>
      <c r="AD67" s="53"/>
    </row>
    <row r="69" customFormat="false" ht="21.75" hidden="false" customHeight="true" outlineLevel="0" collapsed="false">
      <c r="A69" s="3" t="s">
        <v>665</v>
      </c>
      <c r="B69" s="3"/>
      <c r="C69" s="3"/>
      <c r="D69" s="3"/>
      <c r="E69" s="3"/>
      <c r="F69" s="3"/>
      <c r="G69" s="3"/>
      <c r="H69" s="3"/>
      <c r="I69" s="3"/>
      <c r="J69" s="57" t="s">
        <v>666</v>
      </c>
      <c r="K69" s="57" t="s">
        <v>667</v>
      </c>
    </row>
    <row r="70" customFormat="false" ht="15" hidden="false" customHeight="false" outlineLevel="0" collapsed="false">
      <c r="A70" s="58" t="n">
        <v>1</v>
      </c>
      <c r="B70" s="59" t="s">
        <v>668</v>
      </c>
      <c r="C70" s="59"/>
      <c r="D70" s="59"/>
      <c r="E70" s="59"/>
      <c r="F70" s="59"/>
      <c r="G70" s="59"/>
      <c r="H70" s="59"/>
      <c r="I70" s="59"/>
      <c r="J70" s="7"/>
      <c r="K70" s="60"/>
      <c r="L70" s="60"/>
    </row>
    <row r="71" customFormat="false" ht="15" hidden="false" customHeight="false" outlineLevel="0" collapsed="false">
      <c r="A71" s="58" t="n">
        <v>2</v>
      </c>
      <c r="B71" s="59" t="s">
        <v>669</v>
      </c>
      <c r="C71" s="59"/>
      <c r="D71" s="59"/>
      <c r="E71" s="59"/>
      <c r="F71" s="59"/>
      <c r="G71" s="59"/>
      <c r="H71" s="59"/>
      <c r="I71" s="59"/>
      <c r="J71" s="7"/>
      <c r="K71" s="60"/>
      <c r="L71" s="60"/>
    </row>
    <row r="72" customFormat="false" ht="15" hidden="false" customHeight="false" outlineLevel="0" collapsed="false">
      <c r="A72" s="58" t="n">
        <v>3</v>
      </c>
      <c r="B72" s="59" t="s">
        <v>670</v>
      </c>
      <c r="C72" s="59"/>
      <c r="D72" s="59"/>
      <c r="E72" s="59"/>
      <c r="F72" s="59"/>
      <c r="G72" s="59"/>
      <c r="H72" s="59"/>
      <c r="I72" s="59"/>
      <c r="J72" s="7"/>
      <c r="K72" s="60"/>
      <c r="L72" s="60"/>
    </row>
    <row r="73" customFormat="false" ht="15" hidden="false" customHeight="false" outlineLevel="0" collapsed="false">
      <c r="A73" s="58" t="n">
        <v>4</v>
      </c>
      <c r="B73" s="59" t="s">
        <v>671</v>
      </c>
      <c r="C73" s="59"/>
      <c r="D73" s="59"/>
      <c r="E73" s="59"/>
      <c r="F73" s="59"/>
      <c r="G73" s="59"/>
      <c r="H73" s="59"/>
      <c r="I73" s="59"/>
      <c r="J73" s="7"/>
      <c r="K73" s="60"/>
      <c r="L73" s="60"/>
    </row>
    <row r="74" customFormat="false" ht="15" hidden="false" customHeight="false" outlineLevel="0" collapsed="false">
      <c r="A74" s="58" t="n">
        <v>5</v>
      </c>
      <c r="B74" s="59" t="s">
        <v>672</v>
      </c>
      <c r="C74" s="59"/>
      <c r="D74" s="59"/>
      <c r="E74" s="59"/>
      <c r="F74" s="59"/>
      <c r="G74" s="59"/>
      <c r="H74" s="59"/>
      <c r="I74" s="59"/>
      <c r="J74" s="7"/>
      <c r="K74" s="60"/>
      <c r="L74" s="60"/>
    </row>
    <row r="75" customFormat="false" ht="15" hidden="false" customHeight="false" outlineLevel="0" collapsed="false">
      <c r="A75" s="58" t="n">
        <v>6</v>
      </c>
      <c r="B75" s="59" t="s">
        <v>673</v>
      </c>
      <c r="C75" s="59"/>
      <c r="D75" s="59"/>
      <c r="E75" s="59"/>
      <c r="F75" s="59"/>
      <c r="G75" s="59"/>
      <c r="H75" s="59"/>
      <c r="I75" s="59"/>
      <c r="J75" s="7"/>
      <c r="K75" s="60"/>
      <c r="L75" s="60"/>
    </row>
    <row r="76" customFormat="false" ht="15" hidden="false" customHeight="false" outlineLevel="0" collapsed="false">
      <c r="A76" s="58" t="n">
        <v>7</v>
      </c>
      <c r="B76" s="59" t="s">
        <v>674</v>
      </c>
      <c r="C76" s="59"/>
      <c r="D76" s="59"/>
      <c r="E76" s="59"/>
      <c r="F76" s="59"/>
      <c r="G76" s="59"/>
      <c r="H76" s="59"/>
      <c r="I76" s="59"/>
      <c r="J76" s="7"/>
      <c r="K76" s="60"/>
      <c r="L76" s="60"/>
    </row>
    <row r="77" customFormat="false" ht="15" hidden="false" customHeight="false" outlineLevel="0" collapsed="false">
      <c r="A77" s="58" t="n">
        <v>8</v>
      </c>
      <c r="B77" s="59" t="s">
        <v>675</v>
      </c>
      <c r="C77" s="59"/>
      <c r="D77" s="59"/>
      <c r="E77" s="59"/>
      <c r="F77" s="59"/>
      <c r="G77" s="59"/>
      <c r="H77" s="59"/>
      <c r="I77" s="59"/>
      <c r="J77" s="7"/>
      <c r="K77" s="60"/>
      <c r="L77" s="60"/>
    </row>
    <row r="78" customFormat="false" ht="15" hidden="false" customHeight="false" outlineLevel="0" collapsed="false">
      <c r="A78" s="58" t="n">
        <v>9</v>
      </c>
      <c r="B78" s="59" t="s">
        <v>676</v>
      </c>
      <c r="C78" s="59"/>
      <c r="D78" s="59"/>
      <c r="E78" s="59"/>
      <c r="F78" s="59"/>
      <c r="G78" s="59"/>
      <c r="H78" s="59"/>
      <c r="I78" s="59"/>
      <c r="J78" s="7"/>
      <c r="K78" s="60"/>
      <c r="L78" s="60"/>
    </row>
    <row r="79" customFormat="false" ht="15" hidden="false" customHeight="false" outlineLevel="0" collapsed="false">
      <c r="A79" s="58" t="n">
        <v>10</v>
      </c>
      <c r="B79" s="59" t="s">
        <v>677</v>
      </c>
      <c r="C79" s="59"/>
      <c r="D79" s="59"/>
      <c r="E79" s="59"/>
      <c r="F79" s="59"/>
      <c r="G79" s="59"/>
      <c r="H79" s="59"/>
      <c r="I79" s="59"/>
      <c r="J79" s="7"/>
      <c r="K79" s="60"/>
      <c r="L79" s="60"/>
    </row>
    <row r="80" customFormat="false" ht="15" hidden="false" customHeight="false" outlineLevel="0" collapsed="false">
      <c r="A80" s="58" t="n">
        <v>11</v>
      </c>
      <c r="B80" s="59" t="s">
        <v>678</v>
      </c>
      <c r="C80" s="59"/>
      <c r="D80" s="59"/>
      <c r="E80" s="59"/>
      <c r="F80" s="59"/>
      <c r="G80" s="59"/>
      <c r="H80" s="59"/>
      <c r="I80" s="59"/>
      <c r="J80" s="7"/>
      <c r="K80" s="60"/>
      <c r="L80" s="60"/>
    </row>
    <row r="81" customFormat="false" ht="15" hidden="false" customHeight="false" outlineLevel="0" collapsed="false">
      <c r="A81" s="58" t="n">
        <v>12</v>
      </c>
      <c r="B81" s="59" t="s">
        <v>679</v>
      </c>
      <c r="C81" s="59"/>
      <c r="D81" s="59"/>
      <c r="E81" s="59"/>
      <c r="F81" s="59"/>
      <c r="G81" s="59"/>
      <c r="H81" s="59"/>
      <c r="I81" s="59"/>
      <c r="J81" s="7"/>
      <c r="K81" s="60"/>
      <c r="L81" s="60"/>
    </row>
    <row r="83" customFormat="false" ht="15" hidden="false" customHeight="false" outlineLevel="0" collapsed="false">
      <c r="B83" s="61" t="s">
        <v>680</v>
      </c>
      <c r="I83" s="61" t="s">
        <v>681</v>
      </c>
      <c r="R83" s="61" t="s">
        <v>682</v>
      </c>
    </row>
  </sheetData>
  <autoFilter ref="A7:AD66"/>
  <mergeCells count="41">
    <mergeCell ref="A1:AD1"/>
    <mergeCell ref="A2:AD2"/>
    <mergeCell ref="A3:B3"/>
    <mergeCell ref="C3:E3"/>
    <mergeCell ref="G3:H3"/>
    <mergeCell ref="I3:K3"/>
    <mergeCell ref="M3:N3"/>
    <mergeCell ref="O3:Q3"/>
    <mergeCell ref="S3:T3"/>
    <mergeCell ref="U3:W3"/>
    <mergeCell ref="A6:F6"/>
    <mergeCell ref="G6:J6"/>
    <mergeCell ref="K6:N6"/>
    <mergeCell ref="P6:T6"/>
    <mergeCell ref="U6:Z6"/>
    <mergeCell ref="AA6:AD6"/>
    <mergeCell ref="A69:I69"/>
    <mergeCell ref="B70:I70"/>
    <mergeCell ref="K70:L70"/>
    <mergeCell ref="B71:I71"/>
    <mergeCell ref="K71:L71"/>
    <mergeCell ref="B72:I72"/>
    <mergeCell ref="K72:L72"/>
    <mergeCell ref="B73:I73"/>
    <mergeCell ref="K73:L73"/>
    <mergeCell ref="B74:I74"/>
    <mergeCell ref="K74:L74"/>
    <mergeCell ref="B75:I75"/>
    <mergeCell ref="K75:L75"/>
    <mergeCell ref="B76:I76"/>
    <mergeCell ref="K76:L76"/>
    <mergeCell ref="B77:I77"/>
    <mergeCell ref="K77:L77"/>
    <mergeCell ref="B78:I78"/>
    <mergeCell ref="K78:L78"/>
    <mergeCell ref="B79:I79"/>
    <mergeCell ref="K79:L79"/>
    <mergeCell ref="B80:I80"/>
    <mergeCell ref="K80:L80"/>
    <mergeCell ref="B81:I81"/>
    <mergeCell ref="K81:L81"/>
  </mergeCells>
  <conditionalFormatting sqref="Y8:Y66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W8:W66">
    <cfRule type="expression" priority="6" aboveAverage="0" equalAverage="0" bottom="0" percent="0" rank="0" text="" dxfId="19">
      <formula>AND(W8&lt;&gt;"",W8&lt;&gt;0)</formula>
    </cfRule>
  </conditionalFormatting>
  <conditionalFormatting sqref="AA8:AA66">
    <cfRule type="expression" priority="7" aboveAverage="0" equalAverage="0" bottom="0" percent="0" rank="0" text="" dxfId="17">
      <formula>AND(AA8&lt;&gt;"",AA8-TODAY()&lt;=30)</formula>
    </cfRule>
  </conditionalFormatting>
  <dataValidations count="3">
    <dataValidation allowBlank="true" error="Please enter a whole number (0 or more)." errorStyle="stop" errorTitle="Quantity" operator="greaterThanOrEqual" showDropDown="false" showErrorMessage="false" showInputMessage="false" sqref="J8:J66 N8:N66 P8:S66 V8:V66" type="whole">
      <formula1>0</formula1>
      <formula2>0</formula2>
    </dataValidation>
    <dataValidation allowBlank="true" error="Please enter a date (DD-MM-YYYY)." errorStyle="stop" errorTitle="Date" operator="greaterThan" showDropDown="false" showErrorMessage="false" showInputMessage="false" sqref="G8:H66 K8:L66 AA8:AA66" type="date">
      <formula1>DATE(2020,1,1)</formula1>
      <formula2>0</formula2>
    </dataValidation>
    <dataValidation allowBlank="true" errorStyle="stop" operator="between" showDropDown="false" showErrorMessage="false" showInputMessage="false" sqref="J70:J81" type="list">
      <formula1>"Y,N,NA"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Z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15" min="4" style="0" width="9"/>
    <col collapsed="false" customWidth="true" hidden="false" outlineLevel="0" max="22" min="16" style="0" width="10"/>
    <col collapsed="false" customWidth="true" hidden="false" outlineLevel="0" max="23" min="23" style="0" width="11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14"/>
  </cols>
  <sheetData>
    <row r="1" customFormat="false" ht="30" hidden="false" customHeight="true" outlineLevel="0" collapsed="false">
      <c r="A1" s="1" t="s">
        <v>717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A2" s="2" t="s">
        <v>718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62" t="s">
        <v>719</v>
      </c>
      <c r="B3" s="63" t="s">
        <v>628</v>
      </c>
      <c r="C3" s="63"/>
    </row>
    <row r="4" customFormat="false" ht="15" hidden="false" customHeight="false" outlineLevel="0" collapsed="false">
      <c r="A4" s="29" t="s">
        <v>720</v>
      </c>
    </row>
    <row r="6" customFormat="false" ht="45.75" hidden="false" customHeight="true" outlineLevel="0" collapsed="false">
      <c r="A6" s="16" t="s">
        <v>44</v>
      </c>
      <c r="B6" s="16" t="s">
        <v>45</v>
      </c>
      <c r="C6" s="16" t="s">
        <v>46</v>
      </c>
      <c r="D6" s="16" t="s">
        <v>628</v>
      </c>
      <c r="E6" s="16" t="s">
        <v>685</v>
      </c>
      <c r="F6" s="16" t="s">
        <v>689</v>
      </c>
      <c r="G6" s="16" t="s">
        <v>692</v>
      </c>
      <c r="H6" s="16" t="s">
        <v>695</v>
      </c>
      <c r="I6" s="16" t="s">
        <v>698</v>
      </c>
      <c r="J6" s="16" t="s">
        <v>701</v>
      </c>
      <c r="K6" s="16" t="s">
        <v>704</v>
      </c>
      <c r="L6" s="16" t="s">
        <v>707</v>
      </c>
      <c r="M6" s="16" t="s">
        <v>710</v>
      </c>
      <c r="N6" s="16" t="s">
        <v>713</v>
      </c>
      <c r="O6" s="16" t="s">
        <v>716</v>
      </c>
      <c r="P6" s="16" t="s">
        <v>721</v>
      </c>
      <c r="Q6" s="16" t="s">
        <v>648</v>
      </c>
      <c r="R6" s="16" t="s">
        <v>649</v>
      </c>
      <c r="S6" s="16" t="s">
        <v>722</v>
      </c>
      <c r="T6" s="16" t="s">
        <v>651</v>
      </c>
      <c r="U6" s="16" t="s">
        <v>723</v>
      </c>
      <c r="V6" s="16" t="s">
        <v>724</v>
      </c>
      <c r="W6" s="16" t="s">
        <v>725</v>
      </c>
      <c r="X6" s="16" t="s">
        <v>726</v>
      </c>
      <c r="Y6" s="16" t="s">
        <v>727</v>
      </c>
      <c r="Z6" s="16" t="s">
        <v>728</v>
      </c>
    </row>
    <row r="7" customFormat="false" ht="15" hidden="false" customHeight="false" outlineLevel="0" collapsed="false">
      <c r="A7" s="64" t="str">
        <f aca="false">'Item Master'!A5</f>
        <v>THR</v>
      </c>
      <c r="B7" s="65" t="str">
        <f aca="false">'Item Master'!B5</f>
        <v>Kalasha Thread (wrist thread)</v>
      </c>
      <c r="C7" s="64" t="str">
        <f aca="false">'Item Master'!C5</f>
        <v>Kalasha &amp; Yagna Prasadam</v>
      </c>
      <c r="D7" s="66" t="n">
        <f aca="false">IF('Nov-2026'!V8&lt;&gt;"",'Nov-2026'!V8,'Nov-2026'!U8)</f>
        <v>0</v>
      </c>
      <c r="E7" s="66" t="n">
        <f aca="false">IF('Dec-2026'!V8&lt;&gt;"",'Dec-2026'!V8,'Dec-2026'!U8)</f>
        <v>0</v>
      </c>
      <c r="F7" s="66" t="n">
        <f aca="false">IF('Jan-2027'!V8&lt;&gt;"",'Jan-2027'!V8,'Jan-2027'!U8)</f>
        <v>0</v>
      </c>
      <c r="G7" s="66" t="n">
        <f aca="false">IF('Feb-2027'!V8&lt;&gt;"",'Feb-2027'!V8,'Feb-2027'!U8)</f>
        <v>0</v>
      </c>
      <c r="H7" s="66" t="n">
        <f aca="false">IF('Mar-2027'!V8&lt;&gt;"",'Mar-2027'!V8,'Mar-2027'!U8)</f>
        <v>0</v>
      </c>
      <c r="I7" s="66" t="n">
        <f aca="false">IF('Apr-2027'!V8&lt;&gt;"",'Apr-2027'!V8,'Apr-2027'!U8)</f>
        <v>0</v>
      </c>
      <c r="J7" s="66" t="n">
        <f aca="false">IF('May-2027'!V8&lt;&gt;"",'May-2027'!V8,'May-2027'!U8)</f>
        <v>0</v>
      </c>
      <c r="K7" s="66" t="n">
        <f aca="false">IF('Jun-2027'!V8&lt;&gt;"",'Jun-2027'!V8,'Jun-2027'!U8)</f>
        <v>0</v>
      </c>
      <c r="L7" s="66" t="n">
        <f aca="false">IF('Jul-2027'!V8&lt;&gt;"",'Jul-2027'!V8,'Jul-2027'!U8)</f>
        <v>0</v>
      </c>
      <c r="M7" s="66" t="n">
        <f aca="false">IF('Aug-2027'!V8&lt;&gt;"",'Aug-2027'!V8,'Aug-2027'!U8)</f>
        <v>0</v>
      </c>
      <c r="N7" s="66" t="n">
        <f aca="false">IF('Sep-2027'!V8&lt;&gt;"",'Sep-2027'!V8,'Sep-2027'!U8)</f>
        <v>0</v>
      </c>
      <c r="O7" s="66" t="n">
        <f aca="false">IF('Oct-2027'!V8&lt;&gt;"",'Oct-2027'!V8,'Oct-2027'!U8)</f>
        <v>0</v>
      </c>
      <c r="P7" s="66" t="n">
        <f aca="false">N('Nov-2026'!O8)+N('Dec-2026'!O8)+N('Jan-2027'!O8)+N('Feb-2027'!O8)+N('Mar-2027'!O8)+N('Apr-2027'!O8)+N('May-2027'!O8)+N('Jun-2027'!O8)+N('Jul-2027'!O8)+N('Aug-2027'!O8)+N('Sep-2027'!O8)+N('Oct-2027'!O8)</f>
        <v>0</v>
      </c>
      <c r="Q7" s="66" t="n">
        <f aca="false">N('Nov-2026'!P8)+N('Dec-2026'!P8)+N('Jan-2027'!P8)+N('Feb-2027'!P8)+N('Mar-2027'!P8)+N('Apr-2027'!P8)+N('May-2027'!P8)+N('Jun-2027'!P8)+N('Jul-2027'!P8)+N('Aug-2027'!P8)+N('Sep-2027'!P8)+N('Oct-2027'!P8)</f>
        <v>0</v>
      </c>
      <c r="R7" s="66" t="n">
        <f aca="false">N('Nov-2026'!Q8)+N('Dec-2026'!Q8)+N('Jan-2027'!Q8)+N('Feb-2027'!Q8)+N('Mar-2027'!Q8)+N('Apr-2027'!Q8)+N('May-2027'!Q8)+N('Jun-2027'!Q8)+N('Jul-2027'!Q8)+N('Aug-2027'!Q8)+N('Sep-2027'!Q8)+N('Oct-2027'!Q8)</f>
        <v>0</v>
      </c>
      <c r="S7" s="66" t="n">
        <f aca="false">N('Nov-2026'!R8)+N('Dec-2026'!R8)+N('Jan-2027'!R8)+N('Feb-2027'!R8)+N('Mar-2027'!R8)+N('Apr-2027'!R8)+N('May-2027'!R8)+N('Jun-2027'!R8)+N('Jul-2027'!R8)+N('Aug-2027'!R8)+N('Sep-2027'!R8)+N('Oct-2027'!R8)</f>
        <v>0</v>
      </c>
      <c r="T7" s="66" t="n">
        <f aca="false">N('Nov-2026'!S8)+N('Dec-2026'!S8)+N('Jan-2027'!S8)+N('Feb-2027'!S8)+N('Mar-2027'!S8)+N('Apr-2027'!S8)+N('May-2027'!S8)+N('Jun-2027'!S8)+N('Jul-2027'!S8)+N('Aug-2027'!S8)+N('Sep-2027'!S8)+N('Oct-2027'!S8)</f>
        <v>0</v>
      </c>
      <c r="U7" s="66" t="n">
        <f aca="false">SUM(Q7:S7)</f>
        <v>0</v>
      </c>
      <c r="V7" s="67" t="n">
        <f aca="false">IFERROR(U7/MATCH($B$3,$D$6:$O$6,0),0)</f>
        <v>0</v>
      </c>
      <c r="W7" s="66" t="n">
        <f aca="false">CEILING(V7*1.5,10)</f>
        <v>0</v>
      </c>
      <c r="X7" s="66" t="n">
        <f aca="false">'Item Master'!P5</f>
        <v>300</v>
      </c>
      <c r="Y7" s="66" t="n">
        <f aca="false">INDEX(D7:O7,MATCH($B$3,$D$6:$O$6,0))</f>
        <v>0</v>
      </c>
      <c r="Z7" s="66" t="str">
        <f aca="false">IF(Y7&lt;=0,"OUT OF STOCK",IF(Y7&lt;=X7,"REORDER NOW",IF(Y7&lt;=X7*1.5,"LOW","OK")))</f>
        <v>OUT OF STOCK</v>
      </c>
    </row>
    <row r="8" customFormat="false" ht="15" hidden="false" customHeight="false" outlineLevel="0" collapsed="false">
      <c r="A8" s="68" t="str">
        <f aca="false">'Item Master'!A6</f>
        <v>TIL</v>
      </c>
      <c r="B8" s="69" t="str">
        <f aca="false">'Item Master'!B6</f>
        <v>Narasimha Yagna Tilak</v>
      </c>
      <c r="C8" s="68" t="str">
        <f aca="false">'Item Master'!C6</f>
        <v>Kalasha &amp; Yagna Prasadam</v>
      </c>
      <c r="D8" s="70" t="n">
        <f aca="false">IF('Nov-2026'!V9&lt;&gt;"",'Nov-2026'!V9,'Nov-2026'!U9)</f>
        <v>195</v>
      </c>
      <c r="E8" s="70" t="n">
        <f aca="false">IF('Dec-2026'!V9&lt;&gt;"",'Dec-2026'!V9,'Dec-2026'!U9)</f>
        <v>195</v>
      </c>
      <c r="F8" s="70" t="n">
        <f aca="false">IF('Jan-2027'!V9&lt;&gt;"",'Jan-2027'!V9,'Jan-2027'!U9)</f>
        <v>195</v>
      </c>
      <c r="G8" s="70" t="n">
        <f aca="false">IF('Feb-2027'!V9&lt;&gt;"",'Feb-2027'!V9,'Feb-2027'!U9)</f>
        <v>195</v>
      </c>
      <c r="H8" s="70" t="n">
        <f aca="false">IF('Mar-2027'!V9&lt;&gt;"",'Mar-2027'!V9,'Mar-2027'!U9)</f>
        <v>195</v>
      </c>
      <c r="I8" s="70" t="n">
        <f aca="false">IF('Apr-2027'!V9&lt;&gt;"",'Apr-2027'!V9,'Apr-2027'!U9)</f>
        <v>195</v>
      </c>
      <c r="J8" s="70" t="n">
        <f aca="false">IF('May-2027'!V9&lt;&gt;"",'May-2027'!V9,'May-2027'!U9)</f>
        <v>195</v>
      </c>
      <c r="K8" s="70" t="n">
        <f aca="false">IF('Jun-2027'!V9&lt;&gt;"",'Jun-2027'!V9,'Jun-2027'!U9)</f>
        <v>195</v>
      </c>
      <c r="L8" s="70" t="n">
        <f aca="false">IF('Jul-2027'!V9&lt;&gt;"",'Jul-2027'!V9,'Jul-2027'!U9)</f>
        <v>195</v>
      </c>
      <c r="M8" s="70" t="n">
        <f aca="false">IF('Aug-2027'!V9&lt;&gt;"",'Aug-2027'!V9,'Aug-2027'!U9)</f>
        <v>195</v>
      </c>
      <c r="N8" s="70" t="n">
        <f aca="false">IF('Sep-2027'!V9&lt;&gt;"",'Sep-2027'!V9,'Sep-2027'!U9)</f>
        <v>195</v>
      </c>
      <c r="O8" s="70" t="n">
        <f aca="false">IF('Oct-2027'!V9&lt;&gt;"",'Oct-2027'!V9,'Oct-2027'!U9)</f>
        <v>195</v>
      </c>
      <c r="P8" s="70" t="n">
        <f aca="false">N('Nov-2026'!O9)+N('Dec-2026'!O9)+N('Jan-2027'!O9)+N('Feb-2027'!O9)+N('Mar-2027'!O9)+N('Apr-2027'!O9)+N('May-2027'!O9)+N('Jun-2027'!O9)+N('Jul-2027'!O9)+N('Aug-2027'!O9)+N('Sep-2027'!O9)+N('Oct-2027'!O9)</f>
        <v>300</v>
      </c>
      <c r="Q8" s="70" t="n">
        <f aca="false">N('Nov-2026'!P9)+N('Dec-2026'!P9)+N('Jan-2027'!P9)+N('Feb-2027'!P9)+N('Mar-2027'!P9)+N('Apr-2027'!P9)+N('May-2027'!P9)+N('Jun-2027'!P9)+N('Jul-2027'!P9)+N('Aug-2027'!P9)+N('Sep-2027'!P9)+N('Oct-2027'!P9)</f>
        <v>140</v>
      </c>
      <c r="R8" s="70" t="n">
        <f aca="false">N('Nov-2026'!Q9)+N('Dec-2026'!Q9)+N('Jan-2027'!Q9)+N('Feb-2027'!Q9)+N('Mar-2027'!Q9)+N('Apr-2027'!Q9)+N('May-2027'!Q9)+N('Jun-2027'!Q9)+N('Jul-2027'!Q9)+N('Aug-2027'!Q9)+N('Sep-2027'!Q9)+N('Oct-2027'!Q9)</f>
        <v>60</v>
      </c>
      <c r="S8" s="70" t="n">
        <f aca="false">N('Nov-2026'!R9)+N('Dec-2026'!R9)+N('Jan-2027'!R9)+N('Feb-2027'!R9)+N('Mar-2027'!R9)+N('Apr-2027'!R9)+N('May-2027'!R9)+N('Jun-2027'!R9)+N('Jul-2027'!R9)+N('Aug-2027'!R9)+N('Sep-2027'!R9)+N('Oct-2027'!R9)</f>
        <v>20</v>
      </c>
      <c r="T8" s="70" t="n">
        <f aca="false">N('Nov-2026'!S9)+N('Dec-2026'!S9)+N('Jan-2027'!S9)+N('Feb-2027'!S9)+N('Mar-2027'!S9)+N('Apr-2027'!S9)+N('May-2027'!S9)+N('Jun-2027'!S9)+N('Jul-2027'!S9)+N('Aug-2027'!S9)+N('Sep-2027'!S9)+N('Oct-2027'!S9)</f>
        <v>5</v>
      </c>
      <c r="U8" s="70" t="n">
        <f aca="false">SUM(Q8:S8)</f>
        <v>220</v>
      </c>
      <c r="V8" s="71" t="n">
        <f aca="false">IFERROR(U8/MATCH($B$3,$D$6:$O$6,0),0)</f>
        <v>220</v>
      </c>
      <c r="W8" s="70" t="n">
        <f aca="false">CEILING(V8*1.5,10)</f>
        <v>330</v>
      </c>
      <c r="X8" s="70" t="n">
        <f aca="false">'Item Master'!P6</f>
        <v>300</v>
      </c>
      <c r="Y8" s="70" t="n">
        <f aca="false">INDEX(D8:O8,MATCH($B$3,$D$6:$O$6,0))</f>
        <v>195</v>
      </c>
      <c r="Z8" s="70" t="str">
        <f aca="false">IF(Y8&lt;=0,"OUT OF STOCK",IF(Y8&lt;=X8,"REORDER NOW",IF(Y8&lt;=X8*1.5,"LOW","OK")))</f>
        <v>REORDER NOW</v>
      </c>
    </row>
    <row r="9" customFormat="false" ht="15" hidden="false" customHeight="false" outlineLevel="0" collapsed="false">
      <c r="A9" s="64" t="str">
        <f aca="false">'Item Master'!A7</f>
        <v>KAV</v>
      </c>
      <c r="B9" s="65" t="str">
        <f aca="false">'Item Master'!B7</f>
        <v>Narasimha Kavacha (protective amulet / locket)</v>
      </c>
      <c r="C9" s="64" t="str">
        <f aca="false">'Item Master'!C7</f>
        <v>Protection &amp; Mantra</v>
      </c>
      <c r="D9" s="66" t="n">
        <f aca="false">IF('Nov-2026'!V10&lt;&gt;"",'Nov-2026'!V10,'Nov-2026'!U10)</f>
        <v>0</v>
      </c>
      <c r="E9" s="66" t="n">
        <f aca="false">IF('Dec-2026'!V10&lt;&gt;"",'Dec-2026'!V10,'Dec-2026'!U10)</f>
        <v>0</v>
      </c>
      <c r="F9" s="66" t="n">
        <f aca="false">IF('Jan-2027'!V10&lt;&gt;"",'Jan-2027'!V10,'Jan-2027'!U10)</f>
        <v>0</v>
      </c>
      <c r="G9" s="66" t="n">
        <f aca="false">IF('Feb-2027'!V10&lt;&gt;"",'Feb-2027'!V10,'Feb-2027'!U10)</f>
        <v>0</v>
      </c>
      <c r="H9" s="66" t="n">
        <f aca="false">IF('Mar-2027'!V10&lt;&gt;"",'Mar-2027'!V10,'Mar-2027'!U10)</f>
        <v>0</v>
      </c>
      <c r="I9" s="66" t="n">
        <f aca="false">IF('Apr-2027'!V10&lt;&gt;"",'Apr-2027'!V10,'Apr-2027'!U10)</f>
        <v>0</v>
      </c>
      <c r="J9" s="66" t="n">
        <f aca="false">IF('May-2027'!V10&lt;&gt;"",'May-2027'!V10,'May-2027'!U10)</f>
        <v>0</v>
      </c>
      <c r="K9" s="66" t="n">
        <f aca="false">IF('Jun-2027'!V10&lt;&gt;"",'Jun-2027'!V10,'Jun-2027'!U10)</f>
        <v>0</v>
      </c>
      <c r="L9" s="66" t="n">
        <f aca="false">IF('Jul-2027'!V10&lt;&gt;"",'Jul-2027'!V10,'Jul-2027'!U10)</f>
        <v>0</v>
      </c>
      <c r="M9" s="66" t="n">
        <f aca="false">IF('Aug-2027'!V10&lt;&gt;"",'Aug-2027'!V10,'Aug-2027'!U10)</f>
        <v>0</v>
      </c>
      <c r="N9" s="66" t="n">
        <f aca="false">IF('Sep-2027'!V10&lt;&gt;"",'Sep-2027'!V10,'Sep-2027'!U10)</f>
        <v>0</v>
      </c>
      <c r="O9" s="66" t="n">
        <f aca="false">IF('Oct-2027'!V10&lt;&gt;"",'Oct-2027'!V10,'Oct-2027'!U10)</f>
        <v>0</v>
      </c>
      <c r="P9" s="66" t="n">
        <f aca="false">N('Nov-2026'!O10)+N('Dec-2026'!O10)+N('Jan-2027'!O10)+N('Feb-2027'!O10)+N('Mar-2027'!O10)+N('Apr-2027'!O10)+N('May-2027'!O10)+N('Jun-2027'!O10)+N('Jul-2027'!O10)+N('Aug-2027'!O10)+N('Sep-2027'!O10)+N('Oct-2027'!O10)</f>
        <v>0</v>
      </c>
      <c r="Q9" s="66" t="n">
        <f aca="false">N('Nov-2026'!P10)+N('Dec-2026'!P10)+N('Jan-2027'!P10)+N('Feb-2027'!P10)+N('Mar-2027'!P10)+N('Apr-2027'!P10)+N('May-2027'!P10)+N('Jun-2027'!P10)+N('Jul-2027'!P10)+N('Aug-2027'!P10)+N('Sep-2027'!P10)+N('Oct-2027'!P10)</f>
        <v>0</v>
      </c>
      <c r="R9" s="66" t="n">
        <f aca="false">N('Nov-2026'!Q10)+N('Dec-2026'!Q10)+N('Jan-2027'!Q10)+N('Feb-2027'!Q10)+N('Mar-2027'!Q10)+N('Apr-2027'!Q10)+N('May-2027'!Q10)+N('Jun-2027'!Q10)+N('Jul-2027'!Q10)+N('Aug-2027'!Q10)+N('Sep-2027'!Q10)+N('Oct-2027'!Q10)</f>
        <v>0</v>
      </c>
      <c r="S9" s="66" t="n">
        <f aca="false">N('Nov-2026'!R10)+N('Dec-2026'!R10)+N('Jan-2027'!R10)+N('Feb-2027'!R10)+N('Mar-2027'!R10)+N('Apr-2027'!R10)+N('May-2027'!R10)+N('Jun-2027'!R10)+N('Jul-2027'!R10)+N('Aug-2027'!R10)+N('Sep-2027'!R10)+N('Oct-2027'!R10)</f>
        <v>0</v>
      </c>
      <c r="T9" s="66" t="n">
        <f aca="false">N('Nov-2026'!S10)+N('Dec-2026'!S10)+N('Jan-2027'!S10)+N('Feb-2027'!S10)+N('Mar-2027'!S10)+N('Apr-2027'!S10)+N('May-2027'!S10)+N('Jun-2027'!S10)+N('Jul-2027'!S10)+N('Aug-2027'!S10)+N('Sep-2027'!S10)+N('Oct-2027'!S10)</f>
        <v>0</v>
      </c>
      <c r="U9" s="66" t="n">
        <f aca="false">SUM(Q9:S9)</f>
        <v>0</v>
      </c>
      <c r="V9" s="67" t="n">
        <f aca="false">IFERROR(U9/MATCH($B$3,$D$6:$O$6,0),0)</f>
        <v>0</v>
      </c>
      <c r="W9" s="66" t="n">
        <f aca="false">CEILING(V9*1.5,10)</f>
        <v>0</v>
      </c>
      <c r="X9" s="66" t="n">
        <f aca="false">'Item Master'!P7</f>
        <v>100</v>
      </c>
      <c r="Y9" s="66" t="n">
        <f aca="false">INDEX(D9:O9,MATCH($B$3,$D$6:$O$6,0))</f>
        <v>0</v>
      </c>
      <c r="Z9" s="66" t="str">
        <f aca="false">IF(Y9&lt;=0,"OUT OF STOCK",IF(Y9&lt;=X9,"REORDER NOW",IF(Y9&lt;=X9*1.5,"LOW","OK")))</f>
        <v>OUT OF STOCK</v>
      </c>
    </row>
    <row r="10" customFormat="false" ht="15" hidden="false" customHeight="false" outlineLevel="0" collapsed="false">
      <c r="A10" s="68" t="str">
        <f aca="false">'Item Master'!A8</f>
        <v>AKV</v>
      </c>
      <c r="B10" s="69" t="str">
        <f aca="false">'Item Master'!B8</f>
        <v>Audio – Narasimha Kavacha (QR card)</v>
      </c>
      <c r="C10" s="68" t="str">
        <f aca="false">'Item Master'!C8</f>
        <v>Audio / Digital</v>
      </c>
      <c r="D10" s="70" t="n">
        <f aca="false">IF('Nov-2026'!V11&lt;&gt;"",'Nov-2026'!V11,'Nov-2026'!U11)</f>
        <v>0</v>
      </c>
      <c r="E10" s="70" t="n">
        <f aca="false">IF('Dec-2026'!V11&lt;&gt;"",'Dec-2026'!V11,'Dec-2026'!U11)</f>
        <v>0</v>
      </c>
      <c r="F10" s="70" t="n">
        <f aca="false">IF('Jan-2027'!V11&lt;&gt;"",'Jan-2027'!V11,'Jan-2027'!U11)</f>
        <v>0</v>
      </c>
      <c r="G10" s="70" t="n">
        <f aca="false">IF('Feb-2027'!V11&lt;&gt;"",'Feb-2027'!V11,'Feb-2027'!U11)</f>
        <v>0</v>
      </c>
      <c r="H10" s="70" t="n">
        <f aca="false">IF('Mar-2027'!V11&lt;&gt;"",'Mar-2027'!V11,'Mar-2027'!U11)</f>
        <v>0</v>
      </c>
      <c r="I10" s="70" t="n">
        <f aca="false">IF('Apr-2027'!V11&lt;&gt;"",'Apr-2027'!V11,'Apr-2027'!U11)</f>
        <v>0</v>
      </c>
      <c r="J10" s="70" t="n">
        <f aca="false">IF('May-2027'!V11&lt;&gt;"",'May-2027'!V11,'May-2027'!U11)</f>
        <v>0</v>
      </c>
      <c r="K10" s="70" t="n">
        <f aca="false">IF('Jun-2027'!V11&lt;&gt;"",'Jun-2027'!V11,'Jun-2027'!U11)</f>
        <v>0</v>
      </c>
      <c r="L10" s="70" t="n">
        <f aca="false">IF('Jul-2027'!V11&lt;&gt;"",'Jul-2027'!V11,'Jul-2027'!U11)</f>
        <v>0</v>
      </c>
      <c r="M10" s="70" t="n">
        <f aca="false">IF('Aug-2027'!V11&lt;&gt;"",'Aug-2027'!V11,'Aug-2027'!U11)</f>
        <v>0</v>
      </c>
      <c r="N10" s="70" t="n">
        <f aca="false">IF('Sep-2027'!V11&lt;&gt;"",'Sep-2027'!V11,'Sep-2027'!U11)</f>
        <v>0</v>
      </c>
      <c r="O10" s="70" t="n">
        <f aca="false">IF('Oct-2027'!V11&lt;&gt;"",'Oct-2027'!V11,'Oct-2027'!U11)</f>
        <v>0</v>
      </c>
      <c r="P10" s="70" t="n">
        <f aca="false">N('Nov-2026'!O11)+N('Dec-2026'!O11)+N('Jan-2027'!O11)+N('Feb-2027'!O11)+N('Mar-2027'!O11)+N('Apr-2027'!O11)+N('May-2027'!O11)+N('Jun-2027'!O11)+N('Jul-2027'!O11)+N('Aug-2027'!O11)+N('Sep-2027'!O11)+N('Oct-2027'!O11)</f>
        <v>0</v>
      </c>
      <c r="Q10" s="70" t="n">
        <f aca="false">N('Nov-2026'!P11)+N('Dec-2026'!P11)+N('Jan-2027'!P11)+N('Feb-2027'!P11)+N('Mar-2027'!P11)+N('Apr-2027'!P11)+N('May-2027'!P11)+N('Jun-2027'!P11)+N('Jul-2027'!P11)+N('Aug-2027'!P11)+N('Sep-2027'!P11)+N('Oct-2027'!P11)</f>
        <v>0</v>
      </c>
      <c r="R10" s="70" t="n">
        <f aca="false">N('Nov-2026'!Q11)+N('Dec-2026'!Q11)+N('Jan-2027'!Q11)+N('Feb-2027'!Q11)+N('Mar-2027'!Q11)+N('Apr-2027'!Q11)+N('May-2027'!Q11)+N('Jun-2027'!Q11)+N('Jul-2027'!Q11)+N('Aug-2027'!Q11)+N('Sep-2027'!Q11)+N('Oct-2027'!Q11)</f>
        <v>0</v>
      </c>
      <c r="S10" s="70" t="n">
        <f aca="false">N('Nov-2026'!R11)+N('Dec-2026'!R11)+N('Jan-2027'!R11)+N('Feb-2027'!R11)+N('Mar-2027'!R11)+N('Apr-2027'!R11)+N('May-2027'!R11)+N('Jun-2027'!R11)+N('Jul-2027'!R11)+N('Aug-2027'!R11)+N('Sep-2027'!R11)+N('Oct-2027'!R11)</f>
        <v>0</v>
      </c>
      <c r="T10" s="70" t="n">
        <f aca="false">N('Nov-2026'!S11)+N('Dec-2026'!S11)+N('Jan-2027'!S11)+N('Feb-2027'!S11)+N('Mar-2027'!S11)+N('Apr-2027'!S11)+N('May-2027'!S11)+N('Jun-2027'!S11)+N('Jul-2027'!S11)+N('Aug-2027'!S11)+N('Sep-2027'!S11)+N('Oct-2027'!S11)</f>
        <v>0</v>
      </c>
      <c r="U10" s="70" t="n">
        <f aca="false">SUM(Q10:S10)</f>
        <v>0</v>
      </c>
      <c r="V10" s="71" t="n">
        <f aca="false">IFERROR(U10/MATCH($B$3,$D$6:$O$6,0),0)</f>
        <v>0</v>
      </c>
      <c r="W10" s="70" t="n">
        <f aca="false">CEILING(V10*1.5,10)</f>
        <v>0</v>
      </c>
      <c r="X10" s="70" t="n">
        <f aca="false">'Item Master'!P8</f>
        <v>200</v>
      </c>
      <c r="Y10" s="70" t="n">
        <f aca="false">INDEX(D10:O10,MATCH($B$3,$D$6:$O$6,0))</f>
        <v>0</v>
      </c>
      <c r="Z10" s="70" t="str">
        <f aca="false">IF(Y10&lt;=0,"OUT OF STOCK",IF(Y10&lt;=X10,"REORDER NOW",IF(Y10&lt;=X10*1.5,"LOW","OK")))</f>
        <v>OUT OF STOCK</v>
      </c>
    </row>
    <row r="11" customFormat="false" ht="15" hidden="false" customHeight="false" outlineLevel="0" collapsed="false">
      <c r="A11" s="64" t="str">
        <f aca="false">'Item Master'!A9</f>
        <v>AKR</v>
      </c>
      <c r="B11" s="65" t="str">
        <f aca="false">'Item Master'!B9</f>
        <v>Audio – Narasimha Kirtan (QR card)</v>
      </c>
      <c r="C11" s="64" t="str">
        <f aca="false">'Item Master'!C9</f>
        <v>Audio / Digital</v>
      </c>
      <c r="D11" s="66" t="n">
        <f aca="false">IF('Nov-2026'!V12&lt;&gt;"",'Nov-2026'!V12,'Nov-2026'!U12)</f>
        <v>0</v>
      </c>
      <c r="E11" s="66" t="n">
        <f aca="false">IF('Dec-2026'!V12&lt;&gt;"",'Dec-2026'!V12,'Dec-2026'!U12)</f>
        <v>0</v>
      </c>
      <c r="F11" s="66" t="n">
        <f aca="false">IF('Jan-2027'!V12&lt;&gt;"",'Jan-2027'!V12,'Jan-2027'!U12)</f>
        <v>0</v>
      </c>
      <c r="G11" s="66" t="n">
        <f aca="false">IF('Feb-2027'!V12&lt;&gt;"",'Feb-2027'!V12,'Feb-2027'!U12)</f>
        <v>0</v>
      </c>
      <c r="H11" s="66" t="n">
        <f aca="false">IF('Mar-2027'!V12&lt;&gt;"",'Mar-2027'!V12,'Mar-2027'!U12)</f>
        <v>0</v>
      </c>
      <c r="I11" s="66" t="n">
        <f aca="false">IF('Apr-2027'!V12&lt;&gt;"",'Apr-2027'!V12,'Apr-2027'!U12)</f>
        <v>0</v>
      </c>
      <c r="J11" s="66" t="n">
        <f aca="false">IF('May-2027'!V12&lt;&gt;"",'May-2027'!V12,'May-2027'!U12)</f>
        <v>0</v>
      </c>
      <c r="K11" s="66" t="n">
        <f aca="false">IF('Jun-2027'!V12&lt;&gt;"",'Jun-2027'!V12,'Jun-2027'!U12)</f>
        <v>0</v>
      </c>
      <c r="L11" s="66" t="n">
        <f aca="false">IF('Jul-2027'!V12&lt;&gt;"",'Jul-2027'!V12,'Jul-2027'!U12)</f>
        <v>0</v>
      </c>
      <c r="M11" s="66" t="n">
        <f aca="false">IF('Aug-2027'!V12&lt;&gt;"",'Aug-2027'!V12,'Aug-2027'!U12)</f>
        <v>0</v>
      </c>
      <c r="N11" s="66" t="n">
        <f aca="false">IF('Sep-2027'!V12&lt;&gt;"",'Sep-2027'!V12,'Sep-2027'!U12)</f>
        <v>0</v>
      </c>
      <c r="O11" s="66" t="n">
        <f aca="false">IF('Oct-2027'!V12&lt;&gt;"",'Oct-2027'!V12,'Oct-2027'!U12)</f>
        <v>0</v>
      </c>
      <c r="P11" s="66" t="n">
        <f aca="false">N('Nov-2026'!O12)+N('Dec-2026'!O12)+N('Jan-2027'!O12)+N('Feb-2027'!O12)+N('Mar-2027'!O12)+N('Apr-2027'!O12)+N('May-2027'!O12)+N('Jun-2027'!O12)+N('Jul-2027'!O12)+N('Aug-2027'!O12)+N('Sep-2027'!O12)+N('Oct-2027'!O12)</f>
        <v>0</v>
      </c>
      <c r="Q11" s="66" t="n">
        <f aca="false">N('Nov-2026'!P12)+N('Dec-2026'!P12)+N('Jan-2027'!P12)+N('Feb-2027'!P12)+N('Mar-2027'!P12)+N('Apr-2027'!P12)+N('May-2027'!P12)+N('Jun-2027'!P12)+N('Jul-2027'!P12)+N('Aug-2027'!P12)+N('Sep-2027'!P12)+N('Oct-2027'!P12)</f>
        <v>0</v>
      </c>
      <c r="R11" s="66" t="n">
        <f aca="false">N('Nov-2026'!Q12)+N('Dec-2026'!Q12)+N('Jan-2027'!Q12)+N('Feb-2027'!Q12)+N('Mar-2027'!Q12)+N('Apr-2027'!Q12)+N('May-2027'!Q12)+N('Jun-2027'!Q12)+N('Jul-2027'!Q12)+N('Aug-2027'!Q12)+N('Sep-2027'!Q12)+N('Oct-2027'!Q12)</f>
        <v>0</v>
      </c>
      <c r="S11" s="66" t="n">
        <f aca="false">N('Nov-2026'!R12)+N('Dec-2026'!R12)+N('Jan-2027'!R12)+N('Feb-2027'!R12)+N('Mar-2027'!R12)+N('Apr-2027'!R12)+N('May-2027'!R12)+N('Jun-2027'!R12)+N('Jul-2027'!R12)+N('Aug-2027'!R12)+N('Sep-2027'!R12)+N('Oct-2027'!R12)</f>
        <v>0</v>
      </c>
      <c r="T11" s="66" t="n">
        <f aca="false">N('Nov-2026'!S12)+N('Dec-2026'!S12)+N('Jan-2027'!S12)+N('Feb-2027'!S12)+N('Mar-2027'!S12)+N('Apr-2027'!S12)+N('May-2027'!S12)+N('Jun-2027'!S12)+N('Jul-2027'!S12)+N('Aug-2027'!S12)+N('Sep-2027'!S12)+N('Oct-2027'!S12)</f>
        <v>0</v>
      </c>
      <c r="U11" s="66" t="n">
        <f aca="false">SUM(Q11:S11)</f>
        <v>0</v>
      </c>
      <c r="V11" s="67" t="n">
        <f aca="false">IFERROR(U11/MATCH($B$3,$D$6:$O$6,0),0)</f>
        <v>0</v>
      </c>
      <c r="W11" s="66" t="n">
        <f aca="false">CEILING(V11*1.5,10)</f>
        <v>0</v>
      </c>
      <c r="X11" s="66" t="n">
        <f aca="false">'Item Master'!P9</f>
        <v>200</v>
      </c>
      <c r="Y11" s="66" t="n">
        <f aca="false">INDEX(D11:O11,MATCH($B$3,$D$6:$O$6,0))</f>
        <v>0</v>
      </c>
      <c r="Z11" s="66" t="str">
        <f aca="false">IF(Y11&lt;=0,"OUT OF STOCK",IF(Y11&lt;=X11,"REORDER NOW",IF(Y11&lt;=X11*1.5,"LOW","OK")))</f>
        <v>OUT OF STOCK</v>
      </c>
    </row>
    <row r="12" customFormat="false" ht="15" hidden="false" customHeight="false" outlineLevel="0" collapsed="false">
      <c r="A12" s="68" t="str">
        <f aca="false">'Item Master'!A10</f>
        <v>PFR</v>
      </c>
      <c r="B12" s="69" t="str">
        <f aca="false">'Item Master'!B10</f>
        <v>Narasimha Photo Frame</v>
      </c>
      <c r="C12" s="68" t="str">
        <f aca="false">'Item Master'!C10</f>
        <v>Deity Photos &amp; Frames</v>
      </c>
      <c r="D12" s="70" t="n">
        <f aca="false">IF('Nov-2026'!V13&lt;&gt;"",'Nov-2026'!V13,'Nov-2026'!U13)</f>
        <v>0</v>
      </c>
      <c r="E12" s="70" t="n">
        <f aca="false">IF('Dec-2026'!V13&lt;&gt;"",'Dec-2026'!V13,'Dec-2026'!U13)</f>
        <v>0</v>
      </c>
      <c r="F12" s="70" t="n">
        <f aca="false">IF('Jan-2027'!V13&lt;&gt;"",'Jan-2027'!V13,'Jan-2027'!U13)</f>
        <v>0</v>
      </c>
      <c r="G12" s="70" t="n">
        <f aca="false">IF('Feb-2027'!V13&lt;&gt;"",'Feb-2027'!V13,'Feb-2027'!U13)</f>
        <v>0</v>
      </c>
      <c r="H12" s="70" t="n">
        <f aca="false">IF('Mar-2027'!V13&lt;&gt;"",'Mar-2027'!V13,'Mar-2027'!U13)</f>
        <v>0</v>
      </c>
      <c r="I12" s="70" t="n">
        <f aca="false">IF('Apr-2027'!V13&lt;&gt;"",'Apr-2027'!V13,'Apr-2027'!U13)</f>
        <v>0</v>
      </c>
      <c r="J12" s="70" t="n">
        <f aca="false">IF('May-2027'!V13&lt;&gt;"",'May-2027'!V13,'May-2027'!U13)</f>
        <v>0</v>
      </c>
      <c r="K12" s="70" t="n">
        <f aca="false">IF('Jun-2027'!V13&lt;&gt;"",'Jun-2027'!V13,'Jun-2027'!U13)</f>
        <v>0</v>
      </c>
      <c r="L12" s="70" t="n">
        <f aca="false">IF('Jul-2027'!V13&lt;&gt;"",'Jul-2027'!V13,'Jul-2027'!U13)</f>
        <v>0</v>
      </c>
      <c r="M12" s="70" t="n">
        <f aca="false">IF('Aug-2027'!V13&lt;&gt;"",'Aug-2027'!V13,'Aug-2027'!U13)</f>
        <v>0</v>
      </c>
      <c r="N12" s="70" t="n">
        <f aca="false">IF('Sep-2027'!V13&lt;&gt;"",'Sep-2027'!V13,'Sep-2027'!U13)</f>
        <v>0</v>
      </c>
      <c r="O12" s="70" t="n">
        <f aca="false">IF('Oct-2027'!V13&lt;&gt;"",'Oct-2027'!V13,'Oct-2027'!U13)</f>
        <v>0</v>
      </c>
      <c r="P12" s="70" t="n">
        <f aca="false">N('Nov-2026'!O13)+N('Dec-2026'!O13)+N('Jan-2027'!O13)+N('Feb-2027'!O13)+N('Mar-2027'!O13)+N('Apr-2027'!O13)+N('May-2027'!O13)+N('Jun-2027'!O13)+N('Jul-2027'!O13)+N('Aug-2027'!O13)+N('Sep-2027'!O13)+N('Oct-2027'!O13)</f>
        <v>0</v>
      </c>
      <c r="Q12" s="70" t="n">
        <f aca="false">N('Nov-2026'!P13)+N('Dec-2026'!P13)+N('Jan-2027'!P13)+N('Feb-2027'!P13)+N('Mar-2027'!P13)+N('Apr-2027'!P13)+N('May-2027'!P13)+N('Jun-2027'!P13)+N('Jul-2027'!P13)+N('Aug-2027'!P13)+N('Sep-2027'!P13)+N('Oct-2027'!P13)</f>
        <v>0</v>
      </c>
      <c r="R12" s="70" t="n">
        <f aca="false">N('Nov-2026'!Q13)+N('Dec-2026'!Q13)+N('Jan-2027'!Q13)+N('Feb-2027'!Q13)+N('Mar-2027'!Q13)+N('Apr-2027'!Q13)+N('May-2027'!Q13)+N('Jun-2027'!Q13)+N('Jul-2027'!Q13)+N('Aug-2027'!Q13)+N('Sep-2027'!Q13)+N('Oct-2027'!Q13)</f>
        <v>0</v>
      </c>
      <c r="S12" s="70" t="n">
        <f aca="false">N('Nov-2026'!R13)+N('Dec-2026'!R13)+N('Jan-2027'!R13)+N('Feb-2027'!R13)+N('Mar-2027'!R13)+N('Apr-2027'!R13)+N('May-2027'!R13)+N('Jun-2027'!R13)+N('Jul-2027'!R13)+N('Aug-2027'!R13)+N('Sep-2027'!R13)+N('Oct-2027'!R13)</f>
        <v>0</v>
      </c>
      <c r="T12" s="70" t="n">
        <f aca="false">N('Nov-2026'!S13)+N('Dec-2026'!S13)+N('Jan-2027'!S13)+N('Feb-2027'!S13)+N('Mar-2027'!S13)+N('Apr-2027'!S13)+N('May-2027'!S13)+N('Jun-2027'!S13)+N('Jul-2027'!S13)+N('Aug-2027'!S13)+N('Sep-2027'!S13)+N('Oct-2027'!S13)</f>
        <v>0</v>
      </c>
      <c r="U12" s="70" t="n">
        <f aca="false">SUM(Q12:S12)</f>
        <v>0</v>
      </c>
      <c r="V12" s="71" t="n">
        <f aca="false">IFERROR(U12/MATCH($B$3,$D$6:$O$6,0),0)</f>
        <v>0</v>
      </c>
      <c r="W12" s="70" t="n">
        <f aca="false">CEILING(V12*1.5,10)</f>
        <v>0</v>
      </c>
      <c r="X12" s="70" t="n">
        <f aca="false">'Item Master'!P10</f>
        <v>25</v>
      </c>
      <c r="Y12" s="70" t="n">
        <f aca="false">INDEX(D12:O12,MATCH($B$3,$D$6:$O$6,0))</f>
        <v>0</v>
      </c>
      <c r="Z12" s="70" t="str">
        <f aca="false">IF(Y12&lt;=0,"OUT OF STOCK",IF(Y12&lt;=X12,"REORDER NOW",IF(Y12&lt;=X12*1.5,"LOW","OK")))</f>
        <v>OUT OF STOCK</v>
      </c>
    </row>
    <row r="13" customFormat="false" ht="15" hidden="false" customHeight="false" outlineLevel="0" collapsed="false">
      <c r="A13" s="64" t="str">
        <f aca="false">'Item Master'!A11</f>
        <v>TTP</v>
      </c>
      <c r="B13" s="65" t="str">
        <f aca="false">'Item Master'!B11</f>
        <v>Narasimha Table Top (idol/stand)</v>
      </c>
      <c r="C13" s="64" t="str">
        <f aca="false">'Item Master'!C11</f>
        <v>Deity Photos &amp; Frames</v>
      </c>
      <c r="D13" s="66" t="n">
        <f aca="false">IF('Nov-2026'!V14&lt;&gt;"",'Nov-2026'!V14,'Nov-2026'!U14)</f>
        <v>0</v>
      </c>
      <c r="E13" s="66" t="n">
        <f aca="false">IF('Dec-2026'!V14&lt;&gt;"",'Dec-2026'!V14,'Dec-2026'!U14)</f>
        <v>0</v>
      </c>
      <c r="F13" s="66" t="n">
        <f aca="false">IF('Jan-2027'!V14&lt;&gt;"",'Jan-2027'!V14,'Jan-2027'!U14)</f>
        <v>0</v>
      </c>
      <c r="G13" s="66" t="n">
        <f aca="false">IF('Feb-2027'!V14&lt;&gt;"",'Feb-2027'!V14,'Feb-2027'!U14)</f>
        <v>0</v>
      </c>
      <c r="H13" s="66" t="n">
        <f aca="false">IF('Mar-2027'!V14&lt;&gt;"",'Mar-2027'!V14,'Mar-2027'!U14)</f>
        <v>0</v>
      </c>
      <c r="I13" s="66" t="n">
        <f aca="false">IF('Apr-2027'!V14&lt;&gt;"",'Apr-2027'!V14,'Apr-2027'!U14)</f>
        <v>0</v>
      </c>
      <c r="J13" s="66" t="n">
        <f aca="false">IF('May-2027'!V14&lt;&gt;"",'May-2027'!V14,'May-2027'!U14)</f>
        <v>0</v>
      </c>
      <c r="K13" s="66" t="n">
        <f aca="false">IF('Jun-2027'!V14&lt;&gt;"",'Jun-2027'!V14,'Jun-2027'!U14)</f>
        <v>0</v>
      </c>
      <c r="L13" s="66" t="n">
        <f aca="false">IF('Jul-2027'!V14&lt;&gt;"",'Jul-2027'!V14,'Jul-2027'!U14)</f>
        <v>0</v>
      </c>
      <c r="M13" s="66" t="n">
        <f aca="false">IF('Aug-2027'!V14&lt;&gt;"",'Aug-2027'!V14,'Aug-2027'!U14)</f>
        <v>0</v>
      </c>
      <c r="N13" s="66" t="n">
        <f aca="false">IF('Sep-2027'!V14&lt;&gt;"",'Sep-2027'!V14,'Sep-2027'!U14)</f>
        <v>0</v>
      </c>
      <c r="O13" s="66" t="n">
        <f aca="false">IF('Oct-2027'!V14&lt;&gt;"",'Oct-2027'!V14,'Oct-2027'!U14)</f>
        <v>0</v>
      </c>
      <c r="P13" s="66" t="n">
        <f aca="false">N('Nov-2026'!O14)+N('Dec-2026'!O14)+N('Jan-2027'!O14)+N('Feb-2027'!O14)+N('Mar-2027'!O14)+N('Apr-2027'!O14)+N('May-2027'!O14)+N('Jun-2027'!O14)+N('Jul-2027'!O14)+N('Aug-2027'!O14)+N('Sep-2027'!O14)+N('Oct-2027'!O14)</f>
        <v>0</v>
      </c>
      <c r="Q13" s="66" t="n">
        <f aca="false">N('Nov-2026'!P14)+N('Dec-2026'!P14)+N('Jan-2027'!P14)+N('Feb-2027'!P14)+N('Mar-2027'!P14)+N('Apr-2027'!P14)+N('May-2027'!P14)+N('Jun-2027'!P14)+N('Jul-2027'!P14)+N('Aug-2027'!P14)+N('Sep-2027'!P14)+N('Oct-2027'!P14)</f>
        <v>0</v>
      </c>
      <c r="R13" s="66" t="n">
        <f aca="false">N('Nov-2026'!Q14)+N('Dec-2026'!Q14)+N('Jan-2027'!Q14)+N('Feb-2027'!Q14)+N('Mar-2027'!Q14)+N('Apr-2027'!Q14)+N('May-2027'!Q14)+N('Jun-2027'!Q14)+N('Jul-2027'!Q14)+N('Aug-2027'!Q14)+N('Sep-2027'!Q14)+N('Oct-2027'!Q14)</f>
        <v>0</v>
      </c>
      <c r="S13" s="66" t="n">
        <f aca="false">N('Nov-2026'!R14)+N('Dec-2026'!R14)+N('Jan-2027'!R14)+N('Feb-2027'!R14)+N('Mar-2027'!R14)+N('Apr-2027'!R14)+N('May-2027'!R14)+N('Jun-2027'!R14)+N('Jul-2027'!R14)+N('Aug-2027'!R14)+N('Sep-2027'!R14)+N('Oct-2027'!R14)</f>
        <v>0</v>
      </c>
      <c r="T13" s="66" t="n">
        <f aca="false">N('Nov-2026'!S14)+N('Dec-2026'!S14)+N('Jan-2027'!S14)+N('Feb-2027'!S14)+N('Mar-2027'!S14)+N('Apr-2027'!S14)+N('May-2027'!S14)+N('Jun-2027'!S14)+N('Jul-2027'!S14)+N('Aug-2027'!S14)+N('Sep-2027'!S14)+N('Oct-2027'!S14)</f>
        <v>0</v>
      </c>
      <c r="U13" s="66" t="n">
        <f aca="false">SUM(Q13:S13)</f>
        <v>0</v>
      </c>
      <c r="V13" s="67" t="n">
        <f aca="false">IFERROR(U13/MATCH($B$3,$D$6:$O$6,0),0)</f>
        <v>0</v>
      </c>
      <c r="W13" s="66" t="n">
        <f aca="false">CEILING(V13*1.5,10)</f>
        <v>0</v>
      </c>
      <c r="X13" s="66" t="n">
        <f aca="false">'Item Master'!P11</f>
        <v>20</v>
      </c>
      <c r="Y13" s="66" t="n">
        <f aca="false">INDEX(D13:O13,MATCH($B$3,$D$6:$O$6,0))</f>
        <v>0</v>
      </c>
      <c r="Z13" s="66" t="str">
        <f aca="false">IF(Y13&lt;=0,"OUT OF STOCK",IF(Y13&lt;=X13,"REORDER NOW",IF(Y13&lt;=X13*1.5,"LOW","OK")))</f>
        <v>OUT OF STOCK</v>
      </c>
    </row>
    <row r="14" customFormat="false" ht="15" hidden="false" customHeight="false" outlineLevel="0" collapsed="false">
      <c r="A14" s="68" t="str">
        <f aca="false">'Item Master'!A12</f>
        <v>STK</v>
      </c>
      <c r="B14" s="69" t="str">
        <f aca="false">'Item Master'!B12</f>
        <v>Narasimha Sticker</v>
      </c>
      <c r="C14" s="68" t="str">
        <f aca="false">'Item Master'!C12</f>
        <v>Protection &amp; Mantra</v>
      </c>
      <c r="D14" s="70" t="n">
        <f aca="false">IF('Nov-2026'!V15&lt;&gt;"",'Nov-2026'!V15,'Nov-2026'!U15)</f>
        <v>0</v>
      </c>
      <c r="E14" s="70" t="n">
        <f aca="false">IF('Dec-2026'!V15&lt;&gt;"",'Dec-2026'!V15,'Dec-2026'!U15)</f>
        <v>0</v>
      </c>
      <c r="F14" s="70" t="n">
        <f aca="false">IF('Jan-2027'!V15&lt;&gt;"",'Jan-2027'!V15,'Jan-2027'!U15)</f>
        <v>0</v>
      </c>
      <c r="G14" s="70" t="n">
        <f aca="false">IF('Feb-2027'!V15&lt;&gt;"",'Feb-2027'!V15,'Feb-2027'!U15)</f>
        <v>0</v>
      </c>
      <c r="H14" s="70" t="n">
        <f aca="false">IF('Mar-2027'!V15&lt;&gt;"",'Mar-2027'!V15,'Mar-2027'!U15)</f>
        <v>0</v>
      </c>
      <c r="I14" s="70" t="n">
        <f aca="false">IF('Apr-2027'!V15&lt;&gt;"",'Apr-2027'!V15,'Apr-2027'!U15)</f>
        <v>0</v>
      </c>
      <c r="J14" s="70" t="n">
        <f aca="false">IF('May-2027'!V15&lt;&gt;"",'May-2027'!V15,'May-2027'!U15)</f>
        <v>0</v>
      </c>
      <c r="K14" s="70" t="n">
        <f aca="false">IF('Jun-2027'!V15&lt;&gt;"",'Jun-2027'!V15,'Jun-2027'!U15)</f>
        <v>0</v>
      </c>
      <c r="L14" s="70" t="n">
        <f aca="false">IF('Jul-2027'!V15&lt;&gt;"",'Jul-2027'!V15,'Jul-2027'!U15)</f>
        <v>0</v>
      </c>
      <c r="M14" s="70" t="n">
        <f aca="false">IF('Aug-2027'!V15&lt;&gt;"",'Aug-2027'!V15,'Aug-2027'!U15)</f>
        <v>0</v>
      </c>
      <c r="N14" s="70" t="n">
        <f aca="false">IF('Sep-2027'!V15&lt;&gt;"",'Sep-2027'!V15,'Sep-2027'!U15)</f>
        <v>0</v>
      </c>
      <c r="O14" s="70" t="n">
        <f aca="false">IF('Oct-2027'!V15&lt;&gt;"",'Oct-2027'!V15,'Oct-2027'!U15)</f>
        <v>0</v>
      </c>
      <c r="P14" s="70" t="n">
        <f aca="false">N('Nov-2026'!O15)+N('Dec-2026'!O15)+N('Jan-2027'!O15)+N('Feb-2027'!O15)+N('Mar-2027'!O15)+N('Apr-2027'!O15)+N('May-2027'!O15)+N('Jun-2027'!O15)+N('Jul-2027'!O15)+N('Aug-2027'!O15)+N('Sep-2027'!O15)+N('Oct-2027'!O15)</f>
        <v>0</v>
      </c>
      <c r="Q14" s="70" t="n">
        <f aca="false">N('Nov-2026'!P15)+N('Dec-2026'!P15)+N('Jan-2027'!P15)+N('Feb-2027'!P15)+N('Mar-2027'!P15)+N('Apr-2027'!P15)+N('May-2027'!P15)+N('Jun-2027'!P15)+N('Jul-2027'!P15)+N('Aug-2027'!P15)+N('Sep-2027'!P15)+N('Oct-2027'!P15)</f>
        <v>0</v>
      </c>
      <c r="R14" s="70" t="n">
        <f aca="false">N('Nov-2026'!Q15)+N('Dec-2026'!Q15)+N('Jan-2027'!Q15)+N('Feb-2027'!Q15)+N('Mar-2027'!Q15)+N('Apr-2027'!Q15)+N('May-2027'!Q15)+N('Jun-2027'!Q15)+N('Jul-2027'!Q15)+N('Aug-2027'!Q15)+N('Sep-2027'!Q15)+N('Oct-2027'!Q15)</f>
        <v>0</v>
      </c>
      <c r="S14" s="70" t="n">
        <f aca="false">N('Nov-2026'!R15)+N('Dec-2026'!R15)+N('Jan-2027'!R15)+N('Feb-2027'!R15)+N('Mar-2027'!R15)+N('Apr-2027'!R15)+N('May-2027'!R15)+N('Jun-2027'!R15)+N('Jul-2027'!R15)+N('Aug-2027'!R15)+N('Sep-2027'!R15)+N('Oct-2027'!R15)</f>
        <v>0</v>
      </c>
      <c r="T14" s="70" t="n">
        <f aca="false">N('Nov-2026'!S15)+N('Dec-2026'!S15)+N('Jan-2027'!S15)+N('Feb-2027'!S15)+N('Mar-2027'!S15)+N('Apr-2027'!S15)+N('May-2027'!S15)+N('Jun-2027'!S15)+N('Jul-2027'!S15)+N('Aug-2027'!S15)+N('Sep-2027'!S15)+N('Oct-2027'!S15)</f>
        <v>0</v>
      </c>
      <c r="U14" s="70" t="n">
        <f aca="false">SUM(Q14:S14)</f>
        <v>0</v>
      </c>
      <c r="V14" s="71" t="n">
        <f aca="false">IFERROR(U14/MATCH($B$3,$D$6:$O$6,0),0)</f>
        <v>0</v>
      </c>
      <c r="W14" s="70" t="n">
        <f aca="false">CEILING(V14*1.5,10)</f>
        <v>0</v>
      </c>
      <c r="X14" s="70" t="n">
        <f aca="false">'Item Master'!P12</f>
        <v>300</v>
      </c>
      <c r="Y14" s="70" t="n">
        <f aca="false">INDEX(D14:O14,MATCH($B$3,$D$6:$O$6,0))</f>
        <v>0</v>
      </c>
      <c r="Z14" s="70" t="str">
        <f aca="false">IF(Y14&lt;=0,"OUT OF STOCK",IF(Y14&lt;=X14,"REORDER NOW",IF(Y14&lt;=X14*1.5,"LOW","OK")))</f>
        <v>OUT OF STOCK</v>
      </c>
    </row>
    <row r="15" customFormat="false" ht="15" hidden="false" customHeight="false" outlineLevel="0" collapsed="false">
      <c r="A15" s="64" t="str">
        <f aca="false">'Item Master'!A13</f>
        <v>KPR</v>
      </c>
      <c r="B15" s="65" t="str">
        <f aca="false">'Item Master'!B13</f>
        <v>Narasimha Kavacha Print Out</v>
      </c>
      <c r="C15" s="64" t="str">
        <f aca="false">'Item Master'!C13</f>
        <v>Protection &amp; Mantra</v>
      </c>
      <c r="D15" s="66" t="n">
        <f aca="false">IF('Nov-2026'!V16&lt;&gt;"",'Nov-2026'!V16,'Nov-2026'!U16)</f>
        <v>0</v>
      </c>
      <c r="E15" s="66" t="n">
        <f aca="false">IF('Dec-2026'!V16&lt;&gt;"",'Dec-2026'!V16,'Dec-2026'!U16)</f>
        <v>0</v>
      </c>
      <c r="F15" s="66" t="n">
        <f aca="false">IF('Jan-2027'!V16&lt;&gt;"",'Jan-2027'!V16,'Jan-2027'!U16)</f>
        <v>0</v>
      </c>
      <c r="G15" s="66" t="n">
        <f aca="false">IF('Feb-2027'!V16&lt;&gt;"",'Feb-2027'!V16,'Feb-2027'!U16)</f>
        <v>0</v>
      </c>
      <c r="H15" s="66" t="n">
        <f aca="false">IF('Mar-2027'!V16&lt;&gt;"",'Mar-2027'!V16,'Mar-2027'!U16)</f>
        <v>0</v>
      </c>
      <c r="I15" s="66" t="n">
        <f aca="false">IF('Apr-2027'!V16&lt;&gt;"",'Apr-2027'!V16,'Apr-2027'!U16)</f>
        <v>0</v>
      </c>
      <c r="J15" s="66" t="n">
        <f aca="false">IF('May-2027'!V16&lt;&gt;"",'May-2027'!V16,'May-2027'!U16)</f>
        <v>0</v>
      </c>
      <c r="K15" s="66" t="n">
        <f aca="false">IF('Jun-2027'!V16&lt;&gt;"",'Jun-2027'!V16,'Jun-2027'!U16)</f>
        <v>0</v>
      </c>
      <c r="L15" s="66" t="n">
        <f aca="false">IF('Jul-2027'!V16&lt;&gt;"",'Jul-2027'!V16,'Jul-2027'!U16)</f>
        <v>0</v>
      </c>
      <c r="M15" s="66" t="n">
        <f aca="false">IF('Aug-2027'!V16&lt;&gt;"",'Aug-2027'!V16,'Aug-2027'!U16)</f>
        <v>0</v>
      </c>
      <c r="N15" s="66" t="n">
        <f aca="false">IF('Sep-2027'!V16&lt;&gt;"",'Sep-2027'!V16,'Sep-2027'!U16)</f>
        <v>0</v>
      </c>
      <c r="O15" s="66" t="n">
        <f aca="false">IF('Oct-2027'!V16&lt;&gt;"",'Oct-2027'!V16,'Oct-2027'!U16)</f>
        <v>0</v>
      </c>
      <c r="P15" s="66" t="n">
        <f aca="false">N('Nov-2026'!O16)+N('Dec-2026'!O16)+N('Jan-2027'!O16)+N('Feb-2027'!O16)+N('Mar-2027'!O16)+N('Apr-2027'!O16)+N('May-2027'!O16)+N('Jun-2027'!O16)+N('Jul-2027'!O16)+N('Aug-2027'!O16)+N('Sep-2027'!O16)+N('Oct-2027'!O16)</f>
        <v>0</v>
      </c>
      <c r="Q15" s="66" t="n">
        <f aca="false">N('Nov-2026'!P16)+N('Dec-2026'!P16)+N('Jan-2027'!P16)+N('Feb-2027'!P16)+N('Mar-2027'!P16)+N('Apr-2027'!P16)+N('May-2027'!P16)+N('Jun-2027'!P16)+N('Jul-2027'!P16)+N('Aug-2027'!P16)+N('Sep-2027'!P16)+N('Oct-2027'!P16)</f>
        <v>0</v>
      </c>
      <c r="R15" s="66" t="n">
        <f aca="false">N('Nov-2026'!Q16)+N('Dec-2026'!Q16)+N('Jan-2027'!Q16)+N('Feb-2027'!Q16)+N('Mar-2027'!Q16)+N('Apr-2027'!Q16)+N('May-2027'!Q16)+N('Jun-2027'!Q16)+N('Jul-2027'!Q16)+N('Aug-2027'!Q16)+N('Sep-2027'!Q16)+N('Oct-2027'!Q16)</f>
        <v>0</v>
      </c>
      <c r="S15" s="66" t="n">
        <f aca="false">N('Nov-2026'!R16)+N('Dec-2026'!R16)+N('Jan-2027'!R16)+N('Feb-2027'!R16)+N('Mar-2027'!R16)+N('Apr-2027'!R16)+N('May-2027'!R16)+N('Jun-2027'!R16)+N('Jul-2027'!R16)+N('Aug-2027'!R16)+N('Sep-2027'!R16)+N('Oct-2027'!R16)</f>
        <v>0</v>
      </c>
      <c r="T15" s="66" t="n">
        <f aca="false">N('Nov-2026'!S16)+N('Dec-2026'!S16)+N('Jan-2027'!S16)+N('Feb-2027'!S16)+N('Mar-2027'!S16)+N('Apr-2027'!S16)+N('May-2027'!S16)+N('Jun-2027'!S16)+N('Jul-2027'!S16)+N('Aug-2027'!S16)+N('Sep-2027'!S16)+N('Oct-2027'!S16)</f>
        <v>0</v>
      </c>
      <c r="U15" s="66" t="n">
        <f aca="false">SUM(Q15:S15)</f>
        <v>0</v>
      </c>
      <c r="V15" s="67" t="n">
        <f aca="false">IFERROR(U15/MATCH($B$3,$D$6:$O$6,0),0)</f>
        <v>0</v>
      </c>
      <c r="W15" s="66" t="n">
        <f aca="false">CEILING(V15*1.5,10)</f>
        <v>0</v>
      </c>
      <c r="X15" s="66" t="n">
        <f aca="false">'Item Master'!P13</f>
        <v>200</v>
      </c>
      <c r="Y15" s="66" t="n">
        <f aca="false">INDEX(D15:O15,MATCH($B$3,$D$6:$O$6,0))</f>
        <v>0</v>
      </c>
      <c r="Z15" s="66" t="str">
        <f aca="false">IF(Y15&lt;=0,"OUT OF STOCK",IF(Y15&lt;=X15,"REORDER NOW",IF(Y15&lt;=X15*1.5,"LOW","OK")))</f>
        <v>OUT OF STOCK</v>
      </c>
    </row>
    <row r="16" customFormat="false" ht="15" hidden="false" customHeight="false" outlineLevel="0" collapsed="false">
      <c r="A16" s="68" t="str">
        <f aca="false">'Item Master'!A14</f>
        <v>MBX</v>
      </c>
      <c r="B16" s="69" t="str">
        <f aca="false">'Item Master'!B14</f>
        <v>Mantra Box</v>
      </c>
      <c r="C16" s="68" t="str">
        <f aca="false">'Item Master'!C14</f>
        <v>Protection &amp; Mantra</v>
      </c>
      <c r="D16" s="70" t="n">
        <f aca="false">IF('Nov-2026'!V17&lt;&gt;"",'Nov-2026'!V17,'Nov-2026'!U17)</f>
        <v>0</v>
      </c>
      <c r="E16" s="70" t="n">
        <f aca="false">IF('Dec-2026'!V17&lt;&gt;"",'Dec-2026'!V17,'Dec-2026'!U17)</f>
        <v>0</v>
      </c>
      <c r="F16" s="70" t="n">
        <f aca="false">IF('Jan-2027'!V17&lt;&gt;"",'Jan-2027'!V17,'Jan-2027'!U17)</f>
        <v>0</v>
      </c>
      <c r="G16" s="70" t="n">
        <f aca="false">IF('Feb-2027'!V17&lt;&gt;"",'Feb-2027'!V17,'Feb-2027'!U17)</f>
        <v>0</v>
      </c>
      <c r="H16" s="70" t="n">
        <f aca="false">IF('Mar-2027'!V17&lt;&gt;"",'Mar-2027'!V17,'Mar-2027'!U17)</f>
        <v>0</v>
      </c>
      <c r="I16" s="70" t="n">
        <f aca="false">IF('Apr-2027'!V17&lt;&gt;"",'Apr-2027'!V17,'Apr-2027'!U17)</f>
        <v>0</v>
      </c>
      <c r="J16" s="70" t="n">
        <f aca="false">IF('May-2027'!V17&lt;&gt;"",'May-2027'!V17,'May-2027'!U17)</f>
        <v>0</v>
      </c>
      <c r="K16" s="70" t="n">
        <f aca="false">IF('Jun-2027'!V17&lt;&gt;"",'Jun-2027'!V17,'Jun-2027'!U17)</f>
        <v>0</v>
      </c>
      <c r="L16" s="70" t="n">
        <f aca="false">IF('Jul-2027'!V17&lt;&gt;"",'Jul-2027'!V17,'Jul-2027'!U17)</f>
        <v>0</v>
      </c>
      <c r="M16" s="70" t="n">
        <f aca="false">IF('Aug-2027'!V17&lt;&gt;"",'Aug-2027'!V17,'Aug-2027'!U17)</f>
        <v>0</v>
      </c>
      <c r="N16" s="70" t="n">
        <f aca="false">IF('Sep-2027'!V17&lt;&gt;"",'Sep-2027'!V17,'Sep-2027'!U17)</f>
        <v>0</v>
      </c>
      <c r="O16" s="70" t="n">
        <f aca="false">IF('Oct-2027'!V17&lt;&gt;"",'Oct-2027'!V17,'Oct-2027'!U17)</f>
        <v>0</v>
      </c>
      <c r="P16" s="70" t="n">
        <f aca="false">N('Nov-2026'!O17)+N('Dec-2026'!O17)+N('Jan-2027'!O17)+N('Feb-2027'!O17)+N('Mar-2027'!O17)+N('Apr-2027'!O17)+N('May-2027'!O17)+N('Jun-2027'!O17)+N('Jul-2027'!O17)+N('Aug-2027'!O17)+N('Sep-2027'!O17)+N('Oct-2027'!O17)</f>
        <v>0</v>
      </c>
      <c r="Q16" s="70" t="n">
        <f aca="false">N('Nov-2026'!P17)+N('Dec-2026'!P17)+N('Jan-2027'!P17)+N('Feb-2027'!P17)+N('Mar-2027'!P17)+N('Apr-2027'!P17)+N('May-2027'!P17)+N('Jun-2027'!P17)+N('Jul-2027'!P17)+N('Aug-2027'!P17)+N('Sep-2027'!P17)+N('Oct-2027'!P17)</f>
        <v>0</v>
      </c>
      <c r="R16" s="70" t="n">
        <f aca="false">N('Nov-2026'!Q17)+N('Dec-2026'!Q17)+N('Jan-2027'!Q17)+N('Feb-2027'!Q17)+N('Mar-2027'!Q17)+N('Apr-2027'!Q17)+N('May-2027'!Q17)+N('Jun-2027'!Q17)+N('Jul-2027'!Q17)+N('Aug-2027'!Q17)+N('Sep-2027'!Q17)+N('Oct-2027'!Q17)</f>
        <v>0</v>
      </c>
      <c r="S16" s="70" t="n">
        <f aca="false">N('Nov-2026'!R17)+N('Dec-2026'!R17)+N('Jan-2027'!R17)+N('Feb-2027'!R17)+N('Mar-2027'!R17)+N('Apr-2027'!R17)+N('May-2027'!R17)+N('Jun-2027'!R17)+N('Jul-2027'!R17)+N('Aug-2027'!R17)+N('Sep-2027'!R17)+N('Oct-2027'!R17)</f>
        <v>0</v>
      </c>
      <c r="T16" s="70" t="n">
        <f aca="false">N('Nov-2026'!S17)+N('Dec-2026'!S17)+N('Jan-2027'!S17)+N('Feb-2027'!S17)+N('Mar-2027'!S17)+N('Apr-2027'!S17)+N('May-2027'!S17)+N('Jun-2027'!S17)+N('Jul-2027'!S17)+N('Aug-2027'!S17)+N('Sep-2027'!S17)+N('Oct-2027'!S17)</f>
        <v>0</v>
      </c>
      <c r="U16" s="70" t="n">
        <f aca="false">SUM(Q16:S16)</f>
        <v>0</v>
      </c>
      <c r="V16" s="71" t="n">
        <f aca="false">IFERROR(U16/MATCH($B$3,$D$6:$O$6,0),0)</f>
        <v>0</v>
      </c>
      <c r="W16" s="70" t="n">
        <f aca="false">CEILING(V16*1.5,10)</f>
        <v>0</v>
      </c>
      <c r="X16" s="70" t="n">
        <f aca="false">'Item Master'!P14</f>
        <v>50</v>
      </c>
      <c r="Y16" s="70" t="n">
        <f aca="false">INDEX(D16:O16,MATCH($B$3,$D$6:$O$6,0))</f>
        <v>0</v>
      </c>
      <c r="Z16" s="70" t="str">
        <f aca="false">IF(Y16&lt;=0,"OUT OF STOCK",IF(Y16&lt;=X16,"REORDER NOW",IF(Y16&lt;=X16*1.5,"LOW","OK")))</f>
        <v>OUT OF STOCK</v>
      </c>
    </row>
    <row r="17" customFormat="false" ht="15" hidden="false" customHeight="false" outlineLevel="0" collapsed="false">
      <c r="A17" s="64" t="str">
        <f aca="false">'Item Master'!A15</f>
        <v>PRG</v>
      </c>
      <c r="B17" s="65" t="str">
        <f aca="false">'Item Master'!B15</f>
        <v>Radha Govinda Photo</v>
      </c>
      <c r="C17" s="64" t="str">
        <f aca="false">'Item Master'!C15</f>
        <v>Deity Photos &amp; Frames</v>
      </c>
      <c r="D17" s="66" t="n">
        <f aca="false">IF('Nov-2026'!V18&lt;&gt;"",'Nov-2026'!V18,'Nov-2026'!U18)</f>
        <v>0</v>
      </c>
      <c r="E17" s="66" t="n">
        <f aca="false">IF('Dec-2026'!V18&lt;&gt;"",'Dec-2026'!V18,'Dec-2026'!U18)</f>
        <v>0</v>
      </c>
      <c r="F17" s="66" t="n">
        <f aca="false">IF('Jan-2027'!V18&lt;&gt;"",'Jan-2027'!V18,'Jan-2027'!U18)</f>
        <v>0</v>
      </c>
      <c r="G17" s="66" t="n">
        <f aca="false">IF('Feb-2027'!V18&lt;&gt;"",'Feb-2027'!V18,'Feb-2027'!U18)</f>
        <v>0</v>
      </c>
      <c r="H17" s="66" t="n">
        <f aca="false">IF('Mar-2027'!V18&lt;&gt;"",'Mar-2027'!V18,'Mar-2027'!U18)</f>
        <v>0</v>
      </c>
      <c r="I17" s="66" t="n">
        <f aca="false">IF('Apr-2027'!V18&lt;&gt;"",'Apr-2027'!V18,'Apr-2027'!U18)</f>
        <v>0</v>
      </c>
      <c r="J17" s="66" t="n">
        <f aca="false">IF('May-2027'!V18&lt;&gt;"",'May-2027'!V18,'May-2027'!U18)</f>
        <v>0</v>
      </c>
      <c r="K17" s="66" t="n">
        <f aca="false">IF('Jun-2027'!V18&lt;&gt;"",'Jun-2027'!V18,'Jun-2027'!U18)</f>
        <v>0</v>
      </c>
      <c r="L17" s="66" t="n">
        <f aca="false">IF('Jul-2027'!V18&lt;&gt;"",'Jul-2027'!V18,'Jul-2027'!U18)</f>
        <v>0</v>
      </c>
      <c r="M17" s="66" t="n">
        <f aca="false">IF('Aug-2027'!V18&lt;&gt;"",'Aug-2027'!V18,'Aug-2027'!U18)</f>
        <v>0</v>
      </c>
      <c r="N17" s="66" t="n">
        <f aca="false">IF('Sep-2027'!V18&lt;&gt;"",'Sep-2027'!V18,'Sep-2027'!U18)</f>
        <v>0</v>
      </c>
      <c r="O17" s="66" t="n">
        <f aca="false">IF('Oct-2027'!V18&lt;&gt;"",'Oct-2027'!V18,'Oct-2027'!U18)</f>
        <v>0</v>
      </c>
      <c r="P17" s="66" t="n">
        <f aca="false">N('Nov-2026'!O18)+N('Dec-2026'!O18)+N('Jan-2027'!O18)+N('Feb-2027'!O18)+N('Mar-2027'!O18)+N('Apr-2027'!O18)+N('May-2027'!O18)+N('Jun-2027'!O18)+N('Jul-2027'!O18)+N('Aug-2027'!O18)+N('Sep-2027'!O18)+N('Oct-2027'!O18)</f>
        <v>0</v>
      </c>
      <c r="Q17" s="66" t="n">
        <f aca="false">N('Nov-2026'!P18)+N('Dec-2026'!P18)+N('Jan-2027'!P18)+N('Feb-2027'!P18)+N('Mar-2027'!P18)+N('Apr-2027'!P18)+N('May-2027'!P18)+N('Jun-2027'!P18)+N('Jul-2027'!P18)+N('Aug-2027'!P18)+N('Sep-2027'!P18)+N('Oct-2027'!P18)</f>
        <v>0</v>
      </c>
      <c r="R17" s="66" t="n">
        <f aca="false">N('Nov-2026'!Q18)+N('Dec-2026'!Q18)+N('Jan-2027'!Q18)+N('Feb-2027'!Q18)+N('Mar-2027'!Q18)+N('Apr-2027'!Q18)+N('May-2027'!Q18)+N('Jun-2027'!Q18)+N('Jul-2027'!Q18)+N('Aug-2027'!Q18)+N('Sep-2027'!Q18)+N('Oct-2027'!Q18)</f>
        <v>0</v>
      </c>
      <c r="S17" s="66" t="n">
        <f aca="false">N('Nov-2026'!R18)+N('Dec-2026'!R18)+N('Jan-2027'!R18)+N('Feb-2027'!R18)+N('Mar-2027'!R18)+N('Apr-2027'!R18)+N('May-2027'!R18)+N('Jun-2027'!R18)+N('Jul-2027'!R18)+N('Aug-2027'!R18)+N('Sep-2027'!R18)+N('Oct-2027'!R18)</f>
        <v>0</v>
      </c>
      <c r="T17" s="66" t="n">
        <f aca="false">N('Nov-2026'!S18)+N('Dec-2026'!S18)+N('Jan-2027'!S18)+N('Feb-2027'!S18)+N('Mar-2027'!S18)+N('Apr-2027'!S18)+N('May-2027'!S18)+N('Jun-2027'!S18)+N('Jul-2027'!S18)+N('Aug-2027'!S18)+N('Sep-2027'!S18)+N('Oct-2027'!S18)</f>
        <v>0</v>
      </c>
      <c r="U17" s="66" t="n">
        <f aca="false">SUM(Q17:S17)</f>
        <v>0</v>
      </c>
      <c r="V17" s="67" t="n">
        <f aca="false">IFERROR(U17/MATCH($B$3,$D$6:$O$6,0),0)</f>
        <v>0</v>
      </c>
      <c r="W17" s="66" t="n">
        <f aca="false">CEILING(V17*1.5,10)</f>
        <v>0</v>
      </c>
      <c r="X17" s="66" t="n">
        <f aca="false">'Item Master'!P15</f>
        <v>200</v>
      </c>
      <c r="Y17" s="66" t="n">
        <f aca="false">INDEX(D17:O17,MATCH($B$3,$D$6:$O$6,0))</f>
        <v>0</v>
      </c>
      <c r="Z17" s="66" t="str">
        <f aca="false">IF(Y17&lt;=0,"OUT OF STOCK",IF(Y17&lt;=X17,"REORDER NOW",IF(Y17&lt;=X17*1.5,"LOW","OK")))</f>
        <v>OUT OF STOCK</v>
      </c>
    </row>
    <row r="18" customFormat="false" ht="15" hidden="false" customHeight="false" outlineLevel="0" collapsed="false">
      <c r="A18" s="68" t="str">
        <f aca="false">'Item Master'!A16</f>
        <v>PHN</v>
      </c>
      <c r="B18" s="69" t="str">
        <f aca="false">'Item Master'!B16</f>
        <v>Hanuman Photo</v>
      </c>
      <c r="C18" s="68" t="str">
        <f aca="false">'Item Master'!C16</f>
        <v>Deity Photos &amp; Frames</v>
      </c>
      <c r="D18" s="70" t="n">
        <f aca="false">IF('Nov-2026'!V19&lt;&gt;"",'Nov-2026'!V19,'Nov-2026'!U19)</f>
        <v>0</v>
      </c>
      <c r="E18" s="70" t="n">
        <f aca="false">IF('Dec-2026'!V19&lt;&gt;"",'Dec-2026'!V19,'Dec-2026'!U19)</f>
        <v>0</v>
      </c>
      <c r="F18" s="70" t="n">
        <f aca="false">IF('Jan-2027'!V19&lt;&gt;"",'Jan-2027'!V19,'Jan-2027'!U19)</f>
        <v>0</v>
      </c>
      <c r="G18" s="70" t="n">
        <f aca="false">IF('Feb-2027'!V19&lt;&gt;"",'Feb-2027'!V19,'Feb-2027'!U19)</f>
        <v>0</v>
      </c>
      <c r="H18" s="70" t="n">
        <f aca="false">IF('Mar-2027'!V19&lt;&gt;"",'Mar-2027'!V19,'Mar-2027'!U19)</f>
        <v>0</v>
      </c>
      <c r="I18" s="70" t="n">
        <f aca="false">IF('Apr-2027'!V19&lt;&gt;"",'Apr-2027'!V19,'Apr-2027'!U19)</f>
        <v>0</v>
      </c>
      <c r="J18" s="70" t="n">
        <f aca="false">IF('May-2027'!V19&lt;&gt;"",'May-2027'!V19,'May-2027'!U19)</f>
        <v>0</v>
      </c>
      <c r="K18" s="70" t="n">
        <f aca="false">IF('Jun-2027'!V19&lt;&gt;"",'Jun-2027'!V19,'Jun-2027'!U19)</f>
        <v>0</v>
      </c>
      <c r="L18" s="70" t="n">
        <f aca="false">IF('Jul-2027'!V19&lt;&gt;"",'Jul-2027'!V19,'Jul-2027'!U19)</f>
        <v>0</v>
      </c>
      <c r="M18" s="70" t="n">
        <f aca="false">IF('Aug-2027'!V19&lt;&gt;"",'Aug-2027'!V19,'Aug-2027'!U19)</f>
        <v>0</v>
      </c>
      <c r="N18" s="70" t="n">
        <f aca="false">IF('Sep-2027'!V19&lt;&gt;"",'Sep-2027'!V19,'Sep-2027'!U19)</f>
        <v>0</v>
      </c>
      <c r="O18" s="70" t="n">
        <f aca="false">IF('Oct-2027'!V19&lt;&gt;"",'Oct-2027'!V19,'Oct-2027'!U19)</f>
        <v>0</v>
      </c>
      <c r="P18" s="70" t="n">
        <f aca="false">N('Nov-2026'!O19)+N('Dec-2026'!O19)+N('Jan-2027'!O19)+N('Feb-2027'!O19)+N('Mar-2027'!O19)+N('Apr-2027'!O19)+N('May-2027'!O19)+N('Jun-2027'!O19)+N('Jul-2027'!O19)+N('Aug-2027'!O19)+N('Sep-2027'!O19)+N('Oct-2027'!O19)</f>
        <v>0</v>
      </c>
      <c r="Q18" s="70" t="n">
        <f aca="false">N('Nov-2026'!P19)+N('Dec-2026'!P19)+N('Jan-2027'!P19)+N('Feb-2027'!P19)+N('Mar-2027'!P19)+N('Apr-2027'!P19)+N('May-2027'!P19)+N('Jun-2027'!P19)+N('Jul-2027'!P19)+N('Aug-2027'!P19)+N('Sep-2027'!P19)+N('Oct-2027'!P19)</f>
        <v>0</v>
      </c>
      <c r="R18" s="70" t="n">
        <f aca="false">N('Nov-2026'!Q19)+N('Dec-2026'!Q19)+N('Jan-2027'!Q19)+N('Feb-2027'!Q19)+N('Mar-2027'!Q19)+N('Apr-2027'!Q19)+N('May-2027'!Q19)+N('Jun-2027'!Q19)+N('Jul-2027'!Q19)+N('Aug-2027'!Q19)+N('Sep-2027'!Q19)+N('Oct-2027'!Q19)</f>
        <v>0</v>
      </c>
      <c r="S18" s="70" t="n">
        <f aca="false">N('Nov-2026'!R19)+N('Dec-2026'!R19)+N('Jan-2027'!R19)+N('Feb-2027'!R19)+N('Mar-2027'!R19)+N('Apr-2027'!R19)+N('May-2027'!R19)+N('Jun-2027'!R19)+N('Jul-2027'!R19)+N('Aug-2027'!R19)+N('Sep-2027'!R19)+N('Oct-2027'!R19)</f>
        <v>0</v>
      </c>
      <c r="T18" s="70" t="n">
        <f aca="false">N('Nov-2026'!S19)+N('Dec-2026'!S19)+N('Jan-2027'!S19)+N('Feb-2027'!S19)+N('Mar-2027'!S19)+N('Apr-2027'!S19)+N('May-2027'!S19)+N('Jun-2027'!S19)+N('Jul-2027'!S19)+N('Aug-2027'!S19)+N('Sep-2027'!S19)+N('Oct-2027'!S19)</f>
        <v>0</v>
      </c>
      <c r="U18" s="70" t="n">
        <f aca="false">SUM(Q18:S18)</f>
        <v>0</v>
      </c>
      <c r="V18" s="71" t="n">
        <f aca="false">IFERROR(U18/MATCH($B$3,$D$6:$O$6,0),0)</f>
        <v>0</v>
      </c>
      <c r="W18" s="70" t="n">
        <f aca="false">CEILING(V18*1.5,10)</f>
        <v>0</v>
      </c>
      <c r="X18" s="70" t="n">
        <f aca="false">'Item Master'!P16</f>
        <v>100</v>
      </c>
      <c r="Y18" s="70" t="n">
        <f aca="false">INDEX(D18:O18,MATCH($B$3,$D$6:$O$6,0))</f>
        <v>0</v>
      </c>
      <c r="Z18" s="70" t="str">
        <f aca="false">IF(Y18&lt;=0,"OUT OF STOCK",IF(Y18&lt;=X18,"REORDER NOW",IF(Y18&lt;=X18*1.5,"LOW","OK")))</f>
        <v>OUT OF STOCK</v>
      </c>
    </row>
    <row r="19" customFormat="false" ht="15" hidden="false" customHeight="false" outlineLevel="0" collapsed="false">
      <c r="A19" s="64" t="str">
        <f aca="false">'Item Master'!A17</f>
        <v>PLN</v>
      </c>
      <c r="B19" s="65" t="str">
        <f aca="false">'Item Master'!B17</f>
        <v>Lakshmi Narasimha Photo</v>
      </c>
      <c r="C19" s="64" t="str">
        <f aca="false">'Item Master'!C17</f>
        <v>Deity Photos &amp; Frames</v>
      </c>
      <c r="D19" s="66" t="n">
        <f aca="false">IF('Nov-2026'!V20&lt;&gt;"",'Nov-2026'!V20,'Nov-2026'!U20)</f>
        <v>0</v>
      </c>
      <c r="E19" s="66" t="n">
        <f aca="false">IF('Dec-2026'!V20&lt;&gt;"",'Dec-2026'!V20,'Dec-2026'!U20)</f>
        <v>0</v>
      </c>
      <c r="F19" s="66" t="n">
        <f aca="false">IF('Jan-2027'!V20&lt;&gt;"",'Jan-2027'!V20,'Jan-2027'!U20)</f>
        <v>0</v>
      </c>
      <c r="G19" s="66" t="n">
        <f aca="false">IF('Feb-2027'!V20&lt;&gt;"",'Feb-2027'!V20,'Feb-2027'!U20)</f>
        <v>0</v>
      </c>
      <c r="H19" s="66" t="n">
        <f aca="false">IF('Mar-2027'!V20&lt;&gt;"",'Mar-2027'!V20,'Mar-2027'!U20)</f>
        <v>0</v>
      </c>
      <c r="I19" s="66" t="n">
        <f aca="false">IF('Apr-2027'!V20&lt;&gt;"",'Apr-2027'!V20,'Apr-2027'!U20)</f>
        <v>0</v>
      </c>
      <c r="J19" s="66" t="n">
        <f aca="false">IF('May-2027'!V20&lt;&gt;"",'May-2027'!V20,'May-2027'!U20)</f>
        <v>0</v>
      </c>
      <c r="K19" s="66" t="n">
        <f aca="false">IF('Jun-2027'!V20&lt;&gt;"",'Jun-2027'!V20,'Jun-2027'!U20)</f>
        <v>0</v>
      </c>
      <c r="L19" s="66" t="n">
        <f aca="false">IF('Jul-2027'!V20&lt;&gt;"",'Jul-2027'!V20,'Jul-2027'!U20)</f>
        <v>0</v>
      </c>
      <c r="M19" s="66" t="n">
        <f aca="false">IF('Aug-2027'!V20&lt;&gt;"",'Aug-2027'!V20,'Aug-2027'!U20)</f>
        <v>0</v>
      </c>
      <c r="N19" s="66" t="n">
        <f aca="false">IF('Sep-2027'!V20&lt;&gt;"",'Sep-2027'!V20,'Sep-2027'!U20)</f>
        <v>0</v>
      </c>
      <c r="O19" s="66" t="n">
        <f aca="false">IF('Oct-2027'!V20&lt;&gt;"",'Oct-2027'!V20,'Oct-2027'!U20)</f>
        <v>0</v>
      </c>
      <c r="P19" s="66" t="n">
        <f aca="false">N('Nov-2026'!O20)+N('Dec-2026'!O20)+N('Jan-2027'!O20)+N('Feb-2027'!O20)+N('Mar-2027'!O20)+N('Apr-2027'!O20)+N('May-2027'!O20)+N('Jun-2027'!O20)+N('Jul-2027'!O20)+N('Aug-2027'!O20)+N('Sep-2027'!O20)+N('Oct-2027'!O20)</f>
        <v>0</v>
      </c>
      <c r="Q19" s="66" t="n">
        <f aca="false">N('Nov-2026'!P20)+N('Dec-2026'!P20)+N('Jan-2027'!P20)+N('Feb-2027'!P20)+N('Mar-2027'!P20)+N('Apr-2027'!P20)+N('May-2027'!P20)+N('Jun-2027'!P20)+N('Jul-2027'!P20)+N('Aug-2027'!P20)+N('Sep-2027'!P20)+N('Oct-2027'!P20)</f>
        <v>0</v>
      </c>
      <c r="R19" s="66" t="n">
        <f aca="false">N('Nov-2026'!Q20)+N('Dec-2026'!Q20)+N('Jan-2027'!Q20)+N('Feb-2027'!Q20)+N('Mar-2027'!Q20)+N('Apr-2027'!Q20)+N('May-2027'!Q20)+N('Jun-2027'!Q20)+N('Jul-2027'!Q20)+N('Aug-2027'!Q20)+N('Sep-2027'!Q20)+N('Oct-2027'!Q20)</f>
        <v>0</v>
      </c>
      <c r="S19" s="66" t="n">
        <f aca="false">N('Nov-2026'!R20)+N('Dec-2026'!R20)+N('Jan-2027'!R20)+N('Feb-2027'!R20)+N('Mar-2027'!R20)+N('Apr-2027'!R20)+N('May-2027'!R20)+N('Jun-2027'!R20)+N('Jul-2027'!R20)+N('Aug-2027'!R20)+N('Sep-2027'!R20)+N('Oct-2027'!R20)</f>
        <v>0</v>
      </c>
      <c r="T19" s="66" t="n">
        <f aca="false">N('Nov-2026'!S20)+N('Dec-2026'!S20)+N('Jan-2027'!S20)+N('Feb-2027'!S20)+N('Mar-2027'!S20)+N('Apr-2027'!S20)+N('May-2027'!S20)+N('Jun-2027'!S20)+N('Jul-2027'!S20)+N('Aug-2027'!S20)+N('Sep-2027'!S20)+N('Oct-2027'!S20)</f>
        <v>0</v>
      </c>
      <c r="U19" s="66" t="n">
        <f aca="false">SUM(Q19:S19)</f>
        <v>0</v>
      </c>
      <c r="V19" s="67" t="n">
        <f aca="false">IFERROR(U19/MATCH($B$3,$D$6:$O$6,0),0)</f>
        <v>0</v>
      </c>
      <c r="W19" s="66" t="n">
        <f aca="false">CEILING(V19*1.5,10)</f>
        <v>0</v>
      </c>
      <c r="X19" s="66" t="n">
        <f aca="false">'Item Master'!P17</f>
        <v>150</v>
      </c>
      <c r="Y19" s="66" t="n">
        <f aca="false">INDEX(D19:O19,MATCH($B$3,$D$6:$O$6,0))</f>
        <v>0</v>
      </c>
      <c r="Z19" s="66" t="str">
        <f aca="false">IF(Y19&lt;=0,"OUT OF STOCK",IF(Y19&lt;=X19,"REORDER NOW",IF(Y19&lt;=X19*1.5,"LOW","OK")))</f>
        <v>OUT OF STOCK</v>
      </c>
    </row>
    <row r="20" customFormat="false" ht="15" hidden="false" customHeight="false" outlineLevel="0" collapsed="false">
      <c r="A20" s="68" t="str">
        <f aca="false">'Item Master'!A18</f>
        <v>CTL</v>
      </c>
      <c r="B20" s="69" t="str">
        <f aca="false">'Item Master'!B18</f>
        <v>Charan Tulasi</v>
      </c>
      <c r="C20" s="68" t="str">
        <f aca="false">'Item Master'!C18</f>
        <v>Kalasha &amp; Yagna Prasadam</v>
      </c>
      <c r="D20" s="70" t="n">
        <f aca="false">IF('Nov-2026'!V21&lt;&gt;"",'Nov-2026'!V21,'Nov-2026'!U21)</f>
        <v>0</v>
      </c>
      <c r="E20" s="70" t="n">
        <f aca="false">IF('Dec-2026'!V21&lt;&gt;"",'Dec-2026'!V21,'Dec-2026'!U21)</f>
        <v>0</v>
      </c>
      <c r="F20" s="70" t="n">
        <f aca="false">IF('Jan-2027'!V21&lt;&gt;"",'Jan-2027'!V21,'Jan-2027'!U21)</f>
        <v>0</v>
      </c>
      <c r="G20" s="70" t="n">
        <f aca="false">IF('Feb-2027'!V21&lt;&gt;"",'Feb-2027'!V21,'Feb-2027'!U21)</f>
        <v>0</v>
      </c>
      <c r="H20" s="70" t="n">
        <f aca="false">IF('Mar-2027'!V21&lt;&gt;"",'Mar-2027'!V21,'Mar-2027'!U21)</f>
        <v>0</v>
      </c>
      <c r="I20" s="70" t="n">
        <f aca="false">IF('Apr-2027'!V21&lt;&gt;"",'Apr-2027'!V21,'Apr-2027'!U21)</f>
        <v>0</v>
      </c>
      <c r="J20" s="70" t="n">
        <f aca="false">IF('May-2027'!V21&lt;&gt;"",'May-2027'!V21,'May-2027'!U21)</f>
        <v>0</v>
      </c>
      <c r="K20" s="70" t="n">
        <f aca="false">IF('Jun-2027'!V21&lt;&gt;"",'Jun-2027'!V21,'Jun-2027'!U21)</f>
        <v>0</v>
      </c>
      <c r="L20" s="70" t="n">
        <f aca="false">IF('Jul-2027'!V21&lt;&gt;"",'Jul-2027'!V21,'Jul-2027'!U21)</f>
        <v>0</v>
      </c>
      <c r="M20" s="70" t="n">
        <f aca="false">IF('Aug-2027'!V21&lt;&gt;"",'Aug-2027'!V21,'Aug-2027'!U21)</f>
        <v>0</v>
      </c>
      <c r="N20" s="70" t="n">
        <f aca="false">IF('Sep-2027'!V21&lt;&gt;"",'Sep-2027'!V21,'Sep-2027'!U21)</f>
        <v>0</v>
      </c>
      <c r="O20" s="70" t="n">
        <f aca="false">IF('Oct-2027'!V21&lt;&gt;"",'Oct-2027'!V21,'Oct-2027'!U21)</f>
        <v>0</v>
      </c>
      <c r="P20" s="70" t="n">
        <f aca="false">N('Nov-2026'!O21)+N('Dec-2026'!O21)+N('Jan-2027'!O21)+N('Feb-2027'!O21)+N('Mar-2027'!O21)+N('Apr-2027'!O21)+N('May-2027'!O21)+N('Jun-2027'!O21)+N('Jul-2027'!O21)+N('Aug-2027'!O21)+N('Sep-2027'!O21)+N('Oct-2027'!O21)</f>
        <v>0</v>
      </c>
      <c r="Q20" s="70" t="n">
        <f aca="false">N('Nov-2026'!P21)+N('Dec-2026'!P21)+N('Jan-2027'!P21)+N('Feb-2027'!P21)+N('Mar-2027'!P21)+N('Apr-2027'!P21)+N('May-2027'!P21)+N('Jun-2027'!P21)+N('Jul-2027'!P21)+N('Aug-2027'!P21)+N('Sep-2027'!P21)+N('Oct-2027'!P21)</f>
        <v>0</v>
      </c>
      <c r="R20" s="70" t="n">
        <f aca="false">N('Nov-2026'!Q21)+N('Dec-2026'!Q21)+N('Jan-2027'!Q21)+N('Feb-2027'!Q21)+N('Mar-2027'!Q21)+N('Apr-2027'!Q21)+N('May-2027'!Q21)+N('Jun-2027'!Q21)+N('Jul-2027'!Q21)+N('Aug-2027'!Q21)+N('Sep-2027'!Q21)+N('Oct-2027'!Q21)</f>
        <v>0</v>
      </c>
      <c r="S20" s="70" t="n">
        <f aca="false">N('Nov-2026'!R21)+N('Dec-2026'!R21)+N('Jan-2027'!R21)+N('Feb-2027'!R21)+N('Mar-2027'!R21)+N('Apr-2027'!R21)+N('May-2027'!R21)+N('Jun-2027'!R21)+N('Jul-2027'!R21)+N('Aug-2027'!R21)+N('Sep-2027'!R21)+N('Oct-2027'!R21)</f>
        <v>0</v>
      </c>
      <c r="T20" s="70" t="n">
        <f aca="false">N('Nov-2026'!S21)+N('Dec-2026'!S21)+N('Jan-2027'!S21)+N('Feb-2027'!S21)+N('Mar-2027'!S21)+N('Apr-2027'!S21)+N('May-2027'!S21)+N('Jun-2027'!S21)+N('Jul-2027'!S21)+N('Aug-2027'!S21)+N('Sep-2027'!S21)+N('Oct-2027'!S21)</f>
        <v>0</v>
      </c>
      <c r="U20" s="70" t="n">
        <f aca="false">SUM(Q20:S20)</f>
        <v>0</v>
      </c>
      <c r="V20" s="71" t="n">
        <f aca="false">IFERROR(U20/MATCH($B$3,$D$6:$O$6,0),0)</f>
        <v>0</v>
      </c>
      <c r="W20" s="70" t="n">
        <f aca="false">CEILING(V20*1.5,10)</f>
        <v>0</v>
      </c>
      <c r="X20" s="70" t="n">
        <f aca="false">'Item Master'!P18</f>
        <v>300</v>
      </c>
      <c r="Y20" s="70" t="n">
        <f aca="false">INDEX(D20:O20,MATCH($B$3,$D$6:$O$6,0))</f>
        <v>0</v>
      </c>
      <c r="Z20" s="70" t="str">
        <f aca="false">IF(Y20&lt;=0,"OUT OF STOCK",IF(Y20&lt;=X20,"REORDER NOW",IF(Y20&lt;=X20*1.5,"LOW","OK")))</f>
        <v>OUT OF STOCK</v>
      </c>
    </row>
    <row r="21" customFormat="false" ht="15" hidden="false" customHeight="false" outlineLevel="0" collapsed="false">
      <c r="A21" s="64" t="str">
        <f aca="false">'Item Master'!A19</f>
        <v>CAM</v>
      </c>
      <c r="B21" s="65" t="str">
        <f aca="false">'Item Master'!B19</f>
        <v>Charanamrita</v>
      </c>
      <c r="C21" s="64" t="str">
        <f aca="false">'Item Master'!C19</f>
        <v>Holy Items &amp; Liquids</v>
      </c>
      <c r="D21" s="66" t="n">
        <f aca="false">IF('Nov-2026'!V22&lt;&gt;"",'Nov-2026'!V22,'Nov-2026'!U22)</f>
        <v>0</v>
      </c>
      <c r="E21" s="66" t="n">
        <f aca="false">IF('Dec-2026'!V22&lt;&gt;"",'Dec-2026'!V22,'Dec-2026'!U22)</f>
        <v>0</v>
      </c>
      <c r="F21" s="66" t="n">
        <f aca="false">IF('Jan-2027'!V22&lt;&gt;"",'Jan-2027'!V22,'Jan-2027'!U22)</f>
        <v>0</v>
      </c>
      <c r="G21" s="66" t="n">
        <f aca="false">IF('Feb-2027'!V22&lt;&gt;"",'Feb-2027'!V22,'Feb-2027'!U22)</f>
        <v>0</v>
      </c>
      <c r="H21" s="66" t="n">
        <f aca="false">IF('Mar-2027'!V22&lt;&gt;"",'Mar-2027'!V22,'Mar-2027'!U22)</f>
        <v>0</v>
      </c>
      <c r="I21" s="66" t="n">
        <f aca="false">IF('Apr-2027'!V22&lt;&gt;"",'Apr-2027'!V22,'Apr-2027'!U22)</f>
        <v>0</v>
      </c>
      <c r="J21" s="66" t="n">
        <f aca="false">IF('May-2027'!V22&lt;&gt;"",'May-2027'!V22,'May-2027'!U22)</f>
        <v>0</v>
      </c>
      <c r="K21" s="66" t="n">
        <f aca="false">IF('Jun-2027'!V22&lt;&gt;"",'Jun-2027'!V22,'Jun-2027'!U22)</f>
        <v>0</v>
      </c>
      <c r="L21" s="66" t="n">
        <f aca="false">IF('Jul-2027'!V22&lt;&gt;"",'Jul-2027'!V22,'Jul-2027'!U22)</f>
        <v>0</v>
      </c>
      <c r="M21" s="66" t="n">
        <f aca="false">IF('Aug-2027'!V22&lt;&gt;"",'Aug-2027'!V22,'Aug-2027'!U22)</f>
        <v>0</v>
      </c>
      <c r="N21" s="66" t="n">
        <f aca="false">IF('Sep-2027'!V22&lt;&gt;"",'Sep-2027'!V22,'Sep-2027'!U22)</f>
        <v>0</v>
      </c>
      <c r="O21" s="66" t="n">
        <f aca="false">IF('Oct-2027'!V22&lt;&gt;"",'Oct-2027'!V22,'Oct-2027'!U22)</f>
        <v>0</v>
      </c>
      <c r="P21" s="66" t="n">
        <f aca="false">N('Nov-2026'!O22)+N('Dec-2026'!O22)+N('Jan-2027'!O22)+N('Feb-2027'!O22)+N('Mar-2027'!O22)+N('Apr-2027'!O22)+N('May-2027'!O22)+N('Jun-2027'!O22)+N('Jul-2027'!O22)+N('Aug-2027'!O22)+N('Sep-2027'!O22)+N('Oct-2027'!O22)</f>
        <v>0</v>
      </c>
      <c r="Q21" s="66" t="n">
        <f aca="false">N('Nov-2026'!P22)+N('Dec-2026'!P22)+N('Jan-2027'!P22)+N('Feb-2027'!P22)+N('Mar-2027'!P22)+N('Apr-2027'!P22)+N('May-2027'!P22)+N('Jun-2027'!P22)+N('Jul-2027'!P22)+N('Aug-2027'!P22)+N('Sep-2027'!P22)+N('Oct-2027'!P22)</f>
        <v>0</v>
      </c>
      <c r="R21" s="66" t="n">
        <f aca="false">N('Nov-2026'!Q22)+N('Dec-2026'!Q22)+N('Jan-2027'!Q22)+N('Feb-2027'!Q22)+N('Mar-2027'!Q22)+N('Apr-2027'!Q22)+N('May-2027'!Q22)+N('Jun-2027'!Q22)+N('Jul-2027'!Q22)+N('Aug-2027'!Q22)+N('Sep-2027'!Q22)+N('Oct-2027'!Q22)</f>
        <v>0</v>
      </c>
      <c r="S21" s="66" t="n">
        <f aca="false">N('Nov-2026'!R22)+N('Dec-2026'!R22)+N('Jan-2027'!R22)+N('Feb-2027'!R22)+N('Mar-2027'!R22)+N('Apr-2027'!R22)+N('May-2027'!R22)+N('Jun-2027'!R22)+N('Jul-2027'!R22)+N('Aug-2027'!R22)+N('Sep-2027'!R22)+N('Oct-2027'!R22)</f>
        <v>0</v>
      </c>
      <c r="T21" s="66" t="n">
        <f aca="false">N('Nov-2026'!S22)+N('Dec-2026'!S22)+N('Jan-2027'!S22)+N('Feb-2027'!S22)+N('Mar-2027'!S22)+N('Apr-2027'!S22)+N('May-2027'!S22)+N('Jun-2027'!S22)+N('Jul-2027'!S22)+N('Aug-2027'!S22)+N('Sep-2027'!S22)+N('Oct-2027'!S22)</f>
        <v>0</v>
      </c>
      <c r="U21" s="66" t="n">
        <f aca="false">SUM(Q21:S21)</f>
        <v>0</v>
      </c>
      <c r="V21" s="67" t="n">
        <f aca="false">IFERROR(U21/MATCH($B$3,$D$6:$O$6,0),0)</f>
        <v>0</v>
      </c>
      <c r="W21" s="66" t="n">
        <f aca="false">CEILING(V21*1.5,10)</f>
        <v>0</v>
      </c>
      <c r="X21" s="66" t="n">
        <f aca="false">'Item Master'!P19</f>
        <v>50</v>
      </c>
      <c r="Y21" s="66" t="n">
        <f aca="false">INDEX(D21:O21,MATCH($B$3,$D$6:$O$6,0))</f>
        <v>0</v>
      </c>
      <c r="Z21" s="66" t="str">
        <f aca="false">IF(Y21&lt;=0,"OUT OF STOCK",IF(Y21&lt;=X21,"REORDER NOW",IF(Y21&lt;=X21*1.5,"LOW","OK")))</f>
        <v>OUT OF STOCK</v>
      </c>
    </row>
    <row r="22" customFormat="false" ht="15" hidden="false" customHeight="false" outlineLevel="0" collapsed="false">
      <c r="A22" s="68" t="str">
        <f aca="false">'Item Master'!A20</f>
        <v>HWR</v>
      </c>
      <c r="B22" s="69" t="str">
        <f aca="false">'Item Master'!B20</f>
        <v>Holy Water from Holy Rivers</v>
      </c>
      <c r="C22" s="68" t="str">
        <f aca="false">'Item Master'!C20</f>
        <v>Holy Items &amp; Liquids</v>
      </c>
      <c r="D22" s="70" t="n">
        <f aca="false">IF('Nov-2026'!V23&lt;&gt;"",'Nov-2026'!V23,'Nov-2026'!U23)</f>
        <v>0</v>
      </c>
      <c r="E22" s="70" t="n">
        <f aca="false">IF('Dec-2026'!V23&lt;&gt;"",'Dec-2026'!V23,'Dec-2026'!U23)</f>
        <v>0</v>
      </c>
      <c r="F22" s="70" t="n">
        <f aca="false">IF('Jan-2027'!V23&lt;&gt;"",'Jan-2027'!V23,'Jan-2027'!U23)</f>
        <v>0</v>
      </c>
      <c r="G22" s="70" t="n">
        <f aca="false">IF('Feb-2027'!V23&lt;&gt;"",'Feb-2027'!V23,'Feb-2027'!U23)</f>
        <v>0</v>
      </c>
      <c r="H22" s="70" t="n">
        <f aca="false">IF('Mar-2027'!V23&lt;&gt;"",'Mar-2027'!V23,'Mar-2027'!U23)</f>
        <v>0</v>
      </c>
      <c r="I22" s="70" t="n">
        <f aca="false">IF('Apr-2027'!V23&lt;&gt;"",'Apr-2027'!V23,'Apr-2027'!U23)</f>
        <v>0</v>
      </c>
      <c r="J22" s="70" t="n">
        <f aca="false">IF('May-2027'!V23&lt;&gt;"",'May-2027'!V23,'May-2027'!U23)</f>
        <v>0</v>
      </c>
      <c r="K22" s="70" t="n">
        <f aca="false">IF('Jun-2027'!V23&lt;&gt;"",'Jun-2027'!V23,'Jun-2027'!U23)</f>
        <v>0</v>
      </c>
      <c r="L22" s="70" t="n">
        <f aca="false">IF('Jul-2027'!V23&lt;&gt;"",'Jul-2027'!V23,'Jul-2027'!U23)</f>
        <v>0</v>
      </c>
      <c r="M22" s="70" t="n">
        <f aca="false">IF('Aug-2027'!V23&lt;&gt;"",'Aug-2027'!V23,'Aug-2027'!U23)</f>
        <v>0</v>
      </c>
      <c r="N22" s="70" t="n">
        <f aca="false">IF('Sep-2027'!V23&lt;&gt;"",'Sep-2027'!V23,'Sep-2027'!U23)</f>
        <v>0</v>
      </c>
      <c r="O22" s="70" t="n">
        <f aca="false">IF('Oct-2027'!V23&lt;&gt;"",'Oct-2027'!V23,'Oct-2027'!U23)</f>
        <v>0</v>
      </c>
      <c r="P22" s="70" t="n">
        <f aca="false">N('Nov-2026'!O23)+N('Dec-2026'!O23)+N('Jan-2027'!O23)+N('Feb-2027'!O23)+N('Mar-2027'!O23)+N('Apr-2027'!O23)+N('May-2027'!O23)+N('Jun-2027'!O23)+N('Jul-2027'!O23)+N('Aug-2027'!O23)+N('Sep-2027'!O23)+N('Oct-2027'!O23)</f>
        <v>0</v>
      </c>
      <c r="Q22" s="70" t="n">
        <f aca="false">N('Nov-2026'!P23)+N('Dec-2026'!P23)+N('Jan-2027'!P23)+N('Feb-2027'!P23)+N('Mar-2027'!P23)+N('Apr-2027'!P23)+N('May-2027'!P23)+N('Jun-2027'!P23)+N('Jul-2027'!P23)+N('Aug-2027'!P23)+N('Sep-2027'!P23)+N('Oct-2027'!P23)</f>
        <v>0</v>
      </c>
      <c r="R22" s="70" t="n">
        <f aca="false">N('Nov-2026'!Q23)+N('Dec-2026'!Q23)+N('Jan-2027'!Q23)+N('Feb-2027'!Q23)+N('Mar-2027'!Q23)+N('Apr-2027'!Q23)+N('May-2027'!Q23)+N('Jun-2027'!Q23)+N('Jul-2027'!Q23)+N('Aug-2027'!Q23)+N('Sep-2027'!Q23)+N('Oct-2027'!Q23)</f>
        <v>0</v>
      </c>
      <c r="S22" s="70" t="n">
        <f aca="false">N('Nov-2026'!R23)+N('Dec-2026'!R23)+N('Jan-2027'!R23)+N('Feb-2027'!R23)+N('Mar-2027'!R23)+N('Apr-2027'!R23)+N('May-2027'!R23)+N('Jun-2027'!R23)+N('Jul-2027'!R23)+N('Aug-2027'!R23)+N('Sep-2027'!R23)+N('Oct-2027'!R23)</f>
        <v>0</v>
      </c>
      <c r="T22" s="70" t="n">
        <f aca="false">N('Nov-2026'!S23)+N('Dec-2026'!S23)+N('Jan-2027'!S23)+N('Feb-2027'!S23)+N('Mar-2027'!S23)+N('Apr-2027'!S23)+N('May-2027'!S23)+N('Jun-2027'!S23)+N('Jul-2027'!S23)+N('Aug-2027'!S23)+N('Sep-2027'!S23)+N('Oct-2027'!S23)</f>
        <v>0</v>
      </c>
      <c r="U22" s="70" t="n">
        <f aca="false">SUM(Q22:S22)</f>
        <v>0</v>
      </c>
      <c r="V22" s="71" t="n">
        <f aca="false">IFERROR(U22/MATCH($B$3,$D$6:$O$6,0),0)</f>
        <v>0</v>
      </c>
      <c r="W22" s="70" t="n">
        <f aca="false">CEILING(V22*1.5,10)</f>
        <v>0</v>
      </c>
      <c r="X22" s="70" t="n">
        <f aca="false">'Item Master'!P20</f>
        <v>100</v>
      </c>
      <c r="Y22" s="70" t="n">
        <f aca="false">INDEX(D22:O22,MATCH($B$3,$D$6:$O$6,0))</f>
        <v>0</v>
      </c>
      <c r="Z22" s="70" t="str">
        <f aca="false">IF(Y22&lt;=0,"OUT OF STOCK",IF(Y22&lt;=X22,"REORDER NOW",IF(Y22&lt;=X22*1.5,"LOW","OK")))</f>
        <v>OUT OF STOCK</v>
      </c>
    </row>
    <row r="23" customFormat="false" ht="15" hidden="false" customHeight="false" outlineLevel="0" collapsed="false">
      <c r="A23" s="64" t="str">
        <f aca="false">'Item Master'!A21</f>
        <v>BPF</v>
      </c>
      <c r="B23" s="65" t="str">
        <f aca="false">'Item Master'!B21</f>
        <v>Badrinath Prasadam Perfume (Attar)</v>
      </c>
      <c r="C23" s="64" t="str">
        <f aca="false">'Item Master'!C21</f>
        <v>Fragrance &amp; Puja</v>
      </c>
      <c r="D23" s="66" t="n">
        <f aca="false">IF('Nov-2026'!V24&lt;&gt;"",'Nov-2026'!V24,'Nov-2026'!U24)</f>
        <v>0</v>
      </c>
      <c r="E23" s="66" t="n">
        <f aca="false">IF('Dec-2026'!V24&lt;&gt;"",'Dec-2026'!V24,'Dec-2026'!U24)</f>
        <v>0</v>
      </c>
      <c r="F23" s="66" t="n">
        <f aca="false">IF('Jan-2027'!V24&lt;&gt;"",'Jan-2027'!V24,'Jan-2027'!U24)</f>
        <v>0</v>
      </c>
      <c r="G23" s="66" t="n">
        <f aca="false">IF('Feb-2027'!V24&lt;&gt;"",'Feb-2027'!V24,'Feb-2027'!U24)</f>
        <v>0</v>
      </c>
      <c r="H23" s="66" t="n">
        <f aca="false">IF('Mar-2027'!V24&lt;&gt;"",'Mar-2027'!V24,'Mar-2027'!U24)</f>
        <v>0</v>
      </c>
      <c r="I23" s="66" t="n">
        <f aca="false">IF('Apr-2027'!V24&lt;&gt;"",'Apr-2027'!V24,'Apr-2027'!U24)</f>
        <v>0</v>
      </c>
      <c r="J23" s="66" t="n">
        <f aca="false">IF('May-2027'!V24&lt;&gt;"",'May-2027'!V24,'May-2027'!U24)</f>
        <v>0</v>
      </c>
      <c r="K23" s="66" t="n">
        <f aca="false">IF('Jun-2027'!V24&lt;&gt;"",'Jun-2027'!V24,'Jun-2027'!U24)</f>
        <v>0</v>
      </c>
      <c r="L23" s="66" t="n">
        <f aca="false">IF('Jul-2027'!V24&lt;&gt;"",'Jul-2027'!V24,'Jul-2027'!U24)</f>
        <v>0</v>
      </c>
      <c r="M23" s="66" t="n">
        <f aca="false">IF('Aug-2027'!V24&lt;&gt;"",'Aug-2027'!V24,'Aug-2027'!U24)</f>
        <v>0</v>
      </c>
      <c r="N23" s="66" t="n">
        <f aca="false">IF('Sep-2027'!V24&lt;&gt;"",'Sep-2027'!V24,'Sep-2027'!U24)</f>
        <v>0</v>
      </c>
      <c r="O23" s="66" t="n">
        <f aca="false">IF('Oct-2027'!V24&lt;&gt;"",'Oct-2027'!V24,'Oct-2027'!U24)</f>
        <v>0</v>
      </c>
      <c r="P23" s="66" t="n">
        <f aca="false">N('Nov-2026'!O24)+N('Dec-2026'!O24)+N('Jan-2027'!O24)+N('Feb-2027'!O24)+N('Mar-2027'!O24)+N('Apr-2027'!O24)+N('May-2027'!O24)+N('Jun-2027'!O24)+N('Jul-2027'!O24)+N('Aug-2027'!O24)+N('Sep-2027'!O24)+N('Oct-2027'!O24)</f>
        <v>0</v>
      </c>
      <c r="Q23" s="66" t="n">
        <f aca="false">N('Nov-2026'!P24)+N('Dec-2026'!P24)+N('Jan-2027'!P24)+N('Feb-2027'!P24)+N('Mar-2027'!P24)+N('Apr-2027'!P24)+N('May-2027'!P24)+N('Jun-2027'!P24)+N('Jul-2027'!P24)+N('Aug-2027'!P24)+N('Sep-2027'!P24)+N('Oct-2027'!P24)</f>
        <v>0</v>
      </c>
      <c r="R23" s="66" t="n">
        <f aca="false">N('Nov-2026'!Q24)+N('Dec-2026'!Q24)+N('Jan-2027'!Q24)+N('Feb-2027'!Q24)+N('Mar-2027'!Q24)+N('Apr-2027'!Q24)+N('May-2027'!Q24)+N('Jun-2027'!Q24)+N('Jul-2027'!Q24)+N('Aug-2027'!Q24)+N('Sep-2027'!Q24)+N('Oct-2027'!Q24)</f>
        <v>0</v>
      </c>
      <c r="S23" s="66" t="n">
        <f aca="false">N('Nov-2026'!R24)+N('Dec-2026'!R24)+N('Jan-2027'!R24)+N('Feb-2027'!R24)+N('Mar-2027'!R24)+N('Apr-2027'!R24)+N('May-2027'!R24)+N('Jun-2027'!R24)+N('Jul-2027'!R24)+N('Aug-2027'!R24)+N('Sep-2027'!R24)+N('Oct-2027'!R24)</f>
        <v>0</v>
      </c>
      <c r="T23" s="66" t="n">
        <f aca="false">N('Nov-2026'!S24)+N('Dec-2026'!S24)+N('Jan-2027'!S24)+N('Feb-2027'!S24)+N('Mar-2027'!S24)+N('Apr-2027'!S24)+N('May-2027'!S24)+N('Jun-2027'!S24)+N('Jul-2027'!S24)+N('Aug-2027'!S24)+N('Sep-2027'!S24)+N('Oct-2027'!S24)</f>
        <v>0</v>
      </c>
      <c r="U23" s="66" t="n">
        <f aca="false">SUM(Q23:S23)</f>
        <v>0</v>
      </c>
      <c r="V23" s="67" t="n">
        <f aca="false">IFERROR(U23/MATCH($B$3,$D$6:$O$6,0),0)</f>
        <v>0</v>
      </c>
      <c r="W23" s="66" t="n">
        <f aca="false">CEILING(V23*1.5,10)</f>
        <v>0</v>
      </c>
      <c r="X23" s="66" t="n">
        <f aca="false">'Item Master'!P21</f>
        <v>50</v>
      </c>
      <c r="Y23" s="66" t="n">
        <f aca="false">INDEX(D23:O23,MATCH($B$3,$D$6:$O$6,0))</f>
        <v>0</v>
      </c>
      <c r="Z23" s="66" t="str">
        <f aca="false">IF(Y23&lt;=0,"OUT OF STOCK",IF(Y23&lt;=X23,"REORDER NOW",IF(Y23&lt;=X23*1.5,"LOW","OK")))</f>
        <v>OUT OF STOCK</v>
      </c>
    </row>
    <row r="24" customFormat="false" ht="15" hidden="false" customHeight="false" outlineLevel="0" collapsed="false">
      <c r="A24" s="68" t="str">
        <f aca="false">'Item Master'!A22</f>
        <v>CHN</v>
      </c>
      <c r="B24" s="69" t="str">
        <f aca="false">'Item Master'!B22</f>
        <v>Chandan Prasadam</v>
      </c>
      <c r="C24" s="68" t="str">
        <f aca="false">'Item Master'!C22</f>
        <v>Kalasha &amp; Yagna Prasadam</v>
      </c>
      <c r="D24" s="70" t="n">
        <f aca="false">IF('Nov-2026'!V25&lt;&gt;"",'Nov-2026'!V25,'Nov-2026'!U25)</f>
        <v>0</v>
      </c>
      <c r="E24" s="70" t="n">
        <f aca="false">IF('Dec-2026'!V25&lt;&gt;"",'Dec-2026'!V25,'Dec-2026'!U25)</f>
        <v>0</v>
      </c>
      <c r="F24" s="70" t="n">
        <f aca="false">IF('Jan-2027'!V25&lt;&gt;"",'Jan-2027'!V25,'Jan-2027'!U25)</f>
        <v>0</v>
      </c>
      <c r="G24" s="70" t="n">
        <f aca="false">IF('Feb-2027'!V25&lt;&gt;"",'Feb-2027'!V25,'Feb-2027'!U25)</f>
        <v>0</v>
      </c>
      <c r="H24" s="70" t="n">
        <f aca="false">IF('Mar-2027'!V25&lt;&gt;"",'Mar-2027'!V25,'Mar-2027'!U25)</f>
        <v>0</v>
      </c>
      <c r="I24" s="70" t="n">
        <f aca="false">IF('Apr-2027'!V25&lt;&gt;"",'Apr-2027'!V25,'Apr-2027'!U25)</f>
        <v>0</v>
      </c>
      <c r="J24" s="70" t="n">
        <f aca="false">IF('May-2027'!V25&lt;&gt;"",'May-2027'!V25,'May-2027'!U25)</f>
        <v>0</v>
      </c>
      <c r="K24" s="70" t="n">
        <f aca="false">IF('Jun-2027'!V25&lt;&gt;"",'Jun-2027'!V25,'Jun-2027'!U25)</f>
        <v>0</v>
      </c>
      <c r="L24" s="70" t="n">
        <f aca="false">IF('Jul-2027'!V25&lt;&gt;"",'Jul-2027'!V25,'Jul-2027'!U25)</f>
        <v>0</v>
      </c>
      <c r="M24" s="70" t="n">
        <f aca="false">IF('Aug-2027'!V25&lt;&gt;"",'Aug-2027'!V25,'Aug-2027'!U25)</f>
        <v>0</v>
      </c>
      <c r="N24" s="70" t="n">
        <f aca="false">IF('Sep-2027'!V25&lt;&gt;"",'Sep-2027'!V25,'Sep-2027'!U25)</f>
        <v>0</v>
      </c>
      <c r="O24" s="70" t="n">
        <f aca="false">IF('Oct-2027'!V25&lt;&gt;"",'Oct-2027'!V25,'Oct-2027'!U25)</f>
        <v>0</v>
      </c>
      <c r="P24" s="70" t="n">
        <f aca="false">N('Nov-2026'!O25)+N('Dec-2026'!O25)+N('Jan-2027'!O25)+N('Feb-2027'!O25)+N('Mar-2027'!O25)+N('Apr-2027'!O25)+N('May-2027'!O25)+N('Jun-2027'!O25)+N('Jul-2027'!O25)+N('Aug-2027'!O25)+N('Sep-2027'!O25)+N('Oct-2027'!O25)</f>
        <v>0</v>
      </c>
      <c r="Q24" s="70" t="n">
        <f aca="false">N('Nov-2026'!P25)+N('Dec-2026'!P25)+N('Jan-2027'!P25)+N('Feb-2027'!P25)+N('Mar-2027'!P25)+N('Apr-2027'!P25)+N('May-2027'!P25)+N('Jun-2027'!P25)+N('Jul-2027'!P25)+N('Aug-2027'!P25)+N('Sep-2027'!P25)+N('Oct-2027'!P25)</f>
        <v>0</v>
      </c>
      <c r="R24" s="70" t="n">
        <f aca="false">N('Nov-2026'!Q25)+N('Dec-2026'!Q25)+N('Jan-2027'!Q25)+N('Feb-2027'!Q25)+N('Mar-2027'!Q25)+N('Apr-2027'!Q25)+N('May-2027'!Q25)+N('Jun-2027'!Q25)+N('Jul-2027'!Q25)+N('Aug-2027'!Q25)+N('Sep-2027'!Q25)+N('Oct-2027'!Q25)</f>
        <v>0</v>
      </c>
      <c r="S24" s="70" t="n">
        <f aca="false">N('Nov-2026'!R25)+N('Dec-2026'!R25)+N('Jan-2027'!R25)+N('Feb-2027'!R25)+N('Mar-2027'!R25)+N('Apr-2027'!R25)+N('May-2027'!R25)+N('Jun-2027'!R25)+N('Jul-2027'!R25)+N('Aug-2027'!R25)+N('Sep-2027'!R25)+N('Oct-2027'!R25)</f>
        <v>0</v>
      </c>
      <c r="T24" s="70" t="n">
        <f aca="false">N('Nov-2026'!S25)+N('Dec-2026'!S25)+N('Jan-2027'!S25)+N('Feb-2027'!S25)+N('Mar-2027'!S25)+N('Apr-2027'!S25)+N('May-2027'!S25)+N('Jun-2027'!S25)+N('Jul-2027'!S25)+N('Aug-2027'!S25)+N('Sep-2027'!S25)+N('Oct-2027'!S25)</f>
        <v>0</v>
      </c>
      <c r="U24" s="70" t="n">
        <f aca="false">SUM(Q24:S24)</f>
        <v>0</v>
      </c>
      <c r="V24" s="71" t="n">
        <f aca="false">IFERROR(U24/MATCH($B$3,$D$6:$O$6,0),0)</f>
        <v>0</v>
      </c>
      <c r="W24" s="70" t="n">
        <f aca="false">CEILING(V24*1.5,10)</f>
        <v>0</v>
      </c>
      <c r="X24" s="70" t="n">
        <f aca="false">'Item Master'!P22</f>
        <v>200</v>
      </c>
      <c r="Y24" s="70" t="n">
        <f aca="false">INDEX(D24:O24,MATCH($B$3,$D$6:$O$6,0))</f>
        <v>0</v>
      </c>
      <c r="Z24" s="70" t="str">
        <f aca="false">IF(Y24&lt;=0,"OUT OF STOCK",IF(Y24&lt;=X24,"REORDER NOW",IF(Y24&lt;=X24*1.5,"LOW","OK")))</f>
        <v>OUT OF STOCK</v>
      </c>
    </row>
    <row r="25" customFormat="false" ht="15" hidden="false" customHeight="false" outlineLevel="0" collapsed="false">
      <c r="A25" s="64" t="str">
        <f aca="false">'Item Master'!A23</f>
        <v>AGR</v>
      </c>
      <c r="B25" s="65" t="str">
        <f aca="false">'Item Master'!B23</f>
        <v>Agarbathi</v>
      </c>
      <c r="C25" s="64" t="str">
        <f aca="false">'Item Master'!C23</f>
        <v>Fragrance &amp; Puja</v>
      </c>
      <c r="D25" s="66" t="n">
        <f aca="false">IF('Nov-2026'!V26&lt;&gt;"",'Nov-2026'!V26,'Nov-2026'!U26)</f>
        <v>0</v>
      </c>
      <c r="E25" s="66" t="n">
        <f aca="false">IF('Dec-2026'!V26&lt;&gt;"",'Dec-2026'!V26,'Dec-2026'!U26)</f>
        <v>0</v>
      </c>
      <c r="F25" s="66" t="n">
        <f aca="false">IF('Jan-2027'!V26&lt;&gt;"",'Jan-2027'!V26,'Jan-2027'!U26)</f>
        <v>0</v>
      </c>
      <c r="G25" s="66" t="n">
        <f aca="false">IF('Feb-2027'!V26&lt;&gt;"",'Feb-2027'!V26,'Feb-2027'!U26)</f>
        <v>0</v>
      </c>
      <c r="H25" s="66" t="n">
        <f aca="false">IF('Mar-2027'!V26&lt;&gt;"",'Mar-2027'!V26,'Mar-2027'!U26)</f>
        <v>0</v>
      </c>
      <c r="I25" s="66" t="n">
        <f aca="false">IF('Apr-2027'!V26&lt;&gt;"",'Apr-2027'!V26,'Apr-2027'!U26)</f>
        <v>0</v>
      </c>
      <c r="J25" s="66" t="n">
        <f aca="false">IF('May-2027'!V26&lt;&gt;"",'May-2027'!V26,'May-2027'!U26)</f>
        <v>0</v>
      </c>
      <c r="K25" s="66" t="n">
        <f aca="false">IF('Jun-2027'!V26&lt;&gt;"",'Jun-2027'!V26,'Jun-2027'!U26)</f>
        <v>0</v>
      </c>
      <c r="L25" s="66" t="n">
        <f aca="false">IF('Jul-2027'!V26&lt;&gt;"",'Jul-2027'!V26,'Jul-2027'!U26)</f>
        <v>0</v>
      </c>
      <c r="M25" s="66" t="n">
        <f aca="false">IF('Aug-2027'!V26&lt;&gt;"",'Aug-2027'!V26,'Aug-2027'!U26)</f>
        <v>0</v>
      </c>
      <c r="N25" s="66" t="n">
        <f aca="false">IF('Sep-2027'!V26&lt;&gt;"",'Sep-2027'!V26,'Sep-2027'!U26)</f>
        <v>0</v>
      </c>
      <c r="O25" s="66" t="n">
        <f aca="false">IF('Oct-2027'!V26&lt;&gt;"",'Oct-2027'!V26,'Oct-2027'!U26)</f>
        <v>0</v>
      </c>
      <c r="P25" s="66" t="n">
        <f aca="false">N('Nov-2026'!O26)+N('Dec-2026'!O26)+N('Jan-2027'!O26)+N('Feb-2027'!O26)+N('Mar-2027'!O26)+N('Apr-2027'!O26)+N('May-2027'!O26)+N('Jun-2027'!O26)+N('Jul-2027'!O26)+N('Aug-2027'!O26)+N('Sep-2027'!O26)+N('Oct-2027'!O26)</f>
        <v>0</v>
      </c>
      <c r="Q25" s="66" t="n">
        <f aca="false">N('Nov-2026'!P26)+N('Dec-2026'!P26)+N('Jan-2027'!P26)+N('Feb-2027'!P26)+N('Mar-2027'!P26)+N('Apr-2027'!P26)+N('May-2027'!P26)+N('Jun-2027'!P26)+N('Jul-2027'!P26)+N('Aug-2027'!P26)+N('Sep-2027'!P26)+N('Oct-2027'!P26)</f>
        <v>0</v>
      </c>
      <c r="R25" s="66" t="n">
        <f aca="false">N('Nov-2026'!Q26)+N('Dec-2026'!Q26)+N('Jan-2027'!Q26)+N('Feb-2027'!Q26)+N('Mar-2027'!Q26)+N('Apr-2027'!Q26)+N('May-2027'!Q26)+N('Jun-2027'!Q26)+N('Jul-2027'!Q26)+N('Aug-2027'!Q26)+N('Sep-2027'!Q26)+N('Oct-2027'!Q26)</f>
        <v>0</v>
      </c>
      <c r="S25" s="66" t="n">
        <f aca="false">N('Nov-2026'!R26)+N('Dec-2026'!R26)+N('Jan-2027'!R26)+N('Feb-2027'!R26)+N('Mar-2027'!R26)+N('Apr-2027'!R26)+N('May-2027'!R26)+N('Jun-2027'!R26)+N('Jul-2027'!R26)+N('Aug-2027'!R26)+N('Sep-2027'!R26)+N('Oct-2027'!R26)</f>
        <v>0</v>
      </c>
      <c r="T25" s="66" t="n">
        <f aca="false">N('Nov-2026'!S26)+N('Dec-2026'!S26)+N('Jan-2027'!S26)+N('Feb-2027'!S26)+N('Mar-2027'!S26)+N('Apr-2027'!S26)+N('May-2027'!S26)+N('Jun-2027'!S26)+N('Jul-2027'!S26)+N('Aug-2027'!S26)+N('Sep-2027'!S26)+N('Oct-2027'!S26)</f>
        <v>0</v>
      </c>
      <c r="U25" s="66" t="n">
        <f aca="false">SUM(Q25:S25)</f>
        <v>0</v>
      </c>
      <c r="V25" s="67" t="n">
        <f aca="false">IFERROR(U25/MATCH($B$3,$D$6:$O$6,0),0)</f>
        <v>0</v>
      </c>
      <c r="W25" s="66" t="n">
        <f aca="false">CEILING(V25*1.5,10)</f>
        <v>0</v>
      </c>
      <c r="X25" s="66" t="n">
        <f aca="false">'Item Master'!P23</f>
        <v>200</v>
      </c>
      <c r="Y25" s="66" t="n">
        <f aca="false">INDEX(D25:O25,MATCH($B$3,$D$6:$O$6,0))</f>
        <v>0</v>
      </c>
      <c r="Z25" s="66" t="str">
        <f aca="false">IF(Y25&lt;=0,"OUT OF STOCK",IF(Y25&lt;=X25,"REORDER NOW",IF(Y25&lt;=X25*1.5,"LOW","OK")))</f>
        <v>OUT OF STOCK</v>
      </c>
    </row>
    <row r="26" customFormat="false" ht="15" hidden="false" customHeight="false" outlineLevel="0" collapsed="false">
      <c r="A26" s="68" t="str">
        <f aca="false">'Item Master'!A24</f>
        <v>BKS</v>
      </c>
      <c r="B26" s="69" t="str">
        <f aca="false">'Item Master'!B24</f>
        <v>Book (small booklet)</v>
      </c>
      <c r="C26" s="68" t="str">
        <f aca="false">'Item Master'!C24</f>
        <v>Books &amp; Media</v>
      </c>
      <c r="D26" s="70" t="n">
        <f aca="false">IF('Nov-2026'!V27&lt;&gt;"",'Nov-2026'!V27,'Nov-2026'!U27)</f>
        <v>0</v>
      </c>
      <c r="E26" s="70" t="n">
        <f aca="false">IF('Dec-2026'!V27&lt;&gt;"",'Dec-2026'!V27,'Dec-2026'!U27)</f>
        <v>0</v>
      </c>
      <c r="F26" s="70" t="n">
        <f aca="false">IF('Jan-2027'!V27&lt;&gt;"",'Jan-2027'!V27,'Jan-2027'!U27)</f>
        <v>0</v>
      </c>
      <c r="G26" s="70" t="n">
        <f aca="false">IF('Feb-2027'!V27&lt;&gt;"",'Feb-2027'!V27,'Feb-2027'!U27)</f>
        <v>0</v>
      </c>
      <c r="H26" s="70" t="n">
        <f aca="false">IF('Mar-2027'!V27&lt;&gt;"",'Mar-2027'!V27,'Mar-2027'!U27)</f>
        <v>0</v>
      </c>
      <c r="I26" s="70" t="n">
        <f aca="false">IF('Apr-2027'!V27&lt;&gt;"",'Apr-2027'!V27,'Apr-2027'!U27)</f>
        <v>0</v>
      </c>
      <c r="J26" s="70" t="n">
        <f aca="false">IF('May-2027'!V27&lt;&gt;"",'May-2027'!V27,'May-2027'!U27)</f>
        <v>0</v>
      </c>
      <c r="K26" s="70" t="n">
        <f aca="false">IF('Jun-2027'!V27&lt;&gt;"",'Jun-2027'!V27,'Jun-2027'!U27)</f>
        <v>0</v>
      </c>
      <c r="L26" s="70" t="n">
        <f aca="false">IF('Jul-2027'!V27&lt;&gt;"",'Jul-2027'!V27,'Jul-2027'!U27)</f>
        <v>0</v>
      </c>
      <c r="M26" s="70" t="n">
        <f aca="false">IF('Aug-2027'!V27&lt;&gt;"",'Aug-2027'!V27,'Aug-2027'!U27)</f>
        <v>0</v>
      </c>
      <c r="N26" s="70" t="n">
        <f aca="false">IF('Sep-2027'!V27&lt;&gt;"",'Sep-2027'!V27,'Sep-2027'!U27)</f>
        <v>0</v>
      </c>
      <c r="O26" s="70" t="n">
        <f aca="false">IF('Oct-2027'!V27&lt;&gt;"",'Oct-2027'!V27,'Oct-2027'!U27)</f>
        <v>0</v>
      </c>
      <c r="P26" s="70" t="n">
        <f aca="false">N('Nov-2026'!O27)+N('Dec-2026'!O27)+N('Jan-2027'!O27)+N('Feb-2027'!O27)+N('Mar-2027'!O27)+N('Apr-2027'!O27)+N('May-2027'!O27)+N('Jun-2027'!O27)+N('Jul-2027'!O27)+N('Aug-2027'!O27)+N('Sep-2027'!O27)+N('Oct-2027'!O27)</f>
        <v>0</v>
      </c>
      <c r="Q26" s="70" t="n">
        <f aca="false">N('Nov-2026'!P27)+N('Dec-2026'!P27)+N('Jan-2027'!P27)+N('Feb-2027'!P27)+N('Mar-2027'!P27)+N('Apr-2027'!P27)+N('May-2027'!P27)+N('Jun-2027'!P27)+N('Jul-2027'!P27)+N('Aug-2027'!P27)+N('Sep-2027'!P27)+N('Oct-2027'!P27)</f>
        <v>0</v>
      </c>
      <c r="R26" s="70" t="n">
        <f aca="false">N('Nov-2026'!Q27)+N('Dec-2026'!Q27)+N('Jan-2027'!Q27)+N('Feb-2027'!Q27)+N('Mar-2027'!Q27)+N('Apr-2027'!Q27)+N('May-2027'!Q27)+N('Jun-2027'!Q27)+N('Jul-2027'!Q27)+N('Aug-2027'!Q27)+N('Sep-2027'!Q27)+N('Oct-2027'!Q27)</f>
        <v>0</v>
      </c>
      <c r="S26" s="70" t="n">
        <f aca="false">N('Nov-2026'!R27)+N('Dec-2026'!R27)+N('Jan-2027'!R27)+N('Feb-2027'!R27)+N('Mar-2027'!R27)+N('Apr-2027'!R27)+N('May-2027'!R27)+N('Jun-2027'!R27)+N('Jul-2027'!R27)+N('Aug-2027'!R27)+N('Sep-2027'!R27)+N('Oct-2027'!R27)</f>
        <v>0</v>
      </c>
      <c r="T26" s="70" t="n">
        <f aca="false">N('Nov-2026'!S27)+N('Dec-2026'!S27)+N('Jan-2027'!S27)+N('Feb-2027'!S27)+N('Mar-2027'!S27)+N('Apr-2027'!S27)+N('May-2027'!S27)+N('Jun-2027'!S27)+N('Jul-2027'!S27)+N('Aug-2027'!S27)+N('Sep-2027'!S27)+N('Oct-2027'!S27)</f>
        <v>0</v>
      </c>
      <c r="U26" s="70" t="n">
        <f aca="false">SUM(Q26:S26)</f>
        <v>0</v>
      </c>
      <c r="V26" s="71" t="n">
        <f aca="false">IFERROR(U26/MATCH($B$3,$D$6:$O$6,0),0)</f>
        <v>0</v>
      </c>
      <c r="W26" s="70" t="n">
        <f aca="false">CEILING(V26*1.5,10)</f>
        <v>0</v>
      </c>
      <c r="X26" s="70" t="n">
        <f aca="false">'Item Master'!P24</f>
        <v>200</v>
      </c>
      <c r="Y26" s="70" t="n">
        <f aca="false">INDEX(D26:O26,MATCH($B$3,$D$6:$O$6,0))</f>
        <v>0</v>
      </c>
      <c r="Z26" s="70" t="str">
        <f aca="false">IF(Y26&lt;=0,"OUT OF STOCK",IF(Y26&lt;=X26,"REORDER NOW",IF(Y26&lt;=X26*1.5,"LOW","OK")))</f>
        <v>OUT OF STOCK</v>
      </c>
    </row>
    <row r="27" customFormat="false" ht="15" hidden="false" customHeight="false" outlineLevel="0" collapsed="false">
      <c r="A27" s="64" t="str">
        <f aca="false">'Item Master'!A25</f>
        <v>JML</v>
      </c>
      <c r="B27" s="65" t="str">
        <f aca="false">'Item Master'!B25</f>
        <v>Japa Mala (Tulasi beads)</v>
      </c>
      <c r="C27" s="64" t="str">
        <f aca="false">'Item Master'!C25</f>
        <v>Japa &amp; Spiritual</v>
      </c>
      <c r="D27" s="66" t="n">
        <f aca="false">IF('Nov-2026'!V28&lt;&gt;"",'Nov-2026'!V28,'Nov-2026'!U28)</f>
        <v>0</v>
      </c>
      <c r="E27" s="66" t="n">
        <f aca="false">IF('Dec-2026'!V28&lt;&gt;"",'Dec-2026'!V28,'Dec-2026'!U28)</f>
        <v>0</v>
      </c>
      <c r="F27" s="66" t="n">
        <f aca="false">IF('Jan-2027'!V28&lt;&gt;"",'Jan-2027'!V28,'Jan-2027'!U28)</f>
        <v>0</v>
      </c>
      <c r="G27" s="66" t="n">
        <f aca="false">IF('Feb-2027'!V28&lt;&gt;"",'Feb-2027'!V28,'Feb-2027'!U28)</f>
        <v>0</v>
      </c>
      <c r="H27" s="66" t="n">
        <f aca="false">IF('Mar-2027'!V28&lt;&gt;"",'Mar-2027'!V28,'Mar-2027'!U28)</f>
        <v>0</v>
      </c>
      <c r="I27" s="66" t="n">
        <f aca="false">IF('Apr-2027'!V28&lt;&gt;"",'Apr-2027'!V28,'Apr-2027'!U28)</f>
        <v>0</v>
      </c>
      <c r="J27" s="66" t="n">
        <f aca="false">IF('May-2027'!V28&lt;&gt;"",'May-2027'!V28,'May-2027'!U28)</f>
        <v>0</v>
      </c>
      <c r="K27" s="66" t="n">
        <f aca="false">IF('Jun-2027'!V28&lt;&gt;"",'Jun-2027'!V28,'Jun-2027'!U28)</f>
        <v>0</v>
      </c>
      <c r="L27" s="66" t="n">
        <f aca="false">IF('Jul-2027'!V28&lt;&gt;"",'Jul-2027'!V28,'Jul-2027'!U28)</f>
        <v>0</v>
      </c>
      <c r="M27" s="66" t="n">
        <f aca="false">IF('Aug-2027'!V28&lt;&gt;"",'Aug-2027'!V28,'Aug-2027'!U28)</f>
        <v>0</v>
      </c>
      <c r="N27" s="66" t="n">
        <f aca="false">IF('Sep-2027'!V28&lt;&gt;"",'Sep-2027'!V28,'Sep-2027'!U28)</f>
        <v>0</v>
      </c>
      <c r="O27" s="66" t="n">
        <f aca="false">IF('Oct-2027'!V28&lt;&gt;"",'Oct-2027'!V28,'Oct-2027'!U28)</f>
        <v>0</v>
      </c>
      <c r="P27" s="66" t="n">
        <f aca="false">N('Nov-2026'!O28)+N('Dec-2026'!O28)+N('Jan-2027'!O28)+N('Feb-2027'!O28)+N('Mar-2027'!O28)+N('Apr-2027'!O28)+N('May-2027'!O28)+N('Jun-2027'!O28)+N('Jul-2027'!O28)+N('Aug-2027'!O28)+N('Sep-2027'!O28)+N('Oct-2027'!O28)</f>
        <v>0</v>
      </c>
      <c r="Q27" s="66" t="n">
        <f aca="false">N('Nov-2026'!P28)+N('Dec-2026'!P28)+N('Jan-2027'!P28)+N('Feb-2027'!P28)+N('Mar-2027'!P28)+N('Apr-2027'!P28)+N('May-2027'!P28)+N('Jun-2027'!P28)+N('Jul-2027'!P28)+N('Aug-2027'!P28)+N('Sep-2027'!P28)+N('Oct-2027'!P28)</f>
        <v>0</v>
      </c>
      <c r="R27" s="66" t="n">
        <f aca="false">N('Nov-2026'!Q28)+N('Dec-2026'!Q28)+N('Jan-2027'!Q28)+N('Feb-2027'!Q28)+N('Mar-2027'!Q28)+N('Apr-2027'!Q28)+N('May-2027'!Q28)+N('Jun-2027'!Q28)+N('Jul-2027'!Q28)+N('Aug-2027'!Q28)+N('Sep-2027'!Q28)+N('Oct-2027'!Q28)</f>
        <v>0</v>
      </c>
      <c r="S27" s="66" t="n">
        <f aca="false">N('Nov-2026'!R28)+N('Dec-2026'!R28)+N('Jan-2027'!R28)+N('Feb-2027'!R28)+N('Mar-2027'!R28)+N('Apr-2027'!R28)+N('May-2027'!R28)+N('Jun-2027'!R28)+N('Jul-2027'!R28)+N('Aug-2027'!R28)+N('Sep-2027'!R28)+N('Oct-2027'!R28)</f>
        <v>0</v>
      </c>
      <c r="T27" s="66" t="n">
        <f aca="false">N('Nov-2026'!S28)+N('Dec-2026'!S28)+N('Jan-2027'!S28)+N('Feb-2027'!S28)+N('Mar-2027'!S28)+N('Apr-2027'!S28)+N('May-2027'!S28)+N('Jun-2027'!S28)+N('Jul-2027'!S28)+N('Aug-2027'!S28)+N('Sep-2027'!S28)+N('Oct-2027'!S28)</f>
        <v>0</v>
      </c>
      <c r="U27" s="66" t="n">
        <f aca="false">SUM(Q27:S27)</f>
        <v>0</v>
      </c>
      <c r="V27" s="67" t="n">
        <f aca="false">IFERROR(U27/MATCH($B$3,$D$6:$O$6,0),0)</f>
        <v>0</v>
      </c>
      <c r="W27" s="66" t="n">
        <f aca="false">CEILING(V27*1.5,10)</f>
        <v>0</v>
      </c>
      <c r="X27" s="66" t="n">
        <f aca="false">'Item Master'!P25</f>
        <v>100</v>
      </c>
      <c r="Y27" s="66" t="n">
        <f aca="false">INDEX(D27:O27,MATCH($B$3,$D$6:$O$6,0))</f>
        <v>0</v>
      </c>
      <c r="Z27" s="66" t="str">
        <f aca="false">IF(Y27&lt;=0,"OUT OF STOCK",IF(Y27&lt;=X27,"REORDER NOW",IF(Y27&lt;=X27*1.5,"LOW","OK")))</f>
        <v>OUT OF STOCK</v>
      </c>
    </row>
    <row r="28" customFormat="false" ht="15" hidden="false" customHeight="false" outlineLevel="0" collapsed="false">
      <c r="A28" s="68" t="str">
        <f aca="false">'Item Master'!A26</f>
        <v>JBG</v>
      </c>
      <c r="B28" s="69" t="str">
        <f aca="false">'Item Master'!B26</f>
        <v>Japa Bag</v>
      </c>
      <c r="C28" s="68" t="str">
        <f aca="false">'Item Master'!C26</f>
        <v>Japa &amp; Spiritual</v>
      </c>
      <c r="D28" s="70" t="n">
        <f aca="false">IF('Nov-2026'!V29&lt;&gt;"",'Nov-2026'!V29,'Nov-2026'!U29)</f>
        <v>0</v>
      </c>
      <c r="E28" s="70" t="n">
        <f aca="false">IF('Dec-2026'!V29&lt;&gt;"",'Dec-2026'!V29,'Dec-2026'!U29)</f>
        <v>0</v>
      </c>
      <c r="F28" s="70" t="n">
        <f aca="false">IF('Jan-2027'!V29&lt;&gt;"",'Jan-2027'!V29,'Jan-2027'!U29)</f>
        <v>0</v>
      </c>
      <c r="G28" s="70" t="n">
        <f aca="false">IF('Feb-2027'!V29&lt;&gt;"",'Feb-2027'!V29,'Feb-2027'!U29)</f>
        <v>0</v>
      </c>
      <c r="H28" s="70" t="n">
        <f aca="false">IF('Mar-2027'!V29&lt;&gt;"",'Mar-2027'!V29,'Mar-2027'!U29)</f>
        <v>0</v>
      </c>
      <c r="I28" s="70" t="n">
        <f aca="false">IF('Apr-2027'!V29&lt;&gt;"",'Apr-2027'!V29,'Apr-2027'!U29)</f>
        <v>0</v>
      </c>
      <c r="J28" s="70" t="n">
        <f aca="false">IF('May-2027'!V29&lt;&gt;"",'May-2027'!V29,'May-2027'!U29)</f>
        <v>0</v>
      </c>
      <c r="K28" s="70" t="n">
        <f aca="false">IF('Jun-2027'!V29&lt;&gt;"",'Jun-2027'!V29,'Jun-2027'!U29)</f>
        <v>0</v>
      </c>
      <c r="L28" s="70" t="n">
        <f aca="false">IF('Jul-2027'!V29&lt;&gt;"",'Jul-2027'!V29,'Jul-2027'!U29)</f>
        <v>0</v>
      </c>
      <c r="M28" s="70" t="n">
        <f aca="false">IF('Aug-2027'!V29&lt;&gt;"",'Aug-2027'!V29,'Aug-2027'!U29)</f>
        <v>0</v>
      </c>
      <c r="N28" s="70" t="n">
        <f aca="false">IF('Sep-2027'!V29&lt;&gt;"",'Sep-2027'!V29,'Sep-2027'!U29)</f>
        <v>0</v>
      </c>
      <c r="O28" s="70" t="n">
        <f aca="false">IF('Oct-2027'!V29&lt;&gt;"",'Oct-2027'!V29,'Oct-2027'!U29)</f>
        <v>0</v>
      </c>
      <c r="P28" s="70" t="n">
        <f aca="false">N('Nov-2026'!O29)+N('Dec-2026'!O29)+N('Jan-2027'!O29)+N('Feb-2027'!O29)+N('Mar-2027'!O29)+N('Apr-2027'!O29)+N('May-2027'!O29)+N('Jun-2027'!O29)+N('Jul-2027'!O29)+N('Aug-2027'!O29)+N('Sep-2027'!O29)+N('Oct-2027'!O29)</f>
        <v>0</v>
      </c>
      <c r="Q28" s="70" t="n">
        <f aca="false">N('Nov-2026'!P29)+N('Dec-2026'!P29)+N('Jan-2027'!P29)+N('Feb-2027'!P29)+N('Mar-2027'!P29)+N('Apr-2027'!P29)+N('May-2027'!P29)+N('Jun-2027'!P29)+N('Jul-2027'!P29)+N('Aug-2027'!P29)+N('Sep-2027'!P29)+N('Oct-2027'!P29)</f>
        <v>0</v>
      </c>
      <c r="R28" s="70" t="n">
        <f aca="false">N('Nov-2026'!Q29)+N('Dec-2026'!Q29)+N('Jan-2027'!Q29)+N('Feb-2027'!Q29)+N('Mar-2027'!Q29)+N('Apr-2027'!Q29)+N('May-2027'!Q29)+N('Jun-2027'!Q29)+N('Jul-2027'!Q29)+N('Aug-2027'!Q29)+N('Sep-2027'!Q29)+N('Oct-2027'!Q29)</f>
        <v>0</v>
      </c>
      <c r="S28" s="70" t="n">
        <f aca="false">N('Nov-2026'!R29)+N('Dec-2026'!R29)+N('Jan-2027'!R29)+N('Feb-2027'!R29)+N('Mar-2027'!R29)+N('Apr-2027'!R29)+N('May-2027'!R29)+N('Jun-2027'!R29)+N('Jul-2027'!R29)+N('Aug-2027'!R29)+N('Sep-2027'!R29)+N('Oct-2027'!R29)</f>
        <v>0</v>
      </c>
      <c r="T28" s="70" t="n">
        <f aca="false">N('Nov-2026'!S29)+N('Dec-2026'!S29)+N('Jan-2027'!S29)+N('Feb-2027'!S29)+N('Mar-2027'!S29)+N('Apr-2027'!S29)+N('May-2027'!S29)+N('Jun-2027'!S29)+N('Jul-2027'!S29)+N('Aug-2027'!S29)+N('Sep-2027'!S29)+N('Oct-2027'!S29)</f>
        <v>0</v>
      </c>
      <c r="U28" s="70" t="n">
        <f aca="false">SUM(Q28:S28)</f>
        <v>0</v>
      </c>
      <c r="V28" s="71" t="n">
        <f aca="false">IFERROR(U28/MATCH($B$3,$D$6:$O$6,0),0)</f>
        <v>0</v>
      </c>
      <c r="W28" s="70" t="n">
        <f aca="false">CEILING(V28*1.5,10)</f>
        <v>0</v>
      </c>
      <c r="X28" s="70" t="n">
        <f aca="false">'Item Master'!P26</f>
        <v>100</v>
      </c>
      <c r="Y28" s="70" t="n">
        <f aca="false">INDEX(D28:O28,MATCH($B$3,$D$6:$O$6,0))</f>
        <v>0</v>
      </c>
      <c r="Z28" s="70" t="str">
        <f aca="false">IF(Y28&lt;=0,"OUT OF STOCK",IF(Y28&lt;=X28,"REORDER NOW",IF(Y28&lt;=X28*1.5,"LOW","OK")))</f>
        <v>OUT OF STOCK</v>
      </c>
    </row>
    <row r="29" customFormat="false" ht="15" hidden="false" customHeight="false" outlineLevel="0" collapsed="false">
      <c r="A29" s="64" t="str">
        <f aca="false">'Item Master'!A27</f>
        <v>MCD</v>
      </c>
      <c r="B29" s="65" t="str">
        <f aca="false">'Item Master'!B27</f>
        <v>Mantra Card</v>
      </c>
      <c r="C29" s="64" t="str">
        <f aca="false">'Item Master'!C27</f>
        <v>Protection &amp; Mantra</v>
      </c>
      <c r="D29" s="66" t="n">
        <f aca="false">IF('Nov-2026'!V30&lt;&gt;"",'Nov-2026'!V30,'Nov-2026'!U30)</f>
        <v>0</v>
      </c>
      <c r="E29" s="66" t="n">
        <f aca="false">IF('Dec-2026'!V30&lt;&gt;"",'Dec-2026'!V30,'Dec-2026'!U30)</f>
        <v>0</v>
      </c>
      <c r="F29" s="66" t="n">
        <f aca="false">IF('Jan-2027'!V30&lt;&gt;"",'Jan-2027'!V30,'Jan-2027'!U30)</f>
        <v>0</v>
      </c>
      <c r="G29" s="66" t="n">
        <f aca="false">IF('Feb-2027'!V30&lt;&gt;"",'Feb-2027'!V30,'Feb-2027'!U30)</f>
        <v>0</v>
      </c>
      <c r="H29" s="66" t="n">
        <f aca="false">IF('Mar-2027'!V30&lt;&gt;"",'Mar-2027'!V30,'Mar-2027'!U30)</f>
        <v>0</v>
      </c>
      <c r="I29" s="66" t="n">
        <f aca="false">IF('Apr-2027'!V30&lt;&gt;"",'Apr-2027'!V30,'Apr-2027'!U30)</f>
        <v>0</v>
      </c>
      <c r="J29" s="66" t="n">
        <f aca="false">IF('May-2027'!V30&lt;&gt;"",'May-2027'!V30,'May-2027'!U30)</f>
        <v>0</v>
      </c>
      <c r="K29" s="66" t="n">
        <f aca="false">IF('Jun-2027'!V30&lt;&gt;"",'Jun-2027'!V30,'Jun-2027'!U30)</f>
        <v>0</v>
      </c>
      <c r="L29" s="66" t="n">
        <f aca="false">IF('Jul-2027'!V30&lt;&gt;"",'Jul-2027'!V30,'Jul-2027'!U30)</f>
        <v>0</v>
      </c>
      <c r="M29" s="66" t="n">
        <f aca="false">IF('Aug-2027'!V30&lt;&gt;"",'Aug-2027'!V30,'Aug-2027'!U30)</f>
        <v>0</v>
      </c>
      <c r="N29" s="66" t="n">
        <f aca="false">IF('Sep-2027'!V30&lt;&gt;"",'Sep-2027'!V30,'Sep-2027'!U30)</f>
        <v>0</v>
      </c>
      <c r="O29" s="66" t="n">
        <f aca="false">IF('Oct-2027'!V30&lt;&gt;"",'Oct-2027'!V30,'Oct-2027'!U30)</f>
        <v>0</v>
      </c>
      <c r="P29" s="66" t="n">
        <f aca="false">N('Nov-2026'!O30)+N('Dec-2026'!O30)+N('Jan-2027'!O30)+N('Feb-2027'!O30)+N('Mar-2027'!O30)+N('Apr-2027'!O30)+N('May-2027'!O30)+N('Jun-2027'!O30)+N('Jul-2027'!O30)+N('Aug-2027'!O30)+N('Sep-2027'!O30)+N('Oct-2027'!O30)</f>
        <v>0</v>
      </c>
      <c r="Q29" s="66" t="n">
        <f aca="false">N('Nov-2026'!P30)+N('Dec-2026'!P30)+N('Jan-2027'!P30)+N('Feb-2027'!P30)+N('Mar-2027'!P30)+N('Apr-2027'!P30)+N('May-2027'!P30)+N('Jun-2027'!P30)+N('Jul-2027'!P30)+N('Aug-2027'!P30)+N('Sep-2027'!P30)+N('Oct-2027'!P30)</f>
        <v>0</v>
      </c>
      <c r="R29" s="66" t="n">
        <f aca="false">N('Nov-2026'!Q30)+N('Dec-2026'!Q30)+N('Jan-2027'!Q30)+N('Feb-2027'!Q30)+N('Mar-2027'!Q30)+N('Apr-2027'!Q30)+N('May-2027'!Q30)+N('Jun-2027'!Q30)+N('Jul-2027'!Q30)+N('Aug-2027'!Q30)+N('Sep-2027'!Q30)+N('Oct-2027'!Q30)</f>
        <v>0</v>
      </c>
      <c r="S29" s="66" t="n">
        <f aca="false">N('Nov-2026'!R30)+N('Dec-2026'!R30)+N('Jan-2027'!R30)+N('Feb-2027'!R30)+N('Mar-2027'!R30)+N('Apr-2027'!R30)+N('May-2027'!R30)+N('Jun-2027'!R30)+N('Jul-2027'!R30)+N('Aug-2027'!R30)+N('Sep-2027'!R30)+N('Oct-2027'!R30)</f>
        <v>0</v>
      </c>
      <c r="T29" s="66" t="n">
        <f aca="false">N('Nov-2026'!S30)+N('Dec-2026'!S30)+N('Jan-2027'!S30)+N('Feb-2027'!S30)+N('Mar-2027'!S30)+N('Apr-2027'!S30)+N('May-2027'!S30)+N('Jun-2027'!S30)+N('Jul-2027'!S30)+N('Aug-2027'!S30)+N('Sep-2027'!S30)+N('Oct-2027'!S30)</f>
        <v>0</v>
      </c>
      <c r="U29" s="66" t="n">
        <f aca="false">SUM(Q29:S29)</f>
        <v>0</v>
      </c>
      <c r="V29" s="67" t="n">
        <f aca="false">IFERROR(U29/MATCH($B$3,$D$6:$O$6,0),0)</f>
        <v>0</v>
      </c>
      <c r="W29" s="66" t="n">
        <f aca="false">CEILING(V29*1.5,10)</f>
        <v>0</v>
      </c>
      <c r="X29" s="66" t="n">
        <f aca="false">'Item Master'!P27</f>
        <v>300</v>
      </c>
      <c r="Y29" s="66" t="n">
        <f aca="false">INDEX(D29:O29,MATCH($B$3,$D$6:$O$6,0))</f>
        <v>0</v>
      </c>
      <c r="Z29" s="66" t="str">
        <f aca="false">IF(Y29&lt;=0,"OUT OF STOCK",IF(Y29&lt;=X29,"REORDER NOW",IF(Y29&lt;=X29*1.5,"LOW","OK")))</f>
        <v>OUT OF STOCK</v>
      </c>
    </row>
    <row r="30" customFormat="false" ht="15" hidden="false" customHeight="false" outlineLevel="0" collapsed="false">
      <c r="A30" s="68" t="str">
        <f aca="false">'Item Master'!A28</f>
        <v>SPB</v>
      </c>
      <c r="B30" s="69" t="str">
        <f aca="false">'Item Master'!B28</f>
        <v>Srila Prabhupada Books (Gita, Krishna Book)</v>
      </c>
      <c r="C30" s="68" t="str">
        <f aca="false">'Item Master'!C28</f>
        <v>Books &amp; Media</v>
      </c>
      <c r="D30" s="70" t="n">
        <f aca="false">IF('Nov-2026'!V31&lt;&gt;"",'Nov-2026'!V31,'Nov-2026'!U31)</f>
        <v>0</v>
      </c>
      <c r="E30" s="70" t="n">
        <f aca="false">IF('Dec-2026'!V31&lt;&gt;"",'Dec-2026'!V31,'Dec-2026'!U31)</f>
        <v>0</v>
      </c>
      <c r="F30" s="70" t="n">
        <f aca="false">IF('Jan-2027'!V31&lt;&gt;"",'Jan-2027'!V31,'Jan-2027'!U31)</f>
        <v>0</v>
      </c>
      <c r="G30" s="70" t="n">
        <f aca="false">IF('Feb-2027'!V31&lt;&gt;"",'Feb-2027'!V31,'Feb-2027'!U31)</f>
        <v>0</v>
      </c>
      <c r="H30" s="70" t="n">
        <f aca="false">IF('Mar-2027'!V31&lt;&gt;"",'Mar-2027'!V31,'Mar-2027'!U31)</f>
        <v>0</v>
      </c>
      <c r="I30" s="70" t="n">
        <f aca="false">IF('Apr-2027'!V31&lt;&gt;"",'Apr-2027'!V31,'Apr-2027'!U31)</f>
        <v>0</v>
      </c>
      <c r="J30" s="70" t="n">
        <f aca="false">IF('May-2027'!V31&lt;&gt;"",'May-2027'!V31,'May-2027'!U31)</f>
        <v>0</v>
      </c>
      <c r="K30" s="70" t="n">
        <f aca="false">IF('Jun-2027'!V31&lt;&gt;"",'Jun-2027'!V31,'Jun-2027'!U31)</f>
        <v>0</v>
      </c>
      <c r="L30" s="70" t="n">
        <f aca="false">IF('Jul-2027'!V31&lt;&gt;"",'Jul-2027'!V31,'Jul-2027'!U31)</f>
        <v>0</v>
      </c>
      <c r="M30" s="70" t="n">
        <f aca="false">IF('Aug-2027'!V31&lt;&gt;"",'Aug-2027'!V31,'Aug-2027'!U31)</f>
        <v>0</v>
      </c>
      <c r="N30" s="70" t="n">
        <f aca="false">IF('Sep-2027'!V31&lt;&gt;"",'Sep-2027'!V31,'Sep-2027'!U31)</f>
        <v>0</v>
      </c>
      <c r="O30" s="70" t="n">
        <f aca="false">IF('Oct-2027'!V31&lt;&gt;"",'Oct-2027'!V31,'Oct-2027'!U31)</f>
        <v>0</v>
      </c>
      <c r="P30" s="70" t="n">
        <f aca="false">N('Nov-2026'!O31)+N('Dec-2026'!O31)+N('Jan-2027'!O31)+N('Feb-2027'!O31)+N('Mar-2027'!O31)+N('Apr-2027'!O31)+N('May-2027'!O31)+N('Jun-2027'!O31)+N('Jul-2027'!O31)+N('Aug-2027'!O31)+N('Sep-2027'!O31)+N('Oct-2027'!O31)</f>
        <v>0</v>
      </c>
      <c r="Q30" s="70" t="n">
        <f aca="false">N('Nov-2026'!P31)+N('Dec-2026'!P31)+N('Jan-2027'!P31)+N('Feb-2027'!P31)+N('Mar-2027'!P31)+N('Apr-2027'!P31)+N('May-2027'!P31)+N('Jun-2027'!P31)+N('Jul-2027'!P31)+N('Aug-2027'!P31)+N('Sep-2027'!P31)+N('Oct-2027'!P31)</f>
        <v>0</v>
      </c>
      <c r="R30" s="70" t="n">
        <f aca="false">N('Nov-2026'!Q31)+N('Dec-2026'!Q31)+N('Jan-2027'!Q31)+N('Feb-2027'!Q31)+N('Mar-2027'!Q31)+N('Apr-2027'!Q31)+N('May-2027'!Q31)+N('Jun-2027'!Q31)+N('Jul-2027'!Q31)+N('Aug-2027'!Q31)+N('Sep-2027'!Q31)+N('Oct-2027'!Q31)</f>
        <v>0</v>
      </c>
      <c r="S30" s="70" t="n">
        <f aca="false">N('Nov-2026'!R31)+N('Dec-2026'!R31)+N('Jan-2027'!R31)+N('Feb-2027'!R31)+N('Mar-2027'!R31)+N('Apr-2027'!R31)+N('May-2027'!R31)+N('Jun-2027'!R31)+N('Jul-2027'!R31)+N('Aug-2027'!R31)+N('Sep-2027'!R31)+N('Oct-2027'!R31)</f>
        <v>0</v>
      </c>
      <c r="T30" s="70" t="n">
        <f aca="false">N('Nov-2026'!S31)+N('Dec-2026'!S31)+N('Jan-2027'!S31)+N('Feb-2027'!S31)+N('Mar-2027'!S31)+N('Apr-2027'!S31)+N('May-2027'!S31)+N('Jun-2027'!S31)+N('Jul-2027'!S31)+N('Aug-2027'!S31)+N('Sep-2027'!S31)+N('Oct-2027'!S31)</f>
        <v>0</v>
      </c>
      <c r="U30" s="70" t="n">
        <f aca="false">SUM(Q30:S30)</f>
        <v>0</v>
      </c>
      <c r="V30" s="71" t="n">
        <f aca="false">IFERROR(U30/MATCH($B$3,$D$6:$O$6,0),0)</f>
        <v>0</v>
      </c>
      <c r="W30" s="70" t="n">
        <f aca="false">CEILING(V30*1.5,10)</f>
        <v>0</v>
      </c>
      <c r="X30" s="70" t="n">
        <f aca="false">'Item Master'!P28</f>
        <v>50</v>
      </c>
      <c r="Y30" s="70" t="n">
        <f aca="false">INDEX(D30:O30,MATCH($B$3,$D$6:$O$6,0))</f>
        <v>0</v>
      </c>
      <c r="Z30" s="70" t="str">
        <f aca="false">IF(Y30&lt;=0,"OUT OF STOCK",IF(Y30&lt;=X30,"REORDER NOW",IF(Y30&lt;=X30*1.5,"LOW","OK")))</f>
        <v>OUT OF STOCK</v>
      </c>
    </row>
    <row r="31" customFormat="false" ht="15" hidden="false" customHeight="false" outlineLevel="0" collapsed="false">
      <c r="A31" s="64" t="str">
        <f aca="false">'Item Master'!A29</f>
        <v>LPS</v>
      </c>
      <c r="B31" s="65" t="str">
        <f aca="false">'Item Master'!B29</f>
        <v>LP Set Combo</v>
      </c>
      <c r="C31" s="64" t="str">
        <f aca="false">'Item Master'!C29</f>
        <v>Books &amp; Media</v>
      </c>
      <c r="D31" s="66" t="n">
        <f aca="false">IF('Nov-2026'!V32&lt;&gt;"",'Nov-2026'!V32,'Nov-2026'!U32)</f>
        <v>0</v>
      </c>
      <c r="E31" s="66" t="n">
        <f aca="false">IF('Dec-2026'!V32&lt;&gt;"",'Dec-2026'!V32,'Dec-2026'!U32)</f>
        <v>0</v>
      </c>
      <c r="F31" s="66" t="n">
        <f aca="false">IF('Jan-2027'!V32&lt;&gt;"",'Jan-2027'!V32,'Jan-2027'!U32)</f>
        <v>0</v>
      </c>
      <c r="G31" s="66" t="n">
        <f aca="false">IF('Feb-2027'!V32&lt;&gt;"",'Feb-2027'!V32,'Feb-2027'!U32)</f>
        <v>0</v>
      </c>
      <c r="H31" s="66" t="n">
        <f aca="false">IF('Mar-2027'!V32&lt;&gt;"",'Mar-2027'!V32,'Mar-2027'!U32)</f>
        <v>0</v>
      </c>
      <c r="I31" s="66" t="n">
        <f aca="false">IF('Apr-2027'!V32&lt;&gt;"",'Apr-2027'!V32,'Apr-2027'!U32)</f>
        <v>0</v>
      </c>
      <c r="J31" s="66" t="n">
        <f aca="false">IF('May-2027'!V32&lt;&gt;"",'May-2027'!V32,'May-2027'!U32)</f>
        <v>0</v>
      </c>
      <c r="K31" s="66" t="n">
        <f aca="false">IF('Jun-2027'!V32&lt;&gt;"",'Jun-2027'!V32,'Jun-2027'!U32)</f>
        <v>0</v>
      </c>
      <c r="L31" s="66" t="n">
        <f aca="false">IF('Jul-2027'!V32&lt;&gt;"",'Jul-2027'!V32,'Jul-2027'!U32)</f>
        <v>0</v>
      </c>
      <c r="M31" s="66" t="n">
        <f aca="false">IF('Aug-2027'!V32&lt;&gt;"",'Aug-2027'!V32,'Aug-2027'!U32)</f>
        <v>0</v>
      </c>
      <c r="N31" s="66" t="n">
        <f aca="false">IF('Sep-2027'!V32&lt;&gt;"",'Sep-2027'!V32,'Sep-2027'!U32)</f>
        <v>0</v>
      </c>
      <c r="O31" s="66" t="n">
        <f aca="false">IF('Oct-2027'!V32&lt;&gt;"",'Oct-2027'!V32,'Oct-2027'!U32)</f>
        <v>0</v>
      </c>
      <c r="P31" s="66" t="n">
        <f aca="false">N('Nov-2026'!O32)+N('Dec-2026'!O32)+N('Jan-2027'!O32)+N('Feb-2027'!O32)+N('Mar-2027'!O32)+N('Apr-2027'!O32)+N('May-2027'!O32)+N('Jun-2027'!O32)+N('Jul-2027'!O32)+N('Aug-2027'!O32)+N('Sep-2027'!O32)+N('Oct-2027'!O32)</f>
        <v>0</v>
      </c>
      <c r="Q31" s="66" t="n">
        <f aca="false">N('Nov-2026'!P32)+N('Dec-2026'!P32)+N('Jan-2027'!P32)+N('Feb-2027'!P32)+N('Mar-2027'!P32)+N('Apr-2027'!P32)+N('May-2027'!P32)+N('Jun-2027'!P32)+N('Jul-2027'!P32)+N('Aug-2027'!P32)+N('Sep-2027'!P32)+N('Oct-2027'!P32)</f>
        <v>0</v>
      </c>
      <c r="R31" s="66" t="n">
        <f aca="false">N('Nov-2026'!Q32)+N('Dec-2026'!Q32)+N('Jan-2027'!Q32)+N('Feb-2027'!Q32)+N('Mar-2027'!Q32)+N('Apr-2027'!Q32)+N('May-2027'!Q32)+N('Jun-2027'!Q32)+N('Jul-2027'!Q32)+N('Aug-2027'!Q32)+N('Sep-2027'!Q32)+N('Oct-2027'!Q32)</f>
        <v>0</v>
      </c>
      <c r="S31" s="66" t="n">
        <f aca="false">N('Nov-2026'!R32)+N('Dec-2026'!R32)+N('Jan-2027'!R32)+N('Feb-2027'!R32)+N('Mar-2027'!R32)+N('Apr-2027'!R32)+N('May-2027'!R32)+N('Jun-2027'!R32)+N('Jul-2027'!R32)+N('Aug-2027'!R32)+N('Sep-2027'!R32)+N('Oct-2027'!R32)</f>
        <v>0</v>
      </c>
      <c r="T31" s="66" t="n">
        <f aca="false">N('Nov-2026'!S32)+N('Dec-2026'!S32)+N('Jan-2027'!S32)+N('Feb-2027'!S32)+N('Mar-2027'!S32)+N('Apr-2027'!S32)+N('May-2027'!S32)+N('Jun-2027'!S32)+N('Jul-2027'!S32)+N('Aug-2027'!S32)+N('Sep-2027'!S32)+N('Oct-2027'!S32)</f>
        <v>0</v>
      </c>
      <c r="U31" s="66" t="n">
        <f aca="false">SUM(Q31:S31)</f>
        <v>0</v>
      </c>
      <c r="V31" s="67" t="n">
        <f aca="false">IFERROR(U31/MATCH($B$3,$D$6:$O$6,0),0)</f>
        <v>0</v>
      </c>
      <c r="W31" s="66" t="n">
        <f aca="false">CEILING(V31*1.5,10)</f>
        <v>0</v>
      </c>
      <c r="X31" s="66" t="n">
        <f aca="false">'Item Master'!P29</f>
        <v>25</v>
      </c>
      <c r="Y31" s="66" t="n">
        <f aca="false">INDEX(D31:O31,MATCH($B$3,$D$6:$O$6,0))</f>
        <v>0</v>
      </c>
      <c r="Z31" s="66" t="str">
        <f aca="false">IF(Y31&lt;=0,"OUT OF STOCK",IF(Y31&lt;=X31,"REORDER NOW",IF(Y31&lt;=X31*1.5,"LOW","OK")))</f>
        <v>OUT OF STOCK</v>
      </c>
    </row>
    <row r="32" customFormat="false" ht="15" hidden="false" customHeight="false" outlineLevel="0" collapsed="false">
      <c r="A32" s="68" t="str">
        <f aca="false">'Item Master'!A30</f>
        <v>PEN</v>
      </c>
      <c r="B32" s="69" t="str">
        <f aca="false">'Item Master'!B30</f>
        <v>Pen Drive with Kirtans &amp; Mantras</v>
      </c>
      <c r="C32" s="68" t="str">
        <f aca="false">'Item Master'!C30</f>
        <v>Books &amp; Media</v>
      </c>
      <c r="D32" s="70" t="n">
        <f aca="false">IF('Nov-2026'!V33&lt;&gt;"",'Nov-2026'!V33,'Nov-2026'!U33)</f>
        <v>0</v>
      </c>
      <c r="E32" s="70" t="n">
        <f aca="false">IF('Dec-2026'!V33&lt;&gt;"",'Dec-2026'!V33,'Dec-2026'!U33)</f>
        <v>0</v>
      </c>
      <c r="F32" s="70" t="n">
        <f aca="false">IF('Jan-2027'!V33&lt;&gt;"",'Jan-2027'!V33,'Jan-2027'!U33)</f>
        <v>0</v>
      </c>
      <c r="G32" s="70" t="n">
        <f aca="false">IF('Feb-2027'!V33&lt;&gt;"",'Feb-2027'!V33,'Feb-2027'!U33)</f>
        <v>0</v>
      </c>
      <c r="H32" s="70" t="n">
        <f aca="false">IF('Mar-2027'!V33&lt;&gt;"",'Mar-2027'!V33,'Mar-2027'!U33)</f>
        <v>0</v>
      </c>
      <c r="I32" s="70" t="n">
        <f aca="false">IF('Apr-2027'!V33&lt;&gt;"",'Apr-2027'!V33,'Apr-2027'!U33)</f>
        <v>0</v>
      </c>
      <c r="J32" s="70" t="n">
        <f aca="false">IF('May-2027'!V33&lt;&gt;"",'May-2027'!V33,'May-2027'!U33)</f>
        <v>0</v>
      </c>
      <c r="K32" s="70" t="n">
        <f aca="false">IF('Jun-2027'!V33&lt;&gt;"",'Jun-2027'!V33,'Jun-2027'!U33)</f>
        <v>0</v>
      </c>
      <c r="L32" s="70" t="n">
        <f aca="false">IF('Jul-2027'!V33&lt;&gt;"",'Jul-2027'!V33,'Jul-2027'!U33)</f>
        <v>0</v>
      </c>
      <c r="M32" s="70" t="n">
        <f aca="false">IF('Aug-2027'!V33&lt;&gt;"",'Aug-2027'!V33,'Aug-2027'!U33)</f>
        <v>0</v>
      </c>
      <c r="N32" s="70" t="n">
        <f aca="false">IF('Sep-2027'!V33&lt;&gt;"",'Sep-2027'!V33,'Sep-2027'!U33)</f>
        <v>0</v>
      </c>
      <c r="O32" s="70" t="n">
        <f aca="false">IF('Oct-2027'!V33&lt;&gt;"",'Oct-2027'!V33,'Oct-2027'!U33)</f>
        <v>0</v>
      </c>
      <c r="P32" s="70" t="n">
        <f aca="false">N('Nov-2026'!O33)+N('Dec-2026'!O33)+N('Jan-2027'!O33)+N('Feb-2027'!O33)+N('Mar-2027'!O33)+N('Apr-2027'!O33)+N('May-2027'!O33)+N('Jun-2027'!O33)+N('Jul-2027'!O33)+N('Aug-2027'!O33)+N('Sep-2027'!O33)+N('Oct-2027'!O33)</f>
        <v>0</v>
      </c>
      <c r="Q32" s="70" t="n">
        <f aca="false">N('Nov-2026'!P33)+N('Dec-2026'!P33)+N('Jan-2027'!P33)+N('Feb-2027'!P33)+N('Mar-2027'!P33)+N('Apr-2027'!P33)+N('May-2027'!P33)+N('Jun-2027'!P33)+N('Jul-2027'!P33)+N('Aug-2027'!P33)+N('Sep-2027'!P33)+N('Oct-2027'!P33)</f>
        <v>0</v>
      </c>
      <c r="R32" s="70" t="n">
        <f aca="false">N('Nov-2026'!Q33)+N('Dec-2026'!Q33)+N('Jan-2027'!Q33)+N('Feb-2027'!Q33)+N('Mar-2027'!Q33)+N('Apr-2027'!Q33)+N('May-2027'!Q33)+N('Jun-2027'!Q33)+N('Jul-2027'!Q33)+N('Aug-2027'!Q33)+N('Sep-2027'!Q33)+N('Oct-2027'!Q33)</f>
        <v>0</v>
      </c>
      <c r="S32" s="70" t="n">
        <f aca="false">N('Nov-2026'!R33)+N('Dec-2026'!R33)+N('Jan-2027'!R33)+N('Feb-2027'!R33)+N('Mar-2027'!R33)+N('Apr-2027'!R33)+N('May-2027'!R33)+N('Jun-2027'!R33)+N('Jul-2027'!R33)+N('Aug-2027'!R33)+N('Sep-2027'!R33)+N('Oct-2027'!R33)</f>
        <v>0</v>
      </c>
      <c r="T32" s="70" t="n">
        <f aca="false">N('Nov-2026'!S33)+N('Dec-2026'!S33)+N('Jan-2027'!S33)+N('Feb-2027'!S33)+N('Mar-2027'!S33)+N('Apr-2027'!S33)+N('May-2027'!S33)+N('Jun-2027'!S33)+N('Jul-2027'!S33)+N('Aug-2027'!S33)+N('Sep-2027'!S33)+N('Oct-2027'!S33)</f>
        <v>0</v>
      </c>
      <c r="U32" s="70" t="n">
        <f aca="false">SUM(Q32:S32)</f>
        <v>0</v>
      </c>
      <c r="V32" s="71" t="n">
        <f aca="false">IFERROR(U32/MATCH($B$3,$D$6:$O$6,0),0)</f>
        <v>0</v>
      </c>
      <c r="W32" s="70" t="n">
        <f aca="false">CEILING(V32*1.5,10)</f>
        <v>0</v>
      </c>
      <c r="X32" s="70" t="n">
        <f aca="false">'Item Master'!P30</f>
        <v>25</v>
      </c>
      <c r="Y32" s="70" t="n">
        <f aca="false">INDEX(D32:O32,MATCH($B$3,$D$6:$O$6,0))</f>
        <v>0</v>
      </c>
      <c r="Z32" s="70" t="str">
        <f aca="false">IF(Y32&lt;=0,"OUT OF STOCK",IF(Y32&lt;=X32,"REORDER NOW",IF(Y32&lt;=X32*1.5,"LOW","OK")))</f>
        <v>OUT OF STOCK</v>
      </c>
    </row>
    <row r="33" customFormat="false" ht="15" hidden="false" customHeight="false" outlineLevel="0" collapsed="false">
      <c r="A33" s="64" t="str">
        <f aca="false">'Item Master'!A31</f>
        <v>CDS</v>
      </c>
      <c r="B33" s="65" t="str">
        <f aca="false">'Item Master'!B31</f>
        <v>Chardham Souvenir</v>
      </c>
      <c r="C33" s="64" t="str">
        <f aca="false">'Item Master'!C31</f>
        <v>Souvenirs &amp; Coins</v>
      </c>
      <c r="D33" s="66" t="n">
        <f aca="false">IF('Nov-2026'!V34&lt;&gt;"",'Nov-2026'!V34,'Nov-2026'!U34)</f>
        <v>0</v>
      </c>
      <c r="E33" s="66" t="n">
        <f aca="false">IF('Dec-2026'!V34&lt;&gt;"",'Dec-2026'!V34,'Dec-2026'!U34)</f>
        <v>0</v>
      </c>
      <c r="F33" s="66" t="n">
        <f aca="false">IF('Jan-2027'!V34&lt;&gt;"",'Jan-2027'!V34,'Jan-2027'!U34)</f>
        <v>0</v>
      </c>
      <c r="G33" s="66" t="n">
        <f aca="false">IF('Feb-2027'!V34&lt;&gt;"",'Feb-2027'!V34,'Feb-2027'!U34)</f>
        <v>0</v>
      </c>
      <c r="H33" s="66" t="n">
        <f aca="false">IF('Mar-2027'!V34&lt;&gt;"",'Mar-2027'!V34,'Mar-2027'!U34)</f>
        <v>0</v>
      </c>
      <c r="I33" s="66" t="n">
        <f aca="false">IF('Apr-2027'!V34&lt;&gt;"",'Apr-2027'!V34,'Apr-2027'!U34)</f>
        <v>0</v>
      </c>
      <c r="J33" s="66" t="n">
        <f aca="false">IF('May-2027'!V34&lt;&gt;"",'May-2027'!V34,'May-2027'!U34)</f>
        <v>0</v>
      </c>
      <c r="K33" s="66" t="n">
        <f aca="false">IF('Jun-2027'!V34&lt;&gt;"",'Jun-2027'!V34,'Jun-2027'!U34)</f>
        <v>0</v>
      </c>
      <c r="L33" s="66" t="n">
        <f aca="false">IF('Jul-2027'!V34&lt;&gt;"",'Jul-2027'!V34,'Jul-2027'!U34)</f>
        <v>0</v>
      </c>
      <c r="M33" s="66" t="n">
        <f aca="false">IF('Aug-2027'!V34&lt;&gt;"",'Aug-2027'!V34,'Aug-2027'!U34)</f>
        <v>0</v>
      </c>
      <c r="N33" s="66" t="n">
        <f aca="false">IF('Sep-2027'!V34&lt;&gt;"",'Sep-2027'!V34,'Sep-2027'!U34)</f>
        <v>0</v>
      </c>
      <c r="O33" s="66" t="n">
        <f aca="false">IF('Oct-2027'!V34&lt;&gt;"",'Oct-2027'!V34,'Oct-2027'!U34)</f>
        <v>0</v>
      </c>
      <c r="P33" s="66" t="n">
        <f aca="false">N('Nov-2026'!O34)+N('Dec-2026'!O34)+N('Jan-2027'!O34)+N('Feb-2027'!O34)+N('Mar-2027'!O34)+N('Apr-2027'!O34)+N('May-2027'!O34)+N('Jun-2027'!O34)+N('Jul-2027'!O34)+N('Aug-2027'!O34)+N('Sep-2027'!O34)+N('Oct-2027'!O34)</f>
        <v>0</v>
      </c>
      <c r="Q33" s="66" t="n">
        <f aca="false">N('Nov-2026'!P34)+N('Dec-2026'!P34)+N('Jan-2027'!P34)+N('Feb-2027'!P34)+N('Mar-2027'!P34)+N('Apr-2027'!P34)+N('May-2027'!P34)+N('Jun-2027'!P34)+N('Jul-2027'!P34)+N('Aug-2027'!P34)+N('Sep-2027'!P34)+N('Oct-2027'!P34)</f>
        <v>0</v>
      </c>
      <c r="R33" s="66" t="n">
        <f aca="false">N('Nov-2026'!Q34)+N('Dec-2026'!Q34)+N('Jan-2027'!Q34)+N('Feb-2027'!Q34)+N('Mar-2027'!Q34)+N('Apr-2027'!Q34)+N('May-2027'!Q34)+N('Jun-2027'!Q34)+N('Jul-2027'!Q34)+N('Aug-2027'!Q34)+N('Sep-2027'!Q34)+N('Oct-2027'!Q34)</f>
        <v>0</v>
      </c>
      <c r="S33" s="66" t="n">
        <f aca="false">N('Nov-2026'!R34)+N('Dec-2026'!R34)+N('Jan-2027'!R34)+N('Feb-2027'!R34)+N('Mar-2027'!R34)+N('Apr-2027'!R34)+N('May-2027'!R34)+N('Jun-2027'!R34)+N('Jul-2027'!R34)+N('Aug-2027'!R34)+N('Sep-2027'!R34)+N('Oct-2027'!R34)</f>
        <v>0</v>
      </c>
      <c r="T33" s="66" t="n">
        <f aca="false">N('Nov-2026'!S34)+N('Dec-2026'!S34)+N('Jan-2027'!S34)+N('Feb-2027'!S34)+N('Mar-2027'!S34)+N('Apr-2027'!S34)+N('May-2027'!S34)+N('Jun-2027'!S34)+N('Jul-2027'!S34)+N('Aug-2027'!S34)+N('Sep-2027'!S34)+N('Oct-2027'!S34)</f>
        <v>0</v>
      </c>
      <c r="U33" s="66" t="n">
        <f aca="false">SUM(Q33:S33)</f>
        <v>0</v>
      </c>
      <c r="V33" s="67" t="n">
        <f aca="false">IFERROR(U33/MATCH($B$3,$D$6:$O$6,0),0)</f>
        <v>0</v>
      </c>
      <c r="W33" s="66" t="n">
        <f aca="false">CEILING(V33*1.5,10)</f>
        <v>0</v>
      </c>
      <c r="X33" s="66" t="n">
        <f aca="false">'Item Master'!P31</f>
        <v>50</v>
      </c>
      <c r="Y33" s="66" t="n">
        <f aca="false">INDEX(D33:O33,MATCH($B$3,$D$6:$O$6,0))</f>
        <v>0</v>
      </c>
      <c r="Z33" s="66" t="str">
        <f aca="false">IF(Y33&lt;=0,"OUT OF STOCK",IF(Y33&lt;=X33,"REORDER NOW",IF(Y33&lt;=X33*1.5,"LOW","OK")))</f>
        <v>OUT OF STOCK</v>
      </c>
    </row>
    <row r="34" customFormat="false" ht="15" hidden="false" customHeight="false" outlineLevel="0" collapsed="false">
      <c r="A34" s="68" t="str">
        <f aca="false">'Item Master'!A32</f>
        <v>LXC</v>
      </c>
      <c r="B34" s="69" t="str">
        <f aca="false">'Item Master'!B32</f>
        <v>Lakshmi Coins</v>
      </c>
      <c r="C34" s="68" t="str">
        <f aca="false">'Item Master'!C32</f>
        <v>Souvenirs &amp; Coins</v>
      </c>
      <c r="D34" s="70" t="n">
        <f aca="false">IF('Nov-2026'!V35&lt;&gt;"",'Nov-2026'!V35,'Nov-2026'!U35)</f>
        <v>0</v>
      </c>
      <c r="E34" s="70" t="n">
        <f aca="false">IF('Dec-2026'!V35&lt;&gt;"",'Dec-2026'!V35,'Dec-2026'!U35)</f>
        <v>0</v>
      </c>
      <c r="F34" s="70" t="n">
        <f aca="false">IF('Jan-2027'!V35&lt;&gt;"",'Jan-2027'!V35,'Jan-2027'!U35)</f>
        <v>0</v>
      </c>
      <c r="G34" s="70" t="n">
        <f aca="false">IF('Feb-2027'!V35&lt;&gt;"",'Feb-2027'!V35,'Feb-2027'!U35)</f>
        <v>0</v>
      </c>
      <c r="H34" s="70" t="n">
        <f aca="false">IF('Mar-2027'!V35&lt;&gt;"",'Mar-2027'!V35,'Mar-2027'!U35)</f>
        <v>0</v>
      </c>
      <c r="I34" s="70" t="n">
        <f aca="false">IF('Apr-2027'!V35&lt;&gt;"",'Apr-2027'!V35,'Apr-2027'!U35)</f>
        <v>0</v>
      </c>
      <c r="J34" s="70" t="n">
        <f aca="false">IF('May-2027'!V35&lt;&gt;"",'May-2027'!V35,'May-2027'!U35)</f>
        <v>0</v>
      </c>
      <c r="K34" s="70" t="n">
        <f aca="false">IF('Jun-2027'!V35&lt;&gt;"",'Jun-2027'!V35,'Jun-2027'!U35)</f>
        <v>0</v>
      </c>
      <c r="L34" s="70" t="n">
        <f aca="false">IF('Jul-2027'!V35&lt;&gt;"",'Jul-2027'!V35,'Jul-2027'!U35)</f>
        <v>0</v>
      </c>
      <c r="M34" s="70" t="n">
        <f aca="false">IF('Aug-2027'!V35&lt;&gt;"",'Aug-2027'!V35,'Aug-2027'!U35)</f>
        <v>0</v>
      </c>
      <c r="N34" s="70" t="n">
        <f aca="false">IF('Sep-2027'!V35&lt;&gt;"",'Sep-2027'!V35,'Sep-2027'!U35)</f>
        <v>0</v>
      </c>
      <c r="O34" s="70" t="n">
        <f aca="false">IF('Oct-2027'!V35&lt;&gt;"",'Oct-2027'!V35,'Oct-2027'!U35)</f>
        <v>0</v>
      </c>
      <c r="P34" s="70" t="n">
        <f aca="false">N('Nov-2026'!O35)+N('Dec-2026'!O35)+N('Jan-2027'!O35)+N('Feb-2027'!O35)+N('Mar-2027'!O35)+N('Apr-2027'!O35)+N('May-2027'!O35)+N('Jun-2027'!O35)+N('Jul-2027'!O35)+N('Aug-2027'!O35)+N('Sep-2027'!O35)+N('Oct-2027'!O35)</f>
        <v>0</v>
      </c>
      <c r="Q34" s="70" t="n">
        <f aca="false">N('Nov-2026'!P35)+N('Dec-2026'!P35)+N('Jan-2027'!P35)+N('Feb-2027'!P35)+N('Mar-2027'!P35)+N('Apr-2027'!P35)+N('May-2027'!P35)+N('Jun-2027'!P35)+N('Jul-2027'!P35)+N('Aug-2027'!P35)+N('Sep-2027'!P35)+N('Oct-2027'!P35)</f>
        <v>0</v>
      </c>
      <c r="R34" s="70" t="n">
        <f aca="false">N('Nov-2026'!Q35)+N('Dec-2026'!Q35)+N('Jan-2027'!Q35)+N('Feb-2027'!Q35)+N('Mar-2027'!Q35)+N('Apr-2027'!Q35)+N('May-2027'!Q35)+N('Jun-2027'!Q35)+N('Jul-2027'!Q35)+N('Aug-2027'!Q35)+N('Sep-2027'!Q35)+N('Oct-2027'!Q35)</f>
        <v>0</v>
      </c>
      <c r="S34" s="70" t="n">
        <f aca="false">N('Nov-2026'!R35)+N('Dec-2026'!R35)+N('Jan-2027'!R35)+N('Feb-2027'!R35)+N('Mar-2027'!R35)+N('Apr-2027'!R35)+N('May-2027'!R35)+N('Jun-2027'!R35)+N('Jul-2027'!R35)+N('Aug-2027'!R35)+N('Sep-2027'!R35)+N('Oct-2027'!R35)</f>
        <v>0</v>
      </c>
      <c r="T34" s="70" t="n">
        <f aca="false">N('Nov-2026'!S35)+N('Dec-2026'!S35)+N('Jan-2027'!S35)+N('Feb-2027'!S35)+N('Mar-2027'!S35)+N('Apr-2027'!S35)+N('May-2027'!S35)+N('Jun-2027'!S35)+N('Jul-2027'!S35)+N('Aug-2027'!S35)+N('Sep-2027'!S35)+N('Oct-2027'!S35)</f>
        <v>0</v>
      </c>
      <c r="U34" s="70" t="n">
        <f aca="false">SUM(Q34:S34)</f>
        <v>0</v>
      </c>
      <c r="V34" s="71" t="n">
        <f aca="false">IFERROR(U34/MATCH($B$3,$D$6:$O$6,0),0)</f>
        <v>0</v>
      </c>
      <c r="W34" s="70" t="n">
        <f aca="false">CEILING(V34*1.5,10)</f>
        <v>0</v>
      </c>
      <c r="X34" s="70" t="n">
        <f aca="false">'Item Master'!P32</f>
        <v>50</v>
      </c>
      <c r="Y34" s="70" t="n">
        <f aca="false">INDEX(D34:O34,MATCH($B$3,$D$6:$O$6,0))</f>
        <v>0</v>
      </c>
      <c r="Z34" s="70" t="str">
        <f aca="false">IF(Y34&lt;=0,"OUT OF STOCK",IF(Y34&lt;=X34,"REORDER NOW",IF(Y34&lt;=X34*1.5,"LOW","OK")))</f>
        <v>OUT OF STOCK</v>
      </c>
    </row>
    <row r="35" customFormat="false" ht="15" hidden="false" customHeight="false" outlineLevel="0" collapsed="false">
      <c r="A35" s="64" t="str">
        <f aca="false">'Item Master'!A33</f>
        <v>KUM</v>
      </c>
      <c r="B35" s="65" t="str">
        <f aca="false">'Item Master'!B33</f>
        <v>Kumkum</v>
      </c>
      <c r="C35" s="64" t="str">
        <f aca="false">'Item Master'!C33</f>
        <v>Fragrance &amp; Puja</v>
      </c>
      <c r="D35" s="66" t="n">
        <f aca="false">IF('Nov-2026'!V36&lt;&gt;"",'Nov-2026'!V36,'Nov-2026'!U36)</f>
        <v>0</v>
      </c>
      <c r="E35" s="66" t="n">
        <f aca="false">IF('Dec-2026'!V36&lt;&gt;"",'Dec-2026'!V36,'Dec-2026'!U36)</f>
        <v>0</v>
      </c>
      <c r="F35" s="66" t="n">
        <f aca="false">IF('Jan-2027'!V36&lt;&gt;"",'Jan-2027'!V36,'Jan-2027'!U36)</f>
        <v>0</v>
      </c>
      <c r="G35" s="66" t="n">
        <f aca="false">IF('Feb-2027'!V36&lt;&gt;"",'Feb-2027'!V36,'Feb-2027'!U36)</f>
        <v>0</v>
      </c>
      <c r="H35" s="66" t="n">
        <f aca="false">IF('Mar-2027'!V36&lt;&gt;"",'Mar-2027'!V36,'Mar-2027'!U36)</f>
        <v>0</v>
      </c>
      <c r="I35" s="66" t="n">
        <f aca="false">IF('Apr-2027'!V36&lt;&gt;"",'Apr-2027'!V36,'Apr-2027'!U36)</f>
        <v>0</v>
      </c>
      <c r="J35" s="66" t="n">
        <f aca="false">IF('May-2027'!V36&lt;&gt;"",'May-2027'!V36,'May-2027'!U36)</f>
        <v>0</v>
      </c>
      <c r="K35" s="66" t="n">
        <f aca="false">IF('Jun-2027'!V36&lt;&gt;"",'Jun-2027'!V36,'Jun-2027'!U36)</f>
        <v>0</v>
      </c>
      <c r="L35" s="66" t="n">
        <f aca="false">IF('Jul-2027'!V36&lt;&gt;"",'Jul-2027'!V36,'Jul-2027'!U36)</f>
        <v>0</v>
      </c>
      <c r="M35" s="66" t="n">
        <f aca="false">IF('Aug-2027'!V36&lt;&gt;"",'Aug-2027'!V36,'Aug-2027'!U36)</f>
        <v>0</v>
      </c>
      <c r="N35" s="66" t="n">
        <f aca="false">IF('Sep-2027'!V36&lt;&gt;"",'Sep-2027'!V36,'Sep-2027'!U36)</f>
        <v>0</v>
      </c>
      <c r="O35" s="66" t="n">
        <f aca="false">IF('Oct-2027'!V36&lt;&gt;"",'Oct-2027'!V36,'Oct-2027'!U36)</f>
        <v>0</v>
      </c>
      <c r="P35" s="66" t="n">
        <f aca="false">N('Nov-2026'!O36)+N('Dec-2026'!O36)+N('Jan-2027'!O36)+N('Feb-2027'!O36)+N('Mar-2027'!O36)+N('Apr-2027'!O36)+N('May-2027'!O36)+N('Jun-2027'!O36)+N('Jul-2027'!O36)+N('Aug-2027'!O36)+N('Sep-2027'!O36)+N('Oct-2027'!O36)</f>
        <v>0</v>
      </c>
      <c r="Q35" s="66" t="n">
        <f aca="false">N('Nov-2026'!P36)+N('Dec-2026'!P36)+N('Jan-2027'!P36)+N('Feb-2027'!P36)+N('Mar-2027'!P36)+N('Apr-2027'!P36)+N('May-2027'!P36)+N('Jun-2027'!P36)+N('Jul-2027'!P36)+N('Aug-2027'!P36)+N('Sep-2027'!P36)+N('Oct-2027'!P36)</f>
        <v>0</v>
      </c>
      <c r="R35" s="66" t="n">
        <f aca="false">N('Nov-2026'!Q36)+N('Dec-2026'!Q36)+N('Jan-2027'!Q36)+N('Feb-2027'!Q36)+N('Mar-2027'!Q36)+N('Apr-2027'!Q36)+N('May-2027'!Q36)+N('Jun-2027'!Q36)+N('Jul-2027'!Q36)+N('Aug-2027'!Q36)+N('Sep-2027'!Q36)+N('Oct-2027'!Q36)</f>
        <v>0</v>
      </c>
      <c r="S35" s="66" t="n">
        <f aca="false">N('Nov-2026'!R36)+N('Dec-2026'!R36)+N('Jan-2027'!R36)+N('Feb-2027'!R36)+N('Mar-2027'!R36)+N('Apr-2027'!R36)+N('May-2027'!R36)+N('Jun-2027'!R36)+N('Jul-2027'!R36)+N('Aug-2027'!R36)+N('Sep-2027'!R36)+N('Oct-2027'!R36)</f>
        <v>0</v>
      </c>
      <c r="T35" s="66" t="n">
        <f aca="false">N('Nov-2026'!S36)+N('Dec-2026'!S36)+N('Jan-2027'!S36)+N('Feb-2027'!S36)+N('Mar-2027'!S36)+N('Apr-2027'!S36)+N('May-2027'!S36)+N('Jun-2027'!S36)+N('Jul-2027'!S36)+N('Aug-2027'!S36)+N('Sep-2027'!S36)+N('Oct-2027'!S36)</f>
        <v>0</v>
      </c>
      <c r="U35" s="66" t="n">
        <f aca="false">SUM(Q35:S35)</f>
        <v>0</v>
      </c>
      <c r="V35" s="67" t="n">
        <f aca="false">IFERROR(U35/MATCH($B$3,$D$6:$O$6,0),0)</f>
        <v>0</v>
      </c>
      <c r="W35" s="66" t="n">
        <f aca="false">CEILING(V35*1.5,10)</f>
        <v>0</v>
      </c>
      <c r="X35" s="66" t="n">
        <f aca="false">'Item Master'!P33</f>
        <v>200</v>
      </c>
      <c r="Y35" s="66" t="n">
        <f aca="false">INDEX(D35:O35,MATCH($B$3,$D$6:$O$6,0))</f>
        <v>0</v>
      </c>
      <c r="Z35" s="66" t="str">
        <f aca="false">IF(Y35&lt;=0,"OUT OF STOCK",IF(Y35&lt;=X35,"REORDER NOW",IF(Y35&lt;=X35*1.5,"LOW","OK")))</f>
        <v>OUT OF STOCK</v>
      </c>
    </row>
    <row r="36" customFormat="false" ht="15" hidden="false" customHeight="false" outlineLevel="0" collapsed="false">
      <c r="A36" s="68" t="str">
        <f aca="false">'Item Master'!A34</f>
        <v>SCT</v>
      </c>
      <c r="B36" s="69" t="str">
        <f aca="false">'Item Master'!B34</f>
        <v>Scent Sticks</v>
      </c>
      <c r="C36" s="68" t="str">
        <f aca="false">'Item Master'!C34</f>
        <v>Fragrance &amp; Puja</v>
      </c>
      <c r="D36" s="70" t="n">
        <f aca="false">IF('Nov-2026'!V37&lt;&gt;"",'Nov-2026'!V37,'Nov-2026'!U37)</f>
        <v>0</v>
      </c>
      <c r="E36" s="70" t="n">
        <f aca="false">IF('Dec-2026'!V37&lt;&gt;"",'Dec-2026'!V37,'Dec-2026'!U37)</f>
        <v>0</v>
      </c>
      <c r="F36" s="70" t="n">
        <f aca="false">IF('Jan-2027'!V37&lt;&gt;"",'Jan-2027'!V37,'Jan-2027'!U37)</f>
        <v>0</v>
      </c>
      <c r="G36" s="70" t="n">
        <f aca="false">IF('Feb-2027'!V37&lt;&gt;"",'Feb-2027'!V37,'Feb-2027'!U37)</f>
        <v>0</v>
      </c>
      <c r="H36" s="70" t="n">
        <f aca="false">IF('Mar-2027'!V37&lt;&gt;"",'Mar-2027'!V37,'Mar-2027'!U37)</f>
        <v>0</v>
      </c>
      <c r="I36" s="70" t="n">
        <f aca="false">IF('Apr-2027'!V37&lt;&gt;"",'Apr-2027'!V37,'Apr-2027'!U37)</f>
        <v>0</v>
      </c>
      <c r="J36" s="70" t="n">
        <f aca="false">IF('May-2027'!V37&lt;&gt;"",'May-2027'!V37,'May-2027'!U37)</f>
        <v>0</v>
      </c>
      <c r="K36" s="70" t="n">
        <f aca="false">IF('Jun-2027'!V37&lt;&gt;"",'Jun-2027'!V37,'Jun-2027'!U37)</f>
        <v>0</v>
      </c>
      <c r="L36" s="70" t="n">
        <f aca="false">IF('Jul-2027'!V37&lt;&gt;"",'Jul-2027'!V37,'Jul-2027'!U37)</f>
        <v>0</v>
      </c>
      <c r="M36" s="70" t="n">
        <f aca="false">IF('Aug-2027'!V37&lt;&gt;"",'Aug-2027'!V37,'Aug-2027'!U37)</f>
        <v>0</v>
      </c>
      <c r="N36" s="70" t="n">
        <f aca="false">IF('Sep-2027'!V37&lt;&gt;"",'Sep-2027'!V37,'Sep-2027'!U37)</f>
        <v>0</v>
      </c>
      <c r="O36" s="70" t="n">
        <f aca="false">IF('Oct-2027'!V37&lt;&gt;"",'Oct-2027'!V37,'Oct-2027'!U37)</f>
        <v>0</v>
      </c>
      <c r="P36" s="70" t="n">
        <f aca="false">N('Nov-2026'!O37)+N('Dec-2026'!O37)+N('Jan-2027'!O37)+N('Feb-2027'!O37)+N('Mar-2027'!O37)+N('Apr-2027'!O37)+N('May-2027'!O37)+N('Jun-2027'!O37)+N('Jul-2027'!O37)+N('Aug-2027'!O37)+N('Sep-2027'!O37)+N('Oct-2027'!O37)</f>
        <v>0</v>
      </c>
      <c r="Q36" s="70" t="n">
        <f aca="false">N('Nov-2026'!P37)+N('Dec-2026'!P37)+N('Jan-2027'!P37)+N('Feb-2027'!P37)+N('Mar-2027'!P37)+N('Apr-2027'!P37)+N('May-2027'!P37)+N('Jun-2027'!P37)+N('Jul-2027'!P37)+N('Aug-2027'!P37)+N('Sep-2027'!P37)+N('Oct-2027'!P37)</f>
        <v>0</v>
      </c>
      <c r="R36" s="70" t="n">
        <f aca="false">N('Nov-2026'!Q37)+N('Dec-2026'!Q37)+N('Jan-2027'!Q37)+N('Feb-2027'!Q37)+N('Mar-2027'!Q37)+N('Apr-2027'!Q37)+N('May-2027'!Q37)+N('Jun-2027'!Q37)+N('Jul-2027'!Q37)+N('Aug-2027'!Q37)+N('Sep-2027'!Q37)+N('Oct-2027'!Q37)</f>
        <v>0</v>
      </c>
      <c r="S36" s="70" t="n">
        <f aca="false">N('Nov-2026'!R37)+N('Dec-2026'!R37)+N('Jan-2027'!R37)+N('Feb-2027'!R37)+N('Mar-2027'!R37)+N('Apr-2027'!R37)+N('May-2027'!R37)+N('Jun-2027'!R37)+N('Jul-2027'!R37)+N('Aug-2027'!R37)+N('Sep-2027'!R37)+N('Oct-2027'!R37)</f>
        <v>0</v>
      </c>
      <c r="T36" s="70" t="n">
        <f aca="false">N('Nov-2026'!S37)+N('Dec-2026'!S37)+N('Jan-2027'!S37)+N('Feb-2027'!S37)+N('Mar-2027'!S37)+N('Apr-2027'!S37)+N('May-2027'!S37)+N('Jun-2027'!S37)+N('Jul-2027'!S37)+N('Aug-2027'!S37)+N('Sep-2027'!S37)+N('Oct-2027'!S37)</f>
        <v>0</v>
      </c>
      <c r="U36" s="70" t="n">
        <f aca="false">SUM(Q36:S36)</f>
        <v>0</v>
      </c>
      <c r="V36" s="71" t="n">
        <f aca="false">IFERROR(U36/MATCH($B$3,$D$6:$O$6,0),0)</f>
        <v>0</v>
      </c>
      <c r="W36" s="70" t="n">
        <f aca="false">CEILING(V36*1.5,10)</f>
        <v>0</v>
      </c>
      <c r="X36" s="70" t="n">
        <f aca="false">'Item Master'!P34</f>
        <v>200</v>
      </c>
      <c r="Y36" s="70" t="n">
        <f aca="false">INDEX(D36:O36,MATCH($B$3,$D$6:$O$6,0))</f>
        <v>0</v>
      </c>
      <c r="Z36" s="70" t="str">
        <f aca="false">IF(Y36&lt;=0,"OUT OF STOCK",IF(Y36&lt;=X36,"REORDER NOW",IF(Y36&lt;=X36*1.5,"LOW","OK")))</f>
        <v>OUT OF STOCK</v>
      </c>
    </row>
    <row r="37" customFormat="false" ht="15" hidden="false" customHeight="false" outlineLevel="0" collapsed="false">
      <c r="A37" s="64" t="str">
        <f aca="false">'Item Master'!A35</f>
        <v>DHP</v>
      </c>
      <c r="B37" s="65" t="str">
        <f aca="false">'Item Master'!B35</f>
        <v>Dhoop Sticks</v>
      </c>
      <c r="C37" s="64" t="str">
        <f aca="false">'Item Master'!C35</f>
        <v>Fragrance &amp; Puja</v>
      </c>
      <c r="D37" s="66" t="n">
        <f aca="false">IF('Nov-2026'!V38&lt;&gt;"",'Nov-2026'!V38,'Nov-2026'!U38)</f>
        <v>0</v>
      </c>
      <c r="E37" s="66" t="n">
        <f aca="false">IF('Dec-2026'!V38&lt;&gt;"",'Dec-2026'!V38,'Dec-2026'!U38)</f>
        <v>0</v>
      </c>
      <c r="F37" s="66" t="n">
        <f aca="false">IF('Jan-2027'!V38&lt;&gt;"",'Jan-2027'!V38,'Jan-2027'!U38)</f>
        <v>0</v>
      </c>
      <c r="G37" s="66" t="n">
        <f aca="false">IF('Feb-2027'!V38&lt;&gt;"",'Feb-2027'!V38,'Feb-2027'!U38)</f>
        <v>0</v>
      </c>
      <c r="H37" s="66" t="n">
        <f aca="false">IF('Mar-2027'!V38&lt;&gt;"",'Mar-2027'!V38,'Mar-2027'!U38)</f>
        <v>0</v>
      </c>
      <c r="I37" s="66" t="n">
        <f aca="false">IF('Apr-2027'!V38&lt;&gt;"",'Apr-2027'!V38,'Apr-2027'!U38)</f>
        <v>0</v>
      </c>
      <c r="J37" s="66" t="n">
        <f aca="false">IF('May-2027'!V38&lt;&gt;"",'May-2027'!V38,'May-2027'!U38)</f>
        <v>0</v>
      </c>
      <c r="K37" s="66" t="n">
        <f aca="false">IF('Jun-2027'!V38&lt;&gt;"",'Jun-2027'!V38,'Jun-2027'!U38)</f>
        <v>0</v>
      </c>
      <c r="L37" s="66" t="n">
        <f aca="false">IF('Jul-2027'!V38&lt;&gt;"",'Jul-2027'!V38,'Jul-2027'!U38)</f>
        <v>0</v>
      </c>
      <c r="M37" s="66" t="n">
        <f aca="false">IF('Aug-2027'!V38&lt;&gt;"",'Aug-2027'!V38,'Aug-2027'!U38)</f>
        <v>0</v>
      </c>
      <c r="N37" s="66" t="n">
        <f aca="false">IF('Sep-2027'!V38&lt;&gt;"",'Sep-2027'!V38,'Sep-2027'!U38)</f>
        <v>0</v>
      </c>
      <c r="O37" s="66" t="n">
        <f aca="false">IF('Oct-2027'!V38&lt;&gt;"",'Oct-2027'!V38,'Oct-2027'!U38)</f>
        <v>0</v>
      </c>
      <c r="P37" s="66" t="n">
        <f aca="false">N('Nov-2026'!O38)+N('Dec-2026'!O38)+N('Jan-2027'!O38)+N('Feb-2027'!O38)+N('Mar-2027'!O38)+N('Apr-2027'!O38)+N('May-2027'!O38)+N('Jun-2027'!O38)+N('Jul-2027'!O38)+N('Aug-2027'!O38)+N('Sep-2027'!O38)+N('Oct-2027'!O38)</f>
        <v>0</v>
      </c>
      <c r="Q37" s="66" t="n">
        <f aca="false">N('Nov-2026'!P38)+N('Dec-2026'!P38)+N('Jan-2027'!P38)+N('Feb-2027'!P38)+N('Mar-2027'!P38)+N('Apr-2027'!P38)+N('May-2027'!P38)+N('Jun-2027'!P38)+N('Jul-2027'!P38)+N('Aug-2027'!P38)+N('Sep-2027'!P38)+N('Oct-2027'!P38)</f>
        <v>0</v>
      </c>
      <c r="R37" s="66" t="n">
        <f aca="false">N('Nov-2026'!Q38)+N('Dec-2026'!Q38)+N('Jan-2027'!Q38)+N('Feb-2027'!Q38)+N('Mar-2027'!Q38)+N('Apr-2027'!Q38)+N('May-2027'!Q38)+N('Jun-2027'!Q38)+N('Jul-2027'!Q38)+N('Aug-2027'!Q38)+N('Sep-2027'!Q38)+N('Oct-2027'!Q38)</f>
        <v>0</v>
      </c>
      <c r="S37" s="66" t="n">
        <f aca="false">N('Nov-2026'!R38)+N('Dec-2026'!R38)+N('Jan-2027'!R38)+N('Feb-2027'!R38)+N('Mar-2027'!R38)+N('Apr-2027'!R38)+N('May-2027'!R38)+N('Jun-2027'!R38)+N('Jul-2027'!R38)+N('Aug-2027'!R38)+N('Sep-2027'!R38)+N('Oct-2027'!R38)</f>
        <v>0</v>
      </c>
      <c r="T37" s="66" t="n">
        <f aca="false">N('Nov-2026'!S38)+N('Dec-2026'!S38)+N('Jan-2027'!S38)+N('Feb-2027'!S38)+N('Mar-2027'!S38)+N('Apr-2027'!S38)+N('May-2027'!S38)+N('Jun-2027'!S38)+N('Jul-2027'!S38)+N('Aug-2027'!S38)+N('Sep-2027'!S38)+N('Oct-2027'!S38)</f>
        <v>0</v>
      </c>
      <c r="U37" s="66" t="n">
        <f aca="false">SUM(Q37:S37)</f>
        <v>0</v>
      </c>
      <c r="V37" s="67" t="n">
        <f aca="false">IFERROR(U37/MATCH($B$3,$D$6:$O$6,0),0)</f>
        <v>0</v>
      </c>
      <c r="W37" s="66" t="n">
        <f aca="false">CEILING(V37*1.5,10)</f>
        <v>0</v>
      </c>
      <c r="X37" s="66" t="n">
        <f aca="false">'Item Master'!P35</f>
        <v>150</v>
      </c>
      <c r="Y37" s="66" t="n">
        <f aca="false">INDEX(D37:O37,MATCH($B$3,$D$6:$O$6,0))</f>
        <v>0</v>
      </c>
      <c r="Z37" s="66" t="str">
        <f aca="false">IF(Y37&lt;=0,"OUT OF STOCK",IF(Y37&lt;=X37,"REORDER NOW",IF(Y37&lt;=X37*1.5,"LOW","OK")))</f>
        <v>OUT OF STOCK</v>
      </c>
    </row>
    <row r="38" customFormat="false" ht="15" hidden="false" customHeight="false" outlineLevel="0" collapsed="false">
      <c r="A38" s="68" t="str">
        <f aca="false">'Item Master'!A36</f>
        <v>CDL</v>
      </c>
      <c r="B38" s="69" t="str">
        <f aca="false">'Item Master'!B36</f>
        <v>Candles / Diyas</v>
      </c>
      <c r="C38" s="68" t="str">
        <f aca="false">'Item Master'!C36</f>
        <v>Fragrance &amp; Puja</v>
      </c>
      <c r="D38" s="70" t="n">
        <f aca="false">IF('Nov-2026'!V39&lt;&gt;"",'Nov-2026'!V39,'Nov-2026'!U39)</f>
        <v>0</v>
      </c>
      <c r="E38" s="70" t="n">
        <f aca="false">IF('Dec-2026'!V39&lt;&gt;"",'Dec-2026'!V39,'Dec-2026'!U39)</f>
        <v>0</v>
      </c>
      <c r="F38" s="70" t="n">
        <f aca="false">IF('Jan-2027'!V39&lt;&gt;"",'Jan-2027'!V39,'Jan-2027'!U39)</f>
        <v>0</v>
      </c>
      <c r="G38" s="70" t="n">
        <f aca="false">IF('Feb-2027'!V39&lt;&gt;"",'Feb-2027'!V39,'Feb-2027'!U39)</f>
        <v>0</v>
      </c>
      <c r="H38" s="70" t="n">
        <f aca="false">IF('Mar-2027'!V39&lt;&gt;"",'Mar-2027'!V39,'Mar-2027'!U39)</f>
        <v>0</v>
      </c>
      <c r="I38" s="70" t="n">
        <f aca="false">IF('Apr-2027'!V39&lt;&gt;"",'Apr-2027'!V39,'Apr-2027'!U39)</f>
        <v>0</v>
      </c>
      <c r="J38" s="70" t="n">
        <f aca="false">IF('May-2027'!V39&lt;&gt;"",'May-2027'!V39,'May-2027'!U39)</f>
        <v>0</v>
      </c>
      <c r="K38" s="70" t="n">
        <f aca="false">IF('Jun-2027'!V39&lt;&gt;"",'Jun-2027'!V39,'Jun-2027'!U39)</f>
        <v>0</v>
      </c>
      <c r="L38" s="70" t="n">
        <f aca="false">IF('Jul-2027'!V39&lt;&gt;"",'Jul-2027'!V39,'Jul-2027'!U39)</f>
        <v>0</v>
      </c>
      <c r="M38" s="70" t="n">
        <f aca="false">IF('Aug-2027'!V39&lt;&gt;"",'Aug-2027'!V39,'Aug-2027'!U39)</f>
        <v>0</v>
      </c>
      <c r="N38" s="70" t="n">
        <f aca="false">IF('Sep-2027'!V39&lt;&gt;"",'Sep-2027'!V39,'Sep-2027'!U39)</f>
        <v>0</v>
      </c>
      <c r="O38" s="70" t="n">
        <f aca="false">IF('Oct-2027'!V39&lt;&gt;"",'Oct-2027'!V39,'Oct-2027'!U39)</f>
        <v>0</v>
      </c>
      <c r="P38" s="70" t="n">
        <f aca="false">N('Nov-2026'!O39)+N('Dec-2026'!O39)+N('Jan-2027'!O39)+N('Feb-2027'!O39)+N('Mar-2027'!O39)+N('Apr-2027'!O39)+N('May-2027'!O39)+N('Jun-2027'!O39)+N('Jul-2027'!O39)+N('Aug-2027'!O39)+N('Sep-2027'!O39)+N('Oct-2027'!O39)</f>
        <v>0</v>
      </c>
      <c r="Q38" s="70" t="n">
        <f aca="false">N('Nov-2026'!P39)+N('Dec-2026'!P39)+N('Jan-2027'!P39)+N('Feb-2027'!P39)+N('Mar-2027'!P39)+N('Apr-2027'!P39)+N('May-2027'!P39)+N('Jun-2027'!P39)+N('Jul-2027'!P39)+N('Aug-2027'!P39)+N('Sep-2027'!P39)+N('Oct-2027'!P39)</f>
        <v>0</v>
      </c>
      <c r="R38" s="70" t="n">
        <f aca="false">N('Nov-2026'!Q39)+N('Dec-2026'!Q39)+N('Jan-2027'!Q39)+N('Feb-2027'!Q39)+N('Mar-2027'!Q39)+N('Apr-2027'!Q39)+N('May-2027'!Q39)+N('Jun-2027'!Q39)+N('Jul-2027'!Q39)+N('Aug-2027'!Q39)+N('Sep-2027'!Q39)+N('Oct-2027'!Q39)</f>
        <v>0</v>
      </c>
      <c r="S38" s="70" t="n">
        <f aca="false">N('Nov-2026'!R39)+N('Dec-2026'!R39)+N('Jan-2027'!R39)+N('Feb-2027'!R39)+N('Mar-2027'!R39)+N('Apr-2027'!R39)+N('May-2027'!R39)+N('Jun-2027'!R39)+N('Jul-2027'!R39)+N('Aug-2027'!R39)+N('Sep-2027'!R39)+N('Oct-2027'!R39)</f>
        <v>0</v>
      </c>
      <c r="T38" s="70" t="n">
        <f aca="false">N('Nov-2026'!S39)+N('Dec-2026'!S39)+N('Jan-2027'!S39)+N('Feb-2027'!S39)+N('Mar-2027'!S39)+N('Apr-2027'!S39)+N('May-2027'!S39)+N('Jun-2027'!S39)+N('Jul-2027'!S39)+N('Aug-2027'!S39)+N('Sep-2027'!S39)+N('Oct-2027'!S39)</f>
        <v>0</v>
      </c>
      <c r="U38" s="70" t="n">
        <f aca="false">SUM(Q38:S38)</f>
        <v>0</v>
      </c>
      <c r="V38" s="71" t="n">
        <f aca="false">IFERROR(U38/MATCH($B$3,$D$6:$O$6,0),0)</f>
        <v>0</v>
      </c>
      <c r="W38" s="70" t="n">
        <f aca="false">CEILING(V38*1.5,10)</f>
        <v>0</v>
      </c>
      <c r="X38" s="70" t="n">
        <f aca="false">'Item Master'!P36</f>
        <v>100</v>
      </c>
      <c r="Y38" s="70" t="n">
        <f aca="false">INDEX(D38:O38,MATCH($B$3,$D$6:$O$6,0))</f>
        <v>0</v>
      </c>
      <c r="Z38" s="70" t="str">
        <f aca="false">IF(Y38&lt;=0,"OUT OF STOCK",IF(Y38&lt;=X38,"REORDER NOW",IF(Y38&lt;=X38*1.5,"LOW","OK")))</f>
        <v>OUT OF STOCK</v>
      </c>
    </row>
    <row r="39" customFormat="false" ht="15" hidden="false" customHeight="false" outlineLevel="0" collapsed="false">
      <c r="A39" s="64" t="str">
        <f aca="false">'Item Master'!A37</f>
        <v>BBS</v>
      </c>
      <c r="B39" s="65" t="str">
        <f aca="false">'Item Master'!B37</f>
        <v>Bahumana Bag – Small</v>
      </c>
      <c r="C39" s="64" t="str">
        <f aca="false">'Item Master'!C37</f>
        <v>Gift Packaging Material</v>
      </c>
      <c r="D39" s="66" t="n">
        <f aca="false">IF('Nov-2026'!V40&lt;&gt;"",'Nov-2026'!V40,'Nov-2026'!U40)</f>
        <v>0</v>
      </c>
      <c r="E39" s="66" t="n">
        <f aca="false">IF('Dec-2026'!V40&lt;&gt;"",'Dec-2026'!V40,'Dec-2026'!U40)</f>
        <v>0</v>
      </c>
      <c r="F39" s="66" t="n">
        <f aca="false">IF('Jan-2027'!V40&lt;&gt;"",'Jan-2027'!V40,'Jan-2027'!U40)</f>
        <v>0</v>
      </c>
      <c r="G39" s="66" t="n">
        <f aca="false">IF('Feb-2027'!V40&lt;&gt;"",'Feb-2027'!V40,'Feb-2027'!U40)</f>
        <v>0</v>
      </c>
      <c r="H39" s="66" t="n">
        <f aca="false">IF('Mar-2027'!V40&lt;&gt;"",'Mar-2027'!V40,'Mar-2027'!U40)</f>
        <v>0</v>
      </c>
      <c r="I39" s="66" t="n">
        <f aca="false">IF('Apr-2027'!V40&lt;&gt;"",'Apr-2027'!V40,'Apr-2027'!U40)</f>
        <v>0</v>
      </c>
      <c r="J39" s="66" t="n">
        <f aca="false">IF('May-2027'!V40&lt;&gt;"",'May-2027'!V40,'May-2027'!U40)</f>
        <v>0</v>
      </c>
      <c r="K39" s="66" t="n">
        <f aca="false">IF('Jun-2027'!V40&lt;&gt;"",'Jun-2027'!V40,'Jun-2027'!U40)</f>
        <v>0</v>
      </c>
      <c r="L39" s="66" t="n">
        <f aca="false">IF('Jul-2027'!V40&lt;&gt;"",'Jul-2027'!V40,'Jul-2027'!U40)</f>
        <v>0</v>
      </c>
      <c r="M39" s="66" t="n">
        <f aca="false">IF('Aug-2027'!V40&lt;&gt;"",'Aug-2027'!V40,'Aug-2027'!U40)</f>
        <v>0</v>
      </c>
      <c r="N39" s="66" t="n">
        <f aca="false">IF('Sep-2027'!V40&lt;&gt;"",'Sep-2027'!V40,'Sep-2027'!U40)</f>
        <v>0</v>
      </c>
      <c r="O39" s="66" t="n">
        <f aca="false">IF('Oct-2027'!V40&lt;&gt;"",'Oct-2027'!V40,'Oct-2027'!U40)</f>
        <v>0</v>
      </c>
      <c r="P39" s="66" t="n">
        <f aca="false">N('Nov-2026'!O40)+N('Dec-2026'!O40)+N('Jan-2027'!O40)+N('Feb-2027'!O40)+N('Mar-2027'!O40)+N('Apr-2027'!O40)+N('May-2027'!O40)+N('Jun-2027'!O40)+N('Jul-2027'!O40)+N('Aug-2027'!O40)+N('Sep-2027'!O40)+N('Oct-2027'!O40)</f>
        <v>0</v>
      </c>
      <c r="Q39" s="66" t="n">
        <f aca="false">N('Nov-2026'!P40)+N('Dec-2026'!P40)+N('Jan-2027'!P40)+N('Feb-2027'!P40)+N('Mar-2027'!P40)+N('Apr-2027'!P40)+N('May-2027'!P40)+N('Jun-2027'!P40)+N('Jul-2027'!P40)+N('Aug-2027'!P40)+N('Sep-2027'!P40)+N('Oct-2027'!P40)</f>
        <v>0</v>
      </c>
      <c r="R39" s="66" t="n">
        <f aca="false">N('Nov-2026'!Q40)+N('Dec-2026'!Q40)+N('Jan-2027'!Q40)+N('Feb-2027'!Q40)+N('Mar-2027'!Q40)+N('Apr-2027'!Q40)+N('May-2027'!Q40)+N('Jun-2027'!Q40)+N('Jul-2027'!Q40)+N('Aug-2027'!Q40)+N('Sep-2027'!Q40)+N('Oct-2027'!Q40)</f>
        <v>0</v>
      </c>
      <c r="S39" s="66" t="n">
        <f aca="false">N('Nov-2026'!R40)+N('Dec-2026'!R40)+N('Jan-2027'!R40)+N('Feb-2027'!R40)+N('Mar-2027'!R40)+N('Apr-2027'!R40)+N('May-2027'!R40)+N('Jun-2027'!R40)+N('Jul-2027'!R40)+N('Aug-2027'!R40)+N('Sep-2027'!R40)+N('Oct-2027'!R40)</f>
        <v>0</v>
      </c>
      <c r="T39" s="66" t="n">
        <f aca="false">N('Nov-2026'!S40)+N('Dec-2026'!S40)+N('Jan-2027'!S40)+N('Feb-2027'!S40)+N('Mar-2027'!S40)+N('Apr-2027'!S40)+N('May-2027'!S40)+N('Jun-2027'!S40)+N('Jul-2027'!S40)+N('Aug-2027'!S40)+N('Sep-2027'!S40)+N('Oct-2027'!S40)</f>
        <v>0</v>
      </c>
      <c r="U39" s="66" t="n">
        <f aca="false">SUM(Q39:S39)</f>
        <v>0</v>
      </c>
      <c r="V39" s="67" t="n">
        <f aca="false">IFERROR(U39/MATCH($B$3,$D$6:$O$6,0),0)</f>
        <v>0</v>
      </c>
      <c r="W39" s="66" t="n">
        <f aca="false">CEILING(V39*1.5,10)</f>
        <v>0</v>
      </c>
      <c r="X39" s="66" t="n">
        <f aca="false">'Item Master'!P37</f>
        <v>200</v>
      </c>
      <c r="Y39" s="66" t="n">
        <f aca="false">INDEX(D39:O39,MATCH($B$3,$D$6:$O$6,0))</f>
        <v>0</v>
      </c>
      <c r="Z39" s="66" t="str">
        <f aca="false">IF(Y39&lt;=0,"OUT OF STOCK",IF(Y39&lt;=X39,"REORDER NOW",IF(Y39&lt;=X39*1.5,"LOW","OK")))</f>
        <v>OUT OF STOCK</v>
      </c>
    </row>
    <row r="40" customFormat="false" ht="15" hidden="false" customHeight="false" outlineLevel="0" collapsed="false">
      <c r="A40" s="68" t="str">
        <f aca="false">'Item Master'!A38</f>
        <v>BBM</v>
      </c>
      <c r="B40" s="69" t="str">
        <f aca="false">'Item Master'!B38</f>
        <v>Bahumana Bag – Medium</v>
      </c>
      <c r="C40" s="68" t="str">
        <f aca="false">'Item Master'!C38</f>
        <v>Gift Packaging Material</v>
      </c>
      <c r="D40" s="70" t="n">
        <f aca="false">IF('Nov-2026'!V41&lt;&gt;"",'Nov-2026'!V41,'Nov-2026'!U41)</f>
        <v>0</v>
      </c>
      <c r="E40" s="70" t="n">
        <f aca="false">IF('Dec-2026'!V41&lt;&gt;"",'Dec-2026'!V41,'Dec-2026'!U41)</f>
        <v>0</v>
      </c>
      <c r="F40" s="70" t="n">
        <f aca="false">IF('Jan-2027'!V41&lt;&gt;"",'Jan-2027'!V41,'Jan-2027'!U41)</f>
        <v>0</v>
      </c>
      <c r="G40" s="70" t="n">
        <f aca="false">IF('Feb-2027'!V41&lt;&gt;"",'Feb-2027'!V41,'Feb-2027'!U41)</f>
        <v>0</v>
      </c>
      <c r="H40" s="70" t="n">
        <f aca="false">IF('Mar-2027'!V41&lt;&gt;"",'Mar-2027'!V41,'Mar-2027'!U41)</f>
        <v>0</v>
      </c>
      <c r="I40" s="70" t="n">
        <f aca="false">IF('Apr-2027'!V41&lt;&gt;"",'Apr-2027'!V41,'Apr-2027'!U41)</f>
        <v>0</v>
      </c>
      <c r="J40" s="70" t="n">
        <f aca="false">IF('May-2027'!V41&lt;&gt;"",'May-2027'!V41,'May-2027'!U41)</f>
        <v>0</v>
      </c>
      <c r="K40" s="70" t="n">
        <f aca="false">IF('Jun-2027'!V41&lt;&gt;"",'Jun-2027'!V41,'Jun-2027'!U41)</f>
        <v>0</v>
      </c>
      <c r="L40" s="70" t="n">
        <f aca="false">IF('Jul-2027'!V41&lt;&gt;"",'Jul-2027'!V41,'Jul-2027'!U41)</f>
        <v>0</v>
      </c>
      <c r="M40" s="70" t="n">
        <f aca="false">IF('Aug-2027'!V41&lt;&gt;"",'Aug-2027'!V41,'Aug-2027'!U41)</f>
        <v>0</v>
      </c>
      <c r="N40" s="70" t="n">
        <f aca="false">IF('Sep-2027'!V41&lt;&gt;"",'Sep-2027'!V41,'Sep-2027'!U41)</f>
        <v>0</v>
      </c>
      <c r="O40" s="70" t="n">
        <f aca="false">IF('Oct-2027'!V41&lt;&gt;"",'Oct-2027'!V41,'Oct-2027'!U41)</f>
        <v>0</v>
      </c>
      <c r="P40" s="70" t="n">
        <f aca="false">N('Nov-2026'!O41)+N('Dec-2026'!O41)+N('Jan-2027'!O41)+N('Feb-2027'!O41)+N('Mar-2027'!O41)+N('Apr-2027'!O41)+N('May-2027'!O41)+N('Jun-2027'!O41)+N('Jul-2027'!O41)+N('Aug-2027'!O41)+N('Sep-2027'!O41)+N('Oct-2027'!O41)</f>
        <v>0</v>
      </c>
      <c r="Q40" s="70" t="n">
        <f aca="false">N('Nov-2026'!P41)+N('Dec-2026'!P41)+N('Jan-2027'!P41)+N('Feb-2027'!P41)+N('Mar-2027'!P41)+N('Apr-2027'!P41)+N('May-2027'!P41)+N('Jun-2027'!P41)+N('Jul-2027'!P41)+N('Aug-2027'!P41)+N('Sep-2027'!P41)+N('Oct-2027'!P41)</f>
        <v>0</v>
      </c>
      <c r="R40" s="70" t="n">
        <f aca="false">N('Nov-2026'!Q41)+N('Dec-2026'!Q41)+N('Jan-2027'!Q41)+N('Feb-2027'!Q41)+N('Mar-2027'!Q41)+N('Apr-2027'!Q41)+N('May-2027'!Q41)+N('Jun-2027'!Q41)+N('Jul-2027'!Q41)+N('Aug-2027'!Q41)+N('Sep-2027'!Q41)+N('Oct-2027'!Q41)</f>
        <v>0</v>
      </c>
      <c r="S40" s="70" t="n">
        <f aca="false">N('Nov-2026'!R41)+N('Dec-2026'!R41)+N('Jan-2027'!R41)+N('Feb-2027'!R41)+N('Mar-2027'!R41)+N('Apr-2027'!R41)+N('May-2027'!R41)+N('Jun-2027'!R41)+N('Jul-2027'!R41)+N('Aug-2027'!R41)+N('Sep-2027'!R41)+N('Oct-2027'!R41)</f>
        <v>0</v>
      </c>
      <c r="T40" s="70" t="n">
        <f aca="false">N('Nov-2026'!S41)+N('Dec-2026'!S41)+N('Jan-2027'!S41)+N('Feb-2027'!S41)+N('Mar-2027'!S41)+N('Apr-2027'!S41)+N('May-2027'!S41)+N('Jun-2027'!S41)+N('Jul-2027'!S41)+N('Aug-2027'!S41)+N('Sep-2027'!S41)+N('Oct-2027'!S41)</f>
        <v>0</v>
      </c>
      <c r="U40" s="70" t="n">
        <f aca="false">SUM(Q40:S40)</f>
        <v>0</v>
      </c>
      <c r="V40" s="71" t="n">
        <f aca="false">IFERROR(U40/MATCH($B$3,$D$6:$O$6,0),0)</f>
        <v>0</v>
      </c>
      <c r="W40" s="70" t="n">
        <f aca="false">CEILING(V40*1.5,10)</f>
        <v>0</v>
      </c>
      <c r="X40" s="70" t="n">
        <f aca="false">'Item Master'!P38</f>
        <v>100</v>
      </c>
      <c r="Y40" s="70" t="n">
        <f aca="false">INDEX(D40:O40,MATCH($B$3,$D$6:$O$6,0))</f>
        <v>0</v>
      </c>
      <c r="Z40" s="70" t="str">
        <f aca="false">IF(Y40&lt;=0,"OUT OF STOCK",IF(Y40&lt;=X40,"REORDER NOW",IF(Y40&lt;=X40*1.5,"LOW","OK")))</f>
        <v>OUT OF STOCK</v>
      </c>
    </row>
    <row r="41" customFormat="false" ht="15" hidden="false" customHeight="false" outlineLevel="0" collapsed="false">
      <c r="A41" s="64" t="str">
        <f aca="false">'Item Master'!A39</f>
        <v>BBB</v>
      </c>
      <c r="B41" s="65" t="str">
        <f aca="false">'Item Master'!B39</f>
        <v>Bahumana Bag – Big</v>
      </c>
      <c r="C41" s="64" t="str">
        <f aca="false">'Item Master'!C39</f>
        <v>Gift Packaging Material</v>
      </c>
      <c r="D41" s="66" t="n">
        <f aca="false">IF('Nov-2026'!V42&lt;&gt;"",'Nov-2026'!V42,'Nov-2026'!U42)</f>
        <v>0</v>
      </c>
      <c r="E41" s="66" t="n">
        <f aca="false">IF('Dec-2026'!V42&lt;&gt;"",'Dec-2026'!V42,'Dec-2026'!U42)</f>
        <v>0</v>
      </c>
      <c r="F41" s="66" t="n">
        <f aca="false">IF('Jan-2027'!V42&lt;&gt;"",'Jan-2027'!V42,'Jan-2027'!U42)</f>
        <v>0</v>
      </c>
      <c r="G41" s="66" t="n">
        <f aca="false">IF('Feb-2027'!V42&lt;&gt;"",'Feb-2027'!V42,'Feb-2027'!U42)</f>
        <v>0</v>
      </c>
      <c r="H41" s="66" t="n">
        <f aca="false">IF('Mar-2027'!V42&lt;&gt;"",'Mar-2027'!V42,'Mar-2027'!U42)</f>
        <v>0</v>
      </c>
      <c r="I41" s="66" t="n">
        <f aca="false">IF('Apr-2027'!V42&lt;&gt;"",'Apr-2027'!V42,'Apr-2027'!U42)</f>
        <v>0</v>
      </c>
      <c r="J41" s="66" t="n">
        <f aca="false">IF('May-2027'!V42&lt;&gt;"",'May-2027'!V42,'May-2027'!U42)</f>
        <v>0</v>
      </c>
      <c r="K41" s="66" t="n">
        <f aca="false">IF('Jun-2027'!V42&lt;&gt;"",'Jun-2027'!V42,'Jun-2027'!U42)</f>
        <v>0</v>
      </c>
      <c r="L41" s="66" t="n">
        <f aca="false">IF('Jul-2027'!V42&lt;&gt;"",'Jul-2027'!V42,'Jul-2027'!U42)</f>
        <v>0</v>
      </c>
      <c r="M41" s="66" t="n">
        <f aca="false">IF('Aug-2027'!V42&lt;&gt;"",'Aug-2027'!V42,'Aug-2027'!U42)</f>
        <v>0</v>
      </c>
      <c r="N41" s="66" t="n">
        <f aca="false">IF('Sep-2027'!V42&lt;&gt;"",'Sep-2027'!V42,'Sep-2027'!U42)</f>
        <v>0</v>
      </c>
      <c r="O41" s="66" t="n">
        <f aca="false">IF('Oct-2027'!V42&lt;&gt;"",'Oct-2027'!V42,'Oct-2027'!U42)</f>
        <v>0</v>
      </c>
      <c r="P41" s="66" t="n">
        <f aca="false">N('Nov-2026'!O42)+N('Dec-2026'!O42)+N('Jan-2027'!O42)+N('Feb-2027'!O42)+N('Mar-2027'!O42)+N('Apr-2027'!O42)+N('May-2027'!O42)+N('Jun-2027'!O42)+N('Jul-2027'!O42)+N('Aug-2027'!O42)+N('Sep-2027'!O42)+N('Oct-2027'!O42)</f>
        <v>0</v>
      </c>
      <c r="Q41" s="66" t="n">
        <f aca="false">N('Nov-2026'!P42)+N('Dec-2026'!P42)+N('Jan-2027'!P42)+N('Feb-2027'!P42)+N('Mar-2027'!P42)+N('Apr-2027'!P42)+N('May-2027'!P42)+N('Jun-2027'!P42)+N('Jul-2027'!P42)+N('Aug-2027'!P42)+N('Sep-2027'!P42)+N('Oct-2027'!P42)</f>
        <v>0</v>
      </c>
      <c r="R41" s="66" t="n">
        <f aca="false">N('Nov-2026'!Q42)+N('Dec-2026'!Q42)+N('Jan-2027'!Q42)+N('Feb-2027'!Q42)+N('Mar-2027'!Q42)+N('Apr-2027'!Q42)+N('May-2027'!Q42)+N('Jun-2027'!Q42)+N('Jul-2027'!Q42)+N('Aug-2027'!Q42)+N('Sep-2027'!Q42)+N('Oct-2027'!Q42)</f>
        <v>0</v>
      </c>
      <c r="S41" s="66" t="n">
        <f aca="false">N('Nov-2026'!R42)+N('Dec-2026'!R42)+N('Jan-2027'!R42)+N('Feb-2027'!R42)+N('Mar-2027'!R42)+N('Apr-2027'!R42)+N('May-2027'!R42)+N('Jun-2027'!R42)+N('Jul-2027'!R42)+N('Aug-2027'!R42)+N('Sep-2027'!R42)+N('Oct-2027'!R42)</f>
        <v>0</v>
      </c>
      <c r="T41" s="66" t="n">
        <f aca="false">N('Nov-2026'!S42)+N('Dec-2026'!S42)+N('Jan-2027'!S42)+N('Feb-2027'!S42)+N('Mar-2027'!S42)+N('Apr-2027'!S42)+N('May-2027'!S42)+N('Jun-2027'!S42)+N('Jul-2027'!S42)+N('Aug-2027'!S42)+N('Sep-2027'!S42)+N('Oct-2027'!S42)</f>
        <v>0</v>
      </c>
      <c r="U41" s="66" t="n">
        <f aca="false">SUM(Q41:S41)</f>
        <v>0</v>
      </c>
      <c r="V41" s="67" t="n">
        <f aca="false">IFERROR(U41/MATCH($B$3,$D$6:$O$6,0),0)</f>
        <v>0</v>
      </c>
      <c r="W41" s="66" t="n">
        <f aca="false">CEILING(V41*1.5,10)</f>
        <v>0</v>
      </c>
      <c r="X41" s="66" t="n">
        <f aca="false">'Item Master'!P39</f>
        <v>50</v>
      </c>
      <c r="Y41" s="66" t="n">
        <f aca="false">INDEX(D41:O41,MATCH($B$3,$D$6:$O$6,0))</f>
        <v>0</v>
      </c>
      <c r="Z41" s="66" t="str">
        <f aca="false">IF(Y41&lt;=0,"OUT OF STOCK",IF(Y41&lt;=X41,"REORDER NOW",IF(Y41&lt;=X41*1.5,"LOW","OK")))</f>
        <v>OUT OF STOCK</v>
      </c>
    </row>
    <row r="42" customFormat="false" ht="15" hidden="false" customHeight="false" outlineLevel="0" collapsed="false">
      <c r="A42" s="68" t="str">
        <f aca="false">'Item Master'!A40</f>
        <v>PBS</v>
      </c>
      <c r="B42" s="69" t="str">
        <f aca="false">'Item Master'!B40</f>
        <v>Prasadam Box – Small</v>
      </c>
      <c r="C42" s="68" t="str">
        <f aca="false">'Item Master'!C40</f>
        <v>Prasadam Serving Material</v>
      </c>
      <c r="D42" s="70" t="n">
        <f aca="false">IF('Nov-2026'!V43&lt;&gt;"",'Nov-2026'!V43,'Nov-2026'!U43)</f>
        <v>0</v>
      </c>
      <c r="E42" s="70" t="n">
        <f aca="false">IF('Dec-2026'!V43&lt;&gt;"",'Dec-2026'!V43,'Dec-2026'!U43)</f>
        <v>0</v>
      </c>
      <c r="F42" s="70" t="n">
        <f aca="false">IF('Jan-2027'!V43&lt;&gt;"",'Jan-2027'!V43,'Jan-2027'!U43)</f>
        <v>0</v>
      </c>
      <c r="G42" s="70" t="n">
        <f aca="false">IF('Feb-2027'!V43&lt;&gt;"",'Feb-2027'!V43,'Feb-2027'!U43)</f>
        <v>0</v>
      </c>
      <c r="H42" s="70" t="n">
        <f aca="false">IF('Mar-2027'!V43&lt;&gt;"",'Mar-2027'!V43,'Mar-2027'!U43)</f>
        <v>0</v>
      </c>
      <c r="I42" s="70" t="n">
        <f aca="false">IF('Apr-2027'!V43&lt;&gt;"",'Apr-2027'!V43,'Apr-2027'!U43)</f>
        <v>0</v>
      </c>
      <c r="J42" s="70" t="n">
        <f aca="false">IF('May-2027'!V43&lt;&gt;"",'May-2027'!V43,'May-2027'!U43)</f>
        <v>0</v>
      </c>
      <c r="K42" s="70" t="n">
        <f aca="false">IF('Jun-2027'!V43&lt;&gt;"",'Jun-2027'!V43,'Jun-2027'!U43)</f>
        <v>0</v>
      </c>
      <c r="L42" s="70" t="n">
        <f aca="false">IF('Jul-2027'!V43&lt;&gt;"",'Jul-2027'!V43,'Jul-2027'!U43)</f>
        <v>0</v>
      </c>
      <c r="M42" s="70" t="n">
        <f aca="false">IF('Aug-2027'!V43&lt;&gt;"",'Aug-2027'!V43,'Aug-2027'!U43)</f>
        <v>0</v>
      </c>
      <c r="N42" s="70" t="n">
        <f aca="false">IF('Sep-2027'!V43&lt;&gt;"",'Sep-2027'!V43,'Sep-2027'!U43)</f>
        <v>0</v>
      </c>
      <c r="O42" s="70" t="n">
        <f aca="false">IF('Oct-2027'!V43&lt;&gt;"",'Oct-2027'!V43,'Oct-2027'!U43)</f>
        <v>0</v>
      </c>
      <c r="P42" s="70" t="n">
        <f aca="false">N('Nov-2026'!O43)+N('Dec-2026'!O43)+N('Jan-2027'!O43)+N('Feb-2027'!O43)+N('Mar-2027'!O43)+N('Apr-2027'!O43)+N('May-2027'!O43)+N('Jun-2027'!O43)+N('Jul-2027'!O43)+N('Aug-2027'!O43)+N('Sep-2027'!O43)+N('Oct-2027'!O43)</f>
        <v>0</v>
      </c>
      <c r="Q42" s="70" t="n">
        <f aca="false">N('Nov-2026'!P43)+N('Dec-2026'!P43)+N('Jan-2027'!P43)+N('Feb-2027'!P43)+N('Mar-2027'!P43)+N('Apr-2027'!P43)+N('May-2027'!P43)+N('Jun-2027'!P43)+N('Jul-2027'!P43)+N('Aug-2027'!P43)+N('Sep-2027'!P43)+N('Oct-2027'!P43)</f>
        <v>0</v>
      </c>
      <c r="R42" s="70" t="n">
        <f aca="false">N('Nov-2026'!Q43)+N('Dec-2026'!Q43)+N('Jan-2027'!Q43)+N('Feb-2027'!Q43)+N('Mar-2027'!Q43)+N('Apr-2027'!Q43)+N('May-2027'!Q43)+N('Jun-2027'!Q43)+N('Jul-2027'!Q43)+N('Aug-2027'!Q43)+N('Sep-2027'!Q43)+N('Oct-2027'!Q43)</f>
        <v>0</v>
      </c>
      <c r="S42" s="70" t="n">
        <f aca="false">N('Nov-2026'!R43)+N('Dec-2026'!R43)+N('Jan-2027'!R43)+N('Feb-2027'!R43)+N('Mar-2027'!R43)+N('Apr-2027'!R43)+N('May-2027'!R43)+N('Jun-2027'!R43)+N('Jul-2027'!R43)+N('Aug-2027'!R43)+N('Sep-2027'!R43)+N('Oct-2027'!R43)</f>
        <v>0</v>
      </c>
      <c r="T42" s="70" t="n">
        <f aca="false">N('Nov-2026'!S43)+N('Dec-2026'!S43)+N('Jan-2027'!S43)+N('Feb-2027'!S43)+N('Mar-2027'!S43)+N('Apr-2027'!S43)+N('May-2027'!S43)+N('Jun-2027'!S43)+N('Jul-2027'!S43)+N('Aug-2027'!S43)+N('Sep-2027'!S43)+N('Oct-2027'!S43)</f>
        <v>0</v>
      </c>
      <c r="U42" s="70" t="n">
        <f aca="false">SUM(Q42:S42)</f>
        <v>0</v>
      </c>
      <c r="V42" s="71" t="n">
        <f aca="false">IFERROR(U42/MATCH($B$3,$D$6:$O$6,0),0)</f>
        <v>0</v>
      </c>
      <c r="W42" s="70" t="n">
        <f aca="false">CEILING(V42*1.5,10)</f>
        <v>0</v>
      </c>
      <c r="X42" s="70" t="n">
        <f aca="false">'Item Master'!P40</f>
        <v>300</v>
      </c>
      <c r="Y42" s="70" t="n">
        <f aca="false">INDEX(D42:O42,MATCH($B$3,$D$6:$O$6,0))</f>
        <v>0</v>
      </c>
      <c r="Z42" s="70" t="str">
        <f aca="false">IF(Y42&lt;=0,"OUT OF STOCK",IF(Y42&lt;=X42,"REORDER NOW",IF(Y42&lt;=X42*1.5,"LOW","OK")))</f>
        <v>OUT OF STOCK</v>
      </c>
    </row>
    <row r="43" customFormat="false" ht="15" hidden="false" customHeight="false" outlineLevel="0" collapsed="false">
      <c r="A43" s="64" t="str">
        <f aca="false">'Item Master'!A41</f>
        <v>PBB</v>
      </c>
      <c r="B43" s="65" t="str">
        <f aca="false">'Item Master'!B41</f>
        <v>Prasadam Box – Big</v>
      </c>
      <c r="C43" s="64" t="str">
        <f aca="false">'Item Master'!C41</f>
        <v>Prasadam Serving Material</v>
      </c>
      <c r="D43" s="66" t="n">
        <f aca="false">IF('Nov-2026'!V44&lt;&gt;"",'Nov-2026'!V44,'Nov-2026'!U44)</f>
        <v>0</v>
      </c>
      <c r="E43" s="66" t="n">
        <f aca="false">IF('Dec-2026'!V44&lt;&gt;"",'Dec-2026'!V44,'Dec-2026'!U44)</f>
        <v>0</v>
      </c>
      <c r="F43" s="66" t="n">
        <f aca="false">IF('Jan-2027'!V44&lt;&gt;"",'Jan-2027'!V44,'Jan-2027'!U44)</f>
        <v>0</v>
      </c>
      <c r="G43" s="66" t="n">
        <f aca="false">IF('Feb-2027'!V44&lt;&gt;"",'Feb-2027'!V44,'Feb-2027'!U44)</f>
        <v>0</v>
      </c>
      <c r="H43" s="66" t="n">
        <f aca="false">IF('Mar-2027'!V44&lt;&gt;"",'Mar-2027'!V44,'Mar-2027'!U44)</f>
        <v>0</v>
      </c>
      <c r="I43" s="66" t="n">
        <f aca="false">IF('Apr-2027'!V44&lt;&gt;"",'Apr-2027'!V44,'Apr-2027'!U44)</f>
        <v>0</v>
      </c>
      <c r="J43" s="66" t="n">
        <f aca="false">IF('May-2027'!V44&lt;&gt;"",'May-2027'!V44,'May-2027'!U44)</f>
        <v>0</v>
      </c>
      <c r="K43" s="66" t="n">
        <f aca="false">IF('Jun-2027'!V44&lt;&gt;"",'Jun-2027'!V44,'Jun-2027'!U44)</f>
        <v>0</v>
      </c>
      <c r="L43" s="66" t="n">
        <f aca="false">IF('Jul-2027'!V44&lt;&gt;"",'Jul-2027'!V44,'Jul-2027'!U44)</f>
        <v>0</v>
      </c>
      <c r="M43" s="66" t="n">
        <f aca="false">IF('Aug-2027'!V44&lt;&gt;"",'Aug-2027'!V44,'Aug-2027'!U44)</f>
        <v>0</v>
      </c>
      <c r="N43" s="66" t="n">
        <f aca="false">IF('Sep-2027'!V44&lt;&gt;"",'Sep-2027'!V44,'Sep-2027'!U44)</f>
        <v>0</v>
      </c>
      <c r="O43" s="66" t="n">
        <f aca="false">IF('Oct-2027'!V44&lt;&gt;"",'Oct-2027'!V44,'Oct-2027'!U44)</f>
        <v>0</v>
      </c>
      <c r="P43" s="66" t="n">
        <f aca="false">N('Nov-2026'!O44)+N('Dec-2026'!O44)+N('Jan-2027'!O44)+N('Feb-2027'!O44)+N('Mar-2027'!O44)+N('Apr-2027'!O44)+N('May-2027'!O44)+N('Jun-2027'!O44)+N('Jul-2027'!O44)+N('Aug-2027'!O44)+N('Sep-2027'!O44)+N('Oct-2027'!O44)</f>
        <v>0</v>
      </c>
      <c r="Q43" s="66" t="n">
        <f aca="false">N('Nov-2026'!P44)+N('Dec-2026'!P44)+N('Jan-2027'!P44)+N('Feb-2027'!P44)+N('Mar-2027'!P44)+N('Apr-2027'!P44)+N('May-2027'!P44)+N('Jun-2027'!P44)+N('Jul-2027'!P44)+N('Aug-2027'!P44)+N('Sep-2027'!P44)+N('Oct-2027'!P44)</f>
        <v>0</v>
      </c>
      <c r="R43" s="66" t="n">
        <f aca="false">N('Nov-2026'!Q44)+N('Dec-2026'!Q44)+N('Jan-2027'!Q44)+N('Feb-2027'!Q44)+N('Mar-2027'!Q44)+N('Apr-2027'!Q44)+N('May-2027'!Q44)+N('Jun-2027'!Q44)+N('Jul-2027'!Q44)+N('Aug-2027'!Q44)+N('Sep-2027'!Q44)+N('Oct-2027'!Q44)</f>
        <v>0</v>
      </c>
      <c r="S43" s="66" t="n">
        <f aca="false">N('Nov-2026'!R44)+N('Dec-2026'!R44)+N('Jan-2027'!R44)+N('Feb-2027'!R44)+N('Mar-2027'!R44)+N('Apr-2027'!R44)+N('May-2027'!R44)+N('Jun-2027'!R44)+N('Jul-2027'!R44)+N('Aug-2027'!R44)+N('Sep-2027'!R44)+N('Oct-2027'!R44)</f>
        <v>0</v>
      </c>
      <c r="T43" s="66" t="n">
        <f aca="false">N('Nov-2026'!S44)+N('Dec-2026'!S44)+N('Jan-2027'!S44)+N('Feb-2027'!S44)+N('Mar-2027'!S44)+N('Apr-2027'!S44)+N('May-2027'!S44)+N('Jun-2027'!S44)+N('Jul-2027'!S44)+N('Aug-2027'!S44)+N('Sep-2027'!S44)+N('Oct-2027'!S44)</f>
        <v>0</v>
      </c>
      <c r="U43" s="66" t="n">
        <f aca="false">SUM(Q43:S43)</f>
        <v>0</v>
      </c>
      <c r="V43" s="67" t="n">
        <f aca="false">IFERROR(U43/MATCH($B$3,$D$6:$O$6,0),0)</f>
        <v>0</v>
      </c>
      <c r="W43" s="66" t="n">
        <f aca="false">CEILING(V43*1.5,10)</f>
        <v>0</v>
      </c>
      <c r="X43" s="66" t="n">
        <f aca="false">'Item Master'!P41</f>
        <v>100</v>
      </c>
      <c r="Y43" s="66" t="n">
        <f aca="false">INDEX(D43:O43,MATCH($B$3,$D$6:$O$6,0))</f>
        <v>0</v>
      </c>
      <c r="Z43" s="66" t="str">
        <f aca="false">IF(Y43&lt;=0,"OUT OF STOCK",IF(Y43&lt;=X43,"REORDER NOW",IF(Y43&lt;=X43*1.5,"LOW","OK")))</f>
        <v>OUT OF STOCK</v>
      </c>
    </row>
    <row r="44" customFormat="false" ht="15" hidden="false" customHeight="false" outlineLevel="0" collapsed="false">
      <c r="A44" s="68" t="str">
        <f aca="false">'Item Master'!A42</f>
        <v>BPC</v>
      </c>
      <c r="B44" s="69" t="str">
        <f aca="false">'Item Master'!B42</f>
        <v>Butter Paper Cover – "Always Remember Krishna, Never Forget Krishna"</v>
      </c>
      <c r="C44" s="68" t="str">
        <f aca="false">'Item Master'!C42</f>
        <v>Prasadam Serving Material</v>
      </c>
      <c r="D44" s="70" t="n">
        <f aca="false">IF('Nov-2026'!V45&lt;&gt;"",'Nov-2026'!V45,'Nov-2026'!U45)</f>
        <v>0</v>
      </c>
      <c r="E44" s="70" t="n">
        <f aca="false">IF('Dec-2026'!V45&lt;&gt;"",'Dec-2026'!V45,'Dec-2026'!U45)</f>
        <v>0</v>
      </c>
      <c r="F44" s="70" t="n">
        <f aca="false">IF('Jan-2027'!V45&lt;&gt;"",'Jan-2027'!V45,'Jan-2027'!U45)</f>
        <v>0</v>
      </c>
      <c r="G44" s="70" t="n">
        <f aca="false">IF('Feb-2027'!V45&lt;&gt;"",'Feb-2027'!V45,'Feb-2027'!U45)</f>
        <v>0</v>
      </c>
      <c r="H44" s="70" t="n">
        <f aca="false">IF('Mar-2027'!V45&lt;&gt;"",'Mar-2027'!V45,'Mar-2027'!U45)</f>
        <v>0</v>
      </c>
      <c r="I44" s="70" t="n">
        <f aca="false">IF('Apr-2027'!V45&lt;&gt;"",'Apr-2027'!V45,'Apr-2027'!U45)</f>
        <v>0</v>
      </c>
      <c r="J44" s="70" t="n">
        <f aca="false">IF('May-2027'!V45&lt;&gt;"",'May-2027'!V45,'May-2027'!U45)</f>
        <v>0</v>
      </c>
      <c r="K44" s="70" t="n">
        <f aca="false">IF('Jun-2027'!V45&lt;&gt;"",'Jun-2027'!V45,'Jun-2027'!U45)</f>
        <v>0</v>
      </c>
      <c r="L44" s="70" t="n">
        <f aca="false">IF('Jul-2027'!V45&lt;&gt;"",'Jul-2027'!V45,'Jul-2027'!U45)</f>
        <v>0</v>
      </c>
      <c r="M44" s="70" t="n">
        <f aca="false">IF('Aug-2027'!V45&lt;&gt;"",'Aug-2027'!V45,'Aug-2027'!U45)</f>
        <v>0</v>
      </c>
      <c r="N44" s="70" t="n">
        <f aca="false">IF('Sep-2027'!V45&lt;&gt;"",'Sep-2027'!V45,'Sep-2027'!U45)</f>
        <v>0</v>
      </c>
      <c r="O44" s="70" t="n">
        <f aca="false">IF('Oct-2027'!V45&lt;&gt;"",'Oct-2027'!V45,'Oct-2027'!U45)</f>
        <v>0</v>
      </c>
      <c r="P44" s="70" t="n">
        <f aca="false">N('Nov-2026'!O45)+N('Dec-2026'!O45)+N('Jan-2027'!O45)+N('Feb-2027'!O45)+N('Mar-2027'!O45)+N('Apr-2027'!O45)+N('May-2027'!O45)+N('Jun-2027'!O45)+N('Jul-2027'!O45)+N('Aug-2027'!O45)+N('Sep-2027'!O45)+N('Oct-2027'!O45)</f>
        <v>0</v>
      </c>
      <c r="Q44" s="70" t="n">
        <f aca="false">N('Nov-2026'!P45)+N('Dec-2026'!P45)+N('Jan-2027'!P45)+N('Feb-2027'!P45)+N('Mar-2027'!P45)+N('Apr-2027'!P45)+N('May-2027'!P45)+N('Jun-2027'!P45)+N('Jul-2027'!P45)+N('Aug-2027'!P45)+N('Sep-2027'!P45)+N('Oct-2027'!P45)</f>
        <v>0</v>
      </c>
      <c r="R44" s="70" t="n">
        <f aca="false">N('Nov-2026'!Q45)+N('Dec-2026'!Q45)+N('Jan-2027'!Q45)+N('Feb-2027'!Q45)+N('Mar-2027'!Q45)+N('Apr-2027'!Q45)+N('May-2027'!Q45)+N('Jun-2027'!Q45)+N('Jul-2027'!Q45)+N('Aug-2027'!Q45)+N('Sep-2027'!Q45)+N('Oct-2027'!Q45)</f>
        <v>0</v>
      </c>
      <c r="S44" s="70" t="n">
        <f aca="false">N('Nov-2026'!R45)+N('Dec-2026'!R45)+N('Jan-2027'!R45)+N('Feb-2027'!R45)+N('Mar-2027'!R45)+N('Apr-2027'!R45)+N('May-2027'!R45)+N('Jun-2027'!R45)+N('Jul-2027'!R45)+N('Aug-2027'!R45)+N('Sep-2027'!R45)+N('Oct-2027'!R45)</f>
        <v>0</v>
      </c>
      <c r="T44" s="70" t="n">
        <f aca="false">N('Nov-2026'!S45)+N('Dec-2026'!S45)+N('Jan-2027'!S45)+N('Feb-2027'!S45)+N('Mar-2027'!S45)+N('Apr-2027'!S45)+N('May-2027'!S45)+N('Jun-2027'!S45)+N('Jul-2027'!S45)+N('Aug-2027'!S45)+N('Sep-2027'!S45)+N('Oct-2027'!S45)</f>
        <v>0</v>
      </c>
      <c r="U44" s="70" t="n">
        <f aca="false">SUM(Q44:S44)</f>
        <v>0</v>
      </c>
      <c r="V44" s="71" t="n">
        <f aca="false">IFERROR(U44/MATCH($B$3,$D$6:$O$6,0),0)</f>
        <v>0</v>
      </c>
      <c r="W44" s="70" t="n">
        <f aca="false">CEILING(V44*1.5,10)</f>
        <v>0</v>
      </c>
      <c r="X44" s="70" t="n">
        <f aca="false">'Item Master'!P42</f>
        <v>500</v>
      </c>
      <c r="Y44" s="70" t="n">
        <f aca="false">INDEX(D44:O44,MATCH($B$3,$D$6:$O$6,0))</f>
        <v>0</v>
      </c>
      <c r="Z44" s="70" t="str">
        <f aca="false">IF(Y44&lt;=0,"OUT OF STOCK",IF(Y44&lt;=X44,"REORDER NOW",IF(Y44&lt;=X44*1.5,"LOW","OK")))</f>
        <v>OUT OF STOCK</v>
      </c>
    </row>
    <row r="45" customFormat="false" ht="15" hidden="false" customHeight="false" outlineLevel="0" collapsed="false">
      <c r="A45" s="64" t="str">
        <f aca="false">'Item Master'!A43</f>
        <v>MPT</v>
      </c>
      <c r="B45" s="65" t="str">
        <f aca="false">'Item Master'!B43</f>
        <v>Mud Pots (Pongal / Kichadi Prasadam)</v>
      </c>
      <c r="C45" s="64" t="str">
        <f aca="false">'Item Master'!C43</f>
        <v>Prasadam Serving Material</v>
      </c>
      <c r="D45" s="66" t="n">
        <f aca="false">IF('Nov-2026'!V46&lt;&gt;"",'Nov-2026'!V46,'Nov-2026'!U46)</f>
        <v>0</v>
      </c>
      <c r="E45" s="66" t="n">
        <f aca="false">IF('Dec-2026'!V46&lt;&gt;"",'Dec-2026'!V46,'Dec-2026'!U46)</f>
        <v>0</v>
      </c>
      <c r="F45" s="66" t="n">
        <f aca="false">IF('Jan-2027'!V46&lt;&gt;"",'Jan-2027'!V46,'Jan-2027'!U46)</f>
        <v>0</v>
      </c>
      <c r="G45" s="66" t="n">
        <f aca="false">IF('Feb-2027'!V46&lt;&gt;"",'Feb-2027'!V46,'Feb-2027'!U46)</f>
        <v>0</v>
      </c>
      <c r="H45" s="66" t="n">
        <f aca="false">IF('Mar-2027'!V46&lt;&gt;"",'Mar-2027'!V46,'Mar-2027'!U46)</f>
        <v>0</v>
      </c>
      <c r="I45" s="66" t="n">
        <f aca="false">IF('Apr-2027'!V46&lt;&gt;"",'Apr-2027'!V46,'Apr-2027'!U46)</f>
        <v>0</v>
      </c>
      <c r="J45" s="66" t="n">
        <f aca="false">IF('May-2027'!V46&lt;&gt;"",'May-2027'!V46,'May-2027'!U46)</f>
        <v>0</v>
      </c>
      <c r="K45" s="66" t="n">
        <f aca="false">IF('Jun-2027'!V46&lt;&gt;"",'Jun-2027'!V46,'Jun-2027'!U46)</f>
        <v>0</v>
      </c>
      <c r="L45" s="66" t="n">
        <f aca="false">IF('Jul-2027'!V46&lt;&gt;"",'Jul-2027'!V46,'Jul-2027'!U46)</f>
        <v>0</v>
      </c>
      <c r="M45" s="66" t="n">
        <f aca="false">IF('Aug-2027'!V46&lt;&gt;"",'Aug-2027'!V46,'Aug-2027'!U46)</f>
        <v>0</v>
      </c>
      <c r="N45" s="66" t="n">
        <f aca="false">IF('Sep-2027'!V46&lt;&gt;"",'Sep-2027'!V46,'Sep-2027'!U46)</f>
        <v>0</v>
      </c>
      <c r="O45" s="66" t="n">
        <f aca="false">IF('Oct-2027'!V46&lt;&gt;"",'Oct-2027'!V46,'Oct-2027'!U46)</f>
        <v>0</v>
      </c>
      <c r="P45" s="66" t="n">
        <f aca="false">N('Nov-2026'!O46)+N('Dec-2026'!O46)+N('Jan-2027'!O46)+N('Feb-2027'!O46)+N('Mar-2027'!O46)+N('Apr-2027'!O46)+N('May-2027'!O46)+N('Jun-2027'!O46)+N('Jul-2027'!O46)+N('Aug-2027'!O46)+N('Sep-2027'!O46)+N('Oct-2027'!O46)</f>
        <v>0</v>
      </c>
      <c r="Q45" s="66" t="n">
        <f aca="false">N('Nov-2026'!P46)+N('Dec-2026'!P46)+N('Jan-2027'!P46)+N('Feb-2027'!P46)+N('Mar-2027'!P46)+N('Apr-2027'!P46)+N('May-2027'!P46)+N('Jun-2027'!P46)+N('Jul-2027'!P46)+N('Aug-2027'!P46)+N('Sep-2027'!P46)+N('Oct-2027'!P46)</f>
        <v>0</v>
      </c>
      <c r="R45" s="66" t="n">
        <f aca="false">N('Nov-2026'!Q46)+N('Dec-2026'!Q46)+N('Jan-2027'!Q46)+N('Feb-2027'!Q46)+N('Mar-2027'!Q46)+N('Apr-2027'!Q46)+N('May-2027'!Q46)+N('Jun-2027'!Q46)+N('Jul-2027'!Q46)+N('Aug-2027'!Q46)+N('Sep-2027'!Q46)+N('Oct-2027'!Q46)</f>
        <v>0</v>
      </c>
      <c r="S45" s="66" t="n">
        <f aca="false">N('Nov-2026'!R46)+N('Dec-2026'!R46)+N('Jan-2027'!R46)+N('Feb-2027'!R46)+N('Mar-2027'!R46)+N('Apr-2027'!R46)+N('May-2027'!R46)+N('Jun-2027'!R46)+N('Jul-2027'!R46)+N('Aug-2027'!R46)+N('Sep-2027'!R46)+N('Oct-2027'!R46)</f>
        <v>0</v>
      </c>
      <c r="T45" s="66" t="n">
        <f aca="false">N('Nov-2026'!S46)+N('Dec-2026'!S46)+N('Jan-2027'!S46)+N('Feb-2027'!S46)+N('Mar-2027'!S46)+N('Apr-2027'!S46)+N('May-2027'!S46)+N('Jun-2027'!S46)+N('Jul-2027'!S46)+N('Aug-2027'!S46)+N('Sep-2027'!S46)+N('Oct-2027'!S46)</f>
        <v>0</v>
      </c>
      <c r="U45" s="66" t="n">
        <f aca="false">SUM(Q45:S45)</f>
        <v>0</v>
      </c>
      <c r="V45" s="67" t="n">
        <f aca="false">IFERROR(U45/MATCH($B$3,$D$6:$O$6,0),0)</f>
        <v>0</v>
      </c>
      <c r="W45" s="66" t="n">
        <f aca="false">CEILING(V45*1.5,10)</f>
        <v>0</v>
      </c>
      <c r="X45" s="66" t="n">
        <f aca="false">'Item Master'!P43</f>
        <v>100</v>
      </c>
      <c r="Y45" s="66" t="n">
        <f aca="false">INDEX(D45:O45,MATCH($B$3,$D$6:$O$6,0))</f>
        <v>0</v>
      </c>
      <c r="Z45" s="66" t="str">
        <f aca="false">IF(Y45&lt;=0,"OUT OF STOCK",IF(Y45&lt;=X45,"REORDER NOW",IF(Y45&lt;=X45*1.5,"LOW","OK")))</f>
        <v>OUT OF STOCK</v>
      </c>
    </row>
    <row r="46" customFormat="false" ht="15" hidden="false" customHeight="false" outlineLevel="0" collapsed="false">
      <c r="A46" s="68" t="str">
        <f aca="false">'Item Master'!A44</f>
        <v>BTS</v>
      </c>
      <c r="B46" s="69" t="str">
        <f aca="false">'Item Master'!B44</f>
        <v>Bento Box – Small</v>
      </c>
      <c r="C46" s="68" t="str">
        <f aca="false">'Item Master'!C44</f>
        <v>Prasadam Serving Material</v>
      </c>
      <c r="D46" s="70" t="n">
        <f aca="false">IF('Nov-2026'!V47&lt;&gt;"",'Nov-2026'!V47,'Nov-2026'!U47)</f>
        <v>0</v>
      </c>
      <c r="E46" s="70" t="n">
        <f aca="false">IF('Dec-2026'!V47&lt;&gt;"",'Dec-2026'!V47,'Dec-2026'!U47)</f>
        <v>0</v>
      </c>
      <c r="F46" s="70" t="n">
        <f aca="false">IF('Jan-2027'!V47&lt;&gt;"",'Jan-2027'!V47,'Jan-2027'!U47)</f>
        <v>0</v>
      </c>
      <c r="G46" s="70" t="n">
        <f aca="false">IF('Feb-2027'!V47&lt;&gt;"",'Feb-2027'!V47,'Feb-2027'!U47)</f>
        <v>0</v>
      </c>
      <c r="H46" s="70" t="n">
        <f aca="false">IF('Mar-2027'!V47&lt;&gt;"",'Mar-2027'!V47,'Mar-2027'!U47)</f>
        <v>0</v>
      </c>
      <c r="I46" s="70" t="n">
        <f aca="false">IF('Apr-2027'!V47&lt;&gt;"",'Apr-2027'!V47,'Apr-2027'!U47)</f>
        <v>0</v>
      </c>
      <c r="J46" s="70" t="n">
        <f aca="false">IF('May-2027'!V47&lt;&gt;"",'May-2027'!V47,'May-2027'!U47)</f>
        <v>0</v>
      </c>
      <c r="K46" s="70" t="n">
        <f aca="false">IF('Jun-2027'!V47&lt;&gt;"",'Jun-2027'!V47,'Jun-2027'!U47)</f>
        <v>0</v>
      </c>
      <c r="L46" s="70" t="n">
        <f aca="false">IF('Jul-2027'!V47&lt;&gt;"",'Jul-2027'!V47,'Jul-2027'!U47)</f>
        <v>0</v>
      </c>
      <c r="M46" s="70" t="n">
        <f aca="false">IF('Aug-2027'!V47&lt;&gt;"",'Aug-2027'!V47,'Aug-2027'!U47)</f>
        <v>0</v>
      </c>
      <c r="N46" s="70" t="n">
        <f aca="false">IF('Sep-2027'!V47&lt;&gt;"",'Sep-2027'!V47,'Sep-2027'!U47)</f>
        <v>0</v>
      </c>
      <c r="O46" s="70" t="n">
        <f aca="false">IF('Oct-2027'!V47&lt;&gt;"",'Oct-2027'!V47,'Oct-2027'!U47)</f>
        <v>0</v>
      </c>
      <c r="P46" s="70" t="n">
        <f aca="false">N('Nov-2026'!O47)+N('Dec-2026'!O47)+N('Jan-2027'!O47)+N('Feb-2027'!O47)+N('Mar-2027'!O47)+N('Apr-2027'!O47)+N('May-2027'!O47)+N('Jun-2027'!O47)+N('Jul-2027'!O47)+N('Aug-2027'!O47)+N('Sep-2027'!O47)+N('Oct-2027'!O47)</f>
        <v>0</v>
      </c>
      <c r="Q46" s="70" t="n">
        <f aca="false">N('Nov-2026'!P47)+N('Dec-2026'!P47)+N('Jan-2027'!P47)+N('Feb-2027'!P47)+N('Mar-2027'!P47)+N('Apr-2027'!P47)+N('May-2027'!P47)+N('Jun-2027'!P47)+N('Jul-2027'!P47)+N('Aug-2027'!P47)+N('Sep-2027'!P47)+N('Oct-2027'!P47)</f>
        <v>0</v>
      </c>
      <c r="R46" s="70" t="n">
        <f aca="false">N('Nov-2026'!Q47)+N('Dec-2026'!Q47)+N('Jan-2027'!Q47)+N('Feb-2027'!Q47)+N('Mar-2027'!Q47)+N('Apr-2027'!Q47)+N('May-2027'!Q47)+N('Jun-2027'!Q47)+N('Jul-2027'!Q47)+N('Aug-2027'!Q47)+N('Sep-2027'!Q47)+N('Oct-2027'!Q47)</f>
        <v>0</v>
      </c>
      <c r="S46" s="70" t="n">
        <f aca="false">N('Nov-2026'!R47)+N('Dec-2026'!R47)+N('Jan-2027'!R47)+N('Feb-2027'!R47)+N('Mar-2027'!R47)+N('Apr-2027'!R47)+N('May-2027'!R47)+N('Jun-2027'!R47)+N('Jul-2027'!R47)+N('Aug-2027'!R47)+N('Sep-2027'!R47)+N('Oct-2027'!R47)</f>
        <v>0</v>
      </c>
      <c r="T46" s="70" t="n">
        <f aca="false">N('Nov-2026'!S47)+N('Dec-2026'!S47)+N('Jan-2027'!S47)+N('Feb-2027'!S47)+N('Mar-2027'!S47)+N('Apr-2027'!S47)+N('May-2027'!S47)+N('Jun-2027'!S47)+N('Jul-2027'!S47)+N('Aug-2027'!S47)+N('Sep-2027'!S47)+N('Oct-2027'!S47)</f>
        <v>0</v>
      </c>
      <c r="U46" s="70" t="n">
        <f aca="false">SUM(Q46:S46)</f>
        <v>0</v>
      </c>
      <c r="V46" s="71" t="n">
        <f aca="false">IFERROR(U46/MATCH($B$3,$D$6:$O$6,0),0)</f>
        <v>0</v>
      </c>
      <c r="W46" s="70" t="n">
        <f aca="false">CEILING(V46*1.5,10)</f>
        <v>0</v>
      </c>
      <c r="X46" s="70" t="n">
        <f aca="false">'Item Master'!P44</f>
        <v>100</v>
      </c>
      <c r="Y46" s="70" t="n">
        <f aca="false">INDEX(D46:O46,MATCH($B$3,$D$6:$O$6,0))</f>
        <v>0</v>
      </c>
      <c r="Z46" s="70" t="str">
        <f aca="false">IF(Y46&lt;=0,"OUT OF STOCK",IF(Y46&lt;=X46,"REORDER NOW",IF(Y46&lt;=X46*1.5,"LOW","OK")))</f>
        <v>OUT OF STOCK</v>
      </c>
    </row>
    <row r="47" customFormat="false" ht="15" hidden="false" customHeight="false" outlineLevel="0" collapsed="false">
      <c r="A47" s="64" t="str">
        <f aca="false">'Item Master'!A45</f>
        <v>BTM</v>
      </c>
      <c r="B47" s="65" t="str">
        <f aca="false">'Item Master'!B45</f>
        <v>Bento Box – Medium</v>
      </c>
      <c r="C47" s="64" t="str">
        <f aca="false">'Item Master'!C45</f>
        <v>Prasadam Serving Material</v>
      </c>
      <c r="D47" s="66" t="n">
        <f aca="false">IF('Nov-2026'!V48&lt;&gt;"",'Nov-2026'!V48,'Nov-2026'!U48)</f>
        <v>0</v>
      </c>
      <c r="E47" s="66" t="n">
        <f aca="false">IF('Dec-2026'!V48&lt;&gt;"",'Dec-2026'!V48,'Dec-2026'!U48)</f>
        <v>0</v>
      </c>
      <c r="F47" s="66" t="n">
        <f aca="false">IF('Jan-2027'!V48&lt;&gt;"",'Jan-2027'!V48,'Jan-2027'!U48)</f>
        <v>0</v>
      </c>
      <c r="G47" s="66" t="n">
        <f aca="false">IF('Feb-2027'!V48&lt;&gt;"",'Feb-2027'!V48,'Feb-2027'!U48)</f>
        <v>0</v>
      </c>
      <c r="H47" s="66" t="n">
        <f aca="false">IF('Mar-2027'!V48&lt;&gt;"",'Mar-2027'!V48,'Mar-2027'!U48)</f>
        <v>0</v>
      </c>
      <c r="I47" s="66" t="n">
        <f aca="false">IF('Apr-2027'!V48&lt;&gt;"",'Apr-2027'!V48,'Apr-2027'!U48)</f>
        <v>0</v>
      </c>
      <c r="J47" s="66" t="n">
        <f aca="false">IF('May-2027'!V48&lt;&gt;"",'May-2027'!V48,'May-2027'!U48)</f>
        <v>0</v>
      </c>
      <c r="K47" s="66" t="n">
        <f aca="false">IF('Jun-2027'!V48&lt;&gt;"",'Jun-2027'!V48,'Jun-2027'!U48)</f>
        <v>0</v>
      </c>
      <c r="L47" s="66" t="n">
        <f aca="false">IF('Jul-2027'!V48&lt;&gt;"",'Jul-2027'!V48,'Jul-2027'!U48)</f>
        <v>0</v>
      </c>
      <c r="M47" s="66" t="n">
        <f aca="false">IF('Aug-2027'!V48&lt;&gt;"",'Aug-2027'!V48,'Aug-2027'!U48)</f>
        <v>0</v>
      </c>
      <c r="N47" s="66" t="n">
        <f aca="false">IF('Sep-2027'!V48&lt;&gt;"",'Sep-2027'!V48,'Sep-2027'!U48)</f>
        <v>0</v>
      </c>
      <c r="O47" s="66" t="n">
        <f aca="false">IF('Oct-2027'!V48&lt;&gt;"",'Oct-2027'!V48,'Oct-2027'!U48)</f>
        <v>0</v>
      </c>
      <c r="P47" s="66" t="n">
        <f aca="false">N('Nov-2026'!O48)+N('Dec-2026'!O48)+N('Jan-2027'!O48)+N('Feb-2027'!O48)+N('Mar-2027'!O48)+N('Apr-2027'!O48)+N('May-2027'!O48)+N('Jun-2027'!O48)+N('Jul-2027'!O48)+N('Aug-2027'!O48)+N('Sep-2027'!O48)+N('Oct-2027'!O48)</f>
        <v>0</v>
      </c>
      <c r="Q47" s="66" t="n">
        <f aca="false">N('Nov-2026'!P48)+N('Dec-2026'!P48)+N('Jan-2027'!P48)+N('Feb-2027'!P48)+N('Mar-2027'!P48)+N('Apr-2027'!P48)+N('May-2027'!P48)+N('Jun-2027'!P48)+N('Jul-2027'!P48)+N('Aug-2027'!P48)+N('Sep-2027'!P48)+N('Oct-2027'!P48)</f>
        <v>0</v>
      </c>
      <c r="R47" s="66" t="n">
        <f aca="false">N('Nov-2026'!Q48)+N('Dec-2026'!Q48)+N('Jan-2027'!Q48)+N('Feb-2027'!Q48)+N('Mar-2027'!Q48)+N('Apr-2027'!Q48)+N('May-2027'!Q48)+N('Jun-2027'!Q48)+N('Jul-2027'!Q48)+N('Aug-2027'!Q48)+N('Sep-2027'!Q48)+N('Oct-2027'!Q48)</f>
        <v>0</v>
      </c>
      <c r="S47" s="66" t="n">
        <f aca="false">N('Nov-2026'!R48)+N('Dec-2026'!R48)+N('Jan-2027'!R48)+N('Feb-2027'!R48)+N('Mar-2027'!R48)+N('Apr-2027'!R48)+N('May-2027'!R48)+N('Jun-2027'!R48)+N('Jul-2027'!R48)+N('Aug-2027'!R48)+N('Sep-2027'!R48)+N('Oct-2027'!R48)</f>
        <v>0</v>
      </c>
      <c r="T47" s="66" t="n">
        <f aca="false">N('Nov-2026'!S48)+N('Dec-2026'!S48)+N('Jan-2027'!S48)+N('Feb-2027'!S48)+N('Mar-2027'!S48)+N('Apr-2027'!S48)+N('May-2027'!S48)+N('Jun-2027'!S48)+N('Jul-2027'!S48)+N('Aug-2027'!S48)+N('Sep-2027'!S48)+N('Oct-2027'!S48)</f>
        <v>0</v>
      </c>
      <c r="U47" s="66" t="n">
        <f aca="false">SUM(Q47:S47)</f>
        <v>0</v>
      </c>
      <c r="V47" s="67" t="n">
        <f aca="false">IFERROR(U47/MATCH($B$3,$D$6:$O$6,0),0)</f>
        <v>0</v>
      </c>
      <c r="W47" s="66" t="n">
        <f aca="false">CEILING(V47*1.5,10)</f>
        <v>0</v>
      </c>
      <c r="X47" s="66" t="n">
        <f aca="false">'Item Master'!P45</f>
        <v>100</v>
      </c>
      <c r="Y47" s="66" t="n">
        <f aca="false">INDEX(D47:O47,MATCH($B$3,$D$6:$O$6,0))</f>
        <v>0</v>
      </c>
      <c r="Z47" s="66" t="str">
        <f aca="false">IF(Y47&lt;=0,"OUT OF STOCK",IF(Y47&lt;=X47,"REORDER NOW",IF(Y47&lt;=X47*1.5,"LOW","OK")))</f>
        <v>OUT OF STOCK</v>
      </c>
    </row>
    <row r="48" customFormat="false" ht="15" hidden="false" customHeight="false" outlineLevel="0" collapsed="false">
      <c r="A48" s="68" t="str">
        <f aca="false">'Item Master'!A46</f>
        <v>BTB</v>
      </c>
      <c r="B48" s="69" t="str">
        <f aca="false">'Item Master'!B46</f>
        <v>Bento Box – Big (Chappan Bhog)</v>
      </c>
      <c r="C48" s="68" t="str">
        <f aca="false">'Item Master'!C46</f>
        <v>Prasadam Serving Material</v>
      </c>
      <c r="D48" s="70" t="n">
        <f aca="false">IF('Nov-2026'!V49&lt;&gt;"",'Nov-2026'!V49,'Nov-2026'!U49)</f>
        <v>0</v>
      </c>
      <c r="E48" s="70" t="n">
        <f aca="false">IF('Dec-2026'!V49&lt;&gt;"",'Dec-2026'!V49,'Dec-2026'!U49)</f>
        <v>0</v>
      </c>
      <c r="F48" s="70" t="n">
        <f aca="false">IF('Jan-2027'!V49&lt;&gt;"",'Jan-2027'!V49,'Jan-2027'!U49)</f>
        <v>0</v>
      </c>
      <c r="G48" s="70" t="n">
        <f aca="false">IF('Feb-2027'!V49&lt;&gt;"",'Feb-2027'!V49,'Feb-2027'!U49)</f>
        <v>0</v>
      </c>
      <c r="H48" s="70" t="n">
        <f aca="false">IF('Mar-2027'!V49&lt;&gt;"",'Mar-2027'!V49,'Mar-2027'!U49)</f>
        <v>0</v>
      </c>
      <c r="I48" s="70" t="n">
        <f aca="false">IF('Apr-2027'!V49&lt;&gt;"",'Apr-2027'!V49,'Apr-2027'!U49)</f>
        <v>0</v>
      </c>
      <c r="J48" s="70" t="n">
        <f aca="false">IF('May-2027'!V49&lt;&gt;"",'May-2027'!V49,'May-2027'!U49)</f>
        <v>0</v>
      </c>
      <c r="K48" s="70" t="n">
        <f aca="false">IF('Jun-2027'!V49&lt;&gt;"",'Jun-2027'!V49,'Jun-2027'!U49)</f>
        <v>0</v>
      </c>
      <c r="L48" s="70" t="n">
        <f aca="false">IF('Jul-2027'!V49&lt;&gt;"",'Jul-2027'!V49,'Jul-2027'!U49)</f>
        <v>0</v>
      </c>
      <c r="M48" s="70" t="n">
        <f aca="false">IF('Aug-2027'!V49&lt;&gt;"",'Aug-2027'!V49,'Aug-2027'!U49)</f>
        <v>0</v>
      </c>
      <c r="N48" s="70" t="n">
        <f aca="false">IF('Sep-2027'!V49&lt;&gt;"",'Sep-2027'!V49,'Sep-2027'!U49)</f>
        <v>0</v>
      </c>
      <c r="O48" s="70" t="n">
        <f aca="false">IF('Oct-2027'!V49&lt;&gt;"",'Oct-2027'!V49,'Oct-2027'!U49)</f>
        <v>0</v>
      </c>
      <c r="P48" s="70" t="n">
        <f aca="false">N('Nov-2026'!O49)+N('Dec-2026'!O49)+N('Jan-2027'!O49)+N('Feb-2027'!O49)+N('Mar-2027'!O49)+N('Apr-2027'!O49)+N('May-2027'!O49)+N('Jun-2027'!O49)+N('Jul-2027'!O49)+N('Aug-2027'!O49)+N('Sep-2027'!O49)+N('Oct-2027'!O49)</f>
        <v>0</v>
      </c>
      <c r="Q48" s="70" t="n">
        <f aca="false">N('Nov-2026'!P49)+N('Dec-2026'!P49)+N('Jan-2027'!P49)+N('Feb-2027'!P49)+N('Mar-2027'!P49)+N('Apr-2027'!P49)+N('May-2027'!P49)+N('Jun-2027'!P49)+N('Jul-2027'!P49)+N('Aug-2027'!P49)+N('Sep-2027'!P49)+N('Oct-2027'!P49)</f>
        <v>0</v>
      </c>
      <c r="R48" s="70" t="n">
        <f aca="false">N('Nov-2026'!Q49)+N('Dec-2026'!Q49)+N('Jan-2027'!Q49)+N('Feb-2027'!Q49)+N('Mar-2027'!Q49)+N('Apr-2027'!Q49)+N('May-2027'!Q49)+N('Jun-2027'!Q49)+N('Jul-2027'!Q49)+N('Aug-2027'!Q49)+N('Sep-2027'!Q49)+N('Oct-2027'!Q49)</f>
        <v>0</v>
      </c>
      <c r="S48" s="70" t="n">
        <f aca="false">N('Nov-2026'!R49)+N('Dec-2026'!R49)+N('Jan-2027'!R49)+N('Feb-2027'!R49)+N('Mar-2027'!R49)+N('Apr-2027'!R49)+N('May-2027'!R49)+N('Jun-2027'!R49)+N('Jul-2027'!R49)+N('Aug-2027'!R49)+N('Sep-2027'!R49)+N('Oct-2027'!R49)</f>
        <v>0</v>
      </c>
      <c r="T48" s="70" t="n">
        <f aca="false">N('Nov-2026'!S49)+N('Dec-2026'!S49)+N('Jan-2027'!S49)+N('Feb-2027'!S49)+N('Mar-2027'!S49)+N('Apr-2027'!S49)+N('May-2027'!S49)+N('Jun-2027'!S49)+N('Jul-2027'!S49)+N('Aug-2027'!S49)+N('Sep-2027'!S49)+N('Oct-2027'!S49)</f>
        <v>0</v>
      </c>
      <c r="U48" s="70" t="n">
        <f aca="false">SUM(Q48:S48)</f>
        <v>0</v>
      </c>
      <c r="V48" s="71" t="n">
        <f aca="false">IFERROR(U48/MATCH($B$3,$D$6:$O$6,0),0)</f>
        <v>0</v>
      </c>
      <c r="W48" s="70" t="n">
        <f aca="false">CEILING(V48*1.5,10)</f>
        <v>0</v>
      </c>
      <c r="X48" s="70" t="n">
        <f aca="false">'Item Master'!P46</f>
        <v>50</v>
      </c>
      <c r="Y48" s="70" t="n">
        <f aca="false">INDEX(D48:O48,MATCH($B$3,$D$6:$O$6,0))</f>
        <v>0</v>
      </c>
      <c r="Z48" s="70" t="str">
        <f aca="false">IF(Y48&lt;=0,"OUT OF STOCK",IF(Y48&lt;=X48,"REORDER NOW",IF(Y48&lt;=X48*1.5,"LOW","OK")))</f>
        <v>OUT OF STOCK</v>
      </c>
    </row>
    <row r="49" customFormat="false" ht="15" hidden="false" customHeight="false" outlineLevel="0" collapsed="false">
      <c r="A49" s="64" t="str">
        <f aca="false">'Item Master'!A47</f>
        <v>ARP</v>
      </c>
      <c r="B49" s="65" t="str">
        <f aca="false">'Item Master'!B47</f>
        <v>Areca-nut Leaf Plates</v>
      </c>
      <c r="C49" s="64" t="str">
        <f aca="false">'Item Master'!C47</f>
        <v>Prasadam Serving Material</v>
      </c>
      <c r="D49" s="66" t="n">
        <f aca="false">IF('Nov-2026'!V50&lt;&gt;"",'Nov-2026'!V50,'Nov-2026'!U50)</f>
        <v>0</v>
      </c>
      <c r="E49" s="66" t="n">
        <f aca="false">IF('Dec-2026'!V50&lt;&gt;"",'Dec-2026'!V50,'Dec-2026'!U50)</f>
        <v>0</v>
      </c>
      <c r="F49" s="66" t="n">
        <f aca="false">IF('Jan-2027'!V50&lt;&gt;"",'Jan-2027'!V50,'Jan-2027'!U50)</f>
        <v>0</v>
      </c>
      <c r="G49" s="66" t="n">
        <f aca="false">IF('Feb-2027'!V50&lt;&gt;"",'Feb-2027'!V50,'Feb-2027'!U50)</f>
        <v>0</v>
      </c>
      <c r="H49" s="66" t="n">
        <f aca="false">IF('Mar-2027'!V50&lt;&gt;"",'Mar-2027'!V50,'Mar-2027'!U50)</f>
        <v>0</v>
      </c>
      <c r="I49" s="66" t="n">
        <f aca="false">IF('Apr-2027'!V50&lt;&gt;"",'Apr-2027'!V50,'Apr-2027'!U50)</f>
        <v>0</v>
      </c>
      <c r="J49" s="66" t="n">
        <f aca="false">IF('May-2027'!V50&lt;&gt;"",'May-2027'!V50,'May-2027'!U50)</f>
        <v>0</v>
      </c>
      <c r="K49" s="66" t="n">
        <f aca="false">IF('Jun-2027'!V50&lt;&gt;"",'Jun-2027'!V50,'Jun-2027'!U50)</f>
        <v>0</v>
      </c>
      <c r="L49" s="66" t="n">
        <f aca="false">IF('Jul-2027'!V50&lt;&gt;"",'Jul-2027'!V50,'Jul-2027'!U50)</f>
        <v>0</v>
      </c>
      <c r="M49" s="66" t="n">
        <f aca="false">IF('Aug-2027'!V50&lt;&gt;"",'Aug-2027'!V50,'Aug-2027'!U50)</f>
        <v>0</v>
      </c>
      <c r="N49" s="66" t="n">
        <f aca="false">IF('Sep-2027'!V50&lt;&gt;"",'Sep-2027'!V50,'Sep-2027'!U50)</f>
        <v>0</v>
      </c>
      <c r="O49" s="66" t="n">
        <f aca="false">IF('Oct-2027'!V50&lt;&gt;"",'Oct-2027'!V50,'Oct-2027'!U50)</f>
        <v>0</v>
      </c>
      <c r="P49" s="66" t="n">
        <f aca="false">N('Nov-2026'!O50)+N('Dec-2026'!O50)+N('Jan-2027'!O50)+N('Feb-2027'!O50)+N('Mar-2027'!O50)+N('Apr-2027'!O50)+N('May-2027'!O50)+N('Jun-2027'!O50)+N('Jul-2027'!O50)+N('Aug-2027'!O50)+N('Sep-2027'!O50)+N('Oct-2027'!O50)</f>
        <v>0</v>
      </c>
      <c r="Q49" s="66" t="n">
        <f aca="false">N('Nov-2026'!P50)+N('Dec-2026'!P50)+N('Jan-2027'!P50)+N('Feb-2027'!P50)+N('Mar-2027'!P50)+N('Apr-2027'!P50)+N('May-2027'!P50)+N('Jun-2027'!P50)+N('Jul-2027'!P50)+N('Aug-2027'!P50)+N('Sep-2027'!P50)+N('Oct-2027'!P50)</f>
        <v>0</v>
      </c>
      <c r="R49" s="66" t="n">
        <f aca="false">N('Nov-2026'!Q50)+N('Dec-2026'!Q50)+N('Jan-2027'!Q50)+N('Feb-2027'!Q50)+N('Mar-2027'!Q50)+N('Apr-2027'!Q50)+N('May-2027'!Q50)+N('Jun-2027'!Q50)+N('Jul-2027'!Q50)+N('Aug-2027'!Q50)+N('Sep-2027'!Q50)+N('Oct-2027'!Q50)</f>
        <v>0</v>
      </c>
      <c r="S49" s="66" t="n">
        <f aca="false">N('Nov-2026'!R50)+N('Dec-2026'!R50)+N('Jan-2027'!R50)+N('Feb-2027'!R50)+N('Mar-2027'!R50)+N('Apr-2027'!R50)+N('May-2027'!R50)+N('Jun-2027'!R50)+N('Jul-2027'!R50)+N('Aug-2027'!R50)+N('Sep-2027'!R50)+N('Oct-2027'!R50)</f>
        <v>0</v>
      </c>
      <c r="T49" s="66" t="n">
        <f aca="false">N('Nov-2026'!S50)+N('Dec-2026'!S50)+N('Jan-2027'!S50)+N('Feb-2027'!S50)+N('Mar-2027'!S50)+N('Apr-2027'!S50)+N('May-2027'!S50)+N('Jun-2027'!S50)+N('Jul-2027'!S50)+N('Aug-2027'!S50)+N('Sep-2027'!S50)+N('Oct-2027'!S50)</f>
        <v>0</v>
      </c>
      <c r="U49" s="66" t="n">
        <f aca="false">SUM(Q49:S49)</f>
        <v>0</v>
      </c>
      <c r="V49" s="67" t="n">
        <f aca="false">IFERROR(U49/MATCH($B$3,$D$6:$O$6,0),0)</f>
        <v>0</v>
      </c>
      <c r="W49" s="66" t="n">
        <f aca="false">CEILING(V49*1.5,10)</f>
        <v>0</v>
      </c>
      <c r="X49" s="66" t="n">
        <f aca="false">'Item Master'!P47</f>
        <v>500</v>
      </c>
      <c r="Y49" s="66" t="n">
        <f aca="false">INDEX(D49:O49,MATCH($B$3,$D$6:$O$6,0))</f>
        <v>0</v>
      </c>
      <c r="Z49" s="66" t="str">
        <f aca="false">IF(Y49&lt;=0,"OUT OF STOCK",IF(Y49&lt;=X49,"REORDER NOW",IF(Y49&lt;=X49*1.5,"LOW","OK")))</f>
        <v>OUT OF STOCK</v>
      </c>
    </row>
    <row r="50" customFormat="false" ht="15" hidden="false" customHeight="false" outlineLevel="0" collapsed="false">
      <c r="A50" s="68" t="str">
        <f aca="false">'Item Master'!A48</f>
        <v>ZL1</v>
      </c>
      <c r="B50" s="69" t="str">
        <f aca="false">'Item Master'!B48</f>
        <v>Zip-lock Pouch 2"x3" (50–60 micron)</v>
      </c>
      <c r="C50" s="68" t="str">
        <f aca="false">'Item Master'!C48</f>
        <v>Packing Consumables</v>
      </c>
      <c r="D50" s="70" t="n">
        <f aca="false">IF('Nov-2026'!V51&lt;&gt;"",'Nov-2026'!V51,'Nov-2026'!U51)</f>
        <v>0</v>
      </c>
      <c r="E50" s="70" t="n">
        <f aca="false">IF('Dec-2026'!V51&lt;&gt;"",'Dec-2026'!V51,'Dec-2026'!U51)</f>
        <v>0</v>
      </c>
      <c r="F50" s="70" t="n">
        <f aca="false">IF('Jan-2027'!V51&lt;&gt;"",'Jan-2027'!V51,'Jan-2027'!U51)</f>
        <v>0</v>
      </c>
      <c r="G50" s="70" t="n">
        <f aca="false">IF('Feb-2027'!V51&lt;&gt;"",'Feb-2027'!V51,'Feb-2027'!U51)</f>
        <v>0</v>
      </c>
      <c r="H50" s="70" t="n">
        <f aca="false">IF('Mar-2027'!V51&lt;&gt;"",'Mar-2027'!V51,'Mar-2027'!U51)</f>
        <v>0</v>
      </c>
      <c r="I50" s="70" t="n">
        <f aca="false">IF('Apr-2027'!V51&lt;&gt;"",'Apr-2027'!V51,'Apr-2027'!U51)</f>
        <v>0</v>
      </c>
      <c r="J50" s="70" t="n">
        <f aca="false">IF('May-2027'!V51&lt;&gt;"",'May-2027'!V51,'May-2027'!U51)</f>
        <v>0</v>
      </c>
      <c r="K50" s="70" t="n">
        <f aca="false">IF('Jun-2027'!V51&lt;&gt;"",'Jun-2027'!V51,'Jun-2027'!U51)</f>
        <v>0</v>
      </c>
      <c r="L50" s="70" t="n">
        <f aca="false">IF('Jul-2027'!V51&lt;&gt;"",'Jul-2027'!V51,'Jul-2027'!U51)</f>
        <v>0</v>
      </c>
      <c r="M50" s="70" t="n">
        <f aca="false">IF('Aug-2027'!V51&lt;&gt;"",'Aug-2027'!V51,'Aug-2027'!U51)</f>
        <v>0</v>
      </c>
      <c r="N50" s="70" t="n">
        <f aca="false">IF('Sep-2027'!V51&lt;&gt;"",'Sep-2027'!V51,'Sep-2027'!U51)</f>
        <v>0</v>
      </c>
      <c r="O50" s="70" t="n">
        <f aca="false">IF('Oct-2027'!V51&lt;&gt;"",'Oct-2027'!V51,'Oct-2027'!U51)</f>
        <v>0</v>
      </c>
      <c r="P50" s="70" t="n">
        <f aca="false">N('Nov-2026'!O51)+N('Dec-2026'!O51)+N('Jan-2027'!O51)+N('Feb-2027'!O51)+N('Mar-2027'!O51)+N('Apr-2027'!O51)+N('May-2027'!O51)+N('Jun-2027'!O51)+N('Jul-2027'!O51)+N('Aug-2027'!O51)+N('Sep-2027'!O51)+N('Oct-2027'!O51)</f>
        <v>0</v>
      </c>
      <c r="Q50" s="70" t="n">
        <f aca="false">N('Nov-2026'!P51)+N('Dec-2026'!P51)+N('Jan-2027'!P51)+N('Feb-2027'!P51)+N('Mar-2027'!P51)+N('Apr-2027'!P51)+N('May-2027'!P51)+N('Jun-2027'!P51)+N('Jul-2027'!P51)+N('Aug-2027'!P51)+N('Sep-2027'!P51)+N('Oct-2027'!P51)</f>
        <v>0</v>
      </c>
      <c r="R50" s="70" t="n">
        <f aca="false">N('Nov-2026'!Q51)+N('Dec-2026'!Q51)+N('Jan-2027'!Q51)+N('Feb-2027'!Q51)+N('Mar-2027'!Q51)+N('Apr-2027'!Q51)+N('May-2027'!Q51)+N('Jun-2027'!Q51)+N('Jul-2027'!Q51)+N('Aug-2027'!Q51)+N('Sep-2027'!Q51)+N('Oct-2027'!Q51)</f>
        <v>0</v>
      </c>
      <c r="S50" s="70" t="n">
        <f aca="false">N('Nov-2026'!R51)+N('Dec-2026'!R51)+N('Jan-2027'!R51)+N('Feb-2027'!R51)+N('Mar-2027'!R51)+N('Apr-2027'!R51)+N('May-2027'!R51)+N('Jun-2027'!R51)+N('Jul-2027'!R51)+N('Aug-2027'!R51)+N('Sep-2027'!R51)+N('Oct-2027'!R51)</f>
        <v>0</v>
      </c>
      <c r="T50" s="70" t="n">
        <f aca="false">N('Nov-2026'!S51)+N('Dec-2026'!S51)+N('Jan-2027'!S51)+N('Feb-2027'!S51)+N('Mar-2027'!S51)+N('Apr-2027'!S51)+N('May-2027'!S51)+N('Jun-2027'!S51)+N('Jul-2027'!S51)+N('Aug-2027'!S51)+N('Sep-2027'!S51)+N('Oct-2027'!S51)</f>
        <v>0</v>
      </c>
      <c r="U50" s="70" t="n">
        <f aca="false">SUM(Q50:S50)</f>
        <v>0</v>
      </c>
      <c r="V50" s="71" t="n">
        <f aca="false">IFERROR(U50/MATCH($B$3,$D$6:$O$6,0),0)</f>
        <v>0</v>
      </c>
      <c r="W50" s="70" t="n">
        <f aca="false">CEILING(V50*1.5,10)</f>
        <v>0</v>
      </c>
      <c r="X50" s="70" t="n">
        <f aca="false">'Item Master'!P48</f>
        <v>1000</v>
      </c>
      <c r="Y50" s="70" t="n">
        <f aca="false">INDEX(D50:O50,MATCH($B$3,$D$6:$O$6,0))</f>
        <v>0</v>
      </c>
      <c r="Z50" s="70" t="str">
        <f aca="false">IF(Y50&lt;=0,"OUT OF STOCK",IF(Y50&lt;=X50,"REORDER NOW",IF(Y50&lt;=X50*1.5,"LOW","OK")))</f>
        <v>OUT OF STOCK</v>
      </c>
    </row>
    <row r="51" customFormat="false" ht="15" hidden="false" customHeight="false" outlineLevel="0" collapsed="false">
      <c r="A51" s="64" t="str">
        <f aca="false">'Item Master'!A49</f>
        <v>ZL2</v>
      </c>
      <c r="B51" s="65" t="str">
        <f aca="false">'Item Master'!B49</f>
        <v>Zip-lock Pouch 4"x6"</v>
      </c>
      <c r="C51" s="64" t="str">
        <f aca="false">'Item Master'!C49</f>
        <v>Packing Consumables</v>
      </c>
      <c r="D51" s="66" t="n">
        <f aca="false">IF('Nov-2026'!V52&lt;&gt;"",'Nov-2026'!V52,'Nov-2026'!U52)</f>
        <v>0</v>
      </c>
      <c r="E51" s="66" t="n">
        <f aca="false">IF('Dec-2026'!V52&lt;&gt;"",'Dec-2026'!V52,'Dec-2026'!U52)</f>
        <v>0</v>
      </c>
      <c r="F51" s="66" t="n">
        <f aca="false">IF('Jan-2027'!V52&lt;&gt;"",'Jan-2027'!V52,'Jan-2027'!U52)</f>
        <v>0</v>
      </c>
      <c r="G51" s="66" t="n">
        <f aca="false">IF('Feb-2027'!V52&lt;&gt;"",'Feb-2027'!V52,'Feb-2027'!U52)</f>
        <v>0</v>
      </c>
      <c r="H51" s="66" t="n">
        <f aca="false">IF('Mar-2027'!V52&lt;&gt;"",'Mar-2027'!V52,'Mar-2027'!U52)</f>
        <v>0</v>
      </c>
      <c r="I51" s="66" t="n">
        <f aca="false">IF('Apr-2027'!V52&lt;&gt;"",'Apr-2027'!V52,'Apr-2027'!U52)</f>
        <v>0</v>
      </c>
      <c r="J51" s="66" t="n">
        <f aca="false">IF('May-2027'!V52&lt;&gt;"",'May-2027'!V52,'May-2027'!U52)</f>
        <v>0</v>
      </c>
      <c r="K51" s="66" t="n">
        <f aca="false">IF('Jun-2027'!V52&lt;&gt;"",'Jun-2027'!V52,'Jun-2027'!U52)</f>
        <v>0</v>
      </c>
      <c r="L51" s="66" t="n">
        <f aca="false">IF('Jul-2027'!V52&lt;&gt;"",'Jul-2027'!V52,'Jul-2027'!U52)</f>
        <v>0</v>
      </c>
      <c r="M51" s="66" t="n">
        <f aca="false">IF('Aug-2027'!V52&lt;&gt;"",'Aug-2027'!V52,'Aug-2027'!U52)</f>
        <v>0</v>
      </c>
      <c r="N51" s="66" t="n">
        <f aca="false">IF('Sep-2027'!V52&lt;&gt;"",'Sep-2027'!V52,'Sep-2027'!U52)</f>
        <v>0</v>
      </c>
      <c r="O51" s="66" t="n">
        <f aca="false">IF('Oct-2027'!V52&lt;&gt;"",'Oct-2027'!V52,'Oct-2027'!U52)</f>
        <v>0</v>
      </c>
      <c r="P51" s="66" t="n">
        <f aca="false">N('Nov-2026'!O52)+N('Dec-2026'!O52)+N('Jan-2027'!O52)+N('Feb-2027'!O52)+N('Mar-2027'!O52)+N('Apr-2027'!O52)+N('May-2027'!O52)+N('Jun-2027'!O52)+N('Jul-2027'!O52)+N('Aug-2027'!O52)+N('Sep-2027'!O52)+N('Oct-2027'!O52)</f>
        <v>0</v>
      </c>
      <c r="Q51" s="66" t="n">
        <f aca="false">N('Nov-2026'!P52)+N('Dec-2026'!P52)+N('Jan-2027'!P52)+N('Feb-2027'!P52)+N('Mar-2027'!P52)+N('Apr-2027'!P52)+N('May-2027'!P52)+N('Jun-2027'!P52)+N('Jul-2027'!P52)+N('Aug-2027'!P52)+N('Sep-2027'!P52)+N('Oct-2027'!P52)</f>
        <v>0</v>
      </c>
      <c r="R51" s="66" t="n">
        <f aca="false">N('Nov-2026'!Q52)+N('Dec-2026'!Q52)+N('Jan-2027'!Q52)+N('Feb-2027'!Q52)+N('Mar-2027'!Q52)+N('Apr-2027'!Q52)+N('May-2027'!Q52)+N('Jun-2027'!Q52)+N('Jul-2027'!Q52)+N('Aug-2027'!Q52)+N('Sep-2027'!Q52)+N('Oct-2027'!Q52)</f>
        <v>0</v>
      </c>
      <c r="S51" s="66" t="n">
        <f aca="false">N('Nov-2026'!R52)+N('Dec-2026'!R52)+N('Jan-2027'!R52)+N('Feb-2027'!R52)+N('Mar-2027'!R52)+N('Apr-2027'!R52)+N('May-2027'!R52)+N('Jun-2027'!R52)+N('Jul-2027'!R52)+N('Aug-2027'!R52)+N('Sep-2027'!R52)+N('Oct-2027'!R52)</f>
        <v>0</v>
      </c>
      <c r="T51" s="66" t="n">
        <f aca="false">N('Nov-2026'!S52)+N('Dec-2026'!S52)+N('Jan-2027'!S52)+N('Feb-2027'!S52)+N('Mar-2027'!S52)+N('Apr-2027'!S52)+N('May-2027'!S52)+N('Jun-2027'!S52)+N('Jul-2027'!S52)+N('Aug-2027'!S52)+N('Sep-2027'!S52)+N('Oct-2027'!S52)</f>
        <v>0</v>
      </c>
      <c r="U51" s="66" t="n">
        <f aca="false">SUM(Q51:S51)</f>
        <v>0</v>
      </c>
      <c r="V51" s="67" t="n">
        <f aca="false">IFERROR(U51/MATCH($B$3,$D$6:$O$6,0),0)</f>
        <v>0</v>
      </c>
      <c r="W51" s="66" t="n">
        <f aca="false">CEILING(V51*1.5,10)</f>
        <v>0</v>
      </c>
      <c r="X51" s="66" t="n">
        <f aca="false">'Item Master'!P49</f>
        <v>300</v>
      </c>
      <c r="Y51" s="66" t="n">
        <f aca="false">INDEX(D51:O51,MATCH($B$3,$D$6:$O$6,0))</f>
        <v>0</v>
      </c>
      <c r="Z51" s="66" t="str">
        <f aca="false">IF(Y51&lt;=0,"OUT OF STOCK",IF(Y51&lt;=X51,"REORDER NOW",IF(Y51&lt;=X51*1.5,"LOW","OK")))</f>
        <v>OUT OF STOCK</v>
      </c>
    </row>
    <row r="52" customFormat="false" ht="15" hidden="false" customHeight="false" outlineLevel="0" collapsed="false">
      <c r="A52" s="68" t="str">
        <f aca="false">'Item Master'!A50</f>
        <v>ZL3</v>
      </c>
      <c r="B52" s="69" t="str">
        <f aca="false">'Item Master'!B50</f>
        <v>Zip-lock Pouch 3"x8" (sticks)</v>
      </c>
      <c r="C52" s="68" t="str">
        <f aca="false">'Item Master'!C50</f>
        <v>Packing Consumables</v>
      </c>
      <c r="D52" s="70" t="n">
        <f aca="false">IF('Nov-2026'!V53&lt;&gt;"",'Nov-2026'!V53,'Nov-2026'!U53)</f>
        <v>0</v>
      </c>
      <c r="E52" s="70" t="n">
        <f aca="false">IF('Dec-2026'!V53&lt;&gt;"",'Dec-2026'!V53,'Dec-2026'!U53)</f>
        <v>0</v>
      </c>
      <c r="F52" s="70" t="n">
        <f aca="false">IF('Jan-2027'!V53&lt;&gt;"",'Jan-2027'!V53,'Jan-2027'!U53)</f>
        <v>0</v>
      </c>
      <c r="G52" s="70" t="n">
        <f aca="false">IF('Feb-2027'!V53&lt;&gt;"",'Feb-2027'!V53,'Feb-2027'!U53)</f>
        <v>0</v>
      </c>
      <c r="H52" s="70" t="n">
        <f aca="false">IF('Mar-2027'!V53&lt;&gt;"",'Mar-2027'!V53,'Mar-2027'!U53)</f>
        <v>0</v>
      </c>
      <c r="I52" s="70" t="n">
        <f aca="false">IF('Apr-2027'!V53&lt;&gt;"",'Apr-2027'!V53,'Apr-2027'!U53)</f>
        <v>0</v>
      </c>
      <c r="J52" s="70" t="n">
        <f aca="false">IF('May-2027'!V53&lt;&gt;"",'May-2027'!V53,'May-2027'!U53)</f>
        <v>0</v>
      </c>
      <c r="K52" s="70" t="n">
        <f aca="false">IF('Jun-2027'!V53&lt;&gt;"",'Jun-2027'!V53,'Jun-2027'!U53)</f>
        <v>0</v>
      </c>
      <c r="L52" s="70" t="n">
        <f aca="false">IF('Jul-2027'!V53&lt;&gt;"",'Jul-2027'!V53,'Jul-2027'!U53)</f>
        <v>0</v>
      </c>
      <c r="M52" s="70" t="n">
        <f aca="false">IF('Aug-2027'!V53&lt;&gt;"",'Aug-2027'!V53,'Aug-2027'!U53)</f>
        <v>0</v>
      </c>
      <c r="N52" s="70" t="n">
        <f aca="false">IF('Sep-2027'!V53&lt;&gt;"",'Sep-2027'!V53,'Sep-2027'!U53)</f>
        <v>0</v>
      </c>
      <c r="O52" s="70" t="n">
        <f aca="false">IF('Oct-2027'!V53&lt;&gt;"",'Oct-2027'!V53,'Oct-2027'!U53)</f>
        <v>0</v>
      </c>
      <c r="P52" s="70" t="n">
        <f aca="false">N('Nov-2026'!O53)+N('Dec-2026'!O53)+N('Jan-2027'!O53)+N('Feb-2027'!O53)+N('Mar-2027'!O53)+N('Apr-2027'!O53)+N('May-2027'!O53)+N('Jun-2027'!O53)+N('Jul-2027'!O53)+N('Aug-2027'!O53)+N('Sep-2027'!O53)+N('Oct-2027'!O53)</f>
        <v>0</v>
      </c>
      <c r="Q52" s="70" t="n">
        <f aca="false">N('Nov-2026'!P53)+N('Dec-2026'!P53)+N('Jan-2027'!P53)+N('Feb-2027'!P53)+N('Mar-2027'!P53)+N('Apr-2027'!P53)+N('May-2027'!P53)+N('Jun-2027'!P53)+N('Jul-2027'!P53)+N('Aug-2027'!P53)+N('Sep-2027'!P53)+N('Oct-2027'!P53)</f>
        <v>0</v>
      </c>
      <c r="R52" s="70" t="n">
        <f aca="false">N('Nov-2026'!Q53)+N('Dec-2026'!Q53)+N('Jan-2027'!Q53)+N('Feb-2027'!Q53)+N('Mar-2027'!Q53)+N('Apr-2027'!Q53)+N('May-2027'!Q53)+N('Jun-2027'!Q53)+N('Jul-2027'!Q53)+N('Aug-2027'!Q53)+N('Sep-2027'!Q53)+N('Oct-2027'!Q53)</f>
        <v>0</v>
      </c>
      <c r="S52" s="70" t="n">
        <f aca="false">N('Nov-2026'!R53)+N('Dec-2026'!R53)+N('Jan-2027'!R53)+N('Feb-2027'!R53)+N('Mar-2027'!R53)+N('Apr-2027'!R53)+N('May-2027'!R53)+N('Jun-2027'!R53)+N('Jul-2027'!R53)+N('Aug-2027'!R53)+N('Sep-2027'!R53)+N('Oct-2027'!R53)</f>
        <v>0</v>
      </c>
      <c r="T52" s="70" t="n">
        <f aca="false">N('Nov-2026'!S53)+N('Dec-2026'!S53)+N('Jan-2027'!S53)+N('Feb-2027'!S53)+N('Mar-2027'!S53)+N('Apr-2027'!S53)+N('May-2027'!S53)+N('Jun-2027'!S53)+N('Jul-2027'!S53)+N('Aug-2027'!S53)+N('Sep-2027'!S53)+N('Oct-2027'!S53)</f>
        <v>0</v>
      </c>
      <c r="U52" s="70" t="n">
        <f aca="false">SUM(Q52:S52)</f>
        <v>0</v>
      </c>
      <c r="V52" s="71" t="n">
        <f aca="false">IFERROR(U52/MATCH($B$3,$D$6:$O$6,0),0)</f>
        <v>0</v>
      </c>
      <c r="W52" s="70" t="n">
        <f aca="false">CEILING(V52*1.5,10)</f>
        <v>0</v>
      </c>
      <c r="X52" s="70" t="n">
        <f aca="false">'Item Master'!P50</f>
        <v>300</v>
      </c>
      <c r="Y52" s="70" t="n">
        <f aca="false">INDEX(D52:O52,MATCH($B$3,$D$6:$O$6,0))</f>
        <v>0</v>
      </c>
      <c r="Z52" s="70" t="str">
        <f aca="false">IF(Y52&lt;=0,"OUT OF STOCK",IF(Y52&lt;=X52,"REORDER NOW",IF(Y52&lt;=X52*1.5,"LOW","OK")))</f>
        <v>OUT OF STOCK</v>
      </c>
    </row>
    <row r="53" customFormat="false" ht="15" hidden="false" customHeight="false" outlineLevel="0" collapsed="false">
      <c r="A53" s="64" t="str">
        <f aca="false">'Item Master'!A51</f>
        <v>CNT</v>
      </c>
      <c r="B53" s="65" t="str">
        <f aca="false">'Item Master'!B51</f>
        <v>5 g Leak-proof PP Container</v>
      </c>
      <c r="C53" s="64" t="str">
        <f aca="false">'Item Master'!C51</f>
        <v>Packing Consumables</v>
      </c>
      <c r="D53" s="66" t="n">
        <f aca="false">IF('Nov-2026'!V54&lt;&gt;"",'Nov-2026'!V54,'Nov-2026'!U54)</f>
        <v>0</v>
      </c>
      <c r="E53" s="66" t="n">
        <f aca="false">IF('Dec-2026'!V54&lt;&gt;"",'Dec-2026'!V54,'Dec-2026'!U54)</f>
        <v>0</v>
      </c>
      <c r="F53" s="66" t="n">
        <f aca="false">IF('Jan-2027'!V54&lt;&gt;"",'Jan-2027'!V54,'Jan-2027'!U54)</f>
        <v>0</v>
      </c>
      <c r="G53" s="66" t="n">
        <f aca="false">IF('Feb-2027'!V54&lt;&gt;"",'Feb-2027'!V54,'Feb-2027'!U54)</f>
        <v>0</v>
      </c>
      <c r="H53" s="66" t="n">
        <f aca="false">IF('Mar-2027'!V54&lt;&gt;"",'Mar-2027'!V54,'Mar-2027'!U54)</f>
        <v>0</v>
      </c>
      <c r="I53" s="66" t="n">
        <f aca="false">IF('Apr-2027'!V54&lt;&gt;"",'Apr-2027'!V54,'Apr-2027'!U54)</f>
        <v>0</v>
      </c>
      <c r="J53" s="66" t="n">
        <f aca="false">IF('May-2027'!V54&lt;&gt;"",'May-2027'!V54,'May-2027'!U54)</f>
        <v>0</v>
      </c>
      <c r="K53" s="66" t="n">
        <f aca="false">IF('Jun-2027'!V54&lt;&gt;"",'Jun-2027'!V54,'Jun-2027'!U54)</f>
        <v>0</v>
      </c>
      <c r="L53" s="66" t="n">
        <f aca="false">IF('Jul-2027'!V54&lt;&gt;"",'Jul-2027'!V54,'Jul-2027'!U54)</f>
        <v>0</v>
      </c>
      <c r="M53" s="66" t="n">
        <f aca="false">IF('Aug-2027'!V54&lt;&gt;"",'Aug-2027'!V54,'Aug-2027'!U54)</f>
        <v>0</v>
      </c>
      <c r="N53" s="66" t="n">
        <f aca="false">IF('Sep-2027'!V54&lt;&gt;"",'Sep-2027'!V54,'Sep-2027'!U54)</f>
        <v>0</v>
      </c>
      <c r="O53" s="66" t="n">
        <f aca="false">IF('Oct-2027'!V54&lt;&gt;"",'Oct-2027'!V54,'Oct-2027'!U54)</f>
        <v>0</v>
      </c>
      <c r="P53" s="66" t="n">
        <f aca="false">N('Nov-2026'!O54)+N('Dec-2026'!O54)+N('Jan-2027'!O54)+N('Feb-2027'!O54)+N('Mar-2027'!O54)+N('Apr-2027'!O54)+N('May-2027'!O54)+N('Jun-2027'!O54)+N('Jul-2027'!O54)+N('Aug-2027'!O54)+N('Sep-2027'!O54)+N('Oct-2027'!O54)</f>
        <v>0</v>
      </c>
      <c r="Q53" s="66" t="n">
        <f aca="false">N('Nov-2026'!P54)+N('Dec-2026'!P54)+N('Jan-2027'!P54)+N('Feb-2027'!P54)+N('Mar-2027'!P54)+N('Apr-2027'!P54)+N('May-2027'!P54)+N('Jun-2027'!P54)+N('Jul-2027'!P54)+N('Aug-2027'!P54)+N('Sep-2027'!P54)+N('Oct-2027'!P54)</f>
        <v>0</v>
      </c>
      <c r="R53" s="66" t="n">
        <f aca="false">N('Nov-2026'!Q54)+N('Dec-2026'!Q54)+N('Jan-2027'!Q54)+N('Feb-2027'!Q54)+N('Mar-2027'!Q54)+N('Apr-2027'!Q54)+N('May-2027'!Q54)+N('Jun-2027'!Q54)+N('Jul-2027'!Q54)+N('Aug-2027'!Q54)+N('Sep-2027'!Q54)+N('Oct-2027'!Q54)</f>
        <v>0</v>
      </c>
      <c r="S53" s="66" t="n">
        <f aca="false">N('Nov-2026'!R54)+N('Dec-2026'!R54)+N('Jan-2027'!R54)+N('Feb-2027'!R54)+N('Mar-2027'!R54)+N('Apr-2027'!R54)+N('May-2027'!R54)+N('Jun-2027'!R54)+N('Jul-2027'!R54)+N('Aug-2027'!R54)+N('Sep-2027'!R54)+N('Oct-2027'!R54)</f>
        <v>0</v>
      </c>
      <c r="T53" s="66" t="n">
        <f aca="false">N('Nov-2026'!S54)+N('Dec-2026'!S54)+N('Jan-2027'!S54)+N('Feb-2027'!S54)+N('Mar-2027'!S54)+N('Apr-2027'!S54)+N('May-2027'!S54)+N('Jun-2027'!S54)+N('Jul-2027'!S54)+N('Aug-2027'!S54)+N('Sep-2027'!S54)+N('Oct-2027'!S54)</f>
        <v>0</v>
      </c>
      <c r="U53" s="66" t="n">
        <f aca="false">SUM(Q53:S53)</f>
        <v>0</v>
      </c>
      <c r="V53" s="67" t="n">
        <f aca="false">IFERROR(U53/MATCH($B$3,$D$6:$O$6,0),0)</f>
        <v>0</v>
      </c>
      <c r="W53" s="66" t="n">
        <f aca="false">CEILING(V53*1.5,10)</f>
        <v>0</v>
      </c>
      <c r="X53" s="66" t="n">
        <f aca="false">'Item Master'!P51</f>
        <v>300</v>
      </c>
      <c r="Y53" s="66" t="n">
        <f aca="false">INDEX(D53:O53,MATCH($B$3,$D$6:$O$6,0))</f>
        <v>0</v>
      </c>
      <c r="Z53" s="66" t="str">
        <f aca="false">IF(Y53&lt;=0,"OUT OF STOCK",IF(Y53&lt;=X53,"REORDER NOW",IF(Y53&lt;=X53*1.5,"LOW","OK")))</f>
        <v>OUT OF STOCK</v>
      </c>
    </row>
    <row r="54" customFormat="false" ht="15" hidden="false" customHeight="false" outlineLevel="0" collapsed="false">
      <c r="A54" s="68" t="str">
        <f aca="false">'Item Master'!A52</f>
        <v>BTL</v>
      </c>
      <c r="B54" s="69" t="str">
        <f aca="false">'Item Master'!B52</f>
        <v>20–50 ml PET Bottle + Cap + Shrink Band</v>
      </c>
      <c r="C54" s="68" t="str">
        <f aca="false">'Item Master'!C52</f>
        <v>Packing Consumables</v>
      </c>
      <c r="D54" s="70" t="n">
        <f aca="false">IF('Nov-2026'!V55&lt;&gt;"",'Nov-2026'!V55,'Nov-2026'!U55)</f>
        <v>0</v>
      </c>
      <c r="E54" s="70" t="n">
        <f aca="false">IF('Dec-2026'!V55&lt;&gt;"",'Dec-2026'!V55,'Dec-2026'!U55)</f>
        <v>0</v>
      </c>
      <c r="F54" s="70" t="n">
        <f aca="false">IF('Jan-2027'!V55&lt;&gt;"",'Jan-2027'!V55,'Jan-2027'!U55)</f>
        <v>0</v>
      </c>
      <c r="G54" s="70" t="n">
        <f aca="false">IF('Feb-2027'!V55&lt;&gt;"",'Feb-2027'!V55,'Feb-2027'!U55)</f>
        <v>0</v>
      </c>
      <c r="H54" s="70" t="n">
        <f aca="false">IF('Mar-2027'!V55&lt;&gt;"",'Mar-2027'!V55,'Mar-2027'!U55)</f>
        <v>0</v>
      </c>
      <c r="I54" s="70" t="n">
        <f aca="false">IF('Apr-2027'!V55&lt;&gt;"",'Apr-2027'!V55,'Apr-2027'!U55)</f>
        <v>0</v>
      </c>
      <c r="J54" s="70" t="n">
        <f aca="false">IF('May-2027'!V55&lt;&gt;"",'May-2027'!V55,'May-2027'!U55)</f>
        <v>0</v>
      </c>
      <c r="K54" s="70" t="n">
        <f aca="false">IF('Jun-2027'!V55&lt;&gt;"",'Jun-2027'!V55,'Jun-2027'!U55)</f>
        <v>0</v>
      </c>
      <c r="L54" s="70" t="n">
        <f aca="false">IF('Jul-2027'!V55&lt;&gt;"",'Jul-2027'!V55,'Jul-2027'!U55)</f>
        <v>0</v>
      </c>
      <c r="M54" s="70" t="n">
        <f aca="false">IF('Aug-2027'!V55&lt;&gt;"",'Aug-2027'!V55,'Aug-2027'!U55)</f>
        <v>0</v>
      </c>
      <c r="N54" s="70" t="n">
        <f aca="false">IF('Sep-2027'!V55&lt;&gt;"",'Sep-2027'!V55,'Sep-2027'!U55)</f>
        <v>0</v>
      </c>
      <c r="O54" s="70" t="n">
        <f aca="false">IF('Oct-2027'!V55&lt;&gt;"",'Oct-2027'!V55,'Oct-2027'!U55)</f>
        <v>0</v>
      </c>
      <c r="P54" s="70" t="n">
        <f aca="false">N('Nov-2026'!O55)+N('Dec-2026'!O55)+N('Jan-2027'!O55)+N('Feb-2027'!O55)+N('Mar-2027'!O55)+N('Apr-2027'!O55)+N('May-2027'!O55)+N('Jun-2027'!O55)+N('Jul-2027'!O55)+N('Aug-2027'!O55)+N('Sep-2027'!O55)+N('Oct-2027'!O55)</f>
        <v>0</v>
      </c>
      <c r="Q54" s="70" t="n">
        <f aca="false">N('Nov-2026'!P55)+N('Dec-2026'!P55)+N('Jan-2027'!P55)+N('Feb-2027'!P55)+N('Mar-2027'!P55)+N('Apr-2027'!P55)+N('May-2027'!P55)+N('Jun-2027'!P55)+N('Jul-2027'!P55)+N('Aug-2027'!P55)+N('Sep-2027'!P55)+N('Oct-2027'!P55)</f>
        <v>0</v>
      </c>
      <c r="R54" s="70" t="n">
        <f aca="false">N('Nov-2026'!Q55)+N('Dec-2026'!Q55)+N('Jan-2027'!Q55)+N('Feb-2027'!Q55)+N('Mar-2027'!Q55)+N('Apr-2027'!Q55)+N('May-2027'!Q55)+N('Jun-2027'!Q55)+N('Jul-2027'!Q55)+N('Aug-2027'!Q55)+N('Sep-2027'!Q55)+N('Oct-2027'!Q55)</f>
        <v>0</v>
      </c>
      <c r="S54" s="70" t="n">
        <f aca="false">N('Nov-2026'!R55)+N('Dec-2026'!R55)+N('Jan-2027'!R55)+N('Feb-2027'!R55)+N('Mar-2027'!R55)+N('Apr-2027'!R55)+N('May-2027'!R55)+N('Jun-2027'!R55)+N('Jul-2027'!R55)+N('Aug-2027'!R55)+N('Sep-2027'!R55)+N('Oct-2027'!R55)</f>
        <v>0</v>
      </c>
      <c r="T54" s="70" t="n">
        <f aca="false">N('Nov-2026'!S55)+N('Dec-2026'!S55)+N('Jan-2027'!S55)+N('Feb-2027'!S55)+N('Mar-2027'!S55)+N('Apr-2027'!S55)+N('May-2027'!S55)+N('Jun-2027'!S55)+N('Jul-2027'!S55)+N('Aug-2027'!S55)+N('Sep-2027'!S55)+N('Oct-2027'!S55)</f>
        <v>0</v>
      </c>
      <c r="U54" s="70" t="n">
        <f aca="false">SUM(Q54:S54)</f>
        <v>0</v>
      </c>
      <c r="V54" s="71" t="n">
        <f aca="false">IFERROR(U54/MATCH($B$3,$D$6:$O$6,0),0)</f>
        <v>0</v>
      </c>
      <c r="W54" s="70" t="n">
        <f aca="false">CEILING(V54*1.5,10)</f>
        <v>0</v>
      </c>
      <c r="X54" s="70" t="n">
        <f aca="false">'Item Master'!P52</f>
        <v>200</v>
      </c>
      <c r="Y54" s="70" t="n">
        <f aca="false">INDEX(D54:O54,MATCH($B$3,$D$6:$O$6,0))</f>
        <v>0</v>
      </c>
      <c r="Z54" s="70" t="str">
        <f aca="false">IF(Y54&lt;=0,"OUT OF STOCK",IF(Y54&lt;=X54,"REORDER NOW",IF(Y54&lt;=X54*1.5,"LOW","OK")))</f>
        <v>OUT OF STOCK</v>
      </c>
    </row>
    <row r="55" customFormat="false" ht="15" hidden="false" customHeight="false" outlineLevel="0" collapsed="false">
      <c r="A55" s="64" t="str">
        <f aca="false">'Item Master'!A53</f>
        <v>LBL</v>
      </c>
      <c r="B55" s="65" t="str">
        <f aca="false">'Item Master'!B53</f>
        <v>Printed Labels / Stickers (roll)</v>
      </c>
      <c r="C55" s="64" t="str">
        <f aca="false">'Item Master'!C53</f>
        <v>Packing Consumables</v>
      </c>
      <c r="D55" s="66" t="n">
        <f aca="false">IF('Nov-2026'!V56&lt;&gt;"",'Nov-2026'!V56,'Nov-2026'!U56)</f>
        <v>0</v>
      </c>
      <c r="E55" s="66" t="n">
        <f aca="false">IF('Dec-2026'!V56&lt;&gt;"",'Dec-2026'!V56,'Dec-2026'!U56)</f>
        <v>0</v>
      </c>
      <c r="F55" s="66" t="n">
        <f aca="false">IF('Jan-2027'!V56&lt;&gt;"",'Jan-2027'!V56,'Jan-2027'!U56)</f>
        <v>0</v>
      </c>
      <c r="G55" s="66" t="n">
        <f aca="false">IF('Feb-2027'!V56&lt;&gt;"",'Feb-2027'!V56,'Feb-2027'!U56)</f>
        <v>0</v>
      </c>
      <c r="H55" s="66" t="n">
        <f aca="false">IF('Mar-2027'!V56&lt;&gt;"",'Mar-2027'!V56,'Mar-2027'!U56)</f>
        <v>0</v>
      </c>
      <c r="I55" s="66" t="n">
        <f aca="false">IF('Apr-2027'!V56&lt;&gt;"",'Apr-2027'!V56,'Apr-2027'!U56)</f>
        <v>0</v>
      </c>
      <c r="J55" s="66" t="n">
        <f aca="false">IF('May-2027'!V56&lt;&gt;"",'May-2027'!V56,'May-2027'!U56)</f>
        <v>0</v>
      </c>
      <c r="K55" s="66" t="n">
        <f aca="false">IF('Jun-2027'!V56&lt;&gt;"",'Jun-2027'!V56,'Jun-2027'!U56)</f>
        <v>0</v>
      </c>
      <c r="L55" s="66" t="n">
        <f aca="false">IF('Jul-2027'!V56&lt;&gt;"",'Jul-2027'!V56,'Jul-2027'!U56)</f>
        <v>0</v>
      </c>
      <c r="M55" s="66" t="n">
        <f aca="false">IF('Aug-2027'!V56&lt;&gt;"",'Aug-2027'!V56,'Aug-2027'!U56)</f>
        <v>0</v>
      </c>
      <c r="N55" s="66" t="n">
        <f aca="false">IF('Sep-2027'!V56&lt;&gt;"",'Sep-2027'!V56,'Sep-2027'!U56)</f>
        <v>0</v>
      </c>
      <c r="O55" s="66" t="n">
        <f aca="false">IF('Oct-2027'!V56&lt;&gt;"",'Oct-2027'!V56,'Oct-2027'!U56)</f>
        <v>0</v>
      </c>
      <c r="P55" s="66" t="n">
        <f aca="false">N('Nov-2026'!O56)+N('Dec-2026'!O56)+N('Jan-2027'!O56)+N('Feb-2027'!O56)+N('Mar-2027'!O56)+N('Apr-2027'!O56)+N('May-2027'!O56)+N('Jun-2027'!O56)+N('Jul-2027'!O56)+N('Aug-2027'!O56)+N('Sep-2027'!O56)+N('Oct-2027'!O56)</f>
        <v>0</v>
      </c>
      <c r="Q55" s="66" t="n">
        <f aca="false">N('Nov-2026'!P56)+N('Dec-2026'!P56)+N('Jan-2027'!P56)+N('Feb-2027'!P56)+N('Mar-2027'!P56)+N('Apr-2027'!P56)+N('May-2027'!P56)+N('Jun-2027'!P56)+N('Jul-2027'!P56)+N('Aug-2027'!P56)+N('Sep-2027'!P56)+N('Oct-2027'!P56)</f>
        <v>0</v>
      </c>
      <c r="R55" s="66" t="n">
        <f aca="false">N('Nov-2026'!Q56)+N('Dec-2026'!Q56)+N('Jan-2027'!Q56)+N('Feb-2027'!Q56)+N('Mar-2027'!Q56)+N('Apr-2027'!Q56)+N('May-2027'!Q56)+N('Jun-2027'!Q56)+N('Jul-2027'!Q56)+N('Aug-2027'!Q56)+N('Sep-2027'!Q56)+N('Oct-2027'!Q56)</f>
        <v>0</v>
      </c>
      <c r="S55" s="66" t="n">
        <f aca="false">N('Nov-2026'!R56)+N('Dec-2026'!R56)+N('Jan-2027'!R56)+N('Feb-2027'!R56)+N('Mar-2027'!R56)+N('Apr-2027'!R56)+N('May-2027'!R56)+N('Jun-2027'!R56)+N('Jul-2027'!R56)+N('Aug-2027'!R56)+N('Sep-2027'!R56)+N('Oct-2027'!R56)</f>
        <v>0</v>
      </c>
      <c r="T55" s="66" t="n">
        <f aca="false">N('Nov-2026'!S56)+N('Dec-2026'!S56)+N('Jan-2027'!S56)+N('Feb-2027'!S56)+N('Mar-2027'!S56)+N('Apr-2027'!S56)+N('May-2027'!S56)+N('Jun-2027'!S56)+N('Jul-2027'!S56)+N('Aug-2027'!S56)+N('Sep-2027'!S56)+N('Oct-2027'!S56)</f>
        <v>0</v>
      </c>
      <c r="U55" s="66" t="n">
        <f aca="false">SUM(Q55:S55)</f>
        <v>0</v>
      </c>
      <c r="V55" s="67" t="n">
        <f aca="false">IFERROR(U55/MATCH($B$3,$D$6:$O$6,0),0)</f>
        <v>0</v>
      </c>
      <c r="W55" s="66" t="n">
        <f aca="false">CEILING(V55*1.5,10)</f>
        <v>0</v>
      </c>
      <c r="X55" s="66" t="n">
        <f aca="false">'Item Master'!P53</f>
        <v>1000</v>
      </c>
      <c r="Y55" s="66" t="n">
        <f aca="false">INDEX(D55:O55,MATCH($B$3,$D$6:$O$6,0))</f>
        <v>0</v>
      </c>
      <c r="Z55" s="66" t="str">
        <f aca="false">IF(Y55&lt;=0,"OUT OF STOCK",IF(Y55&lt;=X55,"REORDER NOW",IF(Y55&lt;=X55*1.5,"LOW","OK")))</f>
        <v>OUT OF STOCK</v>
      </c>
    </row>
    <row r="56" customFormat="false" ht="15" hidden="false" customHeight="false" outlineLevel="0" collapsed="false">
      <c r="A56" s="68" t="str">
        <f aca="false">'Item Master'!A54</f>
        <v>OPP</v>
      </c>
      <c r="B56" s="69" t="str">
        <f aca="false">'Item Master'!B54</f>
        <v>OPP Self-adhesive Sleeves (assorted)</v>
      </c>
      <c r="C56" s="68" t="str">
        <f aca="false">'Item Master'!C54</f>
        <v>Packing Consumables</v>
      </c>
      <c r="D56" s="70" t="n">
        <f aca="false">IF('Nov-2026'!V57&lt;&gt;"",'Nov-2026'!V57,'Nov-2026'!U57)</f>
        <v>0</v>
      </c>
      <c r="E56" s="70" t="n">
        <f aca="false">IF('Dec-2026'!V57&lt;&gt;"",'Dec-2026'!V57,'Dec-2026'!U57)</f>
        <v>0</v>
      </c>
      <c r="F56" s="70" t="n">
        <f aca="false">IF('Jan-2027'!V57&lt;&gt;"",'Jan-2027'!V57,'Jan-2027'!U57)</f>
        <v>0</v>
      </c>
      <c r="G56" s="70" t="n">
        <f aca="false">IF('Feb-2027'!V57&lt;&gt;"",'Feb-2027'!V57,'Feb-2027'!U57)</f>
        <v>0</v>
      </c>
      <c r="H56" s="70" t="n">
        <f aca="false">IF('Mar-2027'!V57&lt;&gt;"",'Mar-2027'!V57,'Mar-2027'!U57)</f>
        <v>0</v>
      </c>
      <c r="I56" s="70" t="n">
        <f aca="false">IF('Apr-2027'!V57&lt;&gt;"",'Apr-2027'!V57,'Apr-2027'!U57)</f>
        <v>0</v>
      </c>
      <c r="J56" s="70" t="n">
        <f aca="false">IF('May-2027'!V57&lt;&gt;"",'May-2027'!V57,'May-2027'!U57)</f>
        <v>0</v>
      </c>
      <c r="K56" s="70" t="n">
        <f aca="false">IF('Jun-2027'!V57&lt;&gt;"",'Jun-2027'!V57,'Jun-2027'!U57)</f>
        <v>0</v>
      </c>
      <c r="L56" s="70" t="n">
        <f aca="false">IF('Jul-2027'!V57&lt;&gt;"",'Jul-2027'!V57,'Jul-2027'!U57)</f>
        <v>0</v>
      </c>
      <c r="M56" s="70" t="n">
        <f aca="false">IF('Aug-2027'!V57&lt;&gt;"",'Aug-2027'!V57,'Aug-2027'!U57)</f>
        <v>0</v>
      </c>
      <c r="N56" s="70" t="n">
        <f aca="false">IF('Sep-2027'!V57&lt;&gt;"",'Sep-2027'!V57,'Sep-2027'!U57)</f>
        <v>0</v>
      </c>
      <c r="O56" s="70" t="n">
        <f aca="false">IF('Oct-2027'!V57&lt;&gt;"",'Oct-2027'!V57,'Oct-2027'!U57)</f>
        <v>0</v>
      </c>
      <c r="P56" s="70" t="n">
        <f aca="false">N('Nov-2026'!O57)+N('Dec-2026'!O57)+N('Jan-2027'!O57)+N('Feb-2027'!O57)+N('Mar-2027'!O57)+N('Apr-2027'!O57)+N('May-2027'!O57)+N('Jun-2027'!O57)+N('Jul-2027'!O57)+N('Aug-2027'!O57)+N('Sep-2027'!O57)+N('Oct-2027'!O57)</f>
        <v>0</v>
      </c>
      <c r="Q56" s="70" t="n">
        <f aca="false">N('Nov-2026'!P57)+N('Dec-2026'!P57)+N('Jan-2027'!P57)+N('Feb-2027'!P57)+N('Mar-2027'!P57)+N('Apr-2027'!P57)+N('May-2027'!P57)+N('Jun-2027'!P57)+N('Jul-2027'!P57)+N('Aug-2027'!P57)+N('Sep-2027'!P57)+N('Oct-2027'!P57)</f>
        <v>0</v>
      </c>
      <c r="R56" s="70" t="n">
        <f aca="false">N('Nov-2026'!Q57)+N('Dec-2026'!Q57)+N('Jan-2027'!Q57)+N('Feb-2027'!Q57)+N('Mar-2027'!Q57)+N('Apr-2027'!Q57)+N('May-2027'!Q57)+N('Jun-2027'!Q57)+N('Jul-2027'!Q57)+N('Aug-2027'!Q57)+N('Sep-2027'!Q57)+N('Oct-2027'!Q57)</f>
        <v>0</v>
      </c>
      <c r="S56" s="70" t="n">
        <f aca="false">N('Nov-2026'!R57)+N('Dec-2026'!R57)+N('Jan-2027'!R57)+N('Feb-2027'!R57)+N('Mar-2027'!R57)+N('Apr-2027'!R57)+N('May-2027'!R57)+N('Jun-2027'!R57)+N('Jul-2027'!R57)+N('Aug-2027'!R57)+N('Sep-2027'!R57)+N('Oct-2027'!R57)</f>
        <v>0</v>
      </c>
      <c r="T56" s="70" t="n">
        <f aca="false">N('Nov-2026'!S57)+N('Dec-2026'!S57)+N('Jan-2027'!S57)+N('Feb-2027'!S57)+N('Mar-2027'!S57)+N('Apr-2027'!S57)+N('May-2027'!S57)+N('Jun-2027'!S57)+N('Jul-2027'!S57)+N('Aug-2027'!S57)+N('Sep-2027'!S57)+N('Oct-2027'!S57)</f>
        <v>0</v>
      </c>
      <c r="U56" s="70" t="n">
        <f aca="false">SUM(Q56:S56)</f>
        <v>0</v>
      </c>
      <c r="V56" s="71" t="n">
        <f aca="false">IFERROR(U56/MATCH($B$3,$D$6:$O$6,0),0)</f>
        <v>0</v>
      </c>
      <c r="W56" s="70" t="n">
        <f aca="false">CEILING(V56*1.5,10)</f>
        <v>0</v>
      </c>
      <c r="X56" s="70" t="n">
        <f aca="false">'Item Master'!P54</f>
        <v>500</v>
      </c>
      <c r="Y56" s="70" t="n">
        <f aca="false">INDEX(D56:O56,MATCH($B$3,$D$6:$O$6,0))</f>
        <v>0</v>
      </c>
      <c r="Z56" s="70" t="str">
        <f aca="false">IF(Y56&lt;=0,"OUT OF STOCK",IF(Y56&lt;=X56,"REORDER NOW",IF(Y56&lt;=X56*1.5,"LOW","OK")))</f>
        <v>OUT OF STOCK</v>
      </c>
    </row>
    <row r="57" customFormat="false" ht="15" hidden="false" customHeight="false" outlineLevel="0" collapsed="false">
      <c r="A57" s="64" t="str">
        <f aca="false">'Item Master'!A55</f>
        <v>BWR</v>
      </c>
      <c r="B57" s="65" t="str">
        <f aca="false">'Item Master'!B55</f>
        <v>Bubble Wrap</v>
      </c>
      <c r="C57" s="64" t="str">
        <f aca="false">'Item Master'!C55</f>
        <v>Packing Consumables</v>
      </c>
      <c r="D57" s="66" t="n">
        <f aca="false">IF('Nov-2026'!V58&lt;&gt;"",'Nov-2026'!V58,'Nov-2026'!U58)</f>
        <v>0</v>
      </c>
      <c r="E57" s="66" t="n">
        <f aca="false">IF('Dec-2026'!V58&lt;&gt;"",'Dec-2026'!V58,'Dec-2026'!U58)</f>
        <v>0</v>
      </c>
      <c r="F57" s="66" t="n">
        <f aca="false">IF('Jan-2027'!V58&lt;&gt;"",'Jan-2027'!V58,'Jan-2027'!U58)</f>
        <v>0</v>
      </c>
      <c r="G57" s="66" t="n">
        <f aca="false">IF('Feb-2027'!V58&lt;&gt;"",'Feb-2027'!V58,'Feb-2027'!U58)</f>
        <v>0</v>
      </c>
      <c r="H57" s="66" t="n">
        <f aca="false">IF('Mar-2027'!V58&lt;&gt;"",'Mar-2027'!V58,'Mar-2027'!U58)</f>
        <v>0</v>
      </c>
      <c r="I57" s="66" t="n">
        <f aca="false">IF('Apr-2027'!V58&lt;&gt;"",'Apr-2027'!V58,'Apr-2027'!U58)</f>
        <v>0</v>
      </c>
      <c r="J57" s="66" t="n">
        <f aca="false">IF('May-2027'!V58&lt;&gt;"",'May-2027'!V58,'May-2027'!U58)</f>
        <v>0</v>
      </c>
      <c r="K57" s="66" t="n">
        <f aca="false">IF('Jun-2027'!V58&lt;&gt;"",'Jun-2027'!V58,'Jun-2027'!U58)</f>
        <v>0</v>
      </c>
      <c r="L57" s="66" t="n">
        <f aca="false">IF('Jul-2027'!V58&lt;&gt;"",'Jul-2027'!V58,'Jul-2027'!U58)</f>
        <v>0</v>
      </c>
      <c r="M57" s="66" t="n">
        <f aca="false">IF('Aug-2027'!V58&lt;&gt;"",'Aug-2027'!V58,'Aug-2027'!U58)</f>
        <v>0</v>
      </c>
      <c r="N57" s="66" t="n">
        <f aca="false">IF('Sep-2027'!V58&lt;&gt;"",'Sep-2027'!V58,'Sep-2027'!U58)</f>
        <v>0</v>
      </c>
      <c r="O57" s="66" t="n">
        <f aca="false">IF('Oct-2027'!V58&lt;&gt;"",'Oct-2027'!V58,'Oct-2027'!U58)</f>
        <v>0</v>
      </c>
      <c r="P57" s="66" t="n">
        <f aca="false">N('Nov-2026'!O58)+N('Dec-2026'!O58)+N('Jan-2027'!O58)+N('Feb-2027'!O58)+N('Mar-2027'!O58)+N('Apr-2027'!O58)+N('May-2027'!O58)+N('Jun-2027'!O58)+N('Jul-2027'!O58)+N('Aug-2027'!O58)+N('Sep-2027'!O58)+N('Oct-2027'!O58)</f>
        <v>0</v>
      </c>
      <c r="Q57" s="66" t="n">
        <f aca="false">N('Nov-2026'!P58)+N('Dec-2026'!P58)+N('Jan-2027'!P58)+N('Feb-2027'!P58)+N('Mar-2027'!P58)+N('Apr-2027'!P58)+N('May-2027'!P58)+N('Jun-2027'!P58)+N('Jul-2027'!P58)+N('Aug-2027'!P58)+N('Sep-2027'!P58)+N('Oct-2027'!P58)</f>
        <v>0</v>
      </c>
      <c r="R57" s="66" t="n">
        <f aca="false">N('Nov-2026'!Q58)+N('Dec-2026'!Q58)+N('Jan-2027'!Q58)+N('Feb-2027'!Q58)+N('Mar-2027'!Q58)+N('Apr-2027'!Q58)+N('May-2027'!Q58)+N('Jun-2027'!Q58)+N('Jul-2027'!Q58)+N('Aug-2027'!Q58)+N('Sep-2027'!Q58)+N('Oct-2027'!Q58)</f>
        <v>0</v>
      </c>
      <c r="S57" s="66" t="n">
        <f aca="false">N('Nov-2026'!R58)+N('Dec-2026'!R58)+N('Jan-2027'!R58)+N('Feb-2027'!R58)+N('Mar-2027'!R58)+N('Apr-2027'!R58)+N('May-2027'!R58)+N('Jun-2027'!R58)+N('Jul-2027'!R58)+N('Aug-2027'!R58)+N('Sep-2027'!R58)+N('Oct-2027'!R58)</f>
        <v>0</v>
      </c>
      <c r="T57" s="66" t="n">
        <f aca="false">N('Nov-2026'!S58)+N('Dec-2026'!S58)+N('Jan-2027'!S58)+N('Feb-2027'!S58)+N('Mar-2027'!S58)+N('Apr-2027'!S58)+N('May-2027'!S58)+N('Jun-2027'!S58)+N('Jul-2027'!S58)+N('Aug-2027'!S58)+N('Sep-2027'!S58)+N('Oct-2027'!S58)</f>
        <v>0</v>
      </c>
      <c r="U57" s="66" t="n">
        <f aca="false">SUM(Q57:S57)</f>
        <v>0</v>
      </c>
      <c r="V57" s="67" t="n">
        <f aca="false">IFERROR(U57/MATCH($B$3,$D$6:$O$6,0),0)</f>
        <v>0</v>
      </c>
      <c r="W57" s="66" t="n">
        <f aca="false">CEILING(V57*1.5,10)</f>
        <v>0</v>
      </c>
      <c r="X57" s="66" t="n">
        <f aca="false">'Item Master'!P55</f>
        <v>20</v>
      </c>
      <c r="Y57" s="66" t="n">
        <f aca="false">INDEX(D57:O57,MATCH($B$3,$D$6:$O$6,0))</f>
        <v>0</v>
      </c>
      <c r="Z57" s="66" t="str">
        <f aca="false">IF(Y57&lt;=0,"OUT OF STOCK",IF(Y57&lt;=X57,"REORDER NOW",IF(Y57&lt;=X57*1.5,"LOW","OK")))</f>
        <v>OUT OF STOCK</v>
      </c>
    </row>
    <row r="58" customFormat="false" ht="15" hidden="false" customHeight="false" outlineLevel="0" collapsed="false">
      <c r="A58" s="68" t="str">
        <f aca="false">'Item Master'!A56</f>
        <v>CAL</v>
      </c>
      <c r="B58" s="69" t="str">
        <f aca="false">'Item Master'!B56</f>
        <v>Temple Calendar 2027</v>
      </c>
      <c r="C58" s="68" t="str">
        <f aca="false">'Item Master'!C56</f>
        <v>Suggested New Items</v>
      </c>
      <c r="D58" s="70" t="n">
        <f aca="false">IF('Nov-2026'!V59&lt;&gt;"",'Nov-2026'!V59,'Nov-2026'!U59)</f>
        <v>0</v>
      </c>
      <c r="E58" s="70" t="n">
        <f aca="false">IF('Dec-2026'!V59&lt;&gt;"",'Dec-2026'!V59,'Dec-2026'!U59)</f>
        <v>0</v>
      </c>
      <c r="F58" s="70" t="n">
        <f aca="false">IF('Jan-2027'!V59&lt;&gt;"",'Jan-2027'!V59,'Jan-2027'!U59)</f>
        <v>0</v>
      </c>
      <c r="G58" s="70" t="n">
        <f aca="false">IF('Feb-2027'!V59&lt;&gt;"",'Feb-2027'!V59,'Feb-2027'!U59)</f>
        <v>0</v>
      </c>
      <c r="H58" s="70" t="n">
        <f aca="false">IF('Mar-2027'!V59&lt;&gt;"",'Mar-2027'!V59,'Mar-2027'!U59)</f>
        <v>0</v>
      </c>
      <c r="I58" s="70" t="n">
        <f aca="false">IF('Apr-2027'!V59&lt;&gt;"",'Apr-2027'!V59,'Apr-2027'!U59)</f>
        <v>0</v>
      </c>
      <c r="J58" s="70" t="n">
        <f aca="false">IF('May-2027'!V59&lt;&gt;"",'May-2027'!V59,'May-2027'!U59)</f>
        <v>0</v>
      </c>
      <c r="K58" s="70" t="n">
        <f aca="false">IF('Jun-2027'!V59&lt;&gt;"",'Jun-2027'!V59,'Jun-2027'!U59)</f>
        <v>0</v>
      </c>
      <c r="L58" s="70" t="n">
        <f aca="false">IF('Jul-2027'!V59&lt;&gt;"",'Jul-2027'!V59,'Jul-2027'!U59)</f>
        <v>0</v>
      </c>
      <c r="M58" s="70" t="n">
        <f aca="false">IF('Aug-2027'!V59&lt;&gt;"",'Aug-2027'!V59,'Aug-2027'!U59)</f>
        <v>0</v>
      </c>
      <c r="N58" s="70" t="n">
        <f aca="false">IF('Sep-2027'!V59&lt;&gt;"",'Sep-2027'!V59,'Sep-2027'!U59)</f>
        <v>0</v>
      </c>
      <c r="O58" s="70" t="n">
        <f aca="false">IF('Oct-2027'!V59&lt;&gt;"",'Oct-2027'!V59,'Oct-2027'!U59)</f>
        <v>0</v>
      </c>
      <c r="P58" s="70" t="n">
        <f aca="false">N('Nov-2026'!O59)+N('Dec-2026'!O59)+N('Jan-2027'!O59)+N('Feb-2027'!O59)+N('Mar-2027'!O59)+N('Apr-2027'!O59)+N('May-2027'!O59)+N('Jun-2027'!O59)+N('Jul-2027'!O59)+N('Aug-2027'!O59)+N('Sep-2027'!O59)+N('Oct-2027'!O59)</f>
        <v>0</v>
      </c>
      <c r="Q58" s="70" t="n">
        <f aca="false">N('Nov-2026'!P59)+N('Dec-2026'!P59)+N('Jan-2027'!P59)+N('Feb-2027'!P59)+N('Mar-2027'!P59)+N('Apr-2027'!P59)+N('May-2027'!P59)+N('Jun-2027'!P59)+N('Jul-2027'!P59)+N('Aug-2027'!P59)+N('Sep-2027'!P59)+N('Oct-2027'!P59)</f>
        <v>0</v>
      </c>
      <c r="R58" s="70" t="n">
        <f aca="false">N('Nov-2026'!Q59)+N('Dec-2026'!Q59)+N('Jan-2027'!Q59)+N('Feb-2027'!Q59)+N('Mar-2027'!Q59)+N('Apr-2027'!Q59)+N('May-2027'!Q59)+N('Jun-2027'!Q59)+N('Jul-2027'!Q59)+N('Aug-2027'!Q59)+N('Sep-2027'!Q59)+N('Oct-2027'!Q59)</f>
        <v>0</v>
      </c>
      <c r="S58" s="70" t="n">
        <f aca="false">N('Nov-2026'!R59)+N('Dec-2026'!R59)+N('Jan-2027'!R59)+N('Feb-2027'!R59)+N('Mar-2027'!R59)+N('Apr-2027'!R59)+N('May-2027'!R59)+N('Jun-2027'!R59)+N('Jul-2027'!R59)+N('Aug-2027'!R59)+N('Sep-2027'!R59)+N('Oct-2027'!R59)</f>
        <v>0</v>
      </c>
      <c r="T58" s="70" t="n">
        <f aca="false">N('Nov-2026'!S59)+N('Dec-2026'!S59)+N('Jan-2027'!S59)+N('Feb-2027'!S59)+N('Mar-2027'!S59)+N('Apr-2027'!S59)+N('May-2027'!S59)+N('Jun-2027'!S59)+N('Jul-2027'!S59)+N('Aug-2027'!S59)+N('Sep-2027'!S59)+N('Oct-2027'!S59)</f>
        <v>0</v>
      </c>
      <c r="U58" s="70" t="n">
        <f aca="false">SUM(Q58:S58)</f>
        <v>0</v>
      </c>
      <c r="V58" s="71" t="n">
        <f aca="false">IFERROR(U58/MATCH($B$3,$D$6:$O$6,0),0)</f>
        <v>0</v>
      </c>
      <c r="W58" s="70" t="n">
        <f aca="false">CEILING(V58*1.5,10)</f>
        <v>0</v>
      </c>
      <c r="X58" s="70" t="n">
        <f aca="false">'Item Master'!P56</f>
        <v>100</v>
      </c>
      <c r="Y58" s="70" t="n">
        <f aca="false">INDEX(D58:O58,MATCH($B$3,$D$6:$O$6,0))</f>
        <v>0</v>
      </c>
      <c r="Z58" s="70" t="str">
        <f aca="false">IF(Y58&lt;=0,"OUT OF STOCK",IF(Y58&lt;=X58,"REORDER NOW",IF(Y58&lt;=X58*1.5,"LOW","OK")))</f>
        <v>OUT OF STOCK</v>
      </c>
    </row>
    <row r="59" customFormat="false" ht="15" hidden="false" customHeight="false" outlineLevel="0" collapsed="false">
      <c r="A59" s="64" t="str">
        <f aca="false">'Item Master'!A57</f>
        <v>BMK</v>
      </c>
      <c r="B59" s="65" t="str">
        <f aca="false">'Item Master'!B57</f>
        <v>Bookmark with Mantra</v>
      </c>
      <c r="C59" s="64" t="str">
        <f aca="false">'Item Master'!C57</f>
        <v>Suggested New Items</v>
      </c>
      <c r="D59" s="66" t="n">
        <f aca="false">IF('Nov-2026'!V60&lt;&gt;"",'Nov-2026'!V60,'Nov-2026'!U60)</f>
        <v>0</v>
      </c>
      <c r="E59" s="66" t="n">
        <f aca="false">IF('Dec-2026'!V60&lt;&gt;"",'Dec-2026'!V60,'Dec-2026'!U60)</f>
        <v>0</v>
      </c>
      <c r="F59" s="66" t="n">
        <f aca="false">IF('Jan-2027'!V60&lt;&gt;"",'Jan-2027'!V60,'Jan-2027'!U60)</f>
        <v>0</v>
      </c>
      <c r="G59" s="66" t="n">
        <f aca="false">IF('Feb-2027'!V60&lt;&gt;"",'Feb-2027'!V60,'Feb-2027'!U60)</f>
        <v>0</v>
      </c>
      <c r="H59" s="66" t="n">
        <f aca="false">IF('Mar-2027'!V60&lt;&gt;"",'Mar-2027'!V60,'Mar-2027'!U60)</f>
        <v>0</v>
      </c>
      <c r="I59" s="66" t="n">
        <f aca="false">IF('Apr-2027'!V60&lt;&gt;"",'Apr-2027'!V60,'Apr-2027'!U60)</f>
        <v>0</v>
      </c>
      <c r="J59" s="66" t="n">
        <f aca="false">IF('May-2027'!V60&lt;&gt;"",'May-2027'!V60,'May-2027'!U60)</f>
        <v>0</v>
      </c>
      <c r="K59" s="66" t="n">
        <f aca="false">IF('Jun-2027'!V60&lt;&gt;"",'Jun-2027'!V60,'Jun-2027'!U60)</f>
        <v>0</v>
      </c>
      <c r="L59" s="66" t="n">
        <f aca="false">IF('Jul-2027'!V60&lt;&gt;"",'Jul-2027'!V60,'Jul-2027'!U60)</f>
        <v>0</v>
      </c>
      <c r="M59" s="66" t="n">
        <f aca="false">IF('Aug-2027'!V60&lt;&gt;"",'Aug-2027'!V60,'Aug-2027'!U60)</f>
        <v>0</v>
      </c>
      <c r="N59" s="66" t="n">
        <f aca="false">IF('Sep-2027'!V60&lt;&gt;"",'Sep-2027'!V60,'Sep-2027'!U60)</f>
        <v>0</v>
      </c>
      <c r="O59" s="66" t="n">
        <f aca="false">IF('Oct-2027'!V60&lt;&gt;"",'Oct-2027'!V60,'Oct-2027'!U60)</f>
        <v>0</v>
      </c>
      <c r="P59" s="66" t="n">
        <f aca="false">N('Nov-2026'!O60)+N('Dec-2026'!O60)+N('Jan-2027'!O60)+N('Feb-2027'!O60)+N('Mar-2027'!O60)+N('Apr-2027'!O60)+N('May-2027'!O60)+N('Jun-2027'!O60)+N('Jul-2027'!O60)+N('Aug-2027'!O60)+N('Sep-2027'!O60)+N('Oct-2027'!O60)</f>
        <v>0</v>
      </c>
      <c r="Q59" s="66" t="n">
        <f aca="false">N('Nov-2026'!P60)+N('Dec-2026'!P60)+N('Jan-2027'!P60)+N('Feb-2027'!P60)+N('Mar-2027'!P60)+N('Apr-2027'!P60)+N('May-2027'!P60)+N('Jun-2027'!P60)+N('Jul-2027'!P60)+N('Aug-2027'!P60)+N('Sep-2027'!P60)+N('Oct-2027'!P60)</f>
        <v>0</v>
      </c>
      <c r="R59" s="66" t="n">
        <f aca="false">N('Nov-2026'!Q60)+N('Dec-2026'!Q60)+N('Jan-2027'!Q60)+N('Feb-2027'!Q60)+N('Mar-2027'!Q60)+N('Apr-2027'!Q60)+N('May-2027'!Q60)+N('Jun-2027'!Q60)+N('Jul-2027'!Q60)+N('Aug-2027'!Q60)+N('Sep-2027'!Q60)+N('Oct-2027'!Q60)</f>
        <v>0</v>
      </c>
      <c r="S59" s="66" t="n">
        <f aca="false">N('Nov-2026'!R60)+N('Dec-2026'!R60)+N('Jan-2027'!R60)+N('Feb-2027'!R60)+N('Mar-2027'!R60)+N('Apr-2027'!R60)+N('May-2027'!R60)+N('Jun-2027'!R60)+N('Jul-2027'!R60)+N('Aug-2027'!R60)+N('Sep-2027'!R60)+N('Oct-2027'!R60)</f>
        <v>0</v>
      </c>
      <c r="T59" s="66" t="n">
        <f aca="false">N('Nov-2026'!S60)+N('Dec-2026'!S60)+N('Jan-2027'!S60)+N('Feb-2027'!S60)+N('Mar-2027'!S60)+N('Apr-2027'!S60)+N('May-2027'!S60)+N('Jun-2027'!S60)+N('Jul-2027'!S60)+N('Aug-2027'!S60)+N('Sep-2027'!S60)+N('Oct-2027'!S60)</f>
        <v>0</v>
      </c>
      <c r="U59" s="66" t="n">
        <f aca="false">SUM(Q59:S59)</f>
        <v>0</v>
      </c>
      <c r="V59" s="67" t="n">
        <f aca="false">IFERROR(U59/MATCH($B$3,$D$6:$O$6,0),0)</f>
        <v>0</v>
      </c>
      <c r="W59" s="66" t="n">
        <f aca="false">CEILING(V59*1.5,10)</f>
        <v>0</v>
      </c>
      <c r="X59" s="66" t="n">
        <f aca="false">'Item Master'!P57</f>
        <v>300</v>
      </c>
      <c r="Y59" s="66" t="n">
        <f aca="false">INDEX(D59:O59,MATCH($B$3,$D$6:$O$6,0))</f>
        <v>0</v>
      </c>
      <c r="Z59" s="66" t="str">
        <f aca="false">IF(Y59&lt;=0,"OUT OF STOCK",IF(Y59&lt;=X59,"REORDER NOW",IF(Y59&lt;=X59*1.5,"LOW","OK")))</f>
        <v>OUT OF STOCK</v>
      </c>
    </row>
    <row r="60" customFormat="false" ht="15" hidden="false" customHeight="false" outlineLevel="0" collapsed="false">
      <c r="A60" s="68" t="str">
        <f aca="false">'Item Master'!A58</f>
        <v>KNT</v>
      </c>
      <c r="B60" s="69" t="str">
        <f aca="false">'Item Master'!B58</f>
        <v>Kanthi Mala (neck beads)</v>
      </c>
      <c r="C60" s="68" t="str">
        <f aca="false">'Item Master'!C58</f>
        <v>Suggested New Items</v>
      </c>
      <c r="D60" s="70" t="n">
        <f aca="false">IF('Nov-2026'!V61&lt;&gt;"",'Nov-2026'!V61,'Nov-2026'!U61)</f>
        <v>0</v>
      </c>
      <c r="E60" s="70" t="n">
        <f aca="false">IF('Dec-2026'!V61&lt;&gt;"",'Dec-2026'!V61,'Dec-2026'!U61)</f>
        <v>0</v>
      </c>
      <c r="F60" s="70" t="n">
        <f aca="false">IF('Jan-2027'!V61&lt;&gt;"",'Jan-2027'!V61,'Jan-2027'!U61)</f>
        <v>0</v>
      </c>
      <c r="G60" s="70" t="n">
        <f aca="false">IF('Feb-2027'!V61&lt;&gt;"",'Feb-2027'!V61,'Feb-2027'!U61)</f>
        <v>0</v>
      </c>
      <c r="H60" s="70" t="n">
        <f aca="false">IF('Mar-2027'!V61&lt;&gt;"",'Mar-2027'!V61,'Mar-2027'!U61)</f>
        <v>0</v>
      </c>
      <c r="I60" s="70" t="n">
        <f aca="false">IF('Apr-2027'!V61&lt;&gt;"",'Apr-2027'!V61,'Apr-2027'!U61)</f>
        <v>0</v>
      </c>
      <c r="J60" s="70" t="n">
        <f aca="false">IF('May-2027'!V61&lt;&gt;"",'May-2027'!V61,'May-2027'!U61)</f>
        <v>0</v>
      </c>
      <c r="K60" s="70" t="n">
        <f aca="false">IF('Jun-2027'!V61&lt;&gt;"",'Jun-2027'!V61,'Jun-2027'!U61)</f>
        <v>0</v>
      </c>
      <c r="L60" s="70" t="n">
        <f aca="false">IF('Jul-2027'!V61&lt;&gt;"",'Jul-2027'!V61,'Jul-2027'!U61)</f>
        <v>0</v>
      </c>
      <c r="M60" s="70" t="n">
        <f aca="false">IF('Aug-2027'!V61&lt;&gt;"",'Aug-2027'!V61,'Aug-2027'!U61)</f>
        <v>0</v>
      </c>
      <c r="N60" s="70" t="n">
        <f aca="false">IF('Sep-2027'!V61&lt;&gt;"",'Sep-2027'!V61,'Sep-2027'!U61)</f>
        <v>0</v>
      </c>
      <c r="O60" s="70" t="n">
        <f aca="false">IF('Oct-2027'!V61&lt;&gt;"",'Oct-2027'!V61,'Oct-2027'!U61)</f>
        <v>0</v>
      </c>
      <c r="P60" s="70" t="n">
        <f aca="false">N('Nov-2026'!O61)+N('Dec-2026'!O61)+N('Jan-2027'!O61)+N('Feb-2027'!O61)+N('Mar-2027'!O61)+N('Apr-2027'!O61)+N('May-2027'!O61)+N('Jun-2027'!O61)+N('Jul-2027'!O61)+N('Aug-2027'!O61)+N('Sep-2027'!O61)+N('Oct-2027'!O61)</f>
        <v>0</v>
      </c>
      <c r="Q60" s="70" t="n">
        <f aca="false">N('Nov-2026'!P61)+N('Dec-2026'!P61)+N('Jan-2027'!P61)+N('Feb-2027'!P61)+N('Mar-2027'!P61)+N('Apr-2027'!P61)+N('May-2027'!P61)+N('Jun-2027'!P61)+N('Jul-2027'!P61)+N('Aug-2027'!P61)+N('Sep-2027'!P61)+N('Oct-2027'!P61)</f>
        <v>0</v>
      </c>
      <c r="R60" s="70" t="n">
        <f aca="false">N('Nov-2026'!Q61)+N('Dec-2026'!Q61)+N('Jan-2027'!Q61)+N('Feb-2027'!Q61)+N('Mar-2027'!Q61)+N('Apr-2027'!Q61)+N('May-2027'!Q61)+N('Jun-2027'!Q61)+N('Jul-2027'!Q61)+N('Aug-2027'!Q61)+N('Sep-2027'!Q61)+N('Oct-2027'!Q61)</f>
        <v>0</v>
      </c>
      <c r="S60" s="70" t="n">
        <f aca="false">N('Nov-2026'!R61)+N('Dec-2026'!R61)+N('Jan-2027'!R61)+N('Feb-2027'!R61)+N('Mar-2027'!R61)+N('Apr-2027'!R61)+N('May-2027'!R61)+N('Jun-2027'!R61)+N('Jul-2027'!R61)+N('Aug-2027'!R61)+N('Sep-2027'!R61)+N('Oct-2027'!R61)</f>
        <v>0</v>
      </c>
      <c r="T60" s="70" t="n">
        <f aca="false">N('Nov-2026'!S61)+N('Dec-2026'!S61)+N('Jan-2027'!S61)+N('Feb-2027'!S61)+N('Mar-2027'!S61)+N('Apr-2027'!S61)+N('May-2027'!S61)+N('Jun-2027'!S61)+N('Jul-2027'!S61)+N('Aug-2027'!S61)+N('Sep-2027'!S61)+N('Oct-2027'!S61)</f>
        <v>0</v>
      </c>
      <c r="U60" s="70" t="n">
        <f aca="false">SUM(Q60:S60)</f>
        <v>0</v>
      </c>
      <c r="V60" s="71" t="n">
        <f aca="false">IFERROR(U60/MATCH($B$3,$D$6:$O$6,0),0)</f>
        <v>0</v>
      </c>
      <c r="W60" s="70" t="n">
        <f aca="false">CEILING(V60*1.5,10)</f>
        <v>0</v>
      </c>
      <c r="X60" s="70" t="n">
        <f aca="false">'Item Master'!P58</f>
        <v>100</v>
      </c>
      <c r="Y60" s="70" t="n">
        <f aca="false">INDEX(D60:O60,MATCH($B$3,$D$6:$O$6,0))</f>
        <v>0</v>
      </c>
      <c r="Z60" s="70" t="str">
        <f aca="false">IF(Y60&lt;=0,"OUT OF STOCK",IF(Y60&lt;=X60,"REORDER NOW",IF(Y60&lt;=X60*1.5,"LOW","OK")))</f>
        <v>OUT OF STOCK</v>
      </c>
    </row>
    <row r="61" customFormat="false" ht="15" hidden="false" customHeight="false" outlineLevel="0" collapsed="false">
      <c r="A61" s="64" t="str">
        <f aca="false">'Item Master'!A59</f>
        <v>GCH</v>
      </c>
      <c r="B61" s="65" t="str">
        <f aca="false">'Item Master'!B59</f>
        <v>Gopi Chandan Tilak</v>
      </c>
      <c r="C61" s="64" t="str">
        <f aca="false">'Item Master'!C59</f>
        <v>Suggested New Items</v>
      </c>
      <c r="D61" s="66" t="n">
        <f aca="false">IF('Nov-2026'!V62&lt;&gt;"",'Nov-2026'!V62,'Nov-2026'!U62)</f>
        <v>0</v>
      </c>
      <c r="E61" s="66" t="n">
        <f aca="false">IF('Dec-2026'!V62&lt;&gt;"",'Dec-2026'!V62,'Dec-2026'!U62)</f>
        <v>0</v>
      </c>
      <c r="F61" s="66" t="n">
        <f aca="false">IF('Jan-2027'!V62&lt;&gt;"",'Jan-2027'!V62,'Jan-2027'!U62)</f>
        <v>0</v>
      </c>
      <c r="G61" s="66" t="n">
        <f aca="false">IF('Feb-2027'!V62&lt;&gt;"",'Feb-2027'!V62,'Feb-2027'!U62)</f>
        <v>0</v>
      </c>
      <c r="H61" s="66" t="n">
        <f aca="false">IF('Mar-2027'!V62&lt;&gt;"",'Mar-2027'!V62,'Mar-2027'!U62)</f>
        <v>0</v>
      </c>
      <c r="I61" s="66" t="n">
        <f aca="false">IF('Apr-2027'!V62&lt;&gt;"",'Apr-2027'!V62,'Apr-2027'!U62)</f>
        <v>0</v>
      </c>
      <c r="J61" s="66" t="n">
        <f aca="false">IF('May-2027'!V62&lt;&gt;"",'May-2027'!V62,'May-2027'!U62)</f>
        <v>0</v>
      </c>
      <c r="K61" s="66" t="n">
        <f aca="false">IF('Jun-2027'!V62&lt;&gt;"",'Jun-2027'!V62,'Jun-2027'!U62)</f>
        <v>0</v>
      </c>
      <c r="L61" s="66" t="n">
        <f aca="false">IF('Jul-2027'!V62&lt;&gt;"",'Jul-2027'!V62,'Jul-2027'!U62)</f>
        <v>0</v>
      </c>
      <c r="M61" s="66" t="n">
        <f aca="false">IF('Aug-2027'!V62&lt;&gt;"",'Aug-2027'!V62,'Aug-2027'!U62)</f>
        <v>0</v>
      </c>
      <c r="N61" s="66" t="n">
        <f aca="false">IF('Sep-2027'!V62&lt;&gt;"",'Sep-2027'!V62,'Sep-2027'!U62)</f>
        <v>0</v>
      </c>
      <c r="O61" s="66" t="n">
        <f aca="false">IF('Oct-2027'!V62&lt;&gt;"",'Oct-2027'!V62,'Oct-2027'!U62)</f>
        <v>0</v>
      </c>
      <c r="P61" s="66" t="n">
        <f aca="false">N('Nov-2026'!O62)+N('Dec-2026'!O62)+N('Jan-2027'!O62)+N('Feb-2027'!O62)+N('Mar-2027'!O62)+N('Apr-2027'!O62)+N('May-2027'!O62)+N('Jun-2027'!O62)+N('Jul-2027'!O62)+N('Aug-2027'!O62)+N('Sep-2027'!O62)+N('Oct-2027'!O62)</f>
        <v>0</v>
      </c>
      <c r="Q61" s="66" t="n">
        <f aca="false">N('Nov-2026'!P62)+N('Dec-2026'!P62)+N('Jan-2027'!P62)+N('Feb-2027'!P62)+N('Mar-2027'!P62)+N('Apr-2027'!P62)+N('May-2027'!P62)+N('Jun-2027'!P62)+N('Jul-2027'!P62)+N('Aug-2027'!P62)+N('Sep-2027'!P62)+N('Oct-2027'!P62)</f>
        <v>0</v>
      </c>
      <c r="R61" s="66" t="n">
        <f aca="false">N('Nov-2026'!Q62)+N('Dec-2026'!Q62)+N('Jan-2027'!Q62)+N('Feb-2027'!Q62)+N('Mar-2027'!Q62)+N('Apr-2027'!Q62)+N('May-2027'!Q62)+N('Jun-2027'!Q62)+N('Jul-2027'!Q62)+N('Aug-2027'!Q62)+N('Sep-2027'!Q62)+N('Oct-2027'!Q62)</f>
        <v>0</v>
      </c>
      <c r="S61" s="66" t="n">
        <f aca="false">N('Nov-2026'!R62)+N('Dec-2026'!R62)+N('Jan-2027'!R62)+N('Feb-2027'!R62)+N('Mar-2027'!R62)+N('Apr-2027'!R62)+N('May-2027'!R62)+N('Jun-2027'!R62)+N('Jul-2027'!R62)+N('Aug-2027'!R62)+N('Sep-2027'!R62)+N('Oct-2027'!R62)</f>
        <v>0</v>
      </c>
      <c r="T61" s="66" t="n">
        <f aca="false">N('Nov-2026'!S62)+N('Dec-2026'!S62)+N('Jan-2027'!S62)+N('Feb-2027'!S62)+N('Mar-2027'!S62)+N('Apr-2027'!S62)+N('May-2027'!S62)+N('Jun-2027'!S62)+N('Jul-2027'!S62)+N('Aug-2027'!S62)+N('Sep-2027'!S62)+N('Oct-2027'!S62)</f>
        <v>0</v>
      </c>
      <c r="U61" s="66" t="n">
        <f aca="false">SUM(Q61:S61)</f>
        <v>0</v>
      </c>
      <c r="V61" s="67" t="n">
        <f aca="false">IFERROR(U61/MATCH($B$3,$D$6:$O$6,0),0)</f>
        <v>0</v>
      </c>
      <c r="W61" s="66" t="n">
        <f aca="false">CEILING(V61*1.5,10)</f>
        <v>0</v>
      </c>
      <c r="X61" s="66" t="n">
        <f aca="false">'Item Master'!P59</f>
        <v>100</v>
      </c>
      <c r="Y61" s="66" t="n">
        <f aca="false">INDEX(D61:O61,MATCH($B$3,$D$6:$O$6,0))</f>
        <v>0</v>
      </c>
      <c r="Z61" s="66" t="str">
        <f aca="false">IF(Y61&lt;=0,"OUT OF STOCK",IF(Y61&lt;=X61,"REORDER NOW",IF(Y61&lt;=X61*1.5,"LOW","OK")))</f>
        <v>OUT OF STOCK</v>
      </c>
    </row>
    <row r="62" customFormat="false" ht="15" hidden="false" customHeight="false" outlineLevel="0" collapsed="false">
      <c r="A62" s="68" t="str">
        <f aca="false">'Item Master'!A60</f>
        <v>GWK</v>
      </c>
      <c r="B62" s="69" t="str">
        <f aca="false">'Item Master'!B60</f>
        <v>Ghee Wicks / Diya (Karthika Deepam)</v>
      </c>
      <c r="C62" s="68" t="str">
        <f aca="false">'Item Master'!C60</f>
        <v>Suggested New Items</v>
      </c>
      <c r="D62" s="70" t="n">
        <f aca="false">IF('Nov-2026'!V63&lt;&gt;"",'Nov-2026'!V63,'Nov-2026'!U63)</f>
        <v>0</v>
      </c>
      <c r="E62" s="70" t="n">
        <f aca="false">IF('Dec-2026'!V63&lt;&gt;"",'Dec-2026'!V63,'Dec-2026'!U63)</f>
        <v>0</v>
      </c>
      <c r="F62" s="70" t="n">
        <f aca="false">IF('Jan-2027'!V63&lt;&gt;"",'Jan-2027'!V63,'Jan-2027'!U63)</f>
        <v>0</v>
      </c>
      <c r="G62" s="70" t="n">
        <f aca="false">IF('Feb-2027'!V63&lt;&gt;"",'Feb-2027'!V63,'Feb-2027'!U63)</f>
        <v>0</v>
      </c>
      <c r="H62" s="70" t="n">
        <f aca="false">IF('Mar-2027'!V63&lt;&gt;"",'Mar-2027'!V63,'Mar-2027'!U63)</f>
        <v>0</v>
      </c>
      <c r="I62" s="70" t="n">
        <f aca="false">IF('Apr-2027'!V63&lt;&gt;"",'Apr-2027'!V63,'Apr-2027'!U63)</f>
        <v>0</v>
      </c>
      <c r="J62" s="70" t="n">
        <f aca="false">IF('May-2027'!V63&lt;&gt;"",'May-2027'!V63,'May-2027'!U63)</f>
        <v>0</v>
      </c>
      <c r="K62" s="70" t="n">
        <f aca="false">IF('Jun-2027'!V63&lt;&gt;"",'Jun-2027'!V63,'Jun-2027'!U63)</f>
        <v>0</v>
      </c>
      <c r="L62" s="70" t="n">
        <f aca="false">IF('Jul-2027'!V63&lt;&gt;"",'Jul-2027'!V63,'Jul-2027'!U63)</f>
        <v>0</v>
      </c>
      <c r="M62" s="70" t="n">
        <f aca="false">IF('Aug-2027'!V63&lt;&gt;"",'Aug-2027'!V63,'Aug-2027'!U63)</f>
        <v>0</v>
      </c>
      <c r="N62" s="70" t="n">
        <f aca="false">IF('Sep-2027'!V63&lt;&gt;"",'Sep-2027'!V63,'Sep-2027'!U63)</f>
        <v>0</v>
      </c>
      <c r="O62" s="70" t="n">
        <f aca="false">IF('Oct-2027'!V63&lt;&gt;"",'Oct-2027'!V63,'Oct-2027'!U63)</f>
        <v>0</v>
      </c>
      <c r="P62" s="70" t="n">
        <f aca="false">N('Nov-2026'!O63)+N('Dec-2026'!O63)+N('Jan-2027'!O63)+N('Feb-2027'!O63)+N('Mar-2027'!O63)+N('Apr-2027'!O63)+N('May-2027'!O63)+N('Jun-2027'!O63)+N('Jul-2027'!O63)+N('Aug-2027'!O63)+N('Sep-2027'!O63)+N('Oct-2027'!O63)</f>
        <v>0</v>
      </c>
      <c r="Q62" s="70" t="n">
        <f aca="false">N('Nov-2026'!P63)+N('Dec-2026'!P63)+N('Jan-2027'!P63)+N('Feb-2027'!P63)+N('Mar-2027'!P63)+N('Apr-2027'!P63)+N('May-2027'!P63)+N('Jun-2027'!P63)+N('Jul-2027'!P63)+N('Aug-2027'!P63)+N('Sep-2027'!P63)+N('Oct-2027'!P63)</f>
        <v>0</v>
      </c>
      <c r="R62" s="70" t="n">
        <f aca="false">N('Nov-2026'!Q63)+N('Dec-2026'!Q63)+N('Jan-2027'!Q63)+N('Feb-2027'!Q63)+N('Mar-2027'!Q63)+N('Apr-2027'!Q63)+N('May-2027'!Q63)+N('Jun-2027'!Q63)+N('Jul-2027'!Q63)+N('Aug-2027'!Q63)+N('Sep-2027'!Q63)+N('Oct-2027'!Q63)</f>
        <v>0</v>
      </c>
      <c r="S62" s="70" t="n">
        <f aca="false">N('Nov-2026'!R63)+N('Dec-2026'!R63)+N('Jan-2027'!R63)+N('Feb-2027'!R63)+N('Mar-2027'!R63)+N('Apr-2027'!R63)+N('May-2027'!R63)+N('Jun-2027'!R63)+N('Jul-2027'!R63)+N('Aug-2027'!R63)+N('Sep-2027'!R63)+N('Oct-2027'!R63)</f>
        <v>0</v>
      </c>
      <c r="T62" s="70" t="n">
        <f aca="false">N('Nov-2026'!S63)+N('Dec-2026'!S63)+N('Jan-2027'!S63)+N('Feb-2027'!S63)+N('Mar-2027'!S63)+N('Apr-2027'!S63)+N('May-2027'!S63)+N('Jun-2027'!S63)+N('Jul-2027'!S63)+N('Aug-2027'!S63)+N('Sep-2027'!S63)+N('Oct-2027'!S63)</f>
        <v>0</v>
      </c>
      <c r="U62" s="70" t="n">
        <f aca="false">SUM(Q62:S62)</f>
        <v>0</v>
      </c>
      <c r="V62" s="71" t="n">
        <f aca="false">IFERROR(U62/MATCH($B$3,$D$6:$O$6,0),0)</f>
        <v>0</v>
      </c>
      <c r="W62" s="70" t="n">
        <f aca="false">CEILING(V62*1.5,10)</f>
        <v>0</v>
      </c>
      <c r="X62" s="70" t="n">
        <f aca="false">'Item Master'!P60</f>
        <v>100</v>
      </c>
      <c r="Y62" s="70" t="n">
        <f aca="false">INDEX(D62:O62,MATCH($B$3,$D$6:$O$6,0))</f>
        <v>0</v>
      </c>
      <c r="Z62" s="70" t="str">
        <f aca="false">IF(Y62&lt;=0,"OUT OF STOCK",IF(Y62&lt;=X62,"REORDER NOW",IF(Y62&lt;=X62*1.5,"LOW","OK")))</f>
        <v>OUT OF STOCK</v>
      </c>
    </row>
    <row r="63" customFormat="false" ht="15" hidden="false" customHeight="false" outlineLevel="0" collapsed="false">
      <c r="A63" s="64" t="str">
        <f aca="false">'Item Master'!A61</f>
        <v>DRP</v>
      </c>
      <c r="B63" s="65" t="str">
        <f aca="false">'Item Master'!B61</f>
        <v>Dry Prasadam Pack (laddu / chikki / dry fruits)</v>
      </c>
      <c r="C63" s="64" t="str">
        <f aca="false">'Item Master'!C61</f>
        <v>Suggested New Items</v>
      </c>
      <c r="D63" s="66" t="n">
        <f aca="false">IF('Nov-2026'!V64&lt;&gt;"",'Nov-2026'!V64,'Nov-2026'!U64)</f>
        <v>0</v>
      </c>
      <c r="E63" s="66" t="n">
        <f aca="false">IF('Dec-2026'!V64&lt;&gt;"",'Dec-2026'!V64,'Dec-2026'!U64)</f>
        <v>0</v>
      </c>
      <c r="F63" s="66" t="n">
        <f aca="false">IF('Jan-2027'!V64&lt;&gt;"",'Jan-2027'!V64,'Jan-2027'!U64)</f>
        <v>0</v>
      </c>
      <c r="G63" s="66" t="n">
        <f aca="false">IF('Feb-2027'!V64&lt;&gt;"",'Feb-2027'!V64,'Feb-2027'!U64)</f>
        <v>0</v>
      </c>
      <c r="H63" s="66" t="n">
        <f aca="false">IF('Mar-2027'!V64&lt;&gt;"",'Mar-2027'!V64,'Mar-2027'!U64)</f>
        <v>0</v>
      </c>
      <c r="I63" s="66" t="n">
        <f aca="false">IF('Apr-2027'!V64&lt;&gt;"",'Apr-2027'!V64,'Apr-2027'!U64)</f>
        <v>0</v>
      </c>
      <c r="J63" s="66" t="n">
        <f aca="false">IF('May-2027'!V64&lt;&gt;"",'May-2027'!V64,'May-2027'!U64)</f>
        <v>0</v>
      </c>
      <c r="K63" s="66" t="n">
        <f aca="false">IF('Jun-2027'!V64&lt;&gt;"",'Jun-2027'!V64,'Jun-2027'!U64)</f>
        <v>0</v>
      </c>
      <c r="L63" s="66" t="n">
        <f aca="false">IF('Jul-2027'!V64&lt;&gt;"",'Jul-2027'!V64,'Jul-2027'!U64)</f>
        <v>0</v>
      </c>
      <c r="M63" s="66" t="n">
        <f aca="false">IF('Aug-2027'!V64&lt;&gt;"",'Aug-2027'!V64,'Aug-2027'!U64)</f>
        <v>0</v>
      </c>
      <c r="N63" s="66" t="n">
        <f aca="false">IF('Sep-2027'!V64&lt;&gt;"",'Sep-2027'!V64,'Sep-2027'!U64)</f>
        <v>0</v>
      </c>
      <c r="O63" s="66" t="n">
        <f aca="false">IF('Oct-2027'!V64&lt;&gt;"",'Oct-2027'!V64,'Oct-2027'!U64)</f>
        <v>0</v>
      </c>
      <c r="P63" s="66" t="n">
        <f aca="false">N('Nov-2026'!O64)+N('Dec-2026'!O64)+N('Jan-2027'!O64)+N('Feb-2027'!O64)+N('Mar-2027'!O64)+N('Apr-2027'!O64)+N('May-2027'!O64)+N('Jun-2027'!O64)+N('Jul-2027'!O64)+N('Aug-2027'!O64)+N('Sep-2027'!O64)+N('Oct-2027'!O64)</f>
        <v>0</v>
      </c>
      <c r="Q63" s="66" t="n">
        <f aca="false">N('Nov-2026'!P64)+N('Dec-2026'!P64)+N('Jan-2027'!P64)+N('Feb-2027'!P64)+N('Mar-2027'!P64)+N('Apr-2027'!P64)+N('May-2027'!P64)+N('Jun-2027'!P64)+N('Jul-2027'!P64)+N('Aug-2027'!P64)+N('Sep-2027'!P64)+N('Oct-2027'!P64)</f>
        <v>0</v>
      </c>
      <c r="R63" s="66" t="n">
        <f aca="false">N('Nov-2026'!Q64)+N('Dec-2026'!Q64)+N('Jan-2027'!Q64)+N('Feb-2027'!Q64)+N('Mar-2027'!Q64)+N('Apr-2027'!Q64)+N('May-2027'!Q64)+N('Jun-2027'!Q64)+N('Jul-2027'!Q64)+N('Aug-2027'!Q64)+N('Sep-2027'!Q64)+N('Oct-2027'!Q64)</f>
        <v>0</v>
      </c>
      <c r="S63" s="66" t="n">
        <f aca="false">N('Nov-2026'!R64)+N('Dec-2026'!R64)+N('Jan-2027'!R64)+N('Feb-2027'!R64)+N('Mar-2027'!R64)+N('Apr-2027'!R64)+N('May-2027'!R64)+N('Jun-2027'!R64)+N('Jul-2027'!R64)+N('Aug-2027'!R64)+N('Sep-2027'!R64)+N('Oct-2027'!R64)</f>
        <v>0</v>
      </c>
      <c r="T63" s="66" t="n">
        <f aca="false">N('Nov-2026'!S64)+N('Dec-2026'!S64)+N('Jan-2027'!S64)+N('Feb-2027'!S64)+N('Mar-2027'!S64)+N('Apr-2027'!S64)+N('May-2027'!S64)+N('Jun-2027'!S64)+N('Jul-2027'!S64)+N('Aug-2027'!S64)+N('Sep-2027'!S64)+N('Oct-2027'!S64)</f>
        <v>0</v>
      </c>
      <c r="U63" s="66" t="n">
        <f aca="false">SUM(Q63:S63)</f>
        <v>0</v>
      </c>
      <c r="V63" s="67" t="n">
        <f aca="false">IFERROR(U63/MATCH($B$3,$D$6:$O$6,0),0)</f>
        <v>0</v>
      </c>
      <c r="W63" s="66" t="n">
        <f aca="false">CEILING(V63*1.5,10)</f>
        <v>0</v>
      </c>
      <c r="X63" s="66" t="n">
        <f aca="false">'Item Master'!P61</f>
        <v>50</v>
      </c>
      <c r="Y63" s="66" t="n">
        <f aca="false">INDEX(D63:O63,MATCH($B$3,$D$6:$O$6,0))</f>
        <v>0</v>
      </c>
      <c r="Z63" s="66" t="str">
        <f aca="false">IF(Y63&lt;=0,"OUT OF STOCK",IF(Y63&lt;=X63,"REORDER NOW",IF(Y63&lt;=X63*1.5,"LOW","OK")))</f>
        <v>OUT OF STOCK</v>
      </c>
    </row>
    <row r="64" customFormat="false" ht="15" hidden="false" customHeight="false" outlineLevel="0" collapsed="false">
      <c r="A64" s="68" t="str">
        <f aca="false">'Item Master'!A62</f>
        <v>TYC</v>
      </c>
      <c r="B64" s="69" t="str">
        <f aca="false">'Item Master'!B62</f>
        <v>Thank-you Card + Receipt Envelope</v>
      </c>
      <c r="C64" s="68" t="str">
        <f aca="false">'Item Master'!C62</f>
        <v>Suggested New Items</v>
      </c>
      <c r="D64" s="70" t="n">
        <f aca="false">IF('Nov-2026'!V65&lt;&gt;"",'Nov-2026'!V65,'Nov-2026'!U65)</f>
        <v>0</v>
      </c>
      <c r="E64" s="70" t="n">
        <f aca="false">IF('Dec-2026'!V65&lt;&gt;"",'Dec-2026'!V65,'Dec-2026'!U65)</f>
        <v>0</v>
      </c>
      <c r="F64" s="70" t="n">
        <f aca="false">IF('Jan-2027'!V65&lt;&gt;"",'Jan-2027'!V65,'Jan-2027'!U65)</f>
        <v>0</v>
      </c>
      <c r="G64" s="70" t="n">
        <f aca="false">IF('Feb-2027'!V65&lt;&gt;"",'Feb-2027'!V65,'Feb-2027'!U65)</f>
        <v>0</v>
      </c>
      <c r="H64" s="70" t="n">
        <f aca="false">IF('Mar-2027'!V65&lt;&gt;"",'Mar-2027'!V65,'Mar-2027'!U65)</f>
        <v>0</v>
      </c>
      <c r="I64" s="70" t="n">
        <f aca="false">IF('Apr-2027'!V65&lt;&gt;"",'Apr-2027'!V65,'Apr-2027'!U65)</f>
        <v>0</v>
      </c>
      <c r="J64" s="70" t="n">
        <f aca="false">IF('May-2027'!V65&lt;&gt;"",'May-2027'!V65,'May-2027'!U65)</f>
        <v>0</v>
      </c>
      <c r="K64" s="70" t="n">
        <f aca="false">IF('Jun-2027'!V65&lt;&gt;"",'Jun-2027'!V65,'Jun-2027'!U65)</f>
        <v>0</v>
      </c>
      <c r="L64" s="70" t="n">
        <f aca="false">IF('Jul-2027'!V65&lt;&gt;"",'Jul-2027'!V65,'Jul-2027'!U65)</f>
        <v>0</v>
      </c>
      <c r="M64" s="70" t="n">
        <f aca="false">IF('Aug-2027'!V65&lt;&gt;"",'Aug-2027'!V65,'Aug-2027'!U65)</f>
        <v>0</v>
      </c>
      <c r="N64" s="70" t="n">
        <f aca="false">IF('Sep-2027'!V65&lt;&gt;"",'Sep-2027'!V65,'Sep-2027'!U65)</f>
        <v>0</v>
      </c>
      <c r="O64" s="70" t="n">
        <f aca="false">IF('Oct-2027'!V65&lt;&gt;"",'Oct-2027'!V65,'Oct-2027'!U65)</f>
        <v>0</v>
      </c>
      <c r="P64" s="70" t="n">
        <f aca="false">N('Nov-2026'!O65)+N('Dec-2026'!O65)+N('Jan-2027'!O65)+N('Feb-2027'!O65)+N('Mar-2027'!O65)+N('Apr-2027'!O65)+N('May-2027'!O65)+N('Jun-2027'!O65)+N('Jul-2027'!O65)+N('Aug-2027'!O65)+N('Sep-2027'!O65)+N('Oct-2027'!O65)</f>
        <v>0</v>
      </c>
      <c r="Q64" s="70" t="n">
        <f aca="false">N('Nov-2026'!P65)+N('Dec-2026'!P65)+N('Jan-2027'!P65)+N('Feb-2027'!P65)+N('Mar-2027'!P65)+N('Apr-2027'!P65)+N('May-2027'!P65)+N('Jun-2027'!P65)+N('Jul-2027'!P65)+N('Aug-2027'!P65)+N('Sep-2027'!P65)+N('Oct-2027'!P65)</f>
        <v>0</v>
      </c>
      <c r="R64" s="70" t="n">
        <f aca="false">N('Nov-2026'!Q65)+N('Dec-2026'!Q65)+N('Jan-2027'!Q65)+N('Feb-2027'!Q65)+N('Mar-2027'!Q65)+N('Apr-2027'!Q65)+N('May-2027'!Q65)+N('Jun-2027'!Q65)+N('Jul-2027'!Q65)+N('Aug-2027'!Q65)+N('Sep-2027'!Q65)+N('Oct-2027'!Q65)</f>
        <v>0</v>
      </c>
      <c r="S64" s="70" t="n">
        <f aca="false">N('Nov-2026'!R65)+N('Dec-2026'!R65)+N('Jan-2027'!R65)+N('Feb-2027'!R65)+N('Mar-2027'!R65)+N('Apr-2027'!R65)+N('May-2027'!R65)+N('Jun-2027'!R65)+N('Jul-2027'!R65)+N('Aug-2027'!R65)+N('Sep-2027'!R65)+N('Oct-2027'!R65)</f>
        <v>0</v>
      </c>
      <c r="T64" s="70" t="n">
        <f aca="false">N('Nov-2026'!S65)+N('Dec-2026'!S65)+N('Jan-2027'!S65)+N('Feb-2027'!S65)+N('Mar-2027'!S65)+N('Apr-2027'!S65)+N('May-2027'!S65)+N('Jun-2027'!S65)+N('Jul-2027'!S65)+N('Aug-2027'!S65)+N('Sep-2027'!S65)+N('Oct-2027'!S65)</f>
        <v>0</v>
      </c>
      <c r="U64" s="70" t="n">
        <f aca="false">SUM(Q64:S64)</f>
        <v>0</v>
      </c>
      <c r="V64" s="71" t="n">
        <f aca="false">IFERROR(U64/MATCH($B$3,$D$6:$O$6,0),0)</f>
        <v>0</v>
      </c>
      <c r="W64" s="70" t="n">
        <f aca="false">CEILING(V64*1.5,10)</f>
        <v>0</v>
      </c>
      <c r="X64" s="70" t="n">
        <f aca="false">'Item Master'!P62</f>
        <v>200</v>
      </c>
      <c r="Y64" s="70" t="n">
        <f aca="false">INDEX(D64:O64,MATCH($B$3,$D$6:$O$6,0))</f>
        <v>0</v>
      </c>
      <c r="Z64" s="70" t="str">
        <f aca="false">IF(Y64&lt;=0,"OUT OF STOCK",IF(Y64&lt;=X64,"REORDER NOW",IF(Y64&lt;=X64*1.5,"LOW","OK")))</f>
        <v>OUT OF STOCK</v>
      </c>
    </row>
    <row r="65" customFormat="false" ht="15" hidden="false" customHeight="false" outlineLevel="0" collapsed="false">
      <c r="A65" s="64" t="str">
        <f aca="false">'Item Master'!A63</f>
        <v>YID</v>
      </c>
      <c r="B65" s="65" t="str">
        <f aca="false">'Item Master'!B63</f>
        <v>Yatri ID Card + Lanyard</v>
      </c>
      <c r="C65" s="64" t="str">
        <f aca="false">'Item Master'!C63</f>
        <v>Suggested New Items</v>
      </c>
      <c r="D65" s="66" t="n">
        <f aca="false">IF('Nov-2026'!V66&lt;&gt;"",'Nov-2026'!V66,'Nov-2026'!U66)</f>
        <v>0</v>
      </c>
      <c r="E65" s="66" t="n">
        <f aca="false">IF('Dec-2026'!V66&lt;&gt;"",'Dec-2026'!V66,'Dec-2026'!U66)</f>
        <v>0</v>
      </c>
      <c r="F65" s="66" t="n">
        <f aca="false">IF('Jan-2027'!V66&lt;&gt;"",'Jan-2027'!V66,'Jan-2027'!U66)</f>
        <v>0</v>
      </c>
      <c r="G65" s="66" t="n">
        <f aca="false">IF('Feb-2027'!V66&lt;&gt;"",'Feb-2027'!V66,'Feb-2027'!U66)</f>
        <v>0</v>
      </c>
      <c r="H65" s="66" t="n">
        <f aca="false">IF('Mar-2027'!V66&lt;&gt;"",'Mar-2027'!V66,'Mar-2027'!U66)</f>
        <v>0</v>
      </c>
      <c r="I65" s="66" t="n">
        <f aca="false">IF('Apr-2027'!V66&lt;&gt;"",'Apr-2027'!V66,'Apr-2027'!U66)</f>
        <v>0</v>
      </c>
      <c r="J65" s="66" t="n">
        <f aca="false">IF('May-2027'!V66&lt;&gt;"",'May-2027'!V66,'May-2027'!U66)</f>
        <v>0</v>
      </c>
      <c r="K65" s="66" t="n">
        <f aca="false">IF('Jun-2027'!V66&lt;&gt;"",'Jun-2027'!V66,'Jun-2027'!U66)</f>
        <v>0</v>
      </c>
      <c r="L65" s="66" t="n">
        <f aca="false">IF('Jul-2027'!V66&lt;&gt;"",'Jul-2027'!V66,'Jul-2027'!U66)</f>
        <v>0</v>
      </c>
      <c r="M65" s="66" t="n">
        <f aca="false">IF('Aug-2027'!V66&lt;&gt;"",'Aug-2027'!V66,'Aug-2027'!U66)</f>
        <v>0</v>
      </c>
      <c r="N65" s="66" t="n">
        <f aca="false">IF('Sep-2027'!V66&lt;&gt;"",'Sep-2027'!V66,'Sep-2027'!U66)</f>
        <v>0</v>
      </c>
      <c r="O65" s="66" t="n">
        <f aca="false">IF('Oct-2027'!V66&lt;&gt;"",'Oct-2027'!V66,'Oct-2027'!U66)</f>
        <v>0</v>
      </c>
      <c r="P65" s="66" t="n">
        <f aca="false">N('Nov-2026'!O66)+N('Dec-2026'!O66)+N('Jan-2027'!O66)+N('Feb-2027'!O66)+N('Mar-2027'!O66)+N('Apr-2027'!O66)+N('May-2027'!O66)+N('Jun-2027'!O66)+N('Jul-2027'!O66)+N('Aug-2027'!O66)+N('Sep-2027'!O66)+N('Oct-2027'!O66)</f>
        <v>0</v>
      </c>
      <c r="Q65" s="66" t="n">
        <f aca="false">N('Nov-2026'!P66)+N('Dec-2026'!P66)+N('Jan-2027'!P66)+N('Feb-2027'!P66)+N('Mar-2027'!P66)+N('Apr-2027'!P66)+N('May-2027'!P66)+N('Jun-2027'!P66)+N('Jul-2027'!P66)+N('Aug-2027'!P66)+N('Sep-2027'!P66)+N('Oct-2027'!P66)</f>
        <v>0</v>
      </c>
      <c r="R65" s="66" t="n">
        <f aca="false">N('Nov-2026'!Q66)+N('Dec-2026'!Q66)+N('Jan-2027'!Q66)+N('Feb-2027'!Q66)+N('Mar-2027'!Q66)+N('Apr-2027'!Q66)+N('May-2027'!Q66)+N('Jun-2027'!Q66)+N('Jul-2027'!Q66)+N('Aug-2027'!Q66)+N('Sep-2027'!Q66)+N('Oct-2027'!Q66)</f>
        <v>0</v>
      </c>
      <c r="S65" s="66" t="n">
        <f aca="false">N('Nov-2026'!R66)+N('Dec-2026'!R66)+N('Jan-2027'!R66)+N('Feb-2027'!R66)+N('Mar-2027'!R66)+N('Apr-2027'!R66)+N('May-2027'!R66)+N('Jun-2027'!R66)+N('Jul-2027'!R66)+N('Aug-2027'!R66)+N('Sep-2027'!R66)+N('Oct-2027'!R66)</f>
        <v>0</v>
      </c>
      <c r="T65" s="66" t="n">
        <f aca="false">N('Nov-2026'!S66)+N('Dec-2026'!S66)+N('Jan-2027'!S66)+N('Feb-2027'!S66)+N('Mar-2027'!S66)+N('Apr-2027'!S66)+N('May-2027'!S66)+N('Jun-2027'!S66)+N('Jul-2027'!S66)+N('Aug-2027'!S66)+N('Sep-2027'!S66)+N('Oct-2027'!S66)</f>
        <v>0</v>
      </c>
      <c r="U65" s="66" t="n">
        <f aca="false">SUM(Q65:S65)</f>
        <v>0</v>
      </c>
      <c r="V65" s="67" t="n">
        <f aca="false">IFERROR(U65/MATCH($B$3,$D$6:$O$6,0),0)</f>
        <v>0</v>
      </c>
      <c r="W65" s="66" t="n">
        <f aca="false">CEILING(V65*1.5,10)</f>
        <v>0</v>
      </c>
      <c r="X65" s="66" t="n">
        <f aca="false">'Item Master'!P63</f>
        <v>100</v>
      </c>
      <c r="Y65" s="66" t="n">
        <f aca="false">INDEX(D65:O65,MATCH($B$3,$D$6:$O$6,0))</f>
        <v>0</v>
      </c>
      <c r="Z65" s="66" t="str">
        <f aca="false">IF(Y65&lt;=0,"OUT OF STOCK",IF(Y65&lt;=X65,"REORDER NOW",IF(Y65&lt;=X65*1.5,"LOW","OK")))</f>
        <v>OUT OF STOCK</v>
      </c>
    </row>
    <row r="66" customFormat="false" ht="15" hidden="false" customHeight="false" outlineLevel="0" collapsed="false">
      <c r="A66" s="54"/>
      <c r="B66" s="54" t="s">
        <v>729</v>
      </c>
      <c r="C66" s="54"/>
      <c r="D66" s="72" t="n">
        <f aca="false">SUM(D7:D65)</f>
        <v>195</v>
      </c>
      <c r="E66" s="72" t="n">
        <f aca="false">SUM(E7:E65)</f>
        <v>195</v>
      </c>
      <c r="F66" s="72" t="n">
        <f aca="false">SUM(F7:F65)</f>
        <v>195</v>
      </c>
      <c r="G66" s="72" t="n">
        <f aca="false">SUM(G7:G65)</f>
        <v>195</v>
      </c>
      <c r="H66" s="72" t="n">
        <f aca="false">SUM(H7:H65)</f>
        <v>195</v>
      </c>
      <c r="I66" s="72" t="n">
        <f aca="false">SUM(I7:I65)</f>
        <v>195</v>
      </c>
      <c r="J66" s="72" t="n">
        <f aca="false">SUM(J7:J65)</f>
        <v>195</v>
      </c>
      <c r="K66" s="72" t="n">
        <f aca="false">SUM(K7:K65)</f>
        <v>195</v>
      </c>
      <c r="L66" s="72" t="n">
        <f aca="false">SUM(L7:L65)</f>
        <v>195</v>
      </c>
      <c r="M66" s="72" t="n">
        <f aca="false">SUM(M7:M65)</f>
        <v>195</v>
      </c>
      <c r="N66" s="72" t="n">
        <f aca="false">SUM(N7:N65)</f>
        <v>195</v>
      </c>
      <c r="O66" s="72" t="n">
        <f aca="false">SUM(O7:O65)</f>
        <v>195</v>
      </c>
      <c r="P66" s="72" t="n">
        <f aca="false">SUM(P7:P65)</f>
        <v>300</v>
      </c>
      <c r="Q66" s="72" t="n">
        <f aca="false">SUM(Q7:Q65)</f>
        <v>140</v>
      </c>
      <c r="R66" s="72" t="n">
        <f aca="false">SUM(R7:R65)</f>
        <v>60</v>
      </c>
      <c r="S66" s="72" t="n">
        <f aca="false">SUM(S7:S65)</f>
        <v>20</v>
      </c>
      <c r="T66" s="72" t="n">
        <f aca="false">SUM(T7:T65)</f>
        <v>5</v>
      </c>
      <c r="U66" s="72" t="n">
        <f aca="false">SUM(U7:U65)</f>
        <v>220</v>
      </c>
      <c r="V66" s="54"/>
      <c r="W66" s="54"/>
      <c r="X66" s="54"/>
      <c r="Y66" s="72" t="n">
        <f aca="false">SUM(Y7:Y65)</f>
        <v>195</v>
      </c>
      <c r="Z66" s="54"/>
    </row>
  </sheetData>
  <autoFilter ref="A6:Z65"/>
  <mergeCells count="3">
    <mergeCell ref="A1:Z1"/>
    <mergeCell ref="A2:Z2"/>
    <mergeCell ref="B3:C3"/>
  </mergeCells>
  <conditionalFormatting sqref="Z7:Z65">
    <cfRule type="cellIs" priority="2" operator="equal" aboveAverage="0" equalAverage="0" bottom="0" percent="0" rank="0" text="" dxfId="15">
      <formula>"OK"</formula>
    </cfRule>
    <cfRule type="cellIs" priority="3" operator="equal" aboveAverage="0" equalAverage="0" bottom="0" percent="0" rank="0" text="" dxfId="16">
      <formula>"LOW"</formula>
    </cfRule>
    <cfRule type="cellIs" priority="4" operator="equal" aboveAverage="0" equalAverage="0" bottom="0" percent="0" rank="0" text="" dxfId="17">
      <formula>"REORDER NOW"</formula>
    </cfRule>
    <cfRule type="cellIs" priority="5" operator="equal" aboveAverage="0" equalAverage="0" bottom="0" percent="0" rank="0" text="" dxfId="18">
      <formula>"OUT OF STOCK"</formula>
    </cfRule>
  </conditionalFormatting>
  <conditionalFormatting sqref="U7:U65">
    <cfRule type="dataBar" priority="6">
      <dataBar showValue="1" minLength="10" maxLength="90">
        <cfvo type="min" val="0"/>
        <cfvo type="max" val="0"/>
        <color rgb="FFE8871E"/>
      </dataBar>
      <extLst>
        <ext xmlns:x14="http://schemas.microsoft.com/office/spreadsheetml/2009/9/main" uri="{B025F937-C7B1-47D3-B67F-A62EFF666E3E}">
          <x14:id>{BE413C38-DFDA-4240-82A0-91283C96AE3B}</x14:id>
        </ext>
      </extLst>
    </cfRule>
  </conditionalFormatting>
  <conditionalFormatting sqref="D7:O65">
    <cfRule type="expression" priority="7" aboveAverage="0" equalAverage="0" bottom="0" percent="0" rank="0" text="" dxfId="21">
      <formula>AND(D7&lt;=$X7,D7&lt;&gt;"")</formula>
    </cfRule>
  </conditionalFormatting>
  <dataValidations count="1">
    <dataValidation allowBlank="false" errorStyle="stop" operator="between" showDropDown="false" showErrorMessage="false" showInputMessage="false" sqref="B3" type="list">
      <formula1>"Nov-2026,Dec-2026,Jan-2027,Feb-2027,Mar-2027,Apr-2027,May-2027,Jun-2027,Jul-2027,Aug-2027,Sep-2027,Oct-2027"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413C38-DFDA-4240-82A0-91283C96AE3B}">
            <x14:dataBar minLength="10" maxLength="90" axisPosition="none" gradient="true">
              <x14:cfvo type="min"/>
              <x14:cfvo type="max"/>
              <x14:negativeFillColor rgb="FFE8871E"/>
              <x14:axisColor rgb="FF000000"/>
            </x14:dataBar>
          </x14:cfRule>
          <xm:sqref>U7:U65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453"/>
    <pageSetUpPr fitToPage="tru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10" min="4" style="0" width="12"/>
    <col collapsed="false" customWidth="true" hidden="false" outlineLevel="0" max="12" min="11" style="0" width="11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1" t="s">
        <v>730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731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73" t="s">
        <v>732</v>
      </c>
      <c r="D3" s="61" t="str">
        <f aca="false">'Annual Summary'!B3</f>
        <v>Nov-2026</v>
      </c>
    </row>
    <row r="4" customFormat="false" ht="15" hidden="false" customHeight="false" outlineLevel="0" collapsed="false">
      <c r="C4" s="73" t="s">
        <v>733</v>
      </c>
      <c r="D4" s="74" t="n">
        <v>50</v>
      </c>
      <c r="E4" s="74" t="n">
        <v>0</v>
      </c>
      <c r="F4" s="74" t="n">
        <v>0</v>
      </c>
      <c r="G4" s="74" t="n">
        <v>0</v>
      </c>
      <c r="H4" s="74" t="n">
        <v>0</v>
      </c>
      <c r="I4" s="74" t="n">
        <v>0</v>
      </c>
      <c r="J4" s="74" t="n">
        <v>0</v>
      </c>
    </row>
    <row r="5" customFormat="false" ht="33.75" hidden="false" customHeight="true" outlineLevel="0" collapsed="false">
      <c r="C5" s="75" t="s">
        <v>734</v>
      </c>
      <c r="D5" s="76" t="s">
        <v>735</v>
      </c>
      <c r="E5" s="76" t="s">
        <v>736</v>
      </c>
      <c r="F5" s="76" t="s">
        <v>737</v>
      </c>
      <c r="G5" s="76" t="s">
        <v>738</v>
      </c>
      <c r="H5" s="76" t="s">
        <v>739</v>
      </c>
      <c r="I5" s="76" t="s">
        <v>740</v>
      </c>
      <c r="J5" s="76" t="s">
        <v>741</v>
      </c>
    </row>
    <row r="6" customFormat="false" ht="45.75" hidden="false" customHeight="true" outlineLevel="0" collapsed="false">
      <c r="A6" s="16" t="s">
        <v>44</v>
      </c>
      <c r="B6" s="16" t="s">
        <v>45</v>
      </c>
      <c r="C6" s="16" t="s">
        <v>46</v>
      </c>
      <c r="D6" s="16" t="s">
        <v>742</v>
      </c>
      <c r="E6" s="16" t="s">
        <v>743</v>
      </c>
      <c r="F6" s="16" t="s">
        <v>744</v>
      </c>
      <c r="G6" s="16" t="s">
        <v>745</v>
      </c>
      <c r="H6" s="16" t="s">
        <v>746</v>
      </c>
      <c r="I6" s="16" t="s">
        <v>747</v>
      </c>
      <c r="J6" s="16" t="s">
        <v>748</v>
      </c>
      <c r="K6" s="16" t="s">
        <v>749</v>
      </c>
      <c r="L6" s="16" t="s">
        <v>750</v>
      </c>
      <c r="M6" s="16" t="s">
        <v>751</v>
      </c>
    </row>
    <row r="7" customFormat="false" ht="15" hidden="false" customHeight="false" outlineLevel="0" collapsed="false">
      <c r="A7" s="77" t="s">
        <v>63</v>
      </c>
      <c r="B7" s="78" t="str">
        <f aca="false">IFERROR(INDEX('Item Master'!$B:$B,MATCH(A7,'Item Master'!$A:$A,0)),"")</f>
        <v>Kalasha Thread (wrist thread)</v>
      </c>
      <c r="C7" s="78" t="str">
        <f aca="false">IFERROR(INDEX('Item Master'!$C:$C,MATCH(A7,'Item Master'!$A:$A,0)),"")</f>
        <v>Kalasha &amp; Yagna Prasadam</v>
      </c>
      <c r="D7" s="79" t="n">
        <v>1</v>
      </c>
      <c r="E7" s="79"/>
      <c r="F7" s="79" t="n">
        <v>1</v>
      </c>
      <c r="G7" s="79" t="n">
        <v>1</v>
      </c>
      <c r="H7" s="79" t="n">
        <v>1</v>
      </c>
      <c r="I7" s="79" t="n">
        <v>2</v>
      </c>
      <c r="J7" s="79" t="n">
        <v>2</v>
      </c>
      <c r="K7" s="80" t="n">
        <f aca="false">SUMPRODUCT(D7:J7,$D$4:$J$4)</f>
        <v>50</v>
      </c>
      <c r="L7" s="80" t="n">
        <f aca="false">IFERROR(INDEX('Annual Summary'!$Y:$Y,MATCH(A7,'Annual Summary'!$A:$A,0)),0)</f>
        <v>0</v>
      </c>
      <c r="M7" s="81" t="n">
        <f aca="false">MAX(0,K7-L7)</f>
        <v>50</v>
      </c>
    </row>
    <row r="8" customFormat="false" ht="15" hidden="false" customHeight="false" outlineLevel="0" collapsed="false">
      <c r="A8" s="77" t="s">
        <v>77</v>
      </c>
      <c r="B8" s="78" t="str">
        <f aca="false">IFERROR(INDEX('Item Master'!$B:$B,MATCH(A8,'Item Master'!$A:$A,0)),"")</f>
        <v>Narasimha Yagna Tilak</v>
      </c>
      <c r="C8" s="78" t="str">
        <f aca="false">IFERROR(INDEX('Item Master'!$C:$C,MATCH(A8,'Item Master'!$A:$A,0)),"")</f>
        <v>Kalasha &amp; Yagna Prasadam</v>
      </c>
      <c r="D8" s="79" t="n">
        <v>1</v>
      </c>
      <c r="E8" s="79"/>
      <c r="F8" s="79" t="n">
        <v>1</v>
      </c>
      <c r="G8" s="79" t="n">
        <v>1</v>
      </c>
      <c r="H8" s="79" t="n">
        <v>1</v>
      </c>
      <c r="I8" s="79" t="n">
        <v>1</v>
      </c>
      <c r="J8" s="79" t="n">
        <v>1</v>
      </c>
      <c r="K8" s="80" t="n">
        <f aca="false">SUMPRODUCT(D8:J8,$D$4:$J$4)</f>
        <v>50</v>
      </c>
      <c r="L8" s="80" t="n">
        <f aca="false">IFERROR(INDEX('Annual Summary'!$Y:$Y,MATCH(A8,'Annual Summary'!$A:$A,0)),0)</f>
        <v>195</v>
      </c>
      <c r="M8" s="81" t="n">
        <f aca="false">MAX(0,K8-L8)</f>
        <v>0</v>
      </c>
    </row>
    <row r="9" customFormat="false" ht="15" hidden="false" customHeight="false" outlineLevel="0" collapsed="false">
      <c r="A9" s="77" t="s">
        <v>89</v>
      </c>
      <c r="B9" s="78" t="str">
        <f aca="false">IFERROR(INDEX('Item Master'!$B:$B,MATCH(A9,'Item Master'!$A:$A,0)),"")</f>
        <v>Narasimha Kavacha (protective amulet / locket)</v>
      </c>
      <c r="C9" s="78" t="str">
        <f aca="false">IFERROR(INDEX('Item Master'!$C:$C,MATCH(A9,'Item Master'!$A:$A,0)),"")</f>
        <v>Protection &amp; Mantra</v>
      </c>
      <c r="D9" s="79"/>
      <c r="E9" s="79"/>
      <c r="F9" s="79"/>
      <c r="G9" s="79"/>
      <c r="H9" s="79" t="n">
        <v>1</v>
      </c>
      <c r="I9" s="79" t="n">
        <v>1</v>
      </c>
      <c r="J9" s="79"/>
      <c r="K9" s="80" t="n">
        <f aca="false">SUMPRODUCT(D9:J9,$D$4:$J$4)</f>
        <v>0</v>
      </c>
      <c r="L9" s="80" t="n">
        <f aca="false">IFERROR(INDEX('Annual Summary'!$Y:$Y,MATCH(A9,'Annual Summary'!$A:$A,0)),0)</f>
        <v>0</v>
      </c>
      <c r="M9" s="81" t="n">
        <f aca="false">MAX(0,K9-L9)</f>
        <v>0</v>
      </c>
    </row>
    <row r="10" customFormat="false" ht="15" hidden="false" customHeight="false" outlineLevel="0" collapsed="false">
      <c r="A10" s="77" t="s">
        <v>102</v>
      </c>
      <c r="B10" s="78" t="str">
        <f aca="false">IFERROR(INDEX('Item Master'!$B:$B,MATCH(A10,'Item Master'!$A:$A,0)),"")</f>
        <v>Audio – Narasimha Kavacha (QR card)</v>
      </c>
      <c r="C10" s="78" t="str">
        <f aca="false">IFERROR(INDEX('Item Master'!$C:$C,MATCH(A10,'Item Master'!$A:$A,0)),"")</f>
        <v>Audio / Digital</v>
      </c>
      <c r="D10" s="79" t="n">
        <v>1</v>
      </c>
      <c r="E10" s="79"/>
      <c r="F10" s="79" t="n">
        <v>1</v>
      </c>
      <c r="G10" s="79" t="n">
        <v>1</v>
      </c>
      <c r="H10" s="79" t="n">
        <v>1</v>
      </c>
      <c r="I10" s="79" t="n">
        <v>1</v>
      </c>
      <c r="J10" s="79" t="n">
        <v>1</v>
      </c>
      <c r="K10" s="80" t="n">
        <f aca="false">SUMPRODUCT(D10:J10,$D$4:$J$4)</f>
        <v>50</v>
      </c>
      <c r="L10" s="80" t="n">
        <f aca="false">IFERROR(INDEX('Annual Summary'!$Y:$Y,MATCH(A10,'Annual Summary'!$A:$A,0)),0)</f>
        <v>0</v>
      </c>
      <c r="M10" s="81" t="n">
        <f aca="false">MAX(0,K10-L10)</f>
        <v>50</v>
      </c>
    </row>
    <row r="11" customFormat="false" ht="15" hidden="false" customHeight="false" outlineLevel="0" collapsed="false">
      <c r="A11" s="77" t="s">
        <v>114</v>
      </c>
      <c r="B11" s="78" t="str">
        <f aca="false">IFERROR(INDEX('Item Master'!$B:$B,MATCH(A11,'Item Master'!$A:$A,0)),"")</f>
        <v>Audio – Narasimha Kirtan (QR card)</v>
      </c>
      <c r="C11" s="78" t="str">
        <f aca="false">IFERROR(INDEX('Item Master'!$C:$C,MATCH(A11,'Item Master'!$A:$A,0)),"")</f>
        <v>Audio / Digital</v>
      </c>
      <c r="D11" s="79"/>
      <c r="E11" s="79" t="n">
        <v>1</v>
      </c>
      <c r="F11" s="79"/>
      <c r="G11" s="79" t="n">
        <v>1</v>
      </c>
      <c r="H11" s="79" t="n">
        <v>1</v>
      </c>
      <c r="I11" s="79" t="n">
        <v>1</v>
      </c>
      <c r="J11" s="79"/>
      <c r="K11" s="80" t="n">
        <f aca="false">SUMPRODUCT(D11:J11,$D$4:$J$4)</f>
        <v>0</v>
      </c>
      <c r="L11" s="80" t="n">
        <f aca="false">IFERROR(INDEX('Annual Summary'!$Y:$Y,MATCH(A11,'Annual Summary'!$A:$A,0)),0)</f>
        <v>0</v>
      </c>
      <c r="M11" s="81" t="n">
        <f aca="false">MAX(0,K11-L11)</f>
        <v>0</v>
      </c>
    </row>
    <row r="12" customFormat="false" ht="15" hidden="false" customHeight="false" outlineLevel="0" collapsed="false">
      <c r="A12" s="77" t="s">
        <v>120</v>
      </c>
      <c r="B12" s="78" t="str">
        <f aca="false">IFERROR(INDEX('Item Master'!$B:$B,MATCH(A12,'Item Master'!$A:$A,0)),"")</f>
        <v>Narasimha Photo Frame</v>
      </c>
      <c r="C12" s="78" t="str">
        <f aca="false">IFERROR(INDEX('Item Master'!$C:$C,MATCH(A12,'Item Master'!$A:$A,0)),"")</f>
        <v>Deity Photos &amp; Frames</v>
      </c>
      <c r="D12" s="79"/>
      <c r="E12" s="79"/>
      <c r="F12" s="79"/>
      <c r="G12" s="79"/>
      <c r="H12" s="79" t="n">
        <v>1</v>
      </c>
      <c r="I12" s="79" t="n">
        <v>1</v>
      </c>
      <c r="J12" s="79"/>
      <c r="K12" s="80" t="n">
        <f aca="false">SUMPRODUCT(D12:J12,$D$4:$J$4)</f>
        <v>0</v>
      </c>
      <c r="L12" s="80" t="n">
        <f aca="false">IFERROR(INDEX('Annual Summary'!$Y:$Y,MATCH(A12,'Annual Summary'!$A:$A,0)),0)</f>
        <v>0</v>
      </c>
      <c r="M12" s="81" t="n">
        <f aca="false">MAX(0,K12-L12)</f>
        <v>0</v>
      </c>
    </row>
    <row r="13" customFormat="false" ht="15" hidden="false" customHeight="false" outlineLevel="0" collapsed="false">
      <c r="A13" s="77" t="s">
        <v>129</v>
      </c>
      <c r="B13" s="78" t="str">
        <f aca="false">IFERROR(INDEX('Item Master'!$B:$B,MATCH(A13,'Item Master'!$A:$A,0)),"")</f>
        <v>Narasimha Table Top (idol/stand)</v>
      </c>
      <c r="C13" s="78" t="str">
        <f aca="false">IFERROR(INDEX('Item Master'!$C:$C,MATCH(A13,'Item Master'!$A:$A,0)),"")</f>
        <v>Deity Photos &amp; Frames</v>
      </c>
      <c r="D13" s="79"/>
      <c r="E13" s="79"/>
      <c r="F13" s="79"/>
      <c r="G13" s="79"/>
      <c r="H13" s="79"/>
      <c r="I13" s="79" t="n">
        <v>1</v>
      </c>
      <c r="J13" s="79"/>
      <c r="K13" s="80" t="n">
        <f aca="false">SUMPRODUCT(D13:J13,$D$4:$J$4)</f>
        <v>0</v>
      </c>
      <c r="L13" s="80" t="n">
        <f aca="false">IFERROR(INDEX('Annual Summary'!$Y:$Y,MATCH(A13,'Annual Summary'!$A:$A,0)),0)</f>
        <v>0</v>
      </c>
      <c r="M13" s="81" t="n">
        <f aca="false">MAX(0,K13-L13)</f>
        <v>0</v>
      </c>
    </row>
    <row r="14" customFormat="false" ht="15" hidden="false" customHeight="false" outlineLevel="0" collapsed="false">
      <c r="A14" s="77" t="s">
        <v>136</v>
      </c>
      <c r="B14" s="78" t="str">
        <f aca="false">IFERROR(INDEX('Item Master'!$B:$B,MATCH(A14,'Item Master'!$A:$A,0)),"")</f>
        <v>Narasimha Sticker</v>
      </c>
      <c r="C14" s="78" t="str">
        <f aca="false">IFERROR(INDEX('Item Master'!$C:$C,MATCH(A14,'Item Master'!$A:$A,0)),"")</f>
        <v>Protection &amp; Mantra</v>
      </c>
      <c r="D14" s="79" t="n">
        <v>1</v>
      </c>
      <c r="E14" s="79"/>
      <c r="F14" s="79" t="n">
        <v>1</v>
      </c>
      <c r="G14" s="79" t="n">
        <v>1</v>
      </c>
      <c r="H14" s="79" t="n">
        <v>1</v>
      </c>
      <c r="I14" s="79" t="n">
        <v>1</v>
      </c>
      <c r="J14" s="79"/>
      <c r="K14" s="80" t="n">
        <f aca="false">SUMPRODUCT(D14:J14,$D$4:$J$4)</f>
        <v>50</v>
      </c>
      <c r="L14" s="80" t="n">
        <f aca="false">IFERROR(INDEX('Annual Summary'!$Y:$Y,MATCH(A14,'Annual Summary'!$A:$A,0)),0)</f>
        <v>0</v>
      </c>
      <c r="M14" s="81" t="n">
        <f aca="false">MAX(0,K14-L14)</f>
        <v>50</v>
      </c>
    </row>
    <row r="15" customFormat="false" ht="15" hidden="false" customHeight="false" outlineLevel="0" collapsed="false">
      <c r="A15" s="77" t="s">
        <v>144</v>
      </c>
      <c r="B15" s="78" t="str">
        <f aca="false">IFERROR(INDEX('Item Master'!$B:$B,MATCH(A15,'Item Master'!$A:$A,0)),"")</f>
        <v>Narasimha Kavacha Print Out</v>
      </c>
      <c r="C15" s="78" t="str">
        <f aca="false">IFERROR(INDEX('Item Master'!$C:$C,MATCH(A15,'Item Master'!$A:$A,0)),"")</f>
        <v>Protection &amp; Mantra</v>
      </c>
      <c r="D15" s="79"/>
      <c r="E15" s="79"/>
      <c r="F15" s="79"/>
      <c r="G15" s="79" t="n">
        <v>1</v>
      </c>
      <c r="H15" s="79" t="n">
        <v>1</v>
      </c>
      <c r="I15" s="79" t="n">
        <v>1</v>
      </c>
      <c r="J15" s="79"/>
      <c r="K15" s="80" t="n">
        <f aca="false">SUMPRODUCT(D15:J15,$D$4:$J$4)</f>
        <v>0</v>
      </c>
      <c r="L15" s="80" t="n">
        <f aca="false">IFERROR(INDEX('Annual Summary'!$Y:$Y,MATCH(A15,'Annual Summary'!$A:$A,0)),0)</f>
        <v>0</v>
      </c>
      <c r="M15" s="81" t="n">
        <f aca="false">MAX(0,K15-L15)</f>
        <v>0</v>
      </c>
    </row>
    <row r="16" customFormat="false" ht="15" hidden="false" customHeight="false" outlineLevel="0" collapsed="false">
      <c r="A16" s="77" t="s">
        <v>152</v>
      </c>
      <c r="B16" s="78" t="str">
        <f aca="false">IFERROR(INDEX('Item Master'!$B:$B,MATCH(A16,'Item Master'!$A:$A,0)),"")</f>
        <v>Mantra Box</v>
      </c>
      <c r="C16" s="78" t="str">
        <f aca="false">IFERROR(INDEX('Item Master'!$C:$C,MATCH(A16,'Item Master'!$A:$A,0)),"")</f>
        <v>Protection &amp; Mantra</v>
      </c>
      <c r="D16" s="79"/>
      <c r="E16" s="79"/>
      <c r="F16" s="79"/>
      <c r="G16" s="79"/>
      <c r="H16" s="79"/>
      <c r="I16" s="79" t="n">
        <v>1</v>
      </c>
      <c r="J16" s="79"/>
      <c r="K16" s="80" t="n">
        <f aca="false">SUMPRODUCT(D16:J16,$D$4:$J$4)</f>
        <v>0</v>
      </c>
      <c r="L16" s="80" t="n">
        <f aca="false">IFERROR(INDEX('Annual Summary'!$Y:$Y,MATCH(A16,'Annual Summary'!$A:$A,0)),0)</f>
        <v>0</v>
      </c>
      <c r="M16" s="81" t="n">
        <f aca="false">MAX(0,K16-L16)</f>
        <v>0</v>
      </c>
    </row>
    <row r="17" customFormat="false" ht="15" hidden="false" customHeight="false" outlineLevel="0" collapsed="false">
      <c r="A17" s="77" t="s">
        <v>160</v>
      </c>
      <c r="B17" s="78" t="str">
        <f aca="false">IFERROR(INDEX('Item Master'!$B:$B,MATCH(A17,'Item Master'!$A:$A,0)),"")</f>
        <v>Radha Govinda Photo</v>
      </c>
      <c r="C17" s="78" t="str">
        <f aca="false">IFERROR(INDEX('Item Master'!$C:$C,MATCH(A17,'Item Master'!$A:$A,0)),"")</f>
        <v>Deity Photos &amp; Frames</v>
      </c>
      <c r="D17" s="79"/>
      <c r="E17" s="79" t="n">
        <v>1</v>
      </c>
      <c r="F17" s="79" t="n">
        <v>1</v>
      </c>
      <c r="G17" s="79" t="n">
        <v>1</v>
      </c>
      <c r="H17" s="79" t="n">
        <v>1</v>
      </c>
      <c r="I17" s="79" t="n">
        <v>1</v>
      </c>
      <c r="J17" s="79" t="n">
        <v>1</v>
      </c>
      <c r="K17" s="80" t="n">
        <f aca="false">SUMPRODUCT(D17:J17,$D$4:$J$4)</f>
        <v>0</v>
      </c>
      <c r="L17" s="80" t="n">
        <f aca="false">IFERROR(INDEX('Annual Summary'!$Y:$Y,MATCH(A17,'Annual Summary'!$A:$A,0)),0)</f>
        <v>0</v>
      </c>
      <c r="M17" s="81" t="n">
        <f aca="false">MAX(0,K17-L17)</f>
        <v>0</v>
      </c>
    </row>
    <row r="18" customFormat="false" ht="15" hidden="false" customHeight="false" outlineLevel="0" collapsed="false">
      <c r="A18" s="77" t="s">
        <v>172</v>
      </c>
      <c r="B18" s="78" t="str">
        <f aca="false">IFERROR(INDEX('Item Master'!$B:$B,MATCH(A18,'Item Master'!$A:$A,0)),"")</f>
        <v>Lakshmi Narasimha Photo</v>
      </c>
      <c r="C18" s="78" t="str">
        <f aca="false">IFERROR(INDEX('Item Master'!$C:$C,MATCH(A18,'Item Master'!$A:$A,0)),"")</f>
        <v>Deity Photos &amp; Frames</v>
      </c>
      <c r="D18" s="79"/>
      <c r="E18" s="79"/>
      <c r="F18" s="79"/>
      <c r="G18" s="79" t="n">
        <v>1</v>
      </c>
      <c r="H18" s="79" t="n">
        <v>1</v>
      </c>
      <c r="I18" s="79" t="n">
        <v>1</v>
      </c>
      <c r="J18" s="79"/>
      <c r="K18" s="80" t="n">
        <f aca="false">SUMPRODUCT(D18:J18,$D$4:$J$4)</f>
        <v>0</v>
      </c>
      <c r="L18" s="80" t="n">
        <f aca="false">IFERROR(INDEX('Annual Summary'!$Y:$Y,MATCH(A18,'Annual Summary'!$A:$A,0)),0)</f>
        <v>0</v>
      </c>
      <c r="M18" s="81" t="n">
        <f aca="false">MAX(0,K18-L18)</f>
        <v>0</v>
      </c>
    </row>
    <row r="19" customFormat="false" ht="15" hidden="false" customHeight="false" outlineLevel="0" collapsed="false">
      <c r="A19" s="77" t="s">
        <v>175</v>
      </c>
      <c r="B19" s="78" t="str">
        <f aca="false">IFERROR(INDEX('Item Master'!$B:$B,MATCH(A19,'Item Master'!$A:$A,0)),"")</f>
        <v>Charan Tulasi</v>
      </c>
      <c r="C19" s="78" t="str">
        <f aca="false">IFERROR(INDEX('Item Master'!$C:$C,MATCH(A19,'Item Master'!$A:$A,0)),"")</f>
        <v>Kalasha &amp; Yagna Prasadam</v>
      </c>
      <c r="D19" s="79" t="n">
        <v>1</v>
      </c>
      <c r="E19" s="79"/>
      <c r="F19" s="79" t="n">
        <v>1</v>
      </c>
      <c r="G19" s="79" t="n">
        <v>1</v>
      </c>
      <c r="H19" s="79" t="n">
        <v>1</v>
      </c>
      <c r="I19" s="79" t="n">
        <v>1</v>
      </c>
      <c r="J19" s="79" t="n">
        <v>1</v>
      </c>
      <c r="K19" s="80" t="n">
        <f aca="false">SUMPRODUCT(D19:J19,$D$4:$J$4)</f>
        <v>50</v>
      </c>
      <c r="L19" s="80" t="n">
        <f aca="false">IFERROR(INDEX('Annual Summary'!$Y:$Y,MATCH(A19,'Annual Summary'!$A:$A,0)),0)</f>
        <v>0</v>
      </c>
      <c r="M19" s="81" t="n">
        <f aca="false">MAX(0,K19-L19)</f>
        <v>50</v>
      </c>
    </row>
    <row r="20" customFormat="false" ht="15" hidden="false" customHeight="false" outlineLevel="0" collapsed="false">
      <c r="A20" s="77" t="s">
        <v>196</v>
      </c>
      <c r="B20" s="78" t="str">
        <f aca="false">IFERROR(INDEX('Item Master'!$B:$B,MATCH(A20,'Item Master'!$A:$A,0)),"")</f>
        <v>Holy Water from Holy Rivers</v>
      </c>
      <c r="C20" s="78" t="str">
        <f aca="false">IFERROR(INDEX('Item Master'!$C:$C,MATCH(A20,'Item Master'!$A:$A,0)),"")</f>
        <v>Holy Items &amp; Liquids</v>
      </c>
      <c r="D20" s="79"/>
      <c r="E20" s="79" t="n">
        <v>1</v>
      </c>
      <c r="F20" s="79"/>
      <c r="G20" s="79"/>
      <c r="H20" s="79" t="n">
        <v>1</v>
      </c>
      <c r="I20" s="79" t="n">
        <v>1</v>
      </c>
      <c r="J20" s="79"/>
      <c r="K20" s="80" t="n">
        <f aca="false">SUMPRODUCT(D20:J20,$D$4:$J$4)</f>
        <v>0</v>
      </c>
      <c r="L20" s="80" t="n">
        <f aca="false">IFERROR(INDEX('Annual Summary'!$Y:$Y,MATCH(A20,'Annual Summary'!$A:$A,0)),0)</f>
        <v>0</v>
      </c>
      <c r="M20" s="81" t="n">
        <f aca="false">MAX(0,K20-L20)</f>
        <v>0</v>
      </c>
    </row>
    <row r="21" customFormat="false" ht="15" hidden="false" customHeight="false" outlineLevel="0" collapsed="false">
      <c r="A21" s="77" t="s">
        <v>206</v>
      </c>
      <c r="B21" s="78" t="str">
        <f aca="false">IFERROR(INDEX('Item Master'!$B:$B,MATCH(A21,'Item Master'!$A:$A,0)),"")</f>
        <v>Badrinath Prasadam Perfume (Attar)</v>
      </c>
      <c r="C21" s="78" t="str">
        <f aca="false">IFERROR(INDEX('Item Master'!$C:$C,MATCH(A21,'Item Master'!$A:$A,0)),"")</f>
        <v>Fragrance &amp; Puja</v>
      </c>
      <c r="D21" s="79"/>
      <c r="E21" s="79"/>
      <c r="F21" s="79"/>
      <c r="G21" s="79"/>
      <c r="H21" s="79"/>
      <c r="I21" s="79" t="n">
        <v>1</v>
      </c>
      <c r="J21" s="79"/>
      <c r="K21" s="80" t="n">
        <f aca="false">SUMPRODUCT(D21:J21,$D$4:$J$4)</f>
        <v>0</v>
      </c>
      <c r="L21" s="80" t="n">
        <f aca="false">IFERROR(INDEX('Annual Summary'!$Y:$Y,MATCH(A21,'Annual Summary'!$A:$A,0)),0)</f>
        <v>0</v>
      </c>
      <c r="M21" s="81" t="n">
        <f aca="false">MAX(0,K21-L21)</f>
        <v>0</v>
      </c>
    </row>
    <row r="22" customFormat="false" ht="15" hidden="false" customHeight="false" outlineLevel="0" collapsed="false">
      <c r="A22" s="77" t="s">
        <v>215</v>
      </c>
      <c r="B22" s="78" t="str">
        <f aca="false">IFERROR(INDEX('Item Master'!$B:$B,MATCH(A22,'Item Master'!$A:$A,0)),"")</f>
        <v>Chandan Prasadam</v>
      </c>
      <c r="C22" s="78" t="str">
        <f aca="false">IFERROR(INDEX('Item Master'!$C:$C,MATCH(A22,'Item Master'!$A:$A,0)),"")</f>
        <v>Kalasha &amp; Yagna Prasadam</v>
      </c>
      <c r="D22" s="79"/>
      <c r="E22" s="79" t="n">
        <v>1</v>
      </c>
      <c r="F22" s="79"/>
      <c r="G22" s="79" t="n">
        <v>1</v>
      </c>
      <c r="H22" s="79" t="n">
        <v>1</v>
      </c>
      <c r="I22" s="79" t="n">
        <v>1</v>
      </c>
      <c r="J22" s="79" t="n">
        <v>1</v>
      </c>
      <c r="K22" s="80" t="n">
        <f aca="false">SUMPRODUCT(D22:J22,$D$4:$J$4)</f>
        <v>0</v>
      </c>
      <c r="L22" s="80" t="n">
        <f aca="false">IFERROR(INDEX('Annual Summary'!$Y:$Y,MATCH(A22,'Annual Summary'!$A:$A,0)),0)</f>
        <v>0</v>
      </c>
      <c r="M22" s="81" t="n">
        <f aca="false">MAX(0,K22-L22)</f>
        <v>0</v>
      </c>
    </row>
    <row r="23" customFormat="false" ht="15" hidden="false" customHeight="false" outlineLevel="0" collapsed="false">
      <c r="A23" s="77" t="s">
        <v>224</v>
      </c>
      <c r="B23" s="78" t="str">
        <f aca="false">IFERROR(INDEX('Item Master'!$B:$B,MATCH(A23,'Item Master'!$A:$A,0)),"")</f>
        <v>Agarbathi</v>
      </c>
      <c r="C23" s="78" t="str">
        <f aca="false">IFERROR(INDEX('Item Master'!$C:$C,MATCH(A23,'Item Master'!$A:$A,0)),"")</f>
        <v>Fragrance &amp; Puja</v>
      </c>
      <c r="D23" s="79"/>
      <c r="E23" s="79"/>
      <c r="F23" s="79" t="n">
        <v>1</v>
      </c>
      <c r="G23" s="79" t="n">
        <v>1</v>
      </c>
      <c r="H23" s="79" t="n">
        <v>1</v>
      </c>
      <c r="I23" s="79" t="n">
        <v>1</v>
      </c>
      <c r="J23" s="79" t="n">
        <v>1</v>
      </c>
      <c r="K23" s="80" t="n">
        <f aca="false">SUMPRODUCT(D23:J23,$D$4:$J$4)</f>
        <v>0</v>
      </c>
      <c r="L23" s="80" t="n">
        <f aca="false">IFERROR(INDEX('Annual Summary'!$Y:$Y,MATCH(A23,'Annual Summary'!$A:$A,0)),0)</f>
        <v>0</v>
      </c>
      <c r="M23" s="81" t="n">
        <f aca="false">MAX(0,K23-L23)</f>
        <v>0</v>
      </c>
    </row>
    <row r="24" customFormat="false" ht="15" hidden="false" customHeight="false" outlineLevel="0" collapsed="false">
      <c r="A24" s="77" t="s">
        <v>234</v>
      </c>
      <c r="B24" s="78" t="str">
        <f aca="false">IFERROR(INDEX('Item Master'!$B:$B,MATCH(A24,'Item Master'!$A:$A,0)),"")</f>
        <v>Book (small booklet)</v>
      </c>
      <c r="C24" s="78" t="str">
        <f aca="false">IFERROR(INDEX('Item Master'!$C:$C,MATCH(A24,'Item Master'!$A:$A,0)),"")</f>
        <v>Books &amp; Media</v>
      </c>
      <c r="D24" s="79" t="n">
        <v>1</v>
      </c>
      <c r="E24" s="79"/>
      <c r="F24" s="79" t="n">
        <v>1</v>
      </c>
      <c r="G24" s="79"/>
      <c r="H24" s="79"/>
      <c r="I24" s="79"/>
      <c r="J24" s="79"/>
      <c r="K24" s="80" t="n">
        <f aca="false">SUMPRODUCT(D24:J24,$D$4:$J$4)</f>
        <v>50</v>
      </c>
      <c r="L24" s="80" t="n">
        <f aca="false">IFERROR(INDEX('Annual Summary'!$Y:$Y,MATCH(A24,'Annual Summary'!$A:$A,0)),0)</f>
        <v>0</v>
      </c>
      <c r="M24" s="81" t="n">
        <f aca="false">MAX(0,K24-L24)</f>
        <v>50</v>
      </c>
    </row>
    <row r="25" customFormat="false" ht="15" hidden="false" customHeight="false" outlineLevel="0" collapsed="false">
      <c r="A25" s="77" t="s">
        <v>242</v>
      </c>
      <c r="B25" s="78" t="str">
        <f aca="false">IFERROR(INDEX('Item Master'!$B:$B,MATCH(A25,'Item Master'!$A:$A,0)),"")</f>
        <v>Japa Mala (Tulasi beads)</v>
      </c>
      <c r="C25" s="78" t="str">
        <f aca="false">IFERROR(INDEX('Item Master'!$C:$C,MATCH(A25,'Item Master'!$A:$A,0)),"")</f>
        <v>Japa &amp; Spiritual</v>
      </c>
      <c r="D25" s="79"/>
      <c r="E25" s="79" t="n">
        <v>1</v>
      </c>
      <c r="F25" s="79"/>
      <c r="G25" s="79"/>
      <c r="H25" s="79" t="n">
        <v>1</v>
      </c>
      <c r="I25" s="79" t="n">
        <v>1</v>
      </c>
      <c r="J25" s="79"/>
      <c r="K25" s="80" t="n">
        <f aca="false">SUMPRODUCT(D25:J25,$D$4:$J$4)</f>
        <v>0</v>
      </c>
      <c r="L25" s="80" t="n">
        <f aca="false">IFERROR(INDEX('Annual Summary'!$Y:$Y,MATCH(A25,'Annual Summary'!$A:$A,0)),0)</f>
        <v>0</v>
      </c>
      <c r="M25" s="81" t="n">
        <f aca="false">MAX(0,K25-L25)</f>
        <v>0</v>
      </c>
    </row>
    <row r="26" customFormat="false" ht="15" hidden="false" customHeight="false" outlineLevel="0" collapsed="false">
      <c r="A26" s="77" t="s">
        <v>250</v>
      </c>
      <c r="B26" s="78" t="str">
        <f aca="false">IFERROR(INDEX('Item Master'!$B:$B,MATCH(A26,'Item Master'!$A:$A,0)),"")</f>
        <v>Japa Bag</v>
      </c>
      <c r="C26" s="78" t="str">
        <f aca="false">IFERROR(INDEX('Item Master'!$C:$C,MATCH(A26,'Item Master'!$A:$A,0)),"")</f>
        <v>Japa &amp; Spiritual</v>
      </c>
      <c r="D26" s="79"/>
      <c r="E26" s="79" t="n">
        <v>1</v>
      </c>
      <c r="F26" s="79"/>
      <c r="G26" s="79"/>
      <c r="H26" s="79" t="n">
        <v>1</v>
      </c>
      <c r="I26" s="79" t="n">
        <v>1</v>
      </c>
      <c r="J26" s="79"/>
      <c r="K26" s="80" t="n">
        <f aca="false">SUMPRODUCT(D26:J26,$D$4:$J$4)</f>
        <v>0</v>
      </c>
      <c r="L26" s="80" t="n">
        <f aca="false">IFERROR(INDEX('Annual Summary'!$Y:$Y,MATCH(A26,'Annual Summary'!$A:$A,0)),0)</f>
        <v>0</v>
      </c>
      <c r="M26" s="81" t="n">
        <f aca="false">MAX(0,K26-L26)</f>
        <v>0</v>
      </c>
    </row>
    <row r="27" customFormat="false" ht="15" hidden="false" customHeight="false" outlineLevel="0" collapsed="false">
      <c r="A27" s="77" t="s">
        <v>257</v>
      </c>
      <c r="B27" s="78" t="str">
        <f aca="false">IFERROR(INDEX('Item Master'!$B:$B,MATCH(A27,'Item Master'!$A:$A,0)),"")</f>
        <v>Mantra Card</v>
      </c>
      <c r="C27" s="78" t="str">
        <f aca="false">IFERROR(INDEX('Item Master'!$C:$C,MATCH(A27,'Item Master'!$A:$A,0)),"")</f>
        <v>Protection &amp; Mantra</v>
      </c>
      <c r="D27" s="79" t="n">
        <v>1</v>
      </c>
      <c r="E27" s="79"/>
      <c r="F27" s="79" t="n">
        <v>1</v>
      </c>
      <c r="G27" s="79" t="n">
        <v>1</v>
      </c>
      <c r="H27" s="79" t="n">
        <v>1</v>
      </c>
      <c r="I27" s="79" t="n">
        <v>1</v>
      </c>
      <c r="J27" s="79" t="n">
        <v>1</v>
      </c>
      <c r="K27" s="80" t="n">
        <f aca="false">SUMPRODUCT(D27:J27,$D$4:$J$4)</f>
        <v>50</v>
      </c>
      <c r="L27" s="80" t="n">
        <f aca="false">IFERROR(INDEX('Annual Summary'!$Y:$Y,MATCH(A27,'Annual Summary'!$A:$A,0)),0)</f>
        <v>0</v>
      </c>
      <c r="M27" s="81" t="n">
        <f aca="false">MAX(0,K27-L27)</f>
        <v>50</v>
      </c>
    </row>
    <row r="28" customFormat="false" ht="15" hidden="false" customHeight="false" outlineLevel="0" collapsed="false">
      <c r="A28" s="77" t="s">
        <v>264</v>
      </c>
      <c r="B28" s="78" t="str">
        <f aca="false">IFERROR(INDEX('Item Master'!$B:$B,MATCH(A28,'Item Master'!$A:$A,0)),"")</f>
        <v>Srila Prabhupada Books (Gita, Krishna Book)</v>
      </c>
      <c r="C28" s="78" t="str">
        <f aca="false">IFERROR(INDEX('Item Master'!$C:$C,MATCH(A28,'Item Master'!$A:$A,0)),"")</f>
        <v>Books &amp; Media</v>
      </c>
      <c r="D28" s="79"/>
      <c r="E28" s="79"/>
      <c r="F28" s="79"/>
      <c r="G28" s="79" t="n">
        <v>1</v>
      </c>
      <c r="H28" s="79" t="n">
        <v>1</v>
      </c>
      <c r="I28" s="79" t="n">
        <v>2</v>
      </c>
      <c r="J28" s="79"/>
      <c r="K28" s="80" t="n">
        <f aca="false">SUMPRODUCT(D28:J28,$D$4:$J$4)</f>
        <v>0</v>
      </c>
      <c r="L28" s="80" t="n">
        <f aca="false">IFERROR(INDEX('Annual Summary'!$Y:$Y,MATCH(A28,'Annual Summary'!$A:$A,0)),0)</f>
        <v>0</v>
      </c>
      <c r="M28" s="81" t="n">
        <f aca="false">MAX(0,K28-L28)</f>
        <v>0</v>
      </c>
    </row>
    <row r="29" customFormat="false" ht="15" hidden="false" customHeight="false" outlineLevel="0" collapsed="false">
      <c r="A29" s="77" t="s">
        <v>280</v>
      </c>
      <c r="B29" s="78" t="str">
        <f aca="false">IFERROR(INDEX('Item Master'!$B:$B,MATCH(A29,'Item Master'!$A:$A,0)),"")</f>
        <v>Pen Drive with Kirtans &amp; Mantras</v>
      </c>
      <c r="C29" s="78" t="str">
        <f aca="false">IFERROR(INDEX('Item Master'!$C:$C,MATCH(A29,'Item Master'!$A:$A,0)),"")</f>
        <v>Books &amp; Media</v>
      </c>
      <c r="D29" s="79"/>
      <c r="E29" s="79"/>
      <c r="F29" s="79"/>
      <c r="G29" s="79"/>
      <c r="H29" s="79"/>
      <c r="I29" s="79" t="n">
        <v>1</v>
      </c>
      <c r="J29" s="79"/>
      <c r="K29" s="80" t="n">
        <f aca="false">SUMPRODUCT(D29:J29,$D$4:$J$4)</f>
        <v>0</v>
      </c>
      <c r="L29" s="80" t="n">
        <f aca="false">IFERROR(INDEX('Annual Summary'!$Y:$Y,MATCH(A29,'Annual Summary'!$A:$A,0)),0)</f>
        <v>0</v>
      </c>
      <c r="M29" s="81" t="n">
        <f aca="false">MAX(0,K29-L29)</f>
        <v>0</v>
      </c>
    </row>
    <row r="30" customFormat="false" ht="15" hidden="false" customHeight="false" outlineLevel="0" collapsed="false">
      <c r="A30" s="77" t="s">
        <v>288</v>
      </c>
      <c r="B30" s="78" t="str">
        <f aca="false">IFERROR(INDEX('Item Master'!$B:$B,MATCH(A30,'Item Master'!$A:$A,0)),"")</f>
        <v>Chardham Souvenir</v>
      </c>
      <c r="C30" s="78" t="str">
        <f aca="false">IFERROR(INDEX('Item Master'!$C:$C,MATCH(A30,'Item Master'!$A:$A,0)),"")</f>
        <v>Souvenirs &amp; Coins</v>
      </c>
      <c r="D30" s="79"/>
      <c r="E30" s="79" t="n">
        <v>1</v>
      </c>
      <c r="F30" s="79"/>
      <c r="G30" s="79"/>
      <c r="H30" s="79"/>
      <c r="I30" s="79" t="n">
        <v>1</v>
      </c>
      <c r="J30" s="79"/>
      <c r="K30" s="80" t="n">
        <f aca="false">SUMPRODUCT(D30:J30,$D$4:$J$4)</f>
        <v>0</v>
      </c>
      <c r="L30" s="80" t="n">
        <f aca="false">IFERROR(INDEX('Annual Summary'!$Y:$Y,MATCH(A30,'Annual Summary'!$A:$A,0)),0)</f>
        <v>0</v>
      </c>
      <c r="M30" s="81" t="n">
        <f aca="false">MAX(0,K30-L30)</f>
        <v>0</v>
      </c>
    </row>
    <row r="31" customFormat="false" ht="15" hidden="false" customHeight="false" outlineLevel="0" collapsed="false">
      <c r="A31" s="77" t="s">
        <v>296</v>
      </c>
      <c r="B31" s="78" t="str">
        <f aca="false">IFERROR(INDEX('Item Master'!$B:$B,MATCH(A31,'Item Master'!$A:$A,0)),"")</f>
        <v>Lakshmi Coins</v>
      </c>
      <c r="C31" s="78" t="str">
        <f aca="false">IFERROR(INDEX('Item Master'!$C:$C,MATCH(A31,'Item Master'!$A:$A,0)),"")</f>
        <v>Souvenirs &amp; Coins</v>
      </c>
      <c r="D31" s="79"/>
      <c r="E31" s="79"/>
      <c r="F31" s="79"/>
      <c r="G31" s="79"/>
      <c r="H31" s="79" t="n">
        <v>1</v>
      </c>
      <c r="I31" s="79" t="n">
        <v>1</v>
      </c>
      <c r="J31" s="79" t="n">
        <v>1</v>
      </c>
      <c r="K31" s="80" t="n">
        <f aca="false">SUMPRODUCT(D31:J31,$D$4:$J$4)</f>
        <v>0</v>
      </c>
      <c r="L31" s="80" t="n">
        <f aca="false">IFERROR(INDEX('Annual Summary'!$Y:$Y,MATCH(A31,'Annual Summary'!$A:$A,0)),0)</f>
        <v>0</v>
      </c>
      <c r="M31" s="81" t="n">
        <f aca="false">MAX(0,K31-L31)</f>
        <v>0</v>
      </c>
    </row>
    <row r="32" customFormat="false" ht="15" hidden="false" customHeight="false" outlineLevel="0" collapsed="false">
      <c r="A32" s="77" t="s">
        <v>303</v>
      </c>
      <c r="B32" s="78" t="str">
        <f aca="false">IFERROR(INDEX('Item Master'!$B:$B,MATCH(A32,'Item Master'!$A:$A,0)),"")</f>
        <v>Kumkum</v>
      </c>
      <c r="C32" s="78" t="str">
        <f aca="false">IFERROR(INDEX('Item Master'!$C:$C,MATCH(A32,'Item Master'!$A:$A,0)),"")</f>
        <v>Fragrance &amp; Puja</v>
      </c>
      <c r="D32" s="79"/>
      <c r="E32" s="79"/>
      <c r="F32" s="79"/>
      <c r="G32" s="79" t="n">
        <v>1</v>
      </c>
      <c r="H32" s="79" t="n">
        <v>1</v>
      </c>
      <c r="I32" s="79" t="n">
        <v>1</v>
      </c>
      <c r="J32" s="79" t="n">
        <v>1</v>
      </c>
      <c r="K32" s="80" t="n">
        <f aca="false">SUMPRODUCT(D32:J32,$D$4:$J$4)</f>
        <v>0</v>
      </c>
      <c r="L32" s="80" t="n">
        <f aca="false">IFERROR(INDEX('Annual Summary'!$Y:$Y,MATCH(A32,'Annual Summary'!$A:$A,0)),0)</f>
        <v>0</v>
      </c>
      <c r="M32" s="81" t="n">
        <f aca="false">MAX(0,K32-L32)</f>
        <v>0</v>
      </c>
    </row>
    <row r="33" customFormat="false" ht="15" hidden="false" customHeight="false" outlineLevel="0" collapsed="false">
      <c r="A33" s="77" t="s">
        <v>330</v>
      </c>
      <c r="B33" s="78" t="str">
        <f aca="false">IFERROR(INDEX('Item Master'!$B:$B,MATCH(A33,'Item Master'!$A:$A,0)),"")</f>
        <v>Bahumana Bag – Small</v>
      </c>
      <c r="C33" s="78" t="str">
        <f aca="false">IFERROR(INDEX('Item Master'!$C:$C,MATCH(A33,'Item Master'!$A:$A,0)),"")</f>
        <v>Gift Packaging Material</v>
      </c>
      <c r="D33" s="79" t="n">
        <v>1</v>
      </c>
      <c r="E33" s="79" t="n">
        <v>1</v>
      </c>
      <c r="F33" s="79" t="n">
        <v>1</v>
      </c>
      <c r="G33" s="79"/>
      <c r="H33" s="79"/>
      <c r="I33" s="79"/>
      <c r="J33" s="79"/>
      <c r="K33" s="80" t="n">
        <f aca="false">SUMPRODUCT(D33:J33,$D$4:$J$4)</f>
        <v>50</v>
      </c>
      <c r="L33" s="80" t="n">
        <f aca="false">IFERROR(INDEX('Annual Summary'!$Y:$Y,MATCH(A33,'Annual Summary'!$A:$A,0)),0)</f>
        <v>0</v>
      </c>
      <c r="M33" s="81" t="n">
        <f aca="false">MAX(0,K33-L33)</f>
        <v>50</v>
      </c>
    </row>
    <row r="34" customFormat="false" ht="15" hidden="false" customHeight="false" outlineLevel="0" collapsed="false">
      <c r="A34" s="77" t="s">
        <v>338</v>
      </c>
      <c r="B34" s="78" t="str">
        <f aca="false">IFERROR(INDEX('Item Master'!$B:$B,MATCH(A34,'Item Master'!$A:$A,0)),"")</f>
        <v>Bahumana Bag – Medium</v>
      </c>
      <c r="C34" s="78" t="str">
        <f aca="false">IFERROR(INDEX('Item Master'!$C:$C,MATCH(A34,'Item Master'!$A:$A,0)),"")</f>
        <v>Gift Packaging Material</v>
      </c>
      <c r="D34" s="79"/>
      <c r="E34" s="79"/>
      <c r="F34" s="79"/>
      <c r="G34" s="79" t="n">
        <v>1</v>
      </c>
      <c r="H34" s="79" t="n">
        <v>1</v>
      </c>
      <c r="I34" s="79"/>
      <c r="J34" s="79" t="n">
        <v>1</v>
      </c>
      <c r="K34" s="80" t="n">
        <f aca="false">SUMPRODUCT(D34:J34,$D$4:$J$4)</f>
        <v>0</v>
      </c>
      <c r="L34" s="80" t="n">
        <f aca="false">IFERROR(INDEX('Annual Summary'!$Y:$Y,MATCH(A34,'Annual Summary'!$A:$A,0)),0)</f>
        <v>0</v>
      </c>
      <c r="M34" s="81" t="n">
        <f aca="false">MAX(0,K34-L34)</f>
        <v>0</v>
      </c>
    </row>
    <row r="35" customFormat="false" ht="15" hidden="false" customHeight="false" outlineLevel="0" collapsed="false">
      <c r="A35" s="77" t="s">
        <v>343</v>
      </c>
      <c r="B35" s="78" t="str">
        <f aca="false">IFERROR(INDEX('Item Master'!$B:$B,MATCH(A35,'Item Master'!$A:$A,0)),"")</f>
        <v>Bahumana Bag – Big</v>
      </c>
      <c r="C35" s="78" t="str">
        <f aca="false">IFERROR(INDEX('Item Master'!$C:$C,MATCH(A35,'Item Master'!$A:$A,0)),"")</f>
        <v>Gift Packaging Material</v>
      </c>
      <c r="D35" s="79"/>
      <c r="E35" s="79"/>
      <c r="F35" s="79"/>
      <c r="G35" s="79"/>
      <c r="H35" s="79"/>
      <c r="I35" s="79" t="n">
        <v>1</v>
      </c>
      <c r="J35" s="79"/>
      <c r="K35" s="80" t="n">
        <f aca="false">SUMPRODUCT(D35:J35,$D$4:$J$4)</f>
        <v>0</v>
      </c>
      <c r="L35" s="80" t="n">
        <f aca="false">IFERROR(INDEX('Annual Summary'!$Y:$Y,MATCH(A35,'Annual Summary'!$A:$A,0)),0)</f>
        <v>0</v>
      </c>
      <c r="M35" s="81" t="n">
        <f aca="false">MAX(0,K35-L35)</f>
        <v>0</v>
      </c>
    </row>
    <row r="36" customFormat="false" ht="15" hidden="false" customHeight="false" outlineLevel="0" collapsed="false">
      <c r="A36" s="77" t="s">
        <v>426</v>
      </c>
      <c r="B36" s="78" t="str">
        <f aca="false">IFERROR(INDEX('Item Master'!$B:$B,MATCH(A36,'Item Master'!$A:$A,0)),"")</f>
        <v>Temple Calendar 2027</v>
      </c>
      <c r="C36" s="78" t="str">
        <f aca="false">IFERROR(INDEX('Item Master'!$C:$C,MATCH(A36,'Item Master'!$A:$A,0)),"")</f>
        <v>Suggested New Items</v>
      </c>
      <c r="D36" s="79"/>
      <c r="E36" s="79"/>
      <c r="F36" s="79" t="n">
        <v>1</v>
      </c>
      <c r="G36" s="79" t="n">
        <v>1</v>
      </c>
      <c r="H36" s="79" t="n">
        <v>1</v>
      </c>
      <c r="I36" s="79" t="n">
        <v>1</v>
      </c>
      <c r="J36" s="79"/>
      <c r="K36" s="80" t="n">
        <f aca="false">SUMPRODUCT(D36:J36,$D$4:$J$4)</f>
        <v>0</v>
      </c>
      <c r="L36" s="80" t="n">
        <f aca="false">IFERROR(INDEX('Annual Summary'!$Y:$Y,MATCH(A36,'Annual Summary'!$A:$A,0)),0)</f>
        <v>0</v>
      </c>
      <c r="M36" s="81" t="n">
        <f aca="false">MAX(0,K36-L36)</f>
        <v>0</v>
      </c>
    </row>
    <row r="37" customFormat="false" ht="15" hidden="false" customHeight="false" outlineLevel="0" collapsed="false">
      <c r="A37" s="77" t="s">
        <v>436</v>
      </c>
      <c r="B37" s="78" t="str">
        <f aca="false">IFERROR(INDEX('Item Master'!$B:$B,MATCH(A37,'Item Master'!$A:$A,0)),"")</f>
        <v>Bookmark with Mantra</v>
      </c>
      <c r="C37" s="78" t="str">
        <f aca="false">IFERROR(INDEX('Item Master'!$C:$C,MATCH(A37,'Item Master'!$A:$A,0)),"")</f>
        <v>Suggested New Items</v>
      </c>
      <c r="D37" s="79"/>
      <c r="E37" s="79"/>
      <c r="F37" s="79"/>
      <c r="G37" s="79" t="n">
        <v>1</v>
      </c>
      <c r="H37" s="79" t="n">
        <v>1</v>
      </c>
      <c r="I37" s="79" t="n">
        <v>1</v>
      </c>
      <c r="J37" s="79"/>
      <c r="K37" s="80" t="n">
        <f aca="false">SUMPRODUCT(D37:J37,$D$4:$J$4)</f>
        <v>0</v>
      </c>
      <c r="L37" s="80" t="n">
        <f aca="false">IFERROR(INDEX('Annual Summary'!$Y:$Y,MATCH(A37,'Annual Summary'!$A:$A,0)),0)</f>
        <v>0</v>
      </c>
      <c r="M37" s="81" t="n">
        <f aca="false">MAX(0,K37-L37)</f>
        <v>0</v>
      </c>
    </row>
    <row r="38" customFormat="false" ht="15" hidden="false" customHeight="false" outlineLevel="0" collapsed="false">
      <c r="A38" s="77" t="s">
        <v>464</v>
      </c>
      <c r="B38" s="78" t="str">
        <f aca="false">IFERROR(INDEX('Item Master'!$B:$B,MATCH(A38,'Item Master'!$A:$A,0)),"")</f>
        <v>Dry Prasadam Pack (laddu / chikki / dry fruits)</v>
      </c>
      <c r="C38" s="78" t="str">
        <f aca="false">IFERROR(INDEX('Item Master'!$C:$C,MATCH(A38,'Item Master'!$A:$A,0)),"")</f>
        <v>Suggested New Items</v>
      </c>
      <c r="D38" s="79"/>
      <c r="E38" s="79" t="n">
        <v>1</v>
      </c>
      <c r="F38" s="79"/>
      <c r="G38" s="79" t="n">
        <v>1</v>
      </c>
      <c r="H38" s="79" t="n">
        <v>1</v>
      </c>
      <c r="I38" s="79" t="n">
        <v>1</v>
      </c>
      <c r="J38" s="79" t="n">
        <v>1</v>
      </c>
      <c r="K38" s="80" t="n">
        <f aca="false">SUMPRODUCT(D38:J38,$D$4:$J$4)</f>
        <v>0</v>
      </c>
      <c r="L38" s="80" t="n">
        <f aca="false">IFERROR(INDEX('Annual Summary'!$Y:$Y,MATCH(A38,'Annual Summary'!$A:$A,0)),0)</f>
        <v>0</v>
      </c>
      <c r="M38" s="81" t="n">
        <f aca="false">MAX(0,K38-L38)</f>
        <v>0</v>
      </c>
    </row>
    <row r="39" customFormat="false" ht="15" hidden="false" customHeight="false" outlineLevel="0" collapsed="false">
      <c r="A39" s="77" t="s">
        <v>474</v>
      </c>
      <c r="B39" s="78" t="str">
        <f aca="false">IFERROR(INDEX('Item Master'!$B:$B,MATCH(A39,'Item Master'!$A:$A,0)),"")</f>
        <v>Thank-you Card + Receipt Envelope</v>
      </c>
      <c r="C39" s="78" t="str">
        <f aca="false">IFERROR(INDEX('Item Master'!$C:$C,MATCH(A39,'Item Master'!$A:$A,0)),"")</f>
        <v>Suggested New Items</v>
      </c>
      <c r="D39" s="79"/>
      <c r="E39" s="79"/>
      <c r="F39" s="79" t="n">
        <v>1</v>
      </c>
      <c r="G39" s="79" t="n">
        <v>1</v>
      </c>
      <c r="H39" s="79" t="n">
        <v>1</v>
      </c>
      <c r="I39" s="79" t="n">
        <v>1</v>
      </c>
      <c r="J39" s="79" t="n">
        <v>1</v>
      </c>
      <c r="K39" s="80" t="n">
        <f aca="false">SUMPRODUCT(D39:J39,$D$4:$J$4)</f>
        <v>0</v>
      </c>
      <c r="L39" s="80" t="n">
        <f aca="false">IFERROR(INDEX('Annual Summary'!$Y:$Y,MATCH(A39,'Annual Summary'!$A:$A,0)),0)</f>
        <v>0</v>
      </c>
      <c r="M39" s="81" t="n">
        <f aca="false">MAX(0,K39-L39)</f>
        <v>0</v>
      </c>
    </row>
    <row r="40" customFormat="false" ht="15" hidden="false" customHeight="false" outlineLevel="0" collapsed="false">
      <c r="A40" s="77" t="s">
        <v>480</v>
      </c>
      <c r="B40" s="78" t="str">
        <f aca="false">IFERROR(INDEX('Item Master'!$B:$B,MATCH(A40,'Item Master'!$A:$A,0)),"")</f>
        <v>Yatri ID Card + Lanyard</v>
      </c>
      <c r="C40" s="78" t="str">
        <f aca="false">IFERROR(INDEX('Item Master'!$C:$C,MATCH(A40,'Item Master'!$A:$A,0)),"")</f>
        <v>Suggested New Items</v>
      </c>
      <c r="D40" s="79" t="n">
        <v>1</v>
      </c>
      <c r="E40" s="79"/>
      <c r="F40" s="79"/>
      <c r="G40" s="79"/>
      <c r="H40" s="79"/>
      <c r="I40" s="79"/>
      <c r="J40" s="79"/>
      <c r="K40" s="80" t="n">
        <f aca="false">SUMPRODUCT(D40:J40,$D$4:$J$4)</f>
        <v>50</v>
      </c>
      <c r="L40" s="80" t="n">
        <f aca="false">IFERROR(INDEX('Annual Summary'!$Y:$Y,MATCH(A40,'Annual Summary'!$A:$A,0)),0)</f>
        <v>0</v>
      </c>
      <c r="M40" s="81" t="n">
        <f aca="false">MAX(0,K40-L40)</f>
        <v>50</v>
      </c>
    </row>
    <row r="42" customFormat="false" ht="15" hidden="false" customHeight="false" outlineLevel="0" collapsed="false">
      <c r="A42" s="82" t="s">
        <v>752</v>
      </c>
    </row>
    <row r="43" customFormat="false" ht="18" hidden="false" customHeight="true" outlineLevel="0" collapsed="false">
      <c r="A43" s="83" t="s">
        <v>753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</row>
    <row r="44" customFormat="false" ht="18" hidden="false" customHeight="true" outlineLevel="0" collapsed="false">
      <c r="A44" s="83" t="s">
        <v>754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</row>
    <row r="45" customFormat="false" ht="18" hidden="false" customHeight="true" outlineLevel="0" collapsed="false">
      <c r="A45" s="83" t="s">
        <v>755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</row>
    <row r="46" customFormat="false" ht="18" hidden="false" customHeight="true" outlineLevel="0" collapsed="false">
      <c r="A46" s="83" t="s">
        <v>756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</row>
  </sheetData>
  <mergeCells count="6">
    <mergeCell ref="A1:M1"/>
    <mergeCell ref="A2:M2"/>
    <mergeCell ref="A43:M43"/>
    <mergeCell ref="A44:M44"/>
    <mergeCell ref="A45:M45"/>
    <mergeCell ref="A46:M46"/>
  </mergeCells>
  <conditionalFormatting sqref="M7:M40">
    <cfRule type="cellIs" priority="2" operator="greaterThan" aboveAverage="0" equalAverage="0" bottom="0" percent="0" rank="0" text="" dxfId="17">
      <formula>0</formula>
    </cfRule>
  </conditionalFormatting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8B"/>
    <pageSetUpPr fitToPage="true"/>
  </sheetPr>
  <dimension ref="A1:S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24"/>
    <col collapsed="false" customWidth="true" hidden="false" outlineLevel="0" max="18" min="18" style="0" width="16"/>
  </cols>
  <sheetData>
    <row r="1" customFormat="false" ht="30" hidden="false" customHeight="true" outlineLevel="0" collapsed="false">
      <c r="A1" s="1" t="s">
        <v>757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82" t="s">
        <v>758</v>
      </c>
    </row>
    <row r="2" customFormat="false" ht="19.5" hidden="false" customHeight="true" outlineLevel="0" collapsed="false">
      <c r="A2" s="2" t="s">
        <v>759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58" t="s">
        <v>760</v>
      </c>
      <c r="S2" s="84" t="n">
        <f aca="false">COUNTIF($C$5:$C$504,"Donor")</f>
        <v>1</v>
      </c>
    </row>
    <row r="3" customFormat="false" ht="15" hidden="false" customHeight="false" outlineLevel="0" collapsed="false">
      <c r="R3" s="58" t="s">
        <v>761</v>
      </c>
      <c r="S3" s="84" t="n">
        <f aca="false">COUNTIF($C$5:$C$504,"Yatri")</f>
        <v>0</v>
      </c>
    </row>
    <row r="4" customFormat="false" ht="39.75" hidden="false" customHeight="true" outlineLevel="0" collapsed="false">
      <c r="A4" s="16" t="s">
        <v>640</v>
      </c>
      <c r="B4" s="16" t="s">
        <v>762</v>
      </c>
      <c r="C4" s="16" t="s">
        <v>763</v>
      </c>
      <c r="D4" s="16" t="s">
        <v>764</v>
      </c>
      <c r="E4" s="16" t="s">
        <v>765</v>
      </c>
      <c r="F4" s="16" t="s">
        <v>766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773</v>
      </c>
      <c r="N4" s="16" t="s">
        <v>774</v>
      </c>
      <c r="O4" s="16" t="s">
        <v>775</v>
      </c>
      <c r="P4" s="16" t="s">
        <v>62</v>
      </c>
      <c r="R4" s="58" t="s">
        <v>776</v>
      </c>
      <c r="S4" s="84" t="n">
        <f aca="false">COUNTIF($C$5:$C$504,"Guest / Visitor")</f>
        <v>0</v>
      </c>
    </row>
    <row r="5" customFormat="false" ht="15" hidden="false" customHeight="false" outlineLevel="0" collapsed="false">
      <c r="A5" s="78" t="n">
        <v>1</v>
      </c>
      <c r="B5" s="85" t="n">
        <f aca="false">DATE(2026,11,8)</f>
        <v>46334</v>
      </c>
      <c r="C5" s="86" t="s">
        <v>760</v>
      </c>
      <c r="D5" s="86" t="s">
        <v>777</v>
      </c>
      <c r="E5" s="86" t="s">
        <v>778</v>
      </c>
      <c r="F5" s="86" t="s">
        <v>779</v>
      </c>
      <c r="G5" s="86" t="s">
        <v>780</v>
      </c>
      <c r="H5" s="86" t="s">
        <v>781</v>
      </c>
      <c r="I5" s="87" t="n">
        <v>11000</v>
      </c>
      <c r="J5" s="86" t="s">
        <v>745</v>
      </c>
      <c r="K5" s="86" t="s">
        <v>782</v>
      </c>
      <c r="L5" s="86" t="n">
        <v>14</v>
      </c>
      <c r="M5" s="86" t="s">
        <v>783</v>
      </c>
      <c r="N5" s="86" t="s">
        <v>784</v>
      </c>
      <c r="O5" s="86" t="s">
        <v>785</v>
      </c>
      <c r="P5" s="86" t="s">
        <v>786</v>
      </c>
      <c r="R5" s="58" t="s">
        <v>787</v>
      </c>
      <c r="S5" s="84" t="n">
        <f aca="false">COUNTIF($C$5:$C$504,"Volunteer")</f>
        <v>0</v>
      </c>
    </row>
    <row r="6" customFormat="false" ht="15" hidden="false" customHeight="false" outlineLevel="0" collapsed="false">
      <c r="A6" s="78" t="n">
        <v>2</v>
      </c>
      <c r="B6" s="88"/>
      <c r="C6" s="89"/>
      <c r="D6" s="89"/>
      <c r="E6" s="89"/>
      <c r="F6" s="89"/>
      <c r="G6" s="89"/>
      <c r="H6" s="89"/>
      <c r="I6" s="90"/>
      <c r="J6" s="89"/>
      <c r="K6" s="89"/>
      <c r="L6" s="89"/>
      <c r="M6" s="89"/>
      <c r="N6" s="89"/>
      <c r="O6" s="89"/>
      <c r="P6" s="89"/>
      <c r="R6" s="58" t="s">
        <v>788</v>
      </c>
      <c r="S6" s="84" t="n">
        <f aca="false">COUNTIF($C$5:$C$504,"Event")</f>
        <v>0</v>
      </c>
    </row>
    <row r="7" customFormat="false" ht="15" hidden="false" customHeight="false" outlineLevel="0" collapsed="false">
      <c r="A7" s="78" t="n">
        <v>3</v>
      </c>
      <c r="B7" s="85"/>
      <c r="C7" s="86"/>
      <c r="D7" s="86"/>
      <c r="E7" s="86"/>
      <c r="F7" s="86"/>
      <c r="G7" s="86"/>
      <c r="H7" s="86"/>
      <c r="I7" s="87"/>
      <c r="J7" s="86"/>
      <c r="K7" s="86"/>
      <c r="L7" s="86"/>
      <c r="M7" s="86"/>
      <c r="N7" s="86"/>
      <c r="O7" s="86"/>
      <c r="P7" s="86"/>
    </row>
    <row r="8" customFormat="false" ht="15" hidden="false" customHeight="false" outlineLevel="0" collapsed="false">
      <c r="A8" s="78" t="n">
        <v>4</v>
      </c>
      <c r="B8" s="88"/>
      <c r="C8" s="89"/>
      <c r="D8" s="89"/>
      <c r="E8" s="89"/>
      <c r="F8" s="89"/>
      <c r="G8" s="89"/>
      <c r="H8" s="89"/>
      <c r="I8" s="90"/>
      <c r="J8" s="89"/>
      <c r="K8" s="89"/>
      <c r="L8" s="89"/>
      <c r="M8" s="89"/>
      <c r="N8" s="89"/>
      <c r="O8" s="89"/>
      <c r="P8" s="89"/>
    </row>
    <row r="9" customFormat="false" ht="15" hidden="false" customHeight="false" outlineLevel="0" collapsed="false">
      <c r="A9" s="78" t="n">
        <v>5</v>
      </c>
      <c r="B9" s="85"/>
      <c r="C9" s="86"/>
      <c r="D9" s="86"/>
      <c r="E9" s="86"/>
      <c r="F9" s="86"/>
      <c r="G9" s="86"/>
      <c r="H9" s="86"/>
      <c r="I9" s="87"/>
      <c r="J9" s="86"/>
      <c r="K9" s="86"/>
      <c r="L9" s="86"/>
      <c r="M9" s="86"/>
      <c r="N9" s="86"/>
      <c r="O9" s="86"/>
      <c r="P9" s="86"/>
    </row>
    <row r="10" customFormat="false" ht="15" hidden="false" customHeight="false" outlineLevel="0" collapsed="false">
      <c r="A10" s="78" t="n">
        <v>6</v>
      </c>
      <c r="B10" s="88"/>
      <c r="C10" s="89"/>
      <c r="D10" s="89"/>
      <c r="E10" s="89"/>
      <c r="F10" s="89"/>
      <c r="G10" s="89"/>
      <c r="H10" s="89"/>
      <c r="I10" s="90"/>
      <c r="J10" s="89"/>
      <c r="K10" s="89"/>
      <c r="L10" s="89"/>
      <c r="M10" s="89"/>
      <c r="N10" s="89"/>
      <c r="O10" s="89"/>
      <c r="P10" s="89"/>
    </row>
    <row r="11" customFormat="false" ht="15" hidden="false" customHeight="false" outlineLevel="0" collapsed="false">
      <c r="A11" s="78" t="n">
        <v>7</v>
      </c>
      <c r="B11" s="85"/>
      <c r="C11" s="86"/>
      <c r="D11" s="86"/>
      <c r="E11" s="86"/>
      <c r="F11" s="86"/>
      <c r="G11" s="86"/>
      <c r="H11" s="86"/>
      <c r="I11" s="87"/>
      <c r="J11" s="86"/>
      <c r="K11" s="86"/>
      <c r="L11" s="86"/>
      <c r="M11" s="86"/>
      <c r="N11" s="86"/>
      <c r="O11" s="86"/>
      <c r="P11" s="86"/>
    </row>
    <row r="12" customFormat="false" ht="15" hidden="false" customHeight="false" outlineLevel="0" collapsed="false">
      <c r="A12" s="78" t="n">
        <v>8</v>
      </c>
      <c r="B12" s="88"/>
      <c r="C12" s="89"/>
      <c r="D12" s="89"/>
      <c r="E12" s="89"/>
      <c r="F12" s="89"/>
      <c r="G12" s="89"/>
      <c r="H12" s="89"/>
      <c r="I12" s="90"/>
      <c r="J12" s="89"/>
      <c r="K12" s="89"/>
      <c r="L12" s="89"/>
      <c r="M12" s="89"/>
      <c r="N12" s="89"/>
      <c r="O12" s="89"/>
      <c r="P12" s="89"/>
    </row>
    <row r="13" customFormat="false" ht="15" hidden="false" customHeight="false" outlineLevel="0" collapsed="false">
      <c r="A13" s="78" t="n">
        <v>9</v>
      </c>
      <c r="B13" s="85"/>
      <c r="C13" s="86"/>
      <c r="D13" s="86"/>
      <c r="E13" s="86"/>
      <c r="F13" s="86"/>
      <c r="G13" s="86"/>
      <c r="H13" s="86"/>
      <c r="I13" s="87"/>
      <c r="J13" s="86"/>
      <c r="K13" s="86"/>
      <c r="L13" s="86"/>
      <c r="M13" s="86"/>
      <c r="N13" s="86"/>
      <c r="O13" s="86"/>
      <c r="P13" s="86"/>
    </row>
    <row r="14" customFormat="false" ht="15" hidden="false" customHeight="false" outlineLevel="0" collapsed="false">
      <c r="A14" s="78" t="n">
        <v>10</v>
      </c>
      <c r="B14" s="88"/>
      <c r="C14" s="89"/>
      <c r="D14" s="89"/>
      <c r="E14" s="89"/>
      <c r="F14" s="89"/>
      <c r="G14" s="89"/>
      <c r="H14" s="89"/>
      <c r="I14" s="90"/>
      <c r="J14" s="89"/>
      <c r="K14" s="89"/>
      <c r="L14" s="89"/>
      <c r="M14" s="89"/>
      <c r="N14" s="89"/>
      <c r="O14" s="89"/>
      <c r="P14" s="89"/>
    </row>
    <row r="15" customFormat="false" ht="15" hidden="false" customHeight="false" outlineLevel="0" collapsed="false">
      <c r="A15" s="78" t="n">
        <v>11</v>
      </c>
      <c r="B15" s="85"/>
      <c r="C15" s="86"/>
      <c r="D15" s="86"/>
      <c r="E15" s="86"/>
      <c r="F15" s="86"/>
      <c r="G15" s="86"/>
      <c r="H15" s="86"/>
      <c r="I15" s="87"/>
      <c r="J15" s="86"/>
      <c r="K15" s="86"/>
      <c r="L15" s="86"/>
      <c r="M15" s="86"/>
      <c r="N15" s="86"/>
      <c r="O15" s="86"/>
      <c r="P15" s="86"/>
    </row>
    <row r="16" customFormat="false" ht="15" hidden="false" customHeight="false" outlineLevel="0" collapsed="false">
      <c r="A16" s="78" t="n">
        <v>12</v>
      </c>
      <c r="B16" s="88"/>
      <c r="C16" s="89"/>
      <c r="D16" s="89"/>
      <c r="E16" s="89"/>
      <c r="F16" s="89"/>
      <c r="G16" s="89"/>
      <c r="H16" s="89"/>
      <c r="I16" s="90"/>
      <c r="J16" s="89"/>
      <c r="K16" s="89"/>
      <c r="L16" s="89"/>
      <c r="M16" s="89"/>
      <c r="N16" s="89"/>
      <c r="O16" s="89"/>
      <c r="P16" s="89"/>
    </row>
    <row r="17" customFormat="false" ht="15" hidden="false" customHeight="false" outlineLevel="0" collapsed="false">
      <c r="A17" s="78" t="n">
        <v>13</v>
      </c>
      <c r="B17" s="85"/>
      <c r="C17" s="86"/>
      <c r="D17" s="86"/>
      <c r="E17" s="86"/>
      <c r="F17" s="86"/>
      <c r="G17" s="86"/>
      <c r="H17" s="86"/>
      <c r="I17" s="87"/>
      <c r="J17" s="86"/>
      <c r="K17" s="86"/>
      <c r="L17" s="86"/>
      <c r="M17" s="86"/>
      <c r="N17" s="86"/>
      <c r="O17" s="86"/>
      <c r="P17" s="86"/>
    </row>
    <row r="18" customFormat="false" ht="15" hidden="false" customHeight="false" outlineLevel="0" collapsed="false">
      <c r="A18" s="78" t="n">
        <v>14</v>
      </c>
      <c r="B18" s="88"/>
      <c r="C18" s="89"/>
      <c r="D18" s="89"/>
      <c r="E18" s="89"/>
      <c r="F18" s="89"/>
      <c r="G18" s="89"/>
      <c r="H18" s="89"/>
      <c r="I18" s="90"/>
      <c r="J18" s="89"/>
      <c r="K18" s="89"/>
      <c r="L18" s="89"/>
      <c r="M18" s="89"/>
      <c r="N18" s="89"/>
      <c r="O18" s="89"/>
      <c r="P18" s="89"/>
    </row>
    <row r="19" customFormat="false" ht="15" hidden="false" customHeight="false" outlineLevel="0" collapsed="false">
      <c r="A19" s="78" t="n">
        <v>15</v>
      </c>
      <c r="B19" s="85"/>
      <c r="C19" s="86"/>
      <c r="D19" s="86"/>
      <c r="E19" s="86"/>
      <c r="F19" s="86"/>
      <c r="G19" s="86"/>
      <c r="H19" s="86"/>
      <c r="I19" s="87"/>
      <c r="J19" s="86"/>
      <c r="K19" s="86"/>
      <c r="L19" s="86"/>
      <c r="M19" s="86"/>
      <c r="N19" s="86"/>
      <c r="O19" s="86"/>
      <c r="P19" s="86"/>
    </row>
    <row r="20" customFormat="false" ht="15" hidden="false" customHeight="false" outlineLevel="0" collapsed="false">
      <c r="A20" s="78" t="n">
        <v>16</v>
      </c>
      <c r="B20" s="88"/>
      <c r="C20" s="89"/>
      <c r="D20" s="89"/>
      <c r="E20" s="89"/>
      <c r="F20" s="89"/>
      <c r="G20" s="89"/>
      <c r="H20" s="89"/>
      <c r="I20" s="90"/>
      <c r="J20" s="89"/>
      <c r="K20" s="89"/>
      <c r="L20" s="89"/>
      <c r="M20" s="89"/>
      <c r="N20" s="89"/>
      <c r="O20" s="89"/>
      <c r="P20" s="89"/>
    </row>
    <row r="21" customFormat="false" ht="15" hidden="false" customHeight="false" outlineLevel="0" collapsed="false">
      <c r="A21" s="78" t="n">
        <v>17</v>
      </c>
      <c r="B21" s="85"/>
      <c r="C21" s="86"/>
      <c r="D21" s="86"/>
      <c r="E21" s="86"/>
      <c r="F21" s="86"/>
      <c r="G21" s="86"/>
      <c r="H21" s="86"/>
      <c r="I21" s="87"/>
      <c r="J21" s="86"/>
      <c r="K21" s="86"/>
      <c r="L21" s="86"/>
      <c r="M21" s="86"/>
      <c r="N21" s="86"/>
      <c r="O21" s="86"/>
      <c r="P21" s="86"/>
    </row>
    <row r="22" customFormat="false" ht="15" hidden="false" customHeight="false" outlineLevel="0" collapsed="false">
      <c r="A22" s="78" t="n">
        <v>18</v>
      </c>
      <c r="B22" s="88"/>
      <c r="C22" s="89"/>
      <c r="D22" s="89"/>
      <c r="E22" s="89"/>
      <c r="F22" s="89"/>
      <c r="G22" s="89"/>
      <c r="H22" s="89"/>
      <c r="I22" s="90"/>
      <c r="J22" s="89"/>
      <c r="K22" s="89"/>
      <c r="L22" s="89"/>
      <c r="M22" s="89"/>
      <c r="N22" s="89"/>
      <c r="O22" s="89"/>
      <c r="P22" s="89"/>
    </row>
    <row r="23" customFormat="false" ht="15" hidden="false" customHeight="false" outlineLevel="0" collapsed="false">
      <c r="A23" s="78" t="n">
        <v>19</v>
      </c>
      <c r="B23" s="85"/>
      <c r="C23" s="86"/>
      <c r="D23" s="86"/>
      <c r="E23" s="86"/>
      <c r="F23" s="86"/>
      <c r="G23" s="86"/>
      <c r="H23" s="86"/>
      <c r="I23" s="87"/>
      <c r="J23" s="86"/>
      <c r="K23" s="86"/>
      <c r="L23" s="86"/>
      <c r="M23" s="86"/>
      <c r="N23" s="86"/>
      <c r="O23" s="86"/>
      <c r="P23" s="86"/>
    </row>
    <row r="24" customFormat="false" ht="15" hidden="false" customHeight="false" outlineLevel="0" collapsed="false">
      <c r="A24" s="78" t="n">
        <v>20</v>
      </c>
      <c r="B24" s="88"/>
      <c r="C24" s="89"/>
      <c r="D24" s="89"/>
      <c r="E24" s="89"/>
      <c r="F24" s="89"/>
      <c r="G24" s="89"/>
      <c r="H24" s="89"/>
      <c r="I24" s="90"/>
      <c r="J24" s="89"/>
      <c r="K24" s="89"/>
      <c r="L24" s="89"/>
      <c r="M24" s="89"/>
      <c r="N24" s="89"/>
      <c r="O24" s="89"/>
      <c r="P24" s="89"/>
    </row>
    <row r="25" customFormat="false" ht="15" hidden="false" customHeight="false" outlineLevel="0" collapsed="false">
      <c r="A25" s="78" t="n">
        <v>21</v>
      </c>
      <c r="B25" s="85"/>
      <c r="C25" s="86"/>
      <c r="D25" s="86"/>
      <c r="E25" s="86"/>
      <c r="F25" s="86"/>
      <c r="G25" s="86"/>
      <c r="H25" s="86"/>
      <c r="I25" s="87"/>
      <c r="J25" s="86"/>
      <c r="K25" s="86"/>
      <c r="L25" s="86"/>
      <c r="M25" s="86"/>
      <c r="N25" s="86"/>
      <c r="O25" s="86"/>
      <c r="P25" s="86"/>
    </row>
    <row r="26" customFormat="false" ht="15" hidden="false" customHeight="false" outlineLevel="0" collapsed="false">
      <c r="A26" s="78" t="n">
        <v>22</v>
      </c>
      <c r="B26" s="88"/>
      <c r="C26" s="89"/>
      <c r="D26" s="89"/>
      <c r="E26" s="89"/>
      <c r="F26" s="89"/>
      <c r="G26" s="89"/>
      <c r="H26" s="89"/>
      <c r="I26" s="90"/>
      <c r="J26" s="89"/>
      <c r="K26" s="89"/>
      <c r="L26" s="89"/>
      <c r="M26" s="89"/>
      <c r="N26" s="89"/>
      <c r="O26" s="89"/>
      <c r="P26" s="89"/>
    </row>
    <row r="27" customFormat="false" ht="15" hidden="false" customHeight="false" outlineLevel="0" collapsed="false">
      <c r="A27" s="78" t="n">
        <v>23</v>
      </c>
      <c r="B27" s="85"/>
      <c r="C27" s="86"/>
      <c r="D27" s="86"/>
      <c r="E27" s="86"/>
      <c r="F27" s="86"/>
      <c r="G27" s="86"/>
      <c r="H27" s="86"/>
      <c r="I27" s="87"/>
      <c r="J27" s="86"/>
      <c r="K27" s="86"/>
      <c r="L27" s="86"/>
      <c r="M27" s="86"/>
      <c r="N27" s="86"/>
      <c r="O27" s="86"/>
      <c r="P27" s="86"/>
    </row>
    <row r="28" customFormat="false" ht="15" hidden="false" customHeight="false" outlineLevel="0" collapsed="false">
      <c r="A28" s="78" t="n">
        <v>24</v>
      </c>
      <c r="B28" s="88"/>
      <c r="C28" s="89"/>
      <c r="D28" s="89"/>
      <c r="E28" s="89"/>
      <c r="F28" s="89"/>
      <c r="G28" s="89"/>
      <c r="H28" s="89"/>
      <c r="I28" s="90"/>
      <c r="J28" s="89"/>
      <c r="K28" s="89"/>
      <c r="L28" s="89"/>
      <c r="M28" s="89"/>
      <c r="N28" s="89"/>
      <c r="O28" s="89"/>
      <c r="P28" s="89"/>
    </row>
    <row r="29" customFormat="false" ht="15" hidden="false" customHeight="false" outlineLevel="0" collapsed="false">
      <c r="A29" s="78" t="n">
        <v>25</v>
      </c>
      <c r="B29" s="85"/>
      <c r="C29" s="86"/>
      <c r="D29" s="86"/>
      <c r="E29" s="86"/>
      <c r="F29" s="86"/>
      <c r="G29" s="86"/>
      <c r="H29" s="86"/>
      <c r="I29" s="87"/>
      <c r="J29" s="86"/>
      <c r="K29" s="86"/>
      <c r="L29" s="86"/>
      <c r="M29" s="86"/>
      <c r="N29" s="86"/>
      <c r="O29" s="86"/>
      <c r="P29" s="86"/>
    </row>
    <row r="30" customFormat="false" ht="15" hidden="false" customHeight="false" outlineLevel="0" collapsed="false">
      <c r="A30" s="78" t="n">
        <v>26</v>
      </c>
      <c r="B30" s="88"/>
      <c r="C30" s="89"/>
      <c r="D30" s="89"/>
      <c r="E30" s="89"/>
      <c r="F30" s="89"/>
      <c r="G30" s="89"/>
      <c r="H30" s="89"/>
      <c r="I30" s="90"/>
      <c r="J30" s="89"/>
      <c r="K30" s="89"/>
      <c r="L30" s="89"/>
      <c r="M30" s="89"/>
      <c r="N30" s="89"/>
      <c r="O30" s="89"/>
      <c r="P30" s="89"/>
    </row>
    <row r="31" customFormat="false" ht="15" hidden="false" customHeight="false" outlineLevel="0" collapsed="false">
      <c r="A31" s="78" t="n">
        <v>27</v>
      </c>
      <c r="B31" s="85"/>
      <c r="C31" s="86"/>
      <c r="D31" s="86"/>
      <c r="E31" s="86"/>
      <c r="F31" s="86"/>
      <c r="G31" s="86"/>
      <c r="H31" s="86"/>
      <c r="I31" s="87"/>
      <c r="J31" s="86"/>
      <c r="K31" s="86"/>
      <c r="L31" s="86"/>
      <c r="M31" s="86"/>
      <c r="N31" s="86"/>
      <c r="O31" s="86"/>
      <c r="P31" s="86"/>
    </row>
    <row r="32" customFormat="false" ht="15" hidden="false" customHeight="false" outlineLevel="0" collapsed="false">
      <c r="A32" s="78" t="n">
        <v>28</v>
      </c>
      <c r="B32" s="88"/>
      <c r="C32" s="89"/>
      <c r="D32" s="89"/>
      <c r="E32" s="89"/>
      <c r="F32" s="89"/>
      <c r="G32" s="89"/>
      <c r="H32" s="89"/>
      <c r="I32" s="90"/>
      <c r="J32" s="89"/>
      <c r="K32" s="89"/>
      <c r="L32" s="89"/>
      <c r="M32" s="89"/>
      <c r="N32" s="89"/>
      <c r="O32" s="89"/>
      <c r="P32" s="89"/>
    </row>
    <row r="33" customFormat="false" ht="15" hidden="false" customHeight="false" outlineLevel="0" collapsed="false">
      <c r="A33" s="78" t="n">
        <v>29</v>
      </c>
      <c r="B33" s="85"/>
      <c r="C33" s="86"/>
      <c r="D33" s="86"/>
      <c r="E33" s="86"/>
      <c r="F33" s="86"/>
      <c r="G33" s="86"/>
      <c r="H33" s="86"/>
      <c r="I33" s="87"/>
      <c r="J33" s="86"/>
      <c r="K33" s="86"/>
      <c r="L33" s="86"/>
      <c r="M33" s="86"/>
      <c r="N33" s="86"/>
      <c r="O33" s="86"/>
      <c r="P33" s="86"/>
    </row>
    <row r="34" customFormat="false" ht="15" hidden="false" customHeight="false" outlineLevel="0" collapsed="false">
      <c r="A34" s="78" t="n">
        <v>30</v>
      </c>
      <c r="B34" s="88"/>
      <c r="C34" s="89"/>
      <c r="D34" s="89"/>
      <c r="E34" s="89"/>
      <c r="F34" s="89"/>
      <c r="G34" s="89"/>
      <c r="H34" s="89"/>
      <c r="I34" s="90"/>
      <c r="J34" s="89"/>
      <c r="K34" s="89"/>
      <c r="L34" s="89"/>
      <c r="M34" s="89"/>
      <c r="N34" s="89"/>
      <c r="O34" s="89"/>
      <c r="P34" s="89"/>
    </row>
    <row r="35" customFormat="false" ht="15" hidden="false" customHeight="false" outlineLevel="0" collapsed="false">
      <c r="A35" s="78" t="n">
        <v>31</v>
      </c>
      <c r="B35" s="85"/>
      <c r="C35" s="86"/>
      <c r="D35" s="86"/>
      <c r="E35" s="86"/>
      <c r="F35" s="86"/>
      <c r="G35" s="86"/>
      <c r="H35" s="86"/>
      <c r="I35" s="87"/>
      <c r="J35" s="86"/>
      <c r="K35" s="86"/>
      <c r="L35" s="86"/>
      <c r="M35" s="86"/>
      <c r="N35" s="86"/>
      <c r="O35" s="86"/>
      <c r="P35" s="86"/>
    </row>
    <row r="36" customFormat="false" ht="15" hidden="false" customHeight="false" outlineLevel="0" collapsed="false">
      <c r="A36" s="78" t="n">
        <v>32</v>
      </c>
      <c r="B36" s="88"/>
      <c r="C36" s="89"/>
      <c r="D36" s="89"/>
      <c r="E36" s="89"/>
      <c r="F36" s="89"/>
      <c r="G36" s="89"/>
      <c r="H36" s="89"/>
      <c r="I36" s="90"/>
      <c r="J36" s="89"/>
      <c r="K36" s="89"/>
      <c r="L36" s="89"/>
      <c r="M36" s="89"/>
      <c r="N36" s="89"/>
      <c r="O36" s="89"/>
      <c r="P36" s="89"/>
    </row>
    <row r="37" customFormat="false" ht="15" hidden="false" customHeight="false" outlineLevel="0" collapsed="false">
      <c r="A37" s="78" t="n">
        <v>33</v>
      </c>
      <c r="B37" s="85"/>
      <c r="C37" s="86"/>
      <c r="D37" s="86"/>
      <c r="E37" s="86"/>
      <c r="F37" s="86"/>
      <c r="G37" s="86"/>
      <c r="H37" s="86"/>
      <c r="I37" s="87"/>
      <c r="J37" s="86"/>
      <c r="K37" s="86"/>
      <c r="L37" s="86"/>
      <c r="M37" s="86"/>
      <c r="N37" s="86"/>
      <c r="O37" s="86"/>
      <c r="P37" s="86"/>
    </row>
    <row r="38" customFormat="false" ht="15" hidden="false" customHeight="false" outlineLevel="0" collapsed="false">
      <c r="A38" s="78" t="n">
        <v>34</v>
      </c>
      <c r="B38" s="88"/>
      <c r="C38" s="89"/>
      <c r="D38" s="89"/>
      <c r="E38" s="89"/>
      <c r="F38" s="89"/>
      <c r="G38" s="89"/>
      <c r="H38" s="89"/>
      <c r="I38" s="90"/>
      <c r="J38" s="89"/>
      <c r="K38" s="89"/>
      <c r="L38" s="89"/>
      <c r="M38" s="89"/>
      <c r="N38" s="89"/>
      <c r="O38" s="89"/>
      <c r="P38" s="89"/>
    </row>
    <row r="39" customFormat="false" ht="15" hidden="false" customHeight="false" outlineLevel="0" collapsed="false">
      <c r="A39" s="78" t="n">
        <v>35</v>
      </c>
      <c r="B39" s="85"/>
      <c r="C39" s="86"/>
      <c r="D39" s="86"/>
      <c r="E39" s="86"/>
      <c r="F39" s="86"/>
      <c r="G39" s="86"/>
      <c r="H39" s="86"/>
      <c r="I39" s="87"/>
      <c r="J39" s="86"/>
      <c r="K39" s="86"/>
      <c r="L39" s="86"/>
      <c r="M39" s="86"/>
      <c r="N39" s="86"/>
      <c r="O39" s="86"/>
      <c r="P39" s="86"/>
    </row>
    <row r="40" customFormat="false" ht="15" hidden="false" customHeight="false" outlineLevel="0" collapsed="false">
      <c r="A40" s="78" t="n">
        <v>36</v>
      </c>
      <c r="B40" s="88"/>
      <c r="C40" s="89"/>
      <c r="D40" s="89"/>
      <c r="E40" s="89"/>
      <c r="F40" s="89"/>
      <c r="G40" s="89"/>
      <c r="H40" s="89"/>
      <c r="I40" s="90"/>
      <c r="J40" s="89"/>
      <c r="K40" s="89"/>
      <c r="L40" s="89"/>
      <c r="M40" s="89"/>
      <c r="N40" s="89"/>
      <c r="O40" s="89"/>
      <c r="P40" s="89"/>
    </row>
    <row r="41" customFormat="false" ht="15" hidden="false" customHeight="false" outlineLevel="0" collapsed="false">
      <c r="A41" s="78" t="n">
        <v>37</v>
      </c>
      <c r="B41" s="85"/>
      <c r="C41" s="86"/>
      <c r="D41" s="86"/>
      <c r="E41" s="86"/>
      <c r="F41" s="86"/>
      <c r="G41" s="86"/>
      <c r="H41" s="86"/>
      <c r="I41" s="87"/>
      <c r="J41" s="86"/>
      <c r="K41" s="86"/>
      <c r="L41" s="86"/>
      <c r="M41" s="86"/>
      <c r="N41" s="86"/>
      <c r="O41" s="86"/>
      <c r="P41" s="86"/>
    </row>
    <row r="42" customFormat="false" ht="15" hidden="false" customHeight="false" outlineLevel="0" collapsed="false">
      <c r="A42" s="78" t="n">
        <v>38</v>
      </c>
      <c r="B42" s="88"/>
      <c r="C42" s="89"/>
      <c r="D42" s="89"/>
      <c r="E42" s="89"/>
      <c r="F42" s="89"/>
      <c r="G42" s="89"/>
      <c r="H42" s="89"/>
      <c r="I42" s="90"/>
      <c r="J42" s="89"/>
      <c r="K42" s="89"/>
      <c r="L42" s="89"/>
      <c r="M42" s="89"/>
      <c r="N42" s="89"/>
      <c r="O42" s="89"/>
      <c r="P42" s="89"/>
    </row>
    <row r="43" customFormat="false" ht="15" hidden="false" customHeight="false" outlineLevel="0" collapsed="false">
      <c r="A43" s="78" t="n">
        <v>39</v>
      </c>
      <c r="B43" s="85"/>
      <c r="C43" s="86"/>
      <c r="D43" s="86"/>
      <c r="E43" s="86"/>
      <c r="F43" s="86"/>
      <c r="G43" s="86"/>
      <c r="H43" s="86"/>
      <c r="I43" s="87"/>
      <c r="J43" s="86"/>
      <c r="K43" s="86"/>
      <c r="L43" s="86"/>
      <c r="M43" s="86"/>
      <c r="N43" s="86"/>
      <c r="O43" s="86"/>
      <c r="P43" s="86"/>
    </row>
    <row r="44" customFormat="false" ht="15" hidden="false" customHeight="false" outlineLevel="0" collapsed="false">
      <c r="A44" s="78" t="n">
        <v>40</v>
      </c>
      <c r="B44" s="88"/>
      <c r="C44" s="89"/>
      <c r="D44" s="89"/>
      <c r="E44" s="89"/>
      <c r="F44" s="89"/>
      <c r="G44" s="89"/>
      <c r="H44" s="89"/>
      <c r="I44" s="90"/>
      <c r="J44" s="89"/>
      <c r="K44" s="89"/>
      <c r="L44" s="89"/>
      <c r="M44" s="89"/>
      <c r="N44" s="89"/>
      <c r="O44" s="89"/>
      <c r="P44" s="89"/>
    </row>
    <row r="45" customFormat="false" ht="15" hidden="false" customHeight="false" outlineLevel="0" collapsed="false">
      <c r="A45" s="78" t="n">
        <v>41</v>
      </c>
      <c r="B45" s="85"/>
      <c r="C45" s="86"/>
      <c r="D45" s="86"/>
      <c r="E45" s="86"/>
      <c r="F45" s="86"/>
      <c r="G45" s="86"/>
      <c r="H45" s="86"/>
      <c r="I45" s="87"/>
      <c r="J45" s="86"/>
      <c r="K45" s="86"/>
      <c r="L45" s="86"/>
      <c r="M45" s="86"/>
      <c r="N45" s="86"/>
      <c r="O45" s="86"/>
      <c r="P45" s="86"/>
    </row>
    <row r="46" customFormat="false" ht="15" hidden="false" customHeight="false" outlineLevel="0" collapsed="false">
      <c r="A46" s="78" t="n">
        <v>42</v>
      </c>
      <c r="B46" s="88"/>
      <c r="C46" s="89"/>
      <c r="D46" s="89"/>
      <c r="E46" s="89"/>
      <c r="F46" s="89"/>
      <c r="G46" s="89"/>
      <c r="H46" s="89"/>
      <c r="I46" s="90"/>
      <c r="J46" s="89"/>
      <c r="K46" s="89"/>
      <c r="L46" s="89"/>
      <c r="M46" s="89"/>
      <c r="N46" s="89"/>
      <c r="O46" s="89"/>
      <c r="P46" s="89"/>
    </row>
    <row r="47" customFormat="false" ht="15" hidden="false" customHeight="false" outlineLevel="0" collapsed="false">
      <c r="A47" s="78" t="n">
        <v>43</v>
      </c>
      <c r="B47" s="85"/>
      <c r="C47" s="86"/>
      <c r="D47" s="86"/>
      <c r="E47" s="86"/>
      <c r="F47" s="86"/>
      <c r="G47" s="86"/>
      <c r="H47" s="86"/>
      <c r="I47" s="87"/>
      <c r="J47" s="86"/>
      <c r="K47" s="86"/>
      <c r="L47" s="86"/>
      <c r="M47" s="86"/>
      <c r="N47" s="86"/>
      <c r="O47" s="86"/>
      <c r="P47" s="86"/>
    </row>
    <row r="48" customFormat="false" ht="15" hidden="false" customHeight="false" outlineLevel="0" collapsed="false">
      <c r="A48" s="78" t="n">
        <v>44</v>
      </c>
      <c r="B48" s="88"/>
      <c r="C48" s="89"/>
      <c r="D48" s="89"/>
      <c r="E48" s="89"/>
      <c r="F48" s="89"/>
      <c r="G48" s="89"/>
      <c r="H48" s="89"/>
      <c r="I48" s="90"/>
      <c r="J48" s="89"/>
      <c r="K48" s="89"/>
      <c r="L48" s="89"/>
      <c r="M48" s="89"/>
      <c r="N48" s="89"/>
      <c r="O48" s="89"/>
      <c r="P48" s="89"/>
    </row>
    <row r="49" customFormat="false" ht="15" hidden="false" customHeight="false" outlineLevel="0" collapsed="false">
      <c r="A49" s="78" t="n">
        <v>45</v>
      </c>
      <c r="B49" s="85"/>
      <c r="C49" s="86"/>
      <c r="D49" s="86"/>
      <c r="E49" s="86"/>
      <c r="F49" s="86"/>
      <c r="G49" s="86"/>
      <c r="H49" s="86"/>
      <c r="I49" s="87"/>
      <c r="J49" s="86"/>
      <c r="K49" s="86"/>
      <c r="L49" s="86"/>
      <c r="M49" s="86"/>
      <c r="N49" s="86"/>
      <c r="O49" s="86"/>
      <c r="P49" s="86"/>
    </row>
    <row r="50" customFormat="false" ht="15" hidden="false" customHeight="false" outlineLevel="0" collapsed="false">
      <c r="A50" s="78" t="n">
        <v>46</v>
      </c>
      <c r="B50" s="88"/>
      <c r="C50" s="89"/>
      <c r="D50" s="89"/>
      <c r="E50" s="89"/>
      <c r="F50" s="89"/>
      <c r="G50" s="89"/>
      <c r="H50" s="89"/>
      <c r="I50" s="90"/>
      <c r="J50" s="89"/>
      <c r="K50" s="89"/>
      <c r="L50" s="89"/>
      <c r="M50" s="89"/>
      <c r="N50" s="89"/>
      <c r="O50" s="89"/>
      <c r="P50" s="89"/>
    </row>
    <row r="51" customFormat="false" ht="15" hidden="false" customHeight="false" outlineLevel="0" collapsed="false">
      <c r="A51" s="78" t="n">
        <v>47</v>
      </c>
      <c r="B51" s="85"/>
      <c r="C51" s="86"/>
      <c r="D51" s="86"/>
      <c r="E51" s="86"/>
      <c r="F51" s="86"/>
      <c r="G51" s="86"/>
      <c r="H51" s="86"/>
      <c r="I51" s="87"/>
      <c r="J51" s="86"/>
      <c r="K51" s="86"/>
      <c r="L51" s="86"/>
      <c r="M51" s="86"/>
      <c r="N51" s="86"/>
      <c r="O51" s="86"/>
      <c r="P51" s="86"/>
    </row>
    <row r="52" customFormat="false" ht="15" hidden="false" customHeight="false" outlineLevel="0" collapsed="false">
      <c r="A52" s="78" t="n">
        <v>48</v>
      </c>
      <c r="B52" s="88"/>
      <c r="C52" s="89"/>
      <c r="D52" s="89"/>
      <c r="E52" s="89"/>
      <c r="F52" s="89"/>
      <c r="G52" s="89"/>
      <c r="H52" s="89"/>
      <c r="I52" s="90"/>
      <c r="J52" s="89"/>
      <c r="K52" s="89"/>
      <c r="L52" s="89"/>
      <c r="M52" s="89"/>
      <c r="N52" s="89"/>
      <c r="O52" s="89"/>
      <c r="P52" s="89"/>
    </row>
    <row r="53" customFormat="false" ht="15" hidden="false" customHeight="false" outlineLevel="0" collapsed="false">
      <c r="A53" s="78" t="n">
        <v>49</v>
      </c>
      <c r="B53" s="85"/>
      <c r="C53" s="86"/>
      <c r="D53" s="86"/>
      <c r="E53" s="86"/>
      <c r="F53" s="86"/>
      <c r="G53" s="86"/>
      <c r="H53" s="86"/>
      <c r="I53" s="87"/>
      <c r="J53" s="86"/>
      <c r="K53" s="86"/>
      <c r="L53" s="86"/>
      <c r="M53" s="86"/>
      <c r="N53" s="86"/>
      <c r="O53" s="86"/>
      <c r="P53" s="86"/>
    </row>
    <row r="54" customFormat="false" ht="15" hidden="false" customHeight="false" outlineLevel="0" collapsed="false">
      <c r="A54" s="78" t="n">
        <v>50</v>
      </c>
      <c r="B54" s="88"/>
      <c r="C54" s="89"/>
      <c r="D54" s="89"/>
      <c r="E54" s="89"/>
      <c r="F54" s="89"/>
      <c r="G54" s="89"/>
      <c r="H54" s="89"/>
      <c r="I54" s="90"/>
      <c r="J54" s="89"/>
      <c r="K54" s="89"/>
      <c r="L54" s="89"/>
      <c r="M54" s="89"/>
      <c r="N54" s="89"/>
      <c r="O54" s="89"/>
      <c r="P54" s="89"/>
    </row>
    <row r="55" customFormat="false" ht="15" hidden="false" customHeight="false" outlineLevel="0" collapsed="false">
      <c r="A55" s="78" t="n">
        <v>51</v>
      </c>
      <c r="B55" s="85"/>
      <c r="C55" s="86"/>
      <c r="D55" s="86"/>
      <c r="E55" s="86"/>
      <c r="F55" s="86"/>
      <c r="G55" s="86"/>
      <c r="H55" s="86"/>
      <c r="I55" s="87"/>
      <c r="J55" s="86"/>
      <c r="K55" s="86"/>
      <c r="L55" s="86"/>
      <c r="M55" s="86"/>
      <c r="N55" s="86"/>
      <c r="O55" s="86"/>
      <c r="P55" s="86"/>
    </row>
    <row r="56" customFormat="false" ht="15" hidden="false" customHeight="false" outlineLevel="0" collapsed="false">
      <c r="A56" s="78" t="n">
        <v>52</v>
      </c>
      <c r="B56" s="88"/>
      <c r="C56" s="89"/>
      <c r="D56" s="89"/>
      <c r="E56" s="89"/>
      <c r="F56" s="89"/>
      <c r="G56" s="89"/>
      <c r="H56" s="89"/>
      <c r="I56" s="90"/>
      <c r="J56" s="89"/>
      <c r="K56" s="89"/>
      <c r="L56" s="89"/>
      <c r="M56" s="89"/>
      <c r="N56" s="89"/>
      <c r="O56" s="89"/>
      <c r="P56" s="89"/>
    </row>
    <row r="57" customFormat="false" ht="15" hidden="false" customHeight="false" outlineLevel="0" collapsed="false">
      <c r="A57" s="78" t="n">
        <v>53</v>
      </c>
      <c r="B57" s="85"/>
      <c r="C57" s="86"/>
      <c r="D57" s="86"/>
      <c r="E57" s="86"/>
      <c r="F57" s="86"/>
      <c r="G57" s="86"/>
      <c r="H57" s="86"/>
      <c r="I57" s="87"/>
      <c r="J57" s="86"/>
      <c r="K57" s="86"/>
      <c r="L57" s="86"/>
      <c r="M57" s="86"/>
      <c r="N57" s="86"/>
      <c r="O57" s="86"/>
      <c r="P57" s="86"/>
    </row>
    <row r="58" customFormat="false" ht="15" hidden="false" customHeight="false" outlineLevel="0" collapsed="false">
      <c r="A58" s="78" t="n">
        <v>54</v>
      </c>
      <c r="B58" s="88"/>
      <c r="C58" s="89"/>
      <c r="D58" s="89"/>
      <c r="E58" s="89"/>
      <c r="F58" s="89"/>
      <c r="G58" s="89"/>
      <c r="H58" s="89"/>
      <c r="I58" s="90"/>
      <c r="J58" s="89"/>
      <c r="K58" s="89"/>
      <c r="L58" s="89"/>
      <c r="M58" s="89"/>
      <c r="N58" s="89"/>
      <c r="O58" s="89"/>
      <c r="P58" s="89"/>
    </row>
    <row r="59" customFormat="false" ht="15" hidden="false" customHeight="false" outlineLevel="0" collapsed="false">
      <c r="A59" s="78" t="n">
        <v>55</v>
      </c>
      <c r="B59" s="85"/>
      <c r="C59" s="86"/>
      <c r="D59" s="86"/>
      <c r="E59" s="86"/>
      <c r="F59" s="86"/>
      <c r="G59" s="86"/>
      <c r="H59" s="86"/>
      <c r="I59" s="87"/>
      <c r="J59" s="86"/>
      <c r="K59" s="86"/>
      <c r="L59" s="86"/>
      <c r="M59" s="86"/>
      <c r="N59" s="86"/>
      <c r="O59" s="86"/>
      <c r="P59" s="86"/>
    </row>
    <row r="60" customFormat="false" ht="15" hidden="false" customHeight="false" outlineLevel="0" collapsed="false">
      <c r="A60" s="78" t="n">
        <v>56</v>
      </c>
      <c r="B60" s="88"/>
      <c r="C60" s="89"/>
      <c r="D60" s="89"/>
      <c r="E60" s="89"/>
      <c r="F60" s="89"/>
      <c r="G60" s="89"/>
      <c r="H60" s="89"/>
      <c r="I60" s="90"/>
      <c r="J60" s="89"/>
      <c r="K60" s="89"/>
      <c r="L60" s="89"/>
      <c r="M60" s="89"/>
      <c r="N60" s="89"/>
      <c r="O60" s="89"/>
      <c r="P60" s="89"/>
    </row>
    <row r="61" customFormat="false" ht="15" hidden="false" customHeight="false" outlineLevel="0" collapsed="false">
      <c r="A61" s="78" t="n">
        <v>57</v>
      </c>
      <c r="B61" s="85"/>
      <c r="C61" s="86"/>
      <c r="D61" s="86"/>
      <c r="E61" s="86"/>
      <c r="F61" s="86"/>
      <c r="G61" s="86"/>
      <c r="H61" s="86"/>
      <c r="I61" s="87"/>
      <c r="J61" s="86"/>
      <c r="K61" s="86"/>
      <c r="L61" s="86"/>
      <c r="M61" s="86"/>
      <c r="N61" s="86"/>
      <c r="O61" s="86"/>
      <c r="P61" s="86"/>
    </row>
    <row r="62" customFormat="false" ht="15" hidden="false" customHeight="false" outlineLevel="0" collapsed="false">
      <c r="A62" s="78" t="n">
        <v>58</v>
      </c>
      <c r="B62" s="88"/>
      <c r="C62" s="89"/>
      <c r="D62" s="89"/>
      <c r="E62" s="89"/>
      <c r="F62" s="89"/>
      <c r="G62" s="89"/>
      <c r="H62" s="89"/>
      <c r="I62" s="90"/>
      <c r="J62" s="89"/>
      <c r="K62" s="89"/>
      <c r="L62" s="89"/>
      <c r="M62" s="89"/>
      <c r="N62" s="89"/>
      <c r="O62" s="89"/>
      <c r="P62" s="89"/>
    </row>
    <row r="63" customFormat="false" ht="15" hidden="false" customHeight="false" outlineLevel="0" collapsed="false">
      <c r="A63" s="78" t="n">
        <v>59</v>
      </c>
      <c r="B63" s="85"/>
      <c r="C63" s="86"/>
      <c r="D63" s="86"/>
      <c r="E63" s="86"/>
      <c r="F63" s="86"/>
      <c r="G63" s="86"/>
      <c r="H63" s="86"/>
      <c r="I63" s="87"/>
      <c r="J63" s="86"/>
      <c r="K63" s="86"/>
      <c r="L63" s="86"/>
      <c r="M63" s="86"/>
      <c r="N63" s="86"/>
      <c r="O63" s="86"/>
      <c r="P63" s="86"/>
    </row>
    <row r="64" customFormat="false" ht="15" hidden="false" customHeight="false" outlineLevel="0" collapsed="false">
      <c r="A64" s="78" t="n">
        <v>60</v>
      </c>
      <c r="B64" s="88"/>
      <c r="C64" s="89"/>
      <c r="D64" s="89"/>
      <c r="E64" s="89"/>
      <c r="F64" s="89"/>
      <c r="G64" s="89"/>
      <c r="H64" s="89"/>
      <c r="I64" s="90"/>
      <c r="J64" s="89"/>
      <c r="K64" s="89"/>
      <c r="L64" s="89"/>
      <c r="M64" s="89"/>
      <c r="N64" s="89"/>
      <c r="O64" s="89"/>
      <c r="P64" s="89"/>
    </row>
    <row r="65" customFormat="false" ht="15" hidden="false" customHeight="false" outlineLevel="0" collapsed="false">
      <c r="A65" s="78" t="n">
        <v>61</v>
      </c>
      <c r="B65" s="85"/>
      <c r="C65" s="86"/>
      <c r="D65" s="86"/>
      <c r="E65" s="86"/>
      <c r="F65" s="86"/>
      <c r="G65" s="86"/>
      <c r="H65" s="86"/>
      <c r="I65" s="87"/>
      <c r="J65" s="86"/>
      <c r="K65" s="86"/>
      <c r="L65" s="86"/>
      <c r="M65" s="86"/>
      <c r="N65" s="86"/>
      <c r="O65" s="86"/>
      <c r="P65" s="86"/>
    </row>
    <row r="66" customFormat="false" ht="15" hidden="false" customHeight="false" outlineLevel="0" collapsed="false">
      <c r="A66" s="78" t="n">
        <v>62</v>
      </c>
      <c r="B66" s="88"/>
      <c r="C66" s="89"/>
      <c r="D66" s="89"/>
      <c r="E66" s="89"/>
      <c r="F66" s="89"/>
      <c r="G66" s="89"/>
      <c r="H66" s="89"/>
      <c r="I66" s="90"/>
      <c r="J66" s="89"/>
      <c r="K66" s="89"/>
      <c r="L66" s="89"/>
      <c r="M66" s="89"/>
      <c r="N66" s="89"/>
      <c r="O66" s="89"/>
      <c r="P66" s="89"/>
    </row>
    <row r="67" customFormat="false" ht="15" hidden="false" customHeight="false" outlineLevel="0" collapsed="false">
      <c r="A67" s="78" t="n">
        <v>63</v>
      </c>
      <c r="B67" s="85"/>
      <c r="C67" s="86"/>
      <c r="D67" s="86"/>
      <c r="E67" s="86"/>
      <c r="F67" s="86"/>
      <c r="G67" s="86"/>
      <c r="H67" s="86"/>
      <c r="I67" s="87"/>
      <c r="J67" s="86"/>
      <c r="K67" s="86"/>
      <c r="L67" s="86"/>
      <c r="M67" s="86"/>
      <c r="N67" s="86"/>
      <c r="O67" s="86"/>
      <c r="P67" s="86"/>
    </row>
    <row r="68" customFormat="false" ht="15" hidden="false" customHeight="false" outlineLevel="0" collapsed="false">
      <c r="A68" s="78" t="n">
        <v>64</v>
      </c>
      <c r="B68" s="88"/>
      <c r="C68" s="89"/>
      <c r="D68" s="89"/>
      <c r="E68" s="89"/>
      <c r="F68" s="89"/>
      <c r="G68" s="89"/>
      <c r="H68" s="89"/>
      <c r="I68" s="90"/>
      <c r="J68" s="89"/>
      <c r="K68" s="89"/>
      <c r="L68" s="89"/>
      <c r="M68" s="89"/>
      <c r="N68" s="89"/>
      <c r="O68" s="89"/>
      <c r="P68" s="89"/>
    </row>
    <row r="69" customFormat="false" ht="15" hidden="false" customHeight="false" outlineLevel="0" collapsed="false">
      <c r="A69" s="78" t="n">
        <v>65</v>
      </c>
      <c r="B69" s="85"/>
      <c r="C69" s="86"/>
      <c r="D69" s="86"/>
      <c r="E69" s="86"/>
      <c r="F69" s="86"/>
      <c r="G69" s="86"/>
      <c r="H69" s="86"/>
      <c r="I69" s="87"/>
      <c r="J69" s="86"/>
      <c r="K69" s="86"/>
      <c r="L69" s="86"/>
      <c r="M69" s="86"/>
      <c r="N69" s="86"/>
      <c r="O69" s="86"/>
      <c r="P69" s="86"/>
    </row>
    <row r="70" customFormat="false" ht="15" hidden="false" customHeight="false" outlineLevel="0" collapsed="false">
      <c r="A70" s="78" t="n">
        <v>66</v>
      </c>
      <c r="B70" s="88"/>
      <c r="C70" s="89"/>
      <c r="D70" s="89"/>
      <c r="E70" s="89"/>
      <c r="F70" s="89"/>
      <c r="G70" s="89"/>
      <c r="H70" s="89"/>
      <c r="I70" s="90"/>
      <c r="J70" s="89"/>
      <c r="K70" s="89"/>
      <c r="L70" s="89"/>
      <c r="M70" s="89"/>
      <c r="N70" s="89"/>
      <c r="O70" s="89"/>
      <c r="P70" s="89"/>
    </row>
    <row r="71" customFormat="false" ht="15" hidden="false" customHeight="false" outlineLevel="0" collapsed="false">
      <c r="A71" s="78" t="n">
        <v>67</v>
      </c>
      <c r="B71" s="85"/>
      <c r="C71" s="86"/>
      <c r="D71" s="86"/>
      <c r="E71" s="86"/>
      <c r="F71" s="86"/>
      <c r="G71" s="86"/>
      <c r="H71" s="86"/>
      <c r="I71" s="87"/>
      <c r="J71" s="86"/>
      <c r="K71" s="86"/>
      <c r="L71" s="86"/>
      <c r="M71" s="86"/>
      <c r="N71" s="86"/>
      <c r="O71" s="86"/>
      <c r="P71" s="86"/>
    </row>
    <row r="72" customFormat="false" ht="15" hidden="false" customHeight="false" outlineLevel="0" collapsed="false">
      <c r="A72" s="78" t="n">
        <v>68</v>
      </c>
      <c r="B72" s="88"/>
      <c r="C72" s="89"/>
      <c r="D72" s="89"/>
      <c r="E72" s="89"/>
      <c r="F72" s="89"/>
      <c r="G72" s="89"/>
      <c r="H72" s="89"/>
      <c r="I72" s="90"/>
      <c r="J72" s="89"/>
      <c r="K72" s="89"/>
      <c r="L72" s="89"/>
      <c r="M72" s="89"/>
      <c r="N72" s="89"/>
      <c r="O72" s="89"/>
      <c r="P72" s="89"/>
    </row>
    <row r="73" customFormat="false" ht="15" hidden="false" customHeight="false" outlineLevel="0" collapsed="false">
      <c r="A73" s="78" t="n">
        <v>69</v>
      </c>
      <c r="B73" s="85"/>
      <c r="C73" s="86"/>
      <c r="D73" s="86"/>
      <c r="E73" s="86"/>
      <c r="F73" s="86"/>
      <c r="G73" s="86"/>
      <c r="H73" s="86"/>
      <c r="I73" s="87"/>
      <c r="J73" s="86"/>
      <c r="K73" s="86"/>
      <c r="L73" s="86"/>
      <c r="M73" s="86"/>
      <c r="N73" s="86"/>
      <c r="O73" s="86"/>
      <c r="P73" s="86"/>
    </row>
    <row r="74" customFormat="false" ht="15" hidden="false" customHeight="false" outlineLevel="0" collapsed="false">
      <c r="A74" s="78" t="n">
        <v>70</v>
      </c>
      <c r="B74" s="88"/>
      <c r="C74" s="89"/>
      <c r="D74" s="89"/>
      <c r="E74" s="89"/>
      <c r="F74" s="89"/>
      <c r="G74" s="89"/>
      <c r="H74" s="89"/>
      <c r="I74" s="90"/>
      <c r="J74" s="89"/>
      <c r="K74" s="89"/>
      <c r="L74" s="89"/>
      <c r="M74" s="89"/>
      <c r="N74" s="89"/>
      <c r="O74" s="89"/>
      <c r="P74" s="89"/>
    </row>
    <row r="75" customFormat="false" ht="15" hidden="false" customHeight="false" outlineLevel="0" collapsed="false">
      <c r="A75" s="78" t="n">
        <v>71</v>
      </c>
      <c r="B75" s="85"/>
      <c r="C75" s="86"/>
      <c r="D75" s="86"/>
      <c r="E75" s="86"/>
      <c r="F75" s="86"/>
      <c r="G75" s="86"/>
      <c r="H75" s="86"/>
      <c r="I75" s="87"/>
      <c r="J75" s="86"/>
      <c r="K75" s="86"/>
      <c r="L75" s="86"/>
      <c r="M75" s="86"/>
      <c r="N75" s="86"/>
      <c r="O75" s="86"/>
      <c r="P75" s="86"/>
    </row>
    <row r="76" customFormat="false" ht="15" hidden="false" customHeight="false" outlineLevel="0" collapsed="false">
      <c r="A76" s="78" t="n">
        <v>72</v>
      </c>
      <c r="B76" s="88"/>
      <c r="C76" s="89"/>
      <c r="D76" s="89"/>
      <c r="E76" s="89"/>
      <c r="F76" s="89"/>
      <c r="G76" s="89"/>
      <c r="H76" s="89"/>
      <c r="I76" s="90"/>
      <c r="J76" s="89"/>
      <c r="K76" s="89"/>
      <c r="L76" s="89"/>
      <c r="M76" s="89"/>
      <c r="N76" s="89"/>
      <c r="O76" s="89"/>
      <c r="P76" s="89"/>
    </row>
    <row r="77" customFormat="false" ht="15" hidden="false" customHeight="false" outlineLevel="0" collapsed="false">
      <c r="A77" s="78" t="n">
        <v>73</v>
      </c>
      <c r="B77" s="85"/>
      <c r="C77" s="86"/>
      <c r="D77" s="86"/>
      <c r="E77" s="86"/>
      <c r="F77" s="86"/>
      <c r="G77" s="86"/>
      <c r="H77" s="86"/>
      <c r="I77" s="87"/>
      <c r="J77" s="86"/>
      <c r="K77" s="86"/>
      <c r="L77" s="86"/>
      <c r="M77" s="86"/>
      <c r="N77" s="86"/>
      <c r="O77" s="86"/>
      <c r="P77" s="86"/>
    </row>
    <row r="78" customFormat="false" ht="15" hidden="false" customHeight="false" outlineLevel="0" collapsed="false">
      <c r="A78" s="78" t="n">
        <v>74</v>
      </c>
      <c r="B78" s="88"/>
      <c r="C78" s="89"/>
      <c r="D78" s="89"/>
      <c r="E78" s="89"/>
      <c r="F78" s="89"/>
      <c r="G78" s="89"/>
      <c r="H78" s="89"/>
      <c r="I78" s="90"/>
      <c r="J78" s="89"/>
      <c r="K78" s="89"/>
      <c r="L78" s="89"/>
      <c r="M78" s="89"/>
      <c r="N78" s="89"/>
      <c r="O78" s="89"/>
      <c r="P78" s="89"/>
    </row>
    <row r="79" customFormat="false" ht="15" hidden="false" customHeight="false" outlineLevel="0" collapsed="false">
      <c r="A79" s="78" t="n">
        <v>75</v>
      </c>
      <c r="B79" s="85"/>
      <c r="C79" s="86"/>
      <c r="D79" s="86"/>
      <c r="E79" s="86"/>
      <c r="F79" s="86"/>
      <c r="G79" s="86"/>
      <c r="H79" s="86"/>
      <c r="I79" s="87"/>
      <c r="J79" s="86"/>
      <c r="K79" s="86"/>
      <c r="L79" s="86"/>
      <c r="M79" s="86"/>
      <c r="N79" s="86"/>
      <c r="O79" s="86"/>
      <c r="P79" s="86"/>
    </row>
    <row r="80" customFormat="false" ht="15" hidden="false" customHeight="false" outlineLevel="0" collapsed="false">
      <c r="A80" s="78" t="n">
        <v>76</v>
      </c>
      <c r="B80" s="88"/>
      <c r="C80" s="89"/>
      <c r="D80" s="89"/>
      <c r="E80" s="89"/>
      <c r="F80" s="89"/>
      <c r="G80" s="89"/>
      <c r="H80" s="89"/>
      <c r="I80" s="90"/>
      <c r="J80" s="89"/>
      <c r="K80" s="89"/>
      <c r="L80" s="89"/>
      <c r="M80" s="89"/>
      <c r="N80" s="89"/>
      <c r="O80" s="89"/>
      <c r="P80" s="89"/>
    </row>
    <row r="81" customFormat="false" ht="15" hidden="false" customHeight="false" outlineLevel="0" collapsed="false">
      <c r="A81" s="78" t="n">
        <v>77</v>
      </c>
      <c r="B81" s="85"/>
      <c r="C81" s="86"/>
      <c r="D81" s="86"/>
      <c r="E81" s="86"/>
      <c r="F81" s="86"/>
      <c r="G81" s="86"/>
      <c r="H81" s="86"/>
      <c r="I81" s="87"/>
      <c r="J81" s="86"/>
      <c r="K81" s="86"/>
      <c r="L81" s="86"/>
      <c r="M81" s="86"/>
      <c r="N81" s="86"/>
      <c r="O81" s="86"/>
      <c r="P81" s="86"/>
    </row>
    <row r="82" customFormat="false" ht="15" hidden="false" customHeight="false" outlineLevel="0" collapsed="false">
      <c r="A82" s="78" t="n">
        <v>78</v>
      </c>
      <c r="B82" s="88"/>
      <c r="C82" s="89"/>
      <c r="D82" s="89"/>
      <c r="E82" s="89"/>
      <c r="F82" s="89"/>
      <c r="G82" s="89"/>
      <c r="H82" s="89"/>
      <c r="I82" s="90"/>
      <c r="J82" s="89"/>
      <c r="K82" s="89"/>
      <c r="L82" s="89"/>
      <c r="M82" s="89"/>
      <c r="N82" s="89"/>
      <c r="O82" s="89"/>
      <c r="P82" s="89"/>
    </row>
    <row r="83" customFormat="false" ht="15" hidden="false" customHeight="false" outlineLevel="0" collapsed="false">
      <c r="A83" s="78" t="n">
        <v>79</v>
      </c>
      <c r="B83" s="85"/>
      <c r="C83" s="86"/>
      <c r="D83" s="86"/>
      <c r="E83" s="86"/>
      <c r="F83" s="86"/>
      <c r="G83" s="86"/>
      <c r="H83" s="86"/>
      <c r="I83" s="87"/>
      <c r="J83" s="86"/>
      <c r="K83" s="86"/>
      <c r="L83" s="86"/>
      <c r="M83" s="86"/>
      <c r="N83" s="86"/>
      <c r="O83" s="86"/>
      <c r="P83" s="86"/>
    </row>
    <row r="84" customFormat="false" ht="15" hidden="false" customHeight="false" outlineLevel="0" collapsed="false">
      <c r="A84" s="78" t="n">
        <v>80</v>
      </c>
      <c r="B84" s="88"/>
      <c r="C84" s="89"/>
      <c r="D84" s="89"/>
      <c r="E84" s="89"/>
      <c r="F84" s="89"/>
      <c r="G84" s="89"/>
      <c r="H84" s="89"/>
      <c r="I84" s="90"/>
      <c r="J84" s="89"/>
      <c r="K84" s="89"/>
      <c r="L84" s="89"/>
      <c r="M84" s="89"/>
      <c r="N84" s="89"/>
      <c r="O84" s="89"/>
      <c r="P84" s="89"/>
    </row>
    <row r="85" customFormat="false" ht="15" hidden="false" customHeight="false" outlineLevel="0" collapsed="false">
      <c r="A85" s="78" t="n">
        <v>81</v>
      </c>
      <c r="B85" s="85"/>
      <c r="C85" s="86"/>
      <c r="D85" s="86"/>
      <c r="E85" s="86"/>
      <c r="F85" s="86"/>
      <c r="G85" s="86"/>
      <c r="H85" s="86"/>
      <c r="I85" s="87"/>
      <c r="J85" s="86"/>
      <c r="K85" s="86"/>
      <c r="L85" s="86"/>
      <c r="M85" s="86"/>
      <c r="N85" s="86"/>
      <c r="O85" s="86"/>
      <c r="P85" s="86"/>
    </row>
    <row r="86" customFormat="false" ht="15" hidden="false" customHeight="false" outlineLevel="0" collapsed="false">
      <c r="A86" s="78" t="n">
        <v>82</v>
      </c>
      <c r="B86" s="88"/>
      <c r="C86" s="89"/>
      <c r="D86" s="89"/>
      <c r="E86" s="89"/>
      <c r="F86" s="89"/>
      <c r="G86" s="89"/>
      <c r="H86" s="89"/>
      <c r="I86" s="90"/>
      <c r="J86" s="89"/>
      <c r="K86" s="89"/>
      <c r="L86" s="89"/>
      <c r="M86" s="89"/>
      <c r="N86" s="89"/>
      <c r="O86" s="89"/>
      <c r="P86" s="89"/>
    </row>
    <row r="87" customFormat="false" ht="15" hidden="false" customHeight="false" outlineLevel="0" collapsed="false">
      <c r="A87" s="78" t="n">
        <v>83</v>
      </c>
      <c r="B87" s="85"/>
      <c r="C87" s="86"/>
      <c r="D87" s="86"/>
      <c r="E87" s="86"/>
      <c r="F87" s="86"/>
      <c r="G87" s="86"/>
      <c r="H87" s="86"/>
      <c r="I87" s="87"/>
      <c r="J87" s="86"/>
      <c r="K87" s="86"/>
      <c r="L87" s="86"/>
      <c r="M87" s="86"/>
      <c r="N87" s="86"/>
      <c r="O87" s="86"/>
      <c r="P87" s="86"/>
    </row>
    <row r="88" customFormat="false" ht="15" hidden="false" customHeight="false" outlineLevel="0" collapsed="false">
      <c r="A88" s="78" t="n">
        <v>84</v>
      </c>
      <c r="B88" s="88"/>
      <c r="C88" s="89"/>
      <c r="D88" s="89"/>
      <c r="E88" s="89"/>
      <c r="F88" s="89"/>
      <c r="G88" s="89"/>
      <c r="H88" s="89"/>
      <c r="I88" s="90"/>
      <c r="J88" s="89"/>
      <c r="K88" s="89"/>
      <c r="L88" s="89"/>
      <c r="M88" s="89"/>
      <c r="N88" s="89"/>
      <c r="O88" s="89"/>
      <c r="P88" s="89"/>
    </row>
    <row r="89" customFormat="false" ht="15" hidden="false" customHeight="false" outlineLevel="0" collapsed="false">
      <c r="A89" s="78" t="n">
        <v>85</v>
      </c>
      <c r="B89" s="85"/>
      <c r="C89" s="86"/>
      <c r="D89" s="86"/>
      <c r="E89" s="86"/>
      <c r="F89" s="86"/>
      <c r="G89" s="86"/>
      <c r="H89" s="86"/>
      <c r="I89" s="87"/>
      <c r="J89" s="86"/>
      <c r="K89" s="86"/>
      <c r="L89" s="86"/>
      <c r="M89" s="86"/>
      <c r="N89" s="86"/>
      <c r="O89" s="86"/>
      <c r="P89" s="86"/>
    </row>
    <row r="90" customFormat="false" ht="15" hidden="false" customHeight="false" outlineLevel="0" collapsed="false">
      <c r="A90" s="78" t="n">
        <v>86</v>
      </c>
      <c r="B90" s="88"/>
      <c r="C90" s="89"/>
      <c r="D90" s="89"/>
      <c r="E90" s="89"/>
      <c r="F90" s="89"/>
      <c r="G90" s="89"/>
      <c r="H90" s="89"/>
      <c r="I90" s="90"/>
      <c r="J90" s="89"/>
      <c r="K90" s="89"/>
      <c r="L90" s="89"/>
      <c r="M90" s="89"/>
      <c r="N90" s="89"/>
      <c r="O90" s="89"/>
      <c r="P90" s="89"/>
    </row>
    <row r="91" customFormat="false" ht="15" hidden="false" customHeight="false" outlineLevel="0" collapsed="false">
      <c r="A91" s="78" t="n">
        <v>87</v>
      </c>
      <c r="B91" s="85"/>
      <c r="C91" s="86"/>
      <c r="D91" s="86"/>
      <c r="E91" s="86"/>
      <c r="F91" s="86"/>
      <c r="G91" s="86"/>
      <c r="H91" s="86"/>
      <c r="I91" s="87"/>
      <c r="J91" s="86"/>
      <c r="K91" s="86"/>
      <c r="L91" s="86"/>
      <c r="M91" s="86"/>
      <c r="N91" s="86"/>
      <c r="O91" s="86"/>
      <c r="P91" s="86"/>
    </row>
    <row r="92" customFormat="false" ht="15" hidden="false" customHeight="false" outlineLevel="0" collapsed="false">
      <c r="A92" s="78" t="n">
        <v>88</v>
      </c>
      <c r="B92" s="88"/>
      <c r="C92" s="89"/>
      <c r="D92" s="89"/>
      <c r="E92" s="89"/>
      <c r="F92" s="89"/>
      <c r="G92" s="89"/>
      <c r="H92" s="89"/>
      <c r="I92" s="90"/>
      <c r="J92" s="89"/>
      <c r="K92" s="89"/>
      <c r="L92" s="89"/>
      <c r="M92" s="89"/>
      <c r="N92" s="89"/>
      <c r="O92" s="89"/>
      <c r="P92" s="89"/>
    </row>
    <row r="93" customFormat="false" ht="15" hidden="false" customHeight="false" outlineLevel="0" collapsed="false">
      <c r="A93" s="78" t="n">
        <v>89</v>
      </c>
      <c r="B93" s="85"/>
      <c r="C93" s="86"/>
      <c r="D93" s="86"/>
      <c r="E93" s="86"/>
      <c r="F93" s="86"/>
      <c r="G93" s="86"/>
      <c r="H93" s="86"/>
      <c r="I93" s="87"/>
      <c r="J93" s="86"/>
      <c r="K93" s="86"/>
      <c r="L93" s="86"/>
      <c r="M93" s="86"/>
      <c r="N93" s="86"/>
      <c r="O93" s="86"/>
      <c r="P93" s="86"/>
    </row>
    <row r="94" customFormat="false" ht="15" hidden="false" customHeight="false" outlineLevel="0" collapsed="false">
      <c r="A94" s="78" t="n">
        <v>90</v>
      </c>
      <c r="B94" s="88"/>
      <c r="C94" s="89"/>
      <c r="D94" s="89"/>
      <c r="E94" s="89"/>
      <c r="F94" s="89"/>
      <c r="G94" s="89"/>
      <c r="H94" s="89"/>
      <c r="I94" s="90"/>
      <c r="J94" s="89"/>
      <c r="K94" s="89"/>
      <c r="L94" s="89"/>
      <c r="M94" s="89"/>
      <c r="N94" s="89"/>
      <c r="O94" s="89"/>
      <c r="P94" s="89"/>
    </row>
    <row r="95" customFormat="false" ht="15" hidden="false" customHeight="false" outlineLevel="0" collapsed="false">
      <c r="A95" s="78" t="n">
        <v>91</v>
      </c>
      <c r="B95" s="85"/>
      <c r="C95" s="86"/>
      <c r="D95" s="86"/>
      <c r="E95" s="86"/>
      <c r="F95" s="86"/>
      <c r="G95" s="86"/>
      <c r="H95" s="86"/>
      <c r="I95" s="87"/>
      <c r="J95" s="86"/>
      <c r="K95" s="86"/>
      <c r="L95" s="86"/>
      <c r="M95" s="86"/>
      <c r="N95" s="86"/>
      <c r="O95" s="86"/>
      <c r="P95" s="86"/>
    </row>
    <row r="96" customFormat="false" ht="15" hidden="false" customHeight="false" outlineLevel="0" collapsed="false">
      <c r="A96" s="78" t="n">
        <v>92</v>
      </c>
      <c r="B96" s="88"/>
      <c r="C96" s="89"/>
      <c r="D96" s="89"/>
      <c r="E96" s="89"/>
      <c r="F96" s="89"/>
      <c r="G96" s="89"/>
      <c r="H96" s="89"/>
      <c r="I96" s="90"/>
      <c r="J96" s="89"/>
      <c r="K96" s="89"/>
      <c r="L96" s="89"/>
      <c r="M96" s="89"/>
      <c r="N96" s="89"/>
      <c r="O96" s="89"/>
      <c r="P96" s="89"/>
    </row>
    <row r="97" customFormat="false" ht="15" hidden="false" customHeight="false" outlineLevel="0" collapsed="false">
      <c r="A97" s="78" t="n">
        <v>93</v>
      </c>
      <c r="B97" s="85"/>
      <c r="C97" s="86"/>
      <c r="D97" s="86"/>
      <c r="E97" s="86"/>
      <c r="F97" s="86"/>
      <c r="G97" s="86"/>
      <c r="H97" s="86"/>
      <c r="I97" s="87"/>
      <c r="J97" s="86"/>
      <c r="K97" s="86"/>
      <c r="L97" s="86"/>
      <c r="M97" s="86"/>
      <c r="N97" s="86"/>
      <c r="O97" s="86"/>
      <c r="P97" s="86"/>
    </row>
    <row r="98" customFormat="false" ht="15" hidden="false" customHeight="false" outlineLevel="0" collapsed="false">
      <c r="A98" s="78" t="n">
        <v>94</v>
      </c>
      <c r="B98" s="88"/>
      <c r="C98" s="89"/>
      <c r="D98" s="89"/>
      <c r="E98" s="89"/>
      <c r="F98" s="89"/>
      <c r="G98" s="89"/>
      <c r="H98" s="89"/>
      <c r="I98" s="90"/>
      <c r="J98" s="89"/>
      <c r="K98" s="89"/>
      <c r="L98" s="89"/>
      <c r="M98" s="89"/>
      <c r="N98" s="89"/>
      <c r="O98" s="89"/>
      <c r="P98" s="89"/>
    </row>
    <row r="99" customFormat="false" ht="15" hidden="false" customHeight="false" outlineLevel="0" collapsed="false">
      <c r="A99" s="78" t="n">
        <v>95</v>
      </c>
      <c r="B99" s="85"/>
      <c r="C99" s="86"/>
      <c r="D99" s="86"/>
      <c r="E99" s="86"/>
      <c r="F99" s="86"/>
      <c r="G99" s="86"/>
      <c r="H99" s="86"/>
      <c r="I99" s="87"/>
      <c r="J99" s="86"/>
      <c r="K99" s="86"/>
      <c r="L99" s="86"/>
      <c r="M99" s="86"/>
      <c r="N99" s="86"/>
      <c r="O99" s="86"/>
      <c r="P99" s="86"/>
    </row>
    <row r="100" customFormat="false" ht="15" hidden="false" customHeight="false" outlineLevel="0" collapsed="false">
      <c r="A100" s="78" t="n">
        <v>96</v>
      </c>
      <c r="B100" s="88"/>
      <c r="C100" s="89"/>
      <c r="D100" s="89"/>
      <c r="E100" s="89"/>
      <c r="F100" s="89"/>
      <c r="G100" s="89"/>
      <c r="H100" s="89"/>
      <c r="I100" s="90"/>
      <c r="J100" s="89"/>
      <c r="K100" s="89"/>
      <c r="L100" s="89"/>
      <c r="M100" s="89"/>
      <c r="N100" s="89"/>
      <c r="O100" s="89"/>
      <c r="P100" s="89"/>
    </row>
    <row r="101" customFormat="false" ht="15" hidden="false" customHeight="false" outlineLevel="0" collapsed="false">
      <c r="A101" s="78" t="n">
        <v>97</v>
      </c>
      <c r="B101" s="85"/>
      <c r="C101" s="86"/>
      <c r="D101" s="86"/>
      <c r="E101" s="86"/>
      <c r="F101" s="86"/>
      <c r="G101" s="86"/>
      <c r="H101" s="86"/>
      <c r="I101" s="87"/>
      <c r="J101" s="86"/>
      <c r="K101" s="86"/>
      <c r="L101" s="86"/>
      <c r="M101" s="86"/>
      <c r="N101" s="86"/>
      <c r="O101" s="86"/>
      <c r="P101" s="86"/>
    </row>
    <row r="102" customFormat="false" ht="15" hidden="false" customHeight="false" outlineLevel="0" collapsed="false">
      <c r="A102" s="78" t="n">
        <v>98</v>
      </c>
      <c r="B102" s="88"/>
      <c r="C102" s="89"/>
      <c r="D102" s="89"/>
      <c r="E102" s="89"/>
      <c r="F102" s="89"/>
      <c r="G102" s="89"/>
      <c r="H102" s="89"/>
      <c r="I102" s="90"/>
      <c r="J102" s="89"/>
      <c r="K102" s="89"/>
      <c r="L102" s="89"/>
      <c r="M102" s="89"/>
      <c r="N102" s="89"/>
      <c r="O102" s="89"/>
      <c r="P102" s="89"/>
    </row>
    <row r="103" customFormat="false" ht="15" hidden="false" customHeight="false" outlineLevel="0" collapsed="false">
      <c r="A103" s="78" t="n">
        <v>99</v>
      </c>
      <c r="B103" s="85"/>
      <c r="C103" s="86"/>
      <c r="D103" s="86"/>
      <c r="E103" s="86"/>
      <c r="F103" s="86"/>
      <c r="G103" s="86"/>
      <c r="H103" s="86"/>
      <c r="I103" s="87"/>
      <c r="J103" s="86"/>
      <c r="K103" s="86"/>
      <c r="L103" s="86"/>
      <c r="M103" s="86"/>
      <c r="N103" s="86"/>
      <c r="O103" s="86"/>
      <c r="P103" s="86"/>
    </row>
    <row r="104" customFormat="false" ht="15" hidden="false" customHeight="false" outlineLevel="0" collapsed="false">
      <c r="A104" s="78" t="n">
        <v>100</v>
      </c>
      <c r="B104" s="88"/>
      <c r="C104" s="89"/>
      <c r="D104" s="89"/>
      <c r="E104" s="89"/>
      <c r="F104" s="89"/>
      <c r="G104" s="89"/>
      <c r="H104" s="89"/>
      <c r="I104" s="90"/>
      <c r="J104" s="89"/>
      <c r="K104" s="89"/>
      <c r="L104" s="89"/>
      <c r="M104" s="89"/>
      <c r="N104" s="89"/>
      <c r="O104" s="89"/>
      <c r="P104" s="89"/>
    </row>
    <row r="105" customFormat="false" ht="15" hidden="false" customHeight="false" outlineLevel="0" collapsed="false">
      <c r="A105" s="78" t="n">
        <v>101</v>
      </c>
      <c r="B105" s="85"/>
      <c r="C105" s="86"/>
      <c r="D105" s="86"/>
      <c r="E105" s="86"/>
      <c r="F105" s="86"/>
      <c r="G105" s="86"/>
      <c r="H105" s="86"/>
      <c r="I105" s="87"/>
      <c r="J105" s="86"/>
      <c r="K105" s="86"/>
      <c r="L105" s="86"/>
      <c r="M105" s="86"/>
      <c r="N105" s="86"/>
      <c r="O105" s="86"/>
      <c r="P105" s="86"/>
    </row>
    <row r="106" customFormat="false" ht="15" hidden="false" customHeight="false" outlineLevel="0" collapsed="false">
      <c r="A106" s="78" t="n">
        <v>102</v>
      </c>
      <c r="B106" s="88"/>
      <c r="C106" s="89"/>
      <c r="D106" s="89"/>
      <c r="E106" s="89"/>
      <c r="F106" s="89"/>
      <c r="G106" s="89"/>
      <c r="H106" s="89"/>
      <c r="I106" s="90"/>
      <c r="J106" s="89"/>
      <c r="K106" s="89"/>
      <c r="L106" s="89"/>
      <c r="M106" s="89"/>
      <c r="N106" s="89"/>
      <c r="O106" s="89"/>
      <c r="P106" s="89"/>
    </row>
    <row r="107" customFormat="false" ht="15" hidden="false" customHeight="false" outlineLevel="0" collapsed="false">
      <c r="A107" s="78" t="n">
        <v>103</v>
      </c>
      <c r="B107" s="85"/>
      <c r="C107" s="86"/>
      <c r="D107" s="86"/>
      <c r="E107" s="86"/>
      <c r="F107" s="86"/>
      <c r="G107" s="86"/>
      <c r="H107" s="86"/>
      <c r="I107" s="87"/>
      <c r="J107" s="86"/>
      <c r="K107" s="86"/>
      <c r="L107" s="86"/>
      <c r="M107" s="86"/>
      <c r="N107" s="86"/>
      <c r="O107" s="86"/>
      <c r="P107" s="86"/>
    </row>
    <row r="108" customFormat="false" ht="15" hidden="false" customHeight="false" outlineLevel="0" collapsed="false">
      <c r="A108" s="78" t="n">
        <v>104</v>
      </c>
      <c r="B108" s="88"/>
      <c r="C108" s="89"/>
      <c r="D108" s="89"/>
      <c r="E108" s="89"/>
      <c r="F108" s="89"/>
      <c r="G108" s="89"/>
      <c r="H108" s="89"/>
      <c r="I108" s="90"/>
      <c r="J108" s="89"/>
      <c r="K108" s="89"/>
      <c r="L108" s="89"/>
      <c r="M108" s="89"/>
      <c r="N108" s="89"/>
      <c r="O108" s="89"/>
      <c r="P108" s="89"/>
    </row>
    <row r="109" customFormat="false" ht="15" hidden="false" customHeight="false" outlineLevel="0" collapsed="false">
      <c r="A109" s="78" t="n">
        <v>105</v>
      </c>
      <c r="B109" s="85"/>
      <c r="C109" s="86"/>
      <c r="D109" s="86"/>
      <c r="E109" s="86"/>
      <c r="F109" s="86"/>
      <c r="G109" s="86"/>
      <c r="H109" s="86"/>
      <c r="I109" s="87"/>
      <c r="J109" s="86"/>
      <c r="K109" s="86"/>
      <c r="L109" s="86"/>
      <c r="M109" s="86"/>
      <c r="N109" s="86"/>
      <c r="O109" s="86"/>
      <c r="P109" s="86"/>
    </row>
    <row r="110" customFormat="false" ht="15" hidden="false" customHeight="false" outlineLevel="0" collapsed="false">
      <c r="A110" s="78" t="n">
        <v>106</v>
      </c>
      <c r="B110" s="88"/>
      <c r="C110" s="89"/>
      <c r="D110" s="89"/>
      <c r="E110" s="89"/>
      <c r="F110" s="89"/>
      <c r="G110" s="89"/>
      <c r="H110" s="89"/>
      <c r="I110" s="90"/>
      <c r="J110" s="89"/>
      <c r="K110" s="89"/>
      <c r="L110" s="89"/>
      <c r="M110" s="89"/>
      <c r="N110" s="89"/>
      <c r="O110" s="89"/>
      <c r="P110" s="89"/>
    </row>
    <row r="111" customFormat="false" ht="15" hidden="false" customHeight="false" outlineLevel="0" collapsed="false">
      <c r="A111" s="78" t="n">
        <v>107</v>
      </c>
      <c r="B111" s="85"/>
      <c r="C111" s="86"/>
      <c r="D111" s="86"/>
      <c r="E111" s="86"/>
      <c r="F111" s="86"/>
      <c r="G111" s="86"/>
      <c r="H111" s="86"/>
      <c r="I111" s="87"/>
      <c r="J111" s="86"/>
      <c r="K111" s="86"/>
      <c r="L111" s="86"/>
      <c r="M111" s="86"/>
      <c r="N111" s="86"/>
      <c r="O111" s="86"/>
      <c r="P111" s="86"/>
    </row>
    <row r="112" customFormat="false" ht="15" hidden="false" customHeight="false" outlineLevel="0" collapsed="false">
      <c r="A112" s="78" t="n">
        <v>108</v>
      </c>
      <c r="B112" s="88"/>
      <c r="C112" s="89"/>
      <c r="D112" s="89"/>
      <c r="E112" s="89"/>
      <c r="F112" s="89"/>
      <c r="G112" s="89"/>
      <c r="H112" s="89"/>
      <c r="I112" s="90"/>
      <c r="J112" s="89"/>
      <c r="K112" s="89"/>
      <c r="L112" s="89"/>
      <c r="M112" s="89"/>
      <c r="N112" s="89"/>
      <c r="O112" s="89"/>
      <c r="P112" s="89"/>
    </row>
    <row r="113" customFormat="false" ht="15" hidden="false" customHeight="false" outlineLevel="0" collapsed="false">
      <c r="A113" s="78" t="n">
        <v>109</v>
      </c>
      <c r="B113" s="85"/>
      <c r="C113" s="86"/>
      <c r="D113" s="86"/>
      <c r="E113" s="86"/>
      <c r="F113" s="86"/>
      <c r="G113" s="86"/>
      <c r="H113" s="86"/>
      <c r="I113" s="87"/>
      <c r="J113" s="86"/>
      <c r="K113" s="86"/>
      <c r="L113" s="86"/>
      <c r="M113" s="86"/>
      <c r="N113" s="86"/>
      <c r="O113" s="86"/>
      <c r="P113" s="86"/>
    </row>
    <row r="114" customFormat="false" ht="15" hidden="false" customHeight="false" outlineLevel="0" collapsed="false">
      <c r="A114" s="78" t="n">
        <v>110</v>
      </c>
      <c r="B114" s="88"/>
      <c r="C114" s="89"/>
      <c r="D114" s="89"/>
      <c r="E114" s="89"/>
      <c r="F114" s="89"/>
      <c r="G114" s="89"/>
      <c r="H114" s="89"/>
      <c r="I114" s="90"/>
      <c r="J114" s="89"/>
      <c r="K114" s="89"/>
      <c r="L114" s="89"/>
      <c r="M114" s="89"/>
      <c r="N114" s="89"/>
      <c r="O114" s="89"/>
      <c r="P114" s="89"/>
    </row>
    <row r="115" customFormat="false" ht="15" hidden="false" customHeight="false" outlineLevel="0" collapsed="false">
      <c r="A115" s="78" t="n">
        <v>111</v>
      </c>
      <c r="B115" s="85"/>
      <c r="C115" s="86"/>
      <c r="D115" s="86"/>
      <c r="E115" s="86"/>
      <c r="F115" s="86"/>
      <c r="G115" s="86"/>
      <c r="H115" s="86"/>
      <c r="I115" s="87"/>
      <c r="J115" s="86"/>
      <c r="K115" s="86"/>
      <c r="L115" s="86"/>
      <c r="M115" s="86"/>
      <c r="N115" s="86"/>
      <c r="O115" s="86"/>
      <c r="P115" s="86"/>
    </row>
    <row r="116" customFormat="false" ht="15" hidden="false" customHeight="false" outlineLevel="0" collapsed="false">
      <c r="A116" s="78" t="n">
        <v>112</v>
      </c>
      <c r="B116" s="88"/>
      <c r="C116" s="89"/>
      <c r="D116" s="89"/>
      <c r="E116" s="89"/>
      <c r="F116" s="89"/>
      <c r="G116" s="89"/>
      <c r="H116" s="89"/>
      <c r="I116" s="90"/>
      <c r="J116" s="89"/>
      <c r="K116" s="89"/>
      <c r="L116" s="89"/>
      <c r="M116" s="89"/>
      <c r="N116" s="89"/>
      <c r="O116" s="89"/>
      <c r="P116" s="89"/>
    </row>
    <row r="117" customFormat="false" ht="15" hidden="false" customHeight="false" outlineLevel="0" collapsed="false">
      <c r="A117" s="78" t="n">
        <v>113</v>
      </c>
      <c r="B117" s="85"/>
      <c r="C117" s="86"/>
      <c r="D117" s="86"/>
      <c r="E117" s="86"/>
      <c r="F117" s="86"/>
      <c r="G117" s="86"/>
      <c r="H117" s="86"/>
      <c r="I117" s="87"/>
      <c r="J117" s="86"/>
      <c r="K117" s="86"/>
      <c r="L117" s="86"/>
      <c r="M117" s="86"/>
      <c r="N117" s="86"/>
      <c r="O117" s="86"/>
      <c r="P117" s="86"/>
    </row>
    <row r="118" customFormat="false" ht="15" hidden="false" customHeight="false" outlineLevel="0" collapsed="false">
      <c r="A118" s="78" t="n">
        <v>114</v>
      </c>
      <c r="B118" s="88"/>
      <c r="C118" s="89"/>
      <c r="D118" s="89"/>
      <c r="E118" s="89"/>
      <c r="F118" s="89"/>
      <c r="G118" s="89"/>
      <c r="H118" s="89"/>
      <c r="I118" s="90"/>
      <c r="J118" s="89"/>
      <c r="K118" s="89"/>
      <c r="L118" s="89"/>
      <c r="M118" s="89"/>
      <c r="N118" s="89"/>
      <c r="O118" s="89"/>
      <c r="P118" s="89"/>
    </row>
    <row r="119" customFormat="false" ht="15" hidden="false" customHeight="false" outlineLevel="0" collapsed="false">
      <c r="A119" s="78" t="n">
        <v>115</v>
      </c>
      <c r="B119" s="85"/>
      <c r="C119" s="86"/>
      <c r="D119" s="86"/>
      <c r="E119" s="86"/>
      <c r="F119" s="86"/>
      <c r="G119" s="86"/>
      <c r="H119" s="86"/>
      <c r="I119" s="87"/>
      <c r="J119" s="86"/>
      <c r="K119" s="86"/>
      <c r="L119" s="86"/>
      <c r="M119" s="86"/>
      <c r="N119" s="86"/>
      <c r="O119" s="86"/>
      <c r="P119" s="86"/>
    </row>
    <row r="120" customFormat="false" ht="15" hidden="false" customHeight="false" outlineLevel="0" collapsed="false">
      <c r="A120" s="78" t="n">
        <v>116</v>
      </c>
      <c r="B120" s="88"/>
      <c r="C120" s="89"/>
      <c r="D120" s="89"/>
      <c r="E120" s="89"/>
      <c r="F120" s="89"/>
      <c r="G120" s="89"/>
      <c r="H120" s="89"/>
      <c r="I120" s="90"/>
      <c r="J120" s="89"/>
      <c r="K120" s="89"/>
      <c r="L120" s="89"/>
      <c r="M120" s="89"/>
      <c r="N120" s="89"/>
      <c r="O120" s="89"/>
      <c r="P120" s="89"/>
    </row>
    <row r="121" customFormat="false" ht="15" hidden="false" customHeight="false" outlineLevel="0" collapsed="false">
      <c r="A121" s="78" t="n">
        <v>117</v>
      </c>
      <c r="B121" s="85"/>
      <c r="C121" s="86"/>
      <c r="D121" s="86"/>
      <c r="E121" s="86"/>
      <c r="F121" s="86"/>
      <c r="G121" s="86"/>
      <c r="H121" s="86"/>
      <c r="I121" s="87"/>
      <c r="J121" s="86"/>
      <c r="K121" s="86"/>
      <c r="L121" s="86"/>
      <c r="M121" s="86"/>
      <c r="N121" s="86"/>
      <c r="O121" s="86"/>
      <c r="P121" s="86"/>
    </row>
    <row r="122" customFormat="false" ht="15" hidden="false" customHeight="false" outlineLevel="0" collapsed="false">
      <c r="A122" s="78" t="n">
        <v>118</v>
      </c>
      <c r="B122" s="88"/>
      <c r="C122" s="89"/>
      <c r="D122" s="89"/>
      <c r="E122" s="89"/>
      <c r="F122" s="89"/>
      <c r="G122" s="89"/>
      <c r="H122" s="89"/>
      <c r="I122" s="90"/>
      <c r="J122" s="89"/>
      <c r="K122" s="89"/>
      <c r="L122" s="89"/>
      <c r="M122" s="89"/>
      <c r="N122" s="89"/>
      <c r="O122" s="89"/>
      <c r="P122" s="89"/>
    </row>
    <row r="123" customFormat="false" ht="15" hidden="false" customHeight="false" outlineLevel="0" collapsed="false">
      <c r="A123" s="78" t="n">
        <v>119</v>
      </c>
      <c r="B123" s="85"/>
      <c r="C123" s="86"/>
      <c r="D123" s="86"/>
      <c r="E123" s="86"/>
      <c r="F123" s="86"/>
      <c r="G123" s="86"/>
      <c r="H123" s="86"/>
      <c r="I123" s="87"/>
      <c r="J123" s="86"/>
      <c r="K123" s="86"/>
      <c r="L123" s="86"/>
      <c r="M123" s="86"/>
      <c r="N123" s="86"/>
      <c r="O123" s="86"/>
      <c r="P123" s="86"/>
    </row>
    <row r="124" customFormat="false" ht="15" hidden="false" customHeight="false" outlineLevel="0" collapsed="false">
      <c r="A124" s="78" t="n">
        <v>120</v>
      </c>
      <c r="B124" s="88"/>
      <c r="C124" s="89"/>
      <c r="D124" s="89"/>
      <c r="E124" s="89"/>
      <c r="F124" s="89"/>
      <c r="G124" s="89"/>
      <c r="H124" s="89"/>
      <c r="I124" s="90"/>
      <c r="J124" s="89"/>
      <c r="K124" s="89"/>
      <c r="L124" s="89"/>
      <c r="M124" s="89"/>
      <c r="N124" s="89"/>
      <c r="O124" s="89"/>
      <c r="P124" s="89"/>
    </row>
    <row r="125" customFormat="false" ht="15" hidden="false" customHeight="false" outlineLevel="0" collapsed="false">
      <c r="A125" s="78" t="n">
        <v>121</v>
      </c>
      <c r="B125" s="85"/>
      <c r="C125" s="86"/>
      <c r="D125" s="86"/>
      <c r="E125" s="86"/>
      <c r="F125" s="86"/>
      <c r="G125" s="86"/>
      <c r="H125" s="86"/>
      <c r="I125" s="87"/>
      <c r="J125" s="86"/>
      <c r="K125" s="86"/>
      <c r="L125" s="86"/>
      <c r="M125" s="86"/>
      <c r="N125" s="86"/>
      <c r="O125" s="86"/>
      <c r="P125" s="86"/>
    </row>
    <row r="126" customFormat="false" ht="15" hidden="false" customHeight="false" outlineLevel="0" collapsed="false">
      <c r="A126" s="78" t="n">
        <v>122</v>
      </c>
      <c r="B126" s="88"/>
      <c r="C126" s="89"/>
      <c r="D126" s="89"/>
      <c r="E126" s="89"/>
      <c r="F126" s="89"/>
      <c r="G126" s="89"/>
      <c r="H126" s="89"/>
      <c r="I126" s="90"/>
      <c r="J126" s="89"/>
      <c r="K126" s="89"/>
      <c r="L126" s="89"/>
      <c r="M126" s="89"/>
      <c r="N126" s="89"/>
      <c r="O126" s="89"/>
      <c r="P126" s="89"/>
    </row>
    <row r="127" customFormat="false" ht="15" hidden="false" customHeight="false" outlineLevel="0" collapsed="false">
      <c r="A127" s="78" t="n">
        <v>123</v>
      </c>
      <c r="B127" s="85"/>
      <c r="C127" s="86"/>
      <c r="D127" s="86"/>
      <c r="E127" s="86"/>
      <c r="F127" s="86"/>
      <c r="G127" s="86"/>
      <c r="H127" s="86"/>
      <c r="I127" s="87"/>
      <c r="J127" s="86"/>
      <c r="K127" s="86"/>
      <c r="L127" s="86"/>
      <c r="M127" s="86"/>
      <c r="N127" s="86"/>
      <c r="O127" s="86"/>
      <c r="P127" s="86"/>
    </row>
    <row r="128" customFormat="false" ht="15" hidden="false" customHeight="false" outlineLevel="0" collapsed="false">
      <c r="A128" s="78" t="n">
        <v>124</v>
      </c>
      <c r="B128" s="88"/>
      <c r="C128" s="89"/>
      <c r="D128" s="89"/>
      <c r="E128" s="89"/>
      <c r="F128" s="89"/>
      <c r="G128" s="89"/>
      <c r="H128" s="89"/>
      <c r="I128" s="90"/>
      <c r="J128" s="89"/>
      <c r="K128" s="89"/>
      <c r="L128" s="89"/>
      <c r="M128" s="89"/>
      <c r="N128" s="89"/>
      <c r="O128" s="89"/>
      <c r="P128" s="89"/>
    </row>
    <row r="129" customFormat="false" ht="15" hidden="false" customHeight="false" outlineLevel="0" collapsed="false">
      <c r="A129" s="78" t="n">
        <v>125</v>
      </c>
      <c r="B129" s="85"/>
      <c r="C129" s="86"/>
      <c r="D129" s="86"/>
      <c r="E129" s="86"/>
      <c r="F129" s="86"/>
      <c r="G129" s="86"/>
      <c r="H129" s="86"/>
      <c r="I129" s="87"/>
      <c r="J129" s="86"/>
      <c r="K129" s="86"/>
      <c r="L129" s="86"/>
      <c r="M129" s="86"/>
      <c r="N129" s="86"/>
      <c r="O129" s="86"/>
      <c r="P129" s="86"/>
    </row>
    <row r="130" customFormat="false" ht="15" hidden="false" customHeight="false" outlineLevel="0" collapsed="false">
      <c r="A130" s="78" t="n">
        <v>126</v>
      </c>
      <c r="B130" s="88"/>
      <c r="C130" s="89"/>
      <c r="D130" s="89"/>
      <c r="E130" s="89"/>
      <c r="F130" s="89"/>
      <c r="G130" s="89"/>
      <c r="H130" s="89"/>
      <c r="I130" s="90"/>
      <c r="J130" s="89"/>
      <c r="K130" s="89"/>
      <c r="L130" s="89"/>
      <c r="M130" s="89"/>
      <c r="N130" s="89"/>
      <c r="O130" s="89"/>
      <c r="P130" s="89"/>
    </row>
    <row r="131" customFormat="false" ht="15" hidden="false" customHeight="false" outlineLevel="0" collapsed="false">
      <c r="A131" s="78" t="n">
        <v>127</v>
      </c>
      <c r="B131" s="85"/>
      <c r="C131" s="86"/>
      <c r="D131" s="86"/>
      <c r="E131" s="86"/>
      <c r="F131" s="86"/>
      <c r="G131" s="86"/>
      <c r="H131" s="86"/>
      <c r="I131" s="87"/>
      <c r="J131" s="86"/>
      <c r="K131" s="86"/>
      <c r="L131" s="86"/>
      <c r="M131" s="86"/>
      <c r="N131" s="86"/>
      <c r="O131" s="86"/>
      <c r="P131" s="86"/>
    </row>
    <row r="132" customFormat="false" ht="15" hidden="false" customHeight="false" outlineLevel="0" collapsed="false">
      <c r="A132" s="78" t="n">
        <v>128</v>
      </c>
      <c r="B132" s="88"/>
      <c r="C132" s="89"/>
      <c r="D132" s="89"/>
      <c r="E132" s="89"/>
      <c r="F132" s="89"/>
      <c r="G132" s="89"/>
      <c r="H132" s="89"/>
      <c r="I132" s="90"/>
      <c r="J132" s="89"/>
      <c r="K132" s="89"/>
      <c r="L132" s="89"/>
      <c r="M132" s="89"/>
      <c r="N132" s="89"/>
      <c r="O132" s="89"/>
      <c r="P132" s="89"/>
    </row>
    <row r="133" customFormat="false" ht="15" hidden="false" customHeight="false" outlineLevel="0" collapsed="false">
      <c r="A133" s="78" t="n">
        <v>129</v>
      </c>
      <c r="B133" s="85"/>
      <c r="C133" s="86"/>
      <c r="D133" s="86"/>
      <c r="E133" s="86"/>
      <c r="F133" s="86"/>
      <c r="G133" s="86"/>
      <c r="H133" s="86"/>
      <c r="I133" s="87"/>
      <c r="J133" s="86"/>
      <c r="K133" s="86"/>
      <c r="L133" s="86"/>
      <c r="M133" s="86"/>
      <c r="N133" s="86"/>
      <c r="O133" s="86"/>
      <c r="P133" s="86"/>
    </row>
    <row r="134" customFormat="false" ht="15" hidden="false" customHeight="false" outlineLevel="0" collapsed="false">
      <c r="A134" s="78" t="n">
        <v>130</v>
      </c>
      <c r="B134" s="88"/>
      <c r="C134" s="89"/>
      <c r="D134" s="89"/>
      <c r="E134" s="89"/>
      <c r="F134" s="89"/>
      <c r="G134" s="89"/>
      <c r="H134" s="89"/>
      <c r="I134" s="90"/>
      <c r="J134" s="89"/>
      <c r="K134" s="89"/>
      <c r="L134" s="89"/>
      <c r="M134" s="89"/>
      <c r="N134" s="89"/>
      <c r="O134" s="89"/>
      <c r="P134" s="89"/>
    </row>
    <row r="135" customFormat="false" ht="15" hidden="false" customHeight="false" outlineLevel="0" collapsed="false">
      <c r="A135" s="78" t="n">
        <v>131</v>
      </c>
      <c r="B135" s="85"/>
      <c r="C135" s="86"/>
      <c r="D135" s="86"/>
      <c r="E135" s="86"/>
      <c r="F135" s="86"/>
      <c r="G135" s="86"/>
      <c r="H135" s="86"/>
      <c r="I135" s="87"/>
      <c r="J135" s="86"/>
      <c r="K135" s="86"/>
      <c r="L135" s="86"/>
      <c r="M135" s="86"/>
      <c r="N135" s="86"/>
      <c r="O135" s="86"/>
      <c r="P135" s="86"/>
    </row>
    <row r="136" customFormat="false" ht="15" hidden="false" customHeight="false" outlineLevel="0" collapsed="false">
      <c r="A136" s="78" t="n">
        <v>132</v>
      </c>
      <c r="B136" s="88"/>
      <c r="C136" s="89"/>
      <c r="D136" s="89"/>
      <c r="E136" s="89"/>
      <c r="F136" s="89"/>
      <c r="G136" s="89"/>
      <c r="H136" s="89"/>
      <c r="I136" s="90"/>
      <c r="J136" s="89"/>
      <c r="K136" s="89"/>
      <c r="L136" s="89"/>
      <c r="M136" s="89"/>
      <c r="N136" s="89"/>
      <c r="O136" s="89"/>
      <c r="P136" s="89"/>
    </row>
    <row r="137" customFormat="false" ht="15" hidden="false" customHeight="false" outlineLevel="0" collapsed="false">
      <c r="A137" s="78" t="n">
        <v>133</v>
      </c>
      <c r="B137" s="85"/>
      <c r="C137" s="86"/>
      <c r="D137" s="86"/>
      <c r="E137" s="86"/>
      <c r="F137" s="86"/>
      <c r="G137" s="86"/>
      <c r="H137" s="86"/>
      <c r="I137" s="87"/>
      <c r="J137" s="86"/>
      <c r="K137" s="86"/>
      <c r="L137" s="86"/>
      <c r="M137" s="86"/>
      <c r="N137" s="86"/>
      <c r="O137" s="86"/>
      <c r="P137" s="86"/>
    </row>
    <row r="138" customFormat="false" ht="15" hidden="false" customHeight="false" outlineLevel="0" collapsed="false">
      <c r="A138" s="78" t="n">
        <v>134</v>
      </c>
      <c r="B138" s="88"/>
      <c r="C138" s="89"/>
      <c r="D138" s="89"/>
      <c r="E138" s="89"/>
      <c r="F138" s="89"/>
      <c r="G138" s="89"/>
      <c r="H138" s="89"/>
      <c r="I138" s="90"/>
      <c r="J138" s="89"/>
      <c r="K138" s="89"/>
      <c r="L138" s="89"/>
      <c r="M138" s="89"/>
      <c r="N138" s="89"/>
      <c r="O138" s="89"/>
      <c r="P138" s="89"/>
    </row>
    <row r="139" customFormat="false" ht="15" hidden="false" customHeight="false" outlineLevel="0" collapsed="false">
      <c r="A139" s="78" t="n">
        <v>135</v>
      </c>
      <c r="B139" s="85"/>
      <c r="C139" s="86"/>
      <c r="D139" s="86"/>
      <c r="E139" s="86"/>
      <c r="F139" s="86"/>
      <c r="G139" s="86"/>
      <c r="H139" s="86"/>
      <c r="I139" s="87"/>
      <c r="J139" s="86"/>
      <c r="K139" s="86"/>
      <c r="L139" s="86"/>
      <c r="M139" s="86"/>
      <c r="N139" s="86"/>
      <c r="O139" s="86"/>
      <c r="P139" s="86"/>
    </row>
    <row r="140" customFormat="false" ht="15" hidden="false" customHeight="false" outlineLevel="0" collapsed="false">
      <c r="A140" s="78" t="n">
        <v>136</v>
      </c>
      <c r="B140" s="88"/>
      <c r="C140" s="89"/>
      <c r="D140" s="89"/>
      <c r="E140" s="89"/>
      <c r="F140" s="89"/>
      <c r="G140" s="89"/>
      <c r="H140" s="89"/>
      <c r="I140" s="90"/>
      <c r="J140" s="89"/>
      <c r="K140" s="89"/>
      <c r="L140" s="89"/>
      <c r="M140" s="89"/>
      <c r="N140" s="89"/>
      <c r="O140" s="89"/>
      <c r="P140" s="89"/>
    </row>
    <row r="141" customFormat="false" ht="15" hidden="false" customHeight="false" outlineLevel="0" collapsed="false">
      <c r="A141" s="78" t="n">
        <v>137</v>
      </c>
      <c r="B141" s="85"/>
      <c r="C141" s="86"/>
      <c r="D141" s="86"/>
      <c r="E141" s="86"/>
      <c r="F141" s="86"/>
      <c r="G141" s="86"/>
      <c r="H141" s="86"/>
      <c r="I141" s="87"/>
      <c r="J141" s="86"/>
      <c r="K141" s="86"/>
      <c r="L141" s="86"/>
      <c r="M141" s="86"/>
      <c r="N141" s="86"/>
      <c r="O141" s="86"/>
      <c r="P141" s="86"/>
    </row>
    <row r="142" customFormat="false" ht="15" hidden="false" customHeight="false" outlineLevel="0" collapsed="false">
      <c r="A142" s="78" t="n">
        <v>138</v>
      </c>
      <c r="B142" s="88"/>
      <c r="C142" s="89"/>
      <c r="D142" s="89"/>
      <c r="E142" s="89"/>
      <c r="F142" s="89"/>
      <c r="G142" s="89"/>
      <c r="H142" s="89"/>
      <c r="I142" s="90"/>
      <c r="J142" s="89"/>
      <c r="K142" s="89"/>
      <c r="L142" s="89"/>
      <c r="M142" s="89"/>
      <c r="N142" s="89"/>
      <c r="O142" s="89"/>
      <c r="P142" s="89"/>
    </row>
    <row r="143" customFormat="false" ht="15" hidden="false" customHeight="false" outlineLevel="0" collapsed="false">
      <c r="A143" s="78" t="n">
        <v>139</v>
      </c>
      <c r="B143" s="85"/>
      <c r="C143" s="86"/>
      <c r="D143" s="86"/>
      <c r="E143" s="86"/>
      <c r="F143" s="86"/>
      <c r="G143" s="86"/>
      <c r="H143" s="86"/>
      <c r="I143" s="87"/>
      <c r="J143" s="86"/>
      <c r="K143" s="86"/>
      <c r="L143" s="86"/>
      <c r="M143" s="86"/>
      <c r="N143" s="86"/>
      <c r="O143" s="86"/>
      <c r="P143" s="86"/>
    </row>
    <row r="144" customFormat="false" ht="15" hidden="false" customHeight="false" outlineLevel="0" collapsed="false">
      <c r="A144" s="78" t="n">
        <v>140</v>
      </c>
      <c r="B144" s="88"/>
      <c r="C144" s="89"/>
      <c r="D144" s="89"/>
      <c r="E144" s="89"/>
      <c r="F144" s="89"/>
      <c r="G144" s="89"/>
      <c r="H144" s="89"/>
      <c r="I144" s="90"/>
      <c r="J144" s="89"/>
      <c r="K144" s="89"/>
      <c r="L144" s="89"/>
      <c r="M144" s="89"/>
      <c r="N144" s="89"/>
      <c r="O144" s="89"/>
      <c r="P144" s="89"/>
    </row>
    <row r="145" customFormat="false" ht="15" hidden="false" customHeight="false" outlineLevel="0" collapsed="false">
      <c r="A145" s="78" t="n">
        <v>141</v>
      </c>
      <c r="B145" s="85"/>
      <c r="C145" s="86"/>
      <c r="D145" s="86"/>
      <c r="E145" s="86"/>
      <c r="F145" s="86"/>
      <c r="G145" s="86"/>
      <c r="H145" s="86"/>
      <c r="I145" s="87"/>
      <c r="J145" s="86"/>
      <c r="K145" s="86"/>
      <c r="L145" s="86"/>
      <c r="M145" s="86"/>
      <c r="N145" s="86"/>
      <c r="O145" s="86"/>
      <c r="P145" s="86"/>
    </row>
    <row r="146" customFormat="false" ht="15" hidden="false" customHeight="false" outlineLevel="0" collapsed="false">
      <c r="A146" s="78" t="n">
        <v>142</v>
      </c>
      <c r="B146" s="88"/>
      <c r="C146" s="89"/>
      <c r="D146" s="89"/>
      <c r="E146" s="89"/>
      <c r="F146" s="89"/>
      <c r="G146" s="89"/>
      <c r="H146" s="89"/>
      <c r="I146" s="90"/>
      <c r="J146" s="89"/>
      <c r="K146" s="89"/>
      <c r="L146" s="89"/>
      <c r="M146" s="89"/>
      <c r="N146" s="89"/>
      <c r="O146" s="89"/>
      <c r="P146" s="89"/>
    </row>
    <row r="147" customFormat="false" ht="15" hidden="false" customHeight="false" outlineLevel="0" collapsed="false">
      <c r="A147" s="78" t="n">
        <v>143</v>
      </c>
      <c r="B147" s="85"/>
      <c r="C147" s="86"/>
      <c r="D147" s="86"/>
      <c r="E147" s="86"/>
      <c r="F147" s="86"/>
      <c r="G147" s="86"/>
      <c r="H147" s="86"/>
      <c r="I147" s="87"/>
      <c r="J147" s="86"/>
      <c r="K147" s="86"/>
      <c r="L147" s="86"/>
      <c r="M147" s="86"/>
      <c r="N147" s="86"/>
      <c r="O147" s="86"/>
      <c r="P147" s="86"/>
    </row>
    <row r="148" customFormat="false" ht="15" hidden="false" customHeight="false" outlineLevel="0" collapsed="false">
      <c r="A148" s="78" t="n">
        <v>144</v>
      </c>
      <c r="B148" s="88"/>
      <c r="C148" s="89"/>
      <c r="D148" s="89"/>
      <c r="E148" s="89"/>
      <c r="F148" s="89"/>
      <c r="G148" s="89"/>
      <c r="H148" s="89"/>
      <c r="I148" s="90"/>
      <c r="J148" s="89"/>
      <c r="K148" s="89"/>
      <c r="L148" s="89"/>
      <c r="M148" s="89"/>
      <c r="N148" s="89"/>
      <c r="O148" s="89"/>
      <c r="P148" s="89"/>
    </row>
    <row r="149" customFormat="false" ht="15" hidden="false" customHeight="false" outlineLevel="0" collapsed="false">
      <c r="A149" s="78" t="n">
        <v>145</v>
      </c>
      <c r="B149" s="85"/>
      <c r="C149" s="86"/>
      <c r="D149" s="86"/>
      <c r="E149" s="86"/>
      <c r="F149" s="86"/>
      <c r="G149" s="86"/>
      <c r="H149" s="86"/>
      <c r="I149" s="87"/>
      <c r="J149" s="86"/>
      <c r="K149" s="86"/>
      <c r="L149" s="86"/>
      <c r="M149" s="86"/>
      <c r="N149" s="86"/>
      <c r="O149" s="86"/>
      <c r="P149" s="86"/>
    </row>
    <row r="150" customFormat="false" ht="15" hidden="false" customHeight="false" outlineLevel="0" collapsed="false">
      <c r="A150" s="78" t="n">
        <v>146</v>
      </c>
      <c r="B150" s="88"/>
      <c r="C150" s="89"/>
      <c r="D150" s="89"/>
      <c r="E150" s="89"/>
      <c r="F150" s="89"/>
      <c r="G150" s="89"/>
      <c r="H150" s="89"/>
      <c r="I150" s="90"/>
      <c r="J150" s="89"/>
      <c r="K150" s="89"/>
      <c r="L150" s="89"/>
      <c r="M150" s="89"/>
      <c r="N150" s="89"/>
      <c r="O150" s="89"/>
      <c r="P150" s="89"/>
    </row>
    <row r="151" customFormat="false" ht="15" hidden="false" customHeight="false" outlineLevel="0" collapsed="false">
      <c r="A151" s="78" t="n">
        <v>147</v>
      </c>
      <c r="B151" s="85"/>
      <c r="C151" s="86"/>
      <c r="D151" s="86"/>
      <c r="E151" s="86"/>
      <c r="F151" s="86"/>
      <c r="G151" s="86"/>
      <c r="H151" s="86"/>
      <c r="I151" s="87"/>
      <c r="J151" s="86"/>
      <c r="K151" s="86"/>
      <c r="L151" s="86"/>
      <c r="M151" s="86"/>
      <c r="N151" s="86"/>
      <c r="O151" s="86"/>
      <c r="P151" s="86"/>
    </row>
    <row r="152" customFormat="false" ht="15" hidden="false" customHeight="false" outlineLevel="0" collapsed="false">
      <c r="A152" s="78" t="n">
        <v>148</v>
      </c>
      <c r="B152" s="88"/>
      <c r="C152" s="89"/>
      <c r="D152" s="89"/>
      <c r="E152" s="89"/>
      <c r="F152" s="89"/>
      <c r="G152" s="89"/>
      <c r="H152" s="89"/>
      <c r="I152" s="90"/>
      <c r="J152" s="89"/>
      <c r="K152" s="89"/>
      <c r="L152" s="89"/>
      <c r="M152" s="89"/>
      <c r="N152" s="89"/>
      <c r="O152" s="89"/>
      <c r="P152" s="89"/>
    </row>
    <row r="153" customFormat="false" ht="15" hidden="false" customHeight="false" outlineLevel="0" collapsed="false">
      <c r="A153" s="78" t="n">
        <v>149</v>
      </c>
      <c r="B153" s="85"/>
      <c r="C153" s="86"/>
      <c r="D153" s="86"/>
      <c r="E153" s="86"/>
      <c r="F153" s="86"/>
      <c r="G153" s="86"/>
      <c r="H153" s="86"/>
      <c r="I153" s="87"/>
      <c r="J153" s="86"/>
      <c r="K153" s="86"/>
      <c r="L153" s="86"/>
      <c r="M153" s="86"/>
      <c r="N153" s="86"/>
      <c r="O153" s="86"/>
      <c r="P153" s="86"/>
    </row>
    <row r="154" customFormat="false" ht="15" hidden="false" customHeight="false" outlineLevel="0" collapsed="false">
      <c r="A154" s="78" t="n">
        <v>150</v>
      </c>
      <c r="B154" s="88"/>
      <c r="C154" s="89"/>
      <c r="D154" s="89"/>
      <c r="E154" s="89"/>
      <c r="F154" s="89"/>
      <c r="G154" s="89"/>
      <c r="H154" s="89"/>
      <c r="I154" s="90"/>
      <c r="J154" s="89"/>
      <c r="K154" s="89"/>
      <c r="L154" s="89"/>
      <c r="M154" s="89"/>
      <c r="N154" s="89"/>
      <c r="O154" s="89"/>
      <c r="P154" s="89"/>
    </row>
    <row r="155" customFormat="false" ht="15" hidden="false" customHeight="false" outlineLevel="0" collapsed="false">
      <c r="A155" s="78" t="n">
        <v>151</v>
      </c>
      <c r="B155" s="85"/>
      <c r="C155" s="86"/>
      <c r="D155" s="86"/>
      <c r="E155" s="86"/>
      <c r="F155" s="86"/>
      <c r="G155" s="86"/>
      <c r="H155" s="86"/>
      <c r="I155" s="87"/>
      <c r="J155" s="86"/>
      <c r="K155" s="86"/>
      <c r="L155" s="86"/>
      <c r="M155" s="86"/>
      <c r="N155" s="86"/>
      <c r="O155" s="86"/>
      <c r="P155" s="86"/>
    </row>
    <row r="156" customFormat="false" ht="15" hidden="false" customHeight="false" outlineLevel="0" collapsed="false">
      <c r="A156" s="78" t="n">
        <v>152</v>
      </c>
      <c r="B156" s="88"/>
      <c r="C156" s="89"/>
      <c r="D156" s="89"/>
      <c r="E156" s="89"/>
      <c r="F156" s="89"/>
      <c r="G156" s="89"/>
      <c r="H156" s="89"/>
      <c r="I156" s="90"/>
      <c r="J156" s="89"/>
      <c r="K156" s="89"/>
      <c r="L156" s="89"/>
      <c r="M156" s="89"/>
      <c r="N156" s="89"/>
      <c r="O156" s="89"/>
      <c r="P156" s="89"/>
    </row>
    <row r="157" customFormat="false" ht="15" hidden="false" customHeight="false" outlineLevel="0" collapsed="false">
      <c r="A157" s="78" t="n">
        <v>153</v>
      </c>
      <c r="B157" s="85"/>
      <c r="C157" s="86"/>
      <c r="D157" s="86"/>
      <c r="E157" s="86"/>
      <c r="F157" s="86"/>
      <c r="G157" s="86"/>
      <c r="H157" s="86"/>
      <c r="I157" s="87"/>
      <c r="J157" s="86"/>
      <c r="K157" s="86"/>
      <c r="L157" s="86"/>
      <c r="M157" s="86"/>
      <c r="N157" s="86"/>
      <c r="O157" s="86"/>
      <c r="P157" s="86"/>
    </row>
    <row r="158" customFormat="false" ht="15" hidden="false" customHeight="false" outlineLevel="0" collapsed="false">
      <c r="A158" s="78" t="n">
        <v>154</v>
      </c>
      <c r="B158" s="88"/>
      <c r="C158" s="89"/>
      <c r="D158" s="89"/>
      <c r="E158" s="89"/>
      <c r="F158" s="89"/>
      <c r="G158" s="89"/>
      <c r="H158" s="89"/>
      <c r="I158" s="90"/>
      <c r="J158" s="89"/>
      <c r="K158" s="89"/>
      <c r="L158" s="89"/>
      <c r="M158" s="89"/>
      <c r="N158" s="89"/>
      <c r="O158" s="89"/>
      <c r="P158" s="89"/>
    </row>
    <row r="159" customFormat="false" ht="15" hidden="false" customHeight="false" outlineLevel="0" collapsed="false">
      <c r="A159" s="78" t="n">
        <v>155</v>
      </c>
      <c r="B159" s="85"/>
      <c r="C159" s="86"/>
      <c r="D159" s="86"/>
      <c r="E159" s="86"/>
      <c r="F159" s="86"/>
      <c r="G159" s="86"/>
      <c r="H159" s="86"/>
      <c r="I159" s="87"/>
      <c r="J159" s="86"/>
      <c r="K159" s="86"/>
      <c r="L159" s="86"/>
      <c r="M159" s="86"/>
      <c r="N159" s="86"/>
      <c r="O159" s="86"/>
      <c r="P159" s="86"/>
    </row>
    <row r="160" customFormat="false" ht="15" hidden="false" customHeight="false" outlineLevel="0" collapsed="false">
      <c r="A160" s="78" t="n">
        <v>156</v>
      </c>
      <c r="B160" s="88"/>
      <c r="C160" s="89"/>
      <c r="D160" s="89"/>
      <c r="E160" s="89"/>
      <c r="F160" s="89"/>
      <c r="G160" s="89"/>
      <c r="H160" s="89"/>
      <c r="I160" s="90"/>
      <c r="J160" s="89"/>
      <c r="K160" s="89"/>
      <c r="L160" s="89"/>
      <c r="M160" s="89"/>
      <c r="N160" s="89"/>
      <c r="O160" s="89"/>
      <c r="P160" s="89"/>
    </row>
    <row r="161" customFormat="false" ht="15" hidden="false" customHeight="false" outlineLevel="0" collapsed="false">
      <c r="A161" s="78" t="n">
        <v>157</v>
      </c>
      <c r="B161" s="85"/>
      <c r="C161" s="86"/>
      <c r="D161" s="86"/>
      <c r="E161" s="86"/>
      <c r="F161" s="86"/>
      <c r="G161" s="86"/>
      <c r="H161" s="86"/>
      <c r="I161" s="87"/>
      <c r="J161" s="86"/>
      <c r="K161" s="86"/>
      <c r="L161" s="86"/>
      <c r="M161" s="86"/>
      <c r="N161" s="86"/>
      <c r="O161" s="86"/>
      <c r="P161" s="86"/>
    </row>
    <row r="162" customFormat="false" ht="15" hidden="false" customHeight="false" outlineLevel="0" collapsed="false">
      <c r="A162" s="78" t="n">
        <v>158</v>
      </c>
      <c r="B162" s="88"/>
      <c r="C162" s="89"/>
      <c r="D162" s="89"/>
      <c r="E162" s="89"/>
      <c r="F162" s="89"/>
      <c r="G162" s="89"/>
      <c r="H162" s="89"/>
      <c r="I162" s="90"/>
      <c r="J162" s="89"/>
      <c r="K162" s="89"/>
      <c r="L162" s="89"/>
      <c r="M162" s="89"/>
      <c r="N162" s="89"/>
      <c r="O162" s="89"/>
      <c r="P162" s="89"/>
    </row>
    <row r="163" customFormat="false" ht="15" hidden="false" customHeight="false" outlineLevel="0" collapsed="false">
      <c r="A163" s="78" t="n">
        <v>159</v>
      </c>
      <c r="B163" s="85"/>
      <c r="C163" s="86"/>
      <c r="D163" s="86"/>
      <c r="E163" s="86"/>
      <c r="F163" s="86"/>
      <c r="G163" s="86"/>
      <c r="H163" s="86"/>
      <c r="I163" s="87"/>
      <c r="J163" s="86"/>
      <c r="K163" s="86"/>
      <c r="L163" s="86"/>
      <c r="M163" s="86"/>
      <c r="N163" s="86"/>
      <c r="O163" s="86"/>
      <c r="P163" s="86"/>
    </row>
    <row r="164" customFormat="false" ht="15" hidden="false" customHeight="false" outlineLevel="0" collapsed="false">
      <c r="A164" s="78" t="n">
        <v>160</v>
      </c>
      <c r="B164" s="88"/>
      <c r="C164" s="89"/>
      <c r="D164" s="89"/>
      <c r="E164" s="89"/>
      <c r="F164" s="89"/>
      <c r="G164" s="89"/>
      <c r="H164" s="89"/>
      <c r="I164" s="90"/>
      <c r="J164" s="89"/>
      <c r="K164" s="89"/>
      <c r="L164" s="89"/>
      <c r="M164" s="89"/>
      <c r="N164" s="89"/>
      <c r="O164" s="89"/>
      <c r="P164" s="89"/>
    </row>
    <row r="165" customFormat="false" ht="15" hidden="false" customHeight="false" outlineLevel="0" collapsed="false">
      <c r="A165" s="78" t="n">
        <v>161</v>
      </c>
      <c r="B165" s="85"/>
      <c r="C165" s="86"/>
      <c r="D165" s="86"/>
      <c r="E165" s="86"/>
      <c r="F165" s="86"/>
      <c r="G165" s="86"/>
      <c r="H165" s="86"/>
      <c r="I165" s="87"/>
      <c r="J165" s="86"/>
      <c r="K165" s="86"/>
      <c r="L165" s="86"/>
      <c r="M165" s="86"/>
      <c r="N165" s="86"/>
      <c r="O165" s="86"/>
      <c r="P165" s="86"/>
    </row>
    <row r="166" customFormat="false" ht="15" hidden="false" customHeight="false" outlineLevel="0" collapsed="false">
      <c r="A166" s="78" t="n">
        <v>162</v>
      </c>
      <c r="B166" s="88"/>
      <c r="C166" s="89"/>
      <c r="D166" s="89"/>
      <c r="E166" s="89"/>
      <c r="F166" s="89"/>
      <c r="G166" s="89"/>
      <c r="H166" s="89"/>
      <c r="I166" s="90"/>
      <c r="J166" s="89"/>
      <c r="K166" s="89"/>
      <c r="L166" s="89"/>
      <c r="M166" s="89"/>
      <c r="N166" s="89"/>
      <c r="O166" s="89"/>
      <c r="P166" s="89"/>
    </row>
    <row r="167" customFormat="false" ht="15" hidden="false" customHeight="false" outlineLevel="0" collapsed="false">
      <c r="A167" s="78" t="n">
        <v>163</v>
      </c>
      <c r="B167" s="85"/>
      <c r="C167" s="86"/>
      <c r="D167" s="86"/>
      <c r="E167" s="86"/>
      <c r="F167" s="86"/>
      <c r="G167" s="86"/>
      <c r="H167" s="86"/>
      <c r="I167" s="87"/>
      <c r="J167" s="86"/>
      <c r="K167" s="86"/>
      <c r="L167" s="86"/>
      <c r="M167" s="86"/>
      <c r="N167" s="86"/>
      <c r="O167" s="86"/>
      <c r="P167" s="86"/>
    </row>
    <row r="168" customFormat="false" ht="15" hidden="false" customHeight="false" outlineLevel="0" collapsed="false">
      <c r="A168" s="78" t="n">
        <v>164</v>
      </c>
      <c r="B168" s="88"/>
      <c r="C168" s="89"/>
      <c r="D168" s="89"/>
      <c r="E168" s="89"/>
      <c r="F168" s="89"/>
      <c r="G168" s="89"/>
      <c r="H168" s="89"/>
      <c r="I168" s="90"/>
      <c r="J168" s="89"/>
      <c r="K168" s="89"/>
      <c r="L168" s="89"/>
      <c r="M168" s="89"/>
      <c r="N168" s="89"/>
      <c r="O168" s="89"/>
      <c r="P168" s="89"/>
    </row>
    <row r="169" customFormat="false" ht="15" hidden="false" customHeight="false" outlineLevel="0" collapsed="false">
      <c r="A169" s="78" t="n">
        <v>165</v>
      </c>
      <c r="B169" s="85"/>
      <c r="C169" s="86"/>
      <c r="D169" s="86"/>
      <c r="E169" s="86"/>
      <c r="F169" s="86"/>
      <c r="G169" s="86"/>
      <c r="H169" s="86"/>
      <c r="I169" s="87"/>
      <c r="J169" s="86"/>
      <c r="K169" s="86"/>
      <c r="L169" s="86"/>
      <c r="M169" s="86"/>
      <c r="N169" s="86"/>
      <c r="O169" s="86"/>
      <c r="P169" s="86"/>
    </row>
    <row r="170" customFormat="false" ht="15" hidden="false" customHeight="false" outlineLevel="0" collapsed="false">
      <c r="A170" s="78" t="n">
        <v>166</v>
      </c>
      <c r="B170" s="88"/>
      <c r="C170" s="89"/>
      <c r="D170" s="89"/>
      <c r="E170" s="89"/>
      <c r="F170" s="89"/>
      <c r="G170" s="89"/>
      <c r="H170" s="89"/>
      <c r="I170" s="90"/>
      <c r="J170" s="89"/>
      <c r="K170" s="89"/>
      <c r="L170" s="89"/>
      <c r="M170" s="89"/>
      <c r="N170" s="89"/>
      <c r="O170" s="89"/>
      <c r="P170" s="89"/>
    </row>
    <row r="171" customFormat="false" ht="15" hidden="false" customHeight="false" outlineLevel="0" collapsed="false">
      <c r="A171" s="78" t="n">
        <v>167</v>
      </c>
      <c r="B171" s="85"/>
      <c r="C171" s="86"/>
      <c r="D171" s="86"/>
      <c r="E171" s="86"/>
      <c r="F171" s="86"/>
      <c r="G171" s="86"/>
      <c r="H171" s="86"/>
      <c r="I171" s="87"/>
      <c r="J171" s="86"/>
      <c r="K171" s="86"/>
      <c r="L171" s="86"/>
      <c r="M171" s="86"/>
      <c r="N171" s="86"/>
      <c r="O171" s="86"/>
      <c r="P171" s="86"/>
    </row>
    <row r="172" customFormat="false" ht="15" hidden="false" customHeight="false" outlineLevel="0" collapsed="false">
      <c r="A172" s="78" t="n">
        <v>168</v>
      </c>
      <c r="B172" s="88"/>
      <c r="C172" s="89"/>
      <c r="D172" s="89"/>
      <c r="E172" s="89"/>
      <c r="F172" s="89"/>
      <c r="G172" s="89"/>
      <c r="H172" s="89"/>
      <c r="I172" s="90"/>
      <c r="J172" s="89"/>
      <c r="K172" s="89"/>
      <c r="L172" s="89"/>
      <c r="M172" s="89"/>
      <c r="N172" s="89"/>
      <c r="O172" s="89"/>
      <c r="P172" s="89"/>
    </row>
    <row r="173" customFormat="false" ht="15" hidden="false" customHeight="false" outlineLevel="0" collapsed="false">
      <c r="A173" s="78" t="n">
        <v>169</v>
      </c>
      <c r="B173" s="85"/>
      <c r="C173" s="86"/>
      <c r="D173" s="86"/>
      <c r="E173" s="86"/>
      <c r="F173" s="86"/>
      <c r="G173" s="86"/>
      <c r="H173" s="86"/>
      <c r="I173" s="87"/>
      <c r="J173" s="86"/>
      <c r="K173" s="86"/>
      <c r="L173" s="86"/>
      <c r="M173" s="86"/>
      <c r="N173" s="86"/>
      <c r="O173" s="86"/>
      <c r="P173" s="86"/>
    </row>
    <row r="174" customFormat="false" ht="15" hidden="false" customHeight="false" outlineLevel="0" collapsed="false">
      <c r="A174" s="78" t="n">
        <v>170</v>
      </c>
      <c r="B174" s="88"/>
      <c r="C174" s="89"/>
      <c r="D174" s="89"/>
      <c r="E174" s="89"/>
      <c r="F174" s="89"/>
      <c r="G174" s="89"/>
      <c r="H174" s="89"/>
      <c r="I174" s="90"/>
      <c r="J174" s="89"/>
      <c r="K174" s="89"/>
      <c r="L174" s="89"/>
      <c r="M174" s="89"/>
      <c r="N174" s="89"/>
      <c r="O174" s="89"/>
      <c r="P174" s="89"/>
    </row>
    <row r="175" customFormat="false" ht="15" hidden="false" customHeight="false" outlineLevel="0" collapsed="false">
      <c r="A175" s="78" t="n">
        <v>171</v>
      </c>
      <c r="B175" s="85"/>
      <c r="C175" s="86"/>
      <c r="D175" s="86"/>
      <c r="E175" s="86"/>
      <c r="F175" s="86"/>
      <c r="G175" s="86"/>
      <c r="H175" s="86"/>
      <c r="I175" s="87"/>
      <c r="J175" s="86"/>
      <c r="K175" s="86"/>
      <c r="L175" s="86"/>
      <c r="M175" s="86"/>
      <c r="N175" s="86"/>
      <c r="O175" s="86"/>
      <c r="P175" s="86"/>
    </row>
    <row r="176" customFormat="false" ht="15" hidden="false" customHeight="false" outlineLevel="0" collapsed="false">
      <c r="A176" s="78" t="n">
        <v>172</v>
      </c>
      <c r="B176" s="88"/>
      <c r="C176" s="89"/>
      <c r="D176" s="89"/>
      <c r="E176" s="89"/>
      <c r="F176" s="89"/>
      <c r="G176" s="89"/>
      <c r="H176" s="89"/>
      <c r="I176" s="90"/>
      <c r="J176" s="89"/>
      <c r="K176" s="89"/>
      <c r="L176" s="89"/>
      <c r="M176" s="89"/>
      <c r="N176" s="89"/>
      <c r="O176" s="89"/>
      <c r="P176" s="89"/>
    </row>
    <row r="177" customFormat="false" ht="15" hidden="false" customHeight="false" outlineLevel="0" collapsed="false">
      <c r="A177" s="78" t="n">
        <v>173</v>
      </c>
      <c r="B177" s="85"/>
      <c r="C177" s="86"/>
      <c r="D177" s="86"/>
      <c r="E177" s="86"/>
      <c r="F177" s="86"/>
      <c r="G177" s="86"/>
      <c r="H177" s="86"/>
      <c r="I177" s="87"/>
      <c r="J177" s="86"/>
      <c r="K177" s="86"/>
      <c r="L177" s="86"/>
      <c r="M177" s="86"/>
      <c r="N177" s="86"/>
      <c r="O177" s="86"/>
      <c r="P177" s="86"/>
    </row>
    <row r="178" customFormat="false" ht="15" hidden="false" customHeight="false" outlineLevel="0" collapsed="false">
      <c r="A178" s="78" t="n">
        <v>174</v>
      </c>
      <c r="B178" s="88"/>
      <c r="C178" s="89"/>
      <c r="D178" s="89"/>
      <c r="E178" s="89"/>
      <c r="F178" s="89"/>
      <c r="G178" s="89"/>
      <c r="H178" s="89"/>
      <c r="I178" s="90"/>
      <c r="J178" s="89"/>
      <c r="K178" s="89"/>
      <c r="L178" s="89"/>
      <c r="M178" s="89"/>
      <c r="N178" s="89"/>
      <c r="O178" s="89"/>
      <c r="P178" s="89"/>
    </row>
    <row r="179" customFormat="false" ht="15" hidden="false" customHeight="false" outlineLevel="0" collapsed="false">
      <c r="A179" s="78" t="n">
        <v>175</v>
      </c>
      <c r="B179" s="85"/>
      <c r="C179" s="86"/>
      <c r="D179" s="86"/>
      <c r="E179" s="86"/>
      <c r="F179" s="86"/>
      <c r="G179" s="86"/>
      <c r="H179" s="86"/>
      <c r="I179" s="87"/>
      <c r="J179" s="86"/>
      <c r="K179" s="86"/>
      <c r="L179" s="86"/>
      <c r="M179" s="86"/>
      <c r="N179" s="86"/>
      <c r="O179" s="86"/>
      <c r="P179" s="86"/>
    </row>
    <row r="180" customFormat="false" ht="15" hidden="false" customHeight="false" outlineLevel="0" collapsed="false">
      <c r="A180" s="78" t="n">
        <v>176</v>
      </c>
      <c r="B180" s="88"/>
      <c r="C180" s="89"/>
      <c r="D180" s="89"/>
      <c r="E180" s="89"/>
      <c r="F180" s="89"/>
      <c r="G180" s="89"/>
      <c r="H180" s="89"/>
      <c r="I180" s="90"/>
      <c r="J180" s="89"/>
      <c r="K180" s="89"/>
      <c r="L180" s="89"/>
      <c r="M180" s="89"/>
      <c r="N180" s="89"/>
      <c r="O180" s="89"/>
      <c r="P180" s="89"/>
    </row>
    <row r="181" customFormat="false" ht="15" hidden="false" customHeight="false" outlineLevel="0" collapsed="false">
      <c r="A181" s="78" t="n">
        <v>177</v>
      </c>
      <c r="B181" s="85"/>
      <c r="C181" s="86"/>
      <c r="D181" s="86"/>
      <c r="E181" s="86"/>
      <c r="F181" s="86"/>
      <c r="G181" s="86"/>
      <c r="H181" s="86"/>
      <c r="I181" s="87"/>
      <c r="J181" s="86"/>
      <c r="K181" s="86"/>
      <c r="L181" s="86"/>
      <c r="M181" s="86"/>
      <c r="N181" s="86"/>
      <c r="O181" s="86"/>
      <c r="P181" s="86"/>
    </row>
    <row r="182" customFormat="false" ht="15" hidden="false" customHeight="false" outlineLevel="0" collapsed="false">
      <c r="A182" s="78" t="n">
        <v>178</v>
      </c>
      <c r="B182" s="88"/>
      <c r="C182" s="89"/>
      <c r="D182" s="89"/>
      <c r="E182" s="89"/>
      <c r="F182" s="89"/>
      <c r="G182" s="89"/>
      <c r="H182" s="89"/>
      <c r="I182" s="90"/>
      <c r="J182" s="89"/>
      <c r="K182" s="89"/>
      <c r="L182" s="89"/>
      <c r="M182" s="89"/>
      <c r="N182" s="89"/>
      <c r="O182" s="89"/>
      <c r="P182" s="89"/>
    </row>
    <row r="183" customFormat="false" ht="15" hidden="false" customHeight="false" outlineLevel="0" collapsed="false">
      <c r="A183" s="78" t="n">
        <v>179</v>
      </c>
      <c r="B183" s="85"/>
      <c r="C183" s="86"/>
      <c r="D183" s="86"/>
      <c r="E183" s="86"/>
      <c r="F183" s="86"/>
      <c r="G183" s="86"/>
      <c r="H183" s="86"/>
      <c r="I183" s="87"/>
      <c r="J183" s="86"/>
      <c r="K183" s="86"/>
      <c r="L183" s="86"/>
      <c r="M183" s="86"/>
      <c r="N183" s="86"/>
      <c r="O183" s="86"/>
      <c r="P183" s="86"/>
    </row>
    <row r="184" customFormat="false" ht="15" hidden="false" customHeight="false" outlineLevel="0" collapsed="false">
      <c r="A184" s="78" t="n">
        <v>180</v>
      </c>
      <c r="B184" s="88"/>
      <c r="C184" s="89"/>
      <c r="D184" s="89"/>
      <c r="E184" s="89"/>
      <c r="F184" s="89"/>
      <c r="G184" s="89"/>
      <c r="H184" s="89"/>
      <c r="I184" s="90"/>
      <c r="J184" s="89"/>
      <c r="K184" s="89"/>
      <c r="L184" s="89"/>
      <c r="M184" s="89"/>
      <c r="N184" s="89"/>
      <c r="O184" s="89"/>
      <c r="P184" s="89"/>
    </row>
    <row r="185" customFormat="false" ht="15" hidden="false" customHeight="false" outlineLevel="0" collapsed="false">
      <c r="A185" s="78" t="n">
        <v>181</v>
      </c>
      <c r="B185" s="85"/>
      <c r="C185" s="86"/>
      <c r="D185" s="86"/>
      <c r="E185" s="86"/>
      <c r="F185" s="86"/>
      <c r="G185" s="86"/>
      <c r="H185" s="86"/>
      <c r="I185" s="87"/>
      <c r="J185" s="86"/>
      <c r="K185" s="86"/>
      <c r="L185" s="86"/>
      <c r="M185" s="86"/>
      <c r="N185" s="86"/>
      <c r="O185" s="86"/>
      <c r="P185" s="86"/>
    </row>
    <row r="186" customFormat="false" ht="15" hidden="false" customHeight="false" outlineLevel="0" collapsed="false">
      <c r="A186" s="78" t="n">
        <v>182</v>
      </c>
      <c r="B186" s="88"/>
      <c r="C186" s="89"/>
      <c r="D186" s="89"/>
      <c r="E186" s="89"/>
      <c r="F186" s="89"/>
      <c r="G186" s="89"/>
      <c r="H186" s="89"/>
      <c r="I186" s="90"/>
      <c r="J186" s="89"/>
      <c r="K186" s="89"/>
      <c r="L186" s="89"/>
      <c r="M186" s="89"/>
      <c r="N186" s="89"/>
      <c r="O186" s="89"/>
      <c r="P186" s="89"/>
    </row>
    <row r="187" customFormat="false" ht="15" hidden="false" customHeight="false" outlineLevel="0" collapsed="false">
      <c r="A187" s="78" t="n">
        <v>183</v>
      </c>
      <c r="B187" s="85"/>
      <c r="C187" s="86"/>
      <c r="D187" s="86"/>
      <c r="E187" s="86"/>
      <c r="F187" s="86"/>
      <c r="G187" s="86"/>
      <c r="H187" s="86"/>
      <c r="I187" s="87"/>
      <c r="J187" s="86"/>
      <c r="K187" s="86"/>
      <c r="L187" s="86"/>
      <c r="M187" s="86"/>
      <c r="N187" s="86"/>
      <c r="O187" s="86"/>
      <c r="P187" s="86"/>
    </row>
    <row r="188" customFormat="false" ht="15" hidden="false" customHeight="false" outlineLevel="0" collapsed="false">
      <c r="A188" s="78" t="n">
        <v>184</v>
      </c>
      <c r="B188" s="88"/>
      <c r="C188" s="89"/>
      <c r="D188" s="89"/>
      <c r="E188" s="89"/>
      <c r="F188" s="89"/>
      <c r="G188" s="89"/>
      <c r="H188" s="89"/>
      <c r="I188" s="90"/>
      <c r="J188" s="89"/>
      <c r="K188" s="89"/>
      <c r="L188" s="89"/>
      <c r="M188" s="89"/>
      <c r="N188" s="89"/>
      <c r="O188" s="89"/>
      <c r="P188" s="89"/>
    </row>
    <row r="189" customFormat="false" ht="15" hidden="false" customHeight="false" outlineLevel="0" collapsed="false">
      <c r="A189" s="78" t="n">
        <v>185</v>
      </c>
      <c r="B189" s="85"/>
      <c r="C189" s="86"/>
      <c r="D189" s="86"/>
      <c r="E189" s="86"/>
      <c r="F189" s="86"/>
      <c r="G189" s="86"/>
      <c r="H189" s="86"/>
      <c r="I189" s="87"/>
      <c r="J189" s="86"/>
      <c r="K189" s="86"/>
      <c r="L189" s="86"/>
      <c r="M189" s="86"/>
      <c r="N189" s="86"/>
      <c r="O189" s="86"/>
      <c r="P189" s="86"/>
    </row>
    <row r="190" customFormat="false" ht="15" hidden="false" customHeight="false" outlineLevel="0" collapsed="false">
      <c r="A190" s="78" t="n">
        <v>186</v>
      </c>
      <c r="B190" s="88"/>
      <c r="C190" s="89"/>
      <c r="D190" s="89"/>
      <c r="E190" s="89"/>
      <c r="F190" s="89"/>
      <c r="G190" s="89"/>
      <c r="H190" s="89"/>
      <c r="I190" s="90"/>
      <c r="J190" s="89"/>
      <c r="K190" s="89"/>
      <c r="L190" s="89"/>
      <c r="M190" s="89"/>
      <c r="N190" s="89"/>
      <c r="O190" s="89"/>
      <c r="P190" s="89"/>
    </row>
    <row r="191" customFormat="false" ht="15" hidden="false" customHeight="false" outlineLevel="0" collapsed="false">
      <c r="A191" s="78" t="n">
        <v>187</v>
      </c>
      <c r="B191" s="85"/>
      <c r="C191" s="86"/>
      <c r="D191" s="86"/>
      <c r="E191" s="86"/>
      <c r="F191" s="86"/>
      <c r="G191" s="86"/>
      <c r="H191" s="86"/>
      <c r="I191" s="87"/>
      <c r="J191" s="86"/>
      <c r="K191" s="86"/>
      <c r="L191" s="86"/>
      <c r="M191" s="86"/>
      <c r="N191" s="86"/>
      <c r="O191" s="86"/>
      <c r="P191" s="86"/>
    </row>
    <row r="192" customFormat="false" ht="15" hidden="false" customHeight="false" outlineLevel="0" collapsed="false">
      <c r="A192" s="78" t="n">
        <v>188</v>
      </c>
      <c r="B192" s="88"/>
      <c r="C192" s="89"/>
      <c r="D192" s="89"/>
      <c r="E192" s="89"/>
      <c r="F192" s="89"/>
      <c r="G192" s="89"/>
      <c r="H192" s="89"/>
      <c r="I192" s="90"/>
      <c r="J192" s="89"/>
      <c r="K192" s="89"/>
      <c r="L192" s="89"/>
      <c r="M192" s="89"/>
      <c r="N192" s="89"/>
      <c r="O192" s="89"/>
      <c r="P192" s="89"/>
    </row>
    <row r="193" customFormat="false" ht="15" hidden="false" customHeight="false" outlineLevel="0" collapsed="false">
      <c r="A193" s="78" t="n">
        <v>189</v>
      </c>
      <c r="B193" s="85"/>
      <c r="C193" s="86"/>
      <c r="D193" s="86"/>
      <c r="E193" s="86"/>
      <c r="F193" s="86"/>
      <c r="G193" s="86"/>
      <c r="H193" s="86"/>
      <c r="I193" s="87"/>
      <c r="J193" s="86"/>
      <c r="K193" s="86"/>
      <c r="L193" s="86"/>
      <c r="M193" s="86"/>
      <c r="N193" s="86"/>
      <c r="O193" s="86"/>
      <c r="P193" s="86"/>
    </row>
    <row r="194" customFormat="false" ht="15" hidden="false" customHeight="false" outlineLevel="0" collapsed="false">
      <c r="A194" s="78" t="n">
        <v>190</v>
      </c>
      <c r="B194" s="88"/>
      <c r="C194" s="89"/>
      <c r="D194" s="89"/>
      <c r="E194" s="89"/>
      <c r="F194" s="89"/>
      <c r="G194" s="89"/>
      <c r="H194" s="89"/>
      <c r="I194" s="90"/>
      <c r="J194" s="89"/>
      <c r="K194" s="89"/>
      <c r="L194" s="89"/>
      <c r="M194" s="89"/>
      <c r="N194" s="89"/>
      <c r="O194" s="89"/>
      <c r="P194" s="89"/>
    </row>
    <row r="195" customFormat="false" ht="15" hidden="false" customHeight="false" outlineLevel="0" collapsed="false">
      <c r="A195" s="78" t="n">
        <v>191</v>
      </c>
      <c r="B195" s="85"/>
      <c r="C195" s="86"/>
      <c r="D195" s="86"/>
      <c r="E195" s="86"/>
      <c r="F195" s="86"/>
      <c r="G195" s="86"/>
      <c r="H195" s="86"/>
      <c r="I195" s="87"/>
      <c r="J195" s="86"/>
      <c r="K195" s="86"/>
      <c r="L195" s="86"/>
      <c r="M195" s="86"/>
      <c r="N195" s="86"/>
      <c r="O195" s="86"/>
      <c r="P195" s="86"/>
    </row>
    <row r="196" customFormat="false" ht="15" hidden="false" customHeight="false" outlineLevel="0" collapsed="false">
      <c r="A196" s="78" t="n">
        <v>192</v>
      </c>
      <c r="B196" s="88"/>
      <c r="C196" s="89"/>
      <c r="D196" s="89"/>
      <c r="E196" s="89"/>
      <c r="F196" s="89"/>
      <c r="G196" s="89"/>
      <c r="H196" s="89"/>
      <c r="I196" s="90"/>
      <c r="J196" s="89"/>
      <c r="K196" s="89"/>
      <c r="L196" s="89"/>
      <c r="M196" s="89"/>
      <c r="N196" s="89"/>
      <c r="O196" s="89"/>
      <c r="P196" s="89"/>
    </row>
    <row r="197" customFormat="false" ht="15" hidden="false" customHeight="false" outlineLevel="0" collapsed="false">
      <c r="A197" s="78" t="n">
        <v>193</v>
      </c>
      <c r="B197" s="85"/>
      <c r="C197" s="86"/>
      <c r="D197" s="86"/>
      <c r="E197" s="86"/>
      <c r="F197" s="86"/>
      <c r="G197" s="86"/>
      <c r="H197" s="86"/>
      <c r="I197" s="87"/>
      <c r="J197" s="86"/>
      <c r="K197" s="86"/>
      <c r="L197" s="86"/>
      <c r="M197" s="86"/>
      <c r="N197" s="86"/>
      <c r="O197" s="86"/>
      <c r="P197" s="86"/>
    </row>
    <row r="198" customFormat="false" ht="15" hidden="false" customHeight="false" outlineLevel="0" collapsed="false">
      <c r="A198" s="78" t="n">
        <v>194</v>
      </c>
      <c r="B198" s="88"/>
      <c r="C198" s="89"/>
      <c r="D198" s="89"/>
      <c r="E198" s="89"/>
      <c r="F198" s="89"/>
      <c r="G198" s="89"/>
      <c r="H198" s="89"/>
      <c r="I198" s="90"/>
      <c r="J198" s="89"/>
      <c r="K198" s="89"/>
      <c r="L198" s="89"/>
      <c r="M198" s="89"/>
      <c r="N198" s="89"/>
      <c r="O198" s="89"/>
      <c r="P198" s="89"/>
    </row>
    <row r="199" customFormat="false" ht="15" hidden="false" customHeight="false" outlineLevel="0" collapsed="false">
      <c r="A199" s="78" t="n">
        <v>195</v>
      </c>
      <c r="B199" s="85"/>
      <c r="C199" s="86"/>
      <c r="D199" s="86"/>
      <c r="E199" s="86"/>
      <c r="F199" s="86"/>
      <c r="G199" s="86"/>
      <c r="H199" s="86"/>
      <c r="I199" s="87"/>
      <c r="J199" s="86"/>
      <c r="K199" s="86"/>
      <c r="L199" s="86"/>
      <c r="M199" s="86"/>
      <c r="N199" s="86"/>
      <c r="O199" s="86"/>
      <c r="P199" s="86"/>
    </row>
    <row r="200" customFormat="false" ht="15" hidden="false" customHeight="false" outlineLevel="0" collapsed="false">
      <c r="A200" s="78" t="n">
        <v>196</v>
      </c>
      <c r="B200" s="88"/>
      <c r="C200" s="89"/>
      <c r="D200" s="89"/>
      <c r="E200" s="89"/>
      <c r="F200" s="89"/>
      <c r="G200" s="89"/>
      <c r="H200" s="89"/>
      <c r="I200" s="90"/>
      <c r="J200" s="89"/>
      <c r="K200" s="89"/>
      <c r="L200" s="89"/>
      <c r="M200" s="89"/>
      <c r="N200" s="89"/>
      <c r="O200" s="89"/>
      <c r="P200" s="89"/>
    </row>
    <row r="201" customFormat="false" ht="15" hidden="false" customHeight="false" outlineLevel="0" collapsed="false">
      <c r="A201" s="78" t="n">
        <v>197</v>
      </c>
      <c r="B201" s="85"/>
      <c r="C201" s="86"/>
      <c r="D201" s="86"/>
      <c r="E201" s="86"/>
      <c r="F201" s="86"/>
      <c r="G201" s="86"/>
      <c r="H201" s="86"/>
      <c r="I201" s="87"/>
      <c r="J201" s="86"/>
      <c r="K201" s="86"/>
      <c r="L201" s="86"/>
      <c r="M201" s="86"/>
      <c r="N201" s="86"/>
      <c r="O201" s="86"/>
      <c r="P201" s="86"/>
    </row>
    <row r="202" customFormat="false" ht="15" hidden="false" customHeight="false" outlineLevel="0" collapsed="false">
      <c r="A202" s="78" t="n">
        <v>198</v>
      </c>
      <c r="B202" s="88"/>
      <c r="C202" s="89"/>
      <c r="D202" s="89"/>
      <c r="E202" s="89"/>
      <c r="F202" s="89"/>
      <c r="G202" s="89"/>
      <c r="H202" s="89"/>
      <c r="I202" s="90"/>
      <c r="J202" s="89"/>
      <c r="K202" s="89"/>
      <c r="L202" s="89"/>
      <c r="M202" s="89"/>
      <c r="N202" s="89"/>
      <c r="O202" s="89"/>
      <c r="P202" s="89"/>
    </row>
    <row r="203" customFormat="false" ht="15" hidden="false" customHeight="false" outlineLevel="0" collapsed="false">
      <c r="A203" s="78" t="n">
        <v>199</v>
      </c>
      <c r="B203" s="85"/>
      <c r="C203" s="86"/>
      <c r="D203" s="86"/>
      <c r="E203" s="86"/>
      <c r="F203" s="86"/>
      <c r="G203" s="86"/>
      <c r="H203" s="86"/>
      <c r="I203" s="87"/>
      <c r="J203" s="86"/>
      <c r="K203" s="86"/>
      <c r="L203" s="86"/>
      <c r="M203" s="86"/>
      <c r="N203" s="86"/>
      <c r="O203" s="86"/>
      <c r="P203" s="86"/>
    </row>
    <row r="204" customFormat="false" ht="15" hidden="false" customHeight="false" outlineLevel="0" collapsed="false">
      <c r="A204" s="78" t="n">
        <v>200</v>
      </c>
      <c r="B204" s="88"/>
      <c r="C204" s="89"/>
      <c r="D204" s="89"/>
      <c r="E204" s="89"/>
      <c r="F204" s="89"/>
      <c r="G204" s="89"/>
      <c r="H204" s="89"/>
      <c r="I204" s="90"/>
      <c r="J204" s="89"/>
      <c r="K204" s="89"/>
      <c r="L204" s="89"/>
      <c r="M204" s="89"/>
      <c r="N204" s="89"/>
      <c r="O204" s="89"/>
      <c r="P204" s="89"/>
    </row>
    <row r="205" customFormat="false" ht="15" hidden="false" customHeight="false" outlineLevel="0" collapsed="false">
      <c r="A205" s="78" t="n">
        <v>201</v>
      </c>
      <c r="B205" s="85"/>
      <c r="C205" s="86"/>
      <c r="D205" s="86"/>
      <c r="E205" s="86"/>
      <c r="F205" s="86"/>
      <c r="G205" s="86"/>
      <c r="H205" s="86"/>
      <c r="I205" s="87"/>
      <c r="J205" s="86"/>
      <c r="K205" s="86"/>
      <c r="L205" s="86"/>
      <c r="M205" s="86"/>
      <c r="N205" s="86"/>
      <c r="O205" s="86"/>
      <c r="P205" s="86"/>
    </row>
    <row r="206" customFormat="false" ht="15" hidden="false" customHeight="false" outlineLevel="0" collapsed="false">
      <c r="A206" s="78" t="n">
        <v>202</v>
      </c>
      <c r="B206" s="88"/>
      <c r="C206" s="89"/>
      <c r="D206" s="89"/>
      <c r="E206" s="89"/>
      <c r="F206" s="89"/>
      <c r="G206" s="89"/>
      <c r="H206" s="89"/>
      <c r="I206" s="90"/>
      <c r="J206" s="89"/>
      <c r="K206" s="89"/>
      <c r="L206" s="89"/>
      <c r="M206" s="89"/>
      <c r="N206" s="89"/>
      <c r="O206" s="89"/>
      <c r="P206" s="89"/>
    </row>
    <row r="207" customFormat="false" ht="15" hidden="false" customHeight="false" outlineLevel="0" collapsed="false">
      <c r="A207" s="78" t="n">
        <v>203</v>
      </c>
      <c r="B207" s="85"/>
      <c r="C207" s="86"/>
      <c r="D207" s="86"/>
      <c r="E207" s="86"/>
      <c r="F207" s="86"/>
      <c r="G207" s="86"/>
      <c r="H207" s="86"/>
      <c r="I207" s="87"/>
      <c r="J207" s="86"/>
      <c r="K207" s="86"/>
      <c r="L207" s="86"/>
      <c r="M207" s="86"/>
      <c r="N207" s="86"/>
      <c r="O207" s="86"/>
      <c r="P207" s="86"/>
    </row>
    <row r="208" customFormat="false" ht="15" hidden="false" customHeight="false" outlineLevel="0" collapsed="false">
      <c r="A208" s="78" t="n">
        <v>204</v>
      </c>
      <c r="B208" s="88"/>
      <c r="C208" s="89"/>
      <c r="D208" s="89"/>
      <c r="E208" s="89"/>
      <c r="F208" s="89"/>
      <c r="G208" s="89"/>
      <c r="H208" s="89"/>
      <c r="I208" s="90"/>
      <c r="J208" s="89"/>
      <c r="K208" s="89"/>
      <c r="L208" s="89"/>
      <c r="M208" s="89"/>
      <c r="N208" s="89"/>
      <c r="O208" s="89"/>
      <c r="P208" s="89"/>
    </row>
    <row r="209" customFormat="false" ht="15" hidden="false" customHeight="false" outlineLevel="0" collapsed="false">
      <c r="A209" s="78" t="n">
        <v>205</v>
      </c>
      <c r="B209" s="85"/>
      <c r="C209" s="86"/>
      <c r="D209" s="86"/>
      <c r="E209" s="86"/>
      <c r="F209" s="86"/>
      <c r="G209" s="86"/>
      <c r="H209" s="86"/>
      <c r="I209" s="87"/>
      <c r="J209" s="86"/>
      <c r="K209" s="86"/>
      <c r="L209" s="86"/>
      <c r="M209" s="86"/>
      <c r="N209" s="86"/>
      <c r="O209" s="86"/>
      <c r="P209" s="86"/>
    </row>
    <row r="210" customFormat="false" ht="15" hidden="false" customHeight="false" outlineLevel="0" collapsed="false">
      <c r="A210" s="78" t="n">
        <v>206</v>
      </c>
      <c r="B210" s="88"/>
      <c r="C210" s="89"/>
      <c r="D210" s="89"/>
      <c r="E210" s="89"/>
      <c r="F210" s="89"/>
      <c r="G210" s="89"/>
      <c r="H210" s="89"/>
      <c r="I210" s="90"/>
      <c r="J210" s="89"/>
      <c r="K210" s="89"/>
      <c r="L210" s="89"/>
      <c r="M210" s="89"/>
      <c r="N210" s="89"/>
      <c r="O210" s="89"/>
      <c r="P210" s="89"/>
    </row>
    <row r="211" customFormat="false" ht="15" hidden="false" customHeight="false" outlineLevel="0" collapsed="false">
      <c r="A211" s="78" t="n">
        <v>207</v>
      </c>
      <c r="B211" s="85"/>
      <c r="C211" s="86"/>
      <c r="D211" s="86"/>
      <c r="E211" s="86"/>
      <c r="F211" s="86"/>
      <c r="G211" s="86"/>
      <c r="H211" s="86"/>
      <c r="I211" s="87"/>
      <c r="J211" s="86"/>
      <c r="K211" s="86"/>
      <c r="L211" s="86"/>
      <c r="M211" s="86"/>
      <c r="N211" s="86"/>
      <c r="O211" s="86"/>
      <c r="P211" s="86"/>
    </row>
    <row r="212" customFormat="false" ht="15" hidden="false" customHeight="false" outlineLevel="0" collapsed="false">
      <c r="A212" s="78" t="n">
        <v>208</v>
      </c>
      <c r="B212" s="88"/>
      <c r="C212" s="89"/>
      <c r="D212" s="89"/>
      <c r="E212" s="89"/>
      <c r="F212" s="89"/>
      <c r="G212" s="89"/>
      <c r="H212" s="89"/>
      <c r="I212" s="90"/>
      <c r="J212" s="89"/>
      <c r="K212" s="89"/>
      <c r="L212" s="89"/>
      <c r="M212" s="89"/>
      <c r="N212" s="89"/>
      <c r="O212" s="89"/>
      <c r="P212" s="89"/>
    </row>
    <row r="213" customFormat="false" ht="15" hidden="false" customHeight="false" outlineLevel="0" collapsed="false">
      <c r="A213" s="78" t="n">
        <v>209</v>
      </c>
      <c r="B213" s="85"/>
      <c r="C213" s="86"/>
      <c r="D213" s="86"/>
      <c r="E213" s="86"/>
      <c r="F213" s="86"/>
      <c r="G213" s="86"/>
      <c r="H213" s="86"/>
      <c r="I213" s="87"/>
      <c r="J213" s="86"/>
      <c r="K213" s="86"/>
      <c r="L213" s="86"/>
      <c r="M213" s="86"/>
      <c r="N213" s="86"/>
      <c r="O213" s="86"/>
      <c r="P213" s="86"/>
    </row>
    <row r="214" customFormat="false" ht="15" hidden="false" customHeight="false" outlineLevel="0" collapsed="false">
      <c r="A214" s="78" t="n">
        <v>210</v>
      </c>
      <c r="B214" s="88"/>
      <c r="C214" s="89"/>
      <c r="D214" s="89"/>
      <c r="E214" s="89"/>
      <c r="F214" s="89"/>
      <c r="G214" s="89"/>
      <c r="H214" s="89"/>
      <c r="I214" s="90"/>
      <c r="J214" s="89"/>
      <c r="K214" s="89"/>
      <c r="L214" s="89"/>
      <c r="M214" s="89"/>
      <c r="N214" s="89"/>
      <c r="O214" s="89"/>
      <c r="P214" s="89"/>
    </row>
    <row r="215" customFormat="false" ht="15" hidden="false" customHeight="false" outlineLevel="0" collapsed="false">
      <c r="A215" s="78" t="n">
        <v>211</v>
      </c>
      <c r="B215" s="85"/>
      <c r="C215" s="86"/>
      <c r="D215" s="86"/>
      <c r="E215" s="86"/>
      <c r="F215" s="86"/>
      <c r="G215" s="86"/>
      <c r="H215" s="86"/>
      <c r="I215" s="87"/>
      <c r="J215" s="86"/>
      <c r="K215" s="86"/>
      <c r="L215" s="86"/>
      <c r="M215" s="86"/>
      <c r="N215" s="86"/>
      <c r="O215" s="86"/>
      <c r="P215" s="86"/>
    </row>
    <row r="216" customFormat="false" ht="15" hidden="false" customHeight="false" outlineLevel="0" collapsed="false">
      <c r="A216" s="78" t="n">
        <v>212</v>
      </c>
      <c r="B216" s="88"/>
      <c r="C216" s="89"/>
      <c r="D216" s="89"/>
      <c r="E216" s="89"/>
      <c r="F216" s="89"/>
      <c r="G216" s="89"/>
      <c r="H216" s="89"/>
      <c r="I216" s="90"/>
      <c r="J216" s="89"/>
      <c r="K216" s="89"/>
      <c r="L216" s="89"/>
      <c r="M216" s="89"/>
      <c r="N216" s="89"/>
      <c r="O216" s="89"/>
      <c r="P216" s="89"/>
    </row>
    <row r="217" customFormat="false" ht="15" hidden="false" customHeight="false" outlineLevel="0" collapsed="false">
      <c r="A217" s="78" t="n">
        <v>213</v>
      </c>
      <c r="B217" s="85"/>
      <c r="C217" s="86"/>
      <c r="D217" s="86"/>
      <c r="E217" s="86"/>
      <c r="F217" s="86"/>
      <c r="G217" s="86"/>
      <c r="H217" s="86"/>
      <c r="I217" s="87"/>
      <c r="J217" s="86"/>
      <c r="K217" s="86"/>
      <c r="L217" s="86"/>
      <c r="M217" s="86"/>
      <c r="N217" s="86"/>
      <c r="O217" s="86"/>
      <c r="P217" s="86"/>
    </row>
    <row r="218" customFormat="false" ht="15" hidden="false" customHeight="false" outlineLevel="0" collapsed="false">
      <c r="A218" s="78" t="n">
        <v>214</v>
      </c>
      <c r="B218" s="88"/>
      <c r="C218" s="89"/>
      <c r="D218" s="89"/>
      <c r="E218" s="89"/>
      <c r="F218" s="89"/>
      <c r="G218" s="89"/>
      <c r="H218" s="89"/>
      <c r="I218" s="90"/>
      <c r="J218" s="89"/>
      <c r="K218" s="89"/>
      <c r="L218" s="89"/>
      <c r="M218" s="89"/>
      <c r="N218" s="89"/>
      <c r="O218" s="89"/>
      <c r="P218" s="89"/>
    </row>
    <row r="219" customFormat="false" ht="15" hidden="false" customHeight="false" outlineLevel="0" collapsed="false">
      <c r="A219" s="78" t="n">
        <v>215</v>
      </c>
      <c r="B219" s="85"/>
      <c r="C219" s="86"/>
      <c r="D219" s="86"/>
      <c r="E219" s="86"/>
      <c r="F219" s="86"/>
      <c r="G219" s="86"/>
      <c r="H219" s="86"/>
      <c r="I219" s="87"/>
      <c r="J219" s="86"/>
      <c r="K219" s="86"/>
      <c r="L219" s="86"/>
      <c r="M219" s="86"/>
      <c r="N219" s="86"/>
      <c r="O219" s="86"/>
      <c r="P219" s="86"/>
    </row>
    <row r="220" customFormat="false" ht="15" hidden="false" customHeight="false" outlineLevel="0" collapsed="false">
      <c r="A220" s="78" t="n">
        <v>216</v>
      </c>
      <c r="B220" s="88"/>
      <c r="C220" s="89"/>
      <c r="D220" s="89"/>
      <c r="E220" s="89"/>
      <c r="F220" s="89"/>
      <c r="G220" s="89"/>
      <c r="H220" s="89"/>
      <c r="I220" s="90"/>
      <c r="J220" s="89"/>
      <c r="K220" s="89"/>
      <c r="L220" s="89"/>
      <c r="M220" s="89"/>
      <c r="N220" s="89"/>
      <c r="O220" s="89"/>
      <c r="P220" s="89"/>
    </row>
    <row r="221" customFormat="false" ht="15" hidden="false" customHeight="false" outlineLevel="0" collapsed="false">
      <c r="A221" s="78" t="n">
        <v>217</v>
      </c>
      <c r="B221" s="85"/>
      <c r="C221" s="86"/>
      <c r="D221" s="86"/>
      <c r="E221" s="86"/>
      <c r="F221" s="86"/>
      <c r="G221" s="86"/>
      <c r="H221" s="86"/>
      <c r="I221" s="87"/>
      <c r="J221" s="86"/>
      <c r="K221" s="86"/>
      <c r="L221" s="86"/>
      <c r="M221" s="86"/>
      <c r="N221" s="86"/>
      <c r="O221" s="86"/>
      <c r="P221" s="86"/>
    </row>
    <row r="222" customFormat="false" ht="15" hidden="false" customHeight="false" outlineLevel="0" collapsed="false">
      <c r="A222" s="78" t="n">
        <v>218</v>
      </c>
      <c r="B222" s="88"/>
      <c r="C222" s="89"/>
      <c r="D222" s="89"/>
      <c r="E222" s="89"/>
      <c r="F222" s="89"/>
      <c r="G222" s="89"/>
      <c r="H222" s="89"/>
      <c r="I222" s="90"/>
      <c r="J222" s="89"/>
      <c r="K222" s="89"/>
      <c r="L222" s="89"/>
      <c r="M222" s="89"/>
      <c r="N222" s="89"/>
      <c r="O222" s="89"/>
      <c r="P222" s="89"/>
    </row>
    <row r="223" customFormat="false" ht="15" hidden="false" customHeight="false" outlineLevel="0" collapsed="false">
      <c r="A223" s="78" t="n">
        <v>219</v>
      </c>
      <c r="B223" s="85"/>
      <c r="C223" s="86"/>
      <c r="D223" s="86"/>
      <c r="E223" s="86"/>
      <c r="F223" s="86"/>
      <c r="G223" s="86"/>
      <c r="H223" s="86"/>
      <c r="I223" s="87"/>
      <c r="J223" s="86"/>
      <c r="K223" s="86"/>
      <c r="L223" s="86"/>
      <c r="M223" s="86"/>
      <c r="N223" s="86"/>
      <c r="O223" s="86"/>
      <c r="P223" s="86"/>
    </row>
    <row r="224" customFormat="false" ht="15" hidden="false" customHeight="false" outlineLevel="0" collapsed="false">
      <c r="A224" s="78" t="n">
        <v>220</v>
      </c>
      <c r="B224" s="88"/>
      <c r="C224" s="89"/>
      <c r="D224" s="89"/>
      <c r="E224" s="89"/>
      <c r="F224" s="89"/>
      <c r="G224" s="89"/>
      <c r="H224" s="89"/>
      <c r="I224" s="90"/>
      <c r="J224" s="89"/>
      <c r="K224" s="89"/>
      <c r="L224" s="89"/>
      <c r="M224" s="89"/>
      <c r="N224" s="89"/>
      <c r="O224" s="89"/>
      <c r="P224" s="89"/>
    </row>
    <row r="225" customFormat="false" ht="15" hidden="false" customHeight="false" outlineLevel="0" collapsed="false">
      <c r="A225" s="78" t="n">
        <v>221</v>
      </c>
      <c r="B225" s="85"/>
      <c r="C225" s="86"/>
      <c r="D225" s="86"/>
      <c r="E225" s="86"/>
      <c r="F225" s="86"/>
      <c r="G225" s="86"/>
      <c r="H225" s="86"/>
      <c r="I225" s="87"/>
      <c r="J225" s="86"/>
      <c r="K225" s="86"/>
      <c r="L225" s="86"/>
      <c r="M225" s="86"/>
      <c r="N225" s="86"/>
      <c r="O225" s="86"/>
      <c r="P225" s="86"/>
    </row>
    <row r="226" customFormat="false" ht="15" hidden="false" customHeight="false" outlineLevel="0" collapsed="false">
      <c r="A226" s="78" t="n">
        <v>222</v>
      </c>
      <c r="B226" s="88"/>
      <c r="C226" s="89"/>
      <c r="D226" s="89"/>
      <c r="E226" s="89"/>
      <c r="F226" s="89"/>
      <c r="G226" s="89"/>
      <c r="H226" s="89"/>
      <c r="I226" s="90"/>
      <c r="J226" s="89"/>
      <c r="K226" s="89"/>
      <c r="L226" s="89"/>
      <c r="M226" s="89"/>
      <c r="N226" s="89"/>
      <c r="O226" s="89"/>
      <c r="P226" s="89"/>
    </row>
    <row r="227" customFormat="false" ht="15" hidden="false" customHeight="false" outlineLevel="0" collapsed="false">
      <c r="A227" s="78" t="n">
        <v>223</v>
      </c>
      <c r="B227" s="85"/>
      <c r="C227" s="86"/>
      <c r="D227" s="86"/>
      <c r="E227" s="86"/>
      <c r="F227" s="86"/>
      <c r="G227" s="86"/>
      <c r="H227" s="86"/>
      <c r="I227" s="87"/>
      <c r="J227" s="86"/>
      <c r="K227" s="86"/>
      <c r="L227" s="86"/>
      <c r="M227" s="86"/>
      <c r="N227" s="86"/>
      <c r="O227" s="86"/>
      <c r="P227" s="86"/>
    </row>
    <row r="228" customFormat="false" ht="15" hidden="false" customHeight="false" outlineLevel="0" collapsed="false">
      <c r="A228" s="78" t="n">
        <v>224</v>
      </c>
      <c r="B228" s="88"/>
      <c r="C228" s="89"/>
      <c r="D228" s="89"/>
      <c r="E228" s="89"/>
      <c r="F228" s="89"/>
      <c r="G228" s="89"/>
      <c r="H228" s="89"/>
      <c r="I228" s="90"/>
      <c r="J228" s="89"/>
      <c r="K228" s="89"/>
      <c r="L228" s="89"/>
      <c r="M228" s="89"/>
      <c r="N228" s="89"/>
      <c r="O228" s="89"/>
      <c r="P228" s="89"/>
    </row>
    <row r="229" customFormat="false" ht="15" hidden="false" customHeight="false" outlineLevel="0" collapsed="false">
      <c r="A229" s="78" t="n">
        <v>225</v>
      </c>
      <c r="B229" s="85"/>
      <c r="C229" s="86"/>
      <c r="D229" s="86"/>
      <c r="E229" s="86"/>
      <c r="F229" s="86"/>
      <c r="G229" s="86"/>
      <c r="H229" s="86"/>
      <c r="I229" s="87"/>
      <c r="J229" s="86"/>
      <c r="K229" s="86"/>
      <c r="L229" s="86"/>
      <c r="M229" s="86"/>
      <c r="N229" s="86"/>
      <c r="O229" s="86"/>
      <c r="P229" s="86"/>
    </row>
    <row r="230" customFormat="false" ht="15" hidden="false" customHeight="false" outlineLevel="0" collapsed="false">
      <c r="A230" s="78" t="n">
        <v>226</v>
      </c>
      <c r="B230" s="88"/>
      <c r="C230" s="89"/>
      <c r="D230" s="89"/>
      <c r="E230" s="89"/>
      <c r="F230" s="89"/>
      <c r="G230" s="89"/>
      <c r="H230" s="89"/>
      <c r="I230" s="90"/>
      <c r="J230" s="89"/>
      <c r="K230" s="89"/>
      <c r="L230" s="89"/>
      <c r="M230" s="89"/>
      <c r="N230" s="89"/>
      <c r="O230" s="89"/>
      <c r="P230" s="89"/>
    </row>
    <row r="231" customFormat="false" ht="15" hidden="false" customHeight="false" outlineLevel="0" collapsed="false">
      <c r="A231" s="78" t="n">
        <v>227</v>
      </c>
      <c r="B231" s="85"/>
      <c r="C231" s="86"/>
      <c r="D231" s="86"/>
      <c r="E231" s="86"/>
      <c r="F231" s="86"/>
      <c r="G231" s="86"/>
      <c r="H231" s="86"/>
      <c r="I231" s="87"/>
      <c r="J231" s="86"/>
      <c r="K231" s="86"/>
      <c r="L231" s="86"/>
      <c r="M231" s="86"/>
      <c r="N231" s="86"/>
      <c r="O231" s="86"/>
      <c r="P231" s="86"/>
    </row>
    <row r="232" customFormat="false" ht="15" hidden="false" customHeight="false" outlineLevel="0" collapsed="false">
      <c r="A232" s="78" t="n">
        <v>228</v>
      </c>
      <c r="B232" s="88"/>
      <c r="C232" s="89"/>
      <c r="D232" s="89"/>
      <c r="E232" s="89"/>
      <c r="F232" s="89"/>
      <c r="G232" s="89"/>
      <c r="H232" s="89"/>
      <c r="I232" s="90"/>
      <c r="J232" s="89"/>
      <c r="K232" s="89"/>
      <c r="L232" s="89"/>
      <c r="M232" s="89"/>
      <c r="N232" s="89"/>
      <c r="O232" s="89"/>
      <c r="P232" s="89"/>
    </row>
    <row r="233" customFormat="false" ht="15" hidden="false" customHeight="false" outlineLevel="0" collapsed="false">
      <c r="A233" s="78" t="n">
        <v>229</v>
      </c>
      <c r="B233" s="85"/>
      <c r="C233" s="86"/>
      <c r="D233" s="86"/>
      <c r="E233" s="86"/>
      <c r="F233" s="86"/>
      <c r="G233" s="86"/>
      <c r="H233" s="86"/>
      <c r="I233" s="87"/>
      <c r="J233" s="86"/>
      <c r="K233" s="86"/>
      <c r="L233" s="86"/>
      <c r="M233" s="86"/>
      <c r="N233" s="86"/>
      <c r="O233" s="86"/>
      <c r="P233" s="86"/>
    </row>
    <row r="234" customFormat="false" ht="15" hidden="false" customHeight="false" outlineLevel="0" collapsed="false">
      <c r="A234" s="78" t="n">
        <v>230</v>
      </c>
      <c r="B234" s="88"/>
      <c r="C234" s="89"/>
      <c r="D234" s="89"/>
      <c r="E234" s="89"/>
      <c r="F234" s="89"/>
      <c r="G234" s="89"/>
      <c r="H234" s="89"/>
      <c r="I234" s="90"/>
      <c r="J234" s="89"/>
      <c r="K234" s="89"/>
      <c r="L234" s="89"/>
      <c r="M234" s="89"/>
      <c r="N234" s="89"/>
      <c r="O234" s="89"/>
      <c r="P234" s="89"/>
    </row>
    <row r="235" customFormat="false" ht="15" hidden="false" customHeight="false" outlineLevel="0" collapsed="false">
      <c r="A235" s="78" t="n">
        <v>231</v>
      </c>
      <c r="B235" s="85"/>
      <c r="C235" s="86"/>
      <c r="D235" s="86"/>
      <c r="E235" s="86"/>
      <c r="F235" s="86"/>
      <c r="G235" s="86"/>
      <c r="H235" s="86"/>
      <c r="I235" s="87"/>
      <c r="J235" s="86"/>
      <c r="K235" s="86"/>
      <c r="L235" s="86"/>
      <c r="M235" s="86"/>
      <c r="N235" s="86"/>
      <c r="O235" s="86"/>
      <c r="P235" s="86"/>
    </row>
    <row r="236" customFormat="false" ht="15" hidden="false" customHeight="false" outlineLevel="0" collapsed="false">
      <c r="A236" s="78" t="n">
        <v>232</v>
      </c>
      <c r="B236" s="88"/>
      <c r="C236" s="89"/>
      <c r="D236" s="89"/>
      <c r="E236" s="89"/>
      <c r="F236" s="89"/>
      <c r="G236" s="89"/>
      <c r="H236" s="89"/>
      <c r="I236" s="90"/>
      <c r="J236" s="89"/>
      <c r="K236" s="89"/>
      <c r="L236" s="89"/>
      <c r="M236" s="89"/>
      <c r="N236" s="89"/>
      <c r="O236" s="89"/>
      <c r="P236" s="89"/>
    </row>
    <row r="237" customFormat="false" ht="15" hidden="false" customHeight="false" outlineLevel="0" collapsed="false">
      <c r="A237" s="78" t="n">
        <v>233</v>
      </c>
      <c r="B237" s="85"/>
      <c r="C237" s="86"/>
      <c r="D237" s="86"/>
      <c r="E237" s="86"/>
      <c r="F237" s="86"/>
      <c r="G237" s="86"/>
      <c r="H237" s="86"/>
      <c r="I237" s="87"/>
      <c r="J237" s="86"/>
      <c r="K237" s="86"/>
      <c r="L237" s="86"/>
      <c r="M237" s="86"/>
      <c r="N237" s="86"/>
      <c r="O237" s="86"/>
      <c r="P237" s="86"/>
    </row>
    <row r="238" customFormat="false" ht="15" hidden="false" customHeight="false" outlineLevel="0" collapsed="false">
      <c r="A238" s="78" t="n">
        <v>234</v>
      </c>
      <c r="B238" s="88"/>
      <c r="C238" s="89"/>
      <c r="D238" s="89"/>
      <c r="E238" s="89"/>
      <c r="F238" s="89"/>
      <c r="G238" s="89"/>
      <c r="H238" s="89"/>
      <c r="I238" s="90"/>
      <c r="J238" s="89"/>
      <c r="K238" s="89"/>
      <c r="L238" s="89"/>
      <c r="M238" s="89"/>
      <c r="N238" s="89"/>
      <c r="O238" s="89"/>
      <c r="P238" s="89"/>
    </row>
    <row r="239" customFormat="false" ht="15" hidden="false" customHeight="false" outlineLevel="0" collapsed="false">
      <c r="A239" s="78" t="n">
        <v>235</v>
      </c>
      <c r="B239" s="85"/>
      <c r="C239" s="86"/>
      <c r="D239" s="86"/>
      <c r="E239" s="86"/>
      <c r="F239" s="86"/>
      <c r="G239" s="86"/>
      <c r="H239" s="86"/>
      <c r="I239" s="87"/>
      <c r="J239" s="86"/>
      <c r="K239" s="86"/>
      <c r="L239" s="86"/>
      <c r="M239" s="86"/>
      <c r="N239" s="86"/>
      <c r="O239" s="86"/>
      <c r="P239" s="86"/>
    </row>
    <row r="240" customFormat="false" ht="15" hidden="false" customHeight="false" outlineLevel="0" collapsed="false">
      <c r="A240" s="78" t="n">
        <v>236</v>
      </c>
      <c r="B240" s="88"/>
      <c r="C240" s="89"/>
      <c r="D240" s="89"/>
      <c r="E240" s="89"/>
      <c r="F240" s="89"/>
      <c r="G240" s="89"/>
      <c r="H240" s="89"/>
      <c r="I240" s="90"/>
      <c r="J240" s="89"/>
      <c r="K240" s="89"/>
      <c r="L240" s="89"/>
      <c r="M240" s="89"/>
      <c r="N240" s="89"/>
      <c r="O240" s="89"/>
      <c r="P240" s="89"/>
    </row>
    <row r="241" customFormat="false" ht="15" hidden="false" customHeight="false" outlineLevel="0" collapsed="false">
      <c r="A241" s="78" t="n">
        <v>237</v>
      </c>
      <c r="B241" s="85"/>
      <c r="C241" s="86"/>
      <c r="D241" s="86"/>
      <c r="E241" s="86"/>
      <c r="F241" s="86"/>
      <c r="G241" s="86"/>
      <c r="H241" s="86"/>
      <c r="I241" s="87"/>
      <c r="J241" s="86"/>
      <c r="K241" s="86"/>
      <c r="L241" s="86"/>
      <c r="M241" s="86"/>
      <c r="N241" s="86"/>
      <c r="O241" s="86"/>
      <c r="P241" s="86"/>
    </row>
    <row r="242" customFormat="false" ht="15" hidden="false" customHeight="false" outlineLevel="0" collapsed="false">
      <c r="A242" s="78" t="n">
        <v>238</v>
      </c>
      <c r="B242" s="88"/>
      <c r="C242" s="89"/>
      <c r="D242" s="89"/>
      <c r="E242" s="89"/>
      <c r="F242" s="89"/>
      <c r="G242" s="89"/>
      <c r="H242" s="89"/>
      <c r="I242" s="90"/>
      <c r="J242" s="89"/>
      <c r="K242" s="89"/>
      <c r="L242" s="89"/>
      <c r="M242" s="89"/>
      <c r="N242" s="89"/>
      <c r="O242" s="89"/>
      <c r="P242" s="89"/>
    </row>
    <row r="243" customFormat="false" ht="15" hidden="false" customHeight="false" outlineLevel="0" collapsed="false">
      <c r="A243" s="78" t="n">
        <v>239</v>
      </c>
      <c r="B243" s="85"/>
      <c r="C243" s="86"/>
      <c r="D243" s="86"/>
      <c r="E243" s="86"/>
      <c r="F243" s="86"/>
      <c r="G243" s="86"/>
      <c r="H243" s="86"/>
      <c r="I243" s="87"/>
      <c r="J243" s="86"/>
      <c r="K243" s="86"/>
      <c r="L243" s="86"/>
      <c r="M243" s="86"/>
      <c r="N243" s="86"/>
      <c r="O243" s="86"/>
      <c r="P243" s="86"/>
    </row>
    <row r="244" customFormat="false" ht="15" hidden="false" customHeight="false" outlineLevel="0" collapsed="false">
      <c r="A244" s="78" t="n">
        <v>240</v>
      </c>
      <c r="B244" s="88"/>
      <c r="C244" s="89"/>
      <c r="D244" s="89"/>
      <c r="E244" s="89"/>
      <c r="F244" s="89"/>
      <c r="G244" s="89"/>
      <c r="H244" s="89"/>
      <c r="I244" s="90"/>
      <c r="J244" s="89"/>
      <c r="K244" s="89"/>
      <c r="L244" s="89"/>
      <c r="M244" s="89"/>
      <c r="N244" s="89"/>
      <c r="O244" s="89"/>
      <c r="P244" s="89"/>
    </row>
    <row r="245" customFormat="false" ht="15" hidden="false" customHeight="false" outlineLevel="0" collapsed="false">
      <c r="A245" s="78" t="n">
        <v>241</v>
      </c>
      <c r="B245" s="85"/>
      <c r="C245" s="86"/>
      <c r="D245" s="86"/>
      <c r="E245" s="86"/>
      <c r="F245" s="86"/>
      <c r="G245" s="86"/>
      <c r="H245" s="86"/>
      <c r="I245" s="87"/>
      <c r="J245" s="86"/>
      <c r="K245" s="86"/>
      <c r="L245" s="86"/>
      <c r="M245" s="86"/>
      <c r="N245" s="86"/>
      <c r="O245" s="86"/>
      <c r="P245" s="86"/>
    </row>
    <row r="246" customFormat="false" ht="15" hidden="false" customHeight="false" outlineLevel="0" collapsed="false">
      <c r="A246" s="78" t="n">
        <v>242</v>
      </c>
      <c r="B246" s="88"/>
      <c r="C246" s="89"/>
      <c r="D246" s="89"/>
      <c r="E246" s="89"/>
      <c r="F246" s="89"/>
      <c r="G246" s="89"/>
      <c r="H246" s="89"/>
      <c r="I246" s="90"/>
      <c r="J246" s="89"/>
      <c r="K246" s="89"/>
      <c r="L246" s="89"/>
      <c r="M246" s="89"/>
      <c r="N246" s="89"/>
      <c r="O246" s="89"/>
      <c r="P246" s="89"/>
    </row>
    <row r="247" customFormat="false" ht="15" hidden="false" customHeight="false" outlineLevel="0" collapsed="false">
      <c r="A247" s="78" t="n">
        <v>243</v>
      </c>
      <c r="B247" s="85"/>
      <c r="C247" s="86"/>
      <c r="D247" s="86"/>
      <c r="E247" s="86"/>
      <c r="F247" s="86"/>
      <c r="G247" s="86"/>
      <c r="H247" s="86"/>
      <c r="I247" s="87"/>
      <c r="J247" s="86"/>
      <c r="K247" s="86"/>
      <c r="L247" s="86"/>
      <c r="M247" s="86"/>
      <c r="N247" s="86"/>
      <c r="O247" s="86"/>
      <c r="P247" s="86"/>
    </row>
    <row r="248" customFormat="false" ht="15" hidden="false" customHeight="false" outlineLevel="0" collapsed="false">
      <c r="A248" s="78" t="n">
        <v>244</v>
      </c>
      <c r="B248" s="88"/>
      <c r="C248" s="89"/>
      <c r="D248" s="89"/>
      <c r="E248" s="89"/>
      <c r="F248" s="89"/>
      <c r="G248" s="89"/>
      <c r="H248" s="89"/>
      <c r="I248" s="90"/>
      <c r="J248" s="89"/>
      <c r="K248" s="89"/>
      <c r="L248" s="89"/>
      <c r="M248" s="89"/>
      <c r="N248" s="89"/>
      <c r="O248" s="89"/>
      <c r="P248" s="89"/>
    </row>
    <row r="249" customFormat="false" ht="15" hidden="false" customHeight="false" outlineLevel="0" collapsed="false">
      <c r="A249" s="78" t="n">
        <v>245</v>
      </c>
      <c r="B249" s="85"/>
      <c r="C249" s="86"/>
      <c r="D249" s="86"/>
      <c r="E249" s="86"/>
      <c r="F249" s="86"/>
      <c r="G249" s="86"/>
      <c r="H249" s="86"/>
      <c r="I249" s="87"/>
      <c r="J249" s="86"/>
      <c r="K249" s="86"/>
      <c r="L249" s="86"/>
      <c r="M249" s="86"/>
      <c r="N249" s="86"/>
      <c r="O249" s="86"/>
      <c r="P249" s="86"/>
    </row>
    <row r="250" customFormat="false" ht="15" hidden="false" customHeight="false" outlineLevel="0" collapsed="false">
      <c r="A250" s="78" t="n">
        <v>246</v>
      </c>
      <c r="B250" s="88"/>
      <c r="C250" s="89"/>
      <c r="D250" s="89"/>
      <c r="E250" s="89"/>
      <c r="F250" s="89"/>
      <c r="G250" s="89"/>
      <c r="H250" s="89"/>
      <c r="I250" s="90"/>
      <c r="J250" s="89"/>
      <c r="K250" s="89"/>
      <c r="L250" s="89"/>
      <c r="M250" s="89"/>
      <c r="N250" s="89"/>
      <c r="O250" s="89"/>
      <c r="P250" s="89"/>
    </row>
    <row r="251" customFormat="false" ht="15" hidden="false" customHeight="false" outlineLevel="0" collapsed="false">
      <c r="A251" s="78" t="n">
        <v>247</v>
      </c>
      <c r="B251" s="85"/>
      <c r="C251" s="86"/>
      <c r="D251" s="86"/>
      <c r="E251" s="86"/>
      <c r="F251" s="86"/>
      <c r="G251" s="86"/>
      <c r="H251" s="86"/>
      <c r="I251" s="87"/>
      <c r="J251" s="86"/>
      <c r="K251" s="86"/>
      <c r="L251" s="86"/>
      <c r="M251" s="86"/>
      <c r="N251" s="86"/>
      <c r="O251" s="86"/>
      <c r="P251" s="86"/>
    </row>
    <row r="252" customFormat="false" ht="15" hidden="false" customHeight="false" outlineLevel="0" collapsed="false">
      <c r="A252" s="78" t="n">
        <v>248</v>
      </c>
      <c r="B252" s="88"/>
      <c r="C252" s="89"/>
      <c r="D252" s="89"/>
      <c r="E252" s="89"/>
      <c r="F252" s="89"/>
      <c r="G252" s="89"/>
      <c r="H252" s="89"/>
      <c r="I252" s="90"/>
      <c r="J252" s="89"/>
      <c r="K252" s="89"/>
      <c r="L252" s="89"/>
      <c r="M252" s="89"/>
      <c r="N252" s="89"/>
      <c r="O252" s="89"/>
      <c r="P252" s="89"/>
    </row>
    <row r="253" customFormat="false" ht="15" hidden="false" customHeight="false" outlineLevel="0" collapsed="false">
      <c r="A253" s="78" t="n">
        <v>249</v>
      </c>
      <c r="B253" s="85"/>
      <c r="C253" s="86"/>
      <c r="D253" s="86"/>
      <c r="E253" s="86"/>
      <c r="F253" s="86"/>
      <c r="G253" s="86"/>
      <c r="H253" s="86"/>
      <c r="I253" s="87"/>
      <c r="J253" s="86"/>
      <c r="K253" s="86"/>
      <c r="L253" s="86"/>
      <c r="M253" s="86"/>
      <c r="N253" s="86"/>
      <c r="O253" s="86"/>
      <c r="P253" s="86"/>
    </row>
    <row r="254" customFormat="false" ht="15" hidden="false" customHeight="false" outlineLevel="0" collapsed="false">
      <c r="A254" s="78" t="n">
        <v>250</v>
      </c>
      <c r="B254" s="88"/>
      <c r="C254" s="89"/>
      <c r="D254" s="89"/>
      <c r="E254" s="89"/>
      <c r="F254" s="89"/>
      <c r="G254" s="89"/>
      <c r="H254" s="89"/>
      <c r="I254" s="90"/>
      <c r="J254" s="89"/>
      <c r="K254" s="89"/>
      <c r="L254" s="89"/>
      <c r="M254" s="89"/>
      <c r="N254" s="89"/>
      <c r="O254" s="89"/>
      <c r="P254" s="89"/>
    </row>
    <row r="255" customFormat="false" ht="15" hidden="false" customHeight="false" outlineLevel="0" collapsed="false">
      <c r="A255" s="78" t="n">
        <v>251</v>
      </c>
      <c r="B255" s="85"/>
      <c r="C255" s="86"/>
      <c r="D255" s="86"/>
      <c r="E255" s="86"/>
      <c r="F255" s="86"/>
      <c r="G255" s="86"/>
      <c r="H255" s="86"/>
      <c r="I255" s="87"/>
      <c r="J255" s="86"/>
      <c r="K255" s="86"/>
      <c r="L255" s="86"/>
      <c r="M255" s="86"/>
      <c r="N255" s="86"/>
      <c r="O255" s="86"/>
      <c r="P255" s="86"/>
    </row>
    <row r="256" customFormat="false" ht="15" hidden="false" customHeight="false" outlineLevel="0" collapsed="false">
      <c r="A256" s="78" t="n">
        <v>252</v>
      </c>
      <c r="B256" s="88"/>
      <c r="C256" s="89"/>
      <c r="D256" s="89"/>
      <c r="E256" s="89"/>
      <c r="F256" s="89"/>
      <c r="G256" s="89"/>
      <c r="H256" s="89"/>
      <c r="I256" s="90"/>
      <c r="J256" s="89"/>
      <c r="K256" s="89"/>
      <c r="L256" s="89"/>
      <c r="M256" s="89"/>
      <c r="N256" s="89"/>
      <c r="O256" s="89"/>
      <c r="P256" s="89"/>
    </row>
    <row r="257" customFormat="false" ht="15" hidden="false" customHeight="false" outlineLevel="0" collapsed="false">
      <c r="A257" s="78" t="n">
        <v>253</v>
      </c>
      <c r="B257" s="85"/>
      <c r="C257" s="86"/>
      <c r="D257" s="86"/>
      <c r="E257" s="86"/>
      <c r="F257" s="86"/>
      <c r="G257" s="86"/>
      <c r="H257" s="86"/>
      <c r="I257" s="87"/>
      <c r="J257" s="86"/>
      <c r="K257" s="86"/>
      <c r="L257" s="86"/>
      <c r="M257" s="86"/>
      <c r="N257" s="86"/>
      <c r="O257" s="86"/>
      <c r="P257" s="86"/>
    </row>
    <row r="258" customFormat="false" ht="15" hidden="false" customHeight="false" outlineLevel="0" collapsed="false">
      <c r="A258" s="78" t="n">
        <v>254</v>
      </c>
      <c r="B258" s="88"/>
      <c r="C258" s="89"/>
      <c r="D258" s="89"/>
      <c r="E258" s="89"/>
      <c r="F258" s="89"/>
      <c r="G258" s="89"/>
      <c r="H258" s="89"/>
      <c r="I258" s="90"/>
      <c r="J258" s="89"/>
      <c r="K258" s="89"/>
      <c r="L258" s="89"/>
      <c r="M258" s="89"/>
      <c r="N258" s="89"/>
      <c r="O258" s="89"/>
      <c r="P258" s="89"/>
    </row>
    <row r="259" customFormat="false" ht="15" hidden="false" customHeight="false" outlineLevel="0" collapsed="false">
      <c r="A259" s="78" t="n">
        <v>255</v>
      </c>
      <c r="B259" s="85"/>
      <c r="C259" s="86"/>
      <c r="D259" s="86"/>
      <c r="E259" s="86"/>
      <c r="F259" s="86"/>
      <c r="G259" s="86"/>
      <c r="H259" s="86"/>
      <c r="I259" s="87"/>
      <c r="J259" s="86"/>
      <c r="K259" s="86"/>
      <c r="L259" s="86"/>
      <c r="M259" s="86"/>
      <c r="N259" s="86"/>
      <c r="O259" s="86"/>
      <c r="P259" s="86"/>
    </row>
    <row r="260" customFormat="false" ht="15" hidden="false" customHeight="false" outlineLevel="0" collapsed="false">
      <c r="A260" s="78" t="n">
        <v>256</v>
      </c>
      <c r="B260" s="88"/>
      <c r="C260" s="89"/>
      <c r="D260" s="89"/>
      <c r="E260" s="89"/>
      <c r="F260" s="89"/>
      <c r="G260" s="89"/>
      <c r="H260" s="89"/>
      <c r="I260" s="90"/>
      <c r="J260" s="89"/>
      <c r="K260" s="89"/>
      <c r="L260" s="89"/>
      <c r="M260" s="89"/>
      <c r="N260" s="89"/>
      <c r="O260" s="89"/>
      <c r="P260" s="89"/>
    </row>
    <row r="261" customFormat="false" ht="15" hidden="false" customHeight="false" outlineLevel="0" collapsed="false">
      <c r="A261" s="78" t="n">
        <v>257</v>
      </c>
      <c r="B261" s="85"/>
      <c r="C261" s="86"/>
      <c r="D261" s="86"/>
      <c r="E261" s="86"/>
      <c r="F261" s="86"/>
      <c r="G261" s="86"/>
      <c r="H261" s="86"/>
      <c r="I261" s="87"/>
      <c r="J261" s="86"/>
      <c r="K261" s="86"/>
      <c r="L261" s="86"/>
      <c r="M261" s="86"/>
      <c r="N261" s="86"/>
      <c r="O261" s="86"/>
      <c r="P261" s="86"/>
    </row>
    <row r="262" customFormat="false" ht="15" hidden="false" customHeight="false" outlineLevel="0" collapsed="false">
      <c r="A262" s="78" t="n">
        <v>258</v>
      </c>
      <c r="B262" s="88"/>
      <c r="C262" s="89"/>
      <c r="D262" s="89"/>
      <c r="E262" s="89"/>
      <c r="F262" s="89"/>
      <c r="G262" s="89"/>
      <c r="H262" s="89"/>
      <c r="I262" s="90"/>
      <c r="J262" s="89"/>
      <c r="K262" s="89"/>
      <c r="L262" s="89"/>
      <c r="M262" s="89"/>
      <c r="N262" s="89"/>
      <c r="O262" s="89"/>
      <c r="P262" s="89"/>
    </row>
    <row r="263" customFormat="false" ht="15" hidden="false" customHeight="false" outlineLevel="0" collapsed="false">
      <c r="A263" s="78" t="n">
        <v>259</v>
      </c>
      <c r="B263" s="85"/>
      <c r="C263" s="86"/>
      <c r="D263" s="86"/>
      <c r="E263" s="86"/>
      <c r="F263" s="86"/>
      <c r="G263" s="86"/>
      <c r="H263" s="86"/>
      <c r="I263" s="87"/>
      <c r="J263" s="86"/>
      <c r="K263" s="86"/>
      <c r="L263" s="86"/>
      <c r="M263" s="86"/>
      <c r="N263" s="86"/>
      <c r="O263" s="86"/>
      <c r="P263" s="86"/>
    </row>
    <row r="264" customFormat="false" ht="15" hidden="false" customHeight="false" outlineLevel="0" collapsed="false">
      <c r="A264" s="78" t="n">
        <v>260</v>
      </c>
      <c r="B264" s="88"/>
      <c r="C264" s="89"/>
      <c r="D264" s="89"/>
      <c r="E264" s="89"/>
      <c r="F264" s="89"/>
      <c r="G264" s="89"/>
      <c r="H264" s="89"/>
      <c r="I264" s="90"/>
      <c r="J264" s="89"/>
      <c r="K264" s="89"/>
      <c r="L264" s="89"/>
      <c r="M264" s="89"/>
      <c r="N264" s="89"/>
      <c r="O264" s="89"/>
      <c r="P264" s="89"/>
    </row>
    <row r="265" customFormat="false" ht="15" hidden="false" customHeight="false" outlineLevel="0" collapsed="false">
      <c r="A265" s="78" t="n">
        <v>261</v>
      </c>
      <c r="B265" s="85"/>
      <c r="C265" s="86"/>
      <c r="D265" s="86"/>
      <c r="E265" s="86"/>
      <c r="F265" s="86"/>
      <c r="G265" s="86"/>
      <c r="H265" s="86"/>
      <c r="I265" s="87"/>
      <c r="J265" s="86"/>
      <c r="K265" s="86"/>
      <c r="L265" s="86"/>
      <c r="M265" s="86"/>
      <c r="N265" s="86"/>
      <c r="O265" s="86"/>
      <c r="P265" s="86"/>
    </row>
    <row r="266" customFormat="false" ht="15" hidden="false" customHeight="false" outlineLevel="0" collapsed="false">
      <c r="A266" s="78" t="n">
        <v>262</v>
      </c>
      <c r="B266" s="88"/>
      <c r="C266" s="89"/>
      <c r="D266" s="89"/>
      <c r="E266" s="89"/>
      <c r="F266" s="89"/>
      <c r="G266" s="89"/>
      <c r="H266" s="89"/>
      <c r="I266" s="90"/>
      <c r="J266" s="89"/>
      <c r="K266" s="89"/>
      <c r="L266" s="89"/>
      <c r="M266" s="89"/>
      <c r="N266" s="89"/>
      <c r="O266" s="89"/>
      <c r="P266" s="89"/>
    </row>
    <row r="267" customFormat="false" ht="15" hidden="false" customHeight="false" outlineLevel="0" collapsed="false">
      <c r="A267" s="78" t="n">
        <v>263</v>
      </c>
      <c r="B267" s="85"/>
      <c r="C267" s="86"/>
      <c r="D267" s="86"/>
      <c r="E267" s="86"/>
      <c r="F267" s="86"/>
      <c r="G267" s="86"/>
      <c r="H267" s="86"/>
      <c r="I267" s="87"/>
      <c r="J267" s="86"/>
      <c r="K267" s="86"/>
      <c r="L267" s="86"/>
      <c r="M267" s="86"/>
      <c r="N267" s="86"/>
      <c r="O267" s="86"/>
      <c r="P267" s="86"/>
    </row>
    <row r="268" customFormat="false" ht="15" hidden="false" customHeight="false" outlineLevel="0" collapsed="false">
      <c r="A268" s="78" t="n">
        <v>264</v>
      </c>
      <c r="B268" s="88"/>
      <c r="C268" s="89"/>
      <c r="D268" s="89"/>
      <c r="E268" s="89"/>
      <c r="F268" s="89"/>
      <c r="G268" s="89"/>
      <c r="H268" s="89"/>
      <c r="I268" s="90"/>
      <c r="J268" s="89"/>
      <c r="K268" s="89"/>
      <c r="L268" s="89"/>
      <c r="M268" s="89"/>
      <c r="N268" s="89"/>
      <c r="O268" s="89"/>
      <c r="P268" s="89"/>
    </row>
    <row r="269" customFormat="false" ht="15" hidden="false" customHeight="false" outlineLevel="0" collapsed="false">
      <c r="A269" s="78" t="n">
        <v>265</v>
      </c>
      <c r="B269" s="85"/>
      <c r="C269" s="86"/>
      <c r="D269" s="86"/>
      <c r="E269" s="86"/>
      <c r="F269" s="86"/>
      <c r="G269" s="86"/>
      <c r="H269" s="86"/>
      <c r="I269" s="87"/>
      <c r="J269" s="86"/>
      <c r="K269" s="86"/>
      <c r="L269" s="86"/>
      <c r="M269" s="86"/>
      <c r="N269" s="86"/>
      <c r="O269" s="86"/>
      <c r="P269" s="86"/>
    </row>
    <row r="270" customFormat="false" ht="15" hidden="false" customHeight="false" outlineLevel="0" collapsed="false">
      <c r="A270" s="78" t="n">
        <v>266</v>
      </c>
      <c r="B270" s="88"/>
      <c r="C270" s="89"/>
      <c r="D270" s="89"/>
      <c r="E270" s="89"/>
      <c r="F270" s="89"/>
      <c r="G270" s="89"/>
      <c r="H270" s="89"/>
      <c r="I270" s="90"/>
      <c r="J270" s="89"/>
      <c r="K270" s="89"/>
      <c r="L270" s="89"/>
      <c r="M270" s="89"/>
      <c r="N270" s="89"/>
      <c r="O270" s="89"/>
      <c r="P270" s="89"/>
    </row>
    <row r="271" customFormat="false" ht="15" hidden="false" customHeight="false" outlineLevel="0" collapsed="false">
      <c r="A271" s="78" t="n">
        <v>267</v>
      </c>
      <c r="B271" s="85"/>
      <c r="C271" s="86"/>
      <c r="D271" s="86"/>
      <c r="E271" s="86"/>
      <c r="F271" s="86"/>
      <c r="G271" s="86"/>
      <c r="H271" s="86"/>
      <c r="I271" s="87"/>
      <c r="J271" s="86"/>
      <c r="K271" s="86"/>
      <c r="L271" s="86"/>
      <c r="M271" s="86"/>
      <c r="N271" s="86"/>
      <c r="O271" s="86"/>
      <c r="P271" s="86"/>
    </row>
    <row r="272" customFormat="false" ht="15" hidden="false" customHeight="false" outlineLevel="0" collapsed="false">
      <c r="A272" s="78" t="n">
        <v>268</v>
      </c>
      <c r="B272" s="88"/>
      <c r="C272" s="89"/>
      <c r="D272" s="89"/>
      <c r="E272" s="89"/>
      <c r="F272" s="89"/>
      <c r="G272" s="89"/>
      <c r="H272" s="89"/>
      <c r="I272" s="90"/>
      <c r="J272" s="89"/>
      <c r="K272" s="89"/>
      <c r="L272" s="89"/>
      <c r="M272" s="89"/>
      <c r="N272" s="89"/>
      <c r="O272" s="89"/>
      <c r="P272" s="89"/>
    </row>
    <row r="273" customFormat="false" ht="15" hidden="false" customHeight="false" outlineLevel="0" collapsed="false">
      <c r="A273" s="78" t="n">
        <v>269</v>
      </c>
      <c r="B273" s="85"/>
      <c r="C273" s="86"/>
      <c r="D273" s="86"/>
      <c r="E273" s="86"/>
      <c r="F273" s="86"/>
      <c r="G273" s="86"/>
      <c r="H273" s="86"/>
      <c r="I273" s="87"/>
      <c r="J273" s="86"/>
      <c r="K273" s="86"/>
      <c r="L273" s="86"/>
      <c r="M273" s="86"/>
      <c r="N273" s="86"/>
      <c r="O273" s="86"/>
      <c r="P273" s="86"/>
    </row>
    <row r="274" customFormat="false" ht="15" hidden="false" customHeight="false" outlineLevel="0" collapsed="false">
      <c r="A274" s="78" t="n">
        <v>270</v>
      </c>
      <c r="B274" s="88"/>
      <c r="C274" s="89"/>
      <c r="D274" s="89"/>
      <c r="E274" s="89"/>
      <c r="F274" s="89"/>
      <c r="G274" s="89"/>
      <c r="H274" s="89"/>
      <c r="I274" s="90"/>
      <c r="J274" s="89"/>
      <c r="K274" s="89"/>
      <c r="L274" s="89"/>
      <c r="M274" s="89"/>
      <c r="N274" s="89"/>
      <c r="O274" s="89"/>
      <c r="P274" s="89"/>
    </row>
    <row r="275" customFormat="false" ht="15" hidden="false" customHeight="false" outlineLevel="0" collapsed="false">
      <c r="A275" s="78" t="n">
        <v>271</v>
      </c>
      <c r="B275" s="85"/>
      <c r="C275" s="86"/>
      <c r="D275" s="86"/>
      <c r="E275" s="86"/>
      <c r="F275" s="86"/>
      <c r="G275" s="86"/>
      <c r="H275" s="86"/>
      <c r="I275" s="87"/>
      <c r="J275" s="86"/>
      <c r="K275" s="86"/>
      <c r="L275" s="86"/>
      <c r="M275" s="86"/>
      <c r="N275" s="86"/>
      <c r="O275" s="86"/>
      <c r="P275" s="86"/>
    </row>
    <row r="276" customFormat="false" ht="15" hidden="false" customHeight="false" outlineLevel="0" collapsed="false">
      <c r="A276" s="78" t="n">
        <v>272</v>
      </c>
      <c r="B276" s="88"/>
      <c r="C276" s="89"/>
      <c r="D276" s="89"/>
      <c r="E276" s="89"/>
      <c r="F276" s="89"/>
      <c r="G276" s="89"/>
      <c r="H276" s="89"/>
      <c r="I276" s="90"/>
      <c r="J276" s="89"/>
      <c r="K276" s="89"/>
      <c r="L276" s="89"/>
      <c r="M276" s="89"/>
      <c r="N276" s="89"/>
      <c r="O276" s="89"/>
      <c r="P276" s="89"/>
    </row>
    <row r="277" customFormat="false" ht="15" hidden="false" customHeight="false" outlineLevel="0" collapsed="false">
      <c r="A277" s="78" t="n">
        <v>273</v>
      </c>
      <c r="B277" s="85"/>
      <c r="C277" s="86"/>
      <c r="D277" s="86"/>
      <c r="E277" s="86"/>
      <c r="F277" s="86"/>
      <c r="G277" s="86"/>
      <c r="H277" s="86"/>
      <c r="I277" s="87"/>
      <c r="J277" s="86"/>
      <c r="K277" s="86"/>
      <c r="L277" s="86"/>
      <c r="M277" s="86"/>
      <c r="N277" s="86"/>
      <c r="O277" s="86"/>
      <c r="P277" s="86"/>
    </row>
    <row r="278" customFormat="false" ht="15" hidden="false" customHeight="false" outlineLevel="0" collapsed="false">
      <c r="A278" s="78" t="n">
        <v>274</v>
      </c>
      <c r="B278" s="88"/>
      <c r="C278" s="89"/>
      <c r="D278" s="89"/>
      <c r="E278" s="89"/>
      <c r="F278" s="89"/>
      <c r="G278" s="89"/>
      <c r="H278" s="89"/>
      <c r="I278" s="90"/>
      <c r="J278" s="89"/>
      <c r="K278" s="89"/>
      <c r="L278" s="89"/>
      <c r="M278" s="89"/>
      <c r="N278" s="89"/>
      <c r="O278" s="89"/>
      <c r="P278" s="89"/>
    </row>
    <row r="279" customFormat="false" ht="15" hidden="false" customHeight="false" outlineLevel="0" collapsed="false">
      <c r="A279" s="78" t="n">
        <v>275</v>
      </c>
      <c r="B279" s="85"/>
      <c r="C279" s="86"/>
      <c r="D279" s="86"/>
      <c r="E279" s="86"/>
      <c r="F279" s="86"/>
      <c r="G279" s="86"/>
      <c r="H279" s="86"/>
      <c r="I279" s="87"/>
      <c r="J279" s="86"/>
      <c r="K279" s="86"/>
      <c r="L279" s="86"/>
      <c r="M279" s="86"/>
      <c r="N279" s="86"/>
      <c r="O279" s="86"/>
      <c r="P279" s="86"/>
    </row>
    <row r="280" customFormat="false" ht="15" hidden="false" customHeight="false" outlineLevel="0" collapsed="false">
      <c r="A280" s="78" t="n">
        <v>276</v>
      </c>
      <c r="B280" s="88"/>
      <c r="C280" s="89"/>
      <c r="D280" s="89"/>
      <c r="E280" s="89"/>
      <c r="F280" s="89"/>
      <c r="G280" s="89"/>
      <c r="H280" s="89"/>
      <c r="I280" s="90"/>
      <c r="J280" s="89"/>
      <c r="K280" s="89"/>
      <c r="L280" s="89"/>
      <c r="M280" s="89"/>
      <c r="N280" s="89"/>
      <c r="O280" s="89"/>
      <c r="P280" s="89"/>
    </row>
    <row r="281" customFormat="false" ht="15" hidden="false" customHeight="false" outlineLevel="0" collapsed="false">
      <c r="A281" s="78" t="n">
        <v>277</v>
      </c>
      <c r="B281" s="85"/>
      <c r="C281" s="86"/>
      <c r="D281" s="86"/>
      <c r="E281" s="86"/>
      <c r="F281" s="86"/>
      <c r="G281" s="86"/>
      <c r="H281" s="86"/>
      <c r="I281" s="87"/>
      <c r="J281" s="86"/>
      <c r="K281" s="86"/>
      <c r="L281" s="86"/>
      <c r="M281" s="86"/>
      <c r="N281" s="86"/>
      <c r="O281" s="86"/>
      <c r="P281" s="86"/>
    </row>
    <row r="282" customFormat="false" ht="15" hidden="false" customHeight="false" outlineLevel="0" collapsed="false">
      <c r="A282" s="78" t="n">
        <v>278</v>
      </c>
      <c r="B282" s="88"/>
      <c r="C282" s="89"/>
      <c r="D282" s="89"/>
      <c r="E282" s="89"/>
      <c r="F282" s="89"/>
      <c r="G282" s="89"/>
      <c r="H282" s="89"/>
      <c r="I282" s="90"/>
      <c r="J282" s="89"/>
      <c r="K282" s="89"/>
      <c r="L282" s="89"/>
      <c r="M282" s="89"/>
      <c r="N282" s="89"/>
      <c r="O282" s="89"/>
      <c r="P282" s="89"/>
    </row>
    <row r="283" customFormat="false" ht="15" hidden="false" customHeight="false" outlineLevel="0" collapsed="false">
      <c r="A283" s="78" t="n">
        <v>279</v>
      </c>
      <c r="B283" s="85"/>
      <c r="C283" s="86"/>
      <c r="D283" s="86"/>
      <c r="E283" s="86"/>
      <c r="F283" s="86"/>
      <c r="G283" s="86"/>
      <c r="H283" s="86"/>
      <c r="I283" s="87"/>
      <c r="J283" s="86"/>
      <c r="K283" s="86"/>
      <c r="L283" s="86"/>
      <c r="M283" s="86"/>
      <c r="N283" s="86"/>
      <c r="O283" s="86"/>
      <c r="P283" s="86"/>
    </row>
    <row r="284" customFormat="false" ht="15" hidden="false" customHeight="false" outlineLevel="0" collapsed="false">
      <c r="A284" s="78" t="n">
        <v>280</v>
      </c>
      <c r="B284" s="88"/>
      <c r="C284" s="89"/>
      <c r="D284" s="89"/>
      <c r="E284" s="89"/>
      <c r="F284" s="89"/>
      <c r="G284" s="89"/>
      <c r="H284" s="89"/>
      <c r="I284" s="90"/>
      <c r="J284" s="89"/>
      <c r="K284" s="89"/>
      <c r="L284" s="89"/>
      <c r="M284" s="89"/>
      <c r="N284" s="89"/>
      <c r="O284" s="89"/>
      <c r="P284" s="89"/>
    </row>
    <row r="285" customFormat="false" ht="15" hidden="false" customHeight="false" outlineLevel="0" collapsed="false">
      <c r="A285" s="78" t="n">
        <v>281</v>
      </c>
      <c r="B285" s="85"/>
      <c r="C285" s="86"/>
      <c r="D285" s="86"/>
      <c r="E285" s="86"/>
      <c r="F285" s="86"/>
      <c r="G285" s="86"/>
      <c r="H285" s="86"/>
      <c r="I285" s="87"/>
      <c r="J285" s="86"/>
      <c r="K285" s="86"/>
      <c r="L285" s="86"/>
      <c r="M285" s="86"/>
      <c r="N285" s="86"/>
      <c r="O285" s="86"/>
      <c r="P285" s="86"/>
    </row>
    <row r="286" customFormat="false" ht="15" hidden="false" customHeight="false" outlineLevel="0" collapsed="false">
      <c r="A286" s="78" t="n">
        <v>282</v>
      </c>
      <c r="B286" s="88"/>
      <c r="C286" s="89"/>
      <c r="D286" s="89"/>
      <c r="E286" s="89"/>
      <c r="F286" s="89"/>
      <c r="G286" s="89"/>
      <c r="H286" s="89"/>
      <c r="I286" s="90"/>
      <c r="J286" s="89"/>
      <c r="K286" s="89"/>
      <c r="L286" s="89"/>
      <c r="M286" s="89"/>
      <c r="N286" s="89"/>
      <c r="O286" s="89"/>
      <c r="P286" s="89"/>
    </row>
    <row r="287" customFormat="false" ht="15" hidden="false" customHeight="false" outlineLevel="0" collapsed="false">
      <c r="A287" s="78" t="n">
        <v>283</v>
      </c>
      <c r="B287" s="85"/>
      <c r="C287" s="86"/>
      <c r="D287" s="86"/>
      <c r="E287" s="86"/>
      <c r="F287" s="86"/>
      <c r="G287" s="86"/>
      <c r="H287" s="86"/>
      <c r="I287" s="87"/>
      <c r="J287" s="86"/>
      <c r="K287" s="86"/>
      <c r="L287" s="86"/>
      <c r="M287" s="86"/>
      <c r="N287" s="86"/>
      <c r="O287" s="86"/>
      <c r="P287" s="86"/>
    </row>
    <row r="288" customFormat="false" ht="15" hidden="false" customHeight="false" outlineLevel="0" collapsed="false">
      <c r="A288" s="78" t="n">
        <v>284</v>
      </c>
      <c r="B288" s="88"/>
      <c r="C288" s="89"/>
      <c r="D288" s="89"/>
      <c r="E288" s="89"/>
      <c r="F288" s="89"/>
      <c r="G288" s="89"/>
      <c r="H288" s="89"/>
      <c r="I288" s="90"/>
      <c r="J288" s="89"/>
      <c r="K288" s="89"/>
      <c r="L288" s="89"/>
      <c r="M288" s="89"/>
      <c r="N288" s="89"/>
      <c r="O288" s="89"/>
      <c r="P288" s="89"/>
    </row>
    <row r="289" customFormat="false" ht="15" hidden="false" customHeight="false" outlineLevel="0" collapsed="false">
      <c r="A289" s="78" t="n">
        <v>285</v>
      </c>
      <c r="B289" s="85"/>
      <c r="C289" s="86"/>
      <c r="D289" s="86"/>
      <c r="E289" s="86"/>
      <c r="F289" s="86"/>
      <c r="G289" s="86"/>
      <c r="H289" s="86"/>
      <c r="I289" s="87"/>
      <c r="J289" s="86"/>
      <c r="K289" s="86"/>
      <c r="L289" s="86"/>
      <c r="M289" s="86"/>
      <c r="N289" s="86"/>
      <c r="O289" s="86"/>
      <c r="P289" s="86"/>
    </row>
    <row r="290" customFormat="false" ht="15" hidden="false" customHeight="false" outlineLevel="0" collapsed="false">
      <c r="A290" s="78" t="n">
        <v>286</v>
      </c>
      <c r="B290" s="88"/>
      <c r="C290" s="89"/>
      <c r="D290" s="89"/>
      <c r="E290" s="89"/>
      <c r="F290" s="89"/>
      <c r="G290" s="89"/>
      <c r="H290" s="89"/>
      <c r="I290" s="90"/>
      <c r="J290" s="89"/>
      <c r="K290" s="89"/>
      <c r="L290" s="89"/>
      <c r="M290" s="89"/>
      <c r="N290" s="89"/>
      <c r="O290" s="89"/>
      <c r="P290" s="89"/>
    </row>
    <row r="291" customFormat="false" ht="15" hidden="false" customHeight="false" outlineLevel="0" collapsed="false">
      <c r="A291" s="78" t="n">
        <v>287</v>
      </c>
      <c r="B291" s="85"/>
      <c r="C291" s="86"/>
      <c r="D291" s="86"/>
      <c r="E291" s="86"/>
      <c r="F291" s="86"/>
      <c r="G291" s="86"/>
      <c r="H291" s="86"/>
      <c r="I291" s="87"/>
      <c r="J291" s="86"/>
      <c r="K291" s="86"/>
      <c r="L291" s="86"/>
      <c r="M291" s="86"/>
      <c r="N291" s="86"/>
      <c r="O291" s="86"/>
      <c r="P291" s="86"/>
    </row>
    <row r="292" customFormat="false" ht="15" hidden="false" customHeight="false" outlineLevel="0" collapsed="false">
      <c r="A292" s="78" t="n">
        <v>288</v>
      </c>
      <c r="B292" s="88"/>
      <c r="C292" s="89"/>
      <c r="D292" s="89"/>
      <c r="E292" s="89"/>
      <c r="F292" s="89"/>
      <c r="G292" s="89"/>
      <c r="H292" s="89"/>
      <c r="I292" s="90"/>
      <c r="J292" s="89"/>
      <c r="K292" s="89"/>
      <c r="L292" s="89"/>
      <c r="M292" s="89"/>
      <c r="N292" s="89"/>
      <c r="O292" s="89"/>
      <c r="P292" s="89"/>
    </row>
    <row r="293" customFormat="false" ht="15" hidden="false" customHeight="false" outlineLevel="0" collapsed="false">
      <c r="A293" s="78" t="n">
        <v>289</v>
      </c>
      <c r="B293" s="85"/>
      <c r="C293" s="86"/>
      <c r="D293" s="86"/>
      <c r="E293" s="86"/>
      <c r="F293" s="86"/>
      <c r="G293" s="86"/>
      <c r="H293" s="86"/>
      <c r="I293" s="87"/>
      <c r="J293" s="86"/>
      <c r="K293" s="86"/>
      <c r="L293" s="86"/>
      <c r="M293" s="86"/>
      <c r="N293" s="86"/>
      <c r="O293" s="86"/>
      <c r="P293" s="86"/>
    </row>
    <row r="294" customFormat="false" ht="15" hidden="false" customHeight="false" outlineLevel="0" collapsed="false">
      <c r="A294" s="78" t="n">
        <v>290</v>
      </c>
      <c r="B294" s="88"/>
      <c r="C294" s="89"/>
      <c r="D294" s="89"/>
      <c r="E294" s="89"/>
      <c r="F294" s="89"/>
      <c r="G294" s="89"/>
      <c r="H294" s="89"/>
      <c r="I294" s="90"/>
      <c r="J294" s="89"/>
      <c r="K294" s="89"/>
      <c r="L294" s="89"/>
      <c r="M294" s="89"/>
      <c r="N294" s="89"/>
      <c r="O294" s="89"/>
      <c r="P294" s="89"/>
    </row>
    <row r="295" customFormat="false" ht="15" hidden="false" customHeight="false" outlineLevel="0" collapsed="false">
      <c r="A295" s="78" t="n">
        <v>291</v>
      </c>
      <c r="B295" s="85"/>
      <c r="C295" s="86"/>
      <c r="D295" s="86"/>
      <c r="E295" s="86"/>
      <c r="F295" s="86"/>
      <c r="G295" s="86"/>
      <c r="H295" s="86"/>
      <c r="I295" s="87"/>
      <c r="J295" s="86"/>
      <c r="K295" s="86"/>
      <c r="L295" s="86"/>
      <c r="M295" s="86"/>
      <c r="N295" s="86"/>
      <c r="O295" s="86"/>
      <c r="P295" s="86"/>
    </row>
    <row r="296" customFormat="false" ht="15" hidden="false" customHeight="false" outlineLevel="0" collapsed="false">
      <c r="A296" s="78" t="n">
        <v>292</v>
      </c>
      <c r="B296" s="88"/>
      <c r="C296" s="89"/>
      <c r="D296" s="89"/>
      <c r="E296" s="89"/>
      <c r="F296" s="89"/>
      <c r="G296" s="89"/>
      <c r="H296" s="89"/>
      <c r="I296" s="90"/>
      <c r="J296" s="89"/>
      <c r="K296" s="89"/>
      <c r="L296" s="89"/>
      <c r="M296" s="89"/>
      <c r="N296" s="89"/>
      <c r="O296" s="89"/>
      <c r="P296" s="89"/>
    </row>
    <row r="297" customFormat="false" ht="15" hidden="false" customHeight="false" outlineLevel="0" collapsed="false">
      <c r="A297" s="78" t="n">
        <v>293</v>
      </c>
      <c r="B297" s="85"/>
      <c r="C297" s="86"/>
      <c r="D297" s="86"/>
      <c r="E297" s="86"/>
      <c r="F297" s="86"/>
      <c r="G297" s="86"/>
      <c r="H297" s="86"/>
      <c r="I297" s="87"/>
      <c r="J297" s="86"/>
      <c r="K297" s="86"/>
      <c r="L297" s="86"/>
      <c r="M297" s="86"/>
      <c r="N297" s="86"/>
      <c r="O297" s="86"/>
      <c r="P297" s="86"/>
    </row>
    <row r="298" customFormat="false" ht="15" hidden="false" customHeight="false" outlineLevel="0" collapsed="false">
      <c r="A298" s="78" t="n">
        <v>294</v>
      </c>
      <c r="B298" s="88"/>
      <c r="C298" s="89"/>
      <c r="D298" s="89"/>
      <c r="E298" s="89"/>
      <c r="F298" s="89"/>
      <c r="G298" s="89"/>
      <c r="H298" s="89"/>
      <c r="I298" s="90"/>
      <c r="J298" s="89"/>
      <c r="K298" s="89"/>
      <c r="L298" s="89"/>
      <c r="M298" s="89"/>
      <c r="N298" s="89"/>
      <c r="O298" s="89"/>
      <c r="P298" s="89"/>
    </row>
    <row r="299" customFormat="false" ht="15" hidden="false" customHeight="false" outlineLevel="0" collapsed="false">
      <c r="A299" s="78" t="n">
        <v>295</v>
      </c>
      <c r="B299" s="85"/>
      <c r="C299" s="86"/>
      <c r="D299" s="86"/>
      <c r="E299" s="86"/>
      <c r="F299" s="86"/>
      <c r="G299" s="86"/>
      <c r="H299" s="86"/>
      <c r="I299" s="87"/>
      <c r="J299" s="86"/>
      <c r="K299" s="86"/>
      <c r="L299" s="86"/>
      <c r="M299" s="86"/>
      <c r="N299" s="86"/>
      <c r="O299" s="86"/>
      <c r="P299" s="86"/>
    </row>
    <row r="300" customFormat="false" ht="15" hidden="false" customHeight="false" outlineLevel="0" collapsed="false">
      <c r="A300" s="78" t="n">
        <v>296</v>
      </c>
      <c r="B300" s="88"/>
      <c r="C300" s="89"/>
      <c r="D300" s="89"/>
      <c r="E300" s="89"/>
      <c r="F300" s="89"/>
      <c r="G300" s="89"/>
      <c r="H300" s="89"/>
      <c r="I300" s="90"/>
      <c r="J300" s="89"/>
      <c r="K300" s="89"/>
      <c r="L300" s="89"/>
      <c r="M300" s="89"/>
      <c r="N300" s="89"/>
      <c r="O300" s="89"/>
      <c r="P300" s="89"/>
    </row>
    <row r="301" customFormat="false" ht="15" hidden="false" customHeight="false" outlineLevel="0" collapsed="false">
      <c r="A301" s="78" t="n">
        <v>297</v>
      </c>
      <c r="B301" s="85"/>
      <c r="C301" s="86"/>
      <c r="D301" s="86"/>
      <c r="E301" s="86"/>
      <c r="F301" s="86"/>
      <c r="G301" s="86"/>
      <c r="H301" s="86"/>
      <c r="I301" s="87"/>
      <c r="J301" s="86"/>
      <c r="K301" s="86"/>
      <c r="L301" s="86"/>
      <c r="M301" s="86"/>
      <c r="N301" s="86"/>
      <c r="O301" s="86"/>
      <c r="P301" s="86"/>
    </row>
    <row r="302" customFormat="false" ht="15" hidden="false" customHeight="false" outlineLevel="0" collapsed="false">
      <c r="A302" s="78" t="n">
        <v>298</v>
      </c>
      <c r="B302" s="88"/>
      <c r="C302" s="89"/>
      <c r="D302" s="89"/>
      <c r="E302" s="89"/>
      <c r="F302" s="89"/>
      <c r="G302" s="89"/>
      <c r="H302" s="89"/>
      <c r="I302" s="90"/>
      <c r="J302" s="89"/>
      <c r="K302" s="89"/>
      <c r="L302" s="89"/>
      <c r="M302" s="89"/>
      <c r="N302" s="89"/>
      <c r="O302" s="89"/>
      <c r="P302" s="89"/>
    </row>
    <row r="303" customFormat="false" ht="15" hidden="false" customHeight="false" outlineLevel="0" collapsed="false">
      <c r="A303" s="78" t="n">
        <v>299</v>
      </c>
      <c r="B303" s="85"/>
      <c r="C303" s="86"/>
      <c r="D303" s="86"/>
      <c r="E303" s="86"/>
      <c r="F303" s="86"/>
      <c r="G303" s="86"/>
      <c r="H303" s="86"/>
      <c r="I303" s="87"/>
      <c r="J303" s="86"/>
      <c r="K303" s="86"/>
      <c r="L303" s="86"/>
      <c r="M303" s="86"/>
      <c r="N303" s="86"/>
      <c r="O303" s="86"/>
      <c r="P303" s="86"/>
    </row>
    <row r="304" customFormat="false" ht="15" hidden="false" customHeight="false" outlineLevel="0" collapsed="false">
      <c r="A304" s="78" t="n">
        <v>300</v>
      </c>
      <c r="B304" s="88"/>
      <c r="C304" s="89"/>
      <c r="D304" s="89"/>
      <c r="E304" s="89"/>
      <c r="F304" s="89"/>
      <c r="G304" s="89"/>
      <c r="H304" s="89"/>
      <c r="I304" s="90"/>
      <c r="J304" s="89"/>
      <c r="K304" s="89"/>
      <c r="L304" s="89"/>
      <c r="M304" s="89"/>
      <c r="N304" s="89"/>
      <c r="O304" s="89"/>
      <c r="P304" s="89"/>
    </row>
    <row r="305" customFormat="false" ht="15" hidden="false" customHeight="false" outlineLevel="0" collapsed="false">
      <c r="A305" s="78" t="n">
        <v>301</v>
      </c>
      <c r="B305" s="85"/>
      <c r="C305" s="86"/>
      <c r="D305" s="86"/>
      <c r="E305" s="86"/>
      <c r="F305" s="86"/>
      <c r="G305" s="86"/>
      <c r="H305" s="86"/>
      <c r="I305" s="87"/>
      <c r="J305" s="86"/>
      <c r="K305" s="86"/>
      <c r="L305" s="86"/>
      <c r="M305" s="86"/>
      <c r="N305" s="86"/>
      <c r="O305" s="86"/>
      <c r="P305" s="86"/>
    </row>
    <row r="306" customFormat="false" ht="15" hidden="false" customHeight="false" outlineLevel="0" collapsed="false">
      <c r="A306" s="78" t="n">
        <v>302</v>
      </c>
      <c r="B306" s="88"/>
      <c r="C306" s="89"/>
      <c r="D306" s="89"/>
      <c r="E306" s="89"/>
      <c r="F306" s="89"/>
      <c r="G306" s="89"/>
      <c r="H306" s="89"/>
      <c r="I306" s="90"/>
      <c r="J306" s="89"/>
      <c r="K306" s="89"/>
      <c r="L306" s="89"/>
      <c r="M306" s="89"/>
      <c r="N306" s="89"/>
      <c r="O306" s="89"/>
      <c r="P306" s="89"/>
    </row>
    <row r="307" customFormat="false" ht="15" hidden="false" customHeight="false" outlineLevel="0" collapsed="false">
      <c r="A307" s="78" t="n">
        <v>303</v>
      </c>
      <c r="B307" s="85"/>
      <c r="C307" s="86"/>
      <c r="D307" s="86"/>
      <c r="E307" s="86"/>
      <c r="F307" s="86"/>
      <c r="G307" s="86"/>
      <c r="H307" s="86"/>
      <c r="I307" s="87"/>
      <c r="J307" s="86"/>
      <c r="K307" s="86"/>
      <c r="L307" s="86"/>
      <c r="M307" s="86"/>
      <c r="N307" s="86"/>
      <c r="O307" s="86"/>
      <c r="P307" s="86"/>
    </row>
    <row r="308" customFormat="false" ht="15" hidden="false" customHeight="false" outlineLevel="0" collapsed="false">
      <c r="A308" s="78" t="n">
        <v>304</v>
      </c>
      <c r="B308" s="88"/>
      <c r="C308" s="89"/>
      <c r="D308" s="89"/>
      <c r="E308" s="89"/>
      <c r="F308" s="89"/>
      <c r="G308" s="89"/>
      <c r="H308" s="89"/>
      <c r="I308" s="90"/>
      <c r="J308" s="89"/>
      <c r="K308" s="89"/>
      <c r="L308" s="89"/>
      <c r="M308" s="89"/>
      <c r="N308" s="89"/>
      <c r="O308" s="89"/>
      <c r="P308" s="89"/>
    </row>
    <row r="309" customFormat="false" ht="15" hidden="false" customHeight="false" outlineLevel="0" collapsed="false">
      <c r="A309" s="78" t="n">
        <v>305</v>
      </c>
      <c r="B309" s="85"/>
      <c r="C309" s="86"/>
      <c r="D309" s="86"/>
      <c r="E309" s="86"/>
      <c r="F309" s="86"/>
      <c r="G309" s="86"/>
      <c r="H309" s="86"/>
      <c r="I309" s="87"/>
      <c r="J309" s="86"/>
      <c r="K309" s="86"/>
      <c r="L309" s="86"/>
      <c r="M309" s="86"/>
      <c r="N309" s="86"/>
      <c r="O309" s="86"/>
      <c r="P309" s="86"/>
    </row>
    <row r="310" customFormat="false" ht="15" hidden="false" customHeight="false" outlineLevel="0" collapsed="false">
      <c r="A310" s="78" t="n">
        <v>306</v>
      </c>
      <c r="B310" s="88"/>
      <c r="C310" s="89"/>
      <c r="D310" s="89"/>
      <c r="E310" s="89"/>
      <c r="F310" s="89"/>
      <c r="G310" s="89"/>
      <c r="H310" s="89"/>
      <c r="I310" s="90"/>
      <c r="J310" s="89"/>
      <c r="K310" s="89"/>
      <c r="L310" s="89"/>
      <c r="M310" s="89"/>
      <c r="N310" s="89"/>
      <c r="O310" s="89"/>
      <c r="P310" s="89"/>
    </row>
    <row r="311" customFormat="false" ht="15" hidden="false" customHeight="false" outlineLevel="0" collapsed="false">
      <c r="A311" s="78" t="n">
        <v>307</v>
      </c>
      <c r="B311" s="85"/>
      <c r="C311" s="86"/>
      <c r="D311" s="86"/>
      <c r="E311" s="86"/>
      <c r="F311" s="86"/>
      <c r="G311" s="86"/>
      <c r="H311" s="86"/>
      <c r="I311" s="87"/>
      <c r="J311" s="86"/>
      <c r="K311" s="86"/>
      <c r="L311" s="86"/>
      <c r="M311" s="86"/>
      <c r="N311" s="86"/>
      <c r="O311" s="86"/>
      <c r="P311" s="86"/>
    </row>
    <row r="312" customFormat="false" ht="15" hidden="false" customHeight="false" outlineLevel="0" collapsed="false">
      <c r="A312" s="78" t="n">
        <v>308</v>
      </c>
      <c r="B312" s="88"/>
      <c r="C312" s="89"/>
      <c r="D312" s="89"/>
      <c r="E312" s="89"/>
      <c r="F312" s="89"/>
      <c r="G312" s="89"/>
      <c r="H312" s="89"/>
      <c r="I312" s="90"/>
      <c r="J312" s="89"/>
      <c r="K312" s="89"/>
      <c r="L312" s="89"/>
      <c r="M312" s="89"/>
      <c r="N312" s="89"/>
      <c r="O312" s="89"/>
      <c r="P312" s="89"/>
    </row>
    <row r="313" customFormat="false" ht="15" hidden="false" customHeight="false" outlineLevel="0" collapsed="false">
      <c r="A313" s="78" t="n">
        <v>309</v>
      </c>
      <c r="B313" s="85"/>
      <c r="C313" s="86"/>
      <c r="D313" s="86"/>
      <c r="E313" s="86"/>
      <c r="F313" s="86"/>
      <c r="G313" s="86"/>
      <c r="H313" s="86"/>
      <c r="I313" s="87"/>
      <c r="J313" s="86"/>
      <c r="K313" s="86"/>
      <c r="L313" s="86"/>
      <c r="M313" s="86"/>
      <c r="N313" s="86"/>
      <c r="O313" s="86"/>
      <c r="P313" s="86"/>
    </row>
    <row r="314" customFormat="false" ht="15" hidden="false" customHeight="false" outlineLevel="0" collapsed="false">
      <c r="A314" s="78" t="n">
        <v>310</v>
      </c>
      <c r="B314" s="88"/>
      <c r="C314" s="89"/>
      <c r="D314" s="89"/>
      <c r="E314" s="89"/>
      <c r="F314" s="89"/>
      <c r="G314" s="89"/>
      <c r="H314" s="89"/>
      <c r="I314" s="90"/>
      <c r="J314" s="89"/>
      <c r="K314" s="89"/>
      <c r="L314" s="89"/>
      <c r="M314" s="89"/>
      <c r="N314" s="89"/>
      <c r="O314" s="89"/>
      <c r="P314" s="89"/>
    </row>
    <row r="315" customFormat="false" ht="15" hidden="false" customHeight="false" outlineLevel="0" collapsed="false">
      <c r="A315" s="78" t="n">
        <v>311</v>
      </c>
      <c r="B315" s="85"/>
      <c r="C315" s="86"/>
      <c r="D315" s="86"/>
      <c r="E315" s="86"/>
      <c r="F315" s="86"/>
      <c r="G315" s="86"/>
      <c r="H315" s="86"/>
      <c r="I315" s="87"/>
      <c r="J315" s="86"/>
      <c r="K315" s="86"/>
      <c r="L315" s="86"/>
      <c r="M315" s="86"/>
      <c r="N315" s="86"/>
      <c r="O315" s="86"/>
      <c r="P315" s="86"/>
    </row>
    <row r="316" customFormat="false" ht="15" hidden="false" customHeight="false" outlineLevel="0" collapsed="false">
      <c r="A316" s="78" t="n">
        <v>312</v>
      </c>
      <c r="B316" s="88"/>
      <c r="C316" s="89"/>
      <c r="D316" s="89"/>
      <c r="E316" s="89"/>
      <c r="F316" s="89"/>
      <c r="G316" s="89"/>
      <c r="H316" s="89"/>
      <c r="I316" s="90"/>
      <c r="J316" s="89"/>
      <c r="K316" s="89"/>
      <c r="L316" s="89"/>
      <c r="M316" s="89"/>
      <c r="N316" s="89"/>
      <c r="O316" s="89"/>
      <c r="P316" s="89"/>
    </row>
    <row r="317" customFormat="false" ht="15" hidden="false" customHeight="false" outlineLevel="0" collapsed="false">
      <c r="A317" s="78" t="n">
        <v>313</v>
      </c>
      <c r="B317" s="85"/>
      <c r="C317" s="86"/>
      <c r="D317" s="86"/>
      <c r="E317" s="86"/>
      <c r="F317" s="86"/>
      <c r="G317" s="86"/>
      <c r="H317" s="86"/>
      <c r="I317" s="87"/>
      <c r="J317" s="86"/>
      <c r="K317" s="86"/>
      <c r="L317" s="86"/>
      <c r="M317" s="86"/>
      <c r="N317" s="86"/>
      <c r="O317" s="86"/>
      <c r="P317" s="86"/>
    </row>
    <row r="318" customFormat="false" ht="15" hidden="false" customHeight="false" outlineLevel="0" collapsed="false">
      <c r="A318" s="78" t="n">
        <v>314</v>
      </c>
      <c r="B318" s="88"/>
      <c r="C318" s="89"/>
      <c r="D318" s="89"/>
      <c r="E318" s="89"/>
      <c r="F318" s="89"/>
      <c r="G318" s="89"/>
      <c r="H318" s="89"/>
      <c r="I318" s="90"/>
      <c r="J318" s="89"/>
      <c r="K318" s="89"/>
      <c r="L318" s="89"/>
      <c r="M318" s="89"/>
      <c r="N318" s="89"/>
      <c r="O318" s="89"/>
      <c r="P318" s="89"/>
    </row>
    <row r="319" customFormat="false" ht="15" hidden="false" customHeight="false" outlineLevel="0" collapsed="false">
      <c r="A319" s="78" t="n">
        <v>315</v>
      </c>
      <c r="B319" s="85"/>
      <c r="C319" s="86"/>
      <c r="D319" s="86"/>
      <c r="E319" s="86"/>
      <c r="F319" s="86"/>
      <c r="G319" s="86"/>
      <c r="H319" s="86"/>
      <c r="I319" s="87"/>
      <c r="J319" s="86"/>
      <c r="K319" s="86"/>
      <c r="L319" s="86"/>
      <c r="M319" s="86"/>
      <c r="N319" s="86"/>
      <c r="O319" s="86"/>
      <c r="P319" s="86"/>
    </row>
    <row r="320" customFormat="false" ht="15" hidden="false" customHeight="false" outlineLevel="0" collapsed="false">
      <c r="A320" s="78" t="n">
        <v>316</v>
      </c>
      <c r="B320" s="88"/>
      <c r="C320" s="89"/>
      <c r="D320" s="89"/>
      <c r="E320" s="89"/>
      <c r="F320" s="89"/>
      <c r="G320" s="89"/>
      <c r="H320" s="89"/>
      <c r="I320" s="90"/>
      <c r="J320" s="89"/>
      <c r="K320" s="89"/>
      <c r="L320" s="89"/>
      <c r="M320" s="89"/>
      <c r="N320" s="89"/>
      <c r="O320" s="89"/>
      <c r="P320" s="89"/>
    </row>
    <row r="321" customFormat="false" ht="15" hidden="false" customHeight="false" outlineLevel="0" collapsed="false">
      <c r="A321" s="78" t="n">
        <v>317</v>
      </c>
      <c r="B321" s="85"/>
      <c r="C321" s="86"/>
      <c r="D321" s="86"/>
      <c r="E321" s="86"/>
      <c r="F321" s="86"/>
      <c r="G321" s="86"/>
      <c r="H321" s="86"/>
      <c r="I321" s="87"/>
      <c r="J321" s="86"/>
      <c r="K321" s="86"/>
      <c r="L321" s="86"/>
      <c r="M321" s="86"/>
      <c r="N321" s="86"/>
      <c r="O321" s="86"/>
      <c r="P321" s="86"/>
    </row>
    <row r="322" customFormat="false" ht="15" hidden="false" customHeight="false" outlineLevel="0" collapsed="false">
      <c r="A322" s="78" t="n">
        <v>318</v>
      </c>
      <c r="B322" s="88"/>
      <c r="C322" s="89"/>
      <c r="D322" s="89"/>
      <c r="E322" s="89"/>
      <c r="F322" s="89"/>
      <c r="G322" s="89"/>
      <c r="H322" s="89"/>
      <c r="I322" s="90"/>
      <c r="J322" s="89"/>
      <c r="K322" s="89"/>
      <c r="L322" s="89"/>
      <c r="M322" s="89"/>
      <c r="N322" s="89"/>
      <c r="O322" s="89"/>
      <c r="P322" s="89"/>
    </row>
    <row r="323" customFormat="false" ht="15" hidden="false" customHeight="false" outlineLevel="0" collapsed="false">
      <c r="A323" s="78" t="n">
        <v>319</v>
      </c>
      <c r="B323" s="85"/>
      <c r="C323" s="86"/>
      <c r="D323" s="86"/>
      <c r="E323" s="86"/>
      <c r="F323" s="86"/>
      <c r="G323" s="86"/>
      <c r="H323" s="86"/>
      <c r="I323" s="87"/>
      <c r="J323" s="86"/>
      <c r="K323" s="86"/>
      <c r="L323" s="86"/>
      <c r="M323" s="86"/>
      <c r="N323" s="86"/>
      <c r="O323" s="86"/>
      <c r="P323" s="86"/>
    </row>
    <row r="324" customFormat="false" ht="15" hidden="false" customHeight="false" outlineLevel="0" collapsed="false">
      <c r="A324" s="78" t="n">
        <v>320</v>
      </c>
      <c r="B324" s="88"/>
      <c r="C324" s="89"/>
      <c r="D324" s="89"/>
      <c r="E324" s="89"/>
      <c r="F324" s="89"/>
      <c r="G324" s="89"/>
      <c r="H324" s="89"/>
      <c r="I324" s="90"/>
      <c r="J324" s="89"/>
      <c r="K324" s="89"/>
      <c r="L324" s="89"/>
      <c r="M324" s="89"/>
      <c r="N324" s="89"/>
      <c r="O324" s="89"/>
      <c r="P324" s="89"/>
    </row>
    <row r="325" customFormat="false" ht="15" hidden="false" customHeight="false" outlineLevel="0" collapsed="false">
      <c r="A325" s="78" t="n">
        <v>321</v>
      </c>
      <c r="B325" s="85"/>
      <c r="C325" s="86"/>
      <c r="D325" s="86"/>
      <c r="E325" s="86"/>
      <c r="F325" s="86"/>
      <c r="G325" s="86"/>
      <c r="H325" s="86"/>
      <c r="I325" s="87"/>
      <c r="J325" s="86"/>
      <c r="K325" s="86"/>
      <c r="L325" s="86"/>
      <c r="M325" s="86"/>
      <c r="N325" s="86"/>
      <c r="O325" s="86"/>
      <c r="P325" s="86"/>
    </row>
    <row r="326" customFormat="false" ht="15" hidden="false" customHeight="false" outlineLevel="0" collapsed="false">
      <c r="A326" s="78" t="n">
        <v>322</v>
      </c>
      <c r="B326" s="88"/>
      <c r="C326" s="89"/>
      <c r="D326" s="89"/>
      <c r="E326" s="89"/>
      <c r="F326" s="89"/>
      <c r="G326" s="89"/>
      <c r="H326" s="89"/>
      <c r="I326" s="90"/>
      <c r="J326" s="89"/>
      <c r="K326" s="89"/>
      <c r="L326" s="89"/>
      <c r="M326" s="89"/>
      <c r="N326" s="89"/>
      <c r="O326" s="89"/>
      <c r="P326" s="89"/>
    </row>
    <row r="327" customFormat="false" ht="15" hidden="false" customHeight="false" outlineLevel="0" collapsed="false">
      <c r="A327" s="78" t="n">
        <v>323</v>
      </c>
      <c r="B327" s="85"/>
      <c r="C327" s="86"/>
      <c r="D327" s="86"/>
      <c r="E327" s="86"/>
      <c r="F327" s="86"/>
      <c r="G327" s="86"/>
      <c r="H327" s="86"/>
      <c r="I327" s="87"/>
      <c r="J327" s="86"/>
      <c r="K327" s="86"/>
      <c r="L327" s="86"/>
      <c r="M327" s="86"/>
      <c r="N327" s="86"/>
      <c r="O327" s="86"/>
      <c r="P327" s="86"/>
    </row>
    <row r="328" customFormat="false" ht="15" hidden="false" customHeight="false" outlineLevel="0" collapsed="false">
      <c r="A328" s="78" t="n">
        <v>324</v>
      </c>
      <c r="B328" s="88"/>
      <c r="C328" s="89"/>
      <c r="D328" s="89"/>
      <c r="E328" s="89"/>
      <c r="F328" s="89"/>
      <c r="G328" s="89"/>
      <c r="H328" s="89"/>
      <c r="I328" s="90"/>
      <c r="J328" s="89"/>
      <c r="K328" s="89"/>
      <c r="L328" s="89"/>
      <c r="M328" s="89"/>
      <c r="N328" s="89"/>
      <c r="O328" s="89"/>
      <c r="P328" s="89"/>
    </row>
    <row r="329" customFormat="false" ht="15" hidden="false" customHeight="false" outlineLevel="0" collapsed="false">
      <c r="A329" s="78" t="n">
        <v>325</v>
      </c>
      <c r="B329" s="85"/>
      <c r="C329" s="86"/>
      <c r="D329" s="86"/>
      <c r="E329" s="86"/>
      <c r="F329" s="86"/>
      <c r="G329" s="86"/>
      <c r="H329" s="86"/>
      <c r="I329" s="87"/>
      <c r="J329" s="86"/>
      <c r="K329" s="86"/>
      <c r="L329" s="86"/>
      <c r="M329" s="86"/>
      <c r="N329" s="86"/>
      <c r="O329" s="86"/>
      <c r="P329" s="86"/>
    </row>
    <row r="330" customFormat="false" ht="15" hidden="false" customHeight="false" outlineLevel="0" collapsed="false">
      <c r="A330" s="78" t="n">
        <v>326</v>
      </c>
      <c r="B330" s="88"/>
      <c r="C330" s="89"/>
      <c r="D330" s="89"/>
      <c r="E330" s="89"/>
      <c r="F330" s="89"/>
      <c r="G330" s="89"/>
      <c r="H330" s="89"/>
      <c r="I330" s="90"/>
      <c r="J330" s="89"/>
      <c r="K330" s="89"/>
      <c r="L330" s="89"/>
      <c r="M330" s="89"/>
      <c r="N330" s="89"/>
      <c r="O330" s="89"/>
      <c r="P330" s="89"/>
    </row>
    <row r="331" customFormat="false" ht="15" hidden="false" customHeight="false" outlineLevel="0" collapsed="false">
      <c r="A331" s="78" t="n">
        <v>327</v>
      </c>
      <c r="B331" s="85"/>
      <c r="C331" s="86"/>
      <c r="D331" s="86"/>
      <c r="E331" s="86"/>
      <c r="F331" s="86"/>
      <c r="G331" s="86"/>
      <c r="H331" s="86"/>
      <c r="I331" s="87"/>
      <c r="J331" s="86"/>
      <c r="K331" s="86"/>
      <c r="L331" s="86"/>
      <c r="M331" s="86"/>
      <c r="N331" s="86"/>
      <c r="O331" s="86"/>
      <c r="P331" s="86"/>
    </row>
    <row r="332" customFormat="false" ht="15" hidden="false" customHeight="false" outlineLevel="0" collapsed="false">
      <c r="A332" s="78" t="n">
        <v>328</v>
      </c>
      <c r="B332" s="88"/>
      <c r="C332" s="89"/>
      <c r="D332" s="89"/>
      <c r="E332" s="89"/>
      <c r="F332" s="89"/>
      <c r="G332" s="89"/>
      <c r="H332" s="89"/>
      <c r="I332" s="90"/>
      <c r="J332" s="89"/>
      <c r="K332" s="89"/>
      <c r="L332" s="89"/>
      <c r="M332" s="89"/>
      <c r="N332" s="89"/>
      <c r="O332" s="89"/>
      <c r="P332" s="89"/>
    </row>
    <row r="333" customFormat="false" ht="15" hidden="false" customHeight="false" outlineLevel="0" collapsed="false">
      <c r="A333" s="78" t="n">
        <v>329</v>
      </c>
      <c r="B333" s="85"/>
      <c r="C333" s="86"/>
      <c r="D333" s="86"/>
      <c r="E333" s="86"/>
      <c r="F333" s="86"/>
      <c r="G333" s="86"/>
      <c r="H333" s="86"/>
      <c r="I333" s="87"/>
      <c r="J333" s="86"/>
      <c r="K333" s="86"/>
      <c r="L333" s="86"/>
      <c r="M333" s="86"/>
      <c r="N333" s="86"/>
      <c r="O333" s="86"/>
      <c r="P333" s="86"/>
    </row>
    <row r="334" customFormat="false" ht="15" hidden="false" customHeight="false" outlineLevel="0" collapsed="false">
      <c r="A334" s="78" t="n">
        <v>330</v>
      </c>
      <c r="B334" s="88"/>
      <c r="C334" s="89"/>
      <c r="D334" s="89"/>
      <c r="E334" s="89"/>
      <c r="F334" s="89"/>
      <c r="G334" s="89"/>
      <c r="H334" s="89"/>
      <c r="I334" s="90"/>
      <c r="J334" s="89"/>
      <c r="K334" s="89"/>
      <c r="L334" s="89"/>
      <c r="M334" s="89"/>
      <c r="N334" s="89"/>
      <c r="O334" s="89"/>
      <c r="P334" s="89"/>
    </row>
    <row r="335" customFormat="false" ht="15" hidden="false" customHeight="false" outlineLevel="0" collapsed="false">
      <c r="A335" s="78" t="n">
        <v>331</v>
      </c>
      <c r="B335" s="85"/>
      <c r="C335" s="86"/>
      <c r="D335" s="86"/>
      <c r="E335" s="86"/>
      <c r="F335" s="86"/>
      <c r="G335" s="86"/>
      <c r="H335" s="86"/>
      <c r="I335" s="87"/>
      <c r="J335" s="86"/>
      <c r="K335" s="86"/>
      <c r="L335" s="86"/>
      <c r="M335" s="86"/>
      <c r="N335" s="86"/>
      <c r="O335" s="86"/>
      <c r="P335" s="86"/>
    </row>
    <row r="336" customFormat="false" ht="15" hidden="false" customHeight="false" outlineLevel="0" collapsed="false">
      <c r="A336" s="78" t="n">
        <v>332</v>
      </c>
      <c r="B336" s="88"/>
      <c r="C336" s="89"/>
      <c r="D336" s="89"/>
      <c r="E336" s="89"/>
      <c r="F336" s="89"/>
      <c r="G336" s="89"/>
      <c r="H336" s="89"/>
      <c r="I336" s="90"/>
      <c r="J336" s="89"/>
      <c r="K336" s="89"/>
      <c r="L336" s="89"/>
      <c r="M336" s="89"/>
      <c r="N336" s="89"/>
      <c r="O336" s="89"/>
      <c r="P336" s="89"/>
    </row>
    <row r="337" customFormat="false" ht="15" hidden="false" customHeight="false" outlineLevel="0" collapsed="false">
      <c r="A337" s="78" t="n">
        <v>333</v>
      </c>
      <c r="B337" s="85"/>
      <c r="C337" s="86"/>
      <c r="D337" s="86"/>
      <c r="E337" s="86"/>
      <c r="F337" s="86"/>
      <c r="G337" s="86"/>
      <c r="H337" s="86"/>
      <c r="I337" s="87"/>
      <c r="J337" s="86"/>
      <c r="K337" s="86"/>
      <c r="L337" s="86"/>
      <c r="M337" s="86"/>
      <c r="N337" s="86"/>
      <c r="O337" s="86"/>
      <c r="P337" s="86"/>
    </row>
    <row r="338" customFormat="false" ht="15" hidden="false" customHeight="false" outlineLevel="0" collapsed="false">
      <c r="A338" s="78" t="n">
        <v>334</v>
      </c>
      <c r="B338" s="88"/>
      <c r="C338" s="89"/>
      <c r="D338" s="89"/>
      <c r="E338" s="89"/>
      <c r="F338" s="89"/>
      <c r="G338" s="89"/>
      <c r="H338" s="89"/>
      <c r="I338" s="90"/>
      <c r="J338" s="89"/>
      <c r="K338" s="89"/>
      <c r="L338" s="89"/>
      <c r="M338" s="89"/>
      <c r="N338" s="89"/>
      <c r="O338" s="89"/>
      <c r="P338" s="89"/>
    </row>
    <row r="339" customFormat="false" ht="15" hidden="false" customHeight="false" outlineLevel="0" collapsed="false">
      <c r="A339" s="78" t="n">
        <v>335</v>
      </c>
      <c r="B339" s="85"/>
      <c r="C339" s="86"/>
      <c r="D339" s="86"/>
      <c r="E339" s="86"/>
      <c r="F339" s="86"/>
      <c r="G339" s="86"/>
      <c r="H339" s="86"/>
      <c r="I339" s="87"/>
      <c r="J339" s="86"/>
      <c r="K339" s="86"/>
      <c r="L339" s="86"/>
      <c r="M339" s="86"/>
      <c r="N339" s="86"/>
      <c r="O339" s="86"/>
      <c r="P339" s="86"/>
    </row>
    <row r="340" customFormat="false" ht="15" hidden="false" customHeight="false" outlineLevel="0" collapsed="false">
      <c r="A340" s="78" t="n">
        <v>336</v>
      </c>
      <c r="B340" s="88"/>
      <c r="C340" s="89"/>
      <c r="D340" s="89"/>
      <c r="E340" s="89"/>
      <c r="F340" s="89"/>
      <c r="G340" s="89"/>
      <c r="H340" s="89"/>
      <c r="I340" s="90"/>
      <c r="J340" s="89"/>
      <c r="K340" s="89"/>
      <c r="L340" s="89"/>
      <c r="M340" s="89"/>
      <c r="N340" s="89"/>
      <c r="O340" s="89"/>
      <c r="P340" s="89"/>
    </row>
    <row r="341" customFormat="false" ht="15" hidden="false" customHeight="false" outlineLevel="0" collapsed="false">
      <c r="A341" s="78" t="n">
        <v>337</v>
      </c>
      <c r="B341" s="85"/>
      <c r="C341" s="86"/>
      <c r="D341" s="86"/>
      <c r="E341" s="86"/>
      <c r="F341" s="86"/>
      <c r="G341" s="86"/>
      <c r="H341" s="86"/>
      <c r="I341" s="87"/>
      <c r="J341" s="86"/>
      <c r="K341" s="86"/>
      <c r="L341" s="86"/>
      <c r="M341" s="86"/>
      <c r="N341" s="86"/>
      <c r="O341" s="86"/>
      <c r="P341" s="86"/>
    </row>
    <row r="342" customFormat="false" ht="15" hidden="false" customHeight="false" outlineLevel="0" collapsed="false">
      <c r="A342" s="78" t="n">
        <v>338</v>
      </c>
      <c r="B342" s="88"/>
      <c r="C342" s="89"/>
      <c r="D342" s="89"/>
      <c r="E342" s="89"/>
      <c r="F342" s="89"/>
      <c r="G342" s="89"/>
      <c r="H342" s="89"/>
      <c r="I342" s="90"/>
      <c r="J342" s="89"/>
      <c r="K342" s="89"/>
      <c r="L342" s="89"/>
      <c r="M342" s="89"/>
      <c r="N342" s="89"/>
      <c r="O342" s="89"/>
      <c r="P342" s="89"/>
    </row>
    <row r="343" customFormat="false" ht="15" hidden="false" customHeight="false" outlineLevel="0" collapsed="false">
      <c r="A343" s="78" t="n">
        <v>339</v>
      </c>
      <c r="B343" s="85"/>
      <c r="C343" s="86"/>
      <c r="D343" s="86"/>
      <c r="E343" s="86"/>
      <c r="F343" s="86"/>
      <c r="G343" s="86"/>
      <c r="H343" s="86"/>
      <c r="I343" s="87"/>
      <c r="J343" s="86"/>
      <c r="K343" s="86"/>
      <c r="L343" s="86"/>
      <c r="M343" s="86"/>
      <c r="N343" s="86"/>
      <c r="O343" s="86"/>
      <c r="P343" s="86"/>
    </row>
    <row r="344" customFormat="false" ht="15" hidden="false" customHeight="false" outlineLevel="0" collapsed="false">
      <c r="A344" s="78" t="n">
        <v>340</v>
      </c>
      <c r="B344" s="88"/>
      <c r="C344" s="89"/>
      <c r="D344" s="89"/>
      <c r="E344" s="89"/>
      <c r="F344" s="89"/>
      <c r="G344" s="89"/>
      <c r="H344" s="89"/>
      <c r="I344" s="90"/>
      <c r="J344" s="89"/>
      <c r="K344" s="89"/>
      <c r="L344" s="89"/>
      <c r="M344" s="89"/>
      <c r="N344" s="89"/>
      <c r="O344" s="89"/>
      <c r="P344" s="89"/>
    </row>
    <row r="345" customFormat="false" ht="15" hidden="false" customHeight="false" outlineLevel="0" collapsed="false">
      <c r="A345" s="78" t="n">
        <v>341</v>
      </c>
      <c r="B345" s="85"/>
      <c r="C345" s="86"/>
      <c r="D345" s="86"/>
      <c r="E345" s="86"/>
      <c r="F345" s="86"/>
      <c r="G345" s="86"/>
      <c r="H345" s="86"/>
      <c r="I345" s="87"/>
      <c r="J345" s="86"/>
      <c r="K345" s="86"/>
      <c r="L345" s="86"/>
      <c r="M345" s="86"/>
      <c r="N345" s="86"/>
      <c r="O345" s="86"/>
      <c r="P345" s="86"/>
    </row>
    <row r="346" customFormat="false" ht="15" hidden="false" customHeight="false" outlineLevel="0" collapsed="false">
      <c r="A346" s="78" t="n">
        <v>342</v>
      </c>
      <c r="B346" s="88"/>
      <c r="C346" s="89"/>
      <c r="D346" s="89"/>
      <c r="E346" s="89"/>
      <c r="F346" s="89"/>
      <c r="G346" s="89"/>
      <c r="H346" s="89"/>
      <c r="I346" s="90"/>
      <c r="J346" s="89"/>
      <c r="K346" s="89"/>
      <c r="L346" s="89"/>
      <c r="M346" s="89"/>
      <c r="N346" s="89"/>
      <c r="O346" s="89"/>
      <c r="P346" s="89"/>
    </row>
    <row r="347" customFormat="false" ht="15" hidden="false" customHeight="false" outlineLevel="0" collapsed="false">
      <c r="A347" s="78" t="n">
        <v>343</v>
      </c>
      <c r="B347" s="85"/>
      <c r="C347" s="86"/>
      <c r="D347" s="86"/>
      <c r="E347" s="86"/>
      <c r="F347" s="86"/>
      <c r="G347" s="86"/>
      <c r="H347" s="86"/>
      <c r="I347" s="87"/>
      <c r="J347" s="86"/>
      <c r="K347" s="86"/>
      <c r="L347" s="86"/>
      <c r="M347" s="86"/>
      <c r="N347" s="86"/>
      <c r="O347" s="86"/>
      <c r="P347" s="86"/>
    </row>
    <row r="348" customFormat="false" ht="15" hidden="false" customHeight="false" outlineLevel="0" collapsed="false">
      <c r="A348" s="78" t="n">
        <v>344</v>
      </c>
      <c r="B348" s="88"/>
      <c r="C348" s="89"/>
      <c r="D348" s="89"/>
      <c r="E348" s="89"/>
      <c r="F348" s="89"/>
      <c r="G348" s="89"/>
      <c r="H348" s="89"/>
      <c r="I348" s="90"/>
      <c r="J348" s="89"/>
      <c r="K348" s="89"/>
      <c r="L348" s="89"/>
      <c r="M348" s="89"/>
      <c r="N348" s="89"/>
      <c r="O348" s="89"/>
      <c r="P348" s="89"/>
    </row>
    <row r="349" customFormat="false" ht="15" hidden="false" customHeight="false" outlineLevel="0" collapsed="false">
      <c r="A349" s="78" t="n">
        <v>345</v>
      </c>
      <c r="B349" s="85"/>
      <c r="C349" s="86"/>
      <c r="D349" s="86"/>
      <c r="E349" s="86"/>
      <c r="F349" s="86"/>
      <c r="G349" s="86"/>
      <c r="H349" s="86"/>
      <c r="I349" s="87"/>
      <c r="J349" s="86"/>
      <c r="K349" s="86"/>
      <c r="L349" s="86"/>
      <c r="M349" s="86"/>
      <c r="N349" s="86"/>
      <c r="O349" s="86"/>
      <c r="P349" s="86"/>
    </row>
    <row r="350" customFormat="false" ht="15" hidden="false" customHeight="false" outlineLevel="0" collapsed="false">
      <c r="A350" s="78" t="n">
        <v>346</v>
      </c>
      <c r="B350" s="88"/>
      <c r="C350" s="89"/>
      <c r="D350" s="89"/>
      <c r="E350" s="89"/>
      <c r="F350" s="89"/>
      <c r="G350" s="89"/>
      <c r="H350" s="89"/>
      <c r="I350" s="90"/>
      <c r="J350" s="89"/>
      <c r="K350" s="89"/>
      <c r="L350" s="89"/>
      <c r="M350" s="89"/>
      <c r="N350" s="89"/>
      <c r="O350" s="89"/>
      <c r="P350" s="89"/>
    </row>
    <row r="351" customFormat="false" ht="15" hidden="false" customHeight="false" outlineLevel="0" collapsed="false">
      <c r="A351" s="78" t="n">
        <v>347</v>
      </c>
      <c r="B351" s="85"/>
      <c r="C351" s="86"/>
      <c r="D351" s="86"/>
      <c r="E351" s="86"/>
      <c r="F351" s="86"/>
      <c r="G351" s="86"/>
      <c r="H351" s="86"/>
      <c r="I351" s="87"/>
      <c r="J351" s="86"/>
      <c r="K351" s="86"/>
      <c r="L351" s="86"/>
      <c r="M351" s="86"/>
      <c r="N351" s="86"/>
      <c r="O351" s="86"/>
      <c r="P351" s="86"/>
    </row>
    <row r="352" customFormat="false" ht="15" hidden="false" customHeight="false" outlineLevel="0" collapsed="false">
      <c r="A352" s="78" t="n">
        <v>348</v>
      </c>
      <c r="B352" s="88"/>
      <c r="C352" s="89"/>
      <c r="D352" s="89"/>
      <c r="E352" s="89"/>
      <c r="F352" s="89"/>
      <c r="G352" s="89"/>
      <c r="H352" s="89"/>
      <c r="I352" s="90"/>
      <c r="J352" s="89"/>
      <c r="K352" s="89"/>
      <c r="L352" s="89"/>
      <c r="M352" s="89"/>
      <c r="N352" s="89"/>
      <c r="O352" s="89"/>
      <c r="P352" s="89"/>
    </row>
    <row r="353" customFormat="false" ht="15" hidden="false" customHeight="false" outlineLevel="0" collapsed="false">
      <c r="A353" s="78" t="n">
        <v>349</v>
      </c>
      <c r="B353" s="85"/>
      <c r="C353" s="86"/>
      <c r="D353" s="86"/>
      <c r="E353" s="86"/>
      <c r="F353" s="86"/>
      <c r="G353" s="86"/>
      <c r="H353" s="86"/>
      <c r="I353" s="87"/>
      <c r="J353" s="86"/>
      <c r="K353" s="86"/>
      <c r="L353" s="86"/>
      <c r="M353" s="86"/>
      <c r="N353" s="86"/>
      <c r="O353" s="86"/>
      <c r="P353" s="86"/>
    </row>
    <row r="354" customFormat="false" ht="15" hidden="false" customHeight="false" outlineLevel="0" collapsed="false">
      <c r="A354" s="78" t="n">
        <v>350</v>
      </c>
      <c r="B354" s="88"/>
      <c r="C354" s="89"/>
      <c r="D354" s="89"/>
      <c r="E354" s="89"/>
      <c r="F354" s="89"/>
      <c r="G354" s="89"/>
      <c r="H354" s="89"/>
      <c r="I354" s="90"/>
      <c r="J354" s="89"/>
      <c r="K354" s="89"/>
      <c r="L354" s="89"/>
      <c r="M354" s="89"/>
      <c r="N354" s="89"/>
      <c r="O354" s="89"/>
      <c r="P354" s="89"/>
    </row>
    <row r="355" customFormat="false" ht="15" hidden="false" customHeight="false" outlineLevel="0" collapsed="false">
      <c r="A355" s="78" t="n">
        <v>351</v>
      </c>
      <c r="B355" s="85"/>
      <c r="C355" s="86"/>
      <c r="D355" s="86"/>
      <c r="E355" s="86"/>
      <c r="F355" s="86"/>
      <c r="G355" s="86"/>
      <c r="H355" s="86"/>
      <c r="I355" s="87"/>
      <c r="J355" s="86"/>
      <c r="K355" s="86"/>
      <c r="L355" s="86"/>
      <c r="M355" s="86"/>
      <c r="N355" s="86"/>
      <c r="O355" s="86"/>
      <c r="P355" s="86"/>
    </row>
    <row r="356" customFormat="false" ht="15" hidden="false" customHeight="false" outlineLevel="0" collapsed="false">
      <c r="A356" s="78" t="n">
        <v>352</v>
      </c>
      <c r="B356" s="88"/>
      <c r="C356" s="89"/>
      <c r="D356" s="89"/>
      <c r="E356" s="89"/>
      <c r="F356" s="89"/>
      <c r="G356" s="89"/>
      <c r="H356" s="89"/>
      <c r="I356" s="90"/>
      <c r="J356" s="89"/>
      <c r="K356" s="89"/>
      <c r="L356" s="89"/>
      <c r="M356" s="89"/>
      <c r="N356" s="89"/>
      <c r="O356" s="89"/>
      <c r="P356" s="89"/>
    </row>
    <row r="357" customFormat="false" ht="15" hidden="false" customHeight="false" outlineLevel="0" collapsed="false">
      <c r="A357" s="78" t="n">
        <v>353</v>
      </c>
      <c r="B357" s="85"/>
      <c r="C357" s="86"/>
      <c r="D357" s="86"/>
      <c r="E357" s="86"/>
      <c r="F357" s="86"/>
      <c r="G357" s="86"/>
      <c r="H357" s="86"/>
      <c r="I357" s="87"/>
      <c r="J357" s="86"/>
      <c r="K357" s="86"/>
      <c r="L357" s="86"/>
      <c r="M357" s="86"/>
      <c r="N357" s="86"/>
      <c r="O357" s="86"/>
      <c r="P357" s="86"/>
    </row>
    <row r="358" customFormat="false" ht="15" hidden="false" customHeight="false" outlineLevel="0" collapsed="false">
      <c r="A358" s="78" t="n">
        <v>354</v>
      </c>
      <c r="B358" s="88"/>
      <c r="C358" s="89"/>
      <c r="D358" s="89"/>
      <c r="E358" s="89"/>
      <c r="F358" s="89"/>
      <c r="G358" s="89"/>
      <c r="H358" s="89"/>
      <c r="I358" s="90"/>
      <c r="J358" s="89"/>
      <c r="K358" s="89"/>
      <c r="L358" s="89"/>
      <c r="M358" s="89"/>
      <c r="N358" s="89"/>
      <c r="O358" s="89"/>
      <c r="P358" s="89"/>
    </row>
    <row r="359" customFormat="false" ht="15" hidden="false" customHeight="false" outlineLevel="0" collapsed="false">
      <c r="A359" s="78" t="n">
        <v>355</v>
      </c>
      <c r="B359" s="85"/>
      <c r="C359" s="86"/>
      <c r="D359" s="86"/>
      <c r="E359" s="86"/>
      <c r="F359" s="86"/>
      <c r="G359" s="86"/>
      <c r="H359" s="86"/>
      <c r="I359" s="87"/>
      <c r="J359" s="86"/>
      <c r="K359" s="86"/>
      <c r="L359" s="86"/>
      <c r="M359" s="86"/>
      <c r="N359" s="86"/>
      <c r="O359" s="86"/>
      <c r="P359" s="86"/>
    </row>
    <row r="360" customFormat="false" ht="15" hidden="false" customHeight="false" outlineLevel="0" collapsed="false">
      <c r="A360" s="78" t="n">
        <v>356</v>
      </c>
      <c r="B360" s="88"/>
      <c r="C360" s="89"/>
      <c r="D360" s="89"/>
      <c r="E360" s="89"/>
      <c r="F360" s="89"/>
      <c r="G360" s="89"/>
      <c r="H360" s="89"/>
      <c r="I360" s="90"/>
      <c r="J360" s="89"/>
      <c r="K360" s="89"/>
      <c r="L360" s="89"/>
      <c r="M360" s="89"/>
      <c r="N360" s="89"/>
      <c r="O360" s="89"/>
      <c r="P360" s="89"/>
    </row>
    <row r="361" customFormat="false" ht="15" hidden="false" customHeight="false" outlineLevel="0" collapsed="false">
      <c r="A361" s="78" t="n">
        <v>357</v>
      </c>
      <c r="B361" s="85"/>
      <c r="C361" s="86"/>
      <c r="D361" s="86"/>
      <c r="E361" s="86"/>
      <c r="F361" s="86"/>
      <c r="G361" s="86"/>
      <c r="H361" s="86"/>
      <c r="I361" s="87"/>
      <c r="J361" s="86"/>
      <c r="K361" s="86"/>
      <c r="L361" s="86"/>
      <c r="M361" s="86"/>
      <c r="N361" s="86"/>
      <c r="O361" s="86"/>
      <c r="P361" s="86"/>
    </row>
    <row r="362" customFormat="false" ht="15" hidden="false" customHeight="false" outlineLevel="0" collapsed="false">
      <c r="A362" s="78" t="n">
        <v>358</v>
      </c>
      <c r="B362" s="88"/>
      <c r="C362" s="89"/>
      <c r="D362" s="89"/>
      <c r="E362" s="89"/>
      <c r="F362" s="89"/>
      <c r="G362" s="89"/>
      <c r="H362" s="89"/>
      <c r="I362" s="90"/>
      <c r="J362" s="89"/>
      <c r="K362" s="89"/>
      <c r="L362" s="89"/>
      <c r="M362" s="89"/>
      <c r="N362" s="89"/>
      <c r="O362" s="89"/>
      <c r="P362" s="89"/>
    </row>
    <row r="363" customFormat="false" ht="15" hidden="false" customHeight="false" outlineLevel="0" collapsed="false">
      <c r="A363" s="78" t="n">
        <v>359</v>
      </c>
      <c r="B363" s="85"/>
      <c r="C363" s="86"/>
      <c r="D363" s="86"/>
      <c r="E363" s="86"/>
      <c r="F363" s="86"/>
      <c r="G363" s="86"/>
      <c r="H363" s="86"/>
      <c r="I363" s="87"/>
      <c r="J363" s="86"/>
      <c r="K363" s="86"/>
      <c r="L363" s="86"/>
      <c r="M363" s="86"/>
      <c r="N363" s="86"/>
      <c r="O363" s="86"/>
      <c r="P363" s="86"/>
    </row>
    <row r="364" customFormat="false" ht="15" hidden="false" customHeight="false" outlineLevel="0" collapsed="false">
      <c r="A364" s="78" t="n">
        <v>360</v>
      </c>
      <c r="B364" s="88"/>
      <c r="C364" s="89"/>
      <c r="D364" s="89"/>
      <c r="E364" s="89"/>
      <c r="F364" s="89"/>
      <c r="G364" s="89"/>
      <c r="H364" s="89"/>
      <c r="I364" s="90"/>
      <c r="J364" s="89"/>
      <c r="K364" s="89"/>
      <c r="L364" s="89"/>
      <c r="M364" s="89"/>
      <c r="N364" s="89"/>
      <c r="O364" s="89"/>
      <c r="P364" s="89"/>
    </row>
    <row r="365" customFormat="false" ht="15" hidden="false" customHeight="false" outlineLevel="0" collapsed="false">
      <c r="A365" s="78" t="n">
        <v>361</v>
      </c>
      <c r="B365" s="85"/>
      <c r="C365" s="86"/>
      <c r="D365" s="86"/>
      <c r="E365" s="86"/>
      <c r="F365" s="86"/>
      <c r="G365" s="86"/>
      <c r="H365" s="86"/>
      <c r="I365" s="87"/>
      <c r="J365" s="86"/>
      <c r="K365" s="86"/>
      <c r="L365" s="86"/>
      <c r="M365" s="86"/>
      <c r="N365" s="86"/>
      <c r="O365" s="86"/>
      <c r="P365" s="86"/>
    </row>
    <row r="366" customFormat="false" ht="15" hidden="false" customHeight="false" outlineLevel="0" collapsed="false">
      <c r="A366" s="78" t="n">
        <v>362</v>
      </c>
      <c r="B366" s="88"/>
      <c r="C366" s="89"/>
      <c r="D366" s="89"/>
      <c r="E366" s="89"/>
      <c r="F366" s="89"/>
      <c r="G366" s="89"/>
      <c r="H366" s="89"/>
      <c r="I366" s="90"/>
      <c r="J366" s="89"/>
      <c r="K366" s="89"/>
      <c r="L366" s="89"/>
      <c r="M366" s="89"/>
      <c r="N366" s="89"/>
      <c r="O366" s="89"/>
      <c r="P366" s="89"/>
    </row>
    <row r="367" customFormat="false" ht="15" hidden="false" customHeight="false" outlineLevel="0" collapsed="false">
      <c r="A367" s="78" t="n">
        <v>363</v>
      </c>
      <c r="B367" s="85"/>
      <c r="C367" s="86"/>
      <c r="D367" s="86"/>
      <c r="E367" s="86"/>
      <c r="F367" s="86"/>
      <c r="G367" s="86"/>
      <c r="H367" s="86"/>
      <c r="I367" s="87"/>
      <c r="J367" s="86"/>
      <c r="K367" s="86"/>
      <c r="L367" s="86"/>
      <c r="M367" s="86"/>
      <c r="N367" s="86"/>
      <c r="O367" s="86"/>
      <c r="P367" s="86"/>
    </row>
    <row r="368" customFormat="false" ht="15" hidden="false" customHeight="false" outlineLevel="0" collapsed="false">
      <c r="A368" s="78" t="n">
        <v>364</v>
      </c>
      <c r="B368" s="88"/>
      <c r="C368" s="89"/>
      <c r="D368" s="89"/>
      <c r="E368" s="89"/>
      <c r="F368" s="89"/>
      <c r="G368" s="89"/>
      <c r="H368" s="89"/>
      <c r="I368" s="90"/>
      <c r="J368" s="89"/>
      <c r="K368" s="89"/>
      <c r="L368" s="89"/>
      <c r="M368" s="89"/>
      <c r="N368" s="89"/>
      <c r="O368" s="89"/>
      <c r="P368" s="89"/>
    </row>
    <row r="369" customFormat="false" ht="15" hidden="false" customHeight="false" outlineLevel="0" collapsed="false">
      <c r="A369" s="78" t="n">
        <v>365</v>
      </c>
      <c r="B369" s="85"/>
      <c r="C369" s="86"/>
      <c r="D369" s="86"/>
      <c r="E369" s="86"/>
      <c r="F369" s="86"/>
      <c r="G369" s="86"/>
      <c r="H369" s="86"/>
      <c r="I369" s="87"/>
      <c r="J369" s="86"/>
      <c r="K369" s="86"/>
      <c r="L369" s="86"/>
      <c r="M369" s="86"/>
      <c r="N369" s="86"/>
      <c r="O369" s="86"/>
      <c r="P369" s="86"/>
    </row>
    <row r="370" customFormat="false" ht="15" hidden="false" customHeight="false" outlineLevel="0" collapsed="false">
      <c r="A370" s="78" t="n">
        <v>366</v>
      </c>
      <c r="B370" s="88"/>
      <c r="C370" s="89"/>
      <c r="D370" s="89"/>
      <c r="E370" s="89"/>
      <c r="F370" s="89"/>
      <c r="G370" s="89"/>
      <c r="H370" s="89"/>
      <c r="I370" s="90"/>
      <c r="J370" s="89"/>
      <c r="K370" s="89"/>
      <c r="L370" s="89"/>
      <c r="M370" s="89"/>
      <c r="N370" s="89"/>
      <c r="O370" s="89"/>
      <c r="P370" s="89"/>
    </row>
    <row r="371" customFormat="false" ht="15" hidden="false" customHeight="false" outlineLevel="0" collapsed="false">
      <c r="A371" s="78" t="n">
        <v>367</v>
      </c>
      <c r="B371" s="85"/>
      <c r="C371" s="86"/>
      <c r="D371" s="86"/>
      <c r="E371" s="86"/>
      <c r="F371" s="86"/>
      <c r="G371" s="86"/>
      <c r="H371" s="86"/>
      <c r="I371" s="87"/>
      <c r="J371" s="86"/>
      <c r="K371" s="86"/>
      <c r="L371" s="86"/>
      <c r="M371" s="86"/>
      <c r="N371" s="86"/>
      <c r="O371" s="86"/>
      <c r="P371" s="86"/>
    </row>
    <row r="372" customFormat="false" ht="15" hidden="false" customHeight="false" outlineLevel="0" collapsed="false">
      <c r="A372" s="78" t="n">
        <v>368</v>
      </c>
      <c r="B372" s="88"/>
      <c r="C372" s="89"/>
      <c r="D372" s="89"/>
      <c r="E372" s="89"/>
      <c r="F372" s="89"/>
      <c r="G372" s="89"/>
      <c r="H372" s="89"/>
      <c r="I372" s="90"/>
      <c r="J372" s="89"/>
      <c r="K372" s="89"/>
      <c r="L372" s="89"/>
      <c r="M372" s="89"/>
      <c r="N372" s="89"/>
      <c r="O372" s="89"/>
      <c r="P372" s="89"/>
    </row>
    <row r="373" customFormat="false" ht="15" hidden="false" customHeight="false" outlineLevel="0" collapsed="false">
      <c r="A373" s="78" t="n">
        <v>369</v>
      </c>
      <c r="B373" s="85"/>
      <c r="C373" s="86"/>
      <c r="D373" s="86"/>
      <c r="E373" s="86"/>
      <c r="F373" s="86"/>
      <c r="G373" s="86"/>
      <c r="H373" s="86"/>
      <c r="I373" s="87"/>
      <c r="J373" s="86"/>
      <c r="K373" s="86"/>
      <c r="L373" s="86"/>
      <c r="M373" s="86"/>
      <c r="N373" s="86"/>
      <c r="O373" s="86"/>
      <c r="P373" s="86"/>
    </row>
    <row r="374" customFormat="false" ht="15" hidden="false" customHeight="false" outlineLevel="0" collapsed="false">
      <c r="A374" s="78" t="n">
        <v>370</v>
      </c>
      <c r="B374" s="88"/>
      <c r="C374" s="89"/>
      <c r="D374" s="89"/>
      <c r="E374" s="89"/>
      <c r="F374" s="89"/>
      <c r="G374" s="89"/>
      <c r="H374" s="89"/>
      <c r="I374" s="90"/>
      <c r="J374" s="89"/>
      <c r="K374" s="89"/>
      <c r="L374" s="89"/>
      <c r="M374" s="89"/>
      <c r="N374" s="89"/>
      <c r="O374" s="89"/>
      <c r="P374" s="89"/>
    </row>
    <row r="375" customFormat="false" ht="15" hidden="false" customHeight="false" outlineLevel="0" collapsed="false">
      <c r="A375" s="78" t="n">
        <v>371</v>
      </c>
      <c r="B375" s="85"/>
      <c r="C375" s="86"/>
      <c r="D375" s="86"/>
      <c r="E375" s="86"/>
      <c r="F375" s="86"/>
      <c r="G375" s="86"/>
      <c r="H375" s="86"/>
      <c r="I375" s="87"/>
      <c r="J375" s="86"/>
      <c r="K375" s="86"/>
      <c r="L375" s="86"/>
      <c r="M375" s="86"/>
      <c r="N375" s="86"/>
      <c r="O375" s="86"/>
      <c r="P375" s="86"/>
    </row>
    <row r="376" customFormat="false" ht="15" hidden="false" customHeight="false" outlineLevel="0" collapsed="false">
      <c r="A376" s="78" t="n">
        <v>372</v>
      </c>
      <c r="B376" s="88"/>
      <c r="C376" s="89"/>
      <c r="D376" s="89"/>
      <c r="E376" s="89"/>
      <c r="F376" s="89"/>
      <c r="G376" s="89"/>
      <c r="H376" s="89"/>
      <c r="I376" s="90"/>
      <c r="J376" s="89"/>
      <c r="K376" s="89"/>
      <c r="L376" s="89"/>
      <c r="M376" s="89"/>
      <c r="N376" s="89"/>
      <c r="O376" s="89"/>
      <c r="P376" s="89"/>
    </row>
    <row r="377" customFormat="false" ht="15" hidden="false" customHeight="false" outlineLevel="0" collapsed="false">
      <c r="A377" s="78" t="n">
        <v>373</v>
      </c>
      <c r="B377" s="85"/>
      <c r="C377" s="86"/>
      <c r="D377" s="86"/>
      <c r="E377" s="86"/>
      <c r="F377" s="86"/>
      <c r="G377" s="86"/>
      <c r="H377" s="86"/>
      <c r="I377" s="87"/>
      <c r="J377" s="86"/>
      <c r="K377" s="86"/>
      <c r="L377" s="86"/>
      <c r="M377" s="86"/>
      <c r="N377" s="86"/>
      <c r="O377" s="86"/>
      <c r="P377" s="86"/>
    </row>
    <row r="378" customFormat="false" ht="15" hidden="false" customHeight="false" outlineLevel="0" collapsed="false">
      <c r="A378" s="78" t="n">
        <v>374</v>
      </c>
      <c r="B378" s="88"/>
      <c r="C378" s="89"/>
      <c r="D378" s="89"/>
      <c r="E378" s="89"/>
      <c r="F378" s="89"/>
      <c r="G378" s="89"/>
      <c r="H378" s="89"/>
      <c r="I378" s="90"/>
      <c r="J378" s="89"/>
      <c r="K378" s="89"/>
      <c r="L378" s="89"/>
      <c r="M378" s="89"/>
      <c r="N378" s="89"/>
      <c r="O378" s="89"/>
      <c r="P378" s="89"/>
    </row>
    <row r="379" customFormat="false" ht="15" hidden="false" customHeight="false" outlineLevel="0" collapsed="false">
      <c r="A379" s="78" t="n">
        <v>375</v>
      </c>
      <c r="B379" s="85"/>
      <c r="C379" s="86"/>
      <c r="D379" s="86"/>
      <c r="E379" s="86"/>
      <c r="F379" s="86"/>
      <c r="G379" s="86"/>
      <c r="H379" s="86"/>
      <c r="I379" s="87"/>
      <c r="J379" s="86"/>
      <c r="K379" s="86"/>
      <c r="L379" s="86"/>
      <c r="M379" s="86"/>
      <c r="N379" s="86"/>
      <c r="O379" s="86"/>
      <c r="P379" s="86"/>
    </row>
    <row r="380" customFormat="false" ht="15" hidden="false" customHeight="false" outlineLevel="0" collapsed="false">
      <c r="A380" s="78" t="n">
        <v>376</v>
      </c>
      <c r="B380" s="88"/>
      <c r="C380" s="89"/>
      <c r="D380" s="89"/>
      <c r="E380" s="89"/>
      <c r="F380" s="89"/>
      <c r="G380" s="89"/>
      <c r="H380" s="89"/>
      <c r="I380" s="90"/>
      <c r="J380" s="89"/>
      <c r="K380" s="89"/>
      <c r="L380" s="89"/>
      <c r="M380" s="89"/>
      <c r="N380" s="89"/>
      <c r="O380" s="89"/>
      <c r="P380" s="89"/>
    </row>
    <row r="381" customFormat="false" ht="15" hidden="false" customHeight="false" outlineLevel="0" collapsed="false">
      <c r="A381" s="78" t="n">
        <v>377</v>
      </c>
      <c r="B381" s="85"/>
      <c r="C381" s="86"/>
      <c r="D381" s="86"/>
      <c r="E381" s="86"/>
      <c r="F381" s="86"/>
      <c r="G381" s="86"/>
      <c r="H381" s="86"/>
      <c r="I381" s="87"/>
      <c r="J381" s="86"/>
      <c r="K381" s="86"/>
      <c r="L381" s="86"/>
      <c r="M381" s="86"/>
      <c r="N381" s="86"/>
      <c r="O381" s="86"/>
      <c r="P381" s="86"/>
    </row>
    <row r="382" customFormat="false" ht="15" hidden="false" customHeight="false" outlineLevel="0" collapsed="false">
      <c r="A382" s="78" t="n">
        <v>378</v>
      </c>
      <c r="B382" s="88"/>
      <c r="C382" s="89"/>
      <c r="D382" s="89"/>
      <c r="E382" s="89"/>
      <c r="F382" s="89"/>
      <c r="G382" s="89"/>
      <c r="H382" s="89"/>
      <c r="I382" s="90"/>
      <c r="J382" s="89"/>
      <c r="K382" s="89"/>
      <c r="L382" s="89"/>
      <c r="M382" s="89"/>
      <c r="N382" s="89"/>
      <c r="O382" s="89"/>
      <c r="P382" s="89"/>
    </row>
    <row r="383" customFormat="false" ht="15" hidden="false" customHeight="false" outlineLevel="0" collapsed="false">
      <c r="A383" s="78" t="n">
        <v>379</v>
      </c>
      <c r="B383" s="85"/>
      <c r="C383" s="86"/>
      <c r="D383" s="86"/>
      <c r="E383" s="86"/>
      <c r="F383" s="86"/>
      <c r="G383" s="86"/>
      <c r="H383" s="86"/>
      <c r="I383" s="87"/>
      <c r="J383" s="86"/>
      <c r="K383" s="86"/>
      <c r="L383" s="86"/>
      <c r="M383" s="86"/>
      <c r="N383" s="86"/>
      <c r="O383" s="86"/>
      <c r="P383" s="86"/>
    </row>
    <row r="384" customFormat="false" ht="15" hidden="false" customHeight="false" outlineLevel="0" collapsed="false">
      <c r="A384" s="78" t="n">
        <v>380</v>
      </c>
      <c r="B384" s="88"/>
      <c r="C384" s="89"/>
      <c r="D384" s="89"/>
      <c r="E384" s="89"/>
      <c r="F384" s="89"/>
      <c r="G384" s="89"/>
      <c r="H384" s="89"/>
      <c r="I384" s="90"/>
      <c r="J384" s="89"/>
      <c r="K384" s="89"/>
      <c r="L384" s="89"/>
      <c r="M384" s="89"/>
      <c r="N384" s="89"/>
      <c r="O384" s="89"/>
      <c r="P384" s="89"/>
    </row>
    <row r="385" customFormat="false" ht="15" hidden="false" customHeight="false" outlineLevel="0" collapsed="false">
      <c r="A385" s="78" t="n">
        <v>381</v>
      </c>
      <c r="B385" s="85"/>
      <c r="C385" s="86"/>
      <c r="D385" s="86"/>
      <c r="E385" s="86"/>
      <c r="F385" s="86"/>
      <c r="G385" s="86"/>
      <c r="H385" s="86"/>
      <c r="I385" s="87"/>
      <c r="J385" s="86"/>
      <c r="K385" s="86"/>
      <c r="L385" s="86"/>
      <c r="M385" s="86"/>
      <c r="N385" s="86"/>
      <c r="O385" s="86"/>
      <c r="P385" s="86"/>
    </row>
    <row r="386" customFormat="false" ht="15" hidden="false" customHeight="false" outlineLevel="0" collapsed="false">
      <c r="A386" s="78" t="n">
        <v>382</v>
      </c>
      <c r="B386" s="88"/>
      <c r="C386" s="89"/>
      <c r="D386" s="89"/>
      <c r="E386" s="89"/>
      <c r="F386" s="89"/>
      <c r="G386" s="89"/>
      <c r="H386" s="89"/>
      <c r="I386" s="90"/>
      <c r="J386" s="89"/>
      <c r="K386" s="89"/>
      <c r="L386" s="89"/>
      <c r="M386" s="89"/>
      <c r="N386" s="89"/>
      <c r="O386" s="89"/>
      <c r="P386" s="89"/>
    </row>
    <row r="387" customFormat="false" ht="15" hidden="false" customHeight="false" outlineLevel="0" collapsed="false">
      <c r="A387" s="78" t="n">
        <v>383</v>
      </c>
      <c r="B387" s="85"/>
      <c r="C387" s="86"/>
      <c r="D387" s="86"/>
      <c r="E387" s="86"/>
      <c r="F387" s="86"/>
      <c r="G387" s="86"/>
      <c r="H387" s="86"/>
      <c r="I387" s="87"/>
      <c r="J387" s="86"/>
      <c r="K387" s="86"/>
      <c r="L387" s="86"/>
      <c r="M387" s="86"/>
      <c r="N387" s="86"/>
      <c r="O387" s="86"/>
      <c r="P387" s="86"/>
    </row>
    <row r="388" customFormat="false" ht="15" hidden="false" customHeight="false" outlineLevel="0" collapsed="false">
      <c r="A388" s="78" t="n">
        <v>384</v>
      </c>
      <c r="B388" s="88"/>
      <c r="C388" s="89"/>
      <c r="D388" s="89"/>
      <c r="E388" s="89"/>
      <c r="F388" s="89"/>
      <c r="G388" s="89"/>
      <c r="H388" s="89"/>
      <c r="I388" s="90"/>
      <c r="J388" s="89"/>
      <c r="K388" s="89"/>
      <c r="L388" s="89"/>
      <c r="M388" s="89"/>
      <c r="N388" s="89"/>
      <c r="O388" s="89"/>
      <c r="P388" s="89"/>
    </row>
    <row r="389" customFormat="false" ht="15" hidden="false" customHeight="false" outlineLevel="0" collapsed="false">
      <c r="A389" s="78" t="n">
        <v>385</v>
      </c>
      <c r="B389" s="85"/>
      <c r="C389" s="86"/>
      <c r="D389" s="86"/>
      <c r="E389" s="86"/>
      <c r="F389" s="86"/>
      <c r="G389" s="86"/>
      <c r="H389" s="86"/>
      <c r="I389" s="87"/>
      <c r="J389" s="86"/>
      <c r="K389" s="86"/>
      <c r="L389" s="86"/>
      <c r="M389" s="86"/>
      <c r="N389" s="86"/>
      <c r="O389" s="86"/>
      <c r="P389" s="86"/>
    </row>
    <row r="390" customFormat="false" ht="15" hidden="false" customHeight="false" outlineLevel="0" collapsed="false">
      <c r="A390" s="78" t="n">
        <v>386</v>
      </c>
      <c r="B390" s="88"/>
      <c r="C390" s="89"/>
      <c r="D390" s="89"/>
      <c r="E390" s="89"/>
      <c r="F390" s="89"/>
      <c r="G390" s="89"/>
      <c r="H390" s="89"/>
      <c r="I390" s="90"/>
      <c r="J390" s="89"/>
      <c r="K390" s="89"/>
      <c r="L390" s="89"/>
      <c r="M390" s="89"/>
      <c r="N390" s="89"/>
      <c r="O390" s="89"/>
      <c r="P390" s="89"/>
    </row>
    <row r="391" customFormat="false" ht="15" hidden="false" customHeight="false" outlineLevel="0" collapsed="false">
      <c r="A391" s="78" t="n">
        <v>387</v>
      </c>
      <c r="B391" s="85"/>
      <c r="C391" s="86"/>
      <c r="D391" s="86"/>
      <c r="E391" s="86"/>
      <c r="F391" s="86"/>
      <c r="G391" s="86"/>
      <c r="H391" s="86"/>
      <c r="I391" s="87"/>
      <c r="J391" s="86"/>
      <c r="K391" s="86"/>
      <c r="L391" s="86"/>
      <c r="M391" s="86"/>
      <c r="N391" s="86"/>
      <c r="O391" s="86"/>
      <c r="P391" s="86"/>
    </row>
    <row r="392" customFormat="false" ht="15" hidden="false" customHeight="false" outlineLevel="0" collapsed="false">
      <c r="A392" s="78" t="n">
        <v>388</v>
      </c>
      <c r="B392" s="88"/>
      <c r="C392" s="89"/>
      <c r="D392" s="89"/>
      <c r="E392" s="89"/>
      <c r="F392" s="89"/>
      <c r="G392" s="89"/>
      <c r="H392" s="89"/>
      <c r="I392" s="90"/>
      <c r="J392" s="89"/>
      <c r="K392" s="89"/>
      <c r="L392" s="89"/>
      <c r="M392" s="89"/>
      <c r="N392" s="89"/>
      <c r="O392" s="89"/>
      <c r="P392" s="89"/>
    </row>
    <row r="393" customFormat="false" ht="15" hidden="false" customHeight="false" outlineLevel="0" collapsed="false">
      <c r="A393" s="78" t="n">
        <v>389</v>
      </c>
      <c r="B393" s="85"/>
      <c r="C393" s="86"/>
      <c r="D393" s="86"/>
      <c r="E393" s="86"/>
      <c r="F393" s="86"/>
      <c r="G393" s="86"/>
      <c r="H393" s="86"/>
      <c r="I393" s="87"/>
      <c r="J393" s="86"/>
      <c r="K393" s="86"/>
      <c r="L393" s="86"/>
      <c r="M393" s="86"/>
      <c r="N393" s="86"/>
      <c r="O393" s="86"/>
      <c r="P393" s="86"/>
    </row>
    <row r="394" customFormat="false" ht="15" hidden="false" customHeight="false" outlineLevel="0" collapsed="false">
      <c r="A394" s="78" t="n">
        <v>390</v>
      </c>
      <c r="B394" s="88"/>
      <c r="C394" s="89"/>
      <c r="D394" s="89"/>
      <c r="E394" s="89"/>
      <c r="F394" s="89"/>
      <c r="G394" s="89"/>
      <c r="H394" s="89"/>
      <c r="I394" s="90"/>
      <c r="J394" s="89"/>
      <c r="K394" s="89"/>
      <c r="L394" s="89"/>
      <c r="M394" s="89"/>
      <c r="N394" s="89"/>
      <c r="O394" s="89"/>
      <c r="P394" s="89"/>
    </row>
    <row r="395" customFormat="false" ht="15" hidden="false" customHeight="false" outlineLevel="0" collapsed="false">
      <c r="A395" s="78" t="n">
        <v>391</v>
      </c>
      <c r="B395" s="85"/>
      <c r="C395" s="86"/>
      <c r="D395" s="86"/>
      <c r="E395" s="86"/>
      <c r="F395" s="86"/>
      <c r="G395" s="86"/>
      <c r="H395" s="86"/>
      <c r="I395" s="87"/>
      <c r="J395" s="86"/>
      <c r="K395" s="86"/>
      <c r="L395" s="86"/>
      <c r="M395" s="86"/>
      <c r="N395" s="86"/>
      <c r="O395" s="86"/>
      <c r="P395" s="86"/>
    </row>
    <row r="396" customFormat="false" ht="15" hidden="false" customHeight="false" outlineLevel="0" collapsed="false">
      <c r="A396" s="78" t="n">
        <v>392</v>
      </c>
      <c r="B396" s="88"/>
      <c r="C396" s="89"/>
      <c r="D396" s="89"/>
      <c r="E396" s="89"/>
      <c r="F396" s="89"/>
      <c r="G396" s="89"/>
      <c r="H396" s="89"/>
      <c r="I396" s="90"/>
      <c r="J396" s="89"/>
      <c r="K396" s="89"/>
      <c r="L396" s="89"/>
      <c r="M396" s="89"/>
      <c r="N396" s="89"/>
      <c r="O396" s="89"/>
      <c r="P396" s="89"/>
    </row>
    <row r="397" customFormat="false" ht="15" hidden="false" customHeight="false" outlineLevel="0" collapsed="false">
      <c r="A397" s="78" t="n">
        <v>393</v>
      </c>
      <c r="B397" s="85"/>
      <c r="C397" s="86"/>
      <c r="D397" s="86"/>
      <c r="E397" s="86"/>
      <c r="F397" s="86"/>
      <c r="G397" s="86"/>
      <c r="H397" s="86"/>
      <c r="I397" s="87"/>
      <c r="J397" s="86"/>
      <c r="K397" s="86"/>
      <c r="L397" s="86"/>
      <c r="M397" s="86"/>
      <c r="N397" s="86"/>
      <c r="O397" s="86"/>
      <c r="P397" s="86"/>
    </row>
    <row r="398" customFormat="false" ht="15" hidden="false" customHeight="false" outlineLevel="0" collapsed="false">
      <c r="A398" s="78" t="n">
        <v>394</v>
      </c>
      <c r="B398" s="88"/>
      <c r="C398" s="89"/>
      <c r="D398" s="89"/>
      <c r="E398" s="89"/>
      <c r="F398" s="89"/>
      <c r="G398" s="89"/>
      <c r="H398" s="89"/>
      <c r="I398" s="90"/>
      <c r="J398" s="89"/>
      <c r="K398" s="89"/>
      <c r="L398" s="89"/>
      <c r="M398" s="89"/>
      <c r="N398" s="89"/>
      <c r="O398" s="89"/>
      <c r="P398" s="89"/>
    </row>
    <row r="399" customFormat="false" ht="15" hidden="false" customHeight="false" outlineLevel="0" collapsed="false">
      <c r="A399" s="78" t="n">
        <v>395</v>
      </c>
      <c r="B399" s="85"/>
      <c r="C399" s="86"/>
      <c r="D399" s="86"/>
      <c r="E399" s="86"/>
      <c r="F399" s="86"/>
      <c r="G399" s="86"/>
      <c r="H399" s="86"/>
      <c r="I399" s="87"/>
      <c r="J399" s="86"/>
      <c r="K399" s="86"/>
      <c r="L399" s="86"/>
      <c r="M399" s="86"/>
      <c r="N399" s="86"/>
      <c r="O399" s="86"/>
      <c r="P399" s="86"/>
    </row>
    <row r="400" customFormat="false" ht="15" hidden="false" customHeight="false" outlineLevel="0" collapsed="false">
      <c r="A400" s="78" t="n">
        <v>396</v>
      </c>
      <c r="B400" s="88"/>
      <c r="C400" s="89"/>
      <c r="D400" s="89"/>
      <c r="E400" s="89"/>
      <c r="F400" s="89"/>
      <c r="G400" s="89"/>
      <c r="H400" s="89"/>
      <c r="I400" s="90"/>
      <c r="J400" s="89"/>
      <c r="K400" s="89"/>
      <c r="L400" s="89"/>
      <c r="M400" s="89"/>
      <c r="N400" s="89"/>
      <c r="O400" s="89"/>
      <c r="P400" s="89"/>
    </row>
    <row r="401" customFormat="false" ht="15" hidden="false" customHeight="false" outlineLevel="0" collapsed="false">
      <c r="A401" s="78" t="n">
        <v>397</v>
      </c>
      <c r="B401" s="85"/>
      <c r="C401" s="86"/>
      <c r="D401" s="86"/>
      <c r="E401" s="86"/>
      <c r="F401" s="86"/>
      <c r="G401" s="86"/>
      <c r="H401" s="86"/>
      <c r="I401" s="87"/>
      <c r="J401" s="86"/>
      <c r="K401" s="86"/>
      <c r="L401" s="86"/>
      <c r="M401" s="86"/>
      <c r="N401" s="86"/>
      <c r="O401" s="86"/>
      <c r="P401" s="86"/>
    </row>
    <row r="402" customFormat="false" ht="15" hidden="false" customHeight="false" outlineLevel="0" collapsed="false">
      <c r="A402" s="78" t="n">
        <v>398</v>
      </c>
      <c r="B402" s="88"/>
      <c r="C402" s="89"/>
      <c r="D402" s="89"/>
      <c r="E402" s="89"/>
      <c r="F402" s="89"/>
      <c r="G402" s="89"/>
      <c r="H402" s="89"/>
      <c r="I402" s="90"/>
      <c r="J402" s="89"/>
      <c r="K402" s="89"/>
      <c r="L402" s="89"/>
      <c r="M402" s="89"/>
      <c r="N402" s="89"/>
      <c r="O402" s="89"/>
      <c r="P402" s="89"/>
    </row>
    <row r="403" customFormat="false" ht="15" hidden="false" customHeight="false" outlineLevel="0" collapsed="false">
      <c r="A403" s="78" t="n">
        <v>399</v>
      </c>
      <c r="B403" s="85"/>
      <c r="C403" s="86"/>
      <c r="D403" s="86"/>
      <c r="E403" s="86"/>
      <c r="F403" s="86"/>
      <c r="G403" s="86"/>
      <c r="H403" s="86"/>
      <c r="I403" s="87"/>
      <c r="J403" s="86"/>
      <c r="K403" s="86"/>
      <c r="L403" s="86"/>
      <c r="M403" s="86"/>
      <c r="N403" s="86"/>
      <c r="O403" s="86"/>
      <c r="P403" s="86"/>
    </row>
    <row r="404" customFormat="false" ht="15" hidden="false" customHeight="false" outlineLevel="0" collapsed="false">
      <c r="A404" s="78" t="n">
        <v>400</v>
      </c>
      <c r="B404" s="88"/>
      <c r="C404" s="89"/>
      <c r="D404" s="89"/>
      <c r="E404" s="89"/>
      <c r="F404" s="89"/>
      <c r="G404" s="89"/>
      <c r="H404" s="89"/>
      <c r="I404" s="90"/>
      <c r="J404" s="89"/>
      <c r="K404" s="89"/>
      <c r="L404" s="89"/>
      <c r="M404" s="89"/>
      <c r="N404" s="89"/>
      <c r="O404" s="89"/>
      <c r="P404" s="89"/>
    </row>
    <row r="405" customFormat="false" ht="15" hidden="false" customHeight="false" outlineLevel="0" collapsed="false">
      <c r="A405" s="78" t="n">
        <v>401</v>
      </c>
      <c r="B405" s="85"/>
      <c r="C405" s="86"/>
      <c r="D405" s="86"/>
      <c r="E405" s="86"/>
      <c r="F405" s="86"/>
      <c r="G405" s="86"/>
      <c r="H405" s="86"/>
      <c r="I405" s="87"/>
      <c r="J405" s="86"/>
      <c r="K405" s="86"/>
      <c r="L405" s="86"/>
      <c r="M405" s="86"/>
      <c r="N405" s="86"/>
      <c r="O405" s="86"/>
      <c r="P405" s="86"/>
    </row>
    <row r="406" customFormat="false" ht="15" hidden="false" customHeight="false" outlineLevel="0" collapsed="false">
      <c r="A406" s="78" t="n">
        <v>402</v>
      </c>
      <c r="B406" s="88"/>
      <c r="C406" s="89"/>
      <c r="D406" s="89"/>
      <c r="E406" s="89"/>
      <c r="F406" s="89"/>
      <c r="G406" s="89"/>
      <c r="H406" s="89"/>
      <c r="I406" s="90"/>
      <c r="J406" s="89"/>
      <c r="K406" s="89"/>
      <c r="L406" s="89"/>
      <c r="M406" s="89"/>
      <c r="N406" s="89"/>
      <c r="O406" s="89"/>
      <c r="P406" s="89"/>
    </row>
    <row r="407" customFormat="false" ht="15" hidden="false" customHeight="false" outlineLevel="0" collapsed="false">
      <c r="A407" s="78" t="n">
        <v>403</v>
      </c>
      <c r="B407" s="85"/>
      <c r="C407" s="86"/>
      <c r="D407" s="86"/>
      <c r="E407" s="86"/>
      <c r="F407" s="86"/>
      <c r="G407" s="86"/>
      <c r="H407" s="86"/>
      <c r="I407" s="87"/>
      <c r="J407" s="86"/>
      <c r="K407" s="86"/>
      <c r="L407" s="86"/>
      <c r="M407" s="86"/>
      <c r="N407" s="86"/>
      <c r="O407" s="86"/>
      <c r="P407" s="86"/>
    </row>
    <row r="408" customFormat="false" ht="15" hidden="false" customHeight="false" outlineLevel="0" collapsed="false">
      <c r="A408" s="78" t="n">
        <v>404</v>
      </c>
      <c r="B408" s="88"/>
      <c r="C408" s="89"/>
      <c r="D408" s="89"/>
      <c r="E408" s="89"/>
      <c r="F408" s="89"/>
      <c r="G408" s="89"/>
      <c r="H408" s="89"/>
      <c r="I408" s="90"/>
      <c r="J408" s="89"/>
      <c r="K408" s="89"/>
      <c r="L408" s="89"/>
      <c r="M408" s="89"/>
      <c r="N408" s="89"/>
      <c r="O408" s="89"/>
      <c r="P408" s="89"/>
    </row>
    <row r="409" customFormat="false" ht="15" hidden="false" customHeight="false" outlineLevel="0" collapsed="false">
      <c r="A409" s="78" t="n">
        <v>405</v>
      </c>
      <c r="B409" s="85"/>
      <c r="C409" s="86"/>
      <c r="D409" s="86"/>
      <c r="E409" s="86"/>
      <c r="F409" s="86"/>
      <c r="G409" s="86"/>
      <c r="H409" s="86"/>
      <c r="I409" s="87"/>
      <c r="J409" s="86"/>
      <c r="K409" s="86"/>
      <c r="L409" s="86"/>
      <c r="M409" s="86"/>
      <c r="N409" s="86"/>
      <c r="O409" s="86"/>
      <c r="P409" s="86"/>
    </row>
    <row r="410" customFormat="false" ht="15" hidden="false" customHeight="false" outlineLevel="0" collapsed="false">
      <c r="A410" s="78" t="n">
        <v>406</v>
      </c>
      <c r="B410" s="88"/>
      <c r="C410" s="89"/>
      <c r="D410" s="89"/>
      <c r="E410" s="89"/>
      <c r="F410" s="89"/>
      <c r="G410" s="89"/>
      <c r="H410" s="89"/>
      <c r="I410" s="90"/>
      <c r="J410" s="89"/>
      <c r="K410" s="89"/>
      <c r="L410" s="89"/>
      <c r="M410" s="89"/>
      <c r="N410" s="89"/>
      <c r="O410" s="89"/>
      <c r="P410" s="89"/>
    </row>
    <row r="411" customFormat="false" ht="15" hidden="false" customHeight="false" outlineLevel="0" collapsed="false">
      <c r="A411" s="78" t="n">
        <v>407</v>
      </c>
      <c r="B411" s="85"/>
      <c r="C411" s="86"/>
      <c r="D411" s="86"/>
      <c r="E411" s="86"/>
      <c r="F411" s="86"/>
      <c r="G411" s="86"/>
      <c r="H411" s="86"/>
      <c r="I411" s="87"/>
      <c r="J411" s="86"/>
      <c r="K411" s="86"/>
      <c r="L411" s="86"/>
      <c r="M411" s="86"/>
      <c r="N411" s="86"/>
      <c r="O411" s="86"/>
      <c r="P411" s="86"/>
    </row>
    <row r="412" customFormat="false" ht="15" hidden="false" customHeight="false" outlineLevel="0" collapsed="false">
      <c r="A412" s="78" t="n">
        <v>408</v>
      </c>
      <c r="B412" s="88"/>
      <c r="C412" s="89"/>
      <c r="D412" s="89"/>
      <c r="E412" s="89"/>
      <c r="F412" s="89"/>
      <c r="G412" s="89"/>
      <c r="H412" s="89"/>
      <c r="I412" s="90"/>
      <c r="J412" s="89"/>
      <c r="K412" s="89"/>
      <c r="L412" s="89"/>
      <c r="M412" s="89"/>
      <c r="N412" s="89"/>
      <c r="O412" s="89"/>
      <c r="P412" s="89"/>
    </row>
    <row r="413" customFormat="false" ht="15" hidden="false" customHeight="false" outlineLevel="0" collapsed="false">
      <c r="A413" s="78" t="n">
        <v>409</v>
      </c>
      <c r="B413" s="85"/>
      <c r="C413" s="86"/>
      <c r="D413" s="86"/>
      <c r="E413" s="86"/>
      <c r="F413" s="86"/>
      <c r="G413" s="86"/>
      <c r="H413" s="86"/>
      <c r="I413" s="87"/>
      <c r="J413" s="86"/>
      <c r="K413" s="86"/>
      <c r="L413" s="86"/>
      <c r="M413" s="86"/>
      <c r="N413" s="86"/>
      <c r="O413" s="86"/>
      <c r="P413" s="86"/>
    </row>
    <row r="414" customFormat="false" ht="15" hidden="false" customHeight="false" outlineLevel="0" collapsed="false">
      <c r="A414" s="78" t="n">
        <v>410</v>
      </c>
      <c r="B414" s="88"/>
      <c r="C414" s="89"/>
      <c r="D414" s="89"/>
      <c r="E414" s="89"/>
      <c r="F414" s="89"/>
      <c r="G414" s="89"/>
      <c r="H414" s="89"/>
      <c r="I414" s="90"/>
      <c r="J414" s="89"/>
      <c r="K414" s="89"/>
      <c r="L414" s="89"/>
      <c r="M414" s="89"/>
      <c r="N414" s="89"/>
      <c r="O414" s="89"/>
      <c r="P414" s="89"/>
    </row>
    <row r="415" customFormat="false" ht="15" hidden="false" customHeight="false" outlineLevel="0" collapsed="false">
      <c r="A415" s="78" t="n">
        <v>411</v>
      </c>
      <c r="B415" s="85"/>
      <c r="C415" s="86"/>
      <c r="D415" s="86"/>
      <c r="E415" s="86"/>
      <c r="F415" s="86"/>
      <c r="G415" s="86"/>
      <c r="H415" s="86"/>
      <c r="I415" s="87"/>
      <c r="J415" s="86"/>
      <c r="K415" s="86"/>
      <c r="L415" s="86"/>
      <c r="M415" s="86"/>
      <c r="N415" s="86"/>
      <c r="O415" s="86"/>
      <c r="P415" s="86"/>
    </row>
    <row r="416" customFormat="false" ht="15" hidden="false" customHeight="false" outlineLevel="0" collapsed="false">
      <c r="A416" s="78" t="n">
        <v>412</v>
      </c>
      <c r="B416" s="88"/>
      <c r="C416" s="89"/>
      <c r="D416" s="89"/>
      <c r="E416" s="89"/>
      <c r="F416" s="89"/>
      <c r="G416" s="89"/>
      <c r="H416" s="89"/>
      <c r="I416" s="90"/>
      <c r="J416" s="89"/>
      <c r="K416" s="89"/>
      <c r="L416" s="89"/>
      <c r="M416" s="89"/>
      <c r="N416" s="89"/>
      <c r="O416" s="89"/>
      <c r="P416" s="89"/>
    </row>
    <row r="417" customFormat="false" ht="15" hidden="false" customHeight="false" outlineLevel="0" collapsed="false">
      <c r="A417" s="78" t="n">
        <v>413</v>
      </c>
      <c r="B417" s="85"/>
      <c r="C417" s="86"/>
      <c r="D417" s="86"/>
      <c r="E417" s="86"/>
      <c r="F417" s="86"/>
      <c r="G417" s="86"/>
      <c r="H417" s="86"/>
      <c r="I417" s="87"/>
      <c r="J417" s="86"/>
      <c r="K417" s="86"/>
      <c r="L417" s="86"/>
      <c r="M417" s="86"/>
      <c r="N417" s="86"/>
      <c r="O417" s="86"/>
      <c r="P417" s="86"/>
    </row>
    <row r="418" customFormat="false" ht="15" hidden="false" customHeight="false" outlineLevel="0" collapsed="false">
      <c r="A418" s="78" t="n">
        <v>414</v>
      </c>
      <c r="B418" s="88"/>
      <c r="C418" s="89"/>
      <c r="D418" s="89"/>
      <c r="E418" s="89"/>
      <c r="F418" s="89"/>
      <c r="G418" s="89"/>
      <c r="H418" s="89"/>
      <c r="I418" s="90"/>
      <c r="J418" s="89"/>
      <c r="K418" s="89"/>
      <c r="L418" s="89"/>
      <c r="M418" s="89"/>
      <c r="N418" s="89"/>
      <c r="O418" s="89"/>
      <c r="P418" s="89"/>
    </row>
    <row r="419" customFormat="false" ht="15" hidden="false" customHeight="false" outlineLevel="0" collapsed="false">
      <c r="A419" s="78" t="n">
        <v>415</v>
      </c>
      <c r="B419" s="85"/>
      <c r="C419" s="86"/>
      <c r="D419" s="86"/>
      <c r="E419" s="86"/>
      <c r="F419" s="86"/>
      <c r="G419" s="86"/>
      <c r="H419" s="86"/>
      <c r="I419" s="87"/>
      <c r="J419" s="86"/>
      <c r="K419" s="86"/>
      <c r="L419" s="86"/>
      <c r="M419" s="86"/>
      <c r="N419" s="86"/>
      <c r="O419" s="86"/>
      <c r="P419" s="86"/>
    </row>
    <row r="420" customFormat="false" ht="15" hidden="false" customHeight="false" outlineLevel="0" collapsed="false">
      <c r="A420" s="78" t="n">
        <v>416</v>
      </c>
      <c r="B420" s="88"/>
      <c r="C420" s="89"/>
      <c r="D420" s="89"/>
      <c r="E420" s="89"/>
      <c r="F420" s="89"/>
      <c r="G420" s="89"/>
      <c r="H420" s="89"/>
      <c r="I420" s="90"/>
      <c r="J420" s="89"/>
      <c r="K420" s="89"/>
      <c r="L420" s="89"/>
      <c r="M420" s="89"/>
      <c r="N420" s="89"/>
      <c r="O420" s="89"/>
      <c r="P420" s="89"/>
    </row>
    <row r="421" customFormat="false" ht="15" hidden="false" customHeight="false" outlineLevel="0" collapsed="false">
      <c r="A421" s="78" t="n">
        <v>417</v>
      </c>
      <c r="B421" s="85"/>
      <c r="C421" s="86"/>
      <c r="D421" s="86"/>
      <c r="E421" s="86"/>
      <c r="F421" s="86"/>
      <c r="G421" s="86"/>
      <c r="H421" s="86"/>
      <c r="I421" s="87"/>
      <c r="J421" s="86"/>
      <c r="K421" s="86"/>
      <c r="L421" s="86"/>
      <c r="M421" s="86"/>
      <c r="N421" s="86"/>
      <c r="O421" s="86"/>
      <c r="P421" s="86"/>
    </row>
    <row r="422" customFormat="false" ht="15" hidden="false" customHeight="false" outlineLevel="0" collapsed="false">
      <c r="A422" s="78" t="n">
        <v>418</v>
      </c>
      <c r="B422" s="88"/>
      <c r="C422" s="89"/>
      <c r="D422" s="89"/>
      <c r="E422" s="89"/>
      <c r="F422" s="89"/>
      <c r="G422" s="89"/>
      <c r="H422" s="89"/>
      <c r="I422" s="90"/>
      <c r="J422" s="89"/>
      <c r="K422" s="89"/>
      <c r="L422" s="89"/>
      <c r="M422" s="89"/>
      <c r="N422" s="89"/>
      <c r="O422" s="89"/>
      <c r="P422" s="89"/>
    </row>
    <row r="423" customFormat="false" ht="15" hidden="false" customHeight="false" outlineLevel="0" collapsed="false">
      <c r="A423" s="78" t="n">
        <v>419</v>
      </c>
      <c r="B423" s="85"/>
      <c r="C423" s="86"/>
      <c r="D423" s="86"/>
      <c r="E423" s="86"/>
      <c r="F423" s="86"/>
      <c r="G423" s="86"/>
      <c r="H423" s="86"/>
      <c r="I423" s="87"/>
      <c r="J423" s="86"/>
      <c r="K423" s="86"/>
      <c r="L423" s="86"/>
      <c r="M423" s="86"/>
      <c r="N423" s="86"/>
      <c r="O423" s="86"/>
      <c r="P423" s="86"/>
    </row>
    <row r="424" customFormat="false" ht="15" hidden="false" customHeight="false" outlineLevel="0" collapsed="false">
      <c r="A424" s="78" t="n">
        <v>420</v>
      </c>
      <c r="B424" s="88"/>
      <c r="C424" s="89"/>
      <c r="D424" s="89"/>
      <c r="E424" s="89"/>
      <c r="F424" s="89"/>
      <c r="G424" s="89"/>
      <c r="H424" s="89"/>
      <c r="I424" s="90"/>
      <c r="J424" s="89"/>
      <c r="K424" s="89"/>
      <c r="L424" s="89"/>
      <c r="M424" s="89"/>
      <c r="N424" s="89"/>
      <c r="O424" s="89"/>
      <c r="P424" s="89"/>
    </row>
    <row r="425" customFormat="false" ht="15" hidden="false" customHeight="false" outlineLevel="0" collapsed="false">
      <c r="A425" s="78" t="n">
        <v>421</v>
      </c>
      <c r="B425" s="85"/>
      <c r="C425" s="86"/>
      <c r="D425" s="86"/>
      <c r="E425" s="86"/>
      <c r="F425" s="86"/>
      <c r="G425" s="86"/>
      <c r="H425" s="86"/>
      <c r="I425" s="87"/>
      <c r="J425" s="86"/>
      <c r="K425" s="86"/>
      <c r="L425" s="86"/>
      <c r="M425" s="86"/>
      <c r="N425" s="86"/>
      <c r="O425" s="86"/>
      <c r="P425" s="86"/>
    </row>
    <row r="426" customFormat="false" ht="15" hidden="false" customHeight="false" outlineLevel="0" collapsed="false">
      <c r="A426" s="78" t="n">
        <v>422</v>
      </c>
      <c r="B426" s="88"/>
      <c r="C426" s="89"/>
      <c r="D426" s="89"/>
      <c r="E426" s="89"/>
      <c r="F426" s="89"/>
      <c r="G426" s="89"/>
      <c r="H426" s="89"/>
      <c r="I426" s="90"/>
      <c r="J426" s="89"/>
      <c r="K426" s="89"/>
      <c r="L426" s="89"/>
      <c r="M426" s="89"/>
      <c r="N426" s="89"/>
      <c r="O426" s="89"/>
      <c r="P426" s="89"/>
    </row>
    <row r="427" customFormat="false" ht="15" hidden="false" customHeight="false" outlineLevel="0" collapsed="false">
      <c r="A427" s="78" t="n">
        <v>423</v>
      </c>
      <c r="B427" s="85"/>
      <c r="C427" s="86"/>
      <c r="D427" s="86"/>
      <c r="E427" s="86"/>
      <c r="F427" s="86"/>
      <c r="G427" s="86"/>
      <c r="H427" s="86"/>
      <c r="I427" s="87"/>
      <c r="J427" s="86"/>
      <c r="K427" s="86"/>
      <c r="L427" s="86"/>
      <c r="M427" s="86"/>
      <c r="N427" s="86"/>
      <c r="O427" s="86"/>
      <c r="P427" s="86"/>
    </row>
    <row r="428" customFormat="false" ht="15" hidden="false" customHeight="false" outlineLevel="0" collapsed="false">
      <c r="A428" s="78" t="n">
        <v>424</v>
      </c>
      <c r="B428" s="88"/>
      <c r="C428" s="89"/>
      <c r="D428" s="89"/>
      <c r="E428" s="89"/>
      <c r="F428" s="89"/>
      <c r="G428" s="89"/>
      <c r="H428" s="89"/>
      <c r="I428" s="90"/>
      <c r="J428" s="89"/>
      <c r="K428" s="89"/>
      <c r="L428" s="89"/>
      <c r="M428" s="89"/>
      <c r="N428" s="89"/>
      <c r="O428" s="89"/>
      <c r="P428" s="89"/>
    </row>
    <row r="429" customFormat="false" ht="15" hidden="false" customHeight="false" outlineLevel="0" collapsed="false">
      <c r="A429" s="78" t="n">
        <v>425</v>
      </c>
      <c r="B429" s="85"/>
      <c r="C429" s="86"/>
      <c r="D429" s="86"/>
      <c r="E429" s="86"/>
      <c r="F429" s="86"/>
      <c r="G429" s="86"/>
      <c r="H429" s="86"/>
      <c r="I429" s="87"/>
      <c r="J429" s="86"/>
      <c r="K429" s="86"/>
      <c r="L429" s="86"/>
      <c r="M429" s="86"/>
      <c r="N429" s="86"/>
      <c r="O429" s="86"/>
      <c r="P429" s="86"/>
    </row>
    <row r="430" customFormat="false" ht="15" hidden="false" customHeight="false" outlineLevel="0" collapsed="false">
      <c r="A430" s="78" t="n">
        <v>426</v>
      </c>
      <c r="B430" s="88"/>
      <c r="C430" s="89"/>
      <c r="D430" s="89"/>
      <c r="E430" s="89"/>
      <c r="F430" s="89"/>
      <c r="G430" s="89"/>
      <c r="H430" s="89"/>
      <c r="I430" s="90"/>
      <c r="J430" s="89"/>
      <c r="K430" s="89"/>
      <c r="L430" s="89"/>
      <c r="M430" s="89"/>
      <c r="N430" s="89"/>
      <c r="O430" s="89"/>
      <c r="P430" s="89"/>
    </row>
    <row r="431" customFormat="false" ht="15" hidden="false" customHeight="false" outlineLevel="0" collapsed="false">
      <c r="A431" s="78" t="n">
        <v>427</v>
      </c>
      <c r="B431" s="85"/>
      <c r="C431" s="86"/>
      <c r="D431" s="86"/>
      <c r="E431" s="86"/>
      <c r="F431" s="86"/>
      <c r="G431" s="86"/>
      <c r="H431" s="86"/>
      <c r="I431" s="87"/>
      <c r="J431" s="86"/>
      <c r="K431" s="86"/>
      <c r="L431" s="86"/>
      <c r="M431" s="86"/>
      <c r="N431" s="86"/>
      <c r="O431" s="86"/>
      <c r="P431" s="86"/>
    </row>
    <row r="432" customFormat="false" ht="15" hidden="false" customHeight="false" outlineLevel="0" collapsed="false">
      <c r="A432" s="78" t="n">
        <v>428</v>
      </c>
      <c r="B432" s="88"/>
      <c r="C432" s="89"/>
      <c r="D432" s="89"/>
      <c r="E432" s="89"/>
      <c r="F432" s="89"/>
      <c r="G432" s="89"/>
      <c r="H432" s="89"/>
      <c r="I432" s="90"/>
      <c r="J432" s="89"/>
      <c r="K432" s="89"/>
      <c r="L432" s="89"/>
      <c r="M432" s="89"/>
      <c r="N432" s="89"/>
      <c r="O432" s="89"/>
      <c r="P432" s="89"/>
    </row>
    <row r="433" customFormat="false" ht="15" hidden="false" customHeight="false" outlineLevel="0" collapsed="false">
      <c r="A433" s="78" t="n">
        <v>429</v>
      </c>
      <c r="B433" s="85"/>
      <c r="C433" s="86"/>
      <c r="D433" s="86"/>
      <c r="E433" s="86"/>
      <c r="F433" s="86"/>
      <c r="G433" s="86"/>
      <c r="H433" s="86"/>
      <c r="I433" s="87"/>
      <c r="J433" s="86"/>
      <c r="K433" s="86"/>
      <c r="L433" s="86"/>
      <c r="M433" s="86"/>
      <c r="N433" s="86"/>
      <c r="O433" s="86"/>
      <c r="P433" s="86"/>
    </row>
    <row r="434" customFormat="false" ht="15" hidden="false" customHeight="false" outlineLevel="0" collapsed="false">
      <c r="A434" s="78" t="n">
        <v>430</v>
      </c>
      <c r="B434" s="88"/>
      <c r="C434" s="89"/>
      <c r="D434" s="89"/>
      <c r="E434" s="89"/>
      <c r="F434" s="89"/>
      <c r="G434" s="89"/>
      <c r="H434" s="89"/>
      <c r="I434" s="90"/>
      <c r="J434" s="89"/>
      <c r="K434" s="89"/>
      <c r="L434" s="89"/>
      <c r="M434" s="89"/>
      <c r="N434" s="89"/>
      <c r="O434" s="89"/>
      <c r="P434" s="89"/>
    </row>
    <row r="435" customFormat="false" ht="15" hidden="false" customHeight="false" outlineLevel="0" collapsed="false">
      <c r="A435" s="78" t="n">
        <v>431</v>
      </c>
      <c r="B435" s="85"/>
      <c r="C435" s="86"/>
      <c r="D435" s="86"/>
      <c r="E435" s="86"/>
      <c r="F435" s="86"/>
      <c r="G435" s="86"/>
      <c r="H435" s="86"/>
      <c r="I435" s="87"/>
      <c r="J435" s="86"/>
      <c r="K435" s="86"/>
      <c r="L435" s="86"/>
      <c r="M435" s="86"/>
      <c r="N435" s="86"/>
      <c r="O435" s="86"/>
      <c r="P435" s="86"/>
    </row>
    <row r="436" customFormat="false" ht="15" hidden="false" customHeight="false" outlineLevel="0" collapsed="false">
      <c r="A436" s="78" t="n">
        <v>432</v>
      </c>
      <c r="B436" s="88"/>
      <c r="C436" s="89"/>
      <c r="D436" s="89"/>
      <c r="E436" s="89"/>
      <c r="F436" s="89"/>
      <c r="G436" s="89"/>
      <c r="H436" s="89"/>
      <c r="I436" s="90"/>
      <c r="J436" s="89"/>
      <c r="K436" s="89"/>
      <c r="L436" s="89"/>
      <c r="M436" s="89"/>
      <c r="N436" s="89"/>
      <c r="O436" s="89"/>
      <c r="P436" s="89"/>
    </row>
    <row r="437" customFormat="false" ht="15" hidden="false" customHeight="false" outlineLevel="0" collapsed="false">
      <c r="A437" s="78" t="n">
        <v>433</v>
      </c>
      <c r="B437" s="85"/>
      <c r="C437" s="86"/>
      <c r="D437" s="86"/>
      <c r="E437" s="86"/>
      <c r="F437" s="86"/>
      <c r="G437" s="86"/>
      <c r="H437" s="86"/>
      <c r="I437" s="87"/>
      <c r="J437" s="86"/>
      <c r="K437" s="86"/>
      <c r="L437" s="86"/>
      <c r="M437" s="86"/>
      <c r="N437" s="86"/>
      <c r="O437" s="86"/>
      <c r="P437" s="86"/>
    </row>
    <row r="438" customFormat="false" ht="15" hidden="false" customHeight="false" outlineLevel="0" collapsed="false">
      <c r="A438" s="78" t="n">
        <v>434</v>
      </c>
      <c r="B438" s="88"/>
      <c r="C438" s="89"/>
      <c r="D438" s="89"/>
      <c r="E438" s="89"/>
      <c r="F438" s="89"/>
      <c r="G438" s="89"/>
      <c r="H438" s="89"/>
      <c r="I438" s="90"/>
      <c r="J438" s="89"/>
      <c r="K438" s="89"/>
      <c r="L438" s="89"/>
      <c r="M438" s="89"/>
      <c r="N438" s="89"/>
      <c r="O438" s="89"/>
      <c r="P438" s="89"/>
    </row>
    <row r="439" customFormat="false" ht="15" hidden="false" customHeight="false" outlineLevel="0" collapsed="false">
      <c r="A439" s="78" t="n">
        <v>435</v>
      </c>
      <c r="B439" s="85"/>
      <c r="C439" s="86"/>
      <c r="D439" s="86"/>
      <c r="E439" s="86"/>
      <c r="F439" s="86"/>
      <c r="G439" s="86"/>
      <c r="H439" s="86"/>
      <c r="I439" s="87"/>
      <c r="J439" s="86"/>
      <c r="K439" s="86"/>
      <c r="L439" s="86"/>
      <c r="M439" s="86"/>
      <c r="N439" s="86"/>
      <c r="O439" s="86"/>
      <c r="P439" s="86"/>
    </row>
    <row r="440" customFormat="false" ht="15" hidden="false" customHeight="false" outlineLevel="0" collapsed="false">
      <c r="A440" s="78" t="n">
        <v>436</v>
      </c>
      <c r="B440" s="88"/>
      <c r="C440" s="89"/>
      <c r="D440" s="89"/>
      <c r="E440" s="89"/>
      <c r="F440" s="89"/>
      <c r="G440" s="89"/>
      <c r="H440" s="89"/>
      <c r="I440" s="90"/>
      <c r="J440" s="89"/>
      <c r="K440" s="89"/>
      <c r="L440" s="89"/>
      <c r="M440" s="89"/>
      <c r="N440" s="89"/>
      <c r="O440" s="89"/>
      <c r="P440" s="89"/>
    </row>
    <row r="441" customFormat="false" ht="15" hidden="false" customHeight="false" outlineLevel="0" collapsed="false">
      <c r="A441" s="78" t="n">
        <v>437</v>
      </c>
      <c r="B441" s="85"/>
      <c r="C441" s="86"/>
      <c r="D441" s="86"/>
      <c r="E441" s="86"/>
      <c r="F441" s="86"/>
      <c r="G441" s="86"/>
      <c r="H441" s="86"/>
      <c r="I441" s="87"/>
      <c r="J441" s="86"/>
      <c r="K441" s="86"/>
      <c r="L441" s="86"/>
      <c r="M441" s="86"/>
      <c r="N441" s="86"/>
      <c r="O441" s="86"/>
      <c r="P441" s="86"/>
    </row>
    <row r="442" customFormat="false" ht="15" hidden="false" customHeight="false" outlineLevel="0" collapsed="false">
      <c r="A442" s="78" t="n">
        <v>438</v>
      </c>
      <c r="B442" s="88"/>
      <c r="C442" s="89"/>
      <c r="D442" s="89"/>
      <c r="E442" s="89"/>
      <c r="F442" s="89"/>
      <c r="G442" s="89"/>
      <c r="H442" s="89"/>
      <c r="I442" s="90"/>
      <c r="J442" s="89"/>
      <c r="K442" s="89"/>
      <c r="L442" s="89"/>
      <c r="M442" s="89"/>
      <c r="N442" s="89"/>
      <c r="O442" s="89"/>
      <c r="P442" s="89"/>
    </row>
    <row r="443" customFormat="false" ht="15" hidden="false" customHeight="false" outlineLevel="0" collapsed="false">
      <c r="A443" s="78" t="n">
        <v>439</v>
      </c>
      <c r="B443" s="85"/>
      <c r="C443" s="86"/>
      <c r="D443" s="86"/>
      <c r="E443" s="86"/>
      <c r="F443" s="86"/>
      <c r="G443" s="86"/>
      <c r="H443" s="86"/>
      <c r="I443" s="87"/>
      <c r="J443" s="86"/>
      <c r="K443" s="86"/>
      <c r="L443" s="86"/>
      <c r="M443" s="86"/>
      <c r="N443" s="86"/>
      <c r="O443" s="86"/>
      <c r="P443" s="86"/>
    </row>
    <row r="444" customFormat="false" ht="15" hidden="false" customHeight="false" outlineLevel="0" collapsed="false">
      <c r="A444" s="78" t="n">
        <v>440</v>
      </c>
      <c r="B444" s="88"/>
      <c r="C444" s="89"/>
      <c r="D444" s="89"/>
      <c r="E444" s="89"/>
      <c r="F444" s="89"/>
      <c r="G444" s="89"/>
      <c r="H444" s="89"/>
      <c r="I444" s="90"/>
      <c r="J444" s="89"/>
      <c r="K444" s="89"/>
      <c r="L444" s="89"/>
      <c r="M444" s="89"/>
      <c r="N444" s="89"/>
      <c r="O444" s="89"/>
      <c r="P444" s="89"/>
    </row>
    <row r="445" customFormat="false" ht="15" hidden="false" customHeight="false" outlineLevel="0" collapsed="false">
      <c r="A445" s="78" t="n">
        <v>441</v>
      </c>
      <c r="B445" s="85"/>
      <c r="C445" s="86"/>
      <c r="D445" s="86"/>
      <c r="E445" s="86"/>
      <c r="F445" s="86"/>
      <c r="G445" s="86"/>
      <c r="H445" s="86"/>
      <c r="I445" s="87"/>
      <c r="J445" s="86"/>
      <c r="K445" s="86"/>
      <c r="L445" s="86"/>
      <c r="M445" s="86"/>
      <c r="N445" s="86"/>
      <c r="O445" s="86"/>
      <c r="P445" s="86"/>
    </row>
    <row r="446" customFormat="false" ht="15" hidden="false" customHeight="false" outlineLevel="0" collapsed="false">
      <c r="A446" s="78" t="n">
        <v>442</v>
      </c>
      <c r="B446" s="88"/>
      <c r="C446" s="89"/>
      <c r="D446" s="89"/>
      <c r="E446" s="89"/>
      <c r="F446" s="89"/>
      <c r="G446" s="89"/>
      <c r="H446" s="89"/>
      <c r="I446" s="90"/>
      <c r="J446" s="89"/>
      <c r="K446" s="89"/>
      <c r="L446" s="89"/>
      <c r="M446" s="89"/>
      <c r="N446" s="89"/>
      <c r="O446" s="89"/>
      <c r="P446" s="89"/>
    </row>
    <row r="447" customFormat="false" ht="15" hidden="false" customHeight="false" outlineLevel="0" collapsed="false">
      <c r="A447" s="78" t="n">
        <v>443</v>
      </c>
      <c r="B447" s="85"/>
      <c r="C447" s="86"/>
      <c r="D447" s="86"/>
      <c r="E447" s="86"/>
      <c r="F447" s="86"/>
      <c r="G447" s="86"/>
      <c r="H447" s="86"/>
      <c r="I447" s="87"/>
      <c r="J447" s="86"/>
      <c r="K447" s="86"/>
      <c r="L447" s="86"/>
      <c r="M447" s="86"/>
      <c r="N447" s="86"/>
      <c r="O447" s="86"/>
      <c r="P447" s="86"/>
    </row>
    <row r="448" customFormat="false" ht="15" hidden="false" customHeight="false" outlineLevel="0" collapsed="false">
      <c r="A448" s="78" t="n">
        <v>444</v>
      </c>
      <c r="B448" s="88"/>
      <c r="C448" s="89"/>
      <c r="D448" s="89"/>
      <c r="E448" s="89"/>
      <c r="F448" s="89"/>
      <c r="G448" s="89"/>
      <c r="H448" s="89"/>
      <c r="I448" s="90"/>
      <c r="J448" s="89"/>
      <c r="K448" s="89"/>
      <c r="L448" s="89"/>
      <c r="M448" s="89"/>
      <c r="N448" s="89"/>
      <c r="O448" s="89"/>
      <c r="P448" s="89"/>
    </row>
    <row r="449" customFormat="false" ht="15" hidden="false" customHeight="false" outlineLevel="0" collapsed="false">
      <c r="A449" s="78" t="n">
        <v>445</v>
      </c>
      <c r="B449" s="85"/>
      <c r="C449" s="86"/>
      <c r="D449" s="86"/>
      <c r="E449" s="86"/>
      <c r="F449" s="86"/>
      <c r="G449" s="86"/>
      <c r="H449" s="86"/>
      <c r="I449" s="87"/>
      <c r="J449" s="86"/>
      <c r="K449" s="86"/>
      <c r="L449" s="86"/>
      <c r="M449" s="86"/>
      <c r="N449" s="86"/>
      <c r="O449" s="86"/>
      <c r="P449" s="86"/>
    </row>
    <row r="450" customFormat="false" ht="15" hidden="false" customHeight="false" outlineLevel="0" collapsed="false">
      <c r="A450" s="78" t="n">
        <v>446</v>
      </c>
      <c r="B450" s="88"/>
      <c r="C450" s="89"/>
      <c r="D450" s="89"/>
      <c r="E450" s="89"/>
      <c r="F450" s="89"/>
      <c r="G450" s="89"/>
      <c r="H450" s="89"/>
      <c r="I450" s="90"/>
      <c r="J450" s="89"/>
      <c r="K450" s="89"/>
      <c r="L450" s="89"/>
      <c r="M450" s="89"/>
      <c r="N450" s="89"/>
      <c r="O450" s="89"/>
      <c r="P450" s="89"/>
    </row>
    <row r="451" customFormat="false" ht="15" hidden="false" customHeight="false" outlineLevel="0" collapsed="false">
      <c r="A451" s="78" t="n">
        <v>447</v>
      </c>
      <c r="B451" s="85"/>
      <c r="C451" s="86"/>
      <c r="D451" s="86"/>
      <c r="E451" s="86"/>
      <c r="F451" s="86"/>
      <c r="G451" s="86"/>
      <c r="H451" s="86"/>
      <c r="I451" s="87"/>
      <c r="J451" s="86"/>
      <c r="K451" s="86"/>
      <c r="L451" s="86"/>
      <c r="M451" s="86"/>
      <c r="N451" s="86"/>
      <c r="O451" s="86"/>
      <c r="P451" s="86"/>
    </row>
    <row r="452" customFormat="false" ht="15" hidden="false" customHeight="false" outlineLevel="0" collapsed="false">
      <c r="A452" s="78" t="n">
        <v>448</v>
      </c>
      <c r="B452" s="88"/>
      <c r="C452" s="89"/>
      <c r="D452" s="89"/>
      <c r="E452" s="89"/>
      <c r="F452" s="89"/>
      <c r="G452" s="89"/>
      <c r="H452" s="89"/>
      <c r="I452" s="90"/>
      <c r="J452" s="89"/>
      <c r="K452" s="89"/>
      <c r="L452" s="89"/>
      <c r="M452" s="89"/>
      <c r="N452" s="89"/>
      <c r="O452" s="89"/>
      <c r="P452" s="89"/>
    </row>
    <row r="453" customFormat="false" ht="15" hidden="false" customHeight="false" outlineLevel="0" collapsed="false">
      <c r="A453" s="78" t="n">
        <v>449</v>
      </c>
      <c r="B453" s="85"/>
      <c r="C453" s="86"/>
      <c r="D453" s="86"/>
      <c r="E453" s="86"/>
      <c r="F453" s="86"/>
      <c r="G453" s="86"/>
      <c r="H453" s="86"/>
      <c r="I453" s="87"/>
      <c r="J453" s="86"/>
      <c r="K453" s="86"/>
      <c r="L453" s="86"/>
      <c r="M453" s="86"/>
      <c r="N453" s="86"/>
      <c r="O453" s="86"/>
      <c r="P453" s="86"/>
    </row>
    <row r="454" customFormat="false" ht="15" hidden="false" customHeight="false" outlineLevel="0" collapsed="false">
      <c r="A454" s="78" t="n">
        <v>450</v>
      </c>
      <c r="B454" s="88"/>
      <c r="C454" s="89"/>
      <c r="D454" s="89"/>
      <c r="E454" s="89"/>
      <c r="F454" s="89"/>
      <c r="G454" s="89"/>
      <c r="H454" s="89"/>
      <c r="I454" s="90"/>
      <c r="J454" s="89"/>
      <c r="K454" s="89"/>
      <c r="L454" s="89"/>
      <c r="M454" s="89"/>
      <c r="N454" s="89"/>
      <c r="O454" s="89"/>
      <c r="P454" s="89"/>
    </row>
    <row r="455" customFormat="false" ht="15" hidden="false" customHeight="false" outlineLevel="0" collapsed="false">
      <c r="A455" s="78" t="n">
        <v>451</v>
      </c>
      <c r="B455" s="85"/>
      <c r="C455" s="86"/>
      <c r="D455" s="86"/>
      <c r="E455" s="86"/>
      <c r="F455" s="86"/>
      <c r="G455" s="86"/>
      <c r="H455" s="86"/>
      <c r="I455" s="87"/>
      <c r="J455" s="86"/>
      <c r="K455" s="86"/>
      <c r="L455" s="86"/>
      <c r="M455" s="86"/>
      <c r="N455" s="86"/>
      <c r="O455" s="86"/>
      <c r="P455" s="86"/>
    </row>
    <row r="456" customFormat="false" ht="15" hidden="false" customHeight="false" outlineLevel="0" collapsed="false">
      <c r="A456" s="78" t="n">
        <v>452</v>
      </c>
      <c r="B456" s="88"/>
      <c r="C456" s="89"/>
      <c r="D456" s="89"/>
      <c r="E456" s="89"/>
      <c r="F456" s="89"/>
      <c r="G456" s="89"/>
      <c r="H456" s="89"/>
      <c r="I456" s="90"/>
      <c r="J456" s="89"/>
      <c r="K456" s="89"/>
      <c r="L456" s="89"/>
      <c r="M456" s="89"/>
      <c r="N456" s="89"/>
      <c r="O456" s="89"/>
      <c r="P456" s="89"/>
    </row>
    <row r="457" customFormat="false" ht="15" hidden="false" customHeight="false" outlineLevel="0" collapsed="false">
      <c r="A457" s="78" t="n">
        <v>453</v>
      </c>
      <c r="B457" s="85"/>
      <c r="C457" s="86"/>
      <c r="D457" s="86"/>
      <c r="E457" s="86"/>
      <c r="F457" s="86"/>
      <c r="G457" s="86"/>
      <c r="H457" s="86"/>
      <c r="I457" s="87"/>
      <c r="J457" s="86"/>
      <c r="K457" s="86"/>
      <c r="L457" s="86"/>
      <c r="M457" s="86"/>
      <c r="N457" s="86"/>
      <c r="O457" s="86"/>
      <c r="P457" s="86"/>
    </row>
    <row r="458" customFormat="false" ht="15" hidden="false" customHeight="false" outlineLevel="0" collapsed="false">
      <c r="A458" s="78" t="n">
        <v>454</v>
      </c>
      <c r="B458" s="88"/>
      <c r="C458" s="89"/>
      <c r="D458" s="89"/>
      <c r="E458" s="89"/>
      <c r="F458" s="89"/>
      <c r="G458" s="89"/>
      <c r="H458" s="89"/>
      <c r="I458" s="90"/>
      <c r="J458" s="89"/>
      <c r="K458" s="89"/>
      <c r="L458" s="89"/>
      <c r="M458" s="89"/>
      <c r="N458" s="89"/>
      <c r="O458" s="89"/>
      <c r="P458" s="89"/>
    </row>
    <row r="459" customFormat="false" ht="15" hidden="false" customHeight="false" outlineLevel="0" collapsed="false">
      <c r="A459" s="78" t="n">
        <v>455</v>
      </c>
      <c r="B459" s="85"/>
      <c r="C459" s="86"/>
      <c r="D459" s="86"/>
      <c r="E459" s="86"/>
      <c r="F459" s="86"/>
      <c r="G459" s="86"/>
      <c r="H459" s="86"/>
      <c r="I459" s="87"/>
      <c r="J459" s="86"/>
      <c r="K459" s="86"/>
      <c r="L459" s="86"/>
      <c r="M459" s="86"/>
      <c r="N459" s="86"/>
      <c r="O459" s="86"/>
      <c r="P459" s="86"/>
    </row>
    <row r="460" customFormat="false" ht="15" hidden="false" customHeight="false" outlineLevel="0" collapsed="false">
      <c r="A460" s="78" t="n">
        <v>456</v>
      </c>
      <c r="B460" s="88"/>
      <c r="C460" s="89"/>
      <c r="D460" s="89"/>
      <c r="E460" s="89"/>
      <c r="F460" s="89"/>
      <c r="G460" s="89"/>
      <c r="H460" s="89"/>
      <c r="I460" s="90"/>
      <c r="J460" s="89"/>
      <c r="K460" s="89"/>
      <c r="L460" s="89"/>
      <c r="M460" s="89"/>
      <c r="N460" s="89"/>
      <c r="O460" s="89"/>
      <c r="P460" s="89"/>
    </row>
    <row r="461" customFormat="false" ht="15" hidden="false" customHeight="false" outlineLevel="0" collapsed="false">
      <c r="A461" s="78" t="n">
        <v>457</v>
      </c>
      <c r="B461" s="85"/>
      <c r="C461" s="86"/>
      <c r="D461" s="86"/>
      <c r="E461" s="86"/>
      <c r="F461" s="86"/>
      <c r="G461" s="86"/>
      <c r="H461" s="86"/>
      <c r="I461" s="87"/>
      <c r="J461" s="86"/>
      <c r="K461" s="86"/>
      <c r="L461" s="86"/>
      <c r="M461" s="86"/>
      <c r="N461" s="86"/>
      <c r="O461" s="86"/>
      <c r="P461" s="86"/>
    </row>
    <row r="462" customFormat="false" ht="15" hidden="false" customHeight="false" outlineLevel="0" collapsed="false">
      <c r="A462" s="78" t="n">
        <v>458</v>
      </c>
      <c r="B462" s="88"/>
      <c r="C462" s="89"/>
      <c r="D462" s="89"/>
      <c r="E462" s="89"/>
      <c r="F462" s="89"/>
      <c r="G462" s="89"/>
      <c r="H462" s="89"/>
      <c r="I462" s="90"/>
      <c r="J462" s="89"/>
      <c r="K462" s="89"/>
      <c r="L462" s="89"/>
      <c r="M462" s="89"/>
      <c r="N462" s="89"/>
      <c r="O462" s="89"/>
      <c r="P462" s="89"/>
    </row>
    <row r="463" customFormat="false" ht="15" hidden="false" customHeight="false" outlineLevel="0" collapsed="false">
      <c r="A463" s="78" t="n">
        <v>459</v>
      </c>
      <c r="B463" s="85"/>
      <c r="C463" s="86"/>
      <c r="D463" s="86"/>
      <c r="E463" s="86"/>
      <c r="F463" s="86"/>
      <c r="G463" s="86"/>
      <c r="H463" s="86"/>
      <c r="I463" s="87"/>
      <c r="J463" s="86"/>
      <c r="K463" s="86"/>
      <c r="L463" s="86"/>
      <c r="M463" s="86"/>
      <c r="N463" s="86"/>
      <c r="O463" s="86"/>
      <c r="P463" s="86"/>
    </row>
    <row r="464" customFormat="false" ht="15" hidden="false" customHeight="false" outlineLevel="0" collapsed="false">
      <c r="A464" s="78" t="n">
        <v>460</v>
      </c>
      <c r="B464" s="88"/>
      <c r="C464" s="89"/>
      <c r="D464" s="89"/>
      <c r="E464" s="89"/>
      <c r="F464" s="89"/>
      <c r="G464" s="89"/>
      <c r="H464" s="89"/>
      <c r="I464" s="90"/>
      <c r="J464" s="89"/>
      <c r="K464" s="89"/>
      <c r="L464" s="89"/>
      <c r="M464" s="89"/>
      <c r="N464" s="89"/>
      <c r="O464" s="89"/>
      <c r="P464" s="89"/>
    </row>
    <row r="465" customFormat="false" ht="15" hidden="false" customHeight="false" outlineLevel="0" collapsed="false">
      <c r="A465" s="78" t="n">
        <v>461</v>
      </c>
      <c r="B465" s="85"/>
      <c r="C465" s="86"/>
      <c r="D465" s="86"/>
      <c r="E465" s="86"/>
      <c r="F465" s="86"/>
      <c r="G465" s="86"/>
      <c r="H465" s="86"/>
      <c r="I465" s="87"/>
      <c r="J465" s="86"/>
      <c r="K465" s="86"/>
      <c r="L465" s="86"/>
      <c r="M465" s="86"/>
      <c r="N465" s="86"/>
      <c r="O465" s="86"/>
      <c r="P465" s="86"/>
    </row>
    <row r="466" customFormat="false" ht="15" hidden="false" customHeight="false" outlineLevel="0" collapsed="false">
      <c r="A466" s="78" t="n">
        <v>462</v>
      </c>
      <c r="B466" s="88"/>
      <c r="C466" s="89"/>
      <c r="D466" s="89"/>
      <c r="E466" s="89"/>
      <c r="F466" s="89"/>
      <c r="G466" s="89"/>
      <c r="H466" s="89"/>
      <c r="I466" s="90"/>
      <c r="J466" s="89"/>
      <c r="K466" s="89"/>
      <c r="L466" s="89"/>
      <c r="M466" s="89"/>
      <c r="N466" s="89"/>
      <c r="O466" s="89"/>
      <c r="P466" s="89"/>
    </row>
    <row r="467" customFormat="false" ht="15" hidden="false" customHeight="false" outlineLevel="0" collapsed="false">
      <c r="A467" s="78" t="n">
        <v>463</v>
      </c>
      <c r="B467" s="85"/>
      <c r="C467" s="86"/>
      <c r="D467" s="86"/>
      <c r="E467" s="86"/>
      <c r="F467" s="86"/>
      <c r="G467" s="86"/>
      <c r="H467" s="86"/>
      <c r="I467" s="87"/>
      <c r="J467" s="86"/>
      <c r="K467" s="86"/>
      <c r="L467" s="86"/>
      <c r="M467" s="86"/>
      <c r="N467" s="86"/>
      <c r="O467" s="86"/>
      <c r="P467" s="86"/>
    </row>
    <row r="468" customFormat="false" ht="15" hidden="false" customHeight="false" outlineLevel="0" collapsed="false">
      <c r="A468" s="78" t="n">
        <v>464</v>
      </c>
      <c r="B468" s="88"/>
      <c r="C468" s="89"/>
      <c r="D468" s="89"/>
      <c r="E468" s="89"/>
      <c r="F468" s="89"/>
      <c r="G468" s="89"/>
      <c r="H468" s="89"/>
      <c r="I468" s="90"/>
      <c r="J468" s="89"/>
      <c r="K468" s="89"/>
      <c r="L468" s="89"/>
      <c r="M468" s="89"/>
      <c r="N468" s="89"/>
      <c r="O468" s="89"/>
      <c r="P468" s="89"/>
    </row>
    <row r="469" customFormat="false" ht="15" hidden="false" customHeight="false" outlineLevel="0" collapsed="false">
      <c r="A469" s="78" t="n">
        <v>465</v>
      </c>
      <c r="B469" s="85"/>
      <c r="C469" s="86"/>
      <c r="D469" s="86"/>
      <c r="E469" s="86"/>
      <c r="F469" s="86"/>
      <c r="G469" s="86"/>
      <c r="H469" s="86"/>
      <c r="I469" s="87"/>
      <c r="J469" s="86"/>
      <c r="K469" s="86"/>
      <c r="L469" s="86"/>
      <c r="M469" s="86"/>
      <c r="N469" s="86"/>
      <c r="O469" s="86"/>
      <c r="P469" s="86"/>
    </row>
    <row r="470" customFormat="false" ht="15" hidden="false" customHeight="false" outlineLevel="0" collapsed="false">
      <c r="A470" s="78" t="n">
        <v>466</v>
      </c>
      <c r="B470" s="88"/>
      <c r="C470" s="89"/>
      <c r="D470" s="89"/>
      <c r="E470" s="89"/>
      <c r="F470" s="89"/>
      <c r="G470" s="89"/>
      <c r="H470" s="89"/>
      <c r="I470" s="90"/>
      <c r="J470" s="89"/>
      <c r="K470" s="89"/>
      <c r="L470" s="89"/>
      <c r="M470" s="89"/>
      <c r="N470" s="89"/>
      <c r="O470" s="89"/>
      <c r="P470" s="89"/>
    </row>
    <row r="471" customFormat="false" ht="15" hidden="false" customHeight="false" outlineLevel="0" collapsed="false">
      <c r="A471" s="78" t="n">
        <v>467</v>
      </c>
      <c r="B471" s="85"/>
      <c r="C471" s="86"/>
      <c r="D471" s="86"/>
      <c r="E471" s="86"/>
      <c r="F471" s="86"/>
      <c r="G471" s="86"/>
      <c r="H471" s="86"/>
      <c r="I471" s="87"/>
      <c r="J471" s="86"/>
      <c r="K471" s="86"/>
      <c r="L471" s="86"/>
      <c r="M471" s="86"/>
      <c r="N471" s="86"/>
      <c r="O471" s="86"/>
      <c r="P471" s="86"/>
    </row>
    <row r="472" customFormat="false" ht="15" hidden="false" customHeight="false" outlineLevel="0" collapsed="false">
      <c r="A472" s="78" t="n">
        <v>468</v>
      </c>
      <c r="B472" s="88"/>
      <c r="C472" s="89"/>
      <c r="D472" s="89"/>
      <c r="E472" s="89"/>
      <c r="F472" s="89"/>
      <c r="G472" s="89"/>
      <c r="H472" s="89"/>
      <c r="I472" s="90"/>
      <c r="J472" s="89"/>
      <c r="K472" s="89"/>
      <c r="L472" s="89"/>
      <c r="M472" s="89"/>
      <c r="N472" s="89"/>
      <c r="O472" s="89"/>
      <c r="P472" s="89"/>
    </row>
    <row r="473" customFormat="false" ht="15" hidden="false" customHeight="false" outlineLevel="0" collapsed="false">
      <c r="A473" s="78" t="n">
        <v>469</v>
      </c>
      <c r="B473" s="85"/>
      <c r="C473" s="86"/>
      <c r="D473" s="86"/>
      <c r="E473" s="86"/>
      <c r="F473" s="86"/>
      <c r="G473" s="86"/>
      <c r="H473" s="86"/>
      <c r="I473" s="87"/>
      <c r="J473" s="86"/>
      <c r="K473" s="86"/>
      <c r="L473" s="86"/>
      <c r="M473" s="86"/>
      <c r="N473" s="86"/>
      <c r="O473" s="86"/>
      <c r="P473" s="86"/>
    </row>
    <row r="474" customFormat="false" ht="15" hidden="false" customHeight="false" outlineLevel="0" collapsed="false">
      <c r="A474" s="78" t="n">
        <v>470</v>
      </c>
      <c r="B474" s="88"/>
      <c r="C474" s="89"/>
      <c r="D474" s="89"/>
      <c r="E474" s="89"/>
      <c r="F474" s="89"/>
      <c r="G474" s="89"/>
      <c r="H474" s="89"/>
      <c r="I474" s="90"/>
      <c r="J474" s="89"/>
      <c r="K474" s="89"/>
      <c r="L474" s="89"/>
      <c r="M474" s="89"/>
      <c r="N474" s="89"/>
      <c r="O474" s="89"/>
      <c r="P474" s="89"/>
    </row>
    <row r="475" customFormat="false" ht="15" hidden="false" customHeight="false" outlineLevel="0" collapsed="false">
      <c r="A475" s="78" t="n">
        <v>471</v>
      </c>
      <c r="B475" s="85"/>
      <c r="C475" s="86"/>
      <c r="D475" s="86"/>
      <c r="E475" s="86"/>
      <c r="F475" s="86"/>
      <c r="G475" s="86"/>
      <c r="H475" s="86"/>
      <c r="I475" s="87"/>
      <c r="J475" s="86"/>
      <c r="K475" s="86"/>
      <c r="L475" s="86"/>
      <c r="M475" s="86"/>
      <c r="N475" s="86"/>
      <c r="O475" s="86"/>
      <c r="P475" s="86"/>
    </row>
    <row r="476" customFormat="false" ht="15" hidden="false" customHeight="false" outlineLevel="0" collapsed="false">
      <c r="A476" s="78" t="n">
        <v>472</v>
      </c>
      <c r="B476" s="88"/>
      <c r="C476" s="89"/>
      <c r="D476" s="89"/>
      <c r="E476" s="89"/>
      <c r="F476" s="89"/>
      <c r="G476" s="89"/>
      <c r="H476" s="89"/>
      <c r="I476" s="90"/>
      <c r="J476" s="89"/>
      <c r="K476" s="89"/>
      <c r="L476" s="89"/>
      <c r="M476" s="89"/>
      <c r="N476" s="89"/>
      <c r="O476" s="89"/>
      <c r="P476" s="89"/>
    </row>
    <row r="477" customFormat="false" ht="15" hidden="false" customHeight="false" outlineLevel="0" collapsed="false">
      <c r="A477" s="78" t="n">
        <v>473</v>
      </c>
      <c r="B477" s="85"/>
      <c r="C477" s="86"/>
      <c r="D477" s="86"/>
      <c r="E477" s="86"/>
      <c r="F477" s="86"/>
      <c r="G477" s="86"/>
      <c r="H477" s="86"/>
      <c r="I477" s="87"/>
      <c r="J477" s="86"/>
      <c r="K477" s="86"/>
      <c r="L477" s="86"/>
      <c r="M477" s="86"/>
      <c r="N477" s="86"/>
      <c r="O477" s="86"/>
      <c r="P477" s="86"/>
    </row>
    <row r="478" customFormat="false" ht="15" hidden="false" customHeight="false" outlineLevel="0" collapsed="false">
      <c r="A478" s="78" t="n">
        <v>474</v>
      </c>
      <c r="B478" s="88"/>
      <c r="C478" s="89"/>
      <c r="D478" s="89"/>
      <c r="E478" s="89"/>
      <c r="F478" s="89"/>
      <c r="G478" s="89"/>
      <c r="H478" s="89"/>
      <c r="I478" s="90"/>
      <c r="J478" s="89"/>
      <c r="K478" s="89"/>
      <c r="L478" s="89"/>
      <c r="M478" s="89"/>
      <c r="N478" s="89"/>
      <c r="O478" s="89"/>
      <c r="P478" s="89"/>
    </row>
    <row r="479" customFormat="false" ht="15" hidden="false" customHeight="false" outlineLevel="0" collapsed="false">
      <c r="A479" s="78" t="n">
        <v>475</v>
      </c>
      <c r="B479" s="85"/>
      <c r="C479" s="86"/>
      <c r="D479" s="86"/>
      <c r="E479" s="86"/>
      <c r="F479" s="86"/>
      <c r="G479" s="86"/>
      <c r="H479" s="86"/>
      <c r="I479" s="87"/>
      <c r="J479" s="86"/>
      <c r="K479" s="86"/>
      <c r="L479" s="86"/>
      <c r="M479" s="86"/>
      <c r="N479" s="86"/>
      <c r="O479" s="86"/>
      <c r="P479" s="86"/>
    </row>
    <row r="480" customFormat="false" ht="15" hidden="false" customHeight="false" outlineLevel="0" collapsed="false">
      <c r="A480" s="78" t="n">
        <v>476</v>
      </c>
      <c r="B480" s="88"/>
      <c r="C480" s="89"/>
      <c r="D480" s="89"/>
      <c r="E480" s="89"/>
      <c r="F480" s="89"/>
      <c r="G480" s="89"/>
      <c r="H480" s="89"/>
      <c r="I480" s="90"/>
      <c r="J480" s="89"/>
      <c r="K480" s="89"/>
      <c r="L480" s="89"/>
      <c r="M480" s="89"/>
      <c r="N480" s="89"/>
      <c r="O480" s="89"/>
      <c r="P480" s="89"/>
    </row>
    <row r="481" customFormat="false" ht="15" hidden="false" customHeight="false" outlineLevel="0" collapsed="false">
      <c r="A481" s="78" t="n">
        <v>477</v>
      </c>
      <c r="B481" s="85"/>
      <c r="C481" s="86"/>
      <c r="D481" s="86"/>
      <c r="E481" s="86"/>
      <c r="F481" s="86"/>
      <c r="G481" s="86"/>
      <c r="H481" s="86"/>
      <c r="I481" s="87"/>
      <c r="J481" s="86"/>
      <c r="K481" s="86"/>
      <c r="L481" s="86"/>
      <c r="M481" s="86"/>
      <c r="N481" s="86"/>
      <c r="O481" s="86"/>
      <c r="P481" s="86"/>
    </row>
    <row r="482" customFormat="false" ht="15" hidden="false" customHeight="false" outlineLevel="0" collapsed="false">
      <c r="A482" s="78" t="n">
        <v>478</v>
      </c>
      <c r="B482" s="88"/>
      <c r="C482" s="89"/>
      <c r="D482" s="89"/>
      <c r="E482" s="89"/>
      <c r="F482" s="89"/>
      <c r="G482" s="89"/>
      <c r="H482" s="89"/>
      <c r="I482" s="90"/>
      <c r="J482" s="89"/>
      <c r="K482" s="89"/>
      <c r="L482" s="89"/>
      <c r="M482" s="89"/>
      <c r="N482" s="89"/>
      <c r="O482" s="89"/>
      <c r="P482" s="89"/>
    </row>
    <row r="483" customFormat="false" ht="15" hidden="false" customHeight="false" outlineLevel="0" collapsed="false">
      <c r="A483" s="78" t="n">
        <v>479</v>
      </c>
      <c r="B483" s="85"/>
      <c r="C483" s="86"/>
      <c r="D483" s="86"/>
      <c r="E483" s="86"/>
      <c r="F483" s="86"/>
      <c r="G483" s="86"/>
      <c r="H483" s="86"/>
      <c r="I483" s="87"/>
      <c r="J483" s="86"/>
      <c r="K483" s="86"/>
      <c r="L483" s="86"/>
      <c r="M483" s="86"/>
      <c r="N483" s="86"/>
      <c r="O483" s="86"/>
      <c r="P483" s="86"/>
    </row>
    <row r="484" customFormat="false" ht="15" hidden="false" customHeight="false" outlineLevel="0" collapsed="false">
      <c r="A484" s="78" t="n">
        <v>480</v>
      </c>
      <c r="B484" s="88"/>
      <c r="C484" s="89"/>
      <c r="D484" s="89"/>
      <c r="E484" s="89"/>
      <c r="F484" s="89"/>
      <c r="G484" s="89"/>
      <c r="H484" s="89"/>
      <c r="I484" s="90"/>
      <c r="J484" s="89"/>
      <c r="K484" s="89"/>
      <c r="L484" s="89"/>
      <c r="M484" s="89"/>
      <c r="N484" s="89"/>
      <c r="O484" s="89"/>
      <c r="P484" s="89"/>
    </row>
    <row r="485" customFormat="false" ht="15" hidden="false" customHeight="false" outlineLevel="0" collapsed="false">
      <c r="A485" s="78" t="n">
        <v>481</v>
      </c>
      <c r="B485" s="85"/>
      <c r="C485" s="86"/>
      <c r="D485" s="86"/>
      <c r="E485" s="86"/>
      <c r="F485" s="86"/>
      <c r="G485" s="86"/>
      <c r="H485" s="86"/>
      <c r="I485" s="87"/>
      <c r="J485" s="86"/>
      <c r="K485" s="86"/>
      <c r="L485" s="86"/>
      <c r="M485" s="86"/>
      <c r="N485" s="86"/>
      <c r="O485" s="86"/>
      <c r="P485" s="86"/>
    </row>
    <row r="486" customFormat="false" ht="15" hidden="false" customHeight="false" outlineLevel="0" collapsed="false">
      <c r="A486" s="78" t="n">
        <v>482</v>
      </c>
      <c r="B486" s="88"/>
      <c r="C486" s="89"/>
      <c r="D486" s="89"/>
      <c r="E486" s="89"/>
      <c r="F486" s="89"/>
      <c r="G486" s="89"/>
      <c r="H486" s="89"/>
      <c r="I486" s="90"/>
      <c r="J486" s="89"/>
      <c r="K486" s="89"/>
      <c r="L486" s="89"/>
      <c r="M486" s="89"/>
      <c r="N486" s="89"/>
      <c r="O486" s="89"/>
      <c r="P486" s="89"/>
    </row>
    <row r="487" customFormat="false" ht="15" hidden="false" customHeight="false" outlineLevel="0" collapsed="false">
      <c r="A487" s="78" t="n">
        <v>483</v>
      </c>
      <c r="B487" s="85"/>
      <c r="C487" s="86"/>
      <c r="D487" s="86"/>
      <c r="E487" s="86"/>
      <c r="F487" s="86"/>
      <c r="G487" s="86"/>
      <c r="H487" s="86"/>
      <c r="I487" s="87"/>
      <c r="J487" s="86"/>
      <c r="K487" s="86"/>
      <c r="L487" s="86"/>
      <c r="M487" s="86"/>
      <c r="N487" s="86"/>
      <c r="O487" s="86"/>
      <c r="P487" s="86"/>
    </row>
    <row r="488" customFormat="false" ht="15" hidden="false" customHeight="false" outlineLevel="0" collapsed="false">
      <c r="A488" s="78" t="n">
        <v>484</v>
      </c>
      <c r="B488" s="88"/>
      <c r="C488" s="89"/>
      <c r="D488" s="89"/>
      <c r="E488" s="89"/>
      <c r="F488" s="89"/>
      <c r="G488" s="89"/>
      <c r="H488" s="89"/>
      <c r="I488" s="90"/>
      <c r="J488" s="89"/>
      <c r="K488" s="89"/>
      <c r="L488" s="89"/>
      <c r="M488" s="89"/>
      <c r="N488" s="89"/>
      <c r="O488" s="89"/>
      <c r="P488" s="89"/>
    </row>
    <row r="489" customFormat="false" ht="15" hidden="false" customHeight="false" outlineLevel="0" collapsed="false">
      <c r="A489" s="78" t="n">
        <v>485</v>
      </c>
      <c r="B489" s="85"/>
      <c r="C489" s="86"/>
      <c r="D489" s="86"/>
      <c r="E489" s="86"/>
      <c r="F489" s="86"/>
      <c r="G489" s="86"/>
      <c r="H489" s="86"/>
      <c r="I489" s="87"/>
      <c r="J489" s="86"/>
      <c r="K489" s="86"/>
      <c r="L489" s="86"/>
      <c r="M489" s="86"/>
      <c r="N489" s="86"/>
      <c r="O489" s="86"/>
      <c r="P489" s="86"/>
    </row>
    <row r="490" customFormat="false" ht="15" hidden="false" customHeight="false" outlineLevel="0" collapsed="false">
      <c r="A490" s="78" t="n">
        <v>486</v>
      </c>
      <c r="B490" s="88"/>
      <c r="C490" s="89"/>
      <c r="D490" s="89"/>
      <c r="E490" s="89"/>
      <c r="F490" s="89"/>
      <c r="G490" s="89"/>
      <c r="H490" s="89"/>
      <c r="I490" s="90"/>
      <c r="J490" s="89"/>
      <c r="K490" s="89"/>
      <c r="L490" s="89"/>
      <c r="M490" s="89"/>
      <c r="N490" s="89"/>
      <c r="O490" s="89"/>
      <c r="P490" s="89"/>
    </row>
    <row r="491" customFormat="false" ht="15" hidden="false" customHeight="false" outlineLevel="0" collapsed="false">
      <c r="A491" s="78" t="n">
        <v>487</v>
      </c>
      <c r="B491" s="85"/>
      <c r="C491" s="86"/>
      <c r="D491" s="86"/>
      <c r="E491" s="86"/>
      <c r="F491" s="86"/>
      <c r="G491" s="86"/>
      <c r="H491" s="86"/>
      <c r="I491" s="87"/>
      <c r="J491" s="86"/>
      <c r="K491" s="86"/>
      <c r="L491" s="86"/>
      <c r="M491" s="86"/>
      <c r="N491" s="86"/>
      <c r="O491" s="86"/>
      <c r="P491" s="86"/>
    </row>
    <row r="492" customFormat="false" ht="15" hidden="false" customHeight="false" outlineLevel="0" collapsed="false">
      <c r="A492" s="78" t="n">
        <v>488</v>
      </c>
      <c r="B492" s="88"/>
      <c r="C492" s="89"/>
      <c r="D492" s="89"/>
      <c r="E492" s="89"/>
      <c r="F492" s="89"/>
      <c r="G492" s="89"/>
      <c r="H492" s="89"/>
      <c r="I492" s="90"/>
      <c r="J492" s="89"/>
      <c r="K492" s="89"/>
      <c r="L492" s="89"/>
      <c r="M492" s="89"/>
      <c r="N492" s="89"/>
      <c r="O492" s="89"/>
      <c r="P492" s="89"/>
    </row>
    <row r="493" customFormat="false" ht="15" hidden="false" customHeight="false" outlineLevel="0" collapsed="false">
      <c r="A493" s="78" t="n">
        <v>489</v>
      </c>
      <c r="B493" s="85"/>
      <c r="C493" s="86"/>
      <c r="D493" s="86"/>
      <c r="E493" s="86"/>
      <c r="F493" s="86"/>
      <c r="G493" s="86"/>
      <c r="H493" s="86"/>
      <c r="I493" s="87"/>
      <c r="J493" s="86"/>
      <c r="K493" s="86"/>
      <c r="L493" s="86"/>
      <c r="M493" s="86"/>
      <c r="N493" s="86"/>
      <c r="O493" s="86"/>
      <c r="P493" s="86"/>
    </row>
    <row r="494" customFormat="false" ht="15" hidden="false" customHeight="false" outlineLevel="0" collapsed="false">
      <c r="A494" s="78" t="n">
        <v>490</v>
      </c>
      <c r="B494" s="88"/>
      <c r="C494" s="89"/>
      <c r="D494" s="89"/>
      <c r="E494" s="89"/>
      <c r="F494" s="89"/>
      <c r="G494" s="89"/>
      <c r="H494" s="89"/>
      <c r="I494" s="90"/>
      <c r="J494" s="89"/>
      <c r="K494" s="89"/>
      <c r="L494" s="89"/>
      <c r="M494" s="89"/>
      <c r="N494" s="89"/>
      <c r="O494" s="89"/>
      <c r="P494" s="89"/>
    </row>
    <row r="495" customFormat="false" ht="15" hidden="false" customHeight="false" outlineLevel="0" collapsed="false">
      <c r="A495" s="78" t="n">
        <v>491</v>
      </c>
      <c r="B495" s="85"/>
      <c r="C495" s="86"/>
      <c r="D495" s="86"/>
      <c r="E495" s="86"/>
      <c r="F495" s="86"/>
      <c r="G495" s="86"/>
      <c r="H495" s="86"/>
      <c r="I495" s="87"/>
      <c r="J495" s="86"/>
      <c r="K495" s="86"/>
      <c r="L495" s="86"/>
      <c r="M495" s="86"/>
      <c r="N495" s="86"/>
      <c r="O495" s="86"/>
      <c r="P495" s="86"/>
    </row>
    <row r="496" customFormat="false" ht="15" hidden="false" customHeight="false" outlineLevel="0" collapsed="false">
      <c r="A496" s="78" t="n">
        <v>492</v>
      </c>
      <c r="B496" s="88"/>
      <c r="C496" s="89"/>
      <c r="D496" s="89"/>
      <c r="E496" s="89"/>
      <c r="F496" s="89"/>
      <c r="G496" s="89"/>
      <c r="H496" s="89"/>
      <c r="I496" s="90"/>
      <c r="J496" s="89"/>
      <c r="K496" s="89"/>
      <c r="L496" s="89"/>
      <c r="M496" s="89"/>
      <c r="N496" s="89"/>
      <c r="O496" s="89"/>
      <c r="P496" s="89"/>
    </row>
    <row r="497" customFormat="false" ht="15" hidden="false" customHeight="false" outlineLevel="0" collapsed="false">
      <c r="A497" s="78" t="n">
        <v>493</v>
      </c>
      <c r="B497" s="85"/>
      <c r="C497" s="86"/>
      <c r="D497" s="86"/>
      <c r="E497" s="86"/>
      <c r="F497" s="86"/>
      <c r="G497" s="86"/>
      <c r="H497" s="86"/>
      <c r="I497" s="87"/>
      <c r="J497" s="86"/>
      <c r="K497" s="86"/>
      <c r="L497" s="86"/>
      <c r="M497" s="86"/>
      <c r="N497" s="86"/>
      <c r="O497" s="86"/>
      <c r="P497" s="86"/>
    </row>
    <row r="498" customFormat="false" ht="15" hidden="false" customHeight="false" outlineLevel="0" collapsed="false">
      <c r="A498" s="78" t="n">
        <v>494</v>
      </c>
      <c r="B498" s="88"/>
      <c r="C498" s="89"/>
      <c r="D498" s="89"/>
      <c r="E498" s="89"/>
      <c r="F498" s="89"/>
      <c r="G498" s="89"/>
      <c r="H498" s="89"/>
      <c r="I498" s="90"/>
      <c r="J498" s="89"/>
      <c r="K498" s="89"/>
      <c r="L498" s="89"/>
      <c r="M498" s="89"/>
      <c r="N498" s="89"/>
      <c r="O498" s="89"/>
      <c r="P498" s="89"/>
    </row>
    <row r="499" customFormat="false" ht="15" hidden="false" customHeight="false" outlineLevel="0" collapsed="false">
      <c r="A499" s="78" t="n">
        <v>495</v>
      </c>
      <c r="B499" s="85"/>
      <c r="C499" s="86"/>
      <c r="D499" s="86"/>
      <c r="E499" s="86"/>
      <c r="F499" s="86"/>
      <c r="G499" s="86"/>
      <c r="H499" s="86"/>
      <c r="I499" s="87"/>
      <c r="J499" s="86"/>
      <c r="K499" s="86"/>
      <c r="L499" s="86"/>
      <c r="M499" s="86"/>
      <c r="N499" s="86"/>
      <c r="O499" s="86"/>
      <c r="P499" s="86"/>
    </row>
    <row r="500" customFormat="false" ht="15" hidden="false" customHeight="false" outlineLevel="0" collapsed="false">
      <c r="A500" s="78" t="n">
        <v>496</v>
      </c>
      <c r="B500" s="88"/>
      <c r="C500" s="89"/>
      <c r="D500" s="89"/>
      <c r="E500" s="89"/>
      <c r="F500" s="89"/>
      <c r="G500" s="89"/>
      <c r="H500" s="89"/>
      <c r="I500" s="90"/>
      <c r="J500" s="89"/>
      <c r="K500" s="89"/>
      <c r="L500" s="89"/>
      <c r="M500" s="89"/>
      <c r="N500" s="89"/>
      <c r="O500" s="89"/>
      <c r="P500" s="89"/>
    </row>
    <row r="501" customFormat="false" ht="15" hidden="false" customHeight="false" outlineLevel="0" collapsed="false">
      <c r="A501" s="78" t="n">
        <v>497</v>
      </c>
      <c r="B501" s="85"/>
      <c r="C501" s="86"/>
      <c r="D501" s="86"/>
      <c r="E501" s="86"/>
      <c r="F501" s="86"/>
      <c r="G501" s="86"/>
      <c r="H501" s="86"/>
      <c r="I501" s="87"/>
      <c r="J501" s="86"/>
      <c r="K501" s="86"/>
      <c r="L501" s="86"/>
      <c r="M501" s="86"/>
      <c r="N501" s="86"/>
      <c r="O501" s="86"/>
      <c r="P501" s="86"/>
    </row>
    <row r="502" customFormat="false" ht="15" hidden="false" customHeight="false" outlineLevel="0" collapsed="false">
      <c r="A502" s="78" t="n">
        <v>498</v>
      </c>
      <c r="B502" s="88"/>
      <c r="C502" s="89"/>
      <c r="D502" s="89"/>
      <c r="E502" s="89"/>
      <c r="F502" s="89"/>
      <c r="G502" s="89"/>
      <c r="H502" s="89"/>
      <c r="I502" s="90"/>
      <c r="J502" s="89"/>
      <c r="K502" s="89"/>
      <c r="L502" s="89"/>
      <c r="M502" s="89"/>
      <c r="N502" s="89"/>
      <c r="O502" s="89"/>
      <c r="P502" s="89"/>
    </row>
    <row r="503" customFormat="false" ht="15" hidden="false" customHeight="false" outlineLevel="0" collapsed="false">
      <c r="A503" s="78" t="n">
        <v>499</v>
      </c>
      <c r="B503" s="85"/>
      <c r="C503" s="86"/>
      <c r="D503" s="86"/>
      <c r="E503" s="86"/>
      <c r="F503" s="86"/>
      <c r="G503" s="86"/>
      <c r="H503" s="86"/>
      <c r="I503" s="87"/>
      <c r="J503" s="86"/>
      <c r="K503" s="86"/>
      <c r="L503" s="86"/>
      <c r="M503" s="86"/>
      <c r="N503" s="86"/>
      <c r="O503" s="86"/>
      <c r="P503" s="86"/>
    </row>
    <row r="504" customFormat="false" ht="15" hidden="false" customHeight="false" outlineLevel="0" collapsed="false">
      <c r="A504" s="78" t="n">
        <v>500</v>
      </c>
      <c r="B504" s="88"/>
      <c r="C504" s="89"/>
      <c r="D504" s="89"/>
      <c r="E504" s="89"/>
      <c r="F504" s="89"/>
      <c r="G504" s="89"/>
      <c r="H504" s="89"/>
      <c r="I504" s="90"/>
      <c r="J504" s="89"/>
      <c r="K504" s="89"/>
      <c r="L504" s="89"/>
      <c r="M504" s="89"/>
      <c r="N504" s="89"/>
      <c r="O504" s="89"/>
      <c r="P504" s="89"/>
    </row>
  </sheetData>
  <autoFilter ref="A4:P504"/>
  <mergeCells count="2">
    <mergeCell ref="A1:P1"/>
    <mergeCell ref="A2:P2"/>
  </mergeCells>
  <dataValidations count="3">
    <dataValidation allowBlank="true" errorStyle="stop" operator="between" showDropDown="false" showErrorMessage="false" showInputMessage="false" sqref="C5:C504" type="list">
      <formula1>"Donor,Yatri,Guest / Visitor,Volunteer,Event"</formula1>
      <formula2>0</formula2>
    </dataValidation>
    <dataValidation allowBlank="true" errorStyle="stop" operator="between" showDropDown="false" showErrorMessage="false" showInputMessage="false" sqref="J5:J504" type="list">
      <formula1>"Yatri Welcome Kit,Yatri Blessing Kit (return),Donor – Seva Kit,Donor – Silver Kit,Donor – Gold Kit,Donor – Patron Kit,Birthday / Anniversary Kit,None / Loose items"</formula1>
      <formula2>0</formula2>
    </dataValidation>
    <dataValidation allowBlank="true" errorStyle="stop" operator="between" showDropDown="false" showErrorMessage="false" showInputMessage="false" sqref="N5:O504" type="list">
      <formula1>"Yes,No,Not applicable"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2A"/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" t="s">
        <v>789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790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6" t="s">
        <v>791</v>
      </c>
      <c r="B4" s="16" t="s">
        <v>792</v>
      </c>
      <c r="C4" s="16" t="s">
        <v>793</v>
      </c>
      <c r="D4" s="16" t="s">
        <v>794</v>
      </c>
      <c r="E4" s="16" t="s">
        <v>795</v>
      </c>
      <c r="F4" s="16" t="s">
        <v>796</v>
      </c>
      <c r="G4" s="16" t="s">
        <v>797</v>
      </c>
      <c r="H4" s="16" t="s">
        <v>798</v>
      </c>
    </row>
    <row r="5" customFormat="false" ht="48" hidden="false" customHeight="true" outlineLevel="0" collapsed="false">
      <c r="A5" s="17" t="s">
        <v>799</v>
      </c>
      <c r="B5" s="18" t="s">
        <v>800</v>
      </c>
      <c r="C5" s="18" t="s">
        <v>92</v>
      </c>
      <c r="D5" s="18" t="s">
        <v>801</v>
      </c>
      <c r="E5" s="18" t="s">
        <v>802</v>
      </c>
      <c r="F5" s="18" t="s">
        <v>803</v>
      </c>
      <c r="G5" s="18" t="s">
        <v>804</v>
      </c>
      <c r="H5" s="18" t="s">
        <v>805</v>
      </c>
    </row>
    <row r="6" customFormat="false" ht="48" hidden="false" customHeight="true" outlineLevel="0" collapsed="false">
      <c r="A6" s="22" t="s">
        <v>806</v>
      </c>
      <c r="B6" s="23" t="s">
        <v>807</v>
      </c>
      <c r="C6" s="23" t="s">
        <v>92</v>
      </c>
      <c r="D6" s="23" t="s">
        <v>808</v>
      </c>
      <c r="E6" s="23" t="s">
        <v>809</v>
      </c>
      <c r="F6" s="23" t="s">
        <v>810</v>
      </c>
      <c r="G6" s="23" t="s">
        <v>811</v>
      </c>
      <c r="H6" s="23" t="s">
        <v>812</v>
      </c>
    </row>
    <row r="7" customFormat="false" ht="48" hidden="false" customHeight="true" outlineLevel="0" collapsed="false">
      <c r="A7" s="17" t="s">
        <v>813</v>
      </c>
      <c r="B7" s="18" t="s">
        <v>807</v>
      </c>
      <c r="C7" s="18" t="s">
        <v>92</v>
      </c>
      <c r="D7" s="18" t="s">
        <v>814</v>
      </c>
      <c r="E7" s="18" t="s">
        <v>815</v>
      </c>
      <c r="F7" s="18" t="s">
        <v>816</v>
      </c>
      <c r="G7" s="18" t="s">
        <v>817</v>
      </c>
      <c r="H7" s="18" t="s">
        <v>818</v>
      </c>
    </row>
    <row r="8" customFormat="false" ht="48" hidden="false" customHeight="true" outlineLevel="0" collapsed="false">
      <c r="A8" s="22" t="s">
        <v>819</v>
      </c>
      <c r="B8" s="23" t="s">
        <v>820</v>
      </c>
      <c r="C8" s="23" t="s">
        <v>92</v>
      </c>
      <c r="D8" s="23" t="s">
        <v>821</v>
      </c>
      <c r="E8" s="23" t="s">
        <v>822</v>
      </c>
      <c r="F8" s="23" t="s">
        <v>823</v>
      </c>
      <c r="G8" s="23" t="s">
        <v>824</v>
      </c>
      <c r="H8" s="23"/>
    </row>
    <row r="9" customFormat="false" ht="48" hidden="false" customHeight="true" outlineLevel="0" collapsed="false">
      <c r="A9" s="17" t="s">
        <v>825</v>
      </c>
      <c r="B9" s="18" t="s">
        <v>826</v>
      </c>
      <c r="C9" s="18" t="s">
        <v>827</v>
      </c>
      <c r="D9" s="18" t="s">
        <v>828</v>
      </c>
      <c r="E9" s="18" t="s">
        <v>334</v>
      </c>
      <c r="F9" s="18" t="s">
        <v>829</v>
      </c>
      <c r="G9" s="18" t="s">
        <v>830</v>
      </c>
      <c r="H9" s="18" t="s">
        <v>831</v>
      </c>
    </row>
    <row r="10" customFormat="false" ht="48" hidden="false" customHeight="true" outlineLevel="0" collapsed="false">
      <c r="A10" s="22" t="s">
        <v>832</v>
      </c>
      <c r="B10" s="23" t="s">
        <v>833</v>
      </c>
      <c r="C10" s="23" t="s">
        <v>92</v>
      </c>
      <c r="D10" s="23" t="s">
        <v>834</v>
      </c>
      <c r="E10" s="23" t="s">
        <v>835</v>
      </c>
      <c r="F10" s="23" t="s">
        <v>803</v>
      </c>
      <c r="G10" s="23" t="s">
        <v>836</v>
      </c>
      <c r="H10" s="23"/>
    </row>
    <row r="11" customFormat="false" ht="48" hidden="false" customHeight="true" outlineLevel="0" collapsed="false">
      <c r="A11" s="17" t="s">
        <v>837</v>
      </c>
      <c r="B11" s="18" t="s">
        <v>838</v>
      </c>
      <c r="C11" s="18" t="s">
        <v>66</v>
      </c>
      <c r="D11" s="18" t="s">
        <v>839</v>
      </c>
      <c r="E11" s="18" t="s">
        <v>840</v>
      </c>
      <c r="F11" s="18" t="s">
        <v>803</v>
      </c>
      <c r="G11" s="18" t="s">
        <v>841</v>
      </c>
      <c r="H11" s="18" t="s">
        <v>842</v>
      </c>
    </row>
    <row r="12" customFormat="false" ht="48" hidden="false" customHeight="true" outlineLevel="0" collapsed="false">
      <c r="A12" s="22" t="s">
        <v>843</v>
      </c>
      <c r="B12" s="23" t="s">
        <v>838</v>
      </c>
      <c r="C12" s="23" t="s">
        <v>92</v>
      </c>
      <c r="D12" s="23" t="s">
        <v>844</v>
      </c>
      <c r="E12" s="23" t="s">
        <v>845</v>
      </c>
      <c r="F12" s="23" t="s">
        <v>803</v>
      </c>
      <c r="G12" s="23" t="s">
        <v>841</v>
      </c>
      <c r="H12" s="23" t="s">
        <v>846</v>
      </c>
    </row>
    <row r="13" customFormat="false" ht="48" hidden="false" customHeight="true" outlineLevel="0" collapsed="false">
      <c r="A13" s="17" t="s">
        <v>847</v>
      </c>
      <c r="B13" s="18" t="s">
        <v>838</v>
      </c>
      <c r="C13" s="18" t="s">
        <v>92</v>
      </c>
      <c r="D13" s="18" t="s">
        <v>848</v>
      </c>
      <c r="E13" s="18" t="s">
        <v>845</v>
      </c>
      <c r="F13" s="18" t="s">
        <v>803</v>
      </c>
      <c r="G13" s="18" t="s">
        <v>841</v>
      </c>
      <c r="H13" s="18" t="s">
        <v>846</v>
      </c>
    </row>
    <row r="14" customFormat="false" ht="48" hidden="false" customHeight="true" outlineLevel="0" collapsed="false">
      <c r="A14" s="22" t="s">
        <v>849</v>
      </c>
      <c r="B14" s="23" t="s">
        <v>838</v>
      </c>
      <c r="C14" s="23" t="s">
        <v>850</v>
      </c>
      <c r="D14" s="23" t="s">
        <v>851</v>
      </c>
      <c r="E14" s="23" t="s">
        <v>852</v>
      </c>
      <c r="F14" s="23" t="s">
        <v>853</v>
      </c>
      <c r="G14" s="23" t="s">
        <v>841</v>
      </c>
      <c r="H14" s="23" t="s">
        <v>854</v>
      </c>
    </row>
  </sheetData>
  <mergeCells count="2">
    <mergeCell ref="A1:H1"/>
    <mergeCell ref="A2:H2"/>
  </mergeCells>
  <printOptions headings="false" gridLines="false" gridLinesSet="true" horizontalCentered="true" verticalCentered="false"/>
  <pageMargins left="0.3" right="0.3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&amp;CHare Krishna Movement, Hyderabad – Storeroom Register   | 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2026-10-21T10:03:07Z</dcterms:created>
  <dc:creator>openpyxl</dc:creator>
  <dc:description/>
  <dc:language>en-US</dc:language>
  <cp:lastModifiedBy/>
  <dcterms:modified xsi:type="dcterms:W3CDTF">2026-10-21T10:03:12Z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
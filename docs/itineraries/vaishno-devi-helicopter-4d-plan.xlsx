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<sst xmlns="http://schemas.openxmlformats.org/spreadsheetml/2006/main" count="707" uniqueCount="452">
  <si>
    <t xml:space="preserve">Vaishno Devi Helicopter Yatra – Overview</t>
  </si>
  <si>
    <t xml:space="preserve">Jammu – Katra – Vaishno Devi – Jammu · 3 nights / 4 days · mode: car, helicopter Katra ⇄ Sanjichhat · Departure: 13–16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</si>
  <si>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</si>
  <si>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</si>
  <si>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</si>
  <si>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</si>
  <si>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</si>
  <si>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</si>
  <si>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</si>
  <si>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</si>
  <si>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</si>
  <si>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</si>
  <si>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</si>
  <si>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arrival, Jammu temples</t>
  </si>
  <si>
    <t xml:space="preserve">Jammu</t>
  </si>
  <si>
    <t xml:space="preserve">Yatri data to travel agent</t>
  </si>
  <si>
    <t xml:space="preserve">Jammu → Katra → Sanjichhat (helicopter) → Bhawan</t>
  </si>
  <si>
    <t xml:space="preserve">Bhawan</t>
  </si>
  <si>
    <t xml:space="preserve">Helicopter tickets booked</t>
  </si>
  <si>
    <t xml:space="preserve">Bhawan → Bhairon → Sanjichhat (helicopter) → Katra</t>
  </si>
  <si>
    <t xml:space="preserve">Katra</t>
  </si>
  <si>
    <t xml:space="preserve">Katra → Jammu departure</t>
  </si>
  <si>
    <t xml:space="preserve">—</t>
  </si>
  <si>
    <t xml:space="preserve">Total</t>
  </si>
  <si>
    <t xml:space="preserve">Other transport: 2 helicopter flights (5–8 min each), Bhairon ropeway, ~5.5 km on the mountain track (2.5 km Day 2, ~3 km Day 3).</t>
  </si>
  <si>
    <t xml:space="preserve">Assumptions: arrival at Jammu by 14:00 on Day 1; breakfast 07:30–08:30 and departure from the hotel at 09:00 every day; helicopter slots 12:15 (Day 2) and 12:15 (Day 3); one vehicle convoy for the group.</t>
  </si>
  <si>
    <t xml:space="preserve">4 Days Vaishno Devi Helicopter Package – Minute-to-Minute Plan</t>
  </si>
  <si>
    <t xml:space="preserve">Departure: 13–16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</si>
  <si>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</si>
  <si>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</si>
  <si>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</si>
  <si>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</si>
  <si>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</si>
  <si>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</si>
  <si>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</si>
  <si>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</si>
  <si>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</si>
  <si>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</si>
  <si>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included); carry a light snack, lunch is at 15:15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</si>
  <si>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</si>
  <si>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</si>
  <si>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</si>
  <si>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</si>
  <si>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</si>
  <si>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</si>
  <si>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</si>
  <si>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</si>
  <si>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</si>
  <si>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</si>
  <si>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</si>
  <si>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</si>
  <si>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</si>
  <si>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Late lunch – at the hotel, pre-ordered pure-veg thali served on arrival;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</si>
  <si>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</si>
  <si>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</si>
  <si>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</si>
  <si>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</si>
  <si>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</si>
  <si>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</si>
  <si>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</si>
  <si>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</si>
  <si>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</si>
  <si>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</si>
  <si>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</si>
  <si>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</si>
  <si>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</si>
  <si>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</si>
  <si>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</si>
  <si>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</si>
  <si>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</si>
  <si>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</si>
  <si>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</si>
  <si>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</si>
  <si>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</si>
  <si>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</si>
  <si>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</si>
  <si>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</si>
  <si>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</si>
  <si>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</si>
  <si>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</si>
  <si>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</si>
  <si>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</si>
  <si>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</si>
  <si>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</si>
  <si>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</si>
  <si>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</si>
  <si>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</si>
  <si>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</si>
  <si>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</si>
  <si>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</si>
  <si>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</si>
  <si>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</si>
  <si>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</si>
  <si>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</si>
  <si>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</si>
  <si>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</si>
  <si>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</si>
  <si>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</si>
  <si>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</si>
  <si>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 (fixed temple timing)</t>
  </si>
  <si>
    <t xml:space="preserve">Rest, pack small bag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</si>
  <si>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</si>
  <si>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</si>
  <si>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</si>
  <si>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</si>
  <si>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</si>
  <si>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</si>
  <si>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</si>
  <si>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</si>
  <si>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</si>
  <si>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</si>
  <si>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</si>
  <si>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</si>
  <si>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</si>
  <si>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</si>
  <si>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</si>
  <si>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</si>
  <si>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</si>
  <si>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</si>
  <si>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</si>
  <si>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</si>
  <si>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</si>
  <si>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</si>
  <si>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</si>
  <si>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</si>
  <si>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</si>
  <si>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</si>
  <si>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</si>
  <si>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</si>
  <si>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</si>
  <si>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</si>
  <si>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</si>
  <si>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</si>
  <si>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</si>
  <si>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Check-out, load luggage; collect packed lunch for the journey</t>
  </si>
  <si>
    <t xml:space="preserve">Drive to Jammu (Jammu Tawi station ~48 km; SMVD Katra station only 2 km)</t>
  </si>
  <si>
    <t xml:space="preserve">Departure</t>
  </si>
  <si>
    <t xml:space="preserve">Jammu Airport / Jammu Tawi Rly Stn</t>
  </si>
  <si>
    <t xml:space="preserve">Drop-off, farewell, Jai Mata Di! (book return flights / trains after 12:30)</t>
  </si>
  <si>
    <t xml:space="preserve">Legend: yellow rows = meals, blue rows = helicopter / ropeway.</t>
  </si>
  <si>
    <t xml:space="preserve">Meal plan (all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</si>
  <si>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</si>
  <si>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</si>
  <si>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</si>
  <si>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</si>
  <si>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</si>
  <si>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</si>
  <si>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</si>
  <si>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</si>
  <si>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</si>
  <si>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15:15–15:50</t>
  </si>
  <si>
    <t xml:space="preserve">Hotel, pre-ordered thali</t>
  </si>
  <si>
    <t xml:space="preserve">Group pays</t>
  </si>
  <si>
    <t xml:space="preserve">20:15–21:15</t>
  </si>
  <si>
    <t xml:space="preserve">Hotel, pre-ordered menu</t>
  </si>
  <si>
    <t xml:space="preserve">07:30–08:30</t>
  </si>
  <si>
    <t xml:space="preserve">Hotel</t>
  </si>
  <si>
    <t xml:space="preserve">Complimentary</t>
  </si>
  <si>
    <t xml:space="preserve">14:00–14:45</t>
  </si>
  <si>
    <t xml:space="preserve">Bhojanalaya, Bhawan</t>
  </si>
  <si>
    <t xml:space="preserve">Shrine Board (SMVDSB)</t>
  </si>
  <si>
    <t xml:space="preserve">Pay at counter</t>
  </si>
  <si>
    <t xml:space="preserve">19:30–20:30</t>
  </si>
  <si>
    <t xml:space="preserve">13:15–14:00</t>
  </si>
  <si>
    <t xml:space="preserve">Hotel restaurant, Katra (or pure-veg restaurant, Main Bazaar)</t>
  </si>
  <si>
    <t xml:space="preserve">Hotel / restaurant</t>
  </si>
  <si>
    <t xml:space="preserve">20:00–21:00</t>
  </si>
  <si>
    <t xml:space="preserve">Packed from Katra hotel for onward travel after 12:30</t>
  </si>
  <si>
    <t xml:space="preserve">Aspect</t>
  </si>
  <si>
    <t xml:space="preserve">Good</t>
  </si>
  <si>
    <t xml:space="preserve">Bad</t>
  </si>
  <si>
    <t xml:space="preserve">Cuts the 13 km climb to ~10 min; ideal for seniors and families</t>
  </si>
  <si>
    <t xml:space="preserve">Weather-dependent; slots sell out fast; tight baggage limit</t>
  </si>
  <si>
    <t xml:space="preserve">Night at Bhawan</t>
  </si>
  <si>
    <t xml:space="preserve">Both Evening and Morning Aarti; unhurried darshan</t>
  </si>
  <si>
    <t xml:space="preserve">Shared, basic rooms; limited supply; no meals included</t>
  </si>
  <si>
    <t xml:space="preserve">Jammu sightseeing on Day 1</t>
  </si>
  <si>
    <t xml:space="preserve">Uses arrival day well; five temples in 32 km</t>
  </si>
  <si>
    <t xml:space="preserve">Afternoon-only window after a 14:00 arrival; little slack if flights are late</t>
  </si>
  <si>
    <t xml:space="preserve">Bhairon by ropeway</t>
  </si>
  <si>
    <t xml:space="preserve">Completes the yatra with no extra climb</t>
  </si>
  <si>
    <t xml:space="preserve">Queues at peak hours; ropeway may stop in bad weather</t>
  </si>
  <si>
    <t xml:space="preserve">Katra evening</t>
  </si>
  <si>
    <t xml:space="preserve">Banganga, Darshani Deodi and shopping at an easy pace</t>
  </si>
  <si>
    <t xml:space="preserve">Crowded market; extra spend on shopping</t>
  </si>
  <si>
    <t xml:space="preserve">Overall pace</t>
  </si>
  <si>
    <t xml:space="preserve">3 nights only; little road travel (143 km)</t>
  </si>
  <si>
    <t xml:space="preserve">Early starts on Days 2 and 3 (04:30 wake-up at Bhawan)</t>
  </si>
  <si>
    <t xml:space="preserve">Food</t>
  </si>
  <si>
    <t xml:space="preserve">Hotel breakfasts included; Bhojanalaya is pure-veg and cheap</t>
  </si>
  <si>
    <t xml:space="preserve">Bhojanalaya menu is simple; outside lunch Day 1 must be arranged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</si>
  <si>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</si>
  <si>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</si>
  <si>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</si>
  <si>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</si>
  <si>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</si>
  <si>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</si>
  <si>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earliest slots; keep 2–3 hrs slack</t>
  </si>
  <si>
    <t xml:space="preserve">Wait for next slot; else pony / palki or the 13 km track from Katra (battery car runs Ardhkuwari → Bhawan); inform Katra hotel</t>
  </si>
  <si>
    <t xml:space="preserve">Helicopter slots not available</t>
  </si>
  <si>
    <t xml:space="preserve">Package cannot run as sold</t>
  </si>
  <si>
    <t xml:space="preserve">Book the day the SMVDSB portal opens; book all yatris together</t>
  </si>
  <si>
    <t xml:space="preserve">Shift dates, or sell a pony / palki variant at a lower price</t>
  </si>
  <si>
    <t xml:space="preserve">Yatri misses reporting time</t>
  </si>
  <si>
    <t xml:space="preserve">Seat forfeited, no refund</t>
  </si>
  <si>
    <t xml:space="preserve">Leave Katra town by 09:15; registration before helipad</t>
  </si>
  <si>
    <t xml:space="preserve">Re-book a later slot if seats remain; else pony / palki</t>
  </si>
  <si>
    <t xml:space="preserve">Bhawan rooms not available</t>
  </si>
  <si>
    <t xml:space="preserve">No night at Bhawan</t>
  </si>
  <si>
    <t xml:space="preserve">Book on SMVDSB portal as soon as dates are fixed</t>
  </si>
  <si>
    <t xml:space="preserve">Darshan Day 2 evening, return to Katra same night; Morning Aarti dropped</t>
  </si>
  <si>
    <t xml:space="preserve">Long darshan queues</t>
  </si>
  <si>
    <t xml:space="preserve">Aarti or flight missed</t>
  </si>
  <si>
    <t xml:space="preserve">Avoid peak dates; darshan right after lunch</t>
  </si>
  <si>
    <t xml:space="preserve">Darshan Day 3 early morning, keep the 12:15 flight</t>
  </si>
  <si>
    <t xml:space="preserve">Aarti passes not available</t>
  </si>
  <si>
    <t xml:space="preserve">Group cannot sit inside for Aarti</t>
  </si>
  <si>
    <t xml:space="preserve">Book Atka Aarti passes the day booking opens</t>
  </si>
  <si>
    <t xml:space="preserve">Join Aarti from the courtyard screens</t>
  </si>
  <si>
    <t xml:space="preserve">Senior falls ill / tires on track</t>
  </si>
  <si>
    <t xml:space="preserve">Group delayed</t>
  </si>
  <si>
    <t xml:space="preserve">Pre-trip fitness question; pony / battery car pre-arranged</t>
  </si>
  <si>
    <t xml:space="preserve">One escort stays back; use Bhawan medical centre</t>
  </si>
  <si>
    <t xml:space="preserve">Lost RFID card or ID</t>
  </si>
  <si>
    <t xml:space="preserve">Cannot enter the track</t>
  </si>
  <si>
    <t xml:space="preserve">Leader keeps photocopies; yatris carry originals</t>
  </si>
  <si>
    <t xml:space="preserve">Re-issue at Katra counter with ID copy</t>
  </si>
  <si>
    <t xml:space="preserve">Prepaid SIMs from other states don't work in J&amp;K</t>
  </si>
  <si>
    <t xml:space="preserve">Group out of contact</t>
  </si>
  <si>
    <t xml:space="preserve">Tell yatris in advance; carry postpaid numbers</t>
  </si>
  <si>
    <t xml:space="preserve">Leader and assistant on postpaid; fixed meeting points</t>
  </si>
  <si>
    <t xml:space="preserve">Road block / landslide Jammu–Katra</t>
  </si>
  <si>
    <t xml:space="preserve">Day 2 or Day 4 delayed</t>
  </si>
  <si>
    <t xml:space="preserve">Leave early; check traffic</t>
  </si>
  <si>
    <t xml:space="preserve">Ask local driver for open alternative route; train from SMVD Katra station on Day 4</t>
  </si>
  <si>
    <t xml:space="preserve">Flight delays at Jammu (winter fog)</t>
  </si>
  <si>
    <t xml:space="preserve">Day 1 sightseeing cut short</t>
  </si>
  <si>
    <t xml:space="preserve">Choose morning flights; buffer on Day 4</t>
  </si>
  <si>
    <t xml:space="preserve">Drop Peer Kho on Day 1; add on Day 4 if time allows</t>
  </si>
  <si>
    <t xml:space="preserve">Lost yatri in crowd</t>
  </si>
  <si>
    <t xml:space="preserve">Panic, delay</t>
  </si>
  <si>
    <t xml:space="preserve">Group cap/scarf; buddy pairs; head counts at every move</t>
  </si>
  <si>
    <t xml:space="preserve">Meet at fixed point; announce at help desk</t>
  </si>
  <si>
    <t xml:space="preserve">Type</t>
  </si>
  <si>
    <t xml:space="preserve">Point</t>
  </si>
  <si>
    <t xml:space="preserve">Do – yatris</t>
  </si>
  <si>
    <t xml:space="preserve">Carry the original photo ID used for helicopter and Yatra booking</t>
  </si>
  <si>
    <t xml:space="preserve">Keep the RFID Yatra card on you from Katra till back in Katra</t>
  </si>
  <si>
    <t xml:space="preserve">Small day bag for Bhawan; main suitcase stays in Katra</t>
  </si>
  <si>
    <t xml:space="preserve">Report 10 minutes before every departure time</t>
  </si>
  <si>
    <t xml:space="preserve">Stay with your buddy; wear the group cap or scarf</t>
  </si>
  <si>
    <t xml:space="preserve">Deposit phones, cameras and bags in the cloak room before darshan</t>
  </si>
  <si>
    <t xml:space="preserve">Drink water often; eat light before helicopter and track</t>
  </si>
  <si>
    <t xml:space="preserve">Chant; follow Shrine Board queue instructions</t>
  </si>
  <si>
    <t xml:space="preserve">Tell the tour leader at once if unwell</t>
  </si>
  <si>
    <t xml:space="preserve">Don't – yatris</t>
  </si>
  <si>
    <t xml:space="preserve">Carry phones, cameras, bags, leather goods or eatables into the darshan area (check cloak-room board)</t>
  </si>
  <si>
    <t xml:space="preserve">Exceed the helicopter baggage limit</t>
  </si>
  <si>
    <t xml:space="preserve">Rely on a prepaid SIM from outside J&amp;K</t>
  </si>
  <si>
    <t xml:space="preserve">Buy prasad from touts; use Shrine Board counters</t>
  </si>
  <si>
    <t xml:space="preserve">Hire ponies/palkis outside registered stands or without the rate card</t>
  </si>
  <si>
    <t xml:space="preserve">Leave the group without telling the tour leader</t>
  </si>
  <si>
    <t xml:space="preserve">Wear new shoes</t>
  </si>
  <si>
    <t xml:space="preserve">Do – tour team</t>
  </si>
  <si>
    <t xml:space="preserve">Head count at every movement</t>
  </si>
  <si>
    <t xml:space="preserve">Printed yatri list: names, ID nos, phone, emergency contact, blood group, medical notes</t>
  </si>
  <si>
    <t xml:space="preserve">Tickets, room booking and Aarti passes in print and on phone</t>
  </si>
  <si>
    <t xml:space="preserve">Confirm helicopter status the evening before and 07:00 on flight day</t>
  </si>
  <si>
    <t xml:space="preserve">Reconfirm hotels, cars and meal orders 48 hours ahead</t>
  </si>
  <si>
    <t xml:space="preserve">Don't – tour team</t>
  </si>
  <si>
    <t xml:space="preserve">Promise a helicopter seat or Aarti pass not yet booked</t>
  </si>
  <si>
    <t xml:space="preserve">Split the group across helicopter slots without an escort each side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</si>
  <si>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</si>
  <si>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</si>
  <si>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</si>
  <si>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</si>
  <si>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</si>
  <si>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</si>
  <si>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</si>
  <si>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</si>
  <si>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May–June holidays, Jul–Aug monsoon</t>
  </si>
  <si>
    <t xml:space="preserve">Yatra coordinator</t>
  </si>
  <si>
    <t xml:space="preserve">By 25 Dec 2026</t>
  </si>
  <si>
    <t xml:space="preserve">Registrations close: collect yatri names, photo ID (Aadhaar / passport), age, weight, phone, emergency contact, medical notes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</si>
  <si>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</si>
  <si>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</si>
  <si>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</si>
  <si>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</t>
  </si>
  <si>
    <t xml:space="preserve">1 Jan 2027</t>
  </si>
  <si>
    <t xml:space="preserve">Book helicopter Day 2 &amp; Day 3 on SMVDSB portal</t>
  </si>
  <si>
    <t xml:space="preserve">Travel agent with yatra coordinator</t>
  </si>
  <si>
    <t xml:space="preserve">Booking opening day</t>
  </si>
  <si>
    <t xml:space="preserve">Book Bhawan accommodation Day 2 night</t>
  </si>
  <si>
    <t xml:space="preserve">Book Atka Aarti passes and Bhairon ropeway</t>
  </si>
  <si>
    <t xml:space="preserve">T−45 days</t>
  </si>
  <si>
    <t xml:space="preserve">Book flights / trains: arrival by 14:00 on Day 1; departure after 12:30 Day 4</t>
  </si>
  <si>
    <t xml:space="preserve">Travel desk</t>
  </si>
  <si>
    <t xml:space="preserve">Book hotels Jammu (Day 1), Katra (Day 3) with breakfast</t>
  </si>
  <si>
    <t xml:space="preserve">T−30 days</t>
  </si>
  <si>
    <t xml:space="preserve">Book vehicles for all 4 days</t>
  </si>
  <si>
    <t xml:space="preserve">T−15 days</t>
  </si>
  <si>
    <t xml:space="preserve">Pre-order Day 1 lunch and all hotel dinner menus</t>
  </si>
  <si>
    <t xml:space="preserve">Tour leader</t>
  </si>
  <si>
    <t xml:space="preserve">Travel insurance for every yatri</t>
  </si>
  <si>
    <t xml:space="preserve">T−7 days</t>
  </si>
  <si>
    <t xml:space="preserve">Pre-departure meeting: itinerary, packing, do's &amp; don'ts, SIM advice</t>
  </si>
  <si>
    <t xml:space="preserve">T−2 days</t>
  </si>
  <si>
    <t xml:space="preserve">Reconfirm hotels, vehicles, restaurant, helicopter slots</t>
  </si>
  <si>
    <t xml:space="preserve">T−1 day</t>
  </si>
  <si>
    <t xml:space="preserve">Print tickets, room booking, passes, yatri list, ID copies</t>
  </si>
  <si>
    <t xml:space="preserve">Day 2 at Katra</t>
  </si>
  <si>
    <t xml:space="preserve">RFID Yatra registration for every yatri</t>
  </si>
  <si>
    <t xml:space="preserve">Bag / season</t>
  </si>
  <si>
    <t xml:space="preserve">Item</t>
  </si>
  <si>
    <t xml:space="preserve">Day bag</t>
  </si>
  <si>
    <t xml:space="preserve">Original photo ID + photocopy</t>
  </si>
  <si>
    <t xml:space="preserve">Helicopter ticket and RFID Yatra card</t>
  </si>
  <si>
    <t xml:space="preserve">One change of clothes, towel</t>
  </si>
  <si>
    <t xml:space="preserve">Shawl / light jacket</t>
  </si>
  <si>
    <t xml:space="preserve">Medicines for 2 days + prescription</t>
  </si>
  <si>
    <t xml:space="preserve">Water bottle, dry fruits</t>
  </si>
  <si>
    <t xml:space="preserve">Japa mala, small torch, small-note cash</t>
  </si>
  <si>
    <t xml:space="preserve">Main suitcase</t>
  </si>
  <si>
    <t xml:space="preserve">Clothes for 4 days</t>
  </si>
  <si>
    <t xml:space="preserve">Walking shoes with grip + slippers</t>
  </si>
  <si>
    <t xml:space="preserve">Toiletries, sunscreen, cap</t>
  </si>
  <si>
    <t xml:space="preserve">Raincoat / umbrella</t>
  </si>
  <si>
    <t xml:space="preserve">Charger, power bank, postpaid SIM</t>
  </si>
  <si>
    <t xml:space="preserve">First-aid: pain relief, ORS, antacid, band-aids, motion-sickness tablets</t>
  </si>
  <si>
    <t xml:space="preserve">Dec–Feb</t>
  </si>
  <si>
    <t xml:space="preserve">Thermals, woollen cap, gloves, socks, heavy jacket</t>
  </si>
  <si>
    <t xml:space="preserve">Mar–Jun</t>
  </si>
  <si>
    <t xml:space="preserve">Light cotton, sunglasses, extra water</t>
  </si>
  <si>
    <t xml:space="preserve">Jul–Sep</t>
  </si>
  <si>
    <t xml:space="preserve">Raincoat, quick-dry clothes, spare footwear, plastic bags</t>
  </si>
  <si>
    <t xml:space="preserve">Oct–Nov</t>
  </si>
  <si>
    <t xml:space="preserve">Light woollens for Bhawan nights</t>
  </si>
  <si>
    <t xml:space="preserve">Topic</t>
  </si>
  <si>
    <t xml:space="preserve">Guidance</t>
  </si>
  <si>
    <t xml:space="preserve">Exertion</t>
  </si>
  <si>
    <t xml:space="preserve">Only ~5.5 km on track (2.5 km Day 2, ~3 km Day 3); rest by car, helicopter, ropeway</t>
  </si>
  <si>
    <t xml:space="preserve">Fitness check</t>
  </si>
  <si>
    <t xml:space="preserve">Ask about heart, BP, diabetes, asthma, knees; book pony/palki/battery car for anyone unable to walk 1 km</t>
  </si>
  <si>
    <t xml:space="preserve">Altitude</t>
  </si>
  <si>
    <t xml:space="preserve">Bhawan ~5,200 ft; walk slowly, rest, drink water</t>
  </si>
  <si>
    <t xml:space="preserve">Pregnant women, infants, recent surgery: check operator rules before booking</t>
  </si>
  <si>
    <t xml:space="preserve">Medical help</t>
  </si>
  <si>
    <t xml:space="preserve">Shrine Board medical points on track and at Bhawan; hospitals in Katra and Jammu</t>
  </si>
  <si>
    <t xml:space="preserve">Seniors</t>
  </si>
  <si>
    <t xml:space="preserve">Seat first; 1 escort per 5–6 seniors on track; darshan right after rest</t>
  </si>
  <si>
    <t xml:space="preserve">Food &amp; water</t>
  </si>
  <si>
    <t xml:space="preserve">Bhojanalaya and hotels only; packaged water; avoid fried snacks before flight</t>
  </si>
  <si>
    <t xml:space="preserve">Crowd safety</t>
  </si>
  <si>
    <t xml:space="preserve">Buddy pairs, group cap/scarf, head counts, fixed meeting points</t>
  </si>
  <si>
    <t xml:space="preserve">Valuables</t>
  </si>
  <si>
    <t xml:space="preserve">Neck pouch for cash/ID; cloak rooms; no jewellery</t>
  </si>
  <si>
    <t xml:space="preserve">Insurance</t>
  </si>
  <si>
    <t xml:space="preserve">Every yatri insured; policy no. on yatri list</t>
  </si>
  <si>
    <t xml:space="preserve">Months</t>
  </si>
  <si>
    <t xml:space="preserve">Weather</t>
  </si>
  <si>
    <t xml:space="preserve">Crowd</t>
  </si>
  <si>
    <t xml:space="preserve">Helicopter reliability</t>
  </si>
  <si>
    <t xml:space="preserve">Verdict</t>
  </si>
  <si>
    <t xml:space="preserve">Mar–Apr</t>
  </si>
  <si>
    <t xml:space="preserve">Pleasant days, cool nights</t>
  </si>
  <si>
    <t xml:space="preserve">Medium; very high in Chaitra Navratri</t>
  </si>
  <si>
    <t xml:space="preserve">Recommended (avoid Navratri week)</t>
  </si>
  <si>
    <t xml:space="preserve">May–Jun</t>
  </si>
  <si>
    <t xml:space="preserve">Hot in Jammu (40°C+), pleasant at Bhawan</t>
  </si>
  <si>
    <t xml:space="preserve">Very high (school holidays)</t>
  </si>
  <si>
    <t xml:space="preserve">Possible; book very early</t>
  </si>
  <si>
    <t xml:space="preserve">Jul–Aug</t>
  </si>
  <si>
    <t xml:space="preserve">Monsoon rain, landslide risk</t>
  </si>
  <si>
    <t xml:space="preserve">Low–medium</t>
  </si>
  <si>
    <t xml:space="preserve">Poor; frequent cancellations</t>
  </si>
  <si>
    <t xml:space="preserve">Avoid</t>
  </si>
  <si>
    <t xml:space="preserve">Sep</t>
  </si>
  <si>
    <t xml:space="preserve">Rain easing</t>
  </si>
  <si>
    <t xml:space="preserve">Medium</t>
  </si>
  <si>
    <t xml:space="preserve">Fair</t>
  </si>
  <si>
    <t xml:space="preserve">Possible late September</t>
  </si>
  <si>
    <t xml:space="preserve">Clear, cool</t>
  </si>
  <si>
    <t xml:space="preserve">Medium; very high in Sharad Navratri</t>
  </si>
  <si>
    <t xml:space="preserve">Cold; snow possible at Bhairon; fog at Jammu</t>
  </si>
  <si>
    <t xml:space="preserve">Low, except New Year week</t>
  </si>
  <si>
    <t xml:space="preserve">Fair; fog delays</t>
  </si>
  <si>
    <t xml:space="preserve">Possible for hardy groups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</si>
  <si>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</si>
  <si>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</si>
  <si>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</si>
  <si>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</si>
  <si>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tickets, vendor payments, backup decisions</t>
  </si>
  <si>
    <t xml:space="preserve">Assistant / escort</t>
  </si>
  <si>
    <t xml:space="preserve">Seniors and slow walkers; rear of group; second document set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</si>
  <si>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</si>
  <si>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</si>
  <si>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</si>
  <si>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japa, katha at halts and evenings</t>
  </si>
  <si>
    <t xml:space="preserve">SMVDSB helpline</t>
  </si>
  <si>
    <t xml:space="preserve">Take from official SMVDSB website</t>
  </si>
  <si>
    <t xml:space="preserve">Helicopter operator, Katra</t>
  </si>
  <si>
    <t xml:space="preserve">From the ticket</t>
  </si>
  <si>
    <t xml:space="preserve">Driver(s)</t>
  </si>
  <si>
    <t xml:space="preserve">Hospital, Katra</t>
  </si>
  <si>
    <t xml:space="preserve">Hospital, Jammu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</si>
  <si>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</si>
  <si>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</si>
  <si>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</si>
  <si>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</si>
  <si>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</si>
  <si>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</si>
  <si>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</si>
  <si>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</si>
  <si>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</si>
  <si>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/ trains to and from Jammu</t>
  </si>
  <si>
    <t xml:space="preserve">Per yatri</t>
  </si>
  <si>
    <t xml:space="preserve">Decide</t>
  </si>
  <si>
    <t xml:space="preserve">Hotel Jammu, 1 night with breakfast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</si>
  <si>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</si>
  <si>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</si>
  <si>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</si>
  <si>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</si>
  <si>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Hotel Katra, 1 night with breakfast</t>
  </si>
  <si>
    <t xml:space="preserve">Helicopter Katra ⇄ Sanjichhat</t>
  </si>
  <si>
    <t xml:space="preserve">Per yatri, both ways</t>
  </si>
  <si>
    <t xml:space="preserve">Bhairon ropeway</t>
  </si>
  <si>
    <t xml:space="preserve">Atka Aarti passes</t>
  </si>
  <si>
    <t xml:space="preserve">Vehicles, 4 days (143 km + waiting)</t>
  </si>
  <si>
    <t xml:space="preserve">Per vehicle, split by seats</t>
  </si>
  <si>
    <t xml:space="preserve">Lunch Day 1 (hotel)</t>
  </si>
  <si>
    <t xml:space="preserve">Per plate</t>
  </si>
  <si>
    <t xml:space="preserve">Dinners Day 1 and Day 3 (hotels)</t>
  </si>
  <si>
    <t xml:space="preserve">Bhojanalaya meals at Bhawan (3)</t>
  </si>
  <si>
    <t xml:space="preserve">Travel insurance</t>
  </si>
  <si>
    <t xml:space="preserve">Tour leader and assistant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</si>
  <si>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</si>
  <si>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</si>
  <si>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</si>
  <si>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 rebooking and delays</t>
  </si>
  <si>
    <t xml:space="preserve">Package cost per yatri</t>
  </si>
  <si>
    <t xml:space="preserve">Not in package: pony / palki / battery car (on actuals), shopping, personal offerings, tips.</t>
  </si>
  <si>
    <t xml:space="preserve">Point to confirm</t>
  </si>
  <si>
    <t xml:space="preserve">Every yatri's arrival in Jammu by 14:00 on Day 1, and departure flight / train times on Day 4</t>
  </si>
  <si>
    <t xml:space="preserve">Helicopter slots booked on 1 Jan 2027 for Day 2 and Day 3 + reporting time</t>
  </si>
  <si>
    <t xml:space="preserve">Helicopter baggage limit per yatri; where main luggage waits</t>
  </si>
  <si>
    <t xml:space="preserve">Bhawan accommodation booked for Day 2 night</t>
  </si>
  <si>
    <t xml:space="preserve">Atka Aarti passes – availability and booking window</t>
  </si>
  <si>
    <t xml:space="preserve">Bhairon ropeway tickets</t>
  </si>
  <si>
    <t xml:space="preserve">Hotels in Jammu and Katra fixed; replace area map links with exact hotel pins</t>
  </si>
  <si>
    <t xml:space="preserve">Verify every car km and drive time on Google Maps</t>
  </si>
  <si>
    <t xml:space="preserve">Pony / battery-car arrangement for seniors</t>
  </si>
  <si>
    <t xml:space="preserve">Weather back-up if helicopter is grounded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</si>
</sst>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Bhojanalaya%2C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Main+Bazaar%2C+Katra" TargetMode="External"/><Relationship Id="rId43" Type="http://schemas.openxmlformats.org/officeDocument/2006/relationships/hyperlink" Target="https://www.google.com/maps/search/?api=1&amp;query=pure+veg+restaurant+near+Main+Bazaar%2C+Katra" TargetMode="External"/><Relationship Id="rId44" Type="http://schemas.openxmlformats.org/officeDocument/2006/relationships/hyperlink" Target="https://www.google.com/maps/search/?api=1&amp;query=Main+Bazaar%2C+Katra" TargetMode="External"/><Relationship Id="rId45" Type="http://schemas.openxmlformats.org/officeDocument/2006/relationships/hyperlink" Target="https://www.google.com/maps/dir/?api=1&amp;origin=Main+Bazaar%2C+Katra&amp;destination=Banganga+Temple%2C+Katra&amp;travelmode=driving" TargetMode="External"/><Relationship Id="rId46" Type="http://schemas.openxmlformats.org/officeDocument/2006/relationships/hyperlink" Target="https://www.google.com/maps/search/?api=1&amp;query=Banganga+Temple%2C+Katra" TargetMode="External"/><Relationship Id="rId47" Type="http://schemas.openxmlformats.org/officeDocument/2006/relationships/hyperlink" Target="https://www.google.com/maps/dir/?api=1&amp;origin=Banganga+Temple%2C+Katra&amp;destination=Darshani+Deodi%2C+Katra&amp;travelmode=driving" TargetMode="External"/><Relationship Id="rId48" Type="http://schemas.openxmlformats.org/officeDocument/2006/relationships/hyperlink" Target="https://www.google.com/maps/search/?api=1&amp;query=Darshani+Deodi%2C+Katra" TargetMode="External"/><Relationship Id="rId49" Type="http://schemas.openxmlformats.org/officeDocument/2006/relationships/hyperlink" Target="https://www.google.com/maps/dir/?api=1&amp;origin=Darshani+Deodi%2C+Katra&amp;destination=Main+Bazaar%2C+Katra&amp;travelmode=driving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search/?api=1&amp;query=Main+Bazaar%2C+Katra" TargetMode="External"/><Relationship Id="rId55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6" Type="http://schemas.openxmlformats.org/officeDocument/2006/relationships/hyperlink" Target="https://www.google.com/maps/search/?api=1&amp;query=Jammu+Airport%2C+Satwari%2C+Jammu" TargetMode="External"/><Relationship Id="rId5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0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SUMIF('Minute-by-Minute'!$A$5:$A$61,A5,'Minute-by-Minute'!$I$5:$I$61)</f>
        <v>32</v>
      </c>
      <c r="E5" s="7" t="s">
        <v>14</v>
      </c>
      <c r="F5" s="9" t="n">
        <f aca="false">_xlfn.MINIFS('Minute-by-Minute'!$C$5:$C$61,'Minute-by-Minute'!$A$5:$A$61,A5)</f>
        <v>0.333333333333333</v>
      </c>
      <c r="G5" s="9" t="n">
        <f aca="false">_xlfn.MAXIFS('Minute-by-Minute'!$D$5:$D$61,'Minute-by-Minute'!$A$5:$A$61,A5)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SUMIF('Minute-by-Minute'!$A$5:$A$61,A6,'Minute-by-Minute'!$I$5:$I$61)</f>
        <v>52</v>
      </c>
      <c r="E6" s="7" t="s">
        <v>17</v>
      </c>
      <c r="F6" s="9" t="n">
        <f aca="false">_xlfn.MINIFS('Minute-by-Minute'!$C$5:$C$61,'Minute-by-Minute'!$A$5:$A$61,A6)</f>
        <v>0.3125</v>
      </c>
      <c r="G6" s="9" t="n">
        <f aca="false">_xlfn.MAXIFS('Minute-by-Minute'!$D$5:$D$61,'Minute-by-Minute'!$A$5:$A$61,A6)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SUMIF('Minute-by-Minute'!$A$5:$A$61,A7,'Minute-by-Minute'!$I$5:$I$61)</f>
        <v>9</v>
      </c>
      <c r="E7" s="7" t="s">
        <v>20</v>
      </c>
      <c r="F7" s="9" t="n">
        <f aca="false">_xlfn.MINIFS('Minute-by-Minute'!$C$5:$C$61,'Minute-by-Minute'!$A$5:$A$61,A7)</f>
        <v>0.1875</v>
      </c>
      <c r="G7" s="9" t="n">
        <f aca="false">_xlfn.MAXIFS('Minute-by-Minute'!$D$5:$D$61,'Minute-by-Minute'!$A$5:$A$61,A7)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21</v>
      </c>
      <c r="D8" s="7" t="n">
        <f aca="false">SUMIF('Minute-by-Minute'!$A$5:$A$61,A8,'Minute-by-Minute'!$I$5:$I$61)</f>
        <v>50</v>
      </c>
      <c r="E8" s="7" t="s">
        <v>22</v>
      </c>
      <c r="F8" s="9" t="n">
        <f aca="false">_xlfn.MINIFS('Minute-by-Minute'!$C$5:$C$61,'Minute-by-Minute'!$A$5:$A$61,A8)</f>
        <v>0.3125</v>
      </c>
      <c r="G8" s="9" t="n">
        <f aca="false">_xlfn.MAXIFS('Minute-by-Minute'!$D$5:$D$61,'Minute-by-Minute'!$A$5:$A$61,A8)</f>
        <v>0.458333333333333</v>
      </c>
    </row>
    <row r="9" customFormat="false" ht="15" hidden="false" customHeight="false" outlineLevel="0" collapsed="false">
      <c r="A9" s="3" t="s">
        <v>23</v>
      </c>
      <c r="D9" s="3" t="n">
        <f aca="false">SUM(D5:D8)</f>
        <v>143</v>
      </c>
    </row>
    <row r="11" customFormat="false" ht="15" hidden="false" customHeight="false" outlineLevel="0" collapsed="false">
      <c r="A11" s="2" t="s">
        <v>24</v>
      </c>
    </row>
    <row r="12" customFormat="false" ht="15" hidden="false" customHeight="false" outlineLevel="0" collapsed="false">
      <c r="A12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5" t="s">
        <v>27</v>
      </c>
    </row>
    <row r="4" customFormat="false" ht="23.85" hidden="false" customHeight="false" outlineLevel="0" collapsed="false">
      <c r="A4" s="10" t="s">
        <v>5</v>
      </c>
      <c r="B4" s="10" t="s">
        <v>6</v>
      </c>
      <c r="C4" s="10" t="s">
        <v>28</v>
      </c>
      <c r="D4" s="10" t="s">
        <v>29</v>
      </c>
      <c r="E4" s="10" t="s">
        <v>30</v>
      </c>
      <c r="F4" s="10" t="s">
        <v>31</v>
      </c>
      <c r="G4" s="10" t="s">
        <v>32</v>
      </c>
      <c r="H4" s="10" t="s">
        <v>33</v>
      </c>
      <c r="I4" s="10" t="s">
        <v>8</v>
      </c>
      <c r="J4" s="10" t="s">
        <v>34</v>
      </c>
      <c r="K4" s="10" t="s">
        <v>35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36</v>
      </c>
      <c r="G5" s="11" t="s">
        <v>37</v>
      </c>
      <c r="H5" s="11"/>
      <c r="I5" s="11"/>
      <c r="J5" s="11" t="s">
        <v>38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0.583333333333333</v>
      </c>
      <c r="D6" s="16" t="n">
        <v>0.604166666666667</v>
      </c>
      <c r="E6" s="14" t="n">
        <f aca="false">ROUND((D6-C6)*1440,0)</f>
        <v>30</v>
      </c>
      <c r="F6" s="14" t="s">
        <v>39</v>
      </c>
      <c r="G6" s="14" t="s">
        <v>40</v>
      </c>
      <c r="H6" s="14"/>
      <c r="I6" s="14"/>
      <c r="J6" s="14" t="s">
        <v>41</v>
      </c>
      <c r="K6" s="17" t="s">
        <v>42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0.604166666666667</v>
      </c>
      <c r="D7" s="16" t="n">
        <v>0.618055555555556</v>
      </c>
      <c r="E7" s="14" t="n">
        <f aca="false">ROUND((D7-C7)*1440,0)</f>
        <v>20</v>
      </c>
      <c r="F7" s="14" t="s">
        <v>43</v>
      </c>
      <c r="G7" s="14" t="s">
        <v>44</v>
      </c>
      <c r="H7" s="14" t="s">
        <v>45</v>
      </c>
      <c r="I7" s="14" t="n">
        <v>7</v>
      </c>
      <c r="J7" s="14" t="s">
        <v>46</v>
      </c>
      <c r="K7" s="17" t="s">
        <v>42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0.618055555555556</v>
      </c>
      <c r="D8" s="16" t="n">
        <v>0.635416666666667</v>
      </c>
      <c r="E8" s="14" t="n">
        <f aca="false">ROUND((D8-C8)*1440,0)</f>
        <v>25</v>
      </c>
      <c r="F8" s="14" t="s">
        <v>47</v>
      </c>
      <c r="G8" s="14" t="s">
        <v>48</v>
      </c>
      <c r="H8" s="14"/>
      <c r="I8" s="14"/>
      <c r="J8" s="14" t="s">
        <v>49</v>
      </c>
      <c r="K8" s="17" t="s">
        <v>42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0.635416666666667</v>
      </c>
      <c r="D9" s="13" t="n">
        <v>0.659722222222222</v>
      </c>
      <c r="E9" s="11" t="n">
        <f aca="false">ROUND((D9-C9)*1440,0)</f>
        <v>35</v>
      </c>
      <c r="F9" s="11" t="s">
        <v>50</v>
      </c>
      <c r="G9" s="11" t="s">
        <v>51</v>
      </c>
      <c r="H9" s="11"/>
      <c r="I9" s="11"/>
      <c r="J9" s="11" t="s">
        <v>52</v>
      </c>
      <c r="K9" s="18" t="s">
        <v>42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0.659722222222222</v>
      </c>
      <c r="D10" s="16" t="n">
        <v>0.670138888888889</v>
      </c>
      <c r="E10" s="14" t="n">
        <f aca="false">ROUND((D10-C10)*1440,0)</f>
        <v>15</v>
      </c>
      <c r="F10" s="14" t="s">
        <v>43</v>
      </c>
      <c r="G10" s="14" t="s">
        <v>48</v>
      </c>
      <c r="H10" s="14" t="s">
        <v>53</v>
      </c>
      <c r="I10" s="14" t="n">
        <v>5</v>
      </c>
      <c r="J10" s="14" t="s">
        <v>54</v>
      </c>
      <c r="K10" s="17" t="s">
        <v>42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0.670138888888889</v>
      </c>
      <c r="D11" s="16" t="n">
        <v>0.697916666666667</v>
      </c>
      <c r="E11" s="14" t="n">
        <f aca="false">ROUND((D11-C11)*1440,0)</f>
        <v>40</v>
      </c>
      <c r="F11" s="14" t="s">
        <v>55</v>
      </c>
      <c r="G11" s="14" t="s">
        <v>53</v>
      </c>
      <c r="H11" s="14"/>
      <c r="I11" s="14"/>
      <c r="J11" s="14" t="s">
        <v>56</v>
      </c>
      <c r="K11" s="17" t="s">
        <v>42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0.697916666666667</v>
      </c>
      <c r="D12" s="16" t="n">
        <v>0.704861111111111</v>
      </c>
      <c r="E12" s="14" t="n">
        <f aca="false">ROUND((D12-C12)*1440,0)</f>
        <v>10</v>
      </c>
      <c r="F12" s="14" t="s">
        <v>43</v>
      </c>
      <c r="G12" s="14" t="s">
        <v>53</v>
      </c>
      <c r="H12" s="14" t="s">
        <v>57</v>
      </c>
      <c r="I12" s="14" t="n">
        <v>1</v>
      </c>
      <c r="J12" s="14" t="s">
        <v>58</v>
      </c>
      <c r="K12" s="17" t="s">
        <v>42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0.704861111111111</v>
      </c>
      <c r="D13" s="16" t="n">
        <v>0.722222222222222</v>
      </c>
      <c r="E13" s="14" t="n">
        <f aca="false">ROUND((D13-C13)*1440,0)</f>
        <v>25</v>
      </c>
      <c r="F13" s="14" t="s">
        <v>55</v>
      </c>
      <c r="G13" s="14" t="s">
        <v>57</v>
      </c>
      <c r="H13" s="14"/>
      <c r="I13" s="14"/>
      <c r="J13" s="14" t="s">
        <v>59</v>
      </c>
      <c r="K13" s="17" t="s">
        <v>42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0.722222222222222</v>
      </c>
      <c r="D14" s="16" t="n">
        <v>0.736111111111111</v>
      </c>
      <c r="E14" s="14" t="n">
        <f aca="false">ROUND((D14-C14)*1440,0)</f>
        <v>20</v>
      </c>
      <c r="F14" s="14" t="s">
        <v>43</v>
      </c>
      <c r="G14" s="14" t="s">
        <v>57</v>
      </c>
      <c r="H14" s="14" t="s">
        <v>60</v>
      </c>
      <c r="I14" s="14" t="n">
        <v>6</v>
      </c>
      <c r="J14" s="14" t="s">
        <v>61</v>
      </c>
      <c r="K14" s="17" t="s">
        <v>42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0.736111111111111</v>
      </c>
      <c r="D15" s="16" t="n">
        <v>0.770833333333333</v>
      </c>
      <c r="E15" s="14" t="n">
        <f aca="false">ROUND((D15-C15)*1440,0)</f>
        <v>50</v>
      </c>
      <c r="F15" s="14" t="s">
        <v>55</v>
      </c>
      <c r="G15" s="14" t="s">
        <v>62</v>
      </c>
      <c r="H15" s="14"/>
      <c r="I15" s="14"/>
      <c r="J15" s="14" t="s">
        <v>63</v>
      </c>
      <c r="K15" s="17" t="s">
        <v>42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0.770833333333333</v>
      </c>
      <c r="D16" s="16" t="n">
        <v>0.788194444444444</v>
      </c>
      <c r="E16" s="14" t="n">
        <f aca="false">ROUND((D16-C16)*1440,0)</f>
        <v>25</v>
      </c>
      <c r="F16" s="14" t="s">
        <v>43</v>
      </c>
      <c r="G16" s="14" t="s">
        <v>64</v>
      </c>
      <c r="H16" s="14" t="s">
        <v>65</v>
      </c>
      <c r="I16" s="14" t="n">
        <v>7</v>
      </c>
      <c r="J16" s="14" t="s">
        <v>66</v>
      </c>
      <c r="K16" s="17" t="s">
        <v>42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0.788194444444444</v>
      </c>
      <c r="D17" s="16" t="n">
        <v>0.8125</v>
      </c>
      <c r="E17" s="14" t="n">
        <f aca="false">ROUND((D17-C17)*1440,0)</f>
        <v>35</v>
      </c>
      <c r="F17" s="14" t="s">
        <v>55</v>
      </c>
      <c r="G17" s="14" t="s">
        <v>65</v>
      </c>
      <c r="H17" s="14"/>
      <c r="I17" s="14"/>
      <c r="J17" s="14" t="s">
        <v>67</v>
      </c>
      <c r="K17" s="17" t="s">
        <v>42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0.8125</v>
      </c>
      <c r="D18" s="16" t="n">
        <v>0.826388888888889</v>
      </c>
      <c r="E18" s="14" t="n">
        <f aca="false">ROUND((D18-C18)*1440,0)</f>
        <v>20</v>
      </c>
      <c r="F18" s="14" t="s">
        <v>43</v>
      </c>
      <c r="G18" s="14" t="s">
        <v>65</v>
      </c>
      <c r="H18" s="14" t="s">
        <v>48</v>
      </c>
      <c r="I18" s="14" t="n">
        <v>6</v>
      </c>
      <c r="J18" s="14" t="s">
        <v>68</v>
      </c>
      <c r="K18" s="17" t="s">
        <v>42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0.826388888888889</v>
      </c>
      <c r="D19" s="16" t="n">
        <v>0.84375</v>
      </c>
      <c r="E19" s="14" t="n">
        <f aca="false">ROUND((D19-C19)*1440,0)</f>
        <v>25</v>
      </c>
      <c r="F19" s="14" t="s">
        <v>47</v>
      </c>
      <c r="G19" s="14" t="s">
        <v>48</v>
      </c>
      <c r="H19" s="14"/>
      <c r="I19" s="14"/>
      <c r="J19" s="14" t="s">
        <v>69</v>
      </c>
      <c r="K19" s="17" t="s">
        <v>42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0.84375</v>
      </c>
      <c r="D20" s="13" t="n">
        <v>0.885416666666667</v>
      </c>
      <c r="E20" s="11" t="n">
        <f aca="false">ROUND((D20-C20)*1440,0)</f>
        <v>60</v>
      </c>
      <c r="F20" s="11" t="s">
        <v>70</v>
      </c>
      <c r="G20" s="11" t="s">
        <v>51</v>
      </c>
      <c r="H20" s="11"/>
      <c r="I20" s="11"/>
      <c r="J20" s="11" t="s">
        <v>71</v>
      </c>
      <c r="K20" s="18" t="s">
        <v>42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0.3125</v>
      </c>
      <c r="D21" s="13" t="n">
        <v>0.354166666666667</v>
      </c>
      <c r="E21" s="11" t="n">
        <f aca="false">ROUND((D21-C21)*1440,0)</f>
        <v>60</v>
      </c>
      <c r="F21" s="11" t="s">
        <v>36</v>
      </c>
      <c r="G21" s="11" t="s">
        <v>51</v>
      </c>
      <c r="H21" s="11"/>
      <c r="I21" s="11"/>
      <c r="J21" s="11" t="s">
        <v>72</v>
      </c>
      <c r="K21" s="18" t="s">
        <v>42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0.354166666666667</v>
      </c>
      <c r="D22" s="16" t="n">
        <v>0.375</v>
      </c>
      <c r="E22" s="14" t="n">
        <f aca="false">ROUND((D22-C22)*1440,0)</f>
        <v>30</v>
      </c>
      <c r="F22" s="14" t="s">
        <v>47</v>
      </c>
      <c r="G22" s="14" t="s">
        <v>48</v>
      </c>
      <c r="H22" s="14"/>
      <c r="I22" s="14"/>
      <c r="J22" s="14" t="s">
        <v>73</v>
      </c>
      <c r="K22" s="17" t="s">
        <v>42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0.375</v>
      </c>
      <c r="D23" s="16" t="n">
        <v>0.4375</v>
      </c>
      <c r="E23" s="14" t="n">
        <f aca="false">ROUND((D23-C23)*1440,0)</f>
        <v>90</v>
      </c>
      <c r="F23" s="14" t="s">
        <v>43</v>
      </c>
      <c r="G23" s="14" t="s">
        <v>48</v>
      </c>
      <c r="H23" s="14" t="s">
        <v>20</v>
      </c>
      <c r="I23" s="14" t="n">
        <v>50</v>
      </c>
      <c r="J23" s="14" t="s">
        <v>74</v>
      </c>
      <c r="K23" s="17" t="s">
        <v>42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0.4375</v>
      </c>
      <c r="D24" s="16" t="n">
        <v>0.458333333333333</v>
      </c>
      <c r="E24" s="14" t="n">
        <f aca="false">ROUND((D24-C24)*1440,0)</f>
        <v>30</v>
      </c>
      <c r="F24" s="14" t="s">
        <v>75</v>
      </c>
      <c r="G24" s="14" t="s">
        <v>76</v>
      </c>
      <c r="H24" s="14"/>
      <c r="I24" s="14"/>
      <c r="J24" s="14" t="s">
        <v>77</v>
      </c>
      <c r="K24" s="17" t="s">
        <v>42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0.458333333333333</v>
      </c>
      <c r="D25" s="16" t="n">
        <v>0.465277777777778</v>
      </c>
      <c r="E25" s="14" t="n">
        <f aca="false">ROUND((D25-C25)*1440,0)</f>
        <v>10</v>
      </c>
      <c r="F25" s="14" t="s">
        <v>43</v>
      </c>
      <c r="G25" s="14" t="s">
        <v>78</v>
      </c>
      <c r="H25" s="14" t="s">
        <v>79</v>
      </c>
      <c r="I25" s="14" t="n">
        <v>2</v>
      </c>
      <c r="J25" s="14" t="s">
        <v>80</v>
      </c>
      <c r="K25" s="17" t="s">
        <v>42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0.465277777777778</v>
      </c>
      <c r="D26" s="16" t="n">
        <v>0.510416666666667</v>
      </c>
      <c r="E26" s="14" t="n">
        <f aca="false">ROUND((D26-C26)*1440,0)</f>
        <v>65</v>
      </c>
      <c r="F26" s="14" t="s">
        <v>81</v>
      </c>
      <c r="G26" s="14" t="s">
        <v>79</v>
      </c>
      <c r="H26" s="14"/>
      <c r="I26" s="14"/>
      <c r="J26" s="14" t="s">
        <v>82</v>
      </c>
      <c r="K26" s="17" t="s">
        <v>42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0.510416666666667</v>
      </c>
      <c r="D27" s="21" t="n">
        <v>0.517361111111111</v>
      </c>
      <c r="E27" s="19" t="n">
        <f aca="false">ROUND((D27-C27)*1440,0)</f>
        <v>10</v>
      </c>
      <c r="F27" s="19" t="s">
        <v>83</v>
      </c>
      <c r="G27" s="19" t="s">
        <v>79</v>
      </c>
      <c r="H27" s="19" t="s">
        <v>84</v>
      </c>
      <c r="I27" s="19"/>
      <c r="J27" s="19" t="s">
        <v>85</v>
      </c>
      <c r="K27" s="22" t="s">
        <v>42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0.517361111111111</v>
      </c>
      <c r="D28" s="16" t="n">
        <v>0.5625</v>
      </c>
      <c r="E28" s="14" t="n">
        <f aca="false">ROUND((D28-C28)*1440,0)</f>
        <v>65</v>
      </c>
      <c r="F28" s="14" t="s">
        <v>86</v>
      </c>
      <c r="G28" s="14" t="s">
        <v>84</v>
      </c>
      <c r="H28" s="14" t="s">
        <v>17</v>
      </c>
      <c r="I28" s="14"/>
      <c r="J28" s="14" t="s">
        <v>87</v>
      </c>
      <c r="K28" s="17" t="s">
        <v>42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0.5625</v>
      </c>
      <c r="D29" s="16" t="n">
        <v>0.583333333333333</v>
      </c>
      <c r="E29" s="14" t="n">
        <f aca="false">ROUND((D29-C29)*1440,0)</f>
        <v>30</v>
      </c>
      <c r="F29" s="14" t="s">
        <v>47</v>
      </c>
      <c r="G29" s="14" t="s">
        <v>17</v>
      </c>
      <c r="H29" s="14"/>
      <c r="I29" s="14"/>
      <c r="J29" s="14" t="s">
        <v>88</v>
      </c>
      <c r="K29" s="17" t="s">
        <v>42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0.583333333333333</v>
      </c>
      <c r="D30" s="13" t="n">
        <v>0.614583333333333</v>
      </c>
      <c r="E30" s="11" t="n">
        <f aca="false">ROUND((D30-C30)*1440,0)</f>
        <v>45</v>
      </c>
      <c r="F30" s="11" t="s">
        <v>50</v>
      </c>
      <c r="G30" s="11" t="s">
        <v>89</v>
      </c>
      <c r="H30" s="11"/>
      <c r="I30" s="11"/>
      <c r="J30" s="11" t="s">
        <v>90</v>
      </c>
      <c r="K30" s="18" t="s">
        <v>42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0.614583333333333</v>
      </c>
      <c r="D31" s="16" t="n">
        <v>0.6875</v>
      </c>
      <c r="E31" s="14" t="n">
        <f aca="false">ROUND((D31-C31)*1440,0)</f>
        <v>105</v>
      </c>
      <c r="F31" s="14" t="s">
        <v>91</v>
      </c>
      <c r="G31" s="14" t="s">
        <v>17</v>
      </c>
      <c r="H31" s="14"/>
      <c r="I31" s="14"/>
      <c r="J31" s="14" t="s">
        <v>92</v>
      </c>
      <c r="K31" s="17" t="s">
        <v>42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55</v>
      </c>
      <c r="G32" s="14" t="s">
        <v>93</v>
      </c>
      <c r="H32" s="14"/>
      <c r="I32" s="14"/>
      <c r="J32" s="14" t="s">
        <v>94</v>
      </c>
      <c r="K32" s="17" t="s">
        <v>42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95</v>
      </c>
      <c r="G33" s="14" t="s">
        <v>17</v>
      </c>
      <c r="H33" s="14"/>
      <c r="I33" s="14"/>
      <c r="J33" s="14" t="s">
        <v>96</v>
      </c>
      <c r="K33" s="17" t="s">
        <v>42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70</v>
      </c>
      <c r="G34" s="11" t="s">
        <v>89</v>
      </c>
      <c r="H34" s="11"/>
      <c r="I34" s="11"/>
      <c r="J34" s="11" t="s">
        <v>97</v>
      </c>
      <c r="K34" s="18" t="s">
        <v>42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47</v>
      </c>
      <c r="G35" s="14" t="s">
        <v>17</v>
      </c>
      <c r="H35" s="14"/>
      <c r="I35" s="14"/>
      <c r="J35" s="14" t="s">
        <v>98</v>
      </c>
      <c r="K35" s="17" t="s">
        <v>42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95</v>
      </c>
      <c r="G36" s="14" t="s">
        <v>17</v>
      </c>
      <c r="H36" s="14"/>
      <c r="I36" s="14"/>
      <c r="J36" s="14" t="s">
        <v>99</v>
      </c>
      <c r="K36" s="17" t="s">
        <v>42</v>
      </c>
    </row>
    <row r="37" customFormat="false" ht="15" hidden="false" customHeight="false" outlineLevel="0" collapsed="false">
      <c r="A37" s="14" t="n">
        <v>3</v>
      </c>
      <c r="B37" s="15" t="n">
        <f aca="false">Overview!$B$3+A37-1</f>
        <v>46461</v>
      </c>
      <c r="C37" s="16" t="n">
        <v>0.291666666666667</v>
      </c>
      <c r="D37" s="16" t="n">
        <v>0.3125</v>
      </c>
      <c r="E37" s="14" t="n">
        <f aca="false">ROUND((D37-C37)*1440,0)</f>
        <v>30</v>
      </c>
      <c r="F37" s="14" t="s">
        <v>91</v>
      </c>
      <c r="G37" s="14" t="s">
        <v>17</v>
      </c>
      <c r="H37" s="14"/>
      <c r="I37" s="14"/>
      <c r="J37" s="14" t="s">
        <v>100</v>
      </c>
      <c r="K37" s="17" t="s">
        <v>42</v>
      </c>
    </row>
    <row r="38" customFormat="false" ht="23.85" hidden="false" customHeight="false" outlineLevel="0" collapsed="false">
      <c r="A38" s="11" t="n">
        <v>3</v>
      </c>
      <c r="B38" s="12" t="n">
        <f aca="false">Overview!$B$3+A38-1</f>
        <v>46461</v>
      </c>
      <c r="C38" s="13" t="n">
        <v>0.3125</v>
      </c>
      <c r="D38" s="13" t="n">
        <v>0.354166666666667</v>
      </c>
      <c r="E38" s="11" t="n">
        <f aca="false">ROUND((D38-C38)*1440,0)</f>
        <v>60</v>
      </c>
      <c r="F38" s="11" t="s">
        <v>36</v>
      </c>
      <c r="G38" s="11" t="s">
        <v>89</v>
      </c>
      <c r="H38" s="11"/>
      <c r="I38" s="11"/>
      <c r="J38" s="11" t="s">
        <v>101</v>
      </c>
      <c r="K38" s="18" t="s">
        <v>42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0.354166666666667</v>
      </c>
      <c r="D39" s="16" t="n">
        <v>0.375</v>
      </c>
      <c r="E39" s="14" t="n">
        <f aca="false">ROUND((D39-C39)*1440,0)</f>
        <v>30</v>
      </c>
      <c r="F39" s="14" t="s">
        <v>47</v>
      </c>
      <c r="G39" s="14" t="s">
        <v>17</v>
      </c>
      <c r="H39" s="14"/>
      <c r="I39" s="14"/>
      <c r="J39" s="14" t="s">
        <v>102</v>
      </c>
      <c r="K39" s="17" t="s">
        <v>42</v>
      </c>
    </row>
    <row r="40" customFormat="false" ht="15" hidden="false" customHeight="false" outlineLevel="0" collapsed="false">
      <c r="A40" s="14" t="n">
        <v>3</v>
      </c>
      <c r="B40" s="15" t="n">
        <f aca="false">Overview!$B$3+A40-1</f>
        <v>46461</v>
      </c>
      <c r="C40" s="16" t="n">
        <v>0.375</v>
      </c>
      <c r="D40" s="16" t="n">
        <v>0.385416666666667</v>
      </c>
      <c r="E40" s="14" t="n">
        <f aca="false">ROUND((D40-C40)*1440,0)</f>
        <v>15</v>
      </c>
      <c r="F40" s="14" t="s">
        <v>103</v>
      </c>
      <c r="G40" s="14" t="s">
        <v>17</v>
      </c>
      <c r="H40" s="14" t="s">
        <v>104</v>
      </c>
      <c r="I40" s="14"/>
      <c r="J40" s="14" t="s">
        <v>105</v>
      </c>
      <c r="K40" s="17" t="s">
        <v>42</v>
      </c>
    </row>
    <row r="41" customFormat="false" ht="15" hidden="false" customHeight="false" outlineLevel="0" collapsed="false">
      <c r="A41" s="19" t="n">
        <v>3</v>
      </c>
      <c r="B41" s="20" t="n">
        <f aca="false">Overview!$B$3+A41-1</f>
        <v>46461</v>
      </c>
      <c r="C41" s="21" t="n">
        <v>0.385416666666667</v>
      </c>
      <c r="D41" s="21" t="n">
        <v>0.399305555555556</v>
      </c>
      <c r="E41" s="19" t="n">
        <f aca="false">ROUND((D41-C41)*1440,0)</f>
        <v>20</v>
      </c>
      <c r="F41" s="19" t="s">
        <v>106</v>
      </c>
      <c r="G41" s="19" t="s">
        <v>104</v>
      </c>
      <c r="H41" s="19" t="s">
        <v>107</v>
      </c>
      <c r="I41" s="19"/>
      <c r="J41" s="19" t="s">
        <v>108</v>
      </c>
      <c r="K41" s="22" t="s">
        <v>42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0.399305555555556</v>
      </c>
      <c r="D42" s="16" t="n">
        <v>0.427083333333333</v>
      </c>
      <c r="E42" s="14" t="n">
        <f aca="false">ROUND((D42-C42)*1440,0)</f>
        <v>40</v>
      </c>
      <c r="F42" s="14" t="s">
        <v>55</v>
      </c>
      <c r="G42" s="14" t="s">
        <v>109</v>
      </c>
      <c r="H42" s="14"/>
      <c r="I42" s="14"/>
      <c r="J42" s="14" t="s">
        <v>110</v>
      </c>
      <c r="K42" s="17" t="s">
        <v>42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0.427083333333333</v>
      </c>
      <c r="D43" s="16" t="n">
        <v>0.46875</v>
      </c>
      <c r="E43" s="14" t="n">
        <f aca="false">ROUND((D43-C43)*1440,0)</f>
        <v>60</v>
      </c>
      <c r="F43" s="14" t="s">
        <v>111</v>
      </c>
      <c r="G43" s="14" t="s">
        <v>112</v>
      </c>
      <c r="H43" s="14" t="s">
        <v>84</v>
      </c>
      <c r="I43" s="14"/>
      <c r="J43" s="14" t="s">
        <v>113</v>
      </c>
      <c r="K43" s="17" t="s">
        <v>42</v>
      </c>
    </row>
    <row r="44" customFormat="false" ht="15" hidden="false" customHeight="false" outlineLevel="0" collapsed="false">
      <c r="A44" s="14" t="n">
        <v>3</v>
      </c>
      <c r="B44" s="15" t="n">
        <f aca="false">Overview!$B$3+A44-1</f>
        <v>46461</v>
      </c>
      <c r="C44" s="16" t="n">
        <v>0.46875</v>
      </c>
      <c r="D44" s="16" t="n">
        <v>0.510416666666667</v>
      </c>
      <c r="E44" s="14" t="n">
        <f aca="false">ROUND((D44-C44)*1440,0)</f>
        <v>60</v>
      </c>
      <c r="F44" s="14" t="s">
        <v>81</v>
      </c>
      <c r="G44" s="14" t="s">
        <v>84</v>
      </c>
      <c r="H44" s="14"/>
      <c r="I44" s="14"/>
      <c r="J44" s="14" t="s">
        <v>114</v>
      </c>
      <c r="K44" s="17" t="s">
        <v>42</v>
      </c>
    </row>
    <row r="45" customFormat="false" ht="15" hidden="false" customHeight="false" outlineLevel="0" collapsed="false">
      <c r="A45" s="19" t="n">
        <v>3</v>
      </c>
      <c r="B45" s="20" t="n">
        <f aca="false">Overview!$B$3+A45-1</f>
        <v>46461</v>
      </c>
      <c r="C45" s="21" t="n">
        <v>0.510416666666667</v>
      </c>
      <c r="D45" s="21" t="n">
        <v>0.517361111111111</v>
      </c>
      <c r="E45" s="19" t="n">
        <f aca="false">ROUND((D45-C45)*1440,0)</f>
        <v>10</v>
      </c>
      <c r="F45" s="19" t="s">
        <v>83</v>
      </c>
      <c r="G45" s="19" t="s">
        <v>84</v>
      </c>
      <c r="H45" s="19" t="s">
        <v>79</v>
      </c>
      <c r="I45" s="19"/>
      <c r="J45" s="19" t="s">
        <v>115</v>
      </c>
      <c r="K45" s="22" t="s">
        <v>42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0.517361111111111</v>
      </c>
      <c r="D46" s="16" t="n">
        <v>0.527777777777778</v>
      </c>
      <c r="E46" s="14" t="n">
        <f aca="false">ROUND((D46-C46)*1440,0)</f>
        <v>15</v>
      </c>
      <c r="F46" s="14" t="s">
        <v>43</v>
      </c>
      <c r="G46" s="14" t="s">
        <v>79</v>
      </c>
      <c r="H46" s="14" t="s">
        <v>116</v>
      </c>
      <c r="I46" s="14" t="n">
        <v>2</v>
      </c>
      <c r="J46" s="14" t="s">
        <v>117</v>
      </c>
      <c r="K46" s="17" t="s">
        <v>42</v>
      </c>
    </row>
    <row r="47" customFormat="false" ht="15" hidden="false" customHeight="false" outlineLevel="0" collapsed="false">
      <c r="A47" s="14" t="n">
        <v>3</v>
      </c>
      <c r="B47" s="15" t="n">
        <f aca="false">Overview!$B$3+A47-1</f>
        <v>46461</v>
      </c>
      <c r="C47" s="16" t="n">
        <v>0.527777777777778</v>
      </c>
      <c r="D47" s="16" t="n">
        <v>0.552083333333333</v>
      </c>
      <c r="E47" s="14" t="n">
        <f aca="false">ROUND((D47-C47)*1440,0)</f>
        <v>35</v>
      </c>
      <c r="F47" s="14" t="s">
        <v>47</v>
      </c>
      <c r="G47" s="14" t="s">
        <v>116</v>
      </c>
      <c r="H47" s="14"/>
      <c r="I47" s="14"/>
      <c r="J47" s="14" t="s">
        <v>49</v>
      </c>
      <c r="K47" s="17" t="s">
        <v>42</v>
      </c>
    </row>
    <row r="48" customFormat="false" ht="23.85" hidden="false" customHeight="false" outlineLevel="0" collapsed="false">
      <c r="A48" s="11" t="n">
        <v>3</v>
      </c>
      <c r="B48" s="12" t="n">
        <f aca="false">Overview!$B$3+A48-1</f>
        <v>46461</v>
      </c>
      <c r="C48" s="13" t="n">
        <v>0.552083333333333</v>
      </c>
      <c r="D48" s="13" t="n">
        <v>0.583333333333333</v>
      </c>
      <c r="E48" s="11" t="n">
        <f aca="false">ROUND((D48-C48)*1440,0)</f>
        <v>45</v>
      </c>
      <c r="F48" s="11" t="s">
        <v>50</v>
      </c>
      <c r="G48" s="11" t="s">
        <v>118</v>
      </c>
      <c r="H48" s="11"/>
      <c r="I48" s="11"/>
      <c r="J48" s="11" t="s">
        <v>119</v>
      </c>
      <c r="K48" s="18" t="s">
        <v>42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0.583333333333333</v>
      </c>
      <c r="D49" s="16" t="n">
        <v>0.666666666666667</v>
      </c>
      <c r="E49" s="14" t="n">
        <f aca="false">ROUND((D49-C49)*1440,0)</f>
        <v>120</v>
      </c>
      <c r="F49" s="14" t="s">
        <v>91</v>
      </c>
      <c r="G49" s="14" t="s">
        <v>116</v>
      </c>
      <c r="H49" s="14"/>
      <c r="I49" s="14"/>
      <c r="J49" s="14" t="s">
        <v>91</v>
      </c>
      <c r="K49" s="17" t="s">
        <v>42</v>
      </c>
    </row>
    <row r="50" customFormat="false" ht="1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0.666666666666667</v>
      </c>
      <c r="D50" s="16" t="n">
        <v>0.677083333333333</v>
      </c>
      <c r="E50" s="14" t="n">
        <f aca="false">ROUND((D50-C50)*1440,0)</f>
        <v>15</v>
      </c>
      <c r="F50" s="14" t="s">
        <v>43</v>
      </c>
      <c r="G50" s="14" t="s">
        <v>116</v>
      </c>
      <c r="H50" s="14" t="s">
        <v>120</v>
      </c>
      <c r="I50" s="14" t="n">
        <v>3</v>
      </c>
      <c r="J50" s="14" t="s">
        <v>121</v>
      </c>
      <c r="K50" s="17" t="s">
        <v>42</v>
      </c>
    </row>
    <row r="51" customFormat="false" ht="23.8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0.677083333333333</v>
      </c>
      <c r="D51" s="16" t="n">
        <v>0.708333333333333</v>
      </c>
      <c r="E51" s="14" t="n">
        <f aca="false">ROUND((D51-C51)*1440,0)</f>
        <v>45</v>
      </c>
      <c r="F51" s="14" t="s">
        <v>55</v>
      </c>
      <c r="G51" s="14" t="s">
        <v>120</v>
      </c>
      <c r="H51" s="14"/>
      <c r="I51" s="14"/>
      <c r="J51" s="14" t="s">
        <v>122</v>
      </c>
      <c r="K51" s="17" t="s">
        <v>42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0.708333333333333</v>
      </c>
      <c r="D52" s="16" t="n">
        <v>0.715277777777778</v>
      </c>
      <c r="E52" s="14" t="n">
        <f aca="false">ROUND((D52-C52)*1440,0)</f>
        <v>10</v>
      </c>
      <c r="F52" s="14" t="s">
        <v>43</v>
      </c>
      <c r="G52" s="14" t="s">
        <v>120</v>
      </c>
      <c r="H52" s="14" t="s">
        <v>123</v>
      </c>
      <c r="I52" s="14" t="n">
        <v>1</v>
      </c>
      <c r="J52" s="14" t="s">
        <v>124</v>
      </c>
      <c r="K52" s="17" t="s">
        <v>42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0.715277777777778</v>
      </c>
      <c r="D53" s="16" t="n">
        <v>0.736111111111111</v>
      </c>
      <c r="E53" s="14" t="n">
        <f aca="false">ROUND((D53-C53)*1440,0)</f>
        <v>30</v>
      </c>
      <c r="F53" s="14" t="s">
        <v>55</v>
      </c>
      <c r="G53" s="14" t="s">
        <v>123</v>
      </c>
      <c r="H53" s="14"/>
      <c r="I53" s="14"/>
      <c r="J53" s="14" t="s">
        <v>125</v>
      </c>
      <c r="K53" s="17" t="s">
        <v>42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0.736111111111111</v>
      </c>
      <c r="D54" s="16" t="n">
        <v>0.746527777777778</v>
      </c>
      <c r="E54" s="14" t="n">
        <f aca="false">ROUND((D54-C54)*1440,0)</f>
        <v>15</v>
      </c>
      <c r="F54" s="14" t="s">
        <v>43</v>
      </c>
      <c r="G54" s="14" t="s">
        <v>123</v>
      </c>
      <c r="H54" s="14" t="s">
        <v>126</v>
      </c>
      <c r="I54" s="14" t="n">
        <v>2</v>
      </c>
      <c r="J54" s="14" t="s">
        <v>127</v>
      </c>
      <c r="K54" s="17" t="s">
        <v>42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0.746527777777778</v>
      </c>
      <c r="D55" s="16" t="n">
        <v>0.8125</v>
      </c>
      <c r="E55" s="14" t="n">
        <f aca="false">ROUND((D55-C55)*1440,0)</f>
        <v>95</v>
      </c>
      <c r="F55" s="14" t="s">
        <v>128</v>
      </c>
      <c r="G55" s="14" t="s">
        <v>126</v>
      </c>
      <c r="H55" s="14"/>
      <c r="I55" s="14"/>
      <c r="J55" s="14" t="s">
        <v>129</v>
      </c>
      <c r="K55" s="17" t="s">
        <v>42</v>
      </c>
    </row>
    <row r="56" customFormat="false" ht="15" hidden="false" customHeight="false" outlineLevel="0" collapsed="false">
      <c r="A56" s="14" t="n">
        <v>3</v>
      </c>
      <c r="B56" s="15" t="n">
        <f aca="false">Overview!$B$3+A56-1</f>
        <v>46461</v>
      </c>
      <c r="C56" s="16" t="n">
        <v>0.8125</v>
      </c>
      <c r="D56" s="16" t="n">
        <v>0.822916666666667</v>
      </c>
      <c r="E56" s="14" t="n">
        <f aca="false">ROUND((D56-C56)*1440,0)</f>
        <v>15</v>
      </c>
      <c r="F56" s="14" t="s">
        <v>130</v>
      </c>
      <c r="G56" s="14" t="s">
        <v>126</v>
      </c>
      <c r="H56" s="14" t="s">
        <v>116</v>
      </c>
      <c r="I56" s="14" t="n">
        <v>1</v>
      </c>
      <c r="J56" s="14" t="s">
        <v>131</v>
      </c>
      <c r="K56" s="17" t="s">
        <v>42</v>
      </c>
    </row>
    <row r="57" customFormat="false" ht="23.85" hidden="false" customHeight="false" outlineLevel="0" collapsed="false">
      <c r="A57" s="11" t="n">
        <v>3</v>
      </c>
      <c r="B57" s="12" t="n">
        <f aca="false">Overview!$B$3+A57-1</f>
        <v>46461</v>
      </c>
      <c r="C57" s="13" t="n">
        <v>0.833333333333333</v>
      </c>
      <c r="D57" s="13" t="n">
        <v>0.875</v>
      </c>
      <c r="E57" s="11" t="n">
        <f aca="false">ROUND((D57-C57)*1440,0)</f>
        <v>60</v>
      </c>
      <c r="F57" s="11" t="s">
        <v>70</v>
      </c>
      <c r="G57" s="11" t="s">
        <v>132</v>
      </c>
      <c r="H57" s="11"/>
      <c r="I57" s="11"/>
      <c r="J57" s="11" t="s">
        <v>133</v>
      </c>
      <c r="K57" s="18" t="s">
        <v>42</v>
      </c>
    </row>
    <row r="58" customFormat="false" ht="15" hidden="false" customHeight="false" outlineLevel="0" collapsed="false">
      <c r="A58" s="11" t="n">
        <v>4</v>
      </c>
      <c r="B58" s="12" t="n">
        <f aca="false">Overview!$B$3+A58-1</f>
        <v>46462</v>
      </c>
      <c r="C58" s="13" t="n">
        <v>0.3125</v>
      </c>
      <c r="D58" s="13" t="n">
        <v>0.354166666666667</v>
      </c>
      <c r="E58" s="11" t="n">
        <f aca="false">ROUND((D58-C58)*1440,0)</f>
        <v>60</v>
      </c>
      <c r="F58" s="11" t="s">
        <v>36</v>
      </c>
      <c r="G58" s="11" t="s">
        <v>132</v>
      </c>
      <c r="H58" s="11"/>
      <c r="I58" s="11"/>
      <c r="J58" s="11" t="s">
        <v>72</v>
      </c>
      <c r="K58" s="18" t="s">
        <v>42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0.354166666666667</v>
      </c>
      <c r="D59" s="16" t="n">
        <v>0.375</v>
      </c>
      <c r="E59" s="14" t="n">
        <f aca="false">ROUND((D59-C59)*1440,0)</f>
        <v>30</v>
      </c>
      <c r="F59" s="14" t="s">
        <v>47</v>
      </c>
      <c r="G59" s="14" t="s">
        <v>116</v>
      </c>
      <c r="H59" s="14"/>
      <c r="I59" s="14"/>
      <c r="J59" s="14" t="s">
        <v>134</v>
      </c>
      <c r="K59" s="17" t="s">
        <v>42</v>
      </c>
    </row>
    <row r="60" customFormat="false" ht="23.8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0.375</v>
      </c>
      <c r="D60" s="16" t="n">
        <v>0.4375</v>
      </c>
      <c r="E60" s="14" t="n">
        <f aca="false">ROUND((D60-C60)*1440,0)</f>
        <v>90</v>
      </c>
      <c r="F60" s="14" t="s">
        <v>43</v>
      </c>
      <c r="G60" s="14" t="s">
        <v>116</v>
      </c>
      <c r="H60" s="14" t="s">
        <v>44</v>
      </c>
      <c r="I60" s="14" t="n">
        <v>50</v>
      </c>
      <c r="J60" s="14" t="s">
        <v>135</v>
      </c>
      <c r="K60" s="17" t="s">
        <v>42</v>
      </c>
    </row>
    <row r="61" customFormat="false" ht="15" hidden="false" customHeight="false" outlineLevel="0" collapsed="false">
      <c r="A61" s="14" t="n">
        <v>4</v>
      </c>
      <c r="B61" s="15" t="n">
        <f aca="false">Overview!$B$3+A61-1</f>
        <v>46462</v>
      </c>
      <c r="C61" s="16" t="n">
        <v>0.4375</v>
      </c>
      <c r="D61" s="16" t="n">
        <v>0.458333333333333</v>
      </c>
      <c r="E61" s="14" t="n">
        <f aca="false">ROUND((D61-C61)*1440,0)</f>
        <v>30</v>
      </c>
      <c r="F61" s="14" t="s">
        <v>136</v>
      </c>
      <c r="G61" s="14" t="s">
        <v>137</v>
      </c>
      <c r="H61" s="14"/>
      <c r="I61" s="14"/>
      <c r="J61" s="14" t="s">
        <v>138</v>
      </c>
      <c r="K61" s="17" t="s">
        <v>42</v>
      </c>
    </row>
    <row r="63" customFormat="false" ht="15" hidden="false" customHeight="false" outlineLevel="0" collapsed="false">
      <c r="A63" s="5" t="s">
        <v>139</v>
      </c>
    </row>
  </sheetData>
  <autoFilter ref="A4:K61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50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140</v>
      </c>
    </row>
    <row r="3" customFormat="false" ht="15" hidden="false" customHeight="false" outlineLevel="0" collapsed="false">
      <c r="A3" s="10" t="s">
        <v>5</v>
      </c>
      <c r="B3" s="10" t="s">
        <v>141</v>
      </c>
      <c r="C3" s="10" t="s">
        <v>142</v>
      </c>
      <c r="D3" s="10" t="s">
        <v>143</v>
      </c>
      <c r="E3" s="10" t="s">
        <v>144</v>
      </c>
      <c r="F3" s="10" t="s">
        <v>145</v>
      </c>
    </row>
    <row r="4" customFormat="false" ht="15" hidden="false" customHeight="false" outlineLevel="0" collapsed="false">
      <c r="A4" s="14" t="n">
        <v>1</v>
      </c>
      <c r="B4" s="14" t="s">
        <v>36</v>
      </c>
      <c r="C4" s="14" t="s">
        <v>146</v>
      </c>
      <c r="D4" s="14" t="s">
        <v>147</v>
      </c>
      <c r="E4" s="14" t="s">
        <v>148</v>
      </c>
      <c r="F4" s="14" t="s">
        <v>149</v>
      </c>
    </row>
    <row r="5" customFormat="false" ht="15" hidden="false" customHeight="false" outlineLevel="0" collapsed="false">
      <c r="A5" s="14" t="n">
        <v>1</v>
      </c>
      <c r="B5" s="14" t="s">
        <v>50</v>
      </c>
      <c r="C5" s="14" t="s">
        <v>150</v>
      </c>
      <c r="D5" s="14" t="s">
        <v>51</v>
      </c>
      <c r="E5" s="14" t="s">
        <v>151</v>
      </c>
      <c r="F5" s="14" t="s">
        <v>152</v>
      </c>
    </row>
    <row r="6" customFormat="false" ht="15" hidden="false" customHeight="false" outlineLevel="0" collapsed="false">
      <c r="A6" s="14" t="n">
        <v>1</v>
      </c>
      <c r="B6" s="14" t="s">
        <v>70</v>
      </c>
      <c r="C6" s="14" t="s">
        <v>153</v>
      </c>
      <c r="D6" s="14" t="s">
        <v>51</v>
      </c>
      <c r="E6" s="14" t="s">
        <v>154</v>
      </c>
      <c r="F6" s="14" t="s">
        <v>152</v>
      </c>
    </row>
    <row r="7" customFormat="false" ht="15" hidden="false" customHeight="false" outlineLevel="0" collapsed="false">
      <c r="A7" s="14" t="n">
        <v>2</v>
      </c>
      <c r="B7" s="14" t="s">
        <v>36</v>
      </c>
      <c r="C7" s="14" t="s">
        <v>155</v>
      </c>
      <c r="D7" s="14" t="s">
        <v>51</v>
      </c>
      <c r="E7" s="14" t="s">
        <v>156</v>
      </c>
      <c r="F7" s="14" t="s">
        <v>157</v>
      </c>
    </row>
    <row r="8" customFormat="false" ht="15" hidden="false" customHeight="false" outlineLevel="0" collapsed="false">
      <c r="A8" s="14" t="n">
        <v>2</v>
      </c>
      <c r="B8" s="14" t="s">
        <v>50</v>
      </c>
      <c r="C8" s="14" t="s">
        <v>158</v>
      </c>
      <c r="D8" s="14" t="s">
        <v>159</v>
      </c>
      <c r="E8" s="14" t="s">
        <v>160</v>
      </c>
      <c r="F8" s="14" t="s">
        <v>161</v>
      </c>
    </row>
    <row r="9" customFormat="false" ht="15" hidden="false" customHeight="false" outlineLevel="0" collapsed="false">
      <c r="A9" s="14" t="n">
        <v>2</v>
      </c>
      <c r="B9" s="14" t="s">
        <v>70</v>
      </c>
      <c r="C9" s="14" t="s">
        <v>162</v>
      </c>
      <c r="D9" s="14" t="s">
        <v>159</v>
      </c>
      <c r="E9" s="14" t="s">
        <v>160</v>
      </c>
      <c r="F9" s="14" t="s">
        <v>161</v>
      </c>
    </row>
    <row r="10" customFormat="false" ht="15" hidden="false" customHeight="false" outlineLevel="0" collapsed="false">
      <c r="A10" s="14" t="n">
        <v>3</v>
      </c>
      <c r="B10" s="14" t="s">
        <v>36</v>
      </c>
      <c r="C10" s="14" t="s">
        <v>155</v>
      </c>
      <c r="D10" s="14" t="s">
        <v>159</v>
      </c>
      <c r="E10" s="14" t="s">
        <v>160</v>
      </c>
      <c r="F10" s="14" t="s">
        <v>161</v>
      </c>
    </row>
    <row r="11" customFormat="false" ht="15" hidden="false" customHeight="false" outlineLevel="0" collapsed="false">
      <c r="A11" s="14" t="n">
        <v>3</v>
      </c>
      <c r="B11" s="14" t="s">
        <v>50</v>
      </c>
      <c r="C11" s="14" t="s">
        <v>163</v>
      </c>
      <c r="D11" s="14" t="s">
        <v>164</v>
      </c>
      <c r="E11" s="14" t="s">
        <v>165</v>
      </c>
      <c r="F11" s="14" t="s">
        <v>152</v>
      </c>
    </row>
    <row r="12" customFormat="false" ht="15" hidden="false" customHeight="false" outlineLevel="0" collapsed="false">
      <c r="A12" s="14" t="n">
        <v>3</v>
      </c>
      <c r="B12" s="14" t="s">
        <v>70</v>
      </c>
      <c r="C12" s="14" t="s">
        <v>166</v>
      </c>
      <c r="D12" s="14" t="s">
        <v>132</v>
      </c>
      <c r="E12" s="14" t="s">
        <v>154</v>
      </c>
      <c r="F12" s="14" t="s">
        <v>152</v>
      </c>
    </row>
    <row r="13" customFormat="false" ht="15" hidden="false" customHeight="false" outlineLevel="0" collapsed="false">
      <c r="A13" s="14" t="n">
        <v>4</v>
      </c>
      <c r="B13" s="14" t="s">
        <v>36</v>
      </c>
      <c r="C13" s="14" t="s">
        <v>155</v>
      </c>
      <c r="D13" s="14" t="s">
        <v>132</v>
      </c>
      <c r="E13" s="14" t="s">
        <v>156</v>
      </c>
      <c r="F13" s="14" t="s">
        <v>157</v>
      </c>
    </row>
    <row r="14" customFormat="false" ht="15" hidden="false" customHeight="false" outlineLevel="0" collapsed="false">
      <c r="A14" s="14" t="n">
        <v>4</v>
      </c>
      <c r="B14" s="14" t="s">
        <v>50</v>
      </c>
      <c r="C14" s="14" t="s">
        <v>22</v>
      </c>
      <c r="D14" s="14" t="s">
        <v>167</v>
      </c>
      <c r="E14" s="14" t="s">
        <v>156</v>
      </c>
      <c r="F14" s="14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55"/>
  </cols>
  <sheetData>
    <row r="1" customFormat="false" ht="15" hidden="false" customHeight="false" outlineLevel="0" collapsed="false">
      <c r="A1" s="10" t="s">
        <v>168</v>
      </c>
      <c r="B1" s="10" t="s">
        <v>169</v>
      </c>
      <c r="C1" s="10" t="s">
        <v>170</v>
      </c>
    </row>
    <row r="2" customFormat="false" ht="15" hidden="false" customHeight="false" outlineLevel="0" collapsed="false">
      <c r="A2" s="14" t="s">
        <v>83</v>
      </c>
      <c r="B2" s="14" t="s">
        <v>171</v>
      </c>
      <c r="C2" s="14" t="s">
        <v>172</v>
      </c>
    </row>
    <row r="3" customFormat="false" ht="15" hidden="false" customHeight="false" outlineLevel="0" collapsed="false">
      <c r="A3" s="14" t="s">
        <v>173</v>
      </c>
      <c r="B3" s="14" t="s">
        <v>174</v>
      </c>
      <c r="C3" s="14" t="s">
        <v>175</v>
      </c>
    </row>
    <row r="4" customFormat="false" ht="23.85" hidden="false" customHeight="false" outlineLevel="0" collapsed="false">
      <c r="A4" s="14" t="s">
        <v>176</v>
      </c>
      <c r="B4" s="14" t="s">
        <v>177</v>
      </c>
      <c r="C4" s="14" t="s">
        <v>178</v>
      </c>
    </row>
    <row r="5" customFormat="false" ht="15" hidden="false" customHeight="false" outlineLevel="0" collapsed="false">
      <c r="A5" s="14" t="s">
        <v>179</v>
      </c>
      <c r="B5" s="14" t="s">
        <v>180</v>
      </c>
      <c r="C5" s="14" t="s">
        <v>181</v>
      </c>
    </row>
    <row r="6" customFormat="false" ht="15" hidden="false" customHeight="false" outlineLevel="0" collapsed="false">
      <c r="A6" s="14" t="s">
        <v>182</v>
      </c>
      <c r="B6" s="14" t="s">
        <v>183</v>
      </c>
      <c r="C6" s="14" t="s">
        <v>184</v>
      </c>
    </row>
    <row r="7" customFormat="false" ht="15" hidden="false" customHeight="false" outlineLevel="0" collapsed="false">
      <c r="A7" s="14" t="s">
        <v>185</v>
      </c>
      <c r="B7" s="14" t="s">
        <v>186</v>
      </c>
      <c r="C7" s="14" t="s">
        <v>187</v>
      </c>
    </row>
    <row r="8" customFormat="false" ht="15" hidden="false" customHeight="false" outlineLevel="0" collapsed="false">
      <c r="A8" s="14" t="s">
        <v>188</v>
      </c>
      <c r="B8" s="14" t="s">
        <v>189</v>
      </c>
      <c r="C8" s="14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191</v>
      </c>
      <c r="B1" s="10" t="s">
        <v>192</v>
      </c>
      <c r="C1" s="10" t="s">
        <v>193</v>
      </c>
      <c r="D1" s="10" t="s">
        <v>194</v>
      </c>
    </row>
    <row r="2" customFormat="false" ht="35.05" hidden="false" customHeight="false" outlineLevel="0" collapsed="false">
      <c r="A2" s="14" t="s">
        <v>195</v>
      </c>
      <c r="B2" s="14" t="s">
        <v>196</v>
      </c>
      <c r="C2" s="14" t="s">
        <v>197</v>
      </c>
      <c r="D2" s="14" t="s">
        <v>198</v>
      </c>
    </row>
    <row r="3" customFormat="false" ht="23.85" hidden="false" customHeight="false" outlineLevel="0" collapsed="false">
      <c r="A3" s="14" t="s">
        <v>199</v>
      </c>
      <c r="B3" s="14" t="s">
        <v>200</v>
      </c>
      <c r="C3" s="14" t="s">
        <v>201</v>
      </c>
      <c r="D3" s="14" t="s">
        <v>202</v>
      </c>
    </row>
    <row r="4" customFormat="false" ht="23.85" hidden="false" customHeight="false" outlineLevel="0" collapsed="false">
      <c r="A4" s="14" t="s">
        <v>203</v>
      </c>
      <c r="B4" s="14" t="s">
        <v>204</v>
      </c>
      <c r="C4" s="14" t="s">
        <v>205</v>
      </c>
      <c r="D4" s="14" t="s">
        <v>206</v>
      </c>
    </row>
    <row r="5" customFormat="false" ht="23.85" hidden="false" customHeight="false" outlineLevel="0" collapsed="false">
      <c r="A5" s="14" t="s">
        <v>207</v>
      </c>
      <c r="B5" s="14" t="s">
        <v>208</v>
      </c>
      <c r="C5" s="14" t="s">
        <v>209</v>
      </c>
      <c r="D5" s="14" t="s">
        <v>210</v>
      </c>
    </row>
    <row r="6" customFormat="false" ht="15" hidden="false" customHeight="false" outlineLevel="0" collapsed="false">
      <c r="A6" s="14" t="s">
        <v>211</v>
      </c>
      <c r="B6" s="14" t="s">
        <v>212</v>
      </c>
      <c r="C6" s="14" t="s">
        <v>213</v>
      </c>
      <c r="D6" s="14" t="s">
        <v>214</v>
      </c>
    </row>
    <row r="7" customFormat="false" ht="15" hidden="false" customHeight="false" outlineLevel="0" collapsed="false">
      <c r="A7" s="14" t="s">
        <v>215</v>
      </c>
      <c r="B7" s="14" t="s">
        <v>216</v>
      </c>
      <c r="C7" s="14" t="s">
        <v>217</v>
      </c>
      <c r="D7" s="14" t="s">
        <v>218</v>
      </c>
    </row>
    <row r="8" customFormat="false" ht="23.85" hidden="false" customHeight="false" outlineLevel="0" collapsed="false">
      <c r="A8" s="14" t="s">
        <v>219</v>
      </c>
      <c r="B8" s="14" t="s">
        <v>220</v>
      </c>
      <c r="C8" s="14" t="s">
        <v>221</v>
      </c>
      <c r="D8" s="14" t="s">
        <v>222</v>
      </c>
    </row>
    <row r="9" customFormat="false" ht="15" hidden="false" customHeight="false" outlineLevel="0" collapsed="false">
      <c r="A9" s="14" t="s">
        <v>223</v>
      </c>
      <c r="B9" s="14" t="s">
        <v>224</v>
      </c>
      <c r="C9" s="14" t="s">
        <v>225</v>
      </c>
      <c r="D9" s="14" t="s">
        <v>226</v>
      </c>
    </row>
    <row r="10" customFormat="false" ht="23.85" hidden="false" customHeight="false" outlineLevel="0" collapsed="false">
      <c r="A10" s="14" t="s">
        <v>227</v>
      </c>
      <c r="B10" s="14" t="s">
        <v>228</v>
      </c>
      <c r="C10" s="14" t="s">
        <v>229</v>
      </c>
      <c r="D10" s="14" t="s">
        <v>230</v>
      </c>
    </row>
    <row r="11" customFormat="false" ht="23.85" hidden="false" customHeight="false" outlineLevel="0" collapsed="false">
      <c r="A11" s="14" t="s">
        <v>231</v>
      </c>
      <c r="B11" s="14" t="s">
        <v>232</v>
      </c>
      <c r="C11" s="14" t="s">
        <v>233</v>
      </c>
      <c r="D11" s="14" t="s">
        <v>234</v>
      </c>
    </row>
    <row r="12" customFormat="false" ht="15" hidden="false" customHeight="false" outlineLevel="0" collapsed="false">
      <c r="A12" s="14" t="s">
        <v>235</v>
      </c>
      <c r="B12" s="14" t="s">
        <v>236</v>
      </c>
      <c r="C12" s="14" t="s">
        <v>237</v>
      </c>
      <c r="D12" s="14" t="s">
        <v>238</v>
      </c>
    </row>
    <row r="13" customFormat="false" ht="23.85" hidden="false" customHeight="false" outlineLevel="0" collapsed="false">
      <c r="A13" s="14" t="s">
        <v>239</v>
      </c>
      <c r="B13" s="14" t="s">
        <v>240</v>
      </c>
      <c r="C13" s="14" t="s">
        <v>241</v>
      </c>
      <c r="D13" s="14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243</v>
      </c>
      <c r="B1" s="10" t="s">
        <v>244</v>
      </c>
    </row>
    <row r="2" customFormat="false" ht="15" hidden="false" customHeight="false" outlineLevel="0" collapsed="false">
      <c r="A2" s="14" t="s">
        <v>245</v>
      </c>
      <c r="B2" s="14" t="s">
        <v>246</v>
      </c>
    </row>
    <row r="3" customFormat="false" ht="15" hidden="false" customHeight="false" outlineLevel="0" collapsed="false">
      <c r="A3" s="14" t="s">
        <v>245</v>
      </c>
      <c r="B3" s="14" t="s">
        <v>247</v>
      </c>
    </row>
    <row r="4" customFormat="false" ht="15" hidden="false" customHeight="false" outlineLevel="0" collapsed="false">
      <c r="A4" s="14" t="s">
        <v>245</v>
      </c>
      <c r="B4" s="14" t="s">
        <v>248</v>
      </c>
    </row>
    <row r="5" customFormat="false" ht="15" hidden="false" customHeight="false" outlineLevel="0" collapsed="false">
      <c r="A5" s="14" t="s">
        <v>245</v>
      </c>
      <c r="B5" s="14" t="s">
        <v>249</v>
      </c>
    </row>
    <row r="6" customFormat="false" ht="15" hidden="false" customHeight="false" outlineLevel="0" collapsed="false">
      <c r="A6" s="14" t="s">
        <v>245</v>
      </c>
      <c r="B6" s="14" t="s">
        <v>250</v>
      </c>
    </row>
    <row r="7" customFormat="false" ht="15" hidden="false" customHeight="false" outlineLevel="0" collapsed="false">
      <c r="A7" s="14" t="s">
        <v>245</v>
      </c>
      <c r="B7" s="14" t="s">
        <v>251</v>
      </c>
    </row>
    <row r="8" customFormat="false" ht="15" hidden="false" customHeight="false" outlineLevel="0" collapsed="false">
      <c r="A8" s="14" t="s">
        <v>245</v>
      </c>
      <c r="B8" s="14" t="s">
        <v>252</v>
      </c>
    </row>
    <row r="9" customFormat="false" ht="15" hidden="false" customHeight="false" outlineLevel="0" collapsed="false">
      <c r="A9" s="14" t="s">
        <v>245</v>
      </c>
      <c r="B9" s="14" t="s">
        <v>253</v>
      </c>
    </row>
    <row r="10" customFormat="false" ht="15" hidden="false" customHeight="false" outlineLevel="0" collapsed="false">
      <c r="A10" s="14" t="s">
        <v>245</v>
      </c>
      <c r="B10" s="14" t="s">
        <v>254</v>
      </c>
    </row>
    <row r="11" customFormat="false" ht="15" hidden="false" customHeight="false" outlineLevel="0" collapsed="false">
      <c r="A11" s="14" t="s">
        <v>255</v>
      </c>
      <c r="B11" s="14" t="s">
        <v>256</v>
      </c>
    </row>
    <row r="12" customFormat="false" ht="15" hidden="false" customHeight="false" outlineLevel="0" collapsed="false">
      <c r="A12" s="14" t="s">
        <v>255</v>
      </c>
      <c r="B12" s="14" t="s">
        <v>257</v>
      </c>
    </row>
    <row r="13" customFormat="false" ht="15" hidden="false" customHeight="false" outlineLevel="0" collapsed="false">
      <c r="A13" s="14" t="s">
        <v>255</v>
      </c>
      <c r="B13" s="14" t="s">
        <v>258</v>
      </c>
    </row>
    <row r="14" customFormat="false" ht="15" hidden="false" customHeight="false" outlineLevel="0" collapsed="false">
      <c r="A14" s="14" t="s">
        <v>255</v>
      </c>
      <c r="B14" s="14" t="s">
        <v>259</v>
      </c>
    </row>
    <row r="15" customFormat="false" ht="15" hidden="false" customHeight="false" outlineLevel="0" collapsed="false">
      <c r="A15" s="14" t="s">
        <v>255</v>
      </c>
      <c r="B15" s="14" t="s">
        <v>260</v>
      </c>
    </row>
    <row r="16" customFormat="false" ht="15" hidden="false" customHeight="false" outlineLevel="0" collapsed="false">
      <c r="A16" s="14" t="s">
        <v>255</v>
      </c>
      <c r="B16" s="14" t="s">
        <v>261</v>
      </c>
    </row>
    <row r="17" customFormat="false" ht="15" hidden="false" customHeight="false" outlineLevel="0" collapsed="false">
      <c r="A17" s="14" t="s">
        <v>255</v>
      </c>
      <c r="B17" s="14" t="s">
        <v>262</v>
      </c>
    </row>
    <row r="18" customFormat="false" ht="15" hidden="false" customHeight="false" outlineLevel="0" collapsed="false">
      <c r="A18" s="14" t="s">
        <v>263</v>
      </c>
      <c r="B18" s="14" t="s">
        <v>264</v>
      </c>
    </row>
    <row r="19" customFormat="false" ht="15" hidden="false" customHeight="false" outlineLevel="0" collapsed="false">
      <c r="A19" s="14" t="s">
        <v>263</v>
      </c>
      <c r="B19" s="14" t="s">
        <v>265</v>
      </c>
    </row>
    <row r="20" customFormat="false" ht="15" hidden="false" customHeight="false" outlineLevel="0" collapsed="false">
      <c r="A20" s="14" t="s">
        <v>263</v>
      </c>
      <c r="B20" s="14" t="s">
        <v>266</v>
      </c>
    </row>
    <row r="21" customFormat="false" ht="15" hidden="false" customHeight="false" outlineLevel="0" collapsed="false">
      <c r="A21" s="14" t="s">
        <v>263</v>
      </c>
      <c r="B21" s="14" t="s">
        <v>267</v>
      </c>
    </row>
    <row r="22" customFormat="false" ht="15" hidden="false" customHeight="false" outlineLevel="0" collapsed="false">
      <c r="A22" s="14" t="s">
        <v>263</v>
      </c>
      <c r="B22" s="14" t="s">
        <v>268</v>
      </c>
    </row>
    <row r="23" customFormat="false" ht="15" hidden="false" customHeight="false" outlineLevel="0" collapsed="false">
      <c r="A23" s="14" t="s">
        <v>269</v>
      </c>
      <c r="B23" s="14" t="s">
        <v>270</v>
      </c>
    </row>
    <row r="24" customFormat="false" ht="15" hidden="false" customHeight="false" outlineLevel="0" collapsed="false">
      <c r="A24" s="14" t="s">
        <v>269</v>
      </c>
      <c r="B24" s="14" t="s">
        <v>271</v>
      </c>
    </row>
    <row r="25" customFormat="false" ht="15" hidden="false" customHeight="false" outlineLevel="0" collapsed="false">
      <c r="A25" s="14" t="s">
        <v>269</v>
      </c>
      <c r="B25" s="14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273</v>
      </c>
    </row>
    <row r="3" customFormat="false" ht="15" hidden="false" customHeight="false" outlineLevel="0" collapsed="false">
      <c r="A3" s="10" t="s">
        <v>274</v>
      </c>
      <c r="B3" s="10" t="s">
        <v>275</v>
      </c>
      <c r="C3" s="10" t="s">
        <v>276</v>
      </c>
      <c r="D3" s="10" t="s">
        <v>277</v>
      </c>
      <c r="E3" s="10" t="s">
        <v>278</v>
      </c>
    </row>
    <row r="4" customFormat="false" ht="15" hidden="false" customHeight="false" outlineLevel="0" collapsed="false">
      <c r="A4" s="14" t="s">
        <v>279</v>
      </c>
      <c r="B4" s="14" t="s">
        <v>280</v>
      </c>
      <c r="C4" s="14" t="s">
        <v>281</v>
      </c>
      <c r="D4" s="14"/>
      <c r="E4" s="23"/>
    </row>
    <row r="5" customFormat="false" ht="23.85" hidden="false" customHeight="false" outlineLevel="0" collapsed="false">
      <c r="A5" s="14" t="s">
        <v>282</v>
      </c>
      <c r="B5" s="14" t="s">
        <v>283</v>
      </c>
      <c r="C5" s="14" t="s">
        <v>281</v>
      </c>
      <c r="D5" s="14" t="s">
        <v>284</v>
      </c>
      <c r="E5" s="23"/>
    </row>
    <row r="6" customFormat="false" ht="23.85" hidden="false" customHeight="false" outlineLevel="0" collapsed="false">
      <c r="A6" s="14" t="s">
        <v>285</v>
      </c>
      <c r="B6" s="14" t="s">
        <v>286</v>
      </c>
      <c r="C6" s="14" t="s">
        <v>281</v>
      </c>
      <c r="D6" s="14" t="s">
        <v>287</v>
      </c>
      <c r="E6" s="23"/>
    </row>
    <row r="7" customFormat="false" ht="23.85" hidden="false" customHeight="false" outlineLevel="0" collapsed="false">
      <c r="A7" s="14" t="s">
        <v>288</v>
      </c>
      <c r="B7" s="14" t="s">
        <v>289</v>
      </c>
      <c r="C7" s="14" t="s">
        <v>290</v>
      </c>
      <c r="D7" s="14"/>
      <c r="E7" s="23"/>
    </row>
    <row r="8" customFormat="false" ht="15" hidden="false" customHeight="false" outlineLevel="0" collapsed="false">
      <c r="A8" s="14" t="s">
        <v>291</v>
      </c>
      <c r="B8" s="14" t="s">
        <v>292</v>
      </c>
      <c r="C8" s="14" t="s">
        <v>281</v>
      </c>
      <c r="D8" s="14"/>
      <c r="E8" s="23"/>
    </row>
    <row r="9" customFormat="false" ht="15" hidden="false" customHeight="false" outlineLevel="0" collapsed="false">
      <c r="A9" s="14" t="s">
        <v>291</v>
      </c>
      <c r="B9" s="14" t="s">
        <v>293</v>
      </c>
      <c r="C9" s="14" t="s">
        <v>281</v>
      </c>
      <c r="D9" s="14"/>
      <c r="E9" s="23"/>
    </row>
    <row r="10" customFormat="false" ht="15" hidden="false" customHeight="false" outlineLevel="0" collapsed="false">
      <c r="A10" s="14" t="s">
        <v>294</v>
      </c>
      <c r="B10" s="14" t="s">
        <v>295</v>
      </c>
      <c r="C10" s="14" t="s">
        <v>296</v>
      </c>
      <c r="D10" s="14"/>
      <c r="E10" s="23"/>
    </row>
    <row r="11" customFormat="false" ht="15" hidden="false" customHeight="false" outlineLevel="0" collapsed="false">
      <c r="A11" s="14" t="s">
        <v>294</v>
      </c>
      <c r="B11" s="14" t="s">
        <v>297</v>
      </c>
      <c r="C11" s="14" t="s">
        <v>296</v>
      </c>
      <c r="D11" s="14"/>
      <c r="E11" s="23"/>
    </row>
    <row r="12" customFormat="false" ht="15" hidden="false" customHeight="false" outlineLevel="0" collapsed="false">
      <c r="A12" s="14" t="s">
        <v>298</v>
      </c>
      <c r="B12" s="14" t="s">
        <v>299</v>
      </c>
      <c r="C12" s="14" t="s">
        <v>296</v>
      </c>
      <c r="D12" s="14"/>
      <c r="E12" s="23"/>
    </row>
    <row r="13" customFormat="false" ht="15" hidden="false" customHeight="false" outlineLevel="0" collapsed="false">
      <c r="A13" s="14" t="s">
        <v>300</v>
      </c>
      <c r="B13" s="14" t="s">
        <v>301</v>
      </c>
      <c r="C13" s="14" t="s">
        <v>302</v>
      </c>
      <c r="D13" s="14"/>
      <c r="E13" s="23"/>
    </row>
    <row r="14" customFormat="false" ht="15" hidden="false" customHeight="false" outlineLevel="0" collapsed="false">
      <c r="A14" s="14" t="s">
        <v>300</v>
      </c>
      <c r="B14" s="14" t="s">
        <v>303</v>
      </c>
      <c r="C14" s="14" t="s">
        <v>296</v>
      </c>
      <c r="D14" s="14"/>
      <c r="E14" s="23"/>
    </row>
    <row r="15" customFormat="false" ht="15" hidden="false" customHeight="false" outlineLevel="0" collapsed="false">
      <c r="A15" s="14" t="s">
        <v>304</v>
      </c>
      <c r="B15" s="14" t="s">
        <v>305</v>
      </c>
      <c r="C15" s="14" t="s">
        <v>302</v>
      </c>
      <c r="D15" s="14"/>
      <c r="E15" s="23"/>
    </row>
    <row r="16" customFormat="false" ht="15" hidden="false" customHeight="false" outlineLevel="0" collapsed="false">
      <c r="A16" s="14" t="s">
        <v>306</v>
      </c>
      <c r="B16" s="14" t="s">
        <v>307</v>
      </c>
      <c r="C16" s="14" t="s">
        <v>302</v>
      </c>
      <c r="D16" s="14"/>
      <c r="E16" s="23"/>
    </row>
    <row r="17" customFormat="false" ht="15" hidden="false" customHeight="false" outlineLevel="0" collapsed="false">
      <c r="A17" s="14" t="s">
        <v>308</v>
      </c>
      <c r="B17" s="14" t="s">
        <v>309</v>
      </c>
      <c r="C17" s="14" t="s">
        <v>302</v>
      </c>
      <c r="D17" s="14"/>
      <c r="E17" s="23"/>
    </row>
    <row r="18" customFormat="false" ht="15" hidden="false" customHeight="false" outlineLevel="0" collapsed="false">
      <c r="A18" s="14" t="s">
        <v>310</v>
      </c>
      <c r="B18" s="14" t="s">
        <v>311</v>
      </c>
      <c r="C18" s="14" t="s">
        <v>302</v>
      </c>
      <c r="D18" s="14"/>
      <c r="E18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0" t="s">
        <v>312</v>
      </c>
      <c r="B1" s="10" t="s">
        <v>313</v>
      </c>
    </row>
    <row r="2" customFormat="false" ht="15" hidden="false" customHeight="false" outlineLevel="0" collapsed="false">
      <c r="A2" s="14" t="s">
        <v>314</v>
      </c>
      <c r="B2" s="14" t="s">
        <v>315</v>
      </c>
    </row>
    <row r="3" customFormat="false" ht="15" hidden="false" customHeight="false" outlineLevel="0" collapsed="false">
      <c r="A3" s="14" t="s">
        <v>314</v>
      </c>
      <c r="B3" s="14" t="s">
        <v>316</v>
      </c>
    </row>
    <row r="4" customFormat="false" ht="15" hidden="false" customHeight="false" outlineLevel="0" collapsed="false">
      <c r="A4" s="14" t="s">
        <v>314</v>
      </c>
      <c r="B4" s="14" t="s">
        <v>317</v>
      </c>
    </row>
    <row r="5" customFormat="false" ht="15" hidden="false" customHeight="false" outlineLevel="0" collapsed="false">
      <c r="A5" s="14" t="s">
        <v>314</v>
      </c>
      <c r="B5" s="14" t="s">
        <v>318</v>
      </c>
    </row>
    <row r="6" customFormat="false" ht="15" hidden="false" customHeight="false" outlineLevel="0" collapsed="false">
      <c r="A6" s="14" t="s">
        <v>314</v>
      </c>
      <c r="B6" s="14" t="s">
        <v>319</v>
      </c>
    </row>
    <row r="7" customFormat="false" ht="15" hidden="false" customHeight="false" outlineLevel="0" collapsed="false">
      <c r="A7" s="14" t="s">
        <v>314</v>
      </c>
      <c r="B7" s="14" t="s">
        <v>320</v>
      </c>
    </row>
    <row r="8" customFormat="false" ht="15" hidden="false" customHeight="false" outlineLevel="0" collapsed="false">
      <c r="A8" s="14" t="s">
        <v>314</v>
      </c>
      <c r="B8" s="14" t="s">
        <v>321</v>
      </c>
    </row>
    <row r="9" customFormat="false" ht="15" hidden="false" customHeight="false" outlineLevel="0" collapsed="false">
      <c r="A9" s="14" t="s">
        <v>322</v>
      </c>
      <c r="B9" s="14" t="s">
        <v>323</v>
      </c>
    </row>
    <row r="10" customFormat="false" ht="15" hidden="false" customHeight="false" outlineLevel="0" collapsed="false">
      <c r="A10" s="14" t="s">
        <v>322</v>
      </c>
      <c r="B10" s="14" t="s">
        <v>324</v>
      </c>
    </row>
    <row r="11" customFormat="false" ht="15" hidden="false" customHeight="false" outlineLevel="0" collapsed="false">
      <c r="A11" s="14" t="s">
        <v>322</v>
      </c>
      <c r="B11" s="14" t="s">
        <v>325</v>
      </c>
    </row>
    <row r="12" customFormat="false" ht="15" hidden="false" customHeight="false" outlineLevel="0" collapsed="false">
      <c r="A12" s="14" t="s">
        <v>322</v>
      </c>
      <c r="B12" s="14" t="s">
        <v>326</v>
      </c>
    </row>
    <row r="13" customFormat="false" ht="15" hidden="false" customHeight="false" outlineLevel="0" collapsed="false">
      <c r="A13" s="14" t="s">
        <v>322</v>
      </c>
      <c r="B13" s="14" t="s">
        <v>327</v>
      </c>
    </row>
    <row r="14" customFormat="false" ht="15" hidden="false" customHeight="false" outlineLevel="0" collapsed="false">
      <c r="A14" s="14" t="s">
        <v>322</v>
      </c>
      <c r="B14" s="14" t="s">
        <v>328</v>
      </c>
    </row>
    <row r="15" customFormat="false" ht="15" hidden="false" customHeight="false" outlineLevel="0" collapsed="false">
      <c r="A15" s="14" t="s">
        <v>329</v>
      </c>
      <c r="B15" s="14" t="s">
        <v>330</v>
      </c>
    </row>
    <row r="16" customFormat="false" ht="15" hidden="false" customHeight="false" outlineLevel="0" collapsed="false">
      <c r="A16" s="14" t="s">
        <v>331</v>
      </c>
      <c r="B16" s="14" t="s">
        <v>332</v>
      </c>
    </row>
    <row r="17" customFormat="false" ht="15" hidden="false" customHeight="false" outlineLevel="0" collapsed="false">
      <c r="A17" s="14" t="s">
        <v>333</v>
      </c>
      <c r="B17" s="14" t="s">
        <v>334</v>
      </c>
    </row>
    <row r="18" customFormat="false" ht="15" hidden="false" customHeight="false" outlineLevel="0" collapsed="false">
      <c r="A18" s="14" t="s">
        <v>335</v>
      </c>
      <c r="B18" s="14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10" t="s">
        <v>337</v>
      </c>
      <c r="B1" s="10" t="s">
        <v>338</v>
      </c>
    </row>
    <row r="2" customFormat="false" ht="15" hidden="false" customHeight="false" outlineLevel="0" collapsed="false">
      <c r="A2" s="14" t="s">
        <v>339</v>
      </c>
      <c r="B2" s="14" t="s">
        <v>340</v>
      </c>
    </row>
    <row r="3" customFormat="false" ht="15" hidden="false" customHeight="false" outlineLevel="0" collapsed="false">
      <c r="A3" s="14" t="s">
        <v>341</v>
      </c>
      <c r="B3" s="14" t="s">
        <v>342</v>
      </c>
    </row>
    <row r="4" customFormat="false" ht="15" hidden="false" customHeight="false" outlineLevel="0" collapsed="false">
      <c r="A4" s="14" t="s">
        <v>343</v>
      </c>
      <c r="B4" s="14" t="s">
        <v>344</v>
      </c>
    </row>
    <row r="5" customFormat="false" ht="15" hidden="false" customHeight="false" outlineLevel="0" collapsed="false">
      <c r="A5" s="14" t="s">
        <v>83</v>
      </c>
      <c r="B5" s="14" t="s">
        <v>345</v>
      </c>
    </row>
    <row r="6" customFormat="false" ht="15" hidden="false" customHeight="false" outlineLevel="0" collapsed="false">
      <c r="A6" s="14" t="s">
        <v>346</v>
      </c>
      <c r="B6" s="14" t="s">
        <v>347</v>
      </c>
    </row>
    <row r="7" customFormat="false" ht="15" hidden="false" customHeight="false" outlineLevel="0" collapsed="false">
      <c r="A7" s="14" t="s">
        <v>348</v>
      </c>
      <c r="B7" s="14" t="s">
        <v>349</v>
      </c>
    </row>
    <row r="8" customFormat="false" ht="15" hidden="false" customHeight="false" outlineLevel="0" collapsed="false">
      <c r="A8" s="14" t="s">
        <v>350</v>
      </c>
      <c r="B8" s="14" t="s">
        <v>351</v>
      </c>
    </row>
    <row r="9" customFormat="false" ht="15" hidden="false" customHeight="false" outlineLevel="0" collapsed="false">
      <c r="A9" s="14" t="s">
        <v>352</v>
      </c>
      <c r="B9" s="14" t="s">
        <v>353</v>
      </c>
    </row>
    <row r="10" customFormat="false" ht="15" hidden="false" customHeight="false" outlineLevel="0" collapsed="false">
      <c r="A10" s="14" t="s">
        <v>354</v>
      </c>
      <c r="B10" s="14" t="s">
        <v>355</v>
      </c>
    </row>
    <row r="11" customFormat="false" ht="15" hidden="false" customHeight="false" outlineLevel="0" collapsed="false">
      <c r="A11" s="14" t="s">
        <v>356</v>
      </c>
      <c r="B11" s="14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32"/>
    <col collapsed="false" customWidth="true" hidden="false" outlineLevel="0" max="4" min="4" style="0" width="24"/>
    <col collapsed="false" customWidth="true" hidden="false" outlineLevel="0" max="5" min="5" style="0" width="32"/>
  </cols>
  <sheetData>
    <row r="1" customFormat="false" ht="15" hidden="false" customHeight="false" outlineLevel="0" collapsed="false">
      <c r="A1" s="10" t="s">
        <v>358</v>
      </c>
      <c r="B1" s="10" t="s">
        <v>359</v>
      </c>
      <c r="C1" s="10" t="s">
        <v>360</v>
      </c>
      <c r="D1" s="10" t="s">
        <v>361</v>
      </c>
      <c r="E1" s="10" t="s">
        <v>362</v>
      </c>
    </row>
    <row r="2" customFormat="false" ht="15" hidden="false" customHeight="false" outlineLevel="0" collapsed="false">
      <c r="A2" s="14" t="s">
        <v>363</v>
      </c>
      <c r="B2" s="14" t="s">
        <v>364</v>
      </c>
      <c r="C2" s="14" t="s">
        <v>365</v>
      </c>
      <c r="D2" s="14" t="s">
        <v>169</v>
      </c>
      <c r="E2" s="14" t="s">
        <v>366</v>
      </c>
    </row>
    <row r="3" customFormat="false" ht="15" hidden="false" customHeight="false" outlineLevel="0" collapsed="false">
      <c r="A3" s="14" t="s">
        <v>367</v>
      </c>
      <c r="B3" s="14" t="s">
        <v>368</v>
      </c>
      <c r="C3" s="14" t="s">
        <v>369</v>
      </c>
      <c r="D3" s="14" t="s">
        <v>169</v>
      </c>
      <c r="E3" s="14" t="s">
        <v>370</v>
      </c>
    </row>
    <row r="4" customFormat="false" ht="15" hidden="false" customHeight="false" outlineLevel="0" collapsed="false">
      <c r="A4" s="14" t="s">
        <v>371</v>
      </c>
      <c r="B4" s="14" t="s">
        <v>372</v>
      </c>
      <c r="C4" s="14" t="s">
        <v>373</v>
      </c>
      <c r="D4" s="14" t="s">
        <v>374</v>
      </c>
      <c r="E4" s="14" t="s">
        <v>375</v>
      </c>
    </row>
    <row r="5" customFormat="false" ht="15" hidden="false" customHeight="false" outlineLevel="0" collapsed="false">
      <c r="A5" s="14" t="s">
        <v>376</v>
      </c>
      <c r="B5" s="14" t="s">
        <v>377</v>
      </c>
      <c r="C5" s="14" t="s">
        <v>378</v>
      </c>
      <c r="D5" s="14" t="s">
        <v>379</v>
      </c>
      <c r="E5" s="14" t="s">
        <v>380</v>
      </c>
    </row>
    <row r="6" customFormat="false" ht="15" hidden="false" customHeight="false" outlineLevel="0" collapsed="false">
      <c r="A6" s="14" t="s">
        <v>335</v>
      </c>
      <c r="B6" s="14" t="s">
        <v>381</v>
      </c>
      <c r="C6" s="14" t="s">
        <v>382</v>
      </c>
      <c r="D6" s="14" t="s">
        <v>169</v>
      </c>
      <c r="E6" s="14" t="s">
        <v>366</v>
      </c>
    </row>
    <row r="7" customFormat="false" ht="23.85" hidden="false" customHeight="false" outlineLevel="0" collapsed="false">
      <c r="A7" s="14" t="s">
        <v>329</v>
      </c>
      <c r="B7" s="14" t="s">
        <v>383</v>
      </c>
      <c r="C7" s="14" t="s">
        <v>384</v>
      </c>
      <c r="D7" s="14" t="s">
        <v>385</v>
      </c>
      <c r="E7" s="14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5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387</v>
      </c>
      <c r="B1" s="10" t="s">
        <v>388</v>
      </c>
      <c r="C1" s="10" t="s">
        <v>389</v>
      </c>
      <c r="D1" s="10" t="s">
        <v>390</v>
      </c>
    </row>
    <row r="2" customFormat="false" ht="15" hidden="false" customHeight="false" outlineLevel="0" collapsed="false">
      <c r="A2" s="14" t="s">
        <v>302</v>
      </c>
      <c r="B2" s="14" t="s">
        <v>391</v>
      </c>
      <c r="C2" s="23"/>
      <c r="D2" s="23"/>
    </row>
    <row r="3" customFormat="false" ht="15" hidden="false" customHeight="false" outlineLevel="0" collapsed="false">
      <c r="A3" s="14" t="s">
        <v>392</v>
      </c>
      <c r="B3" s="14" t="s">
        <v>393</v>
      </c>
      <c r="C3" s="23"/>
      <c r="D3" s="23"/>
    </row>
    <row r="4" customFormat="false" ht="15" hidden="false" customHeight="false" outlineLevel="0" collapsed="false">
      <c r="A4" s="14" t="s">
        <v>394</v>
      </c>
      <c r="B4" s="14" t="s">
        <v>395</v>
      </c>
      <c r="C4" s="23"/>
      <c r="D4" s="23"/>
    </row>
    <row r="5" customFormat="false" ht="15" hidden="false" customHeight="false" outlineLevel="0" collapsed="false">
      <c r="A5" s="14" t="s">
        <v>396</v>
      </c>
      <c r="B5" s="14" t="s">
        <v>397</v>
      </c>
      <c r="C5" s="23"/>
      <c r="D5" s="23"/>
    </row>
    <row r="6" customFormat="false" ht="15" hidden="false" customHeight="false" outlineLevel="0" collapsed="false">
      <c r="A6" s="14" t="s">
        <v>398</v>
      </c>
      <c r="B6" s="14" t="s">
        <v>399</v>
      </c>
      <c r="C6" s="23"/>
      <c r="D6" s="23"/>
    </row>
    <row r="7" customFormat="false" ht="15" hidden="false" customHeight="false" outlineLevel="0" collapsed="false">
      <c r="A7" s="14" t="s">
        <v>400</v>
      </c>
      <c r="B7" s="14" t="s">
        <v>401</v>
      </c>
      <c r="C7" s="23"/>
      <c r="D7" s="23"/>
    </row>
    <row r="8" customFormat="false" ht="15" hidden="false" customHeight="false" outlineLevel="0" collapsed="false">
      <c r="A8" s="14" t="s">
        <v>48</v>
      </c>
      <c r="B8" s="14"/>
      <c r="C8" s="23"/>
      <c r="D8" s="23"/>
    </row>
    <row r="9" customFormat="false" ht="15" hidden="false" customHeight="false" outlineLevel="0" collapsed="false">
      <c r="A9" s="14" t="s">
        <v>116</v>
      </c>
      <c r="B9" s="14"/>
      <c r="C9" s="23"/>
      <c r="D9" s="23"/>
    </row>
    <row r="10" customFormat="false" ht="15" hidden="false" customHeight="false" outlineLevel="0" collapsed="false">
      <c r="A10" s="14" t="s">
        <v>402</v>
      </c>
      <c r="B10" s="14"/>
      <c r="C10" s="23"/>
      <c r="D10" s="23"/>
    </row>
    <row r="11" customFormat="false" ht="15" hidden="false" customHeight="false" outlineLevel="0" collapsed="false">
      <c r="A11" s="14" t="s">
        <v>403</v>
      </c>
      <c r="B11" s="14"/>
      <c r="C11" s="23"/>
      <c r="D11" s="23"/>
    </row>
    <row r="12" customFormat="false" ht="15" hidden="false" customHeight="false" outlineLevel="0" collapsed="false">
      <c r="A12" s="14" t="s">
        <v>404</v>
      </c>
      <c r="B12" s="14"/>
      <c r="C12" s="23"/>
      <c r="D12" s="23"/>
    </row>
    <row r="13" customFormat="false" ht="15" hidden="false" customHeight="false" outlineLevel="0" collapsed="false">
      <c r="A13" s="14" t="s">
        <v>405</v>
      </c>
      <c r="B13" s="14" t="s">
        <v>406</v>
      </c>
      <c r="C13" s="14"/>
      <c r="D13" s="14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408</v>
      </c>
    </row>
    <row r="2" customFormat="false" ht="15" hidden="false" customHeight="false" outlineLevel="0" collapsed="false">
      <c r="A2" s="5" t="s">
        <v>409</v>
      </c>
    </row>
    <row r="4" customFormat="false" ht="15" hidden="false" customHeight="false" outlineLevel="0" collapsed="false">
      <c r="A4" s="6" t="s">
        <v>410</v>
      </c>
      <c r="B4" s="6" t="s">
        <v>411</v>
      </c>
      <c r="C4" s="6" t="s">
        <v>412</v>
      </c>
      <c r="D4" s="6" t="s">
        <v>413</v>
      </c>
    </row>
    <row r="5" customFormat="false" ht="15" hidden="false" customHeight="false" outlineLevel="0" collapsed="false">
      <c r="A5" s="7" t="s">
        <v>414</v>
      </c>
      <c r="B5" s="7" t="s">
        <v>415</v>
      </c>
      <c r="C5" s="7" t="s">
        <v>416</v>
      </c>
      <c r="D5" s="24"/>
    </row>
    <row r="6" customFormat="false" ht="15" hidden="false" customHeight="false" outlineLevel="0" collapsed="false">
      <c r="A6" s="7" t="s">
        <v>417</v>
      </c>
      <c r="B6" s="7" t="s">
        <v>418</v>
      </c>
      <c r="C6" s="7" t="s">
        <v>419</v>
      </c>
      <c r="D6" s="24"/>
    </row>
    <row r="7" customFormat="false" ht="15" hidden="false" customHeight="false" outlineLevel="0" collapsed="false">
      <c r="A7" s="7" t="s">
        <v>420</v>
      </c>
      <c r="B7" s="7" t="s">
        <v>421</v>
      </c>
      <c r="C7" s="7" t="s">
        <v>419</v>
      </c>
      <c r="D7" s="24"/>
    </row>
    <row r="8" customFormat="false" ht="15" hidden="false" customHeight="false" outlineLevel="0" collapsed="false">
      <c r="A8" s="7" t="s">
        <v>422</v>
      </c>
      <c r="B8" s="7" t="s">
        <v>418</v>
      </c>
      <c r="C8" s="7" t="s">
        <v>419</v>
      </c>
      <c r="D8" s="24"/>
    </row>
    <row r="9" customFormat="false" ht="15" hidden="false" customHeight="false" outlineLevel="0" collapsed="false">
      <c r="A9" s="7" t="s">
        <v>423</v>
      </c>
      <c r="B9" s="7" t="s">
        <v>424</v>
      </c>
      <c r="C9" s="7" t="s">
        <v>419</v>
      </c>
      <c r="D9" s="24"/>
    </row>
    <row r="10" customFormat="false" ht="15" hidden="false" customHeight="false" outlineLevel="0" collapsed="false">
      <c r="A10" s="7" t="s">
        <v>425</v>
      </c>
      <c r="B10" s="7" t="s">
        <v>415</v>
      </c>
      <c r="C10" s="7" t="s">
        <v>419</v>
      </c>
      <c r="D10" s="24"/>
    </row>
    <row r="11" customFormat="false" ht="15" hidden="false" customHeight="false" outlineLevel="0" collapsed="false">
      <c r="A11" s="7" t="s">
        <v>426</v>
      </c>
      <c r="B11" s="7" t="s">
        <v>415</v>
      </c>
      <c r="C11" s="7" t="s">
        <v>419</v>
      </c>
      <c r="D11" s="24"/>
    </row>
    <row r="12" customFormat="false" ht="15" hidden="false" customHeight="false" outlineLevel="0" collapsed="false">
      <c r="A12" s="7" t="s">
        <v>427</v>
      </c>
      <c r="B12" s="7" t="s">
        <v>428</v>
      </c>
      <c r="C12" s="7" t="s">
        <v>419</v>
      </c>
      <c r="D12" s="24"/>
    </row>
    <row r="13" customFormat="false" ht="15" hidden="false" customHeight="false" outlineLevel="0" collapsed="false">
      <c r="A13" s="7" t="s">
        <v>429</v>
      </c>
      <c r="B13" s="7" t="s">
        <v>430</v>
      </c>
      <c r="C13" s="7" t="s">
        <v>419</v>
      </c>
      <c r="D13" s="24"/>
    </row>
    <row r="14" customFormat="false" ht="15" hidden="false" customHeight="false" outlineLevel="0" collapsed="false">
      <c r="A14" s="7" t="s">
        <v>431</v>
      </c>
      <c r="B14" s="7" t="s">
        <v>430</v>
      </c>
      <c r="C14" s="7" t="s">
        <v>419</v>
      </c>
      <c r="D14" s="24"/>
    </row>
    <row r="15" customFormat="false" ht="15" hidden="false" customHeight="false" outlineLevel="0" collapsed="false">
      <c r="A15" s="7" t="s">
        <v>432</v>
      </c>
      <c r="B15" s="7" t="s">
        <v>430</v>
      </c>
      <c r="C15" s="7" t="s">
        <v>419</v>
      </c>
      <c r="D15" s="24"/>
    </row>
    <row r="16" customFormat="false" ht="15" hidden="false" customHeight="false" outlineLevel="0" collapsed="false">
      <c r="A16" s="7" t="s">
        <v>433</v>
      </c>
      <c r="B16" s="7" t="s">
        <v>415</v>
      </c>
      <c r="C16" s="7" t="s">
        <v>419</v>
      </c>
      <c r="D16" s="24"/>
    </row>
    <row r="17" customFormat="false" ht="15" hidden="false" customHeight="false" outlineLevel="0" collapsed="false">
      <c r="A17" s="7" t="s">
        <v>434</v>
      </c>
      <c r="B17" s="7" t="s">
        <v>435</v>
      </c>
      <c r="C17" s="7" t="s">
        <v>419</v>
      </c>
      <c r="D17" s="24"/>
    </row>
    <row r="18" customFormat="false" ht="15" hidden="false" customHeight="false" outlineLevel="0" collapsed="false">
      <c r="A18" s="3" t="s">
        <v>436</v>
      </c>
      <c r="D18" s="25" t="n">
        <f aca="false">SUMIF(C5:C17,"Yes",D5:D17)</f>
        <v>0</v>
      </c>
    </row>
    <row r="19" customFormat="false" ht="15" hidden="false" customHeight="false" outlineLevel="0" collapsed="false">
      <c r="A19" s="2" t="s">
        <v>437</v>
      </c>
      <c r="B19" s="2" t="s">
        <v>438</v>
      </c>
      <c r="D19" s="26" t="n">
        <v>0.05</v>
      </c>
    </row>
    <row r="20" customFormat="false" ht="15" hidden="false" customHeight="false" outlineLevel="0" collapsed="false">
      <c r="A20" s="3" t="s">
        <v>439</v>
      </c>
      <c r="D20" s="25" t="n">
        <f aca="false">D18*(1+D19)</f>
        <v>0</v>
      </c>
    </row>
    <row r="22" customFormat="false" ht="15" hidden="false" customHeight="false" outlineLevel="0" collapsed="false">
      <c r="A22" s="2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441</v>
      </c>
      <c r="B1" s="10" t="s">
        <v>278</v>
      </c>
    </row>
    <row r="2" customFormat="false" ht="15" hidden="false" customHeight="false" outlineLevel="0" collapsed="false">
      <c r="A2" s="14" t="s">
        <v>442</v>
      </c>
      <c r="B2" s="14"/>
    </row>
    <row r="3" customFormat="false" ht="15" hidden="false" customHeight="false" outlineLevel="0" collapsed="false">
      <c r="A3" s="14" t="s">
        <v>443</v>
      </c>
      <c r="B3" s="14"/>
    </row>
    <row r="4" customFormat="false" ht="15" hidden="false" customHeight="false" outlineLevel="0" collapsed="false">
      <c r="A4" s="14" t="s">
        <v>444</v>
      </c>
      <c r="B4" s="14"/>
    </row>
    <row r="5" customFormat="false" ht="15" hidden="false" customHeight="false" outlineLevel="0" collapsed="false">
      <c r="A5" s="14" t="s">
        <v>445</v>
      </c>
      <c r="B5" s="14"/>
    </row>
    <row r="6" customFormat="false" ht="15" hidden="false" customHeight="false" outlineLevel="0" collapsed="false">
      <c r="A6" s="14" t="s">
        <v>446</v>
      </c>
      <c r="B6" s="14"/>
    </row>
    <row r="7" customFormat="false" ht="15" hidden="false" customHeight="false" outlineLevel="0" collapsed="false">
      <c r="A7" s="14" t="s">
        <v>447</v>
      </c>
      <c r="B7" s="14"/>
    </row>
    <row r="8" customFormat="false" ht="15" hidden="false" customHeight="false" outlineLevel="0" collapsed="false">
      <c r="A8" s="14" t="s">
        <v>448</v>
      </c>
      <c r="B8" s="14"/>
    </row>
    <row r="9" customFormat="false" ht="15" hidden="false" customHeight="false" outlineLevel="0" collapsed="false">
      <c r="A9" s="14" t="s">
        <v>449</v>
      </c>
      <c r="B9" s="14"/>
    </row>
    <row r="10" customFormat="false" ht="15" hidden="false" customHeight="false" outlineLevel="0" collapsed="false">
      <c r="A10" s="14" t="s">
        <v>450</v>
      </c>
      <c r="B10" s="14"/>
    </row>
    <row r="11" customFormat="false" ht="15" hidden="false" customHeight="false" outlineLevel="0" collapsed="false">
      <c r="A11" s="14" t="s">
        <v>451</v>
      </c>
      <c r="B11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2026-10-21T12:42:48Z</dcterms:created>
  <dc:creator>openpyxl</dc:creator>
  <dc:description/>
  <dc:language>en-US</dc:language>
  <cp:lastModifiedBy/>
  <dcterms:modified xsi:type="dcterms:W3CDTF">2026-10-21T12:42:48Z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
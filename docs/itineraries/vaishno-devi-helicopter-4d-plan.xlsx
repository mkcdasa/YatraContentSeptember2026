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Overview" sheetId="1" state="visible" r:id="rId3"/>
    <sheet name="Minute-by-Minute" sheetId="2" state="visible" r:id="rId4"/>
    <sheet name="Meal Plan" sheetId="3" state="visible" r:id="rId5"/>
    <sheet name="Pros &amp; Cons" sheetId="4" state="visible" r:id="rId6"/>
    <sheet name="Challenges &amp; Backups" sheetId="5" state="visible" r:id="rId7"/>
    <sheet name="Dos &amp; Donts" sheetId="6" state="visible" r:id="rId8"/>
    <sheet name="Checklist" sheetId="7" state="visible" r:id="rId9"/>
    <sheet name="Packing List" sheetId="8" state="visible" r:id="rId10"/>
    <sheet name="Health &amp; Safety" sheetId="9" state="visible" r:id="rId11"/>
    <sheet name="Best Time" sheetId="10" state="visible" r:id="rId12"/>
    <sheet name="Team &amp; Contacts" sheetId="11" state="visible" r:id="rId13"/>
    <sheet name="Cost Heads" sheetId="12" state="visible" r:id="rId14"/>
    <sheet name="Open Points" sheetId="13" state="visible" r:id="rId15"/>
  </sheets>
  <definedNames>
    <definedName function="false" hidden="true" localSheetId="1" name="_xlnm._FilterDatabase" vbProcedure="false">'Minute-by-Minute'!$A$4:$K$60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<sst xmlns="http://schemas.openxmlformats.org/spreadsheetml/2006/main" count="678" uniqueCount="429">
  <si>
    <t xml:space="preserve">Vaishno Devi Helicopter Yatra – Overview</t>
  </si>
  <si>
    <t xml:space="preserve">Jammu – Katra – Vaishno Devi – Jammu · 3 nights / 4 days · mode: car, helicopter Katra ⇄ Sanjichhat · Departure: 13–16 March 2027</t>
  </si>
  <si>
    <t xml:space="preserve">Departure date (Day 1)</t>
  </si>
  <si>
    <t xml:space="preserve">← change this date and every day / row date updates</t>
  </si>
  <si>
    <t xml:space="preserve">Key dates</t>
  </si>
  <si>
    <t xml:space="preserve">Day</t>
  </si>
  <si>
    <t xml:space="preserve">Date</t>
  </si>
  <si>
    <t xml:space="preserve">Route</t>
  </si>
  <si>
    <t xml:space="preserve">Car km</t>
  </si>
  <si>
    <t xml:space="preserve">Night stay</t>
  </si>
  <si>
    <t xml:space="preserve">First start</t>
  </si>
  <si>
    <t xml:space="preserve">Last end</t>
  </si>
  <si>
    <t xml:space="preserve">Registrations close</t>
  </si>
  <si>
    <t xml:space="preserve">Jammu Airport arrival (14:00), Jammu temples</t>
  </si>
  <si>
    <t xml:space="preserve">Jammu</t>
  </si>
  <si>
    <t xml:space="preserve">Yatri data to travel agent</t>
  </si>
  <si>
    <t xml:space="preserve">Jammu → Katra → Sanjichhat (helicopter) → Bhawan (battery car)</t>
  </si>
  <si>
    <t xml:space="preserve">Bhawan</t>
  </si>
  <si>
    <t xml:space="preserve">Helicopter tickets booked</t>
  </si>
  <si>
    <t xml:space="preserve">Bhawan → Bhairon → Sanjichhat (helicopter) → Katra → Jammu</t>
  </si>
  <si>
    <t xml:space="preserve">Jammu hotel → Jammu Airport departure</t>
  </si>
  <si>
    <t xml:space="preserve">—</t>
  </si>
  <si>
    <t xml:space="preserve">Flight info</t>
  </si>
  <si>
    <t xml:space="preserve">Total</t>
  </si>
  <si>
    <t xml:space="preserve">3 nights</t>
  </si>
  <si>
    <t xml:space="preserve">Arrival at Jammu Airport on 13 March 2027 before 14:00</t>
  </si>
  <si>
    <t xml:space="preserve">Departure from Jammu Airport on 16 March 2027 after 14:00</t>
  </si>
  <si>
    <t xml:space="preserve">Other transport: 2 helicopter flights (5–8 min each), battery car Sanjichhat → Bhawan (2.5 km), Bhairon ropeway, ~3 km downhill track Bhairon → Sanjichhat on Day 3 (escorts assist seniors).</t>
  </si>
  <si>
    <t xml:space="preserve">Assumptions: arrival at Jammu Airport at 14:00 on Day 1; breakfast 07:30–08:30 and departure from the hotel at 09:00 every day; helicopter slots 12:15 (Day 2) and 12:15 (Day 3); same Jammu hotel on Days 1 and 3 (main luggage stays there on Day 2); Day 4 at Jammu Airport by 09:20; one vehicle convoy for the group.</t>
  </si>
  <si>
    <t xml:space="preserve">Price</t>
  </si>
  <si>
    <t xml:space="preserve">3N/4D: ₹50,000 per person + 5% GST, excluding flight charges</t>
  </si>
  <si>
    <t xml:space="preserve">4 Days Vaishno Devi Helicopter Package – Minute-to-Minute Plan</t>
  </si>
  <si>
    <t xml:space="preserve">Departure: 13–16 March 2027. Draft as of 21 Oct 2026. Car km and drive times are approximate – verify on Google Maps. Edit Start/End times; Mins and totals recalculate.</t>
  </si>
  <si>
    <t xml:space="preserve">Start</t>
  </si>
  <si>
    <t xml:space="preserve">End</t>
  </si>
  <si>
    <t xml:space="preserve">Mins</t>
  </si>
  <si>
    <t xml:space="preserve">Mode</t>
  </si>
  <si>
    <t xml:space="preserve">From</t>
  </si>
  <si>
    <t xml:space="preserve">To</t>
  </si>
  <si>
    <t xml:space="preserve">What we do</t>
  </si>
  <si>
    <t xml:space="preserve">Google Map</t>
  </si>
  <si>
    <t xml:space="preserve">Arrival</t>
  </si>
  <si>
    <t xml:space="preserve">Jammu Airport (IXJ)</t>
  </si>
  <si>
    <t xml:space="preserve">Meet our representative, garland welcome, load luggage, headcount</t>
  </si>
  <si>
    <t xml:space="preserve">Open map</t>
  </si>
  <si>
    <t xml:space="preserve">Car</t>
  </si>
  <si>
    <t xml:space="preserve">Jammu Airport</t>
  </si>
  <si>
    <t xml:space="preserve">Hotel, Jammu</t>
  </si>
  <si>
    <t xml:space="preserve">Transfer to the hotel</t>
  </si>
  <si>
    <t xml:space="preserve">Halt</t>
  </si>
  <si>
    <t xml:space="preserve">Check-in, freshen up</t>
  </si>
  <si>
    <t xml:space="preserve">Lunch</t>
  </si>
  <si>
    <t xml:space="preserve">Hotel restaurant, Jammu</t>
  </si>
  <si>
    <t xml:space="preserve">Raghunath Temple</t>
  </si>
  <si>
    <t xml:space="preserve">Drive to the old-city temple complex</t>
  </si>
  <si>
    <t xml:space="preserve">Darshan</t>
  </si>
  <si>
    <t xml:space="preserve">Darshan of Sri Rama, Sita and Lakshmana; galleries of saligramas; group kirtan</t>
  </si>
  <si>
    <t xml:space="preserve">Ranbireshwar Temple</t>
  </si>
  <si>
    <t xml:space="preserve">Short hop</t>
  </si>
  <si>
    <t xml:space="preserve">Darshan of the 7.5 ft Shiva lingam and crystal lingams</t>
  </si>
  <si>
    <t xml:space="preserve">Bahu Fort (Bawe Wali Mata)</t>
  </si>
  <si>
    <t xml:space="preserve">Cross the Tawi to Bahu Fort</t>
  </si>
  <si>
    <t xml:space="preserve">Bawe Wali Mata Temple &amp; Bahu Fort</t>
  </si>
  <si>
    <t xml:space="preserve">Darshan of Mahakali (Bawe Wali Mata); fort ramparts and Bagh-e-Bahu gardens at sunset</t>
  </si>
  <si>
    <t xml:space="preserve">Bahu Fort</t>
  </si>
  <si>
    <t xml:space="preserve">Peer Kho Cave Temple</t>
  </si>
  <si>
    <t xml:space="preserve">Drive along Circular Road</t>
  </si>
  <si>
    <t xml:space="preserve">Cave shrine of the self-manifest Shiva lingam; evening aarti</t>
  </si>
  <si>
    <t xml:space="preserve">Return to the hotel</t>
  </si>
  <si>
    <t xml:space="preserve">Freshen up; Day 2 briefing (photo ID, small bag for Bhawan; main luggage stays at this hotel)</t>
  </si>
  <si>
    <t xml:space="preserve">Dinner</t>
  </si>
  <si>
    <t xml:space="preserve">Breakfast</t>
  </si>
  <si>
    <t xml:space="preserve">Check-out with a small bag; main luggage stays at the Jammu hotel for Day 3</t>
  </si>
  <si>
    <t xml:space="preserve">Katra</t>
  </si>
  <si>
    <t xml:space="preserve">Drive via the Jammu–Katra highway; tea stop en route</t>
  </si>
  <si>
    <t xml:space="preserve">Registration</t>
  </si>
  <si>
    <t xml:space="preserve">Yatra Registration Counter, Katra</t>
  </si>
  <si>
    <t xml:space="preserve">RFID Yatra cards for every yatri (carry original photo ID)</t>
  </si>
  <si>
    <t xml:space="preserve">Katra town</t>
  </si>
  <si>
    <t xml:space="preserve">Katra Helipad</t>
  </si>
  <si>
    <t xml:space="preserve">Drive to the helipad</t>
  </si>
  <si>
    <t xml:space="preserve">Reporting</t>
  </si>
  <si>
    <t xml:space="preserve">Report for the allotted slot: ticket and ID check, baggage weighing, security</t>
  </si>
  <si>
    <t xml:space="preserve">Helicopter</t>
  </si>
  <si>
    <t xml:space="preserve">Sanjichhat Helipad</t>
  </si>
  <si>
    <t xml:space="preserve">Helicopter flight, about 5–8 minutes</t>
  </si>
  <si>
    <t xml:space="preserve">Battery car</t>
  </si>
  <si>
    <t xml:space="preserve">2.5 km to Bhawan by battery car</t>
  </si>
  <si>
    <t xml:space="preserve">Check-in at Bhawan accommodation; cloak room</t>
  </si>
  <si>
    <t xml:space="preserve">Restaurant, Bhawan</t>
  </si>
  <si>
    <t xml:space="preserve">Rest</t>
  </si>
  <si>
    <t xml:space="preserve">Rest, japa, group kirtan</t>
  </si>
  <si>
    <t xml:space="preserve">Holy Cave, Bhawan</t>
  </si>
  <si>
    <t xml:space="preserve">Darshan of the three Pindis (Maha Kali, Maha Lakshmi, Maha Saraswati)</t>
  </si>
  <si>
    <t xml:space="preserve">Aarti</t>
  </si>
  <si>
    <t xml:space="preserve">Evening Aarti</t>
  </si>
  <si>
    <t xml:space="preserve">Wake-up, bath, get ready</t>
  </si>
  <si>
    <t xml:space="preserve">Morning Aarti at the Holy Cave</t>
  </si>
  <si>
    <t xml:space="preserve">Rest, pack small bag</t>
  </si>
  <si>
    <t xml:space="preserve">Check-out, collect cloak-room items</t>
  </si>
  <si>
    <t xml:space="preserve">Walk</t>
  </si>
  <si>
    <t xml:space="preserve">Bhawan ropeway station</t>
  </si>
  <si>
    <t xml:space="preserve">Short walk (~300 m) to the ropeway</t>
  </si>
  <si>
    <t xml:space="preserve">Ropeway</t>
  </si>
  <si>
    <t xml:space="preserve">Bhairon Ghati</t>
  </si>
  <si>
    <t xml:space="preserve">Ropeway ride, about 3 minutes plus queue</t>
  </si>
  <si>
    <t xml:space="preserve">Bhairon Baba Temple</t>
  </si>
  <si>
    <t xml:space="preserve">Darshan of Bhairon Baba – completes the yatra</t>
  </si>
  <si>
    <t xml:space="preserve">Bhairon Temple</t>
  </si>
  <si>
    <t xml:space="preserve">Downhill track ~3 km to the helipad (escorts assist seniors)</t>
  </si>
  <si>
    <t xml:space="preserve">Report for the return slot</t>
  </si>
  <si>
    <t xml:space="preserve">Return flight, about 5–8 minutes</t>
  </si>
  <si>
    <t xml:space="preserve">Restaurant, Katra</t>
  </si>
  <si>
    <t xml:space="preserve">Pick-up at the helipad</t>
  </si>
  <si>
    <t xml:space="preserve">Banganga</t>
  </si>
  <si>
    <t xml:space="preserve">Drive to Banganga</t>
  </si>
  <si>
    <t xml:space="preserve">Holy river where the Mother brought forth water with an arrow; temple darshan</t>
  </si>
  <si>
    <t xml:space="preserve">Darshani Deodi</t>
  </si>
  <si>
    <t xml:space="preserve">Traditional gateway of the yatra; group photo</t>
  </si>
  <si>
    <t xml:space="preserve">Katra Main Bazaar</t>
  </si>
  <si>
    <t xml:space="preserve">Drive to the market</t>
  </si>
  <si>
    <t xml:space="preserve">Shopping</t>
  </si>
  <si>
    <t xml:space="preserve">Prasad, chunri, dry fruits, walnut and handicrafts</t>
  </si>
  <si>
    <t xml:space="preserve">Drive back to Jammu</t>
  </si>
  <si>
    <t xml:space="preserve">Check-in (same hotel as Day 1), collect main luggage</t>
  </si>
  <si>
    <t xml:space="preserve">Rest, kirtan; Day 4 briefing</t>
  </si>
  <si>
    <t xml:space="preserve">Check-out, load luggage; packed lunch for the journey</t>
  </si>
  <si>
    <t xml:space="preserve">Drive to the airport</t>
  </si>
  <si>
    <t xml:space="preserve">Departure</t>
  </si>
  <si>
    <t xml:space="preserve">Farewell – Jai Mata Di! (return flights after 14:00)</t>
  </si>
  <si>
    <t xml:space="preserve">Legend: yellow rows = meals, blue rows = helicopter / battery car / ropeway.</t>
  </si>
  <si>
    <t xml:space="preserve">Meal plan (all pure-veg)</t>
  </si>
  <si>
    <t xml:space="preserve">Meal</t>
  </si>
  <si>
    <t xml:space="preserve">Time</t>
  </si>
  <si>
    <t xml:space="preserve">Where</t>
  </si>
  <si>
    <t xml:space="preserve">15:15–15:50</t>
  </si>
  <si>
    <t xml:space="preserve">20:15–21:15</t>
  </si>
  <si>
    <t xml:space="preserve">07:30–08:30</t>
  </si>
  <si>
    <t xml:space="preserve">13:30–14:15</t>
  </si>
  <si>
    <t xml:space="preserve">19:30–20:30</t>
  </si>
  <si>
    <t xml:space="preserve">12:40–13:30</t>
  </si>
  <si>
    <t xml:space="preserve">20:00–21:00</t>
  </si>
  <si>
    <t xml:space="preserve">Aspect</t>
  </si>
  <si>
    <t xml:space="preserve">Good</t>
  </si>
  <si>
    <t xml:space="preserve">Bad</t>
  </si>
  <si>
    <t xml:space="preserve">Cuts the 13 km climb to ~10 min; ideal for seniors and families</t>
  </si>
  <si>
    <t xml:space="preserve">Weather-dependent; slots sell out fast; tight baggage limit</t>
  </si>
  <si>
    <t xml:space="preserve">Battery car Sanjichhat → Bhawan</t>
  </si>
  <si>
    <t xml:space="preserve">No walking on Day 2; comfortable for seniors</t>
  </si>
  <si>
    <t xml:space="preserve">Queues at peak hours</t>
  </si>
  <si>
    <t xml:space="preserve">Night at Bhawan</t>
  </si>
  <si>
    <t xml:space="preserve">Both Evening and Morning Aarti; unhurried darshan</t>
  </si>
  <si>
    <t xml:space="preserve">Shared, basic rooms; limited supply</t>
  </si>
  <si>
    <t xml:space="preserve">Jammu sightseeing on Day 1</t>
  </si>
  <si>
    <t xml:space="preserve">Uses arrival day well; four temples in 32 km</t>
  </si>
  <si>
    <t xml:space="preserve">Afternoon-only window after a 14:00 arrival; little slack if flights are late</t>
  </si>
  <si>
    <t xml:space="preserve">Bhairon by ropeway</t>
  </si>
  <si>
    <t xml:space="preserve">Completes the yatra with no extra climb</t>
  </si>
  <si>
    <t xml:space="preserve">Queues at peak hours; ropeway may stop in bad weather</t>
  </si>
  <si>
    <t xml:space="preserve">Katra afternoon (Day 3)</t>
  </si>
  <si>
    <t xml:space="preserve">Banganga, Darshani Deodi and shopping at an easy pace</t>
  </si>
  <si>
    <t xml:space="preserve">Crowded market; ~1.5 hr drive back to Jammu</t>
  </si>
  <si>
    <t xml:space="preserve">Same Jammu hotel on Days 1 and 3</t>
  </si>
  <si>
    <t xml:space="preserve">Main luggage waits there; short airport run on Day 4</t>
  </si>
  <si>
    <t xml:space="preserve">Long Day 3 (04:30 wake-up to Jammu by 18:00)</t>
  </si>
  <si>
    <t xml:space="preserve">Overall pace</t>
  </si>
  <si>
    <t xml:space="preserve">3 nights only; little road travel (149 km)</t>
  </si>
  <si>
    <t xml:space="preserve">Early starts on Days 2 and 3 (04:30 wake-up at Bhawan)</t>
  </si>
  <si>
    <t xml:space="preserve">Food</t>
  </si>
  <si>
    <t xml:space="preserve">All meals arranged; pure-veg throughout</t>
  </si>
  <si>
    <t xml:space="preserve">Simple menu at Bhawan</t>
  </si>
  <si>
    <t xml:space="preserve">Challenge</t>
  </si>
  <si>
    <t xml:space="preserve">Impact</t>
  </si>
  <si>
    <t xml:space="preserve">How we prevent it</t>
  </si>
  <si>
    <t xml:space="preserve">Backup on the day</t>
  </si>
  <si>
    <t xml:space="preserve">Helicopter grounded (rain, fog, wind)</t>
  </si>
  <si>
    <t xml:space="preserve">Day 2 Bhawan arrival or Day 3 return slips</t>
  </si>
  <si>
    <t xml:space="preserve">Avoid Jul–Aug; book earliest slots; keep 2–3 hrs slack</t>
  </si>
  <si>
    <t xml:space="preserve">Wait for next slot; else the 13 km track from Katra (battery car Ardhkuwari → Bhawan); inform the Jammu hotel</t>
  </si>
  <si>
    <t xml:space="preserve">Helicopter slots not available</t>
  </si>
  <si>
    <t xml:space="preserve">Package cannot run as planned</t>
  </si>
  <si>
    <t xml:space="preserve">Book the day the SMVDSB portal opens; book all yatris together</t>
  </si>
  <si>
    <t xml:space="preserve">Shift dates</t>
  </si>
  <si>
    <t xml:space="preserve">Yatri misses reporting time</t>
  </si>
  <si>
    <t xml:space="preserve">Seat forfeited</t>
  </si>
  <si>
    <t xml:space="preserve">Leave Katra town by 11:00; registration before helipad</t>
  </si>
  <si>
    <t xml:space="preserve">Re-book a later slot if seats remain</t>
  </si>
  <si>
    <t xml:space="preserve">Bhawan rooms not available</t>
  </si>
  <si>
    <t xml:space="preserve">No night at Bhawan</t>
  </si>
  <si>
    <t xml:space="preserve">Book on SMVDSB portal as soon as dates are fixed</t>
  </si>
  <si>
    <t xml:space="preserve">Darshan Day 2 evening, return to Jammu same night; Morning Aarti dropped</t>
  </si>
  <si>
    <t xml:space="preserve">Long darshan queues</t>
  </si>
  <si>
    <t xml:space="preserve">Aarti or flight missed</t>
  </si>
  <si>
    <t xml:space="preserve">Avoid peak dates; darshan in the afternoon after rest</t>
  </si>
  <si>
    <t xml:space="preserve">Darshan Day 3 early morning, keep the 12:15 flight</t>
  </si>
  <si>
    <t xml:space="preserve">Aarti passes not available</t>
  </si>
  <si>
    <t xml:space="preserve">Group cannot sit inside for Aarti</t>
  </si>
  <si>
    <t xml:space="preserve">Book Atka Aarti passes the day booking opens</t>
  </si>
  <si>
    <t xml:space="preserve">Join Aarti from the courtyard screens</t>
  </si>
  <si>
    <t xml:space="preserve">Senior tires on the Day 3 downhill track</t>
  </si>
  <si>
    <t xml:space="preserve">Group delayed</t>
  </si>
  <si>
    <t xml:space="preserve">Pre-trip fitness question; escorts walk with seniors</t>
  </si>
  <si>
    <t xml:space="preserve">One escort stays back; use Bhawan medical centre</t>
  </si>
  <si>
    <t xml:space="preserve">Lost RFID card or ID</t>
  </si>
  <si>
    <t xml:space="preserve">Cannot enter the track</t>
  </si>
  <si>
    <t xml:space="preserve">Leader keeps photocopies; yatris carry originals</t>
  </si>
  <si>
    <t xml:space="preserve">Re-issue at Katra counter with ID copy</t>
  </si>
  <si>
    <t xml:space="preserve">Prepaid SIMs from other states don't work in J&amp;K</t>
  </si>
  <si>
    <t xml:space="preserve">Group out of contact</t>
  </si>
  <si>
    <t xml:space="preserve">Tell yatris in advance; carry postpaid numbers</t>
  </si>
  <si>
    <t xml:space="preserve">Leader and assistant on postpaid; fixed meeting points</t>
  </si>
  <si>
    <t xml:space="preserve">Road block / landslide Jammu–Katra</t>
  </si>
  <si>
    <t xml:space="preserve">Day 2 or Day 3 delayed</t>
  </si>
  <si>
    <t xml:space="preserve">Leave on time; check traffic</t>
  </si>
  <si>
    <t xml:space="preserve">Ask local driver for open alternative route</t>
  </si>
  <si>
    <t xml:space="preserve">Flight delays at Jammu (winter fog)</t>
  </si>
  <si>
    <t xml:space="preserve">Day 1 sightseeing cut short</t>
  </si>
  <si>
    <t xml:space="preserve">Choose flights landing well before 14:00</t>
  </si>
  <si>
    <t xml:space="preserve">Drop Peer Kho on Day 1</t>
  </si>
  <si>
    <t xml:space="preserve">Lost yatri in crowd</t>
  </si>
  <si>
    <t xml:space="preserve">Panic, delay</t>
  </si>
  <si>
    <t xml:space="preserve">Group cap/scarf; buddy pairs; head counts at every move</t>
  </si>
  <si>
    <t xml:space="preserve">Meet at fixed point; announce at help desk</t>
  </si>
  <si>
    <t xml:space="preserve">Type</t>
  </si>
  <si>
    <t xml:space="preserve">Point</t>
  </si>
  <si>
    <t xml:space="preserve">Do – yatris</t>
  </si>
  <si>
    <t xml:space="preserve">Carry the original photo ID used for helicopter and Yatra booking</t>
  </si>
  <si>
    <t xml:space="preserve">Keep the RFID Yatra card on you from Katra till the end of Day 3</t>
  </si>
  <si>
    <t xml:space="preserve">Small day bag for Bhawan; main suitcase stays at the Jammu hotel</t>
  </si>
  <si>
    <t xml:space="preserve">Report 10 minutes before every departure time</t>
  </si>
  <si>
    <t xml:space="preserve">Stay with your buddy; wear the group cap or scarf</t>
  </si>
  <si>
    <t xml:space="preserve">Deposit phones, cameras and bags in the cloak room before darshan</t>
  </si>
  <si>
    <t xml:space="preserve">Drink water often; eat light before the helicopter and the track</t>
  </si>
  <si>
    <t xml:space="preserve">Chant; follow Shrine Board queue instructions</t>
  </si>
  <si>
    <t xml:space="preserve">Tell the tour leader at once if unwell</t>
  </si>
  <si>
    <t xml:space="preserve">Don't – yatris</t>
  </si>
  <si>
    <t xml:space="preserve">Carry phones, cameras, bags, leather goods or eatables into the darshan area (check cloak-room board)</t>
  </si>
  <si>
    <t xml:space="preserve">Exceed the helicopter baggage limit</t>
  </si>
  <si>
    <t xml:space="preserve">Rely on a prepaid SIM from outside J&amp;K</t>
  </si>
  <si>
    <t xml:space="preserve">Buy prasad from touts; use Shrine Board counters</t>
  </si>
  <si>
    <t xml:space="preserve">Leave the group without telling the tour leader</t>
  </si>
  <si>
    <t xml:space="preserve">Wear new shoes</t>
  </si>
  <si>
    <t xml:space="preserve">Do – tour team</t>
  </si>
  <si>
    <t xml:space="preserve">Head count at every movement</t>
  </si>
  <si>
    <t xml:space="preserve">Printed yatri list: names, ID nos, phone, emergency contact, blood group, medical notes</t>
  </si>
  <si>
    <t xml:space="preserve">Tickets, room booking and Aarti passes in print and on phone</t>
  </si>
  <si>
    <t xml:space="preserve">Confirm helicopter status the evening before and 07:00 on flight day</t>
  </si>
  <si>
    <t xml:space="preserve">Reconfirm hotels, cars and meal orders 48 hours ahead</t>
  </si>
  <si>
    <t xml:space="preserve">Don't – tour team</t>
  </si>
  <si>
    <t xml:space="preserve">Promise a helicopter seat or Aarti pass not yet booked</t>
  </si>
  <si>
    <t xml:space="preserve">Split the group across helicopter slots without an escort each side</t>
  </si>
  <si>
    <t xml:space="preserve">Change the plan without telling the yatra coordinator</t>
  </si>
  <si>
    <t xml:space="preserve">Bookings &amp; documents checklist (T = departure date)</t>
  </si>
  <si>
    <t xml:space="preserve">When</t>
  </si>
  <si>
    <t xml:space="preserve">Task</t>
  </si>
  <si>
    <t xml:space="preserve">Owner</t>
  </si>
  <si>
    <t xml:space="preserve">Notes</t>
  </si>
  <si>
    <t xml:space="preserve">Status (fill in)</t>
  </si>
  <si>
    <t xml:space="preserve">T−60 days</t>
  </si>
  <si>
    <t xml:space="preserve">Fix dates; avoid Navratri, May–June holidays, Jul–Aug monsoon</t>
  </si>
  <si>
    <t xml:space="preserve">Yatra coordinator</t>
  </si>
  <si>
    <t xml:space="preserve">By 25 Dec 2026</t>
  </si>
  <si>
    <t xml:space="preserve">Registrations close: collect yatri names, photo ID (Aadhaar / passport), age, weight, phone, emergency contact, medical notes</t>
  </si>
  <si>
    <t xml:space="preserve">Last date 25 Dec 2026; name exactly as on ID; weight needed for the helicopter</t>
  </si>
  <si>
    <t xml:space="preserve">30 Dec 2026</t>
  </si>
  <si>
    <t xml:space="preserve">Send complete yatri data to the travel agent</t>
  </si>
  <si>
    <t xml:space="preserve">Names as on ID, ID numbers, ages, weights, phone numbers</t>
  </si>
  <si>
    <t xml:space="preserve">1 Jan 2027</t>
  </si>
  <si>
    <t xml:space="preserve">Book helicopter Day 2 &amp; Day 3 on SMVDSB portal</t>
  </si>
  <si>
    <t xml:space="preserve">Travel agent with yatra coordinator</t>
  </si>
  <si>
    <t xml:space="preserve">Booking opening day</t>
  </si>
  <si>
    <t xml:space="preserve">Book Bhawan accommodation Day 2 night</t>
  </si>
  <si>
    <t xml:space="preserve">Book Atka Aarti passes, Bhairon ropeway and the Sanjichhat → Bhawan battery car</t>
  </si>
  <si>
    <t xml:space="preserve">T−45 days</t>
  </si>
  <si>
    <t xml:space="preserve">Book flights / trains: arrival before 14:00 on 13 Mar; departure after 14:00 on 16 Mar</t>
  </si>
  <si>
    <t xml:space="preserve">Travel desk</t>
  </si>
  <si>
    <t xml:space="preserve">Book the Jammu hotel for Days 1 and 3 (same hotel; luggage storage on Day 2)</t>
  </si>
  <si>
    <t xml:space="preserve">T−30 days</t>
  </si>
  <si>
    <t xml:space="preserve">Book vehicles for all 4 days</t>
  </si>
  <si>
    <t xml:space="preserve">T−15 days</t>
  </si>
  <si>
    <t xml:space="preserve">Pre-order Day 1 lunch and all hotel dinner menus; pre-book the Day 3 lunch restaurant in Katra</t>
  </si>
  <si>
    <t xml:space="preserve">Tour leader</t>
  </si>
  <si>
    <t xml:space="preserve">Travel insurance for every yatri</t>
  </si>
  <si>
    <t xml:space="preserve">T−7 days</t>
  </si>
  <si>
    <t xml:space="preserve">Pre-departure meeting: itinerary, packing, do's &amp; don'ts, SIM advice</t>
  </si>
  <si>
    <t xml:space="preserve">T−2 days</t>
  </si>
  <si>
    <t xml:space="preserve">Reconfirm hotel, vehicles, restaurants, helicopter slots</t>
  </si>
  <si>
    <t xml:space="preserve">T−1 day</t>
  </si>
  <si>
    <t xml:space="preserve">Print tickets, room booking, passes, yatri list, ID copies</t>
  </si>
  <si>
    <t xml:space="preserve">Day 2 at Katra</t>
  </si>
  <si>
    <t xml:space="preserve">RFID Yatra registration for every yatri</t>
  </si>
  <si>
    <t xml:space="preserve">Bag / season</t>
  </si>
  <si>
    <t xml:space="preserve">Item</t>
  </si>
  <si>
    <t xml:space="preserve">Day bag</t>
  </si>
  <si>
    <t xml:space="preserve">Original photo ID + photocopy</t>
  </si>
  <si>
    <t xml:space="preserve">Helicopter ticket and RFID Yatra card</t>
  </si>
  <si>
    <t xml:space="preserve">One change of clothes, towel</t>
  </si>
  <si>
    <t xml:space="preserve">Shawl / light jacket</t>
  </si>
  <si>
    <t xml:space="preserve">Medicines for 2 days + prescription</t>
  </si>
  <si>
    <t xml:space="preserve">Water bottle, dry fruits</t>
  </si>
  <si>
    <t xml:space="preserve">Japa mala, small torch, small-note cash</t>
  </si>
  <si>
    <t xml:space="preserve">Main suitcase</t>
  </si>
  <si>
    <t xml:space="preserve">Clothes for 4 days</t>
  </si>
  <si>
    <t xml:space="preserve">Walking shoes with grip + slippers</t>
  </si>
  <si>
    <t xml:space="preserve">Toiletries, sunscreen, cap</t>
  </si>
  <si>
    <t xml:space="preserve">Raincoat / umbrella</t>
  </si>
  <si>
    <t xml:space="preserve">Charger, power bank, postpaid SIM</t>
  </si>
  <si>
    <t xml:space="preserve">First-aid: pain relief, ORS, antacid, band-aids, motion-sickness tablets</t>
  </si>
  <si>
    <t xml:space="preserve">Dec–Feb</t>
  </si>
  <si>
    <t xml:space="preserve">Thermals, woollen cap, gloves, socks, heavy jacket</t>
  </si>
  <si>
    <t xml:space="preserve">Mar–Jun</t>
  </si>
  <si>
    <t xml:space="preserve">Light cotton, sunglasses, extra water</t>
  </si>
  <si>
    <t xml:space="preserve">Jul–Sep</t>
  </si>
  <si>
    <t xml:space="preserve">Raincoat, quick-dry clothes, spare footwear, plastic bags</t>
  </si>
  <si>
    <t xml:space="preserve">Oct–Nov</t>
  </si>
  <si>
    <t xml:space="preserve">Light woollens for Bhawan nights</t>
  </si>
  <si>
    <t xml:space="preserve">Topic</t>
  </si>
  <si>
    <t xml:space="preserve">Guidance</t>
  </si>
  <si>
    <t xml:space="preserve">Exertion</t>
  </si>
  <si>
    <t xml:space="preserve">Only ~3 km on track, downhill on Day 3 (Bhairon → Sanjichhat); Sanjichhat → Bhawan by battery car; rest by car, helicopter, ropeway</t>
  </si>
  <si>
    <t xml:space="preserve">Fitness check</t>
  </si>
  <si>
    <t xml:space="preserve">Ask about heart, BP, diabetes, asthma, knees; escorts assist anyone who finds the 3 km downhill walk on Day 3 hard</t>
  </si>
  <si>
    <t xml:space="preserve">Altitude</t>
  </si>
  <si>
    <t xml:space="preserve">Bhawan ~5,200 ft; walk slowly, rest, drink water</t>
  </si>
  <si>
    <t xml:space="preserve">Pregnant women, infants, recent surgery: check operator rules before booking</t>
  </si>
  <si>
    <t xml:space="preserve">Medical help</t>
  </si>
  <si>
    <t xml:space="preserve">Shrine Board medical points on track and at Bhawan; hospitals in Katra and Jammu</t>
  </si>
  <si>
    <t xml:space="preserve">Seniors</t>
  </si>
  <si>
    <t xml:space="preserve">Seat first; 1 escort per 5–6 seniors on track; darshan after rest</t>
  </si>
  <si>
    <t xml:space="preserve">Food &amp; water</t>
  </si>
  <si>
    <t xml:space="preserve">Hotels and pre-booked restaurants only; packaged water; avoid fried snacks before flight</t>
  </si>
  <si>
    <t xml:space="preserve">Crowd safety</t>
  </si>
  <si>
    <t xml:space="preserve">Buddy pairs, group cap/scarf, head counts, fixed meeting points</t>
  </si>
  <si>
    <t xml:space="preserve">Valuables</t>
  </si>
  <si>
    <t xml:space="preserve">Neck pouch for cash/ID; cloak rooms; no jewellery</t>
  </si>
  <si>
    <t xml:space="preserve">Insurance</t>
  </si>
  <si>
    <t xml:space="preserve">Every yatri insured; policy no. on yatri list</t>
  </si>
  <si>
    <t xml:space="preserve">Months</t>
  </si>
  <si>
    <t xml:space="preserve">Weather</t>
  </si>
  <si>
    <t xml:space="preserve">Crowd</t>
  </si>
  <si>
    <t xml:space="preserve">Helicopter reliability</t>
  </si>
  <si>
    <t xml:space="preserve">Verdict</t>
  </si>
  <si>
    <t xml:space="preserve">Mar–Apr</t>
  </si>
  <si>
    <t xml:space="preserve">Pleasant days, cool nights</t>
  </si>
  <si>
    <t xml:space="preserve">Medium; very high in Chaitra Navratri</t>
  </si>
  <si>
    <t xml:space="preserve">Recommended (avoid Navratri week)</t>
  </si>
  <si>
    <t xml:space="preserve">May–Jun</t>
  </si>
  <si>
    <t xml:space="preserve">Hot in Jammu (40°C+), pleasant at Bhawan</t>
  </si>
  <si>
    <t xml:space="preserve">Very high (school holidays)</t>
  </si>
  <si>
    <t xml:space="preserve">Possible; book very early</t>
  </si>
  <si>
    <t xml:space="preserve">Jul–Aug</t>
  </si>
  <si>
    <t xml:space="preserve">Monsoon rain, landslide risk</t>
  </si>
  <si>
    <t xml:space="preserve">Low–medium</t>
  </si>
  <si>
    <t xml:space="preserve">Poor; frequent cancellations</t>
  </si>
  <si>
    <t xml:space="preserve">Avoid</t>
  </si>
  <si>
    <t xml:space="preserve">Sep</t>
  </si>
  <si>
    <t xml:space="preserve">Rain easing</t>
  </si>
  <si>
    <t xml:space="preserve">Medium</t>
  </si>
  <si>
    <t xml:space="preserve">Fair</t>
  </si>
  <si>
    <t xml:space="preserve">Possible late September</t>
  </si>
  <si>
    <t xml:space="preserve">Clear, cool</t>
  </si>
  <si>
    <t xml:space="preserve">Medium; very high in Sharad Navratri</t>
  </si>
  <si>
    <t xml:space="preserve">Cold; snow possible at Bhairon; fog at Jammu</t>
  </si>
  <si>
    <t xml:space="preserve">Low, except New Year week</t>
  </si>
  <si>
    <t xml:space="preserve">Fair; fog delays</t>
  </si>
  <si>
    <t xml:space="preserve">Possible for hardy groups</t>
  </si>
  <si>
    <t xml:space="preserve">Role / contact</t>
  </si>
  <si>
    <t xml:space="preserve">Responsibility / notes</t>
  </si>
  <si>
    <t xml:space="preserve">Name</t>
  </si>
  <si>
    <t xml:space="preserve">Phone</t>
  </si>
  <si>
    <t xml:space="preserve">Day plan, head counts, tickets, vendor coordination, backup decisions</t>
  </si>
  <si>
    <t xml:space="preserve">Assistant / escort</t>
  </si>
  <si>
    <t xml:space="preserve">Seniors and slow walkers; rear of group; second document set</t>
  </si>
  <si>
    <t xml:space="preserve">Yatra coordinator (Hyderabad)</t>
  </si>
  <si>
    <t xml:space="preserve">Bookings, changes, escalation</t>
  </si>
  <si>
    <t xml:space="preserve">Kirtan / spiritual lead</t>
  </si>
  <si>
    <t xml:space="preserve">Kirtan, japa, katha at halts and evenings</t>
  </si>
  <si>
    <t xml:space="preserve">SMVDSB helpline</t>
  </si>
  <si>
    <t xml:space="preserve">Take from official SMVDSB website</t>
  </si>
  <si>
    <t xml:space="preserve">Helicopter operator, Katra</t>
  </si>
  <si>
    <t xml:space="preserve">From the ticket</t>
  </si>
  <si>
    <t xml:space="preserve">Hotel, Jammu (Days 1 and 3)</t>
  </si>
  <si>
    <t xml:space="preserve">Driver(s)</t>
  </si>
  <si>
    <t xml:space="preserve">Hospital, Katra</t>
  </si>
  <si>
    <t xml:space="preserve">Hospital, Jammu</t>
  </si>
  <si>
    <t xml:space="preserve">Police / emergency</t>
  </si>
  <si>
    <t xml:space="preserve">National emergency number</t>
  </si>
  <si>
    <t xml:space="preserve">112</t>
  </si>
  <si>
    <t xml:space="preserve">Cost heads per yatri (₹)</t>
  </si>
  <si>
    <t xml:space="preserve">Fill the yellow cells from current quotes; totals recalculate. Example: Bhairon ropeway – enter the per-yatri ticket price.</t>
  </si>
  <si>
    <t xml:space="preserve">Package price: 3N/4D ₹50,000 per person + 5% GST, excluding flight charges</t>
  </si>
  <si>
    <t xml:space="preserve">Cost head</t>
  </si>
  <si>
    <t xml:space="preserve">Basis</t>
  </si>
  <si>
    <t xml:space="preserve">In package?</t>
  </si>
  <si>
    <t xml:space="preserve">Amount per yatri (₹)</t>
  </si>
  <si>
    <t xml:space="preserve">Flights / trains to and from Jammu</t>
  </si>
  <si>
    <t xml:space="preserve">Per yatri</t>
  </si>
  <si>
    <t xml:space="preserve">No – excluded from price</t>
  </si>
  <si>
    <t xml:space="preserve">Hotel Jammu, 2 nights (Days 1 and 3)</t>
  </si>
  <si>
    <t xml:space="preserve">Twin sharing</t>
  </si>
  <si>
    <t xml:space="preserve">Yes</t>
  </si>
  <si>
    <t xml:space="preserve">Bhawan accommodation, 1 night</t>
  </si>
  <si>
    <t xml:space="preserve">Per bed / room</t>
  </si>
  <si>
    <t xml:space="preserve">Helicopter Katra ⇄ Sanjichhat</t>
  </si>
  <si>
    <t xml:space="preserve">Per yatri, both ways</t>
  </si>
  <si>
    <t xml:space="preserve">Bhairon ropeway</t>
  </si>
  <si>
    <t xml:space="preserve">Atka Aarti passes</t>
  </si>
  <si>
    <t xml:space="preserve">Vehicles, 4 days (149 km + waiting)</t>
  </si>
  <si>
    <t xml:space="preserve">Per vehicle, split by seats</t>
  </si>
  <si>
    <t xml:space="preserve">All meals, Day 1 lunch to Day 4 breakfast</t>
  </si>
  <si>
    <t xml:space="preserve">Travel insurance</t>
  </si>
  <si>
    <t xml:space="preserve">Tour leader and assistant costs</t>
  </si>
  <si>
    <t xml:space="preserve">Split across yatris</t>
  </si>
  <si>
    <t xml:space="preserve">Subtotal (items in package)</t>
  </si>
  <si>
    <t xml:space="preserve">Contingency %</t>
  </si>
  <si>
    <t xml:space="preserve">Assumption: 5–10% for helicopter rebooking and delays</t>
  </si>
  <si>
    <t xml:space="preserve">Package cost per yatri</t>
  </si>
  <si>
    <t xml:space="preserve">Not included: flights, shopping, personal offerings, tips.</t>
  </si>
  <si>
    <t xml:space="preserve">Point to confirm</t>
  </si>
  <si>
    <t xml:space="preserve">Every yatri's arrival in Jammu by 14:00 on Day 1, and departure flight / train times on Day 4</t>
  </si>
  <si>
    <t xml:space="preserve">Helicopter slots booked on 1 Jan 2027 for Day 2 and Day 3 + reporting time</t>
  </si>
  <si>
    <t xml:space="preserve">Helicopter baggage limit per yatri; main luggage stays at the Jammu hotel on Day 2</t>
  </si>
  <si>
    <t xml:space="preserve">Bhawan accommodation booked for Day 2 night</t>
  </si>
  <si>
    <t xml:space="preserve">Atka Aarti passes – availability and booking window</t>
  </si>
  <si>
    <t xml:space="preserve">Bhairon ropeway tickets; Sanjichhat → Bhawan battery car</t>
  </si>
  <si>
    <t xml:space="preserve">Jammu hotel fixed for Days 1 and 3; replace area map links with exact hotel pins</t>
  </si>
  <si>
    <t xml:space="preserve">Verify every car km and drive time on Google Maps</t>
  </si>
  <si>
    <t xml:space="preserve">Escorts for seniors on the Day 3 downhill track (Bhairon → Sanjichhat)</t>
  </si>
  <si>
    <t xml:space="preserve">Weather back-up if helicopter is grounded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</si>
</sst>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d\ dd\-mmm\-yyyy"/>
    <numFmt numFmtId="166" formatCode="hh:mm"/>
    <numFmt numFmtId="167" formatCode="ddd\ dd\-mmm"/>
    <numFmt numFmtId="168" formatCode="\₹#,##0;&quot;(₹&quot;#,##0\);\-"/>
    <numFmt numFmtId="169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B2C2C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b val="true"/>
      <sz val="11"/>
      <color rgb="FF7B2C2C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7B2C2C"/>
        <bgColor rgb="FF993366"/>
      </patternFill>
    </fill>
    <fill>
      <patternFill patternType="solid">
        <fgColor rgb="FFFFF4D6"/>
        <bgColor rgb="FFFFFFFF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7B2C2C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F4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4D6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B2C2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google.com/maps/search/?api=1&amp;query=Jammu+Airport%2C+Satwari%2C+Jammu" TargetMode="External"/><Relationship Id="rId2" Type="http://schemas.openxmlformats.org/officeDocument/2006/relationships/hyperlink" Target="https://www.google.com/maps/dir/?api=1&amp;origin=Jammu+Airport%2C+Satwari%2C+Jammu&amp;destination=Residency+Road%2C+Jammu&amp;travelmode=driving" TargetMode="External"/><Relationship Id="rId3" Type="http://schemas.openxmlformats.org/officeDocument/2006/relationships/hyperlink" Target="https://www.google.com/maps/search/?api=1&amp;query=Residency+Road%2C+Jammu" TargetMode="External"/><Relationship Id="rId4" Type="http://schemas.openxmlformats.org/officeDocument/2006/relationships/hyperlink" Target="https://www.google.com/maps/search/?api=1&amp;query=Residency+Road%2C+Jammu" TargetMode="External"/><Relationship Id="rId5" Type="http://schemas.openxmlformats.org/officeDocument/2006/relationships/hyperlink" Target="https://www.google.com/maps/dir/?api=1&amp;origin=Residency+Road%2C+Jammu&amp;destination=Raghunath+Temple%2C+Jammu&amp;travelmode=driving" TargetMode="External"/><Relationship Id="rId6" Type="http://schemas.openxmlformats.org/officeDocument/2006/relationships/hyperlink" Target="https://www.google.com/maps/search/?api=1&amp;query=Raghunath+Temple%2C+Jammu" TargetMode="External"/><Relationship Id="rId7" Type="http://schemas.openxmlformats.org/officeDocument/2006/relationships/hyperlink" Target="https://www.google.com/maps/dir/?api=1&amp;origin=Raghunath+Temple%2C+Jammu&amp;destination=Ranbireshwar+Temple%2C+Jammu&amp;travelmode=driving" TargetMode="External"/><Relationship Id="rId8" Type="http://schemas.openxmlformats.org/officeDocument/2006/relationships/hyperlink" Target="https://www.google.com/maps/search/?api=1&amp;query=Ranbireshwar+Temple%2C+Jammu" TargetMode="External"/><Relationship Id="rId9" Type="http://schemas.openxmlformats.org/officeDocument/2006/relationships/hyperlink" Target="https://www.google.com/maps/dir/?api=1&amp;origin=Ranbireshwar+Temple%2C+Jammu&amp;destination=Bahu+Fort%2C+Jammu&amp;travelmode=driving" TargetMode="External"/><Relationship Id="rId10" Type="http://schemas.openxmlformats.org/officeDocument/2006/relationships/hyperlink" Target="https://www.google.com/maps/search/?api=1&amp;query=Bahu+Fort%2C+Jammu" TargetMode="External"/><Relationship Id="rId11" Type="http://schemas.openxmlformats.org/officeDocument/2006/relationships/hyperlink" Target="https://www.google.com/maps/dir/?api=1&amp;origin=Bahu+Fort%2C+Jammu&amp;destination=Peer+Kho+Cave+Temple%2C+Jammu&amp;travelmode=driving" TargetMode="External"/><Relationship Id="rId12" Type="http://schemas.openxmlformats.org/officeDocument/2006/relationships/hyperlink" Target="https://www.google.com/maps/search/?api=1&amp;query=Peer+Kho+Cave+Temple%2C+Jammu" TargetMode="External"/><Relationship Id="rId13" Type="http://schemas.openxmlformats.org/officeDocument/2006/relationships/hyperlink" Target="https://www.google.com/maps/dir/?api=1&amp;origin=Peer+Kho+Cave+Temple%2C+Jammu&amp;destination=Residency+Road%2C+Jammu&amp;travelmode=driving" TargetMode="External"/><Relationship Id="rId14" Type="http://schemas.openxmlformats.org/officeDocument/2006/relationships/hyperlink" Target="https://www.google.com/maps/search/?api=1&amp;query=Residency+Road%2C+Jammu" TargetMode="External"/><Relationship Id="rId15" Type="http://schemas.openxmlformats.org/officeDocument/2006/relationships/hyperlink" Target="https://www.google.com/maps/search/?api=1&amp;query=Residency+Road%2C+Jammu" TargetMode="External"/><Relationship Id="rId16" Type="http://schemas.openxmlformats.org/officeDocument/2006/relationships/hyperlink" Target="https://www.google.com/maps/search/?api=1&amp;query=Residency+Road%2C+Jammu" TargetMode="External"/><Relationship Id="rId17" Type="http://schemas.openxmlformats.org/officeDocument/2006/relationships/hyperlink" Target="https://www.google.com/maps/search/?api=1&amp;query=Residency+Road%2C+Jammu" TargetMode="External"/><Relationship Id="rId18" Type="http://schemas.openxmlformats.org/officeDocument/2006/relationships/hyperlink" Target="https://www.google.com/maps/dir/?api=1&amp;origin=Residency+Road%2C+Jammu&amp;destination=Yatra+Registration+Counter%2C+Katra+Bus+Stand%2C+Katra&amp;travelmode=driving" TargetMode="External"/><Relationship Id="rId19" Type="http://schemas.openxmlformats.org/officeDocument/2006/relationships/hyperlink" Target="https://www.google.com/maps/search/?api=1&amp;query=Yatra+Registration+Counter%2C+Katra+Bus+Stand%2C+Katra" TargetMode="External"/><Relationship Id="rId20" Type="http://schemas.openxmlformats.org/officeDocument/2006/relationships/hyperlink" Target="https://www.google.com/maps/dir/?api=1&amp;origin=Yatra+Registration+Counter%2C+Katra+Bus+Stand%2C+Katra&amp;destination=Katra+Helipad%2C+Shri+Mata+Vaishno+Devi%2C+Katra&amp;travelmode=driving" TargetMode="External"/><Relationship Id="rId21" Type="http://schemas.openxmlformats.org/officeDocument/2006/relationships/hyperlink" Target="https://www.google.com/maps/search/?api=1&amp;query=Katra+Helipad%2C+Shri+Mata+Vaishno+Devi%2C+Katra" TargetMode="External"/><Relationship Id="rId22" Type="http://schemas.openxmlformats.org/officeDocument/2006/relationships/hyperlink" Target="https://www.google.com/maps/search/?api=1&amp;query=Sanjichhat+Helipad%2C+Vaishno+Devi" TargetMode="External"/><Relationship Id="rId23" Type="http://schemas.openxmlformats.org/officeDocument/2006/relationships/hyperlink" Target="https://www.google.com/maps/dir/?api=1&amp;origin=Sanjichhat+Helipad%2C+Vaishno+Devi&amp;destination=Shri+Mata+Vaishno+Devi+Bhawan%2C+Katra&amp;travelmode=walking" TargetMode="External"/><Relationship Id="rId24" Type="http://schemas.openxmlformats.org/officeDocument/2006/relationships/hyperlink" Target="https://www.google.com/maps/search/?api=1&amp;query=Shri+Mata+Vaishno+Devi+Bhawan%2C+Katra" TargetMode="External"/><Relationship Id="rId25" Type="http://schemas.openxmlformats.org/officeDocument/2006/relationships/hyperlink" Target="https://www.google.com/maps/search/?api=1&amp;query=restaurant+near+Shri+Mata+Vaishno+Devi+Bhawan" TargetMode="External"/><Relationship Id="rId26" Type="http://schemas.openxmlformats.org/officeDocument/2006/relationships/hyperlink" Target="https://www.google.com/maps/search/?api=1&amp;query=Shri+Mata+Vaishno+Devi+Bhawan%2C+Katra" TargetMode="External"/><Relationship Id="rId27" Type="http://schemas.openxmlformats.org/officeDocument/2006/relationships/hyperlink" Target="https://www.google.com/maps/search/?api=1&amp;query=Shri+Mata+Vaishno+Devi+Bhawan%2C+Katra" TargetMode="External"/><Relationship Id="rId28" Type="http://schemas.openxmlformats.org/officeDocument/2006/relationships/hyperlink" Target="https://www.google.com/maps/search/?api=1&amp;query=Shri+Mata+Vaishno+Devi+Bhawan%2C+Katra" TargetMode="External"/><Relationship Id="rId29" Type="http://schemas.openxmlformats.org/officeDocument/2006/relationships/hyperlink" Target="https://www.google.com/maps/search/?api=1&amp;query=restaurant+near+Shri+Mata+Vaishno+Devi+Bhawan" TargetMode="External"/><Relationship Id="rId30" Type="http://schemas.openxmlformats.org/officeDocument/2006/relationships/hyperlink" Target="https://www.google.com/maps/search/?api=1&amp;query=Shri+Mata+Vaishno+Devi+Bhawan%2C+Katra" TargetMode="External"/><Relationship Id="rId31" Type="http://schemas.openxmlformats.org/officeDocument/2006/relationships/hyperlink" Target="https://www.google.com/maps/search/?api=1&amp;query=Shri+Mata+Vaishno+Devi+Bhawan%2C+Katra" TargetMode="External"/><Relationship Id="rId32" Type="http://schemas.openxmlformats.org/officeDocument/2006/relationships/hyperlink" Target="https://www.google.com/maps/search/?api=1&amp;query=Shri+Mata+Vaishno+Devi+Bhawan%2C+Katra" TargetMode="External"/><Relationship Id="rId33" Type="http://schemas.openxmlformats.org/officeDocument/2006/relationships/hyperlink" Target="https://www.google.com/maps/search/?api=1&amp;query=restaurant+near+Shri+Mata+Vaishno+Devi+Bhawan" TargetMode="External"/><Relationship Id="rId34" Type="http://schemas.openxmlformats.org/officeDocument/2006/relationships/hyperlink" Target="https://www.google.com/maps/search/?api=1&amp;query=Shri+Mata+Vaishno+Devi+Bhawan%2C+Katra" TargetMode="External"/><Relationship Id="rId35" Type="http://schemas.openxmlformats.org/officeDocument/2006/relationships/hyperlink" Target="https://www.google.com/maps/search/?api=1&amp;query=Bhawan+Bhairon+Ropeway%2C+Vaishno+Devi" TargetMode="External"/><Relationship Id="rId36" Type="http://schemas.openxmlformats.org/officeDocument/2006/relationships/hyperlink" Target="https://www.google.com/maps/search/?api=1&amp;query=Bhawan+Bhairon+Ropeway%2C+Vaishno+Devi" TargetMode="External"/><Relationship Id="rId37" Type="http://schemas.openxmlformats.org/officeDocument/2006/relationships/hyperlink" Target="https://www.google.com/maps/search/?api=1&amp;query=Bhairon+Baba+Temple%2C+Vaishno+Devi" TargetMode="External"/><Relationship Id="rId38" Type="http://schemas.openxmlformats.org/officeDocument/2006/relationships/hyperlink" Target="https://www.google.com/maps/dir/?api=1&amp;origin=Bhairon+Baba+Temple%2C+Vaishno+Devi&amp;destination=Sanjichhat+Helipad%2C+Vaishno+Devi&amp;travelmode=walking" TargetMode="External"/><Relationship Id="rId39" Type="http://schemas.openxmlformats.org/officeDocument/2006/relationships/hyperlink" Target="https://www.google.com/maps/search/?api=1&amp;query=Sanjichhat+Helipad%2C+Vaishno+Devi" TargetMode="External"/><Relationship Id="rId40" Type="http://schemas.openxmlformats.org/officeDocument/2006/relationships/hyperlink" Target="https://www.google.com/maps/search/?api=1&amp;query=Katra+Helipad%2C+Shri+Mata+Vaishno+Devi%2C+Katra" TargetMode="External"/><Relationship Id="rId41" Type="http://schemas.openxmlformats.org/officeDocument/2006/relationships/hyperlink" Target="https://www.google.com/maps/dir/?api=1&amp;origin=Katra+Helipad%2C+Shri+Mata+Vaishno+Devi%2C+Katra&amp;destination=Main+Bazaar%2C+Katra&amp;travelmode=driving" TargetMode="External"/><Relationship Id="rId42" Type="http://schemas.openxmlformats.org/officeDocument/2006/relationships/hyperlink" Target="https://www.google.com/maps/search/?api=1&amp;query=pure+veg+restaurant+Main+Bazaar+Katra" TargetMode="External"/><Relationship Id="rId43" Type="http://schemas.openxmlformats.org/officeDocument/2006/relationships/hyperlink" Target="https://www.google.com/maps/dir/?api=1&amp;origin=Main+Bazaar%2C+Katra&amp;destination=Banganga+Temple%2C+Katra&amp;travelmode=driving" TargetMode="External"/><Relationship Id="rId44" Type="http://schemas.openxmlformats.org/officeDocument/2006/relationships/hyperlink" Target="https://www.google.com/maps/search/?api=1&amp;query=Banganga+Temple%2C+Katra" TargetMode="External"/><Relationship Id="rId45" Type="http://schemas.openxmlformats.org/officeDocument/2006/relationships/hyperlink" Target="https://www.google.com/maps/dir/?api=1&amp;origin=Banganga+Temple%2C+Katra&amp;destination=Darshani+Deodi%2C+Katra&amp;travelmode=driving" TargetMode="External"/><Relationship Id="rId46" Type="http://schemas.openxmlformats.org/officeDocument/2006/relationships/hyperlink" Target="https://www.google.com/maps/search/?api=1&amp;query=Darshani+Deodi%2C+Katra" TargetMode="External"/><Relationship Id="rId47" Type="http://schemas.openxmlformats.org/officeDocument/2006/relationships/hyperlink" Target="https://www.google.com/maps/dir/?api=1&amp;origin=Darshani+Deodi%2C+Katra&amp;destination=Main+Bazaar%2C+Katra&amp;travelmode=driving" TargetMode="External"/><Relationship Id="rId48" Type="http://schemas.openxmlformats.org/officeDocument/2006/relationships/hyperlink" Target="https://www.google.com/maps/search/?api=1&amp;query=Main+Bazaar%2C+Katra" TargetMode="External"/><Relationship Id="rId49" Type="http://schemas.openxmlformats.org/officeDocument/2006/relationships/hyperlink" Target="https://www.google.com/maps/dir/?api=1&amp;origin=Main+Bazaar%2C+Katra&amp;destination=Residency+Road%2C+Jammu&amp;travelmode=driving" TargetMode="External"/><Relationship Id="rId50" Type="http://schemas.openxmlformats.org/officeDocument/2006/relationships/hyperlink" Target="https://www.google.com/maps/search/?api=1&amp;query=Residency+Road%2C+Jammu" TargetMode="External"/><Relationship Id="rId51" Type="http://schemas.openxmlformats.org/officeDocument/2006/relationships/hyperlink" Target="https://www.google.com/maps/search/?api=1&amp;query=Residency+Road%2C+Jammu" TargetMode="External"/><Relationship Id="rId52" Type="http://schemas.openxmlformats.org/officeDocument/2006/relationships/hyperlink" Target="https://www.google.com/maps/search/?api=1&amp;query=Residency+Road%2C+Jammu" TargetMode="External"/><Relationship Id="rId53" Type="http://schemas.openxmlformats.org/officeDocument/2006/relationships/hyperlink" Target="https://www.google.com/maps/search/?api=1&amp;query=Residency+Road%2C+Jammu" TargetMode="External"/><Relationship Id="rId54" Type="http://schemas.openxmlformats.org/officeDocument/2006/relationships/hyperlink" Target="https://www.google.com/maps/search/?api=1&amp;query=Residency+Road%2C+Jammu" TargetMode="External"/><Relationship Id="rId55" Type="http://schemas.openxmlformats.org/officeDocument/2006/relationships/hyperlink" Target="https://www.google.com/maps/dir/?api=1&amp;origin=Residency+Road%2C+Jammu&amp;destination=Jammu+Airport%2C+Satwari%2C+Jammu&amp;travelmode=driving" TargetMode="External"/><Relationship Id="rId56" Type="http://schemas.openxmlformats.org/officeDocument/2006/relationships/hyperlink" Target="https://www.google.com/maps/search/?api=1&amp;query=Jammu+Airport%2C+Satwari%2C+Jammu" TargetMode="External"/><Relationship Id="rId57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50"/>
    <col collapsed="false" customWidth="true" hidden="false" outlineLevel="0" max="4" min="4" style="0" width="10"/>
    <col collapsed="false" customWidth="true" hidden="false" outlineLevel="0" max="5" min="5" style="0" width="12"/>
    <col collapsed="false" customWidth="true" hidden="false" outlineLevel="0" max="7" min="6" style="0" width="11"/>
    <col collapsed="false" customWidth="true" hidden="false" outlineLevel="0" max="9" min="9" style="0" width="28"/>
    <col collapsed="false" customWidth="true" hidden="false" outlineLevel="0" max="10" min="10" style="0" width="17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4" t="n">
        <v>46459</v>
      </c>
      <c r="C3" s="5" t="s">
        <v>3</v>
      </c>
      <c r="I3" s="3" t="s">
        <v>4</v>
      </c>
    </row>
    <row r="4" customFormat="false" ht="15" hidden="false" customHeight="fals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6" t="s">
        <v>9</v>
      </c>
      <c r="F4" s="6" t="s">
        <v>10</v>
      </c>
      <c r="G4" s="6" t="s">
        <v>11</v>
      </c>
      <c r="I4" s="7" t="s">
        <v>12</v>
      </c>
      <c r="J4" s="8" t="n">
        <v>46381</v>
      </c>
    </row>
    <row r="5" customFormat="false" ht="15" hidden="false" customHeight="false" outlineLevel="0" collapsed="false">
      <c r="A5" s="7" t="n">
        <v>1</v>
      </c>
      <c r="B5" s="8" t="n">
        <f aca="false">$B$3+A5-1</f>
        <v>46459</v>
      </c>
      <c r="C5" s="7" t="s">
        <v>13</v>
      </c>
      <c r="D5" s="7" t="n">
        <f aca="false">SUMIF('Minute-by-Minute'!$A$5:$A$60,A5,'Minute-by-Minute'!$I$5:$I$60)</f>
        <v>32</v>
      </c>
      <c r="E5" s="7" t="s">
        <v>14</v>
      </c>
      <c r="F5" s="9" t="n">
        <f aca="false">_xlfn.MINIFS('Minute-by-Minute'!$C$5:$C$60,'Minute-by-Minute'!$A$5:$A$60,A5)</f>
        <v>0.583333333333333</v>
      </c>
      <c r="G5" s="9" t="n">
        <f aca="false">_xlfn.MAXIFS('Minute-by-Minute'!$D$5:$D$60,'Minute-by-Minute'!$A$5:$A$60,A5)</f>
        <v>0.885416666666667</v>
      </c>
      <c r="I5" s="7" t="s">
        <v>15</v>
      </c>
      <c r="J5" s="8" t="n">
        <v>46386</v>
      </c>
    </row>
    <row r="6" customFormat="false" ht="15" hidden="false" customHeight="false" outlineLevel="0" collapsed="false">
      <c r="A6" s="7" t="n">
        <v>2</v>
      </c>
      <c r="B6" s="8" t="n">
        <f aca="false">$B$3+A6-1</f>
        <v>46460</v>
      </c>
      <c r="C6" s="7" t="s">
        <v>16</v>
      </c>
      <c r="D6" s="7" t="n">
        <f aca="false">SUMIF('Minute-by-Minute'!$A$5:$A$60,A6,'Minute-by-Minute'!$I$5:$I$60)</f>
        <v>52</v>
      </c>
      <c r="E6" s="7" t="s">
        <v>17</v>
      </c>
      <c r="F6" s="9" t="n">
        <f aca="false">_xlfn.MINIFS('Minute-by-Minute'!$C$5:$C$60,'Minute-by-Minute'!$A$5:$A$60,A6)</f>
        <v>0.3125</v>
      </c>
      <c r="G6" s="9" t="n">
        <f aca="false">_xlfn.MAXIFS('Minute-by-Minute'!$D$5:$D$60,'Minute-by-Minute'!$A$5:$A$60,A6)</f>
        <v>0.854166666666667</v>
      </c>
      <c r="I6" s="7" t="s">
        <v>18</v>
      </c>
      <c r="J6" s="8" t="n">
        <v>46388</v>
      </c>
    </row>
    <row r="7" customFormat="false" ht="15" hidden="false" customHeight="false" outlineLevel="0" collapsed="false">
      <c r="A7" s="7" t="n">
        <v>3</v>
      </c>
      <c r="B7" s="8" t="n">
        <f aca="false">$B$3+A7-1</f>
        <v>46461</v>
      </c>
      <c r="C7" s="7" t="s">
        <v>19</v>
      </c>
      <c r="D7" s="7" t="n">
        <f aca="false">SUMIF('Minute-by-Minute'!$A$5:$A$60,A7,'Minute-by-Minute'!$I$5:$I$60)</f>
        <v>58</v>
      </c>
      <c r="E7" s="7" t="s">
        <v>14</v>
      </c>
      <c r="F7" s="9" t="n">
        <f aca="false">_xlfn.MINIFS('Minute-by-Minute'!$C$5:$C$60,'Minute-by-Minute'!$A$5:$A$60,A7)</f>
        <v>0.1875</v>
      </c>
      <c r="G7" s="9" t="n">
        <f aca="false">_xlfn.MAXIFS('Minute-by-Minute'!$D$5:$D$60,'Minute-by-Minute'!$A$5:$A$60,A7)</f>
        <v>0.875</v>
      </c>
    </row>
    <row r="8" customFormat="false" ht="15" hidden="false" customHeight="false" outlineLevel="0" collapsed="false">
      <c r="A8" s="7" t="n">
        <v>4</v>
      </c>
      <c r="B8" s="8" t="n">
        <f aca="false">$B$3+A8-1</f>
        <v>46462</v>
      </c>
      <c r="C8" s="7" t="s">
        <v>20</v>
      </c>
      <c r="D8" s="7" t="n">
        <f aca="false">SUMIF('Minute-by-Minute'!$A$5:$A$60,A8,'Minute-by-Minute'!$I$5:$I$60)</f>
        <v>7</v>
      </c>
      <c r="E8" s="7" t="s">
        <v>21</v>
      </c>
      <c r="F8" s="9" t="n">
        <f aca="false">_xlfn.MINIFS('Minute-by-Minute'!$C$5:$C$60,'Minute-by-Minute'!$A$5:$A$60,A8)</f>
        <v>0.3125</v>
      </c>
      <c r="G8" s="9" t="n">
        <f aca="false">_xlfn.MAXIFS('Minute-by-Minute'!$D$5:$D$60,'Minute-by-Minute'!$A$5:$A$60,A8)</f>
        <v>0.40625</v>
      </c>
      <c r="I8" s="3" t="s">
        <v>22</v>
      </c>
    </row>
    <row r="9" customFormat="false" ht="15" hidden="false" customHeight="false" outlineLevel="0" collapsed="false">
      <c r="A9" s="3" t="s">
        <v>23</v>
      </c>
      <c r="D9" s="3" t="n">
        <f aca="false">SUM(D5:D8)</f>
        <v>149</v>
      </c>
      <c r="E9" s="2" t="s">
        <v>24</v>
      </c>
      <c r="I9" s="2" t="s">
        <v>25</v>
      </c>
    </row>
    <row r="10" customFormat="false" ht="15" hidden="false" customHeight="false" outlineLevel="0" collapsed="false">
      <c r="I10" s="2" t="s">
        <v>26</v>
      </c>
    </row>
    <row r="11" customFormat="false" ht="15" hidden="false" customHeight="false" outlineLevel="0" collapsed="false">
      <c r="A11" s="2" t="s">
        <v>27</v>
      </c>
    </row>
    <row r="12" customFormat="false" ht="15" hidden="false" customHeight="false" outlineLevel="0" collapsed="false">
      <c r="A12" s="2" t="s">
        <v>28</v>
      </c>
      <c r="I12" s="3" t="s">
        <v>29</v>
      </c>
    </row>
    <row r="13" customFormat="false" ht="15" hidden="false" customHeight="false" outlineLevel="0" collapsed="false">
      <c r="I13" s="10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4" min="3" style="0" width="7"/>
    <col collapsed="false" customWidth="true" hidden="false" outlineLevel="0" max="5" min="5" style="0" width="6"/>
    <col collapsed="false" customWidth="true" hidden="false" outlineLevel="0" max="6" min="6" style="0" width="14"/>
    <col collapsed="false" customWidth="true" hidden="false" outlineLevel="0" max="7" min="7" style="0" width="32"/>
    <col collapsed="false" customWidth="true" hidden="false" outlineLevel="0" max="8" min="8" style="0" width="28"/>
    <col collapsed="false" customWidth="true" hidden="false" outlineLevel="0" max="9" min="9" style="0" width="7"/>
    <col collapsed="false" customWidth="true" hidden="false" outlineLevel="0" max="10" min="10" style="0" width="60"/>
    <col collapsed="false" customWidth="true" hidden="false" outlineLevel="0" max="11" min="11" style="0" width="11"/>
  </cols>
  <sheetData>
    <row r="1" customFormat="false" ht="17.35" hidden="false" customHeight="false" outlineLevel="0" collapsed="false">
      <c r="A1" s="1" t="s">
        <v>31</v>
      </c>
    </row>
    <row r="2" customFormat="false" ht="15" hidden="false" customHeight="false" outlineLevel="0" collapsed="false">
      <c r="A2" s="5" t="s">
        <v>32</v>
      </c>
    </row>
    <row r="4" customFormat="false" ht="23.85" hidden="false" customHeight="false" outlineLevel="0" collapsed="false">
      <c r="A4" s="11" t="s">
        <v>5</v>
      </c>
      <c r="B4" s="11" t="s">
        <v>6</v>
      </c>
      <c r="C4" s="11" t="s">
        <v>33</v>
      </c>
      <c r="D4" s="11" t="s">
        <v>34</v>
      </c>
      <c r="E4" s="11" t="s">
        <v>35</v>
      </c>
      <c r="F4" s="11" t="s">
        <v>36</v>
      </c>
      <c r="G4" s="11" t="s">
        <v>37</v>
      </c>
      <c r="H4" s="11" t="s">
        <v>38</v>
      </c>
      <c r="I4" s="11" t="s">
        <v>8</v>
      </c>
      <c r="J4" s="11" t="s">
        <v>39</v>
      </c>
      <c r="K4" s="11" t="s">
        <v>40</v>
      </c>
    </row>
    <row r="5" customFormat="false" ht="15" hidden="false" customHeight="false" outlineLevel="0" collapsed="false">
      <c r="A5" s="12" t="n">
        <v>1</v>
      </c>
      <c r="B5" s="13" t="n">
        <f aca="false">Overview!$B$3+A5-1</f>
        <v>46459</v>
      </c>
      <c r="C5" s="14" t="n">
        <v>0.583333333333333</v>
      </c>
      <c r="D5" s="14" t="n">
        <v>0.604166666666667</v>
      </c>
      <c r="E5" s="12" t="n">
        <f aca="false">ROUND((D5-C5)*1440,0)</f>
        <v>30</v>
      </c>
      <c r="F5" s="12" t="s">
        <v>41</v>
      </c>
      <c r="G5" s="12" t="s">
        <v>42</v>
      </c>
      <c r="H5" s="12"/>
      <c r="I5" s="12"/>
      <c r="J5" s="12" t="s">
        <v>43</v>
      </c>
      <c r="K5" s="15" t="s">
        <v>44</v>
      </c>
    </row>
    <row r="6" customFormat="false" ht="15" hidden="false" customHeight="false" outlineLevel="0" collapsed="false">
      <c r="A6" s="12" t="n">
        <v>1</v>
      </c>
      <c r="B6" s="13" t="n">
        <f aca="false">Overview!$B$3+A6-1</f>
        <v>46459</v>
      </c>
      <c r="C6" s="14" t="n">
        <v>0.604166666666667</v>
      </c>
      <c r="D6" s="14" t="n">
        <v>0.618055555555556</v>
      </c>
      <c r="E6" s="12" t="n">
        <f aca="false">ROUND((D6-C6)*1440,0)</f>
        <v>20</v>
      </c>
      <c r="F6" s="12" t="s">
        <v>45</v>
      </c>
      <c r="G6" s="12" t="s">
        <v>46</v>
      </c>
      <c r="H6" s="12" t="s">
        <v>47</v>
      </c>
      <c r="I6" s="12" t="n">
        <v>7</v>
      </c>
      <c r="J6" s="12" t="s">
        <v>48</v>
      </c>
      <c r="K6" s="15" t="s">
        <v>44</v>
      </c>
    </row>
    <row r="7" customFormat="false" ht="15" hidden="false" customHeight="false" outlineLevel="0" collapsed="false">
      <c r="A7" s="12" t="n">
        <v>1</v>
      </c>
      <c r="B7" s="13" t="n">
        <f aca="false">Overview!$B$3+A7-1</f>
        <v>46459</v>
      </c>
      <c r="C7" s="14" t="n">
        <v>0.618055555555556</v>
      </c>
      <c r="D7" s="14" t="n">
        <v>0.635416666666667</v>
      </c>
      <c r="E7" s="12" t="n">
        <f aca="false">ROUND((D7-C7)*1440,0)</f>
        <v>25</v>
      </c>
      <c r="F7" s="12" t="s">
        <v>49</v>
      </c>
      <c r="G7" s="12" t="s">
        <v>47</v>
      </c>
      <c r="H7" s="12"/>
      <c r="I7" s="12"/>
      <c r="J7" s="12" t="s">
        <v>50</v>
      </c>
      <c r="K7" s="15" t="s">
        <v>44</v>
      </c>
    </row>
    <row r="8" customFormat="false" ht="15" hidden="false" customHeight="false" outlineLevel="0" collapsed="false">
      <c r="A8" s="16" t="n">
        <v>1</v>
      </c>
      <c r="B8" s="17" t="n">
        <f aca="false">Overview!$B$3+A8-1</f>
        <v>46459</v>
      </c>
      <c r="C8" s="18" t="n">
        <v>0.635416666666667</v>
      </c>
      <c r="D8" s="18" t="n">
        <v>0.659722222222222</v>
      </c>
      <c r="E8" s="16" t="n">
        <f aca="false">ROUND((D8-C8)*1440,0)</f>
        <v>35</v>
      </c>
      <c r="F8" s="16" t="s">
        <v>51</v>
      </c>
      <c r="G8" s="16" t="s">
        <v>52</v>
      </c>
      <c r="H8" s="16"/>
      <c r="I8" s="16"/>
      <c r="J8" s="16" t="s">
        <v>51</v>
      </c>
      <c r="K8" s="19" t="s">
        <v>44</v>
      </c>
    </row>
    <row r="9" customFormat="false" ht="15" hidden="false" customHeight="false" outlineLevel="0" collapsed="false">
      <c r="A9" s="12" t="n">
        <v>1</v>
      </c>
      <c r="B9" s="13" t="n">
        <f aca="false">Overview!$B$3+A9-1</f>
        <v>46459</v>
      </c>
      <c r="C9" s="14" t="n">
        <v>0.659722222222222</v>
      </c>
      <c r="D9" s="14" t="n">
        <v>0.670138888888889</v>
      </c>
      <c r="E9" s="12" t="n">
        <f aca="false">ROUND((D9-C9)*1440,0)</f>
        <v>15</v>
      </c>
      <c r="F9" s="12" t="s">
        <v>45</v>
      </c>
      <c r="G9" s="12" t="s">
        <v>47</v>
      </c>
      <c r="H9" s="12" t="s">
        <v>53</v>
      </c>
      <c r="I9" s="12" t="n">
        <v>5</v>
      </c>
      <c r="J9" s="12" t="s">
        <v>54</v>
      </c>
      <c r="K9" s="15" t="s">
        <v>44</v>
      </c>
    </row>
    <row r="10" customFormat="false" ht="23.85" hidden="false" customHeight="false" outlineLevel="0" collapsed="false">
      <c r="A10" s="12" t="n">
        <v>1</v>
      </c>
      <c r="B10" s="13" t="n">
        <f aca="false">Overview!$B$3+A10-1</f>
        <v>46459</v>
      </c>
      <c r="C10" s="14" t="n">
        <v>0.670138888888889</v>
      </c>
      <c r="D10" s="14" t="n">
        <v>0.697916666666667</v>
      </c>
      <c r="E10" s="12" t="n">
        <f aca="false">ROUND((D10-C10)*1440,0)</f>
        <v>40</v>
      </c>
      <c r="F10" s="12" t="s">
        <v>55</v>
      </c>
      <c r="G10" s="12" t="s">
        <v>53</v>
      </c>
      <c r="H10" s="12"/>
      <c r="I10" s="12"/>
      <c r="J10" s="12" t="s">
        <v>56</v>
      </c>
      <c r="K10" s="15" t="s">
        <v>44</v>
      </c>
    </row>
    <row r="11" customFormat="false" ht="15" hidden="false" customHeight="false" outlineLevel="0" collapsed="false">
      <c r="A11" s="12" t="n">
        <v>1</v>
      </c>
      <c r="B11" s="13" t="n">
        <f aca="false">Overview!$B$3+A11-1</f>
        <v>46459</v>
      </c>
      <c r="C11" s="14" t="n">
        <v>0.697916666666667</v>
      </c>
      <c r="D11" s="14" t="n">
        <v>0.704861111111111</v>
      </c>
      <c r="E11" s="12" t="n">
        <f aca="false">ROUND((D11-C11)*1440,0)</f>
        <v>10</v>
      </c>
      <c r="F11" s="12" t="s">
        <v>45</v>
      </c>
      <c r="G11" s="12" t="s">
        <v>53</v>
      </c>
      <c r="H11" s="12" t="s">
        <v>57</v>
      </c>
      <c r="I11" s="12" t="n">
        <v>1</v>
      </c>
      <c r="J11" s="12" t="s">
        <v>58</v>
      </c>
      <c r="K11" s="15" t="s">
        <v>44</v>
      </c>
    </row>
    <row r="12" customFormat="false" ht="15" hidden="false" customHeight="false" outlineLevel="0" collapsed="false">
      <c r="A12" s="12" t="n">
        <v>1</v>
      </c>
      <c r="B12" s="13" t="n">
        <f aca="false">Overview!$B$3+A12-1</f>
        <v>46459</v>
      </c>
      <c r="C12" s="14" t="n">
        <v>0.704861111111111</v>
      </c>
      <c r="D12" s="14" t="n">
        <v>0.722222222222222</v>
      </c>
      <c r="E12" s="12" t="n">
        <f aca="false">ROUND((D12-C12)*1440,0)</f>
        <v>25</v>
      </c>
      <c r="F12" s="12" t="s">
        <v>55</v>
      </c>
      <c r="G12" s="12" t="s">
        <v>57</v>
      </c>
      <c r="H12" s="12"/>
      <c r="I12" s="12"/>
      <c r="J12" s="12" t="s">
        <v>59</v>
      </c>
      <c r="K12" s="15" t="s">
        <v>44</v>
      </c>
    </row>
    <row r="13" customFormat="false" ht="15" hidden="false" customHeight="false" outlineLevel="0" collapsed="false">
      <c r="A13" s="12" t="n">
        <v>1</v>
      </c>
      <c r="B13" s="13" t="n">
        <f aca="false">Overview!$B$3+A13-1</f>
        <v>46459</v>
      </c>
      <c r="C13" s="14" t="n">
        <v>0.722222222222222</v>
      </c>
      <c r="D13" s="14" t="n">
        <v>0.736111111111111</v>
      </c>
      <c r="E13" s="12" t="n">
        <f aca="false">ROUND((D13-C13)*1440,0)</f>
        <v>20</v>
      </c>
      <c r="F13" s="12" t="s">
        <v>45</v>
      </c>
      <c r="G13" s="12" t="s">
        <v>57</v>
      </c>
      <c r="H13" s="12" t="s">
        <v>60</v>
      </c>
      <c r="I13" s="12" t="n">
        <v>6</v>
      </c>
      <c r="J13" s="12" t="s">
        <v>61</v>
      </c>
      <c r="K13" s="15" t="s">
        <v>44</v>
      </c>
    </row>
    <row r="14" customFormat="false" ht="23.85" hidden="false" customHeight="false" outlineLevel="0" collapsed="false">
      <c r="A14" s="12" t="n">
        <v>1</v>
      </c>
      <c r="B14" s="13" t="n">
        <f aca="false">Overview!$B$3+A14-1</f>
        <v>46459</v>
      </c>
      <c r="C14" s="14" t="n">
        <v>0.736111111111111</v>
      </c>
      <c r="D14" s="14" t="n">
        <v>0.770833333333333</v>
      </c>
      <c r="E14" s="12" t="n">
        <f aca="false">ROUND((D14-C14)*1440,0)</f>
        <v>50</v>
      </c>
      <c r="F14" s="12" t="s">
        <v>55</v>
      </c>
      <c r="G14" s="12" t="s">
        <v>62</v>
      </c>
      <c r="H14" s="12"/>
      <c r="I14" s="12"/>
      <c r="J14" s="12" t="s">
        <v>63</v>
      </c>
      <c r="K14" s="15" t="s">
        <v>44</v>
      </c>
    </row>
    <row r="15" customFormat="false" ht="15" hidden="false" customHeight="false" outlineLevel="0" collapsed="false">
      <c r="A15" s="12" t="n">
        <v>1</v>
      </c>
      <c r="B15" s="13" t="n">
        <f aca="false">Overview!$B$3+A15-1</f>
        <v>46459</v>
      </c>
      <c r="C15" s="14" t="n">
        <v>0.770833333333333</v>
      </c>
      <c r="D15" s="14" t="n">
        <v>0.788194444444444</v>
      </c>
      <c r="E15" s="12" t="n">
        <f aca="false">ROUND((D15-C15)*1440,0)</f>
        <v>25</v>
      </c>
      <c r="F15" s="12" t="s">
        <v>45</v>
      </c>
      <c r="G15" s="12" t="s">
        <v>64</v>
      </c>
      <c r="H15" s="12" t="s">
        <v>65</v>
      </c>
      <c r="I15" s="12" t="n">
        <v>7</v>
      </c>
      <c r="J15" s="12" t="s">
        <v>66</v>
      </c>
      <c r="K15" s="15" t="s">
        <v>44</v>
      </c>
    </row>
    <row r="16" customFormat="false" ht="15" hidden="false" customHeight="false" outlineLevel="0" collapsed="false">
      <c r="A16" s="12" t="n">
        <v>1</v>
      </c>
      <c r="B16" s="13" t="n">
        <f aca="false">Overview!$B$3+A16-1</f>
        <v>46459</v>
      </c>
      <c r="C16" s="14" t="n">
        <v>0.788194444444444</v>
      </c>
      <c r="D16" s="14" t="n">
        <v>0.8125</v>
      </c>
      <c r="E16" s="12" t="n">
        <f aca="false">ROUND((D16-C16)*1440,0)</f>
        <v>35</v>
      </c>
      <c r="F16" s="12" t="s">
        <v>55</v>
      </c>
      <c r="G16" s="12" t="s">
        <v>65</v>
      </c>
      <c r="H16" s="12"/>
      <c r="I16" s="12"/>
      <c r="J16" s="12" t="s">
        <v>67</v>
      </c>
      <c r="K16" s="15" t="s">
        <v>44</v>
      </c>
    </row>
    <row r="17" customFormat="false" ht="15" hidden="false" customHeight="false" outlineLevel="0" collapsed="false">
      <c r="A17" s="12" t="n">
        <v>1</v>
      </c>
      <c r="B17" s="13" t="n">
        <f aca="false">Overview!$B$3+A17-1</f>
        <v>46459</v>
      </c>
      <c r="C17" s="14" t="n">
        <v>0.8125</v>
      </c>
      <c r="D17" s="14" t="n">
        <v>0.826388888888889</v>
      </c>
      <c r="E17" s="12" t="n">
        <f aca="false">ROUND((D17-C17)*1440,0)</f>
        <v>20</v>
      </c>
      <c r="F17" s="12" t="s">
        <v>45</v>
      </c>
      <c r="G17" s="12" t="s">
        <v>65</v>
      </c>
      <c r="H17" s="12" t="s">
        <v>47</v>
      </c>
      <c r="I17" s="12" t="n">
        <v>6</v>
      </c>
      <c r="J17" s="12" t="s">
        <v>68</v>
      </c>
      <c r="K17" s="15" t="s">
        <v>44</v>
      </c>
    </row>
    <row r="18" customFormat="false" ht="23.85" hidden="false" customHeight="false" outlineLevel="0" collapsed="false">
      <c r="A18" s="12" t="n">
        <v>1</v>
      </c>
      <c r="B18" s="13" t="n">
        <f aca="false">Overview!$B$3+A18-1</f>
        <v>46459</v>
      </c>
      <c r="C18" s="14" t="n">
        <v>0.826388888888889</v>
      </c>
      <c r="D18" s="14" t="n">
        <v>0.84375</v>
      </c>
      <c r="E18" s="12" t="n">
        <f aca="false">ROUND((D18-C18)*1440,0)</f>
        <v>25</v>
      </c>
      <c r="F18" s="12" t="s">
        <v>49</v>
      </c>
      <c r="G18" s="12" t="s">
        <v>47</v>
      </c>
      <c r="H18" s="12"/>
      <c r="I18" s="12"/>
      <c r="J18" s="12" t="s">
        <v>69</v>
      </c>
      <c r="K18" s="15" t="s">
        <v>44</v>
      </c>
    </row>
    <row r="19" customFormat="false" ht="15" hidden="false" customHeight="false" outlineLevel="0" collapsed="false">
      <c r="A19" s="16" t="n">
        <v>1</v>
      </c>
      <c r="B19" s="17" t="n">
        <f aca="false">Overview!$B$3+A19-1</f>
        <v>46459</v>
      </c>
      <c r="C19" s="18" t="n">
        <v>0.84375</v>
      </c>
      <c r="D19" s="18" t="n">
        <v>0.885416666666667</v>
      </c>
      <c r="E19" s="16" t="n">
        <f aca="false">ROUND((D19-C19)*1440,0)</f>
        <v>60</v>
      </c>
      <c r="F19" s="16" t="s">
        <v>70</v>
      </c>
      <c r="G19" s="16" t="s">
        <v>52</v>
      </c>
      <c r="H19" s="16"/>
      <c r="I19" s="16"/>
      <c r="J19" s="16" t="s">
        <v>70</v>
      </c>
      <c r="K19" s="19" t="s">
        <v>44</v>
      </c>
    </row>
    <row r="20" customFormat="false" ht="15" hidden="false" customHeight="false" outlineLevel="0" collapsed="false">
      <c r="A20" s="16" t="n">
        <v>2</v>
      </c>
      <c r="B20" s="17" t="n">
        <f aca="false">Overview!$B$3+A20-1</f>
        <v>46460</v>
      </c>
      <c r="C20" s="18" t="n">
        <v>0.3125</v>
      </c>
      <c r="D20" s="18" t="n">
        <v>0.354166666666667</v>
      </c>
      <c r="E20" s="16" t="n">
        <f aca="false">ROUND((D20-C20)*1440,0)</f>
        <v>60</v>
      </c>
      <c r="F20" s="16" t="s">
        <v>71</v>
      </c>
      <c r="G20" s="16" t="s">
        <v>52</v>
      </c>
      <c r="H20" s="16"/>
      <c r="I20" s="16"/>
      <c r="J20" s="16" t="s">
        <v>71</v>
      </c>
      <c r="K20" s="19" t="s">
        <v>44</v>
      </c>
    </row>
    <row r="21" customFormat="false" ht="23.85" hidden="false" customHeight="false" outlineLevel="0" collapsed="false">
      <c r="A21" s="12" t="n">
        <v>2</v>
      </c>
      <c r="B21" s="13" t="n">
        <f aca="false">Overview!$B$3+A21-1</f>
        <v>46460</v>
      </c>
      <c r="C21" s="14" t="n">
        <v>0.354166666666667</v>
      </c>
      <c r="D21" s="14" t="n">
        <v>0.375</v>
      </c>
      <c r="E21" s="12" t="n">
        <f aca="false">ROUND((D21-C21)*1440,0)</f>
        <v>30</v>
      </c>
      <c r="F21" s="12" t="s">
        <v>49</v>
      </c>
      <c r="G21" s="12" t="s">
        <v>47</v>
      </c>
      <c r="H21" s="12"/>
      <c r="I21" s="12"/>
      <c r="J21" s="12" t="s">
        <v>72</v>
      </c>
      <c r="K21" s="15" t="s">
        <v>44</v>
      </c>
    </row>
    <row r="22" customFormat="false" ht="15" hidden="false" customHeight="false" outlineLevel="0" collapsed="false">
      <c r="A22" s="12" t="n">
        <v>2</v>
      </c>
      <c r="B22" s="13" t="n">
        <f aca="false">Overview!$B$3+A22-1</f>
        <v>46460</v>
      </c>
      <c r="C22" s="14" t="n">
        <v>0.375</v>
      </c>
      <c r="D22" s="14" t="n">
        <v>0.4375</v>
      </c>
      <c r="E22" s="12" t="n">
        <f aca="false">ROUND((D22-C22)*1440,0)</f>
        <v>90</v>
      </c>
      <c r="F22" s="12" t="s">
        <v>45</v>
      </c>
      <c r="G22" s="12" t="s">
        <v>47</v>
      </c>
      <c r="H22" s="12" t="s">
        <v>73</v>
      </c>
      <c r="I22" s="12" t="n">
        <v>50</v>
      </c>
      <c r="J22" s="12" t="s">
        <v>74</v>
      </c>
      <c r="K22" s="15" t="s">
        <v>44</v>
      </c>
    </row>
    <row r="23" customFormat="false" ht="15" hidden="false" customHeight="false" outlineLevel="0" collapsed="false">
      <c r="A23" s="12" t="n">
        <v>2</v>
      </c>
      <c r="B23" s="13" t="n">
        <f aca="false">Overview!$B$3+A23-1</f>
        <v>46460</v>
      </c>
      <c r="C23" s="14" t="n">
        <v>0.4375</v>
      </c>
      <c r="D23" s="14" t="n">
        <v>0.458333333333333</v>
      </c>
      <c r="E23" s="12" t="n">
        <f aca="false">ROUND((D23-C23)*1440,0)</f>
        <v>30</v>
      </c>
      <c r="F23" s="12" t="s">
        <v>75</v>
      </c>
      <c r="G23" s="12" t="s">
        <v>76</v>
      </c>
      <c r="H23" s="12"/>
      <c r="I23" s="12"/>
      <c r="J23" s="12" t="s">
        <v>77</v>
      </c>
      <c r="K23" s="15" t="s">
        <v>44</v>
      </c>
    </row>
    <row r="24" customFormat="false" ht="15" hidden="false" customHeight="false" outlineLevel="0" collapsed="false">
      <c r="A24" s="12" t="n">
        <v>2</v>
      </c>
      <c r="B24" s="13" t="n">
        <f aca="false">Overview!$B$3+A24-1</f>
        <v>46460</v>
      </c>
      <c r="C24" s="14" t="n">
        <v>0.458333333333333</v>
      </c>
      <c r="D24" s="14" t="n">
        <v>0.465277777777778</v>
      </c>
      <c r="E24" s="12" t="n">
        <f aca="false">ROUND((D24-C24)*1440,0)</f>
        <v>10</v>
      </c>
      <c r="F24" s="12" t="s">
        <v>45</v>
      </c>
      <c r="G24" s="12" t="s">
        <v>78</v>
      </c>
      <c r="H24" s="12" t="s">
        <v>79</v>
      </c>
      <c r="I24" s="12" t="n">
        <v>2</v>
      </c>
      <c r="J24" s="12" t="s">
        <v>80</v>
      </c>
      <c r="K24" s="15" t="s">
        <v>44</v>
      </c>
    </row>
    <row r="25" customFormat="false" ht="23.85" hidden="false" customHeight="false" outlineLevel="0" collapsed="false">
      <c r="A25" s="12" t="n">
        <v>2</v>
      </c>
      <c r="B25" s="13" t="n">
        <f aca="false">Overview!$B$3+A25-1</f>
        <v>46460</v>
      </c>
      <c r="C25" s="14" t="n">
        <v>0.465277777777778</v>
      </c>
      <c r="D25" s="14" t="n">
        <v>0.510416666666667</v>
      </c>
      <c r="E25" s="12" t="n">
        <f aca="false">ROUND((D25-C25)*1440,0)</f>
        <v>65</v>
      </c>
      <c r="F25" s="12" t="s">
        <v>81</v>
      </c>
      <c r="G25" s="12" t="s">
        <v>79</v>
      </c>
      <c r="H25" s="12"/>
      <c r="I25" s="12"/>
      <c r="J25" s="12" t="s">
        <v>82</v>
      </c>
      <c r="K25" s="15" t="s">
        <v>44</v>
      </c>
    </row>
    <row r="26" customFormat="false" ht="15" hidden="false" customHeight="false" outlineLevel="0" collapsed="false">
      <c r="A26" s="20" t="n">
        <v>2</v>
      </c>
      <c r="B26" s="21" t="n">
        <f aca="false">Overview!$B$3+A26-1</f>
        <v>46460</v>
      </c>
      <c r="C26" s="22" t="n">
        <v>0.510416666666667</v>
      </c>
      <c r="D26" s="22" t="n">
        <v>0.517361111111111</v>
      </c>
      <c r="E26" s="20" t="n">
        <f aca="false">ROUND((D26-C26)*1440,0)</f>
        <v>10</v>
      </c>
      <c r="F26" s="20" t="s">
        <v>83</v>
      </c>
      <c r="G26" s="20" t="s">
        <v>79</v>
      </c>
      <c r="H26" s="20" t="s">
        <v>84</v>
      </c>
      <c r="I26" s="20"/>
      <c r="J26" s="20" t="s">
        <v>85</v>
      </c>
      <c r="K26" s="23" t="s">
        <v>44</v>
      </c>
    </row>
    <row r="27" customFormat="false" ht="15" hidden="false" customHeight="false" outlineLevel="0" collapsed="false">
      <c r="A27" s="20" t="n">
        <v>2</v>
      </c>
      <c r="B27" s="21" t="n">
        <f aca="false">Overview!$B$3+A27-1</f>
        <v>46460</v>
      </c>
      <c r="C27" s="22" t="n">
        <v>0.517361111111111</v>
      </c>
      <c r="D27" s="22" t="n">
        <v>0.541666666666667</v>
      </c>
      <c r="E27" s="20" t="n">
        <f aca="false">ROUND((D27-C27)*1440,0)</f>
        <v>35</v>
      </c>
      <c r="F27" s="20" t="s">
        <v>86</v>
      </c>
      <c r="G27" s="20" t="s">
        <v>84</v>
      </c>
      <c r="H27" s="20" t="s">
        <v>17</v>
      </c>
      <c r="I27" s="20"/>
      <c r="J27" s="20" t="s">
        <v>87</v>
      </c>
      <c r="K27" s="23" t="s">
        <v>44</v>
      </c>
    </row>
    <row r="28" customFormat="false" ht="15" hidden="false" customHeight="false" outlineLevel="0" collapsed="false">
      <c r="A28" s="12" t="n">
        <v>2</v>
      </c>
      <c r="B28" s="13" t="n">
        <f aca="false">Overview!$B$3+A28-1</f>
        <v>46460</v>
      </c>
      <c r="C28" s="14" t="n">
        <v>0.541666666666667</v>
      </c>
      <c r="D28" s="14" t="n">
        <v>0.5625</v>
      </c>
      <c r="E28" s="12" t="n">
        <f aca="false">ROUND((D28-C28)*1440,0)</f>
        <v>30</v>
      </c>
      <c r="F28" s="12" t="s">
        <v>49</v>
      </c>
      <c r="G28" s="12" t="s">
        <v>17</v>
      </c>
      <c r="H28" s="12"/>
      <c r="I28" s="12"/>
      <c r="J28" s="12" t="s">
        <v>88</v>
      </c>
      <c r="K28" s="15" t="s">
        <v>44</v>
      </c>
    </row>
    <row r="29" customFormat="false" ht="15" hidden="false" customHeight="false" outlineLevel="0" collapsed="false">
      <c r="A29" s="16" t="n">
        <v>2</v>
      </c>
      <c r="B29" s="17" t="n">
        <f aca="false">Overview!$B$3+A29-1</f>
        <v>46460</v>
      </c>
      <c r="C29" s="18" t="n">
        <v>0.5625</v>
      </c>
      <c r="D29" s="18" t="n">
        <v>0.59375</v>
      </c>
      <c r="E29" s="16" t="n">
        <f aca="false">ROUND((D29-C29)*1440,0)</f>
        <v>45</v>
      </c>
      <c r="F29" s="16" t="s">
        <v>51</v>
      </c>
      <c r="G29" s="16" t="s">
        <v>89</v>
      </c>
      <c r="H29" s="16"/>
      <c r="I29" s="16"/>
      <c r="J29" s="16" t="s">
        <v>51</v>
      </c>
      <c r="K29" s="19" t="s">
        <v>44</v>
      </c>
    </row>
    <row r="30" customFormat="false" ht="15" hidden="false" customHeight="false" outlineLevel="0" collapsed="false">
      <c r="A30" s="12" t="n">
        <v>2</v>
      </c>
      <c r="B30" s="13" t="n">
        <f aca="false">Overview!$B$3+A30-1</f>
        <v>46460</v>
      </c>
      <c r="C30" s="14" t="n">
        <v>0.59375</v>
      </c>
      <c r="D30" s="14" t="n">
        <v>0.6875</v>
      </c>
      <c r="E30" s="12" t="n">
        <f aca="false">ROUND((D30-C30)*1440,0)</f>
        <v>135</v>
      </c>
      <c r="F30" s="12" t="s">
        <v>90</v>
      </c>
      <c r="G30" s="12" t="s">
        <v>17</v>
      </c>
      <c r="H30" s="12"/>
      <c r="I30" s="12"/>
      <c r="J30" s="12" t="s">
        <v>91</v>
      </c>
      <c r="K30" s="15" t="s">
        <v>44</v>
      </c>
    </row>
    <row r="31" customFormat="false" ht="15" hidden="false" customHeight="false" outlineLevel="0" collapsed="false">
      <c r="A31" s="12" t="n">
        <v>2</v>
      </c>
      <c r="B31" s="13" t="n">
        <f aca="false">Overview!$B$3+A31-1</f>
        <v>46460</v>
      </c>
      <c r="C31" s="14" t="n">
        <v>0.6875</v>
      </c>
      <c r="D31" s="14" t="n">
        <v>0.75</v>
      </c>
      <c r="E31" s="12" t="n">
        <f aca="false">ROUND((D31-C31)*1440,0)</f>
        <v>90</v>
      </c>
      <c r="F31" s="12" t="s">
        <v>55</v>
      </c>
      <c r="G31" s="12" t="s">
        <v>92</v>
      </c>
      <c r="H31" s="12"/>
      <c r="I31" s="12"/>
      <c r="J31" s="12" t="s">
        <v>93</v>
      </c>
      <c r="K31" s="15" t="s">
        <v>44</v>
      </c>
    </row>
    <row r="32" customFormat="false" ht="15" hidden="false" customHeight="false" outlineLevel="0" collapsed="false">
      <c r="A32" s="12" t="n">
        <v>2</v>
      </c>
      <c r="B32" s="13" t="n">
        <f aca="false">Overview!$B$3+A32-1</f>
        <v>46460</v>
      </c>
      <c r="C32" s="14" t="n">
        <v>0.75</v>
      </c>
      <c r="D32" s="14" t="n">
        <v>0.8125</v>
      </c>
      <c r="E32" s="12" t="n">
        <f aca="false">ROUND((D32-C32)*1440,0)</f>
        <v>90</v>
      </c>
      <c r="F32" s="12" t="s">
        <v>94</v>
      </c>
      <c r="G32" s="12" t="s">
        <v>17</v>
      </c>
      <c r="H32" s="12"/>
      <c r="I32" s="12"/>
      <c r="J32" s="12" t="s">
        <v>95</v>
      </c>
      <c r="K32" s="15" t="s">
        <v>44</v>
      </c>
    </row>
    <row r="33" customFormat="false" ht="15" hidden="false" customHeight="false" outlineLevel="0" collapsed="false">
      <c r="A33" s="16" t="n">
        <v>2</v>
      </c>
      <c r="B33" s="17" t="n">
        <f aca="false">Overview!$B$3+A33-1</f>
        <v>46460</v>
      </c>
      <c r="C33" s="18" t="n">
        <v>0.8125</v>
      </c>
      <c r="D33" s="18" t="n">
        <v>0.854166666666667</v>
      </c>
      <c r="E33" s="16" t="n">
        <f aca="false">ROUND((D33-C33)*1440,0)</f>
        <v>60</v>
      </c>
      <c r="F33" s="16" t="s">
        <v>70</v>
      </c>
      <c r="G33" s="16" t="s">
        <v>89</v>
      </c>
      <c r="H33" s="16"/>
      <c r="I33" s="16"/>
      <c r="J33" s="16" t="s">
        <v>70</v>
      </c>
      <c r="K33" s="19" t="s">
        <v>44</v>
      </c>
    </row>
    <row r="34" customFormat="false" ht="15" hidden="false" customHeight="false" outlineLevel="0" collapsed="false">
      <c r="A34" s="12" t="n">
        <v>3</v>
      </c>
      <c r="B34" s="13" t="n">
        <f aca="false">Overview!$B$3+A34-1</f>
        <v>46461</v>
      </c>
      <c r="C34" s="14" t="n">
        <v>0.1875</v>
      </c>
      <c r="D34" s="14" t="n">
        <v>0.229166666666667</v>
      </c>
      <c r="E34" s="12" t="n">
        <f aca="false">ROUND((D34-C34)*1440,0)</f>
        <v>60</v>
      </c>
      <c r="F34" s="12" t="s">
        <v>49</v>
      </c>
      <c r="G34" s="12" t="s">
        <v>17</v>
      </c>
      <c r="H34" s="12"/>
      <c r="I34" s="12"/>
      <c r="J34" s="12" t="s">
        <v>96</v>
      </c>
      <c r="K34" s="15" t="s">
        <v>44</v>
      </c>
    </row>
    <row r="35" customFormat="false" ht="15" hidden="false" customHeight="false" outlineLevel="0" collapsed="false">
      <c r="A35" s="12" t="n">
        <v>3</v>
      </c>
      <c r="B35" s="13" t="n">
        <f aca="false">Overview!$B$3+A35-1</f>
        <v>46461</v>
      </c>
      <c r="C35" s="14" t="n">
        <v>0.229166666666667</v>
      </c>
      <c r="D35" s="14" t="n">
        <v>0.291666666666667</v>
      </c>
      <c r="E35" s="12" t="n">
        <f aca="false">ROUND((D35-C35)*1440,0)</f>
        <v>90</v>
      </c>
      <c r="F35" s="12" t="s">
        <v>94</v>
      </c>
      <c r="G35" s="12" t="s">
        <v>17</v>
      </c>
      <c r="H35" s="12"/>
      <c r="I35" s="12"/>
      <c r="J35" s="12" t="s">
        <v>97</v>
      </c>
      <c r="K35" s="15" t="s">
        <v>44</v>
      </c>
    </row>
    <row r="36" customFormat="false" ht="15" hidden="false" customHeight="false" outlineLevel="0" collapsed="false">
      <c r="A36" s="12" t="n">
        <v>3</v>
      </c>
      <c r="B36" s="13" t="n">
        <f aca="false">Overview!$B$3+A36-1</f>
        <v>46461</v>
      </c>
      <c r="C36" s="14" t="n">
        <v>0.291666666666667</v>
      </c>
      <c r="D36" s="14" t="n">
        <v>0.3125</v>
      </c>
      <c r="E36" s="12" t="n">
        <f aca="false">ROUND((D36-C36)*1440,0)</f>
        <v>30</v>
      </c>
      <c r="F36" s="12" t="s">
        <v>90</v>
      </c>
      <c r="G36" s="12" t="s">
        <v>17</v>
      </c>
      <c r="H36" s="12"/>
      <c r="I36" s="12"/>
      <c r="J36" s="12" t="s">
        <v>98</v>
      </c>
      <c r="K36" s="15" t="s">
        <v>44</v>
      </c>
    </row>
    <row r="37" customFormat="false" ht="15" hidden="false" customHeight="false" outlineLevel="0" collapsed="false">
      <c r="A37" s="16" t="n">
        <v>3</v>
      </c>
      <c r="B37" s="17" t="n">
        <f aca="false">Overview!$B$3+A37-1</f>
        <v>46461</v>
      </c>
      <c r="C37" s="18" t="n">
        <v>0.3125</v>
      </c>
      <c r="D37" s="18" t="n">
        <v>0.354166666666667</v>
      </c>
      <c r="E37" s="16" t="n">
        <f aca="false">ROUND((D37-C37)*1440,0)</f>
        <v>60</v>
      </c>
      <c r="F37" s="16" t="s">
        <v>71</v>
      </c>
      <c r="G37" s="16" t="s">
        <v>89</v>
      </c>
      <c r="H37" s="16"/>
      <c r="I37" s="16"/>
      <c r="J37" s="16" t="s">
        <v>71</v>
      </c>
      <c r="K37" s="19" t="s">
        <v>44</v>
      </c>
    </row>
    <row r="38" customFormat="false" ht="15" hidden="false" customHeight="false" outlineLevel="0" collapsed="false">
      <c r="A38" s="12" t="n">
        <v>3</v>
      </c>
      <c r="B38" s="13" t="n">
        <f aca="false">Overview!$B$3+A38-1</f>
        <v>46461</v>
      </c>
      <c r="C38" s="14" t="n">
        <v>0.354166666666667</v>
      </c>
      <c r="D38" s="14" t="n">
        <v>0.375</v>
      </c>
      <c r="E38" s="12" t="n">
        <f aca="false">ROUND((D38-C38)*1440,0)</f>
        <v>30</v>
      </c>
      <c r="F38" s="12" t="s">
        <v>49</v>
      </c>
      <c r="G38" s="12" t="s">
        <v>17</v>
      </c>
      <c r="H38" s="12"/>
      <c r="I38" s="12"/>
      <c r="J38" s="12" t="s">
        <v>99</v>
      </c>
      <c r="K38" s="15" t="s">
        <v>44</v>
      </c>
    </row>
    <row r="39" customFormat="false" ht="15" hidden="false" customHeight="false" outlineLevel="0" collapsed="false">
      <c r="A39" s="12" t="n">
        <v>3</v>
      </c>
      <c r="B39" s="13" t="n">
        <f aca="false">Overview!$B$3+A39-1</f>
        <v>46461</v>
      </c>
      <c r="C39" s="14" t="n">
        <v>0.375</v>
      </c>
      <c r="D39" s="14" t="n">
        <v>0.385416666666667</v>
      </c>
      <c r="E39" s="12" t="n">
        <f aca="false">ROUND((D39-C39)*1440,0)</f>
        <v>15</v>
      </c>
      <c r="F39" s="12" t="s">
        <v>100</v>
      </c>
      <c r="G39" s="12" t="s">
        <v>17</v>
      </c>
      <c r="H39" s="12" t="s">
        <v>101</v>
      </c>
      <c r="I39" s="12"/>
      <c r="J39" s="12" t="s">
        <v>102</v>
      </c>
      <c r="K39" s="15" t="s">
        <v>44</v>
      </c>
    </row>
    <row r="40" customFormat="false" ht="15" hidden="false" customHeight="false" outlineLevel="0" collapsed="false">
      <c r="A40" s="20" t="n">
        <v>3</v>
      </c>
      <c r="B40" s="21" t="n">
        <f aca="false">Overview!$B$3+A40-1</f>
        <v>46461</v>
      </c>
      <c r="C40" s="22" t="n">
        <v>0.385416666666667</v>
      </c>
      <c r="D40" s="22" t="n">
        <v>0.399305555555556</v>
      </c>
      <c r="E40" s="20" t="n">
        <f aca="false">ROUND((D40-C40)*1440,0)</f>
        <v>20</v>
      </c>
      <c r="F40" s="20" t="s">
        <v>103</v>
      </c>
      <c r="G40" s="20" t="s">
        <v>101</v>
      </c>
      <c r="H40" s="20" t="s">
        <v>104</v>
      </c>
      <c r="I40" s="20"/>
      <c r="J40" s="20" t="s">
        <v>105</v>
      </c>
      <c r="K40" s="23" t="s">
        <v>44</v>
      </c>
    </row>
    <row r="41" customFormat="false" ht="15" hidden="false" customHeight="false" outlineLevel="0" collapsed="false">
      <c r="A41" s="12" t="n">
        <v>3</v>
      </c>
      <c r="B41" s="13" t="n">
        <f aca="false">Overview!$B$3+A41-1</f>
        <v>46461</v>
      </c>
      <c r="C41" s="14" t="n">
        <v>0.399305555555556</v>
      </c>
      <c r="D41" s="14" t="n">
        <v>0.427083333333333</v>
      </c>
      <c r="E41" s="12" t="n">
        <f aca="false">ROUND((D41-C41)*1440,0)</f>
        <v>40</v>
      </c>
      <c r="F41" s="12" t="s">
        <v>55</v>
      </c>
      <c r="G41" s="12" t="s">
        <v>106</v>
      </c>
      <c r="H41" s="12"/>
      <c r="I41" s="12"/>
      <c r="J41" s="12" t="s">
        <v>107</v>
      </c>
      <c r="K41" s="15" t="s">
        <v>44</v>
      </c>
    </row>
    <row r="42" customFormat="false" ht="15" hidden="false" customHeight="false" outlineLevel="0" collapsed="false">
      <c r="A42" s="12" t="n">
        <v>3</v>
      </c>
      <c r="B42" s="13" t="n">
        <f aca="false">Overview!$B$3+A42-1</f>
        <v>46461</v>
      </c>
      <c r="C42" s="14" t="n">
        <v>0.427083333333333</v>
      </c>
      <c r="D42" s="14" t="n">
        <v>0.46875</v>
      </c>
      <c r="E42" s="12" t="n">
        <f aca="false">ROUND((D42-C42)*1440,0)</f>
        <v>60</v>
      </c>
      <c r="F42" s="12" t="s">
        <v>100</v>
      </c>
      <c r="G42" s="12" t="s">
        <v>108</v>
      </c>
      <c r="H42" s="12" t="s">
        <v>84</v>
      </c>
      <c r="I42" s="12"/>
      <c r="J42" s="12" t="s">
        <v>109</v>
      </c>
      <c r="K42" s="15" t="s">
        <v>44</v>
      </c>
    </row>
    <row r="43" customFormat="false" ht="15" hidden="false" customHeight="false" outlineLevel="0" collapsed="false">
      <c r="A43" s="12" t="n">
        <v>3</v>
      </c>
      <c r="B43" s="13" t="n">
        <f aca="false">Overview!$B$3+A43-1</f>
        <v>46461</v>
      </c>
      <c r="C43" s="14" t="n">
        <v>0.46875</v>
      </c>
      <c r="D43" s="14" t="n">
        <v>0.510416666666667</v>
      </c>
      <c r="E43" s="12" t="n">
        <f aca="false">ROUND((D43-C43)*1440,0)</f>
        <v>60</v>
      </c>
      <c r="F43" s="12" t="s">
        <v>81</v>
      </c>
      <c r="G43" s="12" t="s">
        <v>84</v>
      </c>
      <c r="H43" s="12"/>
      <c r="I43" s="12"/>
      <c r="J43" s="12" t="s">
        <v>110</v>
      </c>
      <c r="K43" s="15" t="s">
        <v>44</v>
      </c>
    </row>
    <row r="44" customFormat="false" ht="15" hidden="false" customHeight="false" outlineLevel="0" collapsed="false">
      <c r="A44" s="20" t="n">
        <v>3</v>
      </c>
      <c r="B44" s="21" t="n">
        <f aca="false">Overview!$B$3+A44-1</f>
        <v>46461</v>
      </c>
      <c r="C44" s="22" t="n">
        <v>0.510416666666667</v>
      </c>
      <c r="D44" s="22" t="n">
        <v>0.517361111111111</v>
      </c>
      <c r="E44" s="20" t="n">
        <f aca="false">ROUND((D44-C44)*1440,0)</f>
        <v>10</v>
      </c>
      <c r="F44" s="20" t="s">
        <v>83</v>
      </c>
      <c r="G44" s="20" t="s">
        <v>84</v>
      </c>
      <c r="H44" s="20" t="s">
        <v>79</v>
      </c>
      <c r="I44" s="20"/>
      <c r="J44" s="20" t="s">
        <v>111</v>
      </c>
      <c r="K44" s="23" t="s">
        <v>44</v>
      </c>
    </row>
    <row r="45" customFormat="false" ht="15" hidden="false" customHeight="false" outlineLevel="0" collapsed="false">
      <c r="A45" s="12" t="n">
        <v>3</v>
      </c>
      <c r="B45" s="13" t="n">
        <f aca="false">Overview!$B$3+A45-1</f>
        <v>46461</v>
      </c>
      <c r="C45" s="14" t="n">
        <v>0.517361111111111</v>
      </c>
      <c r="D45" s="14" t="n">
        <v>0.527777777777778</v>
      </c>
      <c r="E45" s="12" t="n">
        <f aca="false">ROUND((D45-C45)*1440,0)</f>
        <v>15</v>
      </c>
      <c r="F45" s="12" t="s">
        <v>45</v>
      </c>
      <c r="G45" s="12" t="s">
        <v>79</v>
      </c>
      <c r="H45" s="12" t="s">
        <v>112</v>
      </c>
      <c r="I45" s="12" t="n">
        <v>2</v>
      </c>
      <c r="J45" s="12" t="s">
        <v>113</v>
      </c>
      <c r="K45" s="15" t="s">
        <v>44</v>
      </c>
    </row>
    <row r="46" customFormat="false" ht="15" hidden="false" customHeight="false" outlineLevel="0" collapsed="false">
      <c r="A46" s="16" t="n">
        <v>3</v>
      </c>
      <c r="B46" s="17" t="n">
        <f aca="false">Overview!$B$3+A46-1</f>
        <v>46461</v>
      </c>
      <c r="C46" s="18" t="n">
        <v>0.527777777777778</v>
      </c>
      <c r="D46" s="18" t="n">
        <v>0.5625</v>
      </c>
      <c r="E46" s="16" t="n">
        <f aca="false">ROUND((D46-C46)*1440,0)</f>
        <v>50</v>
      </c>
      <c r="F46" s="16" t="s">
        <v>51</v>
      </c>
      <c r="G46" s="16" t="s">
        <v>112</v>
      </c>
      <c r="H46" s="16"/>
      <c r="I46" s="16"/>
      <c r="J46" s="16" t="s">
        <v>51</v>
      </c>
      <c r="K46" s="19" t="s">
        <v>44</v>
      </c>
    </row>
    <row r="47" customFormat="false" ht="15" hidden="false" customHeight="false" outlineLevel="0" collapsed="false">
      <c r="A47" s="12" t="n">
        <v>3</v>
      </c>
      <c r="B47" s="13" t="n">
        <f aca="false">Overview!$B$3+A47-1</f>
        <v>46461</v>
      </c>
      <c r="C47" s="14" t="n">
        <v>0.5625</v>
      </c>
      <c r="D47" s="14" t="n">
        <v>0.572916666666667</v>
      </c>
      <c r="E47" s="12" t="n">
        <f aca="false">ROUND((D47-C47)*1440,0)</f>
        <v>15</v>
      </c>
      <c r="F47" s="12" t="s">
        <v>45</v>
      </c>
      <c r="G47" s="12" t="s">
        <v>73</v>
      </c>
      <c r="H47" s="12" t="s">
        <v>114</v>
      </c>
      <c r="I47" s="12" t="n">
        <v>3</v>
      </c>
      <c r="J47" s="12" t="s">
        <v>115</v>
      </c>
      <c r="K47" s="15" t="s">
        <v>44</v>
      </c>
    </row>
    <row r="48" customFormat="false" ht="23.85" hidden="false" customHeight="false" outlineLevel="0" collapsed="false">
      <c r="A48" s="12" t="n">
        <v>3</v>
      </c>
      <c r="B48" s="13" t="n">
        <f aca="false">Overview!$B$3+A48-1</f>
        <v>46461</v>
      </c>
      <c r="C48" s="14" t="n">
        <v>0.572916666666667</v>
      </c>
      <c r="D48" s="14" t="n">
        <v>0.604166666666667</v>
      </c>
      <c r="E48" s="12" t="n">
        <f aca="false">ROUND((D48-C48)*1440,0)</f>
        <v>45</v>
      </c>
      <c r="F48" s="12" t="s">
        <v>55</v>
      </c>
      <c r="G48" s="12" t="s">
        <v>114</v>
      </c>
      <c r="H48" s="12"/>
      <c r="I48" s="12"/>
      <c r="J48" s="12" t="s">
        <v>116</v>
      </c>
      <c r="K48" s="15" t="s">
        <v>44</v>
      </c>
    </row>
    <row r="49" customFormat="false" ht="15" hidden="false" customHeight="false" outlineLevel="0" collapsed="false">
      <c r="A49" s="12" t="n">
        <v>3</v>
      </c>
      <c r="B49" s="13" t="n">
        <f aca="false">Overview!$B$3+A49-1</f>
        <v>46461</v>
      </c>
      <c r="C49" s="14" t="n">
        <v>0.604166666666667</v>
      </c>
      <c r="D49" s="14" t="n">
        <v>0.611111111111111</v>
      </c>
      <c r="E49" s="12" t="n">
        <f aca="false">ROUND((D49-C49)*1440,0)</f>
        <v>10</v>
      </c>
      <c r="F49" s="12" t="s">
        <v>45</v>
      </c>
      <c r="G49" s="12" t="s">
        <v>114</v>
      </c>
      <c r="H49" s="12" t="s">
        <v>117</v>
      </c>
      <c r="I49" s="12" t="n">
        <v>1</v>
      </c>
      <c r="J49" s="12" t="s">
        <v>58</v>
      </c>
      <c r="K49" s="15" t="s">
        <v>44</v>
      </c>
    </row>
    <row r="50" customFormat="false" ht="15" hidden="false" customHeight="false" outlineLevel="0" collapsed="false">
      <c r="A50" s="12" t="n">
        <v>3</v>
      </c>
      <c r="B50" s="13" t="n">
        <f aca="false">Overview!$B$3+A50-1</f>
        <v>46461</v>
      </c>
      <c r="C50" s="14" t="n">
        <v>0.611111111111111</v>
      </c>
      <c r="D50" s="14" t="n">
        <v>0.631944444444444</v>
      </c>
      <c r="E50" s="12" t="n">
        <f aca="false">ROUND((D50-C50)*1440,0)</f>
        <v>30</v>
      </c>
      <c r="F50" s="12" t="s">
        <v>55</v>
      </c>
      <c r="G50" s="12" t="s">
        <v>117</v>
      </c>
      <c r="H50" s="12"/>
      <c r="I50" s="12"/>
      <c r="J50" s="12" t="s">
        <v>118</v>
      </c>
      <c r="K50" s="15" t="s">
        <v>44</v>
      </c>
    </row>
    <row r="51" customFormat="false" ht="15" hidden="false" customHeight="false" outlineLevel="0" collapsed="false">
      <c r="A51" s="12" t="n">
        <v>3</v>
      </c>
      <c r="B51" s="13" t="n">
        <f aca="false">Overview!$B$3+A51-1</f>
        <v>46461</v>
      </c>
      <c r="C51" s="14" t="n">
        <v>0.631944444444444</v>
      </c>
      <c r="D51" s="14" t="n">
        <v>0.642361111111111</v>
      </c>
      <c r="E51" s="12" t="n">
        <f aca="false">ROUND((D51-C51)*1440,0)</f>
        <v>15</v>
      </c>
      <c r="F51" s="12" t="s">
        <v>45</v>
      </c>
      <c r="G51" s="12" t="s">
        <v>117</v>
      </c>
      <c r="H51" s="12" t="s">
        <v>119</v>
      </c>
      <c r="I51" s="12" t="n">
        <v>2</v>
      </c>
      <c r="J51" s="12" t="s">
        <v>120</v>
      </c>
      <c r="K51" s="15" t="s">
        <v>44</v>
      </c>
    </row>
    <row r="52" customFormat="false" ht="15" hidden="false" customHeight="false" outlineLevel="0" collapsed="false">
      <c r="A52" s="12" t="n">
        <v>3</v>
      </c>
      <c r="B52" s="13" t="n">
        <f aca="false">Overview!$B$3+A52-1</f>
        <v>46461</v>
      </c>
      <c r="C52" s="14" t="n">
        <v>0.642361111111111</v>
      </c>
      <c r="D52" s="14" t="n">
        <v>0.6875</v>
      </c>
      <c r="E52" s="12" t="n">
        <f aca="false">ROUND((D52-C52)*1440,0)</f>
        <v>65</v>
      </c>
      <c r="F52" s="12" t="s">
        <v>121</v>
      </c>
      <c r="G52" s="12" t="s">
        <v>119</v>
      </c>
      <c r="H52" s="12"/>
      <c r="I52" s="12"/>
      <c r="J52" s="12" t="s">
        <v>122</v>
      </c>
      <c r="K52" s="15" t="s">
        <v>44</v>
      </c>
    </row>
    <row r="53" customFormat="false" ht="15" hidden="false" customHeight="false" outlineLevel="0" collapsed="false">
      <c r="A53" s="12" t="n">
        <v>3</v>
      </c>
      <c r="B53" s="13" t="n">
        <f aca="false">Overview!$B$3+A53-1</f>
        <v>46461</v>
      </c>
      <c r="C53" s="14" t="n">
        <v>0.6875</v>
      </c>
      <c r="D53" s="14" t="n">
        <v>0.75</v>
      </c>
      <c r="E53" s="12" t="n">
        <f aca="false">ROUND((D53-C53)*1440,0)</f>
        <v>90</v>
      </c>
      <c r="F53" s="12" t="s">
        <v>45</v>
      </c>
      <c r="G53" s="12" t="s">
        <v>73</v>
      </c>
      <c r="H53" s="12" t="s">
        <v>47</v>
      </c>
      <c r="I53" s="12" t="n">
        <v>50</v>
      </c>
      <c r="J53" s="12" t="s">
        <v>123</v>
      </c>
      <c r="K53" s="15" t="s">
        <v>44</v>
      </c>
    </row>
    <row r="54" customFormat="false" ht="15" hidden="false" customHeight="false" outlineLevel="0" collapsed="false">
      <c r="A54" s="12" t="n">
        <v>3</v>
      </c>
      <c r="B54" s="13" t="n">
        <f aca="false">Overview!$B$3+A54-1</f>
        <v>46461</v>
      </c>
      <c r="C54" s="14" t="n">
        <v>0.75</v>
      </c>
      <c r="D54" s="14" t="n">
        <v>0.770833333333333</v>
      </c>
      <c r="E54" s="12" t="n">
        <f aca="false">ROUND((D54-C54)*1440,0)</f>
        <v>30</v>
      </c>
      <c r="F54" s="12" t="s">
        <v>49</v>
      </c>
      <c r="G54" s="12" t="s">
        <v>47</v>
      </c>
      <c r="H54" s="12"/>
      <c r="I54" s="12"/>
      <c r="J54" s="12" t="s">
        <v>124</v>
      </c>
      <c r="K54" s="15" t="s">
        <v>44</v>
      </c>
    </row>
    <row r="55" customFormat="false" ht="15" hidden="false" customHeight="false" outlineLevel="0" collapsed="false">
      <c r="A55" s="12" t="n">
        <v>3</v>
      </c>
      <c r="B55" s="13" t="n">
        <f aca="false">Overview!$B$3+A55-1</f>
        <v>46461</v>
      </c>
      <c r="C55" s="14" t="n">
        <v>0.770833333333333</v>
      </c>
      <c r="D55" s="14" t="n">
        <v>0.833333333333333</v>
      </c>
      <c r="E55" s="12" t="n">
        <f aca="false">ROUND((D55-C55)*1440,0)</f>
        <v>90</v>
      </c>
      <c r="F55" s="12" t="s">
        <v>90</v>
      </c>
      <c r="G55" s="12" t="s">
        <v>47</v>
      </c>
      <c r="H55" s="12"/>
      <c r="I55" s="12"/>
      <c r="J55" s="12" t="s">
        <v>125</v>
      </c>
      <c r="K55" s="15" t="s">
        <v>44</v>
      </c>
    </row>
    <row r="56" customFormat="false" ht="15" hidden="false" customHeight="false" outlineLevel="0" collapsed="false">
      <c r="A56" s="16" t="n">
        <v>3</v>
      </c>
      <c r="B56" s="17" t="n">
        <f aca="false">Overview!$B$3+A56-1</f>
        <v>46461</v>
      </c>
      <c r="C56" s="18" t="n">
        <v>0.833333333333333</v>
      </c>
      <c r="D56" s="18" t="n">
        <v>0.875</v>
      </c>
      <c r="E56" s="16" t="n">
        <f aca="false">ROUND((D56-C56)*1440,0)</f>
        <v>60</v>
      </c>
      <c r="F56" s="16" t="s">
        <v>70</v>
      </c>
      <c r="G56" s="16" t="s">
        <v>52</v>
      </c>
      <c r="H56" s="16"/>
      <c r="I56" s="16"/>
      <c r="J56" s="16" t="s">
        <v>70</v>
      </c>
      <c r="K56" s="19" t="s">
        <v>44</v>
      </c>
    </row>
    <row r="57" customFormat="false" ht="15" hidden="false" customHeight="false" outlineLevel="0" collapsed="false">
      <c r="A57" s="16" t="n">
        <v>4</v>
      </c>
      <c r="B57" s="17" t="n">
        <f aca="false">Overview!$B$3+A57-1</f>
        <v>46462</v>
      </c>
      <c r="C57" s="18" t="n">
        <v>0.3125</v>
      </c>
      <c r="D57" s="18" t="n">
        <v>0.354166666666667</v>
      </c>
      <c r="E57" s="16" t="n">
        <f aca="false">ROUND((D57-C57)*1440,0)</f>
        <v>60</v>
      </c>
      <c r="F57" s="16" t="s">
        <v>71</v>
      </c>
      <c r="G57" s="16" t="s">
        <v>52</v>
      </c>
      <c r="H57" s="16"/>
      <c r="I57" s="16"/>
      <c r="J57" s="16" t="s">
        <v>71</v>
      </c>
      <c r="K57" s="19" t="s">
        <v>44</v>
      </c>
    </row>
    <row r="58" customFormat="false" ht="15" hidden="false" customHeight="false" outlineLevel="0" collapsed="false">
      <c r="A58" s="12" t="n">
        <v>4</v>
      </c>
      <c r="B58" s="13" t="n">
        <f aca="false">Overview!$B$3+A58-1</f>
        <v>46462</v>
      </c>
      <c r="C58" s="14" t="n">
        <v>0.354166666666667</v>
      </c>
      <c r="D58" s="14" t="n">
        <v>0.375</v>
      </c>
      <c r="E58" s="12" t="n">
        <f aca="false">ROUND((D58-C58)*1440,0)</f>
        <v>30</v>
      </c>
      <c r="F58" s="12" t="s">
        <v>49</v>
      </c>
      <c r="G58" s="12" t="s">
        <v>47</v>
      </c>
      <c r="H58" s="12"/>
      <c r="I58" s="12"/>
      <c r="J58" s="12" t="s">
        <v>126</v>
      </c>
      <c r="K58" s="15" t="s">
        <v>44</v>
      </c>
    </row>
    <row r="59" customFormat="false" ht="15" hidden="false" customHeight="false" outlineLevel="0" collapsed="false">
      <c r="A59" s="12" t="n">
        <v>4</v>
      </c>
      <c r="B59" s="13" t="n">
        <f aca="false">Overview!$B$3+A59-1</f>
        <v>46462</v>
      </c>
      <c r="C59" s="14" t="n">
        <v>0.375</v>
      </c>
      <c r="D59" s="14" t="n">
        <v>0.388888888888889</v>
      </c>
      <c r="E59" s="12" t="n">
        <f aca="false">ROUND((D59-C59)*1440,0)</f>
        <v>20</v>
      </c>
      <c r="F59" s="12" t="s">
        <v>45</v>
      </c>
      <c r="G59" s="12" t="s">
        <v>47</v>
      </c>
      <c r="H59" s="12" t="s">
        <v>46</v>
      </c>
      <c r="I59" s="12" t="n">
        <v>7</v>
      </c>
      <c r="J59" s="12" t="s">
        <v>127</v>
      </c>
      <c r="K59" s="15" t="s">
        <v>44</v>
      </c>
    </row>
    <row r="60" customFormat="false" ht="15" hidden="false" customHeight="false" outlineLevel="0" collapsed="false">
      <c r="A60" s="12" t="n">
        <v>4</v>
      </c>
      <c r="B60" s="13" t="n">
        <f aca="false">Overview!$B$3+A60-1</f>
        <v>46462</v>
      </c>
      <c r="C60" s="14" t="n">
        <v>0.388888888888889</v>
      </c>
      <c r="D60" s="14" t="n">
        <v>0.40625</v>
      </c>
      <c r="E60" s="12" t="n">
        <f aca="false">ROUND((D60-C60)*1440,0)</f>
        <v>25</v>
      </c>
      <c r="F60" s="12" t="s">
        <v>128</v>
      </c>
      <c r="G60" s="12" t="s">
        <v>46</v>
      </c>
      <c r="H60" s="12"/>
      <c r="I60" s="12"/>
      <c r="J60" s="12" t="s">
        <v>129</v>
      </c>
      <c r="K60" s="15" t="s">
        <v>44</v>
      </c>
    </row>
    <row r="62" customFormat="false" ht="15" hidden="false" customHeight="false" outlineLevel="0" collapsed="false">
      <c r="A62" s="5" t="s">
        <v>130</v>
      </c>
    </row>
  </sheetData>
  <autoFilter ref="A4:K60"/>
  <hyperlinks>
    <hyperlink ref="K5" r:id="rId1" display="Open map"/>
    <hyperlink ref="K6" r:id="rId2" display="Open map"/>
    <hyperlink ref="K7" r:id="rId3" display="Open map"/>
    <hyperlink ref="K8" r:id="rId4" display="Open map"/>
    <hyperlink ref="K9" r:id="rId5" display="Open map"/>
    <hyperlink ref="K10" r:id="rId6" display="Open map"/>
    <hyperlink ref="K11" r:id="rId7" display="Open map"/>
    <hyperlink ref="K12" r:id="rId8" display="Open map"/>
    <hyperlink ref="K13" r:id="rId9" display="Open map"/>
    <hyperlink ref="K14" r:id="rId10" display="Open map"/>
    <hyperlink ref="K15" r:id="rId11" display="Open map"/>
    <hyperlink ref="K16" r:id="rId12" display="Open map"/>
    <hyperlink ref="K17" r:id="rId13" display="Open map"/>
    <hyperlink ref="K18" r:id="rId14" display="Open map"/>
    <hyperlink ref="K19" r:id="rId15" display="Open map"/>
    <hyperlink ref="K20" r:id="rId16" display="Open map"/>
    <hyperlink ref="K21" r:id="rId17" display="Open map"/>
    <hyperlink ref="K22" r:id="rId18" display="Open map"/>
    <hyperlink ref="K23" r:id="rId19" display="Open map"/>
    <hyperlink ref="K24" r:id="rId20" display="Open map"/>
    <hyperlink ref="K25" r:id="rId21" display="Open map"/>
    <hyperlink ref="K26" r:id="rId22" display="Open map"/>
    <hyperlink ref="K27" r:id="rId23" display="Open map"/>
    <hyperlink ref="K28" r:id="rId24" display="Open map"/>
    <hyperlink ref="K29" r:id="rId25" display="Open map"/>
    <hyperlink ref="K30" r:id="rId26" display="Open map"/>
    <hyperlink ref="K31" r:id="rId27" display="Open map"/>
    <hyperlink ref="K32" r:id="rId28" display="Open map"/>
    <hyperlink ref="K33" r:id="rId29" display="Open map"/>
    <hyperlink ref="K34" r:id="rId30" display="Open map"/>
    <hyperlink ref="K35" r:id="rId31" display="Open map"/>
    <hyperlink ref="K36" r:id="rId32" display="Open map"/>
    <hyperlink ref="K37" r:id="rId33" display="Open map"/>
    <hyperlink ref="K38" r:id="rId34" display="Open map"/>
    <hyperlink ref="K39" r:id="rId35" display="Open map"/>
    <hyperlink ref="K40" r:id="rId36" display="Open map"/>
    <hyperlink ref="K41" r:id="rId37" display="Open map"/>
    <hyperlink ref="K42" r:id="rId38" display="Open map"/>
    <hyperlink ref="K43" r:id="rId39" display="Open map"/>
    <hyperlink ref="K44" r:id="rId40" display="Open map"/>
    <hyperlink ref="K45" r:id="rId41" display="Open map"/>
    <hyperlink ref="K46" r:id="rId42" display="Open map"/>
    <hyperlink ref="K47" r:id="rId43" display="Open map"/>
    <hyperlink ref="K48" r:id="rId44" display="Open map"/>
    <hyperlink ref="K49" r:id="rId45" display="Open map"/>
    <hyperlink ref="K50" r:id="rId46" display="Open map"/>
    <hyperlink ref="K51" r:id="rId47" display="Open map"/>
    <hyperlink ref="K52" r:id="rId48" display="Open map"/>
    <hyperlink ref="K53" r:id="rId49" display="Open map"/>
    <hyperlink ref="K54" r:id="rId50" display="Open map"/>
    <hyperlink ref="K55" r:id="rId51" display="Open map"/>
    <hyperlink ref="K56" r:id="rId52" display="Open map"/>
    <hyperlink ref="K57" r:id="rId53" display="Open map"/>
    <hyperlink ref="K58" r:id="rId54" display="Open map"/>
    <hyperlink ref="K59" r:id="rId55" display="Open map"/>
    <hyperlink ref="K60" r:id="rId56" display="Open map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5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0"/>
    <col collapsed="false" customWidth="true" hidden="false" outlineLevel="0" max="3" min="3" style="0" width="13"/>
    <col collapsed="false" customWidth="true" hidden="false" outlineLevel="0" max="4" min="4" style="0" width="50"/>
  </cols>
  <sheetData>
    <row r="1" customFormat="false" ht="17.35" hidden="false" customHeight="false" outlineLevel="0" collapsed="false">
      <c r="A1" s="1" t="s">
        <v>131</v>
      </c>
    </row>
    <row r="3" customFormat="false" ht="15" hidden="false" customHeight="false" outlineLevel="0" collapsed="false">
      <c r="A3" s="11" t="s">
        <v>5</v>
      </c>
      <c r="B3" s="11" t="s">
        <v>132</v>
      </c>
      <c r="C3" s="11" t="s">
        <v>133</v>
      </c>
      <c r="D3" s="11" t="s">
        <v>134</v>
      </c>
    </row>
    <row r="4" customFormat="false" ht="15" hidden="false" customHeight="false" outlineLevel="0" collapsed="false">
      <c r="A4" s="12" t="n">
        <v>1</v>
      </c>
      <c r="B4" s="12" t="s">
        <v>51</v>
      </c>
      <c r="C4" s="12" t="s">
        <v>135</v>
      </c>
      <c r="D4" s="12" t="s">
        <v>52</v>
      </c>
    </row>
    <row r="5" customFormat="false" ht="15" hidden="false" customHeight="false" outlineLevel="0" collapsed="false">
      <c r="A5" s="12" t="n">
        <v>1</v>
      </c>
      <c r="B5" s="12" t="s">
        <v>70</v>
      </c>
      <c r="C5" s="12" t="s">
        <v>136</v>
      </c>
      <c r="D5" s="12" t="s">
        <v>52</v>
      </c>
    </row>
    <row r="6" customFormat="false" ht="15" hidden="false" customHeight="false" outlineLevel="0" collapsed="false">
      <c r="A6" s="12" t="n">
        <v>2</v>
      </c>
      <c r="B6" s="12" t="s">
        <v>71</v>
      </c>
      <c r="C6" s="12" t="s">
        <v>137</v>
      </c>
      <c r="D6" s="12" t="s">
        <v>52</v>
      </c>
    </row>
    <row r="7" customFormat="false" ht="15" hidden="false" customHeight="false" outlineLevel="0" collapsed="false">
      <c r="A7" s="12" t="n">
        <v>2</v>
      </c>
      <c r="B7" s="12" t="s">
        <v>51</v>
      </c>
      <c r="C7" s="12" t="s">
        <v>138</v>
      </c>
      <c r="D7" s="12" t="s">
        <v>89</v>
      </c>
    </row>
    <row r="8" customFormat="false" ht="15" hidden="false" customHeight="false" outlineLevel="0" collapsed="false">
      <c r="A8" s="12" t="n">
        <v>2</v>
      </c>
      <c r="B8" s="12" t="s">
        <v>70</v>
      </c>
      <c r="C8" s="12" t="s">
        <v>139</v>
      </c>
      <c r="D8" s="12" t="s">
        <v>89</v>
      </c>
    </row>
    <row r="9" customFormat="false" ht="15" hidden="false" customHeight="false" outlineLevel="0" collapsed="false">
      <c r="A9" s="12" t="n">
        <v>3</v>
      </c>
      <c r="B9" s="12" t="s">
        <v>71</v>
      </c>
      <c r="C9" s="12" t="s">
        <v>137</v>
      </c>
      <c r="D9" s="12" t="s">
        <v>89</v>
      </c>
    </row>
    <row r="10" customFormat="false" ht="15" hidden="false" customHeight="false" outlineLevel="0" collapsed="false">
      <c r="A10" s="12" t="n">
        <v>3</v>
      </c>
      <c r="B10" s="12" t="s">
        <v>51</v>
      </c>
      <c r="C10" s="12" t="s">
        <v>140</v>
      </c>
      <c r="D10" s="12" t="s">
        <v>112</v>
      </c>
    </row>
    <row r="11" customFormat="false" ht="15" hidden="false" customHeight="false" outlineLevel="0" collapsed="false">
      <c r="A11" s="12" t="n">
        <v>3</v>
      </c>
      <c r="B11" s="12" t="s">
        <v>70</v>
      </c>
      <c r="C11" s="12" t="s">
        <v>141</v>
      </c>
      <c r="D11" s="12" t="s">
        <v>52</v>
      </c>
    </row>
    <row r="12" customFormat="false" ht="15" hidden="false" customHeight="false" outlineLevel="0" collapsed="false">
      <c r="A12" s="12" t="n">
        <v>4</v>
      </c>
      <c r="B12" s="12" t="s">
        <v>71</v>
      </c>
      <c r="C12" s="12" t="s">
        <v>137</v>
      </c>
      <c r="D12" s="12" t="s">
        <v>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2" style="0" width="55"/>
  </cols>
  <sheetData>
    <row r="1" customFormat="false" ht="15" hidden="false" customHeight="false" outlineLevel="0" collapsed="false">
      <c r="A1" s="11" t="s">
        <v>142</v>
      </c>
      <c r="B1" s="11" t="s">
        <v>143</v>
      </c>
      <c r="C1" s="11" t="s">
        <v>144</v>
      </c>
    </row>
    <row r="2" customFormat="false" ht="15" hidden="false" customHeight="false" outlineLevel="0" collapsed="false">
      <c r="A2" s="12" t="s">
        <v>83</v>
      </c>
      <c r="B2" s="12" t="s">
        <v>145</v>
      </c>
      <c r="C2" s="12" t="s">
        <v>146</v>
      </c>
    </row>
    <row r="3" customFormat="false" ht="23.85" hidden="false" customHeight="false" outlineLevel="0" collapsed="false">
      <c r="A3" s="12" t="s">
        <v>147</v>
      </c>
      <c r="B3" s="12" t="s">
        <v>148</v>
      </c>
      <c r="C3" s="12" t="s">
        <v>149</v>
      </c>
    </row>
    <row r="4" customFormat="false" ht="15" hidden="false" customHeight="false" outlineLevel="0" collapsed="false">
      <c r="A4" s="12" t="s">
        <v>150</v>
      </c>
      <c r="B4" s="12" t="s">
        <v>151</v>
      </c>
      <c r="C4" s="12" t="s">
        <v>152</v>
      </c>
    </row>
    <row r="5" customFormat="false" ht="23.85" hidden="false" customHeight="false" outlineLevel="0" collapsed="false">
      <c r="A5" s="12" t="s">
        <v>153</v>
      </c>
      <c r="B5" s="12" t="s">
        <v>154</v>
      </c>
      <c r="C5" s="12" t="s">
        <v>155</v>
      </c>
    </row>
    <row r="6" customFormat="false" ht="15" hidden="false" customHeight="false" outlineLevel="0" collapsed="false">
      <c r="A6" s="12" t="s">
        <v>156</v>
      </c>
      <c r="B6" s="12" t="s">
        <v>157</v>
      </c>
      <c r="C6" s="12" t="s">
        <v>158</v>
      </c>
    </row>
    <row r="7" customFormat="false" ht="15" hidden="false" customHeight="false" outlineLevel="0" collapsed="false">
      <c r="A7" s="12" t="s">
        <v>159</v>
      </c>
      <c r="B7" s="12" t="s">
        <v>160</v>
      </c>
      <c r="C7" s="12" t="s">
        <v>161</v>
      </c>
    </row>
    <row r="8" customFormat="false" ht="23.85" hidden="false" customHeight="false" outlineLevel="0" collapsed="false">
      <c r="A8" s="12" t="s">
        <v>162</v>
      </c>
      <c r="B8" s="12" t="s">
        <v>163</v>
      </c>
      <c r="C8" s="12" t="s">
        <v>164</v>
      </c>
    </row>
    <row r="9" customFormat="false" ht="15" hidden="false" customHeight="false" outlineLevel="0" collapsed="false">
      <c r="A9" s="12" t="s">
        <v>165</v>
      </c>
      <c r="B9" s="12" t="s">
        <v>166</v>
      </c>
      <c r="C9" s="12" t="s">
        <v>167</v>
      </c>
    </row>
    <row r="10" customFormat="false" ht="15" hidden="false" customHeight="false" outlineLevel="0" collapsed="false">
      <c r="A10" s="12" t="s">
        <v>168</v>
      </c>
      <c r="B10" s="12" t="s">
        <v>169</v>
      </c>
      <c r="C10" s="12" t="s">
        <v>170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8"/>
    <col collapsed="false" customWidth="true" hidden="false" outlineLevel="0" max="3" min="3" style="0" width="40"/>
    <col collapsed="false" customWidth="true" hidden="false" outlineLevel="0" max="4" min="4" style="0" width="50"/>
  </cols>
  <sheetData>
    <row r="1" customFormat="false" ht="15" hidden="false" customHeight="false" outlineLevel="0" collapsed="false">
      <c r="A1" s="11" t="s">
        <v>171</v>
      </c>
      <c r="B1" s="11" t="s">
        <v>172</v>
      </c>
      <c r="C1" s="11" t="s">
        <v>173</v>
      </c>
      <c r="D1" s="11" t="s">
        <v>174</v>
      </c>
    </row>
    <row r="2" customFormat="false" ht="23.85" hidden="false" customHeight="false" outlineLevel="0" collapsed="false">
      <c r="A2" s="12" t="s">
        <v>175</v>
      </c>
      <c r="B2" s="12" t="s">
        <v>176</v>
      </c>
      <c r="C2" s="12" t="s">
        <v>177</v>
      </c>
      <c r="D2" s="12" t="s">
        <v>178</v>
      </c>
    </row>
    <row r="3" customFormat="false" ht="23.85" hidden="false" customHeight="false" outlineLevel="0" collapsed="false">
      <c r="A3" s="12" t="s">
        <v>179</v>
      </c>
      <c r="B3" s="12" t="s">
        <v>180</v>
      </c>
      <c r="C3" s="12" t="s">
        <v>181</v>
      </c>
      <c r="D3" s="12" t="s">
        <v>182</v>
      </c>
    </row>
    <row r="4" customFormat="false" ht="23.85" hidden="false" customHeight="false" outlineLevel="0" collapsed="false">
      <c r="A4" s="12" t="s">
        <v>183</v>
      </c>
      <c r="B4" s="12" t="s">
        <v>184</v>
      </c>
      <c r="C4" s="12" t="s">
        <v>185</v>
      </c>
      <c r="D4" s="12" t="s">
        <v>186</v>
      </c>
    </row>
    <row r="5" customFormat="false" ht="23.85" hidden="false" customHeight="false" outlineLevel="0" collapsed="false">
      <c r="A5" s="12" t="s">
        <v>187</v>
      </c>
      <c r="B5" s="12" t="s">
        <v>188</v>
      </c>
      <c r="C5" s="12" t="s">
        <v>189</v>
      </c>
      <c r="D5" s="12" t="s">
        <v>190</v>
      </c>
    </row>
    <row r="6" customFormat="false" ht="23.85" hidden="false" customHeight="false" outlineLevel="0" collapsed="false">
      <c r="A6" s="12" t="s">
        <v>191</v>
      </c>
      <c r="B6" s="12" t="s">
        <v>192</v>
      </c>
      <c r="C6" s="12" t="s">
        <v>193</v>
      </c>
      <c r="D6" s="12" t="s">
        <v>194</v>
      </c>
    </row>
    <row r="7" customFormat="false" ht="15" hidden="false" customHeight="false" outlineLevel="0" collapsed="false">
      <c r="A7" s="12" t="s">
        <v>195</v>
      </c>
      <c r="B7" s="12" t="s">
        <v>196</v>
      </c>
      <c r="C7" s="12" t="s">
        <v>197</v>
      </c>
      <c r="D7" s="12" t="s">
        <v>198</v>
      </c>
    </row>
    <row r="8" customFormat="false" ht="23.85" hidden="false" customHeight="false" outlineLevel="0" collapsed="false">
      <c r="A8" s="12" t="s">
        <v>199</v>
      </c>
      <c r="B8" s="12" t="s">
        <v>200</v>
      </c>
      <c r="C8" s="12" t="s">
        <v>201</v>
      </c>
      <c r="D8" s="12" t="s">
        <v>202</v>
      </c>
    </row>
    <row r="9" customFormat="false" ht="15" hidden="false" customHeight="false" outlineLevel="0" collapsed="false">
      <c r="A9" s="12" t="s">
        <v>203</v>
      </c>
      <c r="B9" s="12" t="s">
        <v>204</v>
      </c>
      <c r="C9" s="12" t="s">
        <v>205</v>
      </c>
      <c r="D9" s="12" t="s">
        <v>206</v>
      </c>
    </row>
    <row r="10" customFormat="false" ht="23.85" hidden="false" customHeight="false" outlineLevel="0" collapsed="false">
      <c r="A10" s="12" t="s">
        <v>207</v>
      </c>
      <c r="B10" s="12" t="s">
        <v>208</v>
      </c>
      <c r="C10" s="12" t="s">
        <v>209</v>
      </c>
      <c r="D10" s="12" t="s">
        <v>210</v>
      </c>
    </row>
    <row r="11" customFormat="false" ht="15" hidden="false" customHeight="false" outlineLevel="0" collapsed="false">
      <c r="A11" s="12" t="s">
        <v>211</v>
      </c>
      <c r="B11" s="12" t="s">
        <v>212</v>
      </c>
      <c r="C11" s="12" t="s">
        <v>213</v>
      </c>
      <c r="D11" s="12" t="s">
        <v>214</v>
      </c>
    </row>
    <row r="12" customFormat="false" ht="15" hidden="false" customHeight="false" outlineLevel="0" collapsed="false">
      <c r="A12" s="12" t="s">
        <v>215</v>
      </c>
      <c r="B12" s="12" t="s">
        <v>216</v>
      </c>
      <c r="C12" s="12" t="s">
        <v>217</v>
      </c>
      <c r="D12" s="12" t="s">
        <v>218</v>
      </c>
    </row>
    <row r="13" customFormat="false" ht="23.85" hidden="false" customHeight="false" outlineLevel="0" collapsed="false">
      <c r="A13" s="12" t="s">
        <v>219</v>
      </c>
      <c r="B13" s="12" t="s">
        <v>220</v>
      </c>
      <c r="C13" s="12" t="s">
        <v>221</v>
      </c>
      <c r="D13" s="12" t="s">
        <v>222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1" t="s">
        <v>223</v>
      </c>
      <c r="B1" s="11" t="s">
        <v>224</v>
      </c>
    </row>
    <row r="2" customFormat="false" ht="15" hidden="false" customHeight="false" outlineLevel="0" collapsed="false">
      <c r="A2" s="12" t="s">
        <v>225</v>
      </c>
      <c r="B2" s="12" t="s">
        <v>226</v>
      </c>
    </row>
    <row r="3" customFormat="false" ht="15" hidden="false" customHeight="false" outlineLevel="0" collapsed="false">
      <c r="A3" s="12" t="s">
        <v>225</v>
      </c>
      <c r="B3" s="12" t="s">
        <v>227</v>
      </c>
    </row>
    <row r="4" customFormat="false" ht="15" hidden="false" customHeight="false" outlineLevel="0" collapsed="false">
      <c r="A4" s="12" t="s">
        <v>225</v>
      </c>
      <c r="B4" s="12" t="s">
        <v>228</v>
      </c>
    </row>
    <row r="5" customFormat="false" ht="15" hidden="false" customHeight="false" outlineLevel="0" collapsed="false">
      <c r="A5" s="12" t="s">
        <v>225</v>
      </c>
      <c r="B5" s="12" t="s">
        <v>229</v>
      </c>
    </row>
    <row r="6" customFormat="false" ht="15" hidden="false" customHeight="false" outlineLevel="0" collapsed="false">
      <c r="A6" s="12" t="s">
        <v>225</v>
      </c>
      <c r="B6" s="12" t="s">
        <v>230</v>
      </c>
    </row>
    <row r="7" customFormat="false" ht="15" hidden="false" customHeight="false" outlineLevel="0" collapsed="false">
      <c r="A7" s="12" t="s">
        <v>225</v>
      </c>
      <c r="B7" s="12" t="s">
        <v>231</v>
      </c>
    </row>
    <row r="8" customFormat="false" ht="15" hidden="false" customHeight="false" outlineLevel="0" collapsed="false">
      <c r="A8" s="12" t="s">
        <v>225</v>
      </c>
      <c r="B8" s="12" t="s">
        <v>232</v>
      </c>
    </row>
    <row r="9" customFormat="false" ht="15" hidden="false" customHeight="false" outlineLevel="0" collapsed="false">
      <c r="A9" s="12" t="s">
        <v>225</v>
      </c>
      <c r="B9" s="12" t="s">
        <v>233</v>
      </c>
    </row>
    <row r="10" customFormat="false" ht="15" hidden="false" customHeight="false" outlineLevel="0" collapsed="false">
      <c r="A10" s="12" t="s">
        <v>225</v>
      </c>
      <c r="B10" s="12" t="s">
        <v>234</v>
      </c>
    </row>
    <row r="11" customFormat="false" ht="15" hidden="false" customHeight="false" outlineLevel="0" collapsed="false">
      <c r="A11" s="12" t="s">
        <v>235</v>
      </c>
      <c r="B11" s="12" t="s">
        <v>236</v>
      </c>
    </row>
    <row r="12" customFormat="false" ht="15" hidden="false" customHeight="false" outlineLevel="0" collapsed="false">
      <c r="A12" s="12" t="s">
        <v>235</v>
      </c>
      <c r="B12" s="12" t="s">
        <v>237</v>
      </c>
    </row>
    <row r="13" customFormat="false" ht="15" hidden="false" customHeight="false" outlineLevel="0" collapsed="false">
      <c r="A13" s="12" t="s">
        <v>235</v>
      </c>
      <c r="B13" s="12" t="s">
        <v>238</v>
      </c>
    </row>
    <row r="14" customFormat="false" ht="15" hidden="false" customHeight="false" outlineLevel="0" collapsed="false">
      <c r="A14" s="12" t="s">
        <v>235</v>
      </c>
      <c r="B14" s="12" t="s">
        <v>239</v>
      </c>
    </row>
    <row r="15" customFormat="false" ht="15" hidden="false" customHeight="false" outlineLevel="0" collapsed="false">
      <c r="A15" s="12" t="s">
        <v>235</v>
      </c>
      <c r="B15" s="12" t="s">
        <v>240</v>
      </c>
    </row>
    <row r="16" customFormat="false" ht="15" hidden="false" customHeight="false" outlineLevel="0" collapsed="false">
      <c r="A16" s="12" t="s">
        <v>235</v>
      </c>
      <c r="B16" s="12" t="s">
        <v>241</v>
      </c>
    </row>
    <row r="17" customFormat="false" ht="15" hidden="false" customHeight="false" outlineLevel="0" collapsed="false">
      <c r="A17" s="12" t="s">
        <v>242</v>
      </c>
      <c r="B17" s="12" t="s">
        <v>243</v>
      </c>
    </row>
    <row r="18" customFormat="false" ht="15" hidden="false" customHeight="false" outlineLevel="0" collapsed="false">
      <c r="A18" s="12" t="s">
        <v>242</v>
      </c>
      <c r="B18" s="12" t="s">
        <v>244</v>
      </c>
    </row>
    <row r="19" customFormat="false" ht="15" hidden="false" customHeight="false" outlineLevel="0" collapsed="false">
      <c r="A19" s="12" t="s">
        <v>242</v>
      </c>
      <c r="B19" s="12" t="s">
        <v>245</v>
      </c>
    </row>
    <row r="20" customFormat="false" ht="15" hidden="false" customHeight="false" outlineLevel="0" collapsed="false">
      <c r="A20" s="12" t="s">
        <v>242</v>
      </c>
      <c r="B20" s="12" t="s">
        <v>246</v>
      </c>
    </row>
    <row r="21" customFormat="false" ht="15" hidden="false" customHeight="false" outlineLevel="0" collapsed="false">
      <c r="A21" s="12" t="s">
        <v>242</v>
      </c>
      <c r="B21" s="12" t="s">
        <v>247</v>
      </c>
    </row>
    <row r="22" customFormat="false" ht="15" hidden="false" customHeight="false" outlineLevel="0" collapsed="false">
      <c r="A22" s="12" t="s">
        <v>248</v>
      </c>
      <c r="B22" s="12" t="s">
        <v>249</v>
      </c>
    </row>
    <row r="23" customFormat="false" ht="15" hidden="false" customHeight="false" outlineLevel="0" collapsed="false">
      <c r="A23" s="12" t="s">
        <v>248</v>
      </c>
      <c r="B23" s="12" t="s">
        <v>250</v>
      </c>
    </row>
    <row r="24" customFormat="false" ht="15" hidden="false" customHeight="false" outlineLevel="0" collapsed="false">
      <c r="A24" s="12" t="s">
        <v>248</v>
      </c>
      <c r="B24" s="12" t="s">
        <v>251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70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16"/>
  </cols>
  <sheetData>
    <row r="1" customFormat="false" ht="17.35" hidden="false" customHeight="false" outlineLevel="0" collapsed="false">
      <c r="A1" s="1" t="s">
        <v>252</v>
      </c>
    </row>
    <row r="3" customFormat="false" ht="15" hidden="false" customHeight="false" outlineLevel="0" collapsed="false">
      <c r="A3" s="11" t="s">
        <v>253</v>
      </c>
      <c r="B3" s="11" t="s">
        <v>254</v>
      </c>
      <c r="C3" s="11" t="s">
        <v>255</v>
      </c>
      <c r="D3" s="11" t="s">
        <v>256</v>
      </c>
      <c r="E3" s="11" t="s">
        <v>257</v>
      </c>
    </row>
    <row r="4" customFormat="false" ht="15" hidden="false" customHeight="false" outlineLevel="0" collapsed="false">
      <c r="A4" s="12" t="s">
        <v>258</v>
      </c>
      <c r="B4" s="12" t="s">
        <v>259</v>
      </c>
      <c r="C4" s="12" t="s">
        <v>260</v>
      </c>
      <c r="D4" s="12"/>
      <c r="E4" s="24"/>
    </row>
    <row r="5" customFormat="false" ht="23.85" hidden="false" customHeight="false" outlineLevel="0" collapsed="false">
      <c r="A5" s="12" t="s">
        <v>261</v>
      </c>
      <c r="B5" s="12" t="s">
        <v>262</v>
      </c>
      <c r="C5" s="12" t="s">
        <v>260</v>
      </c>
      <c r="D5" s="12" t="s">
        <v>263</v>
      </c>
      <c r="E5" s="24"/>
    </row>
    <row r="6" customFormat="false" ht="23.85" hidden="false" customHeight="false" outlineLevel="0" collapsed="false">
      <c r="A6" s="12" t="s">
        <v>264</v>
      </c>
      <c r="B6" s="12" t="s">
        <v>265</v>
      </c>
      <c r="C6" s="12" t="s">
        <v>260</v>
      </c>
      <c r="D6" s="12" t="s">
        <v>266</v>
      </c>
      <c r="E6" s="24"/>
    </row>
    <row r="7" customFormat="false" ht="23.85" hidden="false" customHeight="false" outlineLevel="0" collapsed="false">
      <c r="A7" s="12" t="s">
        <v>267</v>
      </c>
      <c r="B7" s="12" t="s">
        <v>268</v>
      </c>
      <c r="C7" s="12" t="s">
        <v>269</v>
      </c>
      <c r="D7" s="12"/>
      <c r="E7" s="24"/>
    </row>
    <row r="8" customFormat="false" ht="15" hidden="false" customHeight="false" outlineLevel="0" collapsed="false">
      <c r="A8" s="12" t="s">
        <v>270</v>
      </c>
      <c r="B8" s="12" t="s">
        <v>271</v>
      </c>
      <c r="C8" s="12" t="s">
        <v>260</v>
      </c>
      <c r="D8" s="12"/>
      <c r="E8" s="24"/>
    </row>
    <row r="9" customFormat="false" ht="15" hidden="false" customHeight="false" outlineLevel="0" collapsed="false">
      <c r="A9" s="12" t="s">
        <v>270</v>
      </c>
      <c r="B9" s="12" t="s">
        <v>272</v>
      </c>
      <c r="C9" s="12" t="s">
        <v>260</v>
      </c>
      <c r="D9" s="12"/>
      <c r="E9" s="24"/>
    </row>
    <row r="10" customFormat="false" ht="15" hidden="false" customHeight="false" outlineLevel="0" collapsed="false">
      <c r="A10" s="12" t="s">
        <v>273</v>
      </c>
      <c r="B10" s="12" t="s">
        <v>274</v>
      </c>
      <c r="C10" s="12" t="s">
        <v>275</v>
      </c>
      <c r="D10" s="12"/>
      <c r="E10" s="24"/>
    </row>
    <row r="11" customFormat="false" ht="15" hidden="false" customHeight="false" outlineLevel="0" collapsed="false">
      <c r="A11" s="12" t="s">
        <v>273</v>
      </c>
      <c r="B11" s="12" t="s">
        <v>276</v>
      </c>
      <c r="C11" s="12" t="s">
        <v>275</v>
      </c>
      <c r="D11" s="12"/>
      <c r="E11" s="24"/>
    </row>
    <row r="12" customFormat="false" ht="15" hidden="false" customHeight="false" outlineLevel="0" collapsed="false">
      <c r="A12" s="12" t="s">
        <v>277</v>
      </c>
      <c r="B12" s="12" t="s">
        <v>278</v>
      </c>
      <c r="C12" s="12" t="s">
        <v>275</v>
      </c>
      <c r="D12" s="12"/>
      <c r="E12" s="24"/>
    </row>
    <row r="13" customFormat="false" ht="23.85" hidden="false" customHeight="false" outlineLevel="0" collapsed="false">
      <c r="A13" s="12" t="s">
        <v>279</v>
      </c>
      <c r="B13" s="12" t="s">
        <v>280</v>
      </c>
      <c r="C13" s="12" t="s">
        <v>281</v>
      </c>
      <c r="D13" s="12"/>
      <c r="E13" s="24"/>
    </row>
    <row r="14" customFormat="false" ht="15" hidden="false" customHeight="false" outlineLevel="0" collapsed="false">
      <c r="A14" s="12" t="s">
        <v>279</v>
      </c>
      <c r="B14" s="12" t="s">
        <v>282</v>
      </c>
      <c r="C14" s="12" t="s">
        <v>275</v>
      </c>
      <c r="D14" s="12"/>
      <c r="E14" s="24"/>
    </row>
    <row r="15" customFormat="false" ht="15" hidden="false" customHeight="false" outlineLevel="0" collapsed="false">
      <c r="A15" s="12" t="s">
        <v>283</v>
      </c>
      <c r="B15" s="12" t="s">
        <v>284</v>
      </c>
      <c r="C15" s="12" t="s">
        <v>281</v>
      </c>
      <c r="D15" s="12"/>
      <c r="E15" s="24"/>
    </row>
    <row r="16" customFormat="false" ht="15" hidden="false" customHeight="false" outlineLevel="0" collapsed="false">
      <c r="A16" s="12" t="s">
        <v>285</v>
      </c>
      <c r="B16" s="12" t="s">
        <v>286</v>
      </c>
      <c r="C16" s="12" t="s">
        <v>281</v>
      </c>
      <c r="D16" s="12"/>
      <c r="E16" s="24"/>
    </row>
    <row r="17" customFormat="false" ht="15" hidden="false" customHeight="false" outlineLevel="0" collapsed="false">
      <c r="A17" s="12" t="s">
        <v>287</v>
      </c>
      <c r="B17" s="12" t="s">
        <v>288</v>
      </c>
      <c r="C17" s="12" t="s">
        <v>281</v>
      </c>
      <c r="D17" s="12"/>
      <c r="E17" s="24"/>
    </row>
    <row r="18" customFormat="false" ht="15" hidden="false" customHeight="false" outlineLevel="0" collapsed="false">
      <c r="A18" s="12" t="s">
        <v>289</v>
      </c>
      <c r="B18" s="12" t="s">
        <v>290</v>
      </c>
      <c r="C18" s="12" t="s">
        <v>281</v>
      </c>
      <c r="D18" s="12"/>
      <c r="E18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80"/>
  </cols>
  <sheetData>
    <row r="1" customFormat="false" ht="15" hidden="false" customHeight="false" outlineLevel="0" collapsed="false">
      <c r="A1" s="11" t="s">
        <v>291</v>
      </c>
      <c r="B1" s="11" t="s">
        <v>292</v>
      </c>
    </row>
    <row r="2" customFormat="false" ht="15" hidden="false" customHeight="false" outlineLevel="0" collapsed="false">
      <c r="A2" s="12" t="s">
        <v>293</v>
      </c>
      <c r="B2" s="12" t="s">
        <v>294</v>
      </c>
    </row>
    <row r="3" customFormat="false" ht="15" hidden="false" customHeight="false" outlineLevel="0" collapsed="false">
      <c r="A3" s="12" t="s">
        <v>293</v>
      </c>
      <c r="B3" s="12" t="s">
        <v>295</v>
      </c>
    </row>
    <row r="4" customFormat="false" ht="15" hidden="false" customHeight="false" outlineLevel="0" collapsed="false">
      <c r="A4" s="12" t="s">
        <v>293</v>
      </c>
      <c r="B4" s="12" t="s">
        <v>296</v>
      </c>
    </row>
    <row r="5" customFormat="false" ht="15" hidden="false" customHeight="false" outlineLevel="0" collapsed="false">
      <c r="A5" s="12" t="s">
        <v>293</v>
      </c>
      <c r="B5" s="12" t="s">
        <v>297</v>
      </c>
    </row>
    <row r="6" customFormat="false" ht="15" hidden="false" customHeight="false" outlineLevel="0" collapsed="false">
      <c r="A6" s="12" t="s">
        <v>293</v>
      </c>
      <c r="B6" s="12" t="s">
        <v>298</v>
      </c>
    </row>
    <row r="7" customFormat="false" ht="15" hidden="false" customHeight="false" outlineLevel="0" collapsed="false">
      <c r="A7" s="12" t="s">
        <v>293</v>
      </c>
      <c r="B7" s="12" t="s">
        <v>299</v>
      </c>
    </row>
    <row r="8" customFormat="false" ht="15" hidden="false" customHeight="false" outlineLevel="0" collapsed="false">
      <c r="A8" s="12" t="s">
        <v>293</v>
      </c>
      <c r="B8" s="12" t="s">
        <v>300</v>
      </c>
    </row>
    <row r="9" customFormat="false" ht="15" hidden="false" customHeight="false" outlineLevel="0" collapsed="false">
      <c r="A9" s="12" t="s">
        <v>301</v>
      </c>
      <c r="B9" s="12" t="s">
        <v>302</v>
      </c>
    </row>
    <row r="10" customFormat="false" ht="15" hidden="false" customHeight="false" outlineLevel="0" collapsed="false">
      <c r="A10" s="12" t="s">
        <v>301</v>
      </c>
      <c r="B10" s="12" t="s">
        <v>303</v>
      </c>
    </row>
    <row r="11" customFormat="false" ht="15" hidden="false" customHeight="false" outlineLevel="0" collapsed="false">
      <c r="A11" s="12" t="s">
        <v>301</v>
      </c>
      <c r="B11" s="12" t="s">
        <v>304</v>
      </c>
    </row>
    <row r="12" customFormat="false" ht="15" hidden="false" customHeight="false" outlineLevel="0" collapsed="false">
      <c r="A12" s="12" t="s">
        <v>301</v>
      </c>
      <c r="B12" s="12" t="s">
        <v>305</v>
      </c>
    </row>
    <row r="13" customFormat="false" ht="15" hidden="false" customHeight="false" outlineLevel="0" collapsed="false">
      <c r="A13" s="12" t="s">
        <v>301</v>
      </c>
      <c r="B13" s="12" t="s">
        <v>306</v>
      </c>
    </row>
    <row r="14" customFormat="false" ht="15" hidden="false" customHeight="false" outlineLevel="0" collapsed="false">
      <c r="A14" s="12" t="s">
        <v>301</v>
      </c>
      <c r="B14" s="12" t="s">
        <v>307</v>
      </c>
    </row>
    <row r="15" customFormat="false" ht="15" hidden="false" customHeight="false" outlineLevel="0" collapsed="false">
      <c r="A15" s="12" t="s">
        <v>308</v>
      </c>
      <c r="B15" s="12" t="s">
        <v>309</v>
      </c>
    </row>
    <row r="16" customFormat="false" ht="15" hidden="false" customHeight="false" outlineLevel="0" collapsed="false">
      <c r="A16" s="12" t="s">
        <v>310</v>
      </c>
      <c r="B16" s="12" t="s">
        <v>311</v>
      </c>
    </row>
    <row r="17" customFormat="false" ht="15" hidden="false" customHeight="false" outlineLevel="0" collapsed="false">
      <c r="A17" s="12" t="s">
        <v>312</v>
      </c>
      <c r="B17" s="12" t="s">
        <v>313</v>
      </c>
    </row>
    <row r="18" customFormat="false" ht="15" hidden="false" customHeight="false" outlineLevel="0" collapsed="false">
      <c r="A18" s="12" t="s">
        <v>314</v>
      </c>
      <c r="B18" s="12" t="s">
        <v>315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1" t="s">
        <v>316</v>
      </c>
      <c r="B1" s="11" t="s">
        <v>317</v>
      </c>
    </row>
    <row r="2" customFormat="false" ht="23.85" hidden="false" customHeight="false" outlineLevel="0" collapsed="false">
      <c r="A2" s="12" t="s">
        <v>318</v>
      </c>
      <c r="B2" s="12" t="s">
        <v>319</v>
      </c>
    </row>
    <row r="3" customFormat="false" ht="23.85" hidden="false" customHeight="false" outlineLevel="0" collapsed="false">
      <c r="A3" s="12" t="s">
        <v>320</v>
      </c>
      <c r="B3" s="12" t="s">
        <v>321</v>
      </c>
    </row>
    <row r="4" customFormat="false" ht="15" hidden="false" customHeight="false" outlineLevel="0" collapsed="false">
      <c r="A4" s="12" t="s">
        <v>322</v>
      </c>
      <c r="B4" s="12" t="s">
        <v>323</v>
      </c>
    </row>
    <row r="5" customFormat="false" ht="15" hidden="false" customHeight="false" outlineLevel="0" collapsed="false">
      <c r="A5" s="12" t="s">
        <v>83</v>
      </c>
      <c r="B5" s="12" t="s">
        <v>324</v>
      </c>
    </row>
    <row r="6" customFormat="false" ht="15" hidden="false" customHeight="false" outlineLevel="0" collapsed="false">
      <c r="A6" s="12" t="s">
        <v>325</v>
      </c>
      <c r="B6" s="12" t="s">
        <v>326</v>
      </c>
    </row>
    <row r="7" customFormat="false" ht="15" hidden="false" customHeight="false" outlineLevel="0" collapsed="false">
      <c r="A7" s="12" t="s">
        <v>327</v>
      </c>
      <c r="B7" s="12" t="s">
        <v>328</v>
      </c>
    </row>
    <row r="8" customFormat="false" ht="15" hidden="false" customHeight="false" outlineLevel="0" collapsed="false">
      <c r="A8" s="12" t="s">
        <v>329</v>
      </c>
      <c r="B8" s="12" t="s">
        <v>330</v>
      </c>
    </row>
    <row r="9" customFormat="false" ht="15" hidden="false" customHeight="false" outlineLevel="0" collapsed="false">
      <c r="A9" s="12" t="s">
        <v>331</v>
      </c>
      <c r="B9" s="12" t="s">
        <v>332</v>
      </c>
    </row>
    <row r="10" customFormat="false" ht="15" hidden="false" customHeight="false" outlineLevel="0" collapsed="false">
      <c r="A10" s="12" t="s">
        <v>333</v>
      </c>
      <c r="B10" s="12" t="s">
        <v>334</v>
      </c>
    </row>
    <row r="11" customFormat="false" ht="15" hidden="false" customHeight="false" outlineLevel="0" collapsed="false">
      <c r="A11" s="12" t="s">
        <v>335</v>
      </c>
      <c r="B11" s="12" t="s">
        <v>336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6"/>
    <col collapsed="false" customWidth="true" hidden="false" outlineLevel="0" max="3" min="3" style="0" width="32"/>
    <col collapsed="false" customWidth="true" hidden="false" outlineLevel="0" max="4" min="4" style="0" width="24"/>
    <col collapsed="false" customWidth="true" hidden="false" outlineLevel="0" max="5" min="5" style="0" width="32"/>
  </cols>
  <sheetData>
    <row r="1" customFormat="false" ht="15" hidden="false" customHeight="false" outlineLevel="0" collapsed="false">
      <c r="A1" s="11" t="s">
        <v>337</v>
      </c>
      <c r="B1" s="11" t="s">
        <v>338</v>
      </c>
      <c r="C1" s="11" t="s">
        <v>339</v>
      </c>
      <c r="D1" s="11" t="s">
        <v>340</v>
      </c>
      <c r="E1" s="11" t="s">
        <v>341</v>
      </c>
    </row>
    <row r="2" customFormat="false" ht="15" hidden="false" customHeight="false" outlineLevel="0" collapsed="false">
      <c r="A2" s="12" t="s">
        <v>342</v>
      </c>
      <c r="B2" s="12" t="s">
        <v>343</v>
      </c>
      <c r="C2" s="12" t="s">
        <v>344</v>
      </c>
      <c r="D2" s="12" t="s">
        <v>143</v>
      </c>
      <c r="E2" s="12" t="s">
        <v>345</v>
      </c>
    </row>
    <row r="3" customFormat="false" ht="15" hidden="false" customHeight="false" outlineLevel="0" collapsed="false">
      <c r="A3" s="12" t="s">
        <v>346</v>
      </c>
      <c r="B3" s="12" t="s">
        <v>347</v>
      </c>
      <c r="C3" s="12" t="s">
        <v>348</v>
      </c>
      <c r="D3" s="12" t="s">
        <v>143</v>
      </c>
      <c r="E3" s="12" t="s">
        <v>349</v>
      </c>
    </row>
    <row r="4" customFormat="false" ht="15" hidden="false" customHeight="false" outlineLevel="0" collapsed="false">
      <c r="A4" s="12" t="s">
        <v>350</v>
      </c>
      <c r="B4" s="12" t="s">
        <v>351</v>
      </c>
      <c r="C4" s="12" t="s">
        <v>352</v>
      </c>
      <c r="D4" s="12" t="s">
        <v>353</v>
      </c>
      <c r="E4" s="12" t="s">
        <v>354</v>
      </c>
    </row>
    <row r="5" customFormat="false" ht="15" hidden="false" customHeight="false" outlineLevel="0" collapsed="false">
      <c r="A5" s="12" t="s">
        <v>355</v>
      </c>
      <c r="B5" s="12" t="s">
        <v>356</v>
      </c>
      <c r="C5" s="12" t="s">
        <v>357</v>
      </c>
      <c r="D5" s="12" t="s">
        <v>358</v>
      </c>
      <c r="E5" s="12" t="s">
        <v>359</v>
      </c>
    </row>
    <row r="6" customFormat="false" ht="15" hidden="false" customHeight="false" outlineLevel="0" collapsed="false">
      <c r="A6" s="12" t="s">
        <v>314</v>
      </c>
      <c r="B6" s="12" t="s">
        <v>360</v>
      </c>
      <c r="C6" s="12" t="s">
        <v>361</v>
      </c>
      <c r="D6" s="12" t="s">
        <v>143</v>
      </c>
      <c r="E6" s="12" t="s">
        <v>345</v>
      </c>
    </row>
    <row r="7" customFormat="false" ht="23.85" hidden="false" customHeight="false" outlineLevel="0" collapsed="false">
      <c r="A7" s="12" t="s">
        <v>308</v>
      </c>
      <c r="B7" s="12" t="s">
        <v>362</v>
      </c>
      <c r="C7" s="12" t="s">
        <v>363</v>
      </c>
      <c r="D7" s="12" t="s">
        <v>364</v>
      </c>
      <c r="E7" s="12" t="s">
        <v>365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  <col collapsed="false" customWidth="true" hidden="false" outlineLevel="0" max="3" min="3" style="0" width="22"/>
    <col collapsed="false" customWidth="true" hidden="false" outlineLevel="0" max="4" min="4" style="0" width="16"/>
  </cols>
  <sheetData>
    <row r="1" customFormat="false" ht="15" hidden="false" customHeight="false" outlineLevel="0" collapsed="false">
      <c r="A1" s="11" t="s">
        <v>366</v>
      </c>
      <c r="B1" s="11" t="s">
        <v>367</v>
      </c>
      <c r="C1" s="11" t="s">
        <v>368</v>
      </c>
      <c r="D1" s="11" t="s">
        <v>369</v>
      </c>
    </row>
    <row r="2" customFormat="false" ht="23.85" hidden="false" customHeight="false" outlineLevel="0" collapsed="false">
      <c r="A2" s="12" t="s">
        <v>281</v>
      </c>
      <c r="B2" s="12" t="s">
        <v>370</v>
      </c>
      <c r="C2" s="24"/>
      <c r="D2" s="24"/>
    </row>
    <row r="3" customFormat="false" ht="15" hidden="false" customHeight="false" outlineLevel="0" collapsed="false">
      <c r="A3" s="12" t="s">
        <v>371</v>
      </c>
      <c r="B3" s="12" t="s">
        <v>372</v>
      </c>
      <c r="C3" s="24"/>
      <c r="D3" s="24"/>
    </row>
    <row r="4" customFormat="false" ht="15" hidden="false" customHeight="false" outlineLevel="0" collapsed="false">
      <c r="A4" s="12" t="s">
        <v>373</v>
      </c>
      <c r="B4" s="12" t="s">
        <v>374</v>
      </c>
      <c r="C4" s="24"/>
      <c r="D4" s="24"/>
    </row>
    <row r="5" customFormat="false" ht="15" hidden="false" customHeight="false" outlineLevel="0" collapsed="false">
      <c r="A5" s="12" t="s">
        <v>375</v>
      </c>
      <c r="B5" s="12" t="s">
        <v>376</v>
      </c>
      <c r="C5" s="24"/>
      <c r="D5" s="24"/>
    </row>
    <row r="6" customFormat="false" ht="15" hidden="false" customHeight="false" outlineLevel="0" collapsed="false">
      <c r="A6" s="12" t="s">
        <v>377</v>
      </c>
      <c r="B6" s="12" t="s">
        <v>378</v>
      </c>
      <c r="C6" s="24"/>
      <c r="D6" s="24"/>
    </row>
    <row r="7" customFormat="false" ht="15" hidden="false" customHeight="false" outlineLevel="0" collapsed="false">
      <c r="A7" s="12" t="s">
        <v>379</v>
      </c>
      <c r="B7" s="12" t="s">
        <v>380</v>
      </c>
      <c r="C7" s="24"/>
      <c r="D7" s="24"/>
    </row>
    <row r="8" customFormat="false" ht="15" hidden="false" customHeight="false" outlineLevel="0" collapsed="false">
      <c r="A8" s="12" t="s">
        <v>381</v>
      </c>
      <c r="B8" s="12"/>
      <c r="C8" s="24"/>
      <c r="D8" s="24"/>
    </row>
    <row r="9" customFormat="false" ht="15" hidden="false" customHeight="false" outlineLevel="0" collapsed="false">
      <c r="A9" s="12" t="s">
        <v>382</v>
      </c>
      <c r="B9" s="12"/>
      <c r="C9" s="24"/>
      <c r="D9" s="24"/>
    </row>
    <row r="10" customFormat="false" ht="15" hidden="false" customHeight="false" outlineLevel="0" collapsed="false">
      <c r="A10" s="12" t="s">
        <v>383</v>
      </c>
      <c r="B10" s="12"/>
      <c r="C10" s="24"/>
      <c r="D10" s="24"/>
    </row>
    <row r="11" customFormat="false" ht="15" hidden="false" customHeight="false" outlineLevel="0" collapsed="false">
      <c r="A11" s="12" t="s">
        <v>384</v>
      </c>
      <c r="B11" s="12"/>
      <c r="C11" s="24"/>
      <c r="D11" s="24"/>
    </row>
    <row r="12" customFormat="false" ht="15" hidden="false" customHeight="false" outlineLevel="0" collapsed="false">
      <c r="A12" s="12" t="s">
        <v>385</v>
      </c>
      <c r="B12" s="12" t="s">
        <v>386</v>
      </c>
      <c r="C12" s="12"/>
      <c r="D12" s="12" t="s">
        <v>387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388</v>
      </c>
    </row>
    <row r="2" customFormat="false" ht="15" hidden="false" customHeight="false" outlineLevel="0" collapsed="false">
      <c r="A2" s="5" t="s">
        <v>389</v>
      </c>
    </row>
    <row r="3" customFormat="false" ht="15" hidden="false" customHeight="false" outlineLevel="0" collapsed="false">
      <c r="A3" s="25" t="s">
        <v>390</v>
      </c>
    </row>
    <row r="4" customFormat="false" ht="15" hidden="false" customHeight="false" outlineLevel="0" collapsed="false">
      <c r="A4" s="6" t="s">
        <v>391</v>
      </c>
      <c r="B4" s="6" t="s">
        <v>392</v>
      </c>
      <c r="C4" s="6" t="s">
        <v>393</v>
      </c>
      <c r="D4" s="6" t="s">
        <v>394</v>
      </c>
    </row>
    <row r="5" customFormat="false" ht="15" hidden="false" customHeight="false" outlineLevel="0" collapsed="false">
      <c r="A5" s="7" t="s">
        <v>395</v>
      </c>
      <c r="B5" s="7" t="s">
        <v>396</v>
      </c>
      <c r="C5" s="7" t="s">
        <v>397</v>
      </c>
      <c r="D5" s="26"/>
    </row>
    <row r="6" customFormat="false" ht="15" hidden="false" customHeight="false" outlineLevel="0" collapsed="false">
      <c r="A6" s="7" t="s">
        <v>398</v>
      </c>
      <c r="B6" s="7" t="s">
        <v>399</v>
      </c>
      <c r="C6" s="7" t="s">
        <v>400</v>
      </c>
      <c r="D6" s="26"/>
    </row>
    <row r="7" customFormat="false" ht="15" hidden="false" customHeight="false" outlineLevel="0" collapsed="false">
      <c r="A7" s="7" t="s">
        <v>401</v>
      </c>
      <c r="B7" s="7" t="s">
        <v>402</v>
      </c>
      <c r="C7" s="7" t="s">
        <v>400</v>
      </c>
      <c r="D7" s="26"/>
    </row>
    <row r="8" customFormat="false" ht="15" hidden="false" customHeight="false" outlineLevel="0" collapsed="false">
      <c r="A8" s="7" t="s">
        <v>403</v>
      </c>
      <c r="B8" s="7" t="s">
        <v>404</v>
      </c>
      <c r="C8" s="7" t="s">
        <v>400</v>
      </c>
      <c r="D8" s="26"/>
    </row>
    <row r="9" customFormat="false" ht="15" hidden="false" customHeight="false" outlineLevel="0" collapsed="false">
      <c r="A9" s="7" t="s">
        <v>147</v>
      </c>
      <c r="B9" s="7" t="s">
        <v>396</v>
      </c>
      <c r="C9" s="7" t="s">
        <v>400</v>
      </c>
      <c r="D9" s="26"/>
    </row>
    <row r="10" customFormat="false" ht="15" hidden="false" customHeight="false" outlineLevel="0" collapsed="false">
      <c r="A10" s="7" t="s">
        <v>405</v>
      </c>
      <c r="B10" s="7" t="s">
        <v>396</v>
      </c>
      <c r="C10" s="7" t="s">
        <v>400</v>
      </c>
      <c r="D10" s="26"/>
    </row>
    <row r="11" customFormat="false" ht="15" hidden="false" customHeight="false" outlineLevel="0" collapsed="false">
      <c r="A11" s="7" t="s">
        <v>406</v>
      </c>
      <c r="B11" s="7" t="s">
        <v>396</v>
      </c>
      <c r="C11" s="7" t="s">
        <v>400</v>
      </c>
      <c r="D11" s="26"/>
    </row>
    <row r="12" customFormat="false" ht="15" hidden="false" customHeight="false" outlineLevel="0" collapsed="false">
      <c r="A12" s="7" t="s">
        <v>407</v>
      </c>
      <c r="B12" s="7" t="s">
        <v>408</v>
      </c>
      <c r="C12" s="7" t="s">
        <v>400</v>
      </c>
      <c r="D12" s="26"/>
    </row>
    <row r="13" customFormat="false" ht="15" hidden="false" customHeight="false" outlineLevel="0" collapsed="false">
      <c r="A13" s="7" t="s">
        <v>409</v>
      </c>
      <c r="B13" s="7" t="s">
        <v>396</v>
      </c>
      <c r="C13" s="7" t="s">
        <v>400</v>
      </c>
      <c r="D13" s="26"/>
    </row>
    <row r="14" customFormat="false" ht="15" hidden="false" customHeight="false" outlineLevel="0" collapsed="false">
      <c r="A14" s="7" t="s">
        <v>410</v>
      </c>
      <c r="B14" s="7" t="s">
        <v>396</v>
      </c>
      <c r="C14" s="7" t="s">
        <v>400</v>
      </c>
      <c r="D14" s="26"/>
    </row>
    <row r="15" customFormat="false" ht="15" hidden="false" customHeight="false" outlineLevel="0" collapsed="false">
      <c r="A15" s="7" t="s">
        <v>411</v>
      </c>
      <c r="B15" s="7" t="s">
        <v>412</v>
      </c>
      <c r="C15" s="7" t="s">
        <v>400</v>
      </c>
      <c r="D15" s="26"/>
    </row>
    <row r="16" customFormat="false" ht="15" hidden="false" customHeight="false" outlineLevel="0" collapsed="false">
      <c r="A16" s="3" t="s">
        <v>413</v>
      </c>
      <c r="D16" s="27" t="n">
        <f aca="false">SUMIF(C5:C15,"Yes",D5:D15)</f>
        <v>0</v>
      </c>
    </row>
    <row r="17" customFormat="false" ht="15" hidden="false" customHeight="false" outlineLevel="0" collapsed="false">
      <c r="A17" s="2" t="s">
        <v>414</v>
      </c>
      <c r="B17" s="2" t="s">
        <v>415</v>
      </c>
      <c r="D17" s="28" t="n">
        <v>0.05</v>
      </c>
    </row>
    <row r="18" customFormat="false" ht="15" hidden="false" customHeight="false" outlineLevel="0" collapsed="false">
      <c r="A18" s="3" t="s">
        <v>416</v>
      </c>
      <c r="D18" s="27" t="n">
        <f aca="false">D16*(1+D17)</f>
        <v>0</v>
      </c>
    </row>
    <row r="20" customFormat="false" ht="15" hidden="false" customHeight="false" outlineLevel="0" collapsed="false">
      <c r="A20" s="2" t="s">
        <v>417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8"/>
  </cols>
  <sheetData>
    <row r="1" customFormat="false" ht="15" hidden="false" customHeight="false" outlineLevel="0" collapsed="false">
      <c r="A1" s="11" t="s">
        <v>418</v>
      </c>
      <c r="B1" s="11" t="s">
        <v>257</v>
      </c>
    </row>
    <row r="2" customFormat="false" ht="15" hidden="false" customHeight="false" outlineLevel="0" collapsed="false">
      <c r="A2" s="12" t="s">
        <v>419</v>
      </c>
      <c r="B2" s="24"/>
    </row>
    <row r="3" customFormat="false" ht="15" hidden="false" customHeight="false" outlineLevel="0" collapsed="false">
      <c r="A3" s="12" t="s">
        <v>420</v>
      </c>
      <c r="B3" s="24"/>
    </row>
    <row r="4" customFormat="false" ht="15" hidden="false" customHeight="false" outlineLevel="0" collapsed="false">
      <c r="A4" s="12" t="s">
        <v>421</v>
      </c>
      <c r="B4" s="24"/>
    </row>
    <row r="5" customFormat="false" ht="15" hidden="false" customHeight="false" outlineLevel="0" collapsed="false">
      <c r="A5" s="12" t="s">
        <v>422</v>
      </c>
      <c r="B5" s="24"/>
    </row>
    <row r="6" customFormat="false" ht="15" hidden="false" customHeight="false" outlineLevel="0" collapsed="false">
      <c r="A6" s="12" t="s">
        <v>423</v>
      </c>
      <c r="B6" s="24"/>
    </row>
    <row r="7" customFormat="false" ht="15" hidden="false" customHeight="false" outlineLevel="0" collapsed="false">
      <c r="A7" s="12" t="s">
        <v>424</v>
      </c>
      <c r="B7" s="24"/>
    </row>
    <row r="8" customFormat="false" ht="15" hidden="false" customHeight="false" outlineLevel="0" collapsed="false">
      <c r="A8" s="12" t="s">
        <v>425</v>
      </c>
      <c r="B8" s="24"/>
    </row>
    <row r="9" customFormat="false" ht="15" hidden="false" customHeight="false" outlineLevel="0" collapsed="false">
      <c r="A9" s="12" t="s">
        <v>426</v>
      </c>
      <c r="B9" s="24"/>
    </row>
    <row r="10" customFormat="false" ht="15" hidden="false" customHeight="false" outlineLevel="0" collapsed="false">
      <c r="A10" s="12" t="s">
        <v>427</v>
      </c>
      <c r="B10" s="24"/>
    </row>
    <row r="11" customFormat="false" ht="15" hidden="false" customHeight="false" outlineLevel="0" collapsed="false">
      <c r="A11" s="12" t="s">
        <v>428</v>
      </c>
      <c r="B11" s="2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2026-10-21T14:49:37Z</dcterms:created>
  <dc:creator>openpyxl</dc:creator>
  <dc:description/>
  <dc:language>en-US</dc:language>
  <cp:lastModifiedBy/>
  <dcterms:modified xsi:type="dcterms:W3CDTF">2026-10-21T14:49:37Z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
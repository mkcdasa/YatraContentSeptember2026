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inute-by-Minute" sheetId="2" state="visible" r:id="rId2"/>
    <sheet xmlns:r="http://schemas.openxmlformats.org/officeDocument/2006/relationships" name="Meal Plan" sheetId="3" state="visible" r:id="rId3"/>
    <sheet xmlns:r="http://schemas.openxmlformats.org/officeDocument/2006/relationships" name="Pros &amp; Cons" sheetId="4" state="visible" r:id="rId4"/>
    <sheet xmlns:r="http://schemas.openxmlformats.org/officeDocument/2006/relationships" name="Challenges &amp; Backups" sheetId="5" state="visible" r:id="rId5"/>
    <sheet xmlns:r="http://schemas.openxmlformats.org/officeDocument/2006/relationships" name="Dos &amp; Donts" sheetId="6" state="visible" r:id="rId6"/>
    <sheet xmlns:r="http://schemas.openxmlformats.org/officeDocument/2006/relationships" name="Checklist" sheetId="7" state="visible" r:id="rId7"/>
    <sheet xmlns:r="http://schemas.openxmlformats.org/officeDocument/2006/relationships" name="Packing List" sheetId="8" state="visible" r:id="rId8"/>
    <sheet xmlns:r="http://schemas.openxmlformats.org/officeDocument/2006/relationships" name="Health &amp; Safety" sheetId="9" state="visible" r:id="rId9"/>
    <sheet xmlns:r="http://schemas.openxmlformats.org/officeDocument/2006/relationships" name="Best Time" sheetId="10" state="visible" r:id="rId10"/>
    <sheet xmlns:r="http://schemas.openxmlformats.org/officeDocument/2006/relationships" name="Team &amp; Contacts" sheetId="11" state="visible" r:id="rId11"/>
    <sheet xmlns:r="http://schemas.openxmlformats.org/officeDocument/2006/relationships" name="Cost Heads" sheetId="12" state="visible" r:id="rId12"/>
    <sheet xmlns:r="http://schemas.openxmlformats.org/officeDocument/2006/relationships" name="Open Points" sheetId="13" state="visible" r:id="rId13"/>
  </sheets>
  <definedNames>
    <definedName name="_xlnm._FilterDatabase" localSheetId="1" hidden="1">'Minute-by-Minute'!$A$4:$K$58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d dd-mmm"/>
    <numFmt numFmtId="165" formatCode="hh:mm"/>
    <numFmt numFmtId="166" formatCode="yyyy-mm-dd"/>
    <numFmt numFmtId="167" formatCode="ddd dd-mmm-yyyy"/>
    <numFmt numFmtId="168" formatCode="₹#,##0;(₹#,##0);-"/>
    <numFmt numFmtId="169" formatCode="0.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7B2C2C"/>
      <sz val="10"/>
    </font>
    <font>
      <name val="Arial"/>
      <b val="1"/>
      <color rgb="007B2C2C"/>
      <sz val="11"/>
    </font>
  </fonts>
  <fills count="7">
    <fill>
      <patternFill/>
    </fill>
    <fill>
      <patternFill patternType="gray125"/>
    </fill>
    <fill>
      <patternFill patternType="solid">
        <fgColor rgb="007B2C2C"/>
      </patternFill>
    </fill>
    <fill>
      <patternFill patternType="solid">
        <fgColor rgb="00FFF4D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7" fontId="7" fillId="6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7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pivotButton="0" quotePrefix="0" xfId="0"/>
    <xf numFmtId="168" fontId="4" fillId="6" borderId="1" pivotButton="0" quotePrefix="0" xfId="0"/>
    <xf numFmtId="168" fontId="6" fillId="0" borderId="0" pivotButton="0" quotePrefix="0" xfId="0"/>
    <xf numFmtId="169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Jammu+Airport%2C+Satwari%2C+Jammu" TargetMode="External" Id="rId1"/><Relationship Type="http://schemas.openxmlformats.org/officeDocument/2006/relationships/hyperlink" Target="https://www.google.com/maps/dir/?api=1&amp;origin=Jammu+Airport%2C+Satwari%2C+Jammu&amp;destination=Residency+Road%2C+Jammu&amp;travelmode=driving" TargetMode="External" Id="rId2"/><Relationship Type="http://schemas.openxmlformats.org/officeDocument/2006/relationships/hyperlink" Target="https://www.google.com/maps/search/?api=1&amp;query=Residency+Road%2C+Jammu" TargetMode="External" Id="rId3"/><Relationship Type="http://schemas.openxmlformats.org/officeDocument/2006/relationships/hyperlink" Target="https://www.google.com/maps/search/?api=1&amp;query=Residency+Road%2C+Jammu" TargetMode="External" Id="rId4"/><Relationship Type="http://schemas.openxmlformats.org/officeDocument/2006/relationships/hyperlink" Target="https://www.google.com/maps/dir/?api=1&amp;origin=Residency+Road%2C+Jammu&amp;destination=Raghunath+Temple%2C+Jammu&amp;travelmode=driving" TargetMode="External" Id="rId5"/><Relationship Type="http://schemas.openxmlformats.org/officeDocument/2006/relationships/hyperlink" Target="https://www.google.com/maps/search/?api=1&amp;query=Raghunath+Temple%2C+Jammu" TargetMode="External" Id="rId6"/><Relationship Type="http://schemas.openxmlformats.org/officeDocument/2006/relationships/hyperlink" Target="https://www.google.com/maps/dir/?api=1&amp;origin=Raghunath+Temple%2C+Jammu&amp;destination=Ranbireshwar+Temple%2C+Jammu&amp;travelmode=driving" TargetMode="External" Id="rId7"/><Relationship Type="http://schemas.openxmlformats.org/officeDocument/2006/relationships/hyperlink" Target="https://www.google.com/maps/search/?api=1&amp;query=Ranbireshwar+Temple%2C+Jammu" TargetMode="External" Id="rId8"/><Relationship Type="http://schemas.openxmlformats.org/officeDocument/2006/relationships/hyperlink" Target="https://www.google.com/maps/dir/?api=1&amp;origin=Ranbireshwar+Temple%2C+Jammu&amp;destination=Raghunath+Bazaar%2C+Jammu&amp;travelmode=driving" TargetMode="External" Id="rId9"/><Relationship Type="http://schemas.openxmlformats.org/officeDocument/2006/relationships/hyperlink" Target="https://www.google.com/maps/search/?api=1&amp;query=Raghunath+Bazaar%2C+Jammu" TargetMode="External" Id="rId10"/><Relationship Type="http://schemas.openxmlformats.org/officeDocument/2006/relationships/hyperlink" Target="https://www.google.com/maps/dir/?api=1&amp;origin=Raghunath+Bazaar%2C+Jammu&amp;destination=Residency+Road%2C+Jammu&amp;travelmode=driving" TargetMode="External" Id="rId11"/><Relationship Type="http://schemas.openxmlformats.org/officeDocument/2006/relationships/hyperlink" Target="https://www.google.com/maps/search/?api=1&amp;query=Residency+Road%2C+Jammu" TargetMode="External" Id="rId12"/><Relationship Type="http://schemas.openxmlformats.org/officeDocument/2006/relationships/hyperlink" Target="https://www.google.com/maps/search/?api=1&amp;query=Residency+Road%2C+Jammu" TargetMode="External" Id="rId13"/><Relationship Type="http://schemas.openxmlformats.org/officeDocument/2006/relationships/hyperlink" Target="https://www.google.com/maps/search/?api=1&amp;query=Residency+Road%2C+Jammu" TargetMode="External" Id="rId14"/><Relationship Type="http://schemas.openxmlformats.org/officeDocument/2006/relationships/hyperlink" Target="https://www.google.com/maps/search/?api=1&amp;query=Residency+Road%2C+Jammu" TargetMode="External" Id="rId15"/><Relationship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 Id="rId16"/><Relationship Type="http://schemas.openxmlformats.org/officeDocument/2006/relationships/hyperlink" Target="https://www.google.com/maps/search/?api=1&amp;query=Yatra+Registration+Counter%2C+Katra+Bus+Stand%2C+Katra" TargetMode="External" Id="rId17"/><Relationship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 Id="rId18"/><Relationship Type="http://schemas.openxmlformats.org/officeDocument/2006/relationships/hyperlink" Target="https://www.google.com/maps/search/?api=1&amp;query=Katra+Helipad%2C+Shri+Mata+Vaishno+Devi%2C+Katra" TargetMode="External" Id="rId19"/><Relationship Type="http://schemas.openxmlformats.org/officeDocument/2006/relationships/hyperlink" Target="https://www.google.com/maps/search/?api=1&amp;query=Sanjichhat+Helipad%2C+Vaishno+Devi" TargetMode="External" Id="rId20"/><Relationship Type="http://schemas.openxmlformats.org/officeDocument/2006/relationships/hyperlink" Target="https://www.google.com/maps/dir/?api=1&amp;origin=Sanjichhat+Helipad%2C+Vaishno+Devi&amp;destination=Shri+Mata+Vaishno+Devi+Bhawan%2C+Katra&amp;travelmode=walking" TargetMode="External" Id="rId21"/><Relationship Type="http://schemas.openxmlformats.org/officeDocument/2006/relationships/hyperlink" Target="https://www.google.com/maps/search/?api=1&amp;query=Shri+Mata+Vaishno+Devi+Bhawan%2C+Katra" TargetMode="External" Id="rId22"/><Relationship Type="http://schemas.openxmlformats.org/officeDocument/2006/relationships/hyperlink" Target="https://www.google.com/maps/search/?api=1&amp;query=Shri+Mata+Vaishno+Devi+Bhawan%2C+Katra" TargetMode="External" Id="rId23"/><Relationship Type="http://schemas.openxmlformats.org/officeDocument/2006/relationships/hyperlink" Target="https://www.google.com/maps/search/?api=1&amp;query=Shri+Mata+Vaishno+Devi+Bhawan%2C+Katra" TargetMode="External" Id="rId24"/><Relationship Type="http://schemas.openxmlformats.org/officeDocument/2006/relationships/hyperlink" Target="https://www.google.com/maps/search/?api=1&amp;query=Shri+Mata+Vaishno+Devi+Bhawan%2C+Katra" TargetMode="External" Id="rId25"/><Relationship Type="http://schemas.openxmlformats.org/officeDocument/2006/relationships/hyperlink" Target="https://www.google.com/maps/search/?api=1&amp;query=Shri+Mata+Vaishno+Devi+Bhawan%2C+Katra" TargetMode="External" Id="rId26"/><Relationship Type="http://schemas.openxmlformats.org/officeDocument/2006/relationships/hyperlink" Target="https://www.google.com/maps/search/?api=1&amp;query=Shri+Mata+Vaishno+Devi+Bhawan%2C+Katra" TargetMode="External" Id="rId27"/><Relationship Type="http://schemas.openxmlformats.org/officeDocument/2006/relationships/hyperlink" Target="https://www.google.com/maps/search/?api=1&amp;query=Shri+Mata+Vaishno+Devi+Bhawan%2C+Katra" TargetMode="External" Id="rId28"/><Relationship Type="http://schemas.openxmlformats.org/officeDocument/2006/relationships/hyperlink" Target="https://www.google.com/maps/search/?api=1&amp;query=Shri+Mata+Vaishno+Devi+Bhawan%2C+Katra" TargetMode="External" Id="rId29"/><Relationship Type="http://schemas.openxmlformats.org/officeDocument/2006/relationships/hyperlink" Target="https://www.google.com/maps/search/?api=1&amp;query=Shri+Mata+Vaishno+Devi+Bhawan%2C+Katra" TargetMode="External" Id="rId30"/><Relationship Type="http://schemas.openxmlformats.org/officeDocument/2006/relationships/hyperlink" Target="https://www.google.com/maps/search/?api=1&amp;query=Shri+Mata+Vaishno+Devi+Bhawan%2C+Katra" TargetMode="External" Id="rId31"/><Relationship Type="http://schemas.openxmlformats.org/officeDocument/2006/relationships/hyperlink" Target="https://www.google.com/maps/search/?api=1&amp;query=Shri+Mata+Vaishno+Devi+Bhawan%2C+Katra" TargetMode="External" Id="rId32"/><Relationship Type="http://schemas.openxmlformats.org/officeDocument/2006/relationships/hyperlink" Target="https://www.google.com/maps/search/?api=1&amp;query=Bhawan+Bhairon+Ropeway%2C+Vaishno+Devi" TargetMode="External" Id="rId33"/><Relationship Type="http://schemas.openxmlformats.org/officeDocument/2006/relationships/hyperlink" Target="https://www.google.com/maps/search/?api=1&amp;query=Bhawan+Bhairon+Ropeway%2C+Vaishno+Devi" TargetMode="External" Id="rId34"/><Relationship Type="http://schemas.openxmlformats.org/officeDocument/2006/relationships/hyperlink" Target="https://www.google.com/maps/search/?api=1&amp;query=Bhairon+Baba+Temple%2C+Vaishno+Devi" TargetMode="External" Id="rId35"/><Relationship Type="http://schemas.openxmlformats.org/officeDocument/2006/relationships/hyperlink" Target="https://www.google.com/maps/dir/?api=1&amp;origin=Bhairon+Baba+Temple%2C+Vaishno+Devi&amp;destination=Sanjichhat+Helipad%2C+Vaishno+Devi&amp;travelmode=walking" TargetMode="External" Id="rId36"/><Relationship Type="http://schemas.openxmlformats.org/officeDocument/2006/relationships/hyperlink" Target="https://www.google.com/maps/search/?api=1&amp;query=Sanjichhat+Helipad%2C+Vaishno+Devi" TargetMode="External" Id="rId37"/><Relationship Type="http://schemas.openxmlformats.org/officeDocument/2006/relationships/hyperlink" Target="https://www.google.com/maps/search/?api=1&amp;query=Katra+Helipad%2C+Shri+Mata+Vaishno+Devi%2C+Katra" TargetMode="External" Id="rId38"/><Relationship Type="http://schemas.openxmlformats.org/officeDocument/2006/relationships/hyperlink" Target="https://www.google.com/maps/dir/?api=1&amp;origin=Katra+Helipad%2C+Shri+Mata+Vaishno+Devi%2C+Katra&amp;destination=Pooja+Vaishno+Dhaba%2C+Main+Bazar%2C+Katra&amp;travelmode=driving" TargetMode="External" Id="rId39"/><Relationship Type="http://schemas.openxmlformats.org/officeDocument/2006/relationships/hyperlink" Target="https://www.google.com/maps/search/?api=1&amp;query=Pooja+Vaishno+Dhaba%2C+Main+Bazar%2C+Katra" TargetMode="External" Id="rId40"/><Relationship Type="http://schemas.openxmlformats.org/officeDocument/2006/relationships/hyperlink" Target="https://www.google.com/maps/dir/?api=1&amp;origin=Main+Bazaar%2C+Katra&amp;destination=Banganga+Temple%2C+Katra&amp;travelmode=driving" TargetMode="External" Id="rId41"/><Relationship Type="http://schemas.openxmlformats.org/officeDocument/2006/relationships/hyperlink" Target="https://www.google.com/maps/search/?api=1&amp;query=Banganga+Temple%2C+Katra" TargetMode="External" Id="rId42"/><Relationship Type="http://schemas.openxmlformats.org/officeDocument/2006/relationships/hyperlink" Target="https://www.google.com/maps/dir/?api=1&amp;origin=Banganga+Temple%2C+Katra&amp;destination=Darshani+Deodi%2C+Katra&amp;travelmode=driving" TargetMode="External" Id="rId43"/><Relationship Type="http://schemas.openxmlformats.org/officeDocument/2006/relationships/hyperlink" Target="https://www.google.com/maps/search/?api=1&amp;query=Darshani+Deodi%2C+Katra" TargetMode="External" Id="rId44"/><Relationship Type="http://schemas.openxmlformats.org/officeDocument/2006/relationships/hyperlink" Target="https://www.google.com/maps/dir/?api=1&amp;origin=Darshani+Deodi%2C+Katra&amp;destination=Main+Bazaar%2C+Katra&amp;travelmode=driving" TargetMode="External" Id="rId45"/><Relationship Type="http://schemas.openxmlformats.org/officeDocument/2006/relationships/hyperlink" Target="https://www.google.com/maps/search/?api=1&amp;query=Main+Bazaar%2C+Katra" TargetMode="External" Id="rId46"/><Relationship Type="http://schemas.openxmlformats.org/officeDocument/2006/relationships/hyperlink" Target="https://www.google.com/maps/dir/?api=1&amp;origin=Main+Bazaar%2C+Katra&amp;destination=Residency+Road%2C+Jammu&amp;travelmode=driving" TargetMode="External" Id="rId47"/><Relationship Type="http://schemas.openxmlformats.org/officeDocument/2006/relationships/hyperlink" Target="https://www.google.com/maps/search/?api=1&amp;query=Residency+Road%2C+Jammu" TargetMode="External" Id="rId48"/><Relationship Type="http://schemas.openxmlformats.org/officeDocument/2006/relationships/hyperlink" Target="https://www.google.com/maps/search/?api=1&amp;query=Residency+Road%2C+Jammu" TargetMode="External" Id="rId49"/><Relationship Type="http://schemas.openxmlformats.org/officeDocument/2006/relationships/hyperlink" Target="https://www.google.com/maps/search/?api=1&amp;query=Residency+Road%2C+Jammu" TargetMode="External" Id="rId50"/><Relationship Type="http://schemas.openxmlformats.org/officeDocument/2006/relationships/hyperlink" Target="https://www.google.com/maps/search/?api=1&amp;query=Residency+Road%2C+Jammu" TargetMode="External" Id="rId51"/><Relationship Type="http://schemas.openxmlformats.org/officeDocument/2006/relationships/hyperlink" Target="https://www.google.com/maps/search/?api=1&amp;query=Residency+Road%2C+Jammu" TargetMode="External" Id="rId52"/><Relationship Type="http://schemas.openxmlformats.org/officeDocument/2006/relationships/hyperlink" Target="https://www.google.com/maps/dir/?api=1&amp;origin=Residency+Road%2C+Jammu&amp;destination=Jammu+Airport%2C+Satwari%2C+Jammu&amp;travelmode=driving" TargetMode="External" Id="rId53"/><Relationship Type="http://schemas.openxmlformats.org/officeDocument/2006/relationships/hyperlink" Target="https://www.google.com/maps/search/?api=1&amp;query=Jammu+Airport%2C+Satwari%2C+Jammu" TargetMode="External" Id="rId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/search/?api=1&amp;query=Shri+Mata+Vaishno+Devi+Bhawan%2C+Katra" TargetMode="External" Id="rId1"/><Relationship Type="http://schemas.openxmlformats.org/officeDocument/2006/relationships/hyperlink" Target="https://www.google.com/maps/search/?api=1&amp;query=Shri+Mata+Vaishno+Devi+Bhawan%2C+Katra" TargetMode="External" Id="rId2"/><Relationship Type="http://schemas.openxmlformats.org/officeDocument/2006/relationships/hyperlink" Target="https://www.google.com/maps/search/?api=1&amp;query=Shri+Mata+Vaishno+Devi+Bhawan%2C+Katra" TargetMode="External" Id="rId3"/><Relationship Type="http://schemas.openxmlformats.org/officeDocument/2006/relationships/hyperlink" Target="https://www.google.com/maps/search/?api=1&amp;query=Pooja+Vaishno+Dhaba%2C+Main+Bazar%2C+Katra" TargetMode="External" Id="rId4"/><Relationship Type="http://schemas.openxmlformats.org/officeDocument/2006/relationships/hyperlink" Target="https://www.google.com/maps/search/?api=1&amp;query=Madhuban+Saattvik+Restaurant%2C+Hotel+Chinar%2C+Katra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0" customWidth="1" min="3" max="3"/>
    <col width="10" customWidth="1" min="4" max="4"/>
    <col width="12" customWidth="1" min="5" max="5"/>
    <col width="11" customWidth="1" min="6" max="6"/>
    <col width="11" customWidth="1" min="7" max="7"/>
    <col width="28" customWidth="1" min="9" max="9"/>
    <col width="17" customWidth="1" min="10" max="10"/>
  </cols>
  <sheetData>
    <row r="1">
      <c r="A1" s="1" t="inlineStr">
        <is>
          <t>Vaishno Devi Helicopter Yatra – Overview</t>
        </is>
      </c>
    </row>
    <row r="2">
      <c r="A2" s="2" t="inlineStr">
        <is>
          <t>Jammu – Katra – Vaishno Devi – Jammu · 3 nights / 4 days · mode: car, helicopter Katra ⇄ Sanjichhat · Departure: 13–16 March 2027</t>
        </is>
      </c>
    </row>
    <row r="3">
      <c r="A3" s="3" t="inlineStr">
        <is>
          <t>Departure date (Day 1)</t>
        </is>
      </c>
      <c r="B3" s="4" t="n">
        <v>46459</v>
      </c>
      <c r="C3" s="5" t="inlineStr">
        <is>
          <t>← change this date and every day / row date updates</t>
        </is>
      </c>
      <c r="I3" s="3" t="inlineStr">
        <is>
          <t>Key dates</t>
        </is>
      </c>
    </row>
    <row r="4">
      <c r="A4" s="6" t="inlineStr">
        <is>
          <t>Day</t>
        </is>
      </c>
      <c r="B4" s="6" t="inlineStr">
        <is>
          <t>Date</t>
        </is>
      </c>
      <c r="C4" s="6" t="inlineStr">
        <is>
          <t>Route</t>
        </is>
      </c>
      <c r="D4" s="6" t="inlineStr">
        <is>
          <t>Car km</t>
        </is>
      </c>
      <c r="E4" s="6" t="inlineStr">
        <is>
          <t>Night stay</t>
        </is>
      </c>
      <c r="F4" s="6" t="inlineStr">
        <is>
          <t>First start</t>
        </is>
      </c>
      <c r="G4" s="6" t="inlineStr">
        <is>
          <t>Last end</t>
        </is>
      </c>
      <c r="I4" s="7" t="inlineStr">
        <is>
          <t>Registrations close</t>
        </is>
      </c>
      <c r="J4" s="8" t="n">
        <v>46381</v>
      </c>
    </row>
    <row r="5">
      <c r="A5" s="7" t="n">
        <v>1</v>
      </c>
      <c r="B5" s="8">
        <f>$B$3+A5-1</f>
        <v/>
      </c>
      <c r="C5" s="7" t="inlineStr">
        <is>
          <t>Jammu Airport arrival (14:00), Jammu temples</t>
        </is>
      </c>
      <c r="D5" s="7">
        <f>SUMIF('Minute-by-Minute'!$A$5:$A$58,A5,'Minute-by-Minute'!$I$5:$I$58)</f>
        <v/>
      </c>
      <c r="E5" s="7" t="inlineStr">
        <is>
          <t>Jammu</t>
        </is>
      </c>
      <c r="F5" s="9">
        <f>_xlfn.MINIFS('Minute-by-Minute'!$C$5:$C$58,'Minute-by-Minute'!$A$5:$A$58,A5)</f>
        <v/>
      </c>
      <c r="G5" s="9">
        <f>_xlfn.MAXIFS('Minute-by-Minute'!$D$5:$D$58,'Minute-by-Minute'!$A$5:$A$58,A5)</f>
        <v/>
      </c>
      <c r="I5" s="7" t="inlineStr">
        <is>
          <t>Yatri data to travel agent</t>
        </is>
      </c>
      <c r="J5" s="8" t="n">
        <v>46386</v>
      </c>
    </row>
    <row r="6">
      <c r="A6" s="7" t="n">
        <v>2</v>
      </c>
      <c r="B6" s="8">
        <f>$B$3+A6-1</f>
        <v/>
      </c>
      <c r="C6" s="7" t="inlineStr">
        <is>
          <t>Jammu → Katra → Sanjichhat (helicopter) → Bhawan (battery car)</t>
        </is>
      </c>
      <c r="D6" s="7">
        <f>SUMIF('Minute-by-Minute'!$A$5:$A$58,A6,'Minute-by-Minute'!$I$5:$I$58)</f>
        <v/>
      </c>
      <c r="E6" s="7" t="inlineStr">
        <is>
          <t>Bhawan</t>
        </is>
      </c>
      <c r="F6" s="9">
        <f>_xlfn.MINIFS('Minute-by-Minute'!$C$5:$C$58,'Minute-by-Minute'!$A$5:$A$58,A6)</f>
        <v/>
      </c>
      <c r="G6" s="9">
        <f>_xlfn.MAXIFS('Minute-by-Minute'!$D$5:$D$58,'Minute-by-Minute'!$A$5:$A$58,A6)</f>
        <v/>
      </c>
      <c r="I6" s="7" t="inlineStr">
        <is>
          <t>Helicopter tickets booked</t>
        </is>
      </c>
      <c r="J6" s="8" t="n">
        <v>46388</v>
      </c>
    </row>
    <row r="7">
      <c r="A7" s="7" t="n">
        <v>3</v>
      </c>
      <c r="B7" s="8">
        <f>$B$3+A7-1</f>
        <v/>
      </c>
      <c r="C7" s="7" t="inlineStr">
        <is>
          <t>Bhawan → Bhairon → Sanjichhat (helicopter) → Katra → Jammu</t>
        </is>
      </c>
      <c r="D7" s="7">
        <f>SUMIF('Minute-by-Minute'!$A$5:$A$58,A7,'Minute-by-Minute'!$I$5:$I$58)</f>
        <v/>
      </c>
      <c r="E7" s="7" t="inlineStr">
        <is>
          <t>Jammu</t>
        </is>
      </c>
      <c r="F7" s="9">
        <f>_xlfn.MINIFS('Minute-by-Minute'!$C$5:$C$58,'Minute-by-Minute'!$A$5:$A$58,A7)</f>
        <v/>
      </c>
      <c r="G7" s="9">
        <f>_xlfn.MAXIFS('Minute-by-Minute'!$D$5:$D$58,'Minute-by-Minute'!$A$5:$A$58,A7)</f>
        <v/>
      </c>
    </row>
    <row r="8">
      <c r="A8" s="7" t="n">
        <v>4</v>
      </c>
      <c r="B8" s="8">
        <f>$B$3+A8-1</f>
        <v/>
      </c>
      <c r="C8" s="7" t="inlineStr">
        <is>
          <t>Jammu hotel → Jammu Airport departure</t>
        </is>
      </c>
      <c r="D8" s="7">
        <f>SUMIF('Minute-by-Minute'!$A$5:$A$58,A8,'Minute-by-Minute'!$I$5:$I$58)</f>
        <v/>
      </c>
      <c r="E8" s="7" t="inlineStr">
        <is>
          <t>—</t>
        </is>
      </c>
      <c r="F8" s="9">
        <f>_xlfn.MINIFS('Minute-by-Minute'!$C$5:$C$58,'Minute-by-Minute'!$A$5:$A$58,A8)</f>
        <v/>
      </c>
      <c r="G8" s="9">
        <f>_xlfn.MAXIFS('Minute-by-Minute'!$D$5:$D$58,'Minute-by-Minute'!$A$5:$A$58,A8)</f>
        <v/>
      </c>
      <c r="I8" s="3" t="inlineStr">
        <is>
          <t>Flight info</t>
        </is>
      </c>
    </row>
    <row r="9">
      <c r="A9" s="3" t="inlineStr">
        <is>
          <t>Total</t>
        </is>
      </c>
      <c r="D9" s="3">
        <f>SUM(D5:D8)</f>
        <v/>
      </c>
      <c r="E9" s="2" t="inlineStr">
        <is>
          <t>3 nights</t>
        </is>
      </c>
      <c r="I9" s="2" t="inlineStr">
        <is>
          <t>Arrival at Jammu Airport on 13 March 2027 before 14:00</t>
        </is>
      </c>
    </row>
    <row r="10">
      <c r="I10" s="2" t="inlineStr">
        <is>
          <t>Departure from Jammu Airport on 16 March 2027 after 14:00</t>
        </is>
      </c>
    </row>
    <row r="11">
      <c r="A11" s="2" t="inlineStr">
        <is>
          <t>Other transport: 2 helicopter flights (5–8 min each), battery car Sanjichhat → Bhawan (2.5 km), Bhairon ropeway, ~3 km downhill track Bhairon → Sanjichhat on Day 3 (escorts assist seniors).</t>
        </is>
      </c>
    </row>
    <row r="12">
      <c r="A12" s="2" t="inlineStr">
        <is>
          <t>Assumptions: arrival at Jammu Airport at 14:00 on Day 1; breakfast 07:30–08:30 and departure from the hotel at 09:00 every day; helicopter slots 12:15 (Day 2) and 12:15 (Day 3); same Jammu hotel on Days 1 and 3 (main luggage stays there on Day 2); Day 4 at Jammu Airport by 09:20; one vehicle convoy for the group.</t>
        </is>
      </c>
      <c r="I12" s="3" t="inlineStr">
        <is>
          <t>Price</t>
        </is>
      </c>
    </row>
    <row r="13">
      <c r="A13" s="10" t="inlineStr">
        <is>
          <t>Highlights: Evening &amp; Morning Atka Aarti at the Holy Cave (main temple), arranged for the group so yatris spend more time before Mata Rani; Banganga darshan on Day 3.</t>
        </is>
      </c>
      <c r="I13" s="10" t="inlineStr">
        <is>
          <t>3N/4D: ₹50,000 per person + 5% GST, excluding flight charges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7" customWidth="1" min="3" max="3"/>
    <col width="7" customWidth="1" min="4" max="4"/>
    <col width="6" customWidth="1" min="5" max="5"/>
    <col width="14" customWidth="1" min="6" max="6"/>
    <col width="32" customWidth="1" min="7" max="7"/>
    <col width="28" customWidth="1" min="8" max="8"/>
    <col width="7" customWidth="1" min="9" max="9"/>
    <col width="60" customWidth="1" min="10" max="10"/>
    <col width="11" customWidth="1" min="11" max="11"/>
  </cols>
  <sheetData>
    <row r="1">
      <c r="A1" s="1" t="inlineStr">
        <is>
          <t>4 Days Vaishno Devi Helicopter Package – Minute-to-Minute Plan</t>
        </is>
      </c>
    </row>
    <row r="2">
      <c r="A2" s="5" t="inlineStr">
        <is>
          <t>Departure: 13–16 March 2027. Draft as of 21 Oct 2026. Car km and drive times are approximate – verify on Google Maps. Edit Start/End times; Mins and totals recalculate.</t>
        </is>
      </c>
    </row>
    <row r="4">
      <c r="A4" s="11" t="inlineStr">
        <is>
          <t>Day</t>
        </is>
      </c>
      <c r="B4" s="11" t="inlineStr">
        <is>
          <t>Date</t>
        </is>
      </c>
      <c r="C4" s="11" t="inlineStr">
        <is>
          <t>Start</t>
        </is>
      </c>
      <c r="D4" s="11" t="inlineStr">
        <is>
          <t>End</t>
        </is>
      </c>
      <c r="E4" s="11" t="inlineStr">
        <is>
          <t>Mins</t>
        </is>
      </c>
      <c r="F4" s="11" t="inlineStr">
        <is>
          <t>Mode</t>
        </is>
      </c>
      <c r="G4" s="11" t="inlineStr">
        <is>
          <t>From</t>
        </is>
      </c>
      <c r="H4" s="11" t="inlineStr">
        <is>
          <t>To</t>
        </is>
      </c>
      <c r="I4" s="11" t="inlineStr">
        <is>
          <t>Car km</t>
        </is>
      </c>
      <c r="J4" s="11" t="inlineStr">
        <is>
          <t>What we do</t>
        </is>
      </c>
      <c r="K4" s="11" t="inlineStr">
        <is>
          <t>Google Map</t>
        </is>
      </c>
    </row>
    <row r="5">
      <c r="A5" s="12" t="n">
        <v>1</v>
      </c>
      <c r="B5" s="13">
        <f>Overview!$B$3+A5-1</f>
        <v/>
      </c>
      <c r="C5" s="14" t="n">
        <v>0.5833333333333334</v>
      </c>
      <c r="D5" s="14" t="n">
        <v>0.6041666666666666</v>
      </c>
      <c r="E5" s="12">
        <f>ROUND((D5-C5)*1440,0)</f>
        <v/>
      </c>
      <c r="F5" s="12" t="inlineStr">
        <is>
          <t>Arrival</t>
        </is>
      </c>
      <c r="G5" s="12" t="inlineStr">
        <is>
          <t>Jammu Airport (IXJ)</t>
        </is>
      </c>
      <c r="H5" s="12" t="inlineStr"/>
      <c r="I5" s="12" t="n"/>
      <c r="J5" s="12" t="inlineStr">
        <is>
          <t>Meet our representative, garland welcome, load luggage, headcount</t>
        </is>
      </c>
      <c r="K5" s="15" t="inlineStr">
        <is>
          <t>Open map</t>
        </is>
      </c>
    </row>
    <row r="6">
      <c r="A6" s="12" t="n">
        <v>1</v>
      </c>
      <c r="B6" s="13">
        <f>Overview!$B$3+A6-1</f>
        <v/>
      </c>
      <c r="C6" s="14" t="n">
        <v>0.6041666666666666</v>
      </c>
      <c r="D6" s="14" t="n">
        <v>0.6180555555555556</v>
      </c>
      <c r="E6" s="12">
        <f>ROUND((D6-C6)*1440,0)</f>
        <v/>
      </c>
      <c r="F6" s="12" t="inlineStr">
        <is>
          <t>Car</t>
        </is>
      </c>
      <c r="G6" s="12" t="inlineStr">
        <is>
          <t>Jammu Airport</t>
        </is>
      </c>
      <c r="H6" s="12" t="inlineStr">
        <is>
          <t>Hotel, Jammu</t>
        </is>
      </c>
      <c r="I6" s="12" t="n">
        <v>7</v>
      </c>
      <c r="J6" s="12" t="inlineStr">
        <is>
          <t>Transfer to the hotel</t>
        </is>
      </c>
      <c r="K6" s="15" t="inlineStr">
        <is>
          <t>Open map</t>
        </is>
      </c>
    </row>
    <row r="7">
      <c r="A7" s="12" t="n">
        <v>1</v>
      </c>
      <c r="B7" s="13">
        <f>Overview!$B$3+A7-1</f>
        <v/>
      </c>
      <c r="C7" s="14" t="n">
        <v>0.6180555555555556</v>
      </c>
      <c r="D7" s="14" t="n">
        <v>0.6354166666666666</v>
      </c>
      <c r="E7" s="12">
        <f>ROUND((D7-C7)*1440,0)</f>
        <v/>
      </c>
      <c r="F7" s="12" t="inlineStr">
        <is>
          <t>Halt</t>
        </is>
      </c>
      <c r="G7" s="12" t="inlineStr">
        <is>
          <t>Hotel, Jammu</t>
        </is>
      </c>
      <c r="H7" s="12" t="inlineStr"/>
      <c r="I7" s="12" t="n"/>
      <c r="J7" s="12" t="inlineStr">
        <is>
          <t>Check-in, freshen up</t>
        </is>
      </c>
      <c r="K7" s="15" t="inlineStr">
        <is>
          <t>Open map</t>
        </is>
      </c>
    </row>
    <row r="8">
      <c r="A8" s="16" t="n">
        <v>1</v>
      </c>
      <c r="B8" s="17">
        <f>Overview!$B$3+A8-1</f>
        <v/>
      </c>
      <c r="C8" s="18" t="n">
        <v>0.6354166666666666</v>
      </c>
      <c r="D8" s="18" t="n">
        <v>0.6597222222222222</v>
      </c>
      <c r="E8" s="16">
        <f>ROUND((D8-C8)*1440,0)</f>
        <v/>
      </c>
      <c r="F8" s="16" t="inlineStr">
        <is>
          <t>Lunch</t>
        </is>
      </c>
      <c r="G8" s="16" t="inlineStr">
        <is>
          <t>Hotel restaurant, Jammu</t>
        </is>
      </c>
      <c r="H8" s="16" t="inlineStr"/>
      <c r="I8" s="16" t="n"/>
      <c r="J8" s="16" t="inlineStr">
        <is>
          <t>Lunch</t>
        </is>
      </c>
      <c r="K8" s="19" t="inlineStr">
        <is>
          <t>Open map</t>
        </is>
      </c>
    </row>
    <row r="9">
      <c r="A9" s="12" t="n">
        <v>1</v>
      </c>
      <c r="B9" s="13">
        <f>Overview!$B$3+A9-1</f>
        <v/>
      </c>
      <c r="C9" s="14" t="n">
        <v>0.6597222222222222</v>
      </c>
      <c r="D9" s="14" t="n">
        <v>0.6701388888888888</v>
      </c>
      <c r="E9" s="12">
        <f>ROUND((D9-C9)*1440,0)</f>
        <v/>
      </c>
      <c r="F9" s="12" t="inlineStr">
        <is>
          <t>Car</t>
        </is>
      </c>
      <c r="G9" s="12" t="inlineStr">
        <is>
          <t>Hotel, Jammu</t>
        </is>
      </c>
      <c r="H9" s="12" t="inlineStr">
        <is>
          <t>Raghunath Temple</t>
        </is>
      </c>
      <c r="I9" s="12" t="n">
        <v>5</v>
      </c>
      <c r="J9" s="12" t="inlineStr">
        <is>
          <t>Drive to the old-city temple complex</t>
        </is>
      </c>
      <c r="K9" s="15" t="inlineStr">
        <is>
          <t>Open map</t>
        </is>
      </c>
    </row>
    <row r="10">
      <c r="A10" s="12" t="n">
        <v>1</v>
      </c>
      <c r="B10" s="13">
        <f>Overview!$B$3+A10-1</f>
        <v/>
      </c>
      <c r="C10" s="14" t="n">
        <v>0.6701388888888888</v>
      </c>
      <c r="D10" s="14" t="n">
        <v>0.6979166666666666</v>
      </c>
      <c r="E10" s="12">
        <f>ROUND((D10-C10)*1440,0)</f>
        <v/>
      </c>
      <c r="F10" s="12" t="inlineStr">
        <is>
          <t>Darshan</t>
        </is>
      </c>
      <c r="G10" s="12" t="inlineStr">
        <is>
          <t>Raghunath Temple</t>
        </is>
      </c>
      <c r="H10" s="12" t="inlineStr"/>
      <c r="I10" s="12" t="n"/>
      <c r="J10" s="12" t="inlineStr">
        <is>
          <t>Darshan of Sri Rama, Sita and Lakshmana; galleries of saligramas; group kirtan</t>
        </is>
      </c>
      <c r="K10" s="15" t="inlineStr">
        <is>
          <t>Open map</t>
        </is>
      </c>
    </row>
    <row r="11">
      <c r="A11" s="12" t="n">
        <v>1</v>
      </c>
      <c r="B11" s="13">
        <f>Overview!$B$3+A11-1</f>
        <v/>
      </c>
      <c r="C11" s="14" t="n">
        <v>0.6979166666666666</v>
      </c>
      <c r="D11" s="14" t="n">
        <v>0.7048611111111112</v>
      </c>
      <c r="E11" s="12">
        <f>ROUND((D11-C11)*1440,0)</f>
        <v/>
      </c>
      <c r="F11" s="12" t="inlineStr">
        <is>
          <t>Car</t>
        </is>
      </c>
      <c r="G11" s="12" t="inlineStr">
        <is>
          <t>Raghunath Temple</t>
        </is>
      </c>
      <c r="H11" s="12" t="inlineStr">
        <is>
          <t>Ranbireshwar Temple</t>
        </is>
      </c>
      <c r="I11" s="12" t="n">
        <v>1</v>
      </c>
      <c r="J11" s="12" t="inlineStr">
        <is>
          <t>Short hop</t>
        </is>
      </c>
      <c r="K11" s="15" t="inlineStr">
        <is>
          <t>Open map</t>
        </is>
      </c>
    </row>
    <row r="12">
      <c r="A12" s="12" t="n">
        <v>1</v>
      </c>
      <c r="B12" s="13">
        <f>Overview!$B$3+A12-1</f>
        <v/>
      </c>
      <c r="C12" s="14" t="n">
        <v>0.7048611111111112</v>
      </c>
      <c r="D12" s="14" t="n">
        <v>0.7291666666666666</v>
      </c>
      <c r="E12" s="12">
        <f>ROUND((D12-C12)*1440,0)</f>
        <v/>
      </c>
      <c r="F12" s="12" t="inlineStr">
        <is>
          <t>Darshan</t>
        </is>
      </c>
      <c r="G12" s="12" t="inlineStr">
        <is>
          <t>Ranbireshwar Temple</t>
        </is>
      </c>
      <c r="H12" s="12" t="inlineStr"/>
      <c r="I12" s="12" t="n"/>
      <c r="J12" s="12" t="inlineStr">
        <is>
          <t>Darshan of the 7.5 ft Shiva lingam and crystal lingams</t>
        </is>
      </c>
      <c r="K12" s="15" t="inlineStr">
        <is>
          <t>Open map</t>
        </is>
      </c>
    </row>
    <row r="13">
      <c r="A13" s="12" t="n">
        <v>1</v>
      </c>
      <c r="B13" s="13">
        <f>Overview!$B$3+A13-1</f>
        <v/>
      </c>
      <c r="C13" s="14" t="n">
        <v>0.7291666666666666</v>
      </c>
      <c r="D13" s="14" t="n">
        <v>0.7361111111111112</v>
      </c>
      <c r="E13" s="12">
        <f>ROUND((D13-C13)*1440,0)</f>
        <v/>
      </c>
      <c r="F13" s="12" t="inlineStr">
        <is>
          <t>Car</t>
        </is>
      </c>
      <c r="G13" s="12" t="inlineStr">
        <is>
          <t>Ranbireshwar Temple</t>
        </is>
      </c>
      <c r="H13" s="12" t="inlineStr">
        <is>
          <t>Raghunath Bazaar</t>
        </is>
      </c>
      <c r="I13" s="12" t="n">
        <v>1</v>
      </c>
      <c r="J13" s="12" t="inlineStr">
        <is>
          <t>Short hop to the old-city market</t>
        </is>
      </c>
      <c r="K13" s="15" t="inlineStr">
        <is>
          <t>Open map</t>
        </is>
      </c>
    </row>
    <row r="14">
      <c r="A14" s="12" t="n">
        <v>1</v>
      </c>
      <c r="B14" s="13">
        <f>Overview!$B$3+A14-1</f>
        <v/>
      </c>
      <c r="C14" s="14" t="n">
        <v>0.7361111111111112</v>
      </c>
      <c r="D14" s="14" t="n">
        <v>0.7777777777777778</v>
      </c>
      <c r="E14" s="12">
        <f>ROUND((D14-C14)*1440,0)</f>
        <v/>
      </c>
      <c r="F14" s="12" t="inlineStr">
        <is>
          <t>Shopping</t>
        </is>
      </c>
      <c r="G14" s="12" t="inlineStr">
        <is>
          <t>Raghunath Bazaar, Jammu</t>
        </is>
      </c>
      <c r="H14" s="12" t="inlineStr"/>
      <c r="I14" s="12" t="n"/>
      <c r="J14" s="12" t="inlineStr">
        <is>
          <t>Dry fruits, Kalari cheese, Dogra handicrafts</t>
        </is>
      </c>
      <c r="K14" s="15" t="inlineStr">
        <is>
          <t>Open map</t>
        </is>
      </c>
    </row>
    <row r="15">
      <c r="A15" s="12" t="n">
        <v>1</v>
      </c>
      <c r="B15" s="13">
        <f>Overview!$B$3+A15-1</f>
        <v/>
      </c>
      <c r="C15" s="14" t="n">
        <v>0.7777777777777778</v>
      </c>
      <c r="D15" s="14" t="n">
        <v>0.7916666666666666</v>
      </c>
      <c r="E15" s="12">
        <f>ROUND((D15-C15)*1440,0)</f>
        <v/>
      </c>
      <c r="F15" s="12" t="inlineStr">
        <is>
          <t>Car</t>
        </is>
      </c>
      <c r="G15" s="12" t="inlineStr">
        <is>
          <t>Raghunath Bazaar</t>
        </is>
      </c>
      <c r="H15" s="12" t="inlineStr">
        <is>
          <t>Hotel, Jammu</t>
        </is>
      </c>
      <c r="I15" s="12" t="n">
        <v>5</v>
      </c>
      <c r="J15" s="12" t="inlineStr">
        <is>
          <t>Return to the hotel</t>
        </is>
      </c>
      <c r="K15" s="15" t="inlineStr">
        <is>
          <t>Open map</t>
        </is>
      </c>
    </row>
    <row r="16">
      <c r="A16" s="12" t="n">
        <v>1</v>
      </c>
      <c r="B16" s="13">
        <f>Overview!$B$3+A16-1</f>
        <v/>
      </c>
      <c r="C16" s="14" t="n">
        <v>0.7916666666666666</v>
      </c>
      <c r="D16" s="14" t="n">
        <v>0.84375</v>
      </c>
      <c r="E16" s="12">
        <f>ROUND((D16-C16)*1440,0)</f>
        <v/>
      </c>
      <c r="F16" s="12" t="inlineStr">
        <is>
          <t>Rest</t>
        </is>
      </c>
      <c r="G16" s="12" t="inlineStr">
        <is>
          <t>Hotel, Jammu</t>
        </is>
      </c>
      <c r="H16" s="12" t="inlineStr"/>
      <c r="I16" s="12" t="n"/>
      <c r="J16" s="12" t="inlineStr">
        <is>
          <t>Rest, kirtan; Day 2 briefing (photo ID, small bag for Bhawan; main luggage stays at this hotel)</t>
        </is>
      </c>
      <c r="K16" s="15" t="inlineStr">
        <is>
          <t>Open map</t>
        </is>
      </c>
    </row>
    <row r="17">
      <c r="A17" s="16" t="n">
        <v>1</v>
      </c>
      <c r="B17" s="17">
        <f>Overview!$B$3+A17-1</f>
        <v/>
      </c>
      <c r="C17" s="18" t="n">
        <v>0.84375</v>
      </c>
      <c r="D17" s="18" t="n">
        <v>0.8854166666666666</v>
      </c>
      <c r="E17" s="16">
        <f>ROUND((D17-C17)*1440,0)</f>
        <v/>
      </c>
      <c r="F17" s="16" t="inlineStr">
        <is>
          <t>Dinner</t>
        </is>
      </c>
      <c r="G17" s="16" t="inlineStr">
        <is>
          <t>Hotel restaurant, Jammu</t>
        </is>
      </c>
      <c r="H17" s="16" t="inlineStr"/>
      <c r="I17" s="16" t="n"/>
      <c r="J17" s="16" t="inlineStr">
        <is>
          <t>Dinner</t>
        </is>
      </c>
      <c r="K17" s="19" t="inlineStr">
        <is>
          <t>Open map</t>
        </is>
      </c>
    </row>
    <row r="18">
      <c r="A18" s="16" t="n">
        <v>2</v>
      </c>
      <c r="B18" s="17">
        <f>Overview!$B$3+A18-1</f>
        <v/>
      </c>
      <c r="C18" s="18" t="n">
        <v>0.3125</v>
      </c>
      <c r="D18" s="18" t="n">
        <v>0.3541666666666667</v>
      </c>
      <c r="E18" s="16">
        <f>ROUND((D18-C18)*1440,0)</f>
        <v/>
      </c>
      <c r="F18" s="16" t="inlineStr">
        <is>
          <t>Breakfast</t>
        </is>
      </c>
      <c r="G18" s="16" t="inlineStr">
        <is>
          <t>Hotel restaurant, Jammu</t>
        </is>
      </c>
      <c r="H18" s="16" t="inlineStr"/>
      <c r="I18" s="16" t="n"/>
      <c r="J18" s="16" t="inlineStr">
        <is>
          <t>Breakfast</t>
        </is>
      </c>
      <c r="K18" s="19" t="inlineStr">
        <is>
          <t>Open map</t>
        </is>
      </c>
    </row>
    <row r="19">
      <c r="A19" s="12" t="n">
        <v>2</v>
      </c>
      <c r="B19" s="13">
        <f>Overview!$B$3+A19-1</f>
        <v/>
      </c>
      <c r="C19" s="14" t="n">
        <v>0.3541666666666667</v>
      </c>
      <c r="D19" s="14" t="n">
        <v>0.375</v>
      </c>
      <c r="E19" s="12">
        <f>ROUND((D19-C19)*1440,0)</f>
        <v/>
      </c>
      <c r="F19" s="12" t="inlineStr">
        <is>
          <t>Halt</t>
        </is>
      </c>
      <c r="G19" s="12" t="inlineStr">
        <is>
          <t>Hotel, Jammu</t>
        </is>
      </c>
      <c r="H19" s="12" t="inlineStr"/>
      <c r="I19" s="12" t="n"/>
      <c r="J19" s="12" t="inlineStr">
        <is>
          <t>Check-out with a small bag; main luggage stays at the Jammu hotel for Day 3</t>
        </is>
      </c>
      <c r="K19" s="15" t="inlineStr">
        <is>
          <t>Open map</t>
        </is>
      </c>
    </row>
    <row r="20">
      <c r="A20" s="12" t="n">
        <v>2</v>
      </c>
      <c r="B20" s="13">
        <f>Overview!$B$3+A20-1</f>
        <v/>
      </c>
      <c r="C20" s="14" t="n">
        <v>0.375</v>
      </c>
      <c r="D20" s="14" t="n">
        <v>0.4375</v>
      </c>
      <c r="E20" s="12">
        <f>ROUND((D20-C20)*1440,0)</f>
        <v/>
      </c>
      <c r="F20" s="12" t="inlineStr">
        <is>
          <t>Car</t>
        </is>
      </c>
      <c r="G20" s="12" t="inlineStr">
        <is>
          <t>Hotel, Jammu</t>
        </is>
      </c>
      <c r="H20" s="12" t="inlineStr">
        <is>
          <t>Katra</t>
        </is>
      </c>
      <c r="I20" s="12" t="n">
        <v>50</v>
      </c>
      <c r="J20" s="12" t="inlineStr">
        <is>
          <t>Drive via the Jammu–Katra highway; tea stop en route</t>
        </is>
      </c>
      <c r="K20" s="15" t="inlineStr">
        <is>
          <t>Open map</t>
        </is>
      </c>
    </row>
    <row r="21">
      <c r="A21" s="12" t="n">
        <v>2</v>
      </c>
      <c r="B21" s="13">
        <f>Overview!$B$3+A21-1</f>
        <v/>
      </c>
      <c r="C21" s="14" t="n">
        <v>0.4375</v>
      </c>
      <c r="D21" s="14" t="n">
        <v>0.4583333333333333</v>
      </c>
      <c r="E21" s="12">
        <f>ROUND((D21-C21)*1440,0)</f>
        <v/>
      </c>
      <c r="F21" s="12" t="inlineStr">
        <is>
          <t>Registration</t>
        </is>
      </c>
      <c r="G21" s="12" t="inlineStr">
        <is>
          <t>Yatra Registration Counter, Katra</t>
        </is>
      </c>
      <c r="H21" s="12" t="inlineStr"/>
      <c r="I21" s="12" t="n"/>
      <c r="J21" s="12" t="inlineStr">
        <is>
          <t>RFID Yatra cards for every yatri (carry original photo ID)</t>
        </is>
      </c>
      <c r="K21" s="15" t="inlineStr">
        <is>
          <t>Open map</t>
        </is>
      </c>
    </row>
    <row r="22">
      <c r="A22" s="12" t="n">
        <v>2</v>
      </c>
      <c r="B22" s="13">
        <f>Overview!$B$3+A22-1</f>
        <v/>
      </c>
      <c r="C22" s="14" t="n">
        <v>0.4583333333333333</v>
      </c>
      <c r="D22" s="14" t="n">
        <v>0.4652777777777778</v>
      </c>
      <c r="E22" s="12">
        <f>ROUND((D22-C22)*1440,0)</f>
        <v/>
      </c>
      <c r="F22" s="12" t="inlineStr">
        <is>
          <t>Car</t>
        </is>
      </c>
      <c r="G22" s="12" t="inlineStr">
        <is>
          <t>Katra town</t>
        </is>
      </c>
      <c r="H22" s="12" t="inlineStr">
        <is>
          <t>Katra Helipad</t>
        </is>
      </c>
      <c r="I22" s="12" t="n">
        <v>2</v>
      </c>
      <c r="J22" s="12" t="inlineStr">
        <is>
          <t>Drive to the helipad</t>
        </is>
      </c>
      <c r="K22" s="15" t="inlineStr">
        <is>
          <t>Open map</t>
        </is>
      </c>
    </row>
    <row r="23">
      <c r="A23" s="12" t="n">
        <v>2</v>
      </c>
      <c r="B23" s="13">
        <f>Overview!$B$3+A23-1</f>
        <v/>
      </c>
      <c r="C23" s="14" t="n">
        <v>0.4652777777777778</v>
      </c>
      <c r="D23" s="14" t="n">
        <v>0.5104166666666666</v>
      </c>
      <c r="E23" s="12">
        <f>ROUND((D23-C23)*1440,0)</f>
        <v/>
      </c>
      <c r="F23" s="12" t="inlineStr">
        <is>
          <t>Reporting</t>
        </is>
      </c>
      <c r="G23" s="12" t="inlineStr">
        <is>
          <t>Katra Helipad</t>
        </is>
      </c>
      <c r="H23" s="12" t="inlineStr"/>
      <c r="I23" s="12" t="n"/>
      <c r="J23" s="12" t="inlineStr">
        <is>
          <t>Report for the allotted slot: ticket and ID check, baggage weighing, security</t>
        </is>
      </c>
      <c r="K23" s="15" t="inlineStr">
        <is>
          <t>Open map</t>
        </is>
      </c>
    </row>
    <row r="24">
      <c r="A24" s="20" t="n">
        <v>2</v>
      </c>
      <c r="B24" s="21">
        <f>Overview!$B$3+A24-1</f>
        <v/>
      </c>
      <c r="C24" s="22" t="n">
        <v>0.5104166666666666</v>
      </c>
      <c r="D24" s="22" t="n">
        <v>0.5173611111111112</v>
      </c>
      <c r="E24" s="20">
        <f>ROUND((D24-C24)*1440,0)</f>
        <v/>
      </c>
      <c r="F24" s="20" t="inlineStr">
        <is>
          <t>Helicopter</t>
        </is>
      </c>
      <c r="G24" s="20" t="inlineStr">
        <is>
          <t>Katra Helipad</t>
        </is>
      </c>
      <c r="H24" s="20" t="inlineStr">
        <is>
          <t>Sanjichhat Helipad</t>
        </is>
      </c>
      <c r="I24" s="20" t="n"/>
      <c r="J24" s="20" t="inlineStr">
        <is>
          <t>Helicopter flight, about 5–8 minutes</t>
        </is>
      </c>
      <c r="K24" s="23" t="inlineStr">
        <is>
          <t>Open map</t>
        </is>
      </c>
    </row>
    <row r="25">
      <c r="A25" s="20" t="n">
        <v>2</v>
      </c>
      <c r="B25" s="21">
        <f>Overview!$B$3+A25-1</f>
        <v/>
      </c>
      <c r="C25" s="22" t="n">
        <v>0.5173611111111112</v>
      </c>
      <c r="D25" s="22" t="n">
        <v>0.5416666666666666</v>
      </c>
      <c r="E25" s="20">
        <f>ROUND((D25-C25)*1440,0)</f>
        <v/>
      </c>
      <c r="F25" s="20" t="inlineStr">
        <is>
          <t>Battery car</t>
        </is>
      </c>
      <c r="G25" s="20" t="inlineStr">
        <is>
          <t>Sanjichhat Helipad</t>
        </is>
      </c>
      <c r="H25" s="20" t="inlineStr">
        <is>
          <t>Bhawan</t>
        </is>
      </c>
      <c r="I25" s="20" t="n"/>
      <c r="J25" s="20" t="inlineStr">
        <is>
          <t>2.5 km to Bhawan by battery car</t>
        </is>
      </c>
      <c r="K25" s="23" t="inlineStr">
        <is>
          <t>Open map</t>
        </is>
      </c>
    </row>
    <row r="26">
      <c r="A26" s="12" t="n">
        <v>2</v>
      </c>
      <c r="B26" s="13">
        <f>Overview!$B$3+A26-1</f>
        <v/>
      </c>
      <c r="C26" s="14" t="n">
        <v>0.5416666666666666</v>
      </c>
      <c r="D26" s="14" t="n">
        <v>0.5625</v>
      </c>
      <c r="E26" s="12">
        <f>ROUND((D26-C26)*1440,0)</f>
        <v/>
      </c>
      <c r="F26" s="12" t="inlineStr">
        <is>
          <t>Halt</t>
        </is>
      </c>
      <c r="G26" s="12" t="inlineStr">
        <is>
          <t>Bhawan</t>
        </is>
      </c>
      <c r="H26" s="12" t="inlineStr"/>
      <c r="I26" s="12" t="n"/>
      <c r="J26" s="12" t="inlineStr">
        <is>
          <t>Check-in at Bhawan accommodation; cloak room</t>
        </is>
      </c>
      <c r="K26" s="15" t="inlineStr">
        <is>
          <t>Open map</t>
        </is>
      </c>
    </row>
    <row r="27">
      <c r="A27" s="16" t="n">
        <v>2</v>
      </c>
      <c r="B27" s="17">
        <f>Overview!$B$3+A27-1</f>
        <v/>
      </c>
      <c r="C27" s="18" t="n">
        <v>0.5625</v>
      </c>
      <c r="D27" s="18" t="n">
        <v>0.59375</v>
      </c>
      <c r="E27" s="16">
        <f>ROUND((D27-C27)*1440,0)</f>
        <v/>
      </c>
      <c r="F27" s="16" t="inlineStr">
        <is>
          <t>Lunch</t>
        </is>
      </c>
      <c r="G27" s="16" t="inlineStr">
        <is>
          <t>Restaurant, Bhawan</t>
        </is>
      </c>
      <c r="H27" s="16" t="inlineStr"/>
      <c r="I27" s="16" t="n"/>
      <c r="J27" s="16" t="inlineStr">
        <is>
          <t>Lunch</t>
        </is>
      </c>
      <c r="K27" s="19" t="inlineStr">
        <is>
          <t>Open map</t>
        </is>
      </c>
    </row>
    <row r="28">
      <c r="A28" s="12" t="n">
        <v>2</v>
      </c>
      <c r="B28" s="13">
        <f>Overview!$B$3+A28-1</f>
        <v/>
      </c>
      <c r="C28" s="14" t="n">
        <v>0.59375</v>
      </c>
      <c r="D28" s="14" t="n">
        <v>0.6875</v>
      </c>
      <c r="E28" s="12">
        <f>ROUND((D28-C28)*1440,0)</f>
        <v/>
      </c>
      <c r="F28" s="12" t="inlineStr">
        <is>
          <t>Rest</t>
        </is>
      </c>
      <c r="G28" s="12" t="inlineStr">
        <is>
          <t>Bhawan</t>
        </is>
      </c>
      <c r="H28" s="12" t="inlineStr"/>
      <c r="I28" s="12" t="n"/>
      <c r="J28" s="12" t="inlineStr">
        <is>
          <t>Rest, japa, group kirtan</t>
        </is>
      </c>
      <c r="K28" s="15" t="inlineStr">
        <is>
          <t>Open map</t>
        </is>
      </c>
    </row>
    <row r="29">
      <c r="A29" s="12" t="n">
        <v>2</v>
      </c>
      <c r="B29" s="13">
        <f>Overview!$B$3+A29-1</f>
        <v/>
      </c>
      <c r="C29" s="14" t="n">
        <v>0.6875</v>
      </c>
      <c r="D29" s="14" t="n">
        <v>0.75</v>
      </c>
      <c r="E29" s="12">
        <f>ROUND((D29-C29)*1440,0)</f>
        <v/>
      </c>
      <c r="F29" s="12" t="inlineStr">
        <is>
          <t>Darshan</t>
        </is>
      </c>
      <c r="G29" s="12" t="inlineStr">
        <is>
          <t>Holy Cave, Bhawan</t>
        </is>
      </c>
      <c r="H29" s="12" t="inlineStr"/>
      <c r="I29" s="12" t="n"/>
      <c r="J29" s="12" t="inlineStr">
        <is>
          <t>Darshan of the three Pindis (Maha Kali, Maha Lakshmi, Maha Saraswati)</t>
        </is>
      </c>
      <c r="K29" s="15" t="inlineStr">
        <is>
          <t>Open map</t>
        </is>
      </c>
    </row>
    <row r="30">
      <c r="A30" s="24" t="n">
        <v>2</v>
      </c>
      <c r="B30" s="25">
        <f>Overview!$B$3+A30-1</f>
        <v/>
      </c>
      <c r="C30" s="26" t="n">
        <v>0.75</v>
      </c>
      <c r="D30" s="26" t="n">
        <v>0.8125</v>
      </c>
      <c r="E30" s="24">
        <f>ROUND((D30-C30)*1440,0)</f>
        <v/>
      </c>
      <c r="F30" s="24" t="inlineStr">
        <is>
          <t>Aarti</t>
        </is>
      </c>
      <c r="G30" s="24" t="inlineStr">
        <is>
          <t>Bhawan</t>
        </is>
      </c>
      <c r="H30" s="24" t="inlineStr"/>
      <c r="I30" s="24" t="n"/>
      <c r="J30" s="24" t="inlineStr">
        <is>
          <t>Evening Atka Aarti at the Holy Cave (main temple) – Aarti passes arranged by the organisers so yatris sit before Mata Rani for the full Aarti</t>
        </is>
      </c>
      <c r="K30" s="27" t="inlineStr">
        <is>
          <t>Open map</t>
        </is>
      </c>
    </row>
    <row r="31">
      <c r="A31" s="16" t="n">
        <v>2</v>
      </c>
      <c r="B31" s="17">
        <f>Overview!$B$3+A31-1</f>
        <v/>
      </c>
      <c r="C31" s="18" t="n">
        <v>0.8125</v>
      </c>
      <c r="D31" s="18" t="n">
        <v>0.8541666666666666</v>
      </c>
      <c r="E31" s="16">
        <f>ROUND((D31-C31)*1440,0)</f>
        <v/>
      </c>
      <c r="F31" s="16" t="inlineStr">
        <is>
          <t>Dinner</t>
        </is>
      </c>
      <c r="G31" s="16" t="inlineStr">
        <is>
          <t>Restaurant, Bhawan</t>
        </is>
      </c>
      <c r="H31" s="16" t="inlineStr"/>
      <c r="I31" s="16" t="n"/>
      <c r="J31" s="16" t="inlineStr">
        <is>
          <t>Dinner</t>
        </is>
      </c>
      <c r="K31" s="19" t="inlineStr">
        <is>
          <t>Open map</t>
        </is>
      </c>
    </row>
    <row r="32">
      <c r="A32" s="12" t="n">
        <v>3</v>
      </c>
      <c r="B32" s="13">
        <f>Overview!$B$3+A32-1</f>
        <v/>
      </c>
      <c r="C32" s="14" t="n">
        <v>0.1875</v>
      </c>
      <c r="D32" s="14" t="n">
        <v>0.2291666666666667</v>
      </c>
      <c r="E32" s="12">
        <f>ROUND((D32-C32)*1440,0)</f>
        <v/>
      </c>
      <c r="F32" s="12" t="inlineStr">
        <is>
          <t>Halt</t>
        </is>
      </c>
      <c r="G32" s="12" t="inlineStr">
        <is>
          <t>Bhawan</t>
        </is>
      </c>
      <c r="H32" s="12" t="inlineStr"/>
      <c r="I32" s="12" t="n"/>
      <c r="J32" s="12" t="inlineStr">
        <is>
          <t>Wake-up, bath, get ready</t>
        </is>
      </c>
      <c r="K32" s="15" t="inlineStr">
        <is>
          <t>Open map</t>
        </is>
      </c>
    </row>
    <row r="33">
      <c r="A33" s="24" t="n">
        <v>3</v>
      </c>
      <c r="B33" s="25">
        <f>Overview!$B$3+A33-1</f>
        <v/>
      </c>
      <c r="C33" s="26" t="n">
        <v>0.2291666666666667</v>
      </c>
      <c r="D33" s="26" t="n">
        <v>0.2916666666666667</v>
      </c>
      <c r="E33" s="24">
        <f>ROUND((D33-C33)*1440,0)</f>
        <v/>
      </c>
      <c r="F33" s="24" t="inlineStr">
        <is>
          <t>Aarti</t>
        </is>
      </c>
      <c r="G33" s="24" t="inlineStr">
        <is>
          <t>Bhawan</t>
        </is>
      </c>
      <c r="H33" s="24" t="inlineStr"/>
      <c r="I33" s="24" t="n"/>
      <c r="J33" s="24" t="inlineStr">
        <is>
          <t>Morning Atka Aarti at the Holy Cave (main temple) – arranged by the organisers; more time before Mata Rani</t>
        </is>
      </c>
      <c r="K33" s="27" t="inlineStr">
        <is>
          <t>Open map</t>
        </is>
      </c>
    </row>
    <row r="34">
      <c r="A34" s="12" t="n">
        <v>3</v>
      </c>
      <c r="B34" s="13">
        <f>Overview!$B$3+A34-1</f>
        <v/>
      </c>
      <c r="C34" s="14" t="n">
        <v>0.2916666666666667</v>
      </c>
      <c r="D34" s="14" t="n">
        <v>0.3125</v>
      </c>
      <c r="E34" s="12">
        <f>ROUND((D34-C34)*1440,0)</f>
        <v/>
      </c>
      <c r="F34" s="12" t="inlineStr">
        <is>
          <t>Rest</t>
        </is>
      </c>
      <c r="G34" s="12" t="inlineStr">
        <is>
          <t>Bhawan</t>
        </is>
      </c>
      <c r="H34" s="12" t="inlineStr"/>
      <c r="I34" s="12" t="n"/>
      <c r="J34" s="12" t="inlineStr">
        <is>
          <t>Rest, pack small bag</t>
        </is>
      </c>
      <c r="K34" s="15" t="inlineStr">
        <is>
          <t>Open map</t>
        </is>
      </c>
    </row>
    <row r="35">
      <c r="A35" s="16" t="n">
        <v>3</v>
      </c>
      <c r="B35" s="17">
        <f>Overview!$B$3+A35-1</f>
        <v/>
      </c>
      <c r="C35" s="18" t="n">
        <v>0.3125</v>
      </c>
      <c r="D35" s="18" t="n">
        <v>0.3541666666666667</v>
      </c>
      <c r="E35" s="16">
        <f>ROUND((D35-C35)*1440,0)</f>
        <v/>
      </c>
      <c r="F35" s="16" t="inlineStr">
        <is>
          <t>Breakfast</t>
        </is>
      </c>
      <c r="G35" s="16" t="inlineStr">
        <is>
          <t>Restaurant, Bhawan</t>
        </is>
      </c>
      <c r="H35" s="16" t="inlineStr"/>
      <c r="I35" s="16" t="n"/>
      <c r="J35" s="16" t="inlineStr">
        <is>
          <t>Breakfast</t>
        </is>
      </c>
      <c r="K35" s="19" t="inlineStr">
        <is>
          <t>Open map</t>
        </is>
      </c>
    </row>
    <row r="36">
      <c r="A36" s="12" t="n">
        <v>3</v>
      </c>
      <c r="B36" s="13">
        <f>Overview!$B$3+A36-1</f>
        <v/>
      </c>
      <c r="C36" s="14" t="n">
        <v>0.3541666666666667</v>
      </c>
      <c r="D36" s="14" t="n">
        <v>0.375</v>
      </c>
      <c r="E36" s="12">
        <f>ROUND((D36-C36)*1440,0)</f>
        <v/>
      </c>
      <c r="F36" s="12" t="inlineStr">
        <is>
          <t>Halt</t>
        </is>
      </c>
      <c r="G36" s="12" t="inlineStr">
        <is>
          <t>Bhawan</t>
        </is>
      </c>
      <c r="H36" s="12" t="inlineStr"/>
      <c r="I36" s="12" t="n"/>
      <c r="J36" s="12" t="inlineStr">
        <is>
          <t>Check-out, collect cloak-room items</t>
        </is>
      </c>
      <c r="K36" s="15" t="inlineStr">
        <is>
          <t>Open map</t>
        </is>
      </c>
    </row>
    <row r="37">
      <c r="A37" s="12" t="n">
        <v>3</v>
      </c>
      <c r="B37" s="13">
        <f>Overview!$B$3+A37-1</f>
        <v/>
      </c>
      <c r="C37" s="14" t="n">
        <v>0.375</v>
      </c>
      <c r="D37" s="14" t="n">
        <v>0.3854166666666667</v>
      </c>
      <c r="E37" s="12">
        <f>ROUND((D37-C37)*1440,0)</f>
        <v/>
      </c>
      <c r="F37" s="12" t="inlineStr">
        <is>
          <t>Walk</t>
        </is>
      </c>
      <c r="G37" s="12" t="inlineStr">
        <is>
          <t>Bhawan</t>
        </is>
      </c>
      <c r="H37" s="12" t="inlineStr">
        <is>
          <t>Bhawan ropeway station</t>
        </is>
      </c>
      <c r="I37" s="12" t="n"/>
      <c r="J37" s="12" t="inlineStr">
        <is>
          <t>Short walk (~300 m) to the ropeway</t>
        </is>
      </c>
      <c r="K37" s="15" t="inlineStr">
        <is>
          <t>Open map</t>
        </is>
      </c>
    </row>
    <row r="38">
      <c r="A38" s="20" t="n">
        <v>3</v>
      </c>
      <c r="B38" s="21">
        <f>Overview!$B$3+A38-1</f>
        <v/>
      </c>
      <c r="C38" s="22" t="n">
        <v>0.3854166666666667</v>
      </c>
      <c r="D38" s="22" t="n">
        <v>0.3993055555555556</v>
      </c>
      <c r="E38" s="20">
        <f>ROUND((D38-C38)*1440,0)</f>
        <v/>
      </c>
      <c r="F38" s="20" t="inlineStr">
        <is>
          <t>Ropeway</t>
        </is>
      </c>
      <c r="G38" s="20" t="inlineStr">
        <is>
          <t>Bhawan ropeway station</t>
        </is>
      </c>
      <c r="H38" s="20" t="inlineStr">
        <is>
          <t>Bhairon Ghati</t>
        </is>
      </c>
      <c r="I38" s="20" t="n"/>
      <c r="J38" s="20" t="inlineStr">
        <is>
          <t>Ropeway ride, about 3 minutes plus queue</t>
        </is>
      </c>
      <c r="K38" s="23" t="inlineStr">
        <is>
          <t>Open map</t>
        </is>
      </c>
    </row>
    <row r="39">
      <c r="A39" s="12" t="n">
        <v>3</v>
      </c>
      <c r="B39" s="13">
        <f>Overview!$B$3+A39-1</f>
        <v/>
      </c>
      <c r="C39" s="14" t="n">
        <v>0.3993055555555556</v>
      </c>
      <c r="D39" s="14" t="n">
        <v>0.4270833333333333</v>
      </c>
      <c r="E39" s="12">
        <f>ROUND((D39-C39)*1440,0)</f>
        <v/>
      </c>
      <c r="F39" s="12" t="inlineStr">
        <is>
          <t>Darshan</t>
        </is>
      </c>
      <c r="G39" s="12" t="inlineStr">
        <is>
          <t>Bhairon Baba Temple</t>
        </is>
      </c>
      <c r="H39" s="12" t="inlineStr"/>
      <c r="I39" s="12" t="n"/>
      <c r="J39" s="12" t="inlineStr">
        <is>
          <t>Darshan of Bhairon Baba – completes the yatra</t>
        </is>
      </c>
      <c r="K39" s="15" t="inlineStr">
        <is>
          <t>Open map</t>
        </is>
      </c>
    </row>
    <row r="40">
      <c r="A40" s="12" t="n">
        <v>3</v>
      </c>
      <c r="B40" s="13">
        <f>Overview!$B$3+A40-1</f>
        <v/>
      </c>
      <c r="C40" s="14" t="n">
        <v>0.4270833333333333</v>
      </c>
      <c r="D40" s="14" t="n">
        <v>0.46875</v>
      </c>
      <c r="E40" s="12">
        <f>ROUND((D40-C40)*1440,0)</f>
        <v/>
      </c>
      <c r="F40" s="12" t="inlineStr">
        <is>
          <t>Walk</t>
        </is>
      </c>
      <c r="G40" s="12" t="inlineStr">
        <is>
          <t>Bhairon Temple</t>
        </is>
      </c>
      <c r="H40" s="12" t="inlineStr">
        <is>
          <t>Sanjichhat Helipad</t>
        </is>
      </c>
      <c r="I40" s="12" t="n"/>
      <c r="J40" s="12" t="inlineStr">
        <is>
          <t>Downhill track ~3 km to the helipad (escorts assist seniors)</t>
        </is>
      </c>
      <c r="K40" s="15" t="inlineStr">
        <is>
          <t>Open map</t>
        </is>
      </c>
    </row>
    <row r="41">
      <c r="A41" s="12" t="n">
        <v>3</v>
      </c>
      <c r="B41" s="13">
        <f>Overview!$B$3+A41-1</f>
        <v/>
      </c>
      <c r="C41" s="14" t="n">
        <v>0.46875</v>
      </c>
      <c r="D41" s="14" t="n">
        <v>0.5104166666666666</v>
      </c>
      <c r="E41" s="12">
        <f>ROUND((D41-C41)*1440,0)</f>
        <v/>
      </c>
      <c r="F41" s="12" t="inlineStr">
        <is>
          <t>Reporting</t>
        </is>
      </c>
      <c r="G41" s="12" t="inlineStr">
        <is>
          <t>Sanjichhat Helipad</t>
        </is>
      </c>
      <c r="H41" s="12" t="inlineStr"/>
      <c r="I41" s="12" t="n"/>
      <c r="J41" s="12" t="inlineStr">
        <is>
          <t>Report for the return slot</t>
        </is>
      </c>
      <c r="K41" s="15" t="inlineStr">
        <is>
          <t>Open map</t>
        </is>
      </c>
    </row>
    <row r="42">
      <c r="A42" s="20" t="n">
        <v>3</v>
      </c>
      <c r="B42" s="21">
        <f>Overview!$B$3+A42-1</f>
        <v/>
      </c>
      <c r="C42" s="22" t="n">
        <v>0.5104166666666666</v>
      </c>
      <c r="D42" s="22" t="n">
        <v>0.5173611111111112</v>
      </c>
      <c r="E42" s="20">
        <f>ROUND((D42-C42)*1440,0)</f>
        <v/>
      </c>
      <c r="F42" s="20" t="inlineStr">
        <is>
          <t>Helicopter</t>
        </is>
      </c>
      <c r="G42" s="20" t="inlineStr">
        <is>
          <t>Sanjichhat Helipad</t>
        </is>
      </c>
      <c r="H42" s="20" t="inlineStr">
        <is>
          <t>Katra Helipad</t>
        </is>
      </c>
      <c r="I42" s="20" t="n"/>
      <c r="J42" s="20" t="inlineStr">
        <is>
          <t>Return flight, about 5–8 minutes</t>
        </is>
      </c>
      <c r="K42" s="23" t="inlineStr">
        <is>
          <t>Open map</t>
        </is>
      </c>
    </row>
    <row r="43">
      <c r="A43" s="12" t="n">
        <v>3</v>
      </c>
      <c r="B43" s="13">
        <f>Overview!$B$3+A43-1</f>
        <v/>
      </c>
      <c r="C43" s="14" t="n">
        <v>0.5173611111111112</v>
      </c>
      <c r="D43" s="14" t="n">
        <v>0.5277777777777778</v>
      </c>
      <c r="E43" s="12">
        <f>ROUND((D43-C43)*1440,0)</f>
        <v/>
      </c>
      <c r="F43" s="12" t="inlineStr">
        <is>
          <t>Car</t>
        </is>
      </c>
      <c r="G43" s="12" t="inlineStr">
        <is>
          <t>Katra Helipad</t>
        </is>
      </c>
      <c r="H43" s="12" t="inlineStr">
        <is>
          <t>Pooja Vaishno Dhaba, Katra</t>
        </is>
      </c>
      <c r="I43" s="12" t="n">
        <v>2</v>
      </c>
      <c r="J43" s="12" t="inlineStr">
        <is>
          <t>Pick-up at the helipad</t>
        </is>
      </c>
      <c r="K43" s="15" t="inlineStr">
        <is>
          <t>Open map</t>
        </is>
      </c>
    </row>
    <row r="44">
      <c r="A44" s="16" t="n">
        <v>3</v>
      </c>
      <c r="B44" s="17">
        <f>Overview!$B$3+A44-1</f>
        <v/>
      </c>
      <c r="C44" s="18" t="n">
        <v>0.5277777777777778</v>
      </c>
      <c r="D44" s="18" t="n">
        <v>0.5625</v>
      </c>
      <c r="E44" s="16">
        <f>ROUND((D44-C44)*1440,0)</f>
        <v/>
      </c>
      <c r="F44" s="16" t="inlineStr">
        <is>
          <t>Lunch</t>
        </is>
      </c>
      <c r="G44" s="16" t="inlineStr">
        <is>
          <t>Pooja Vaishno Dhaba, Katra</t>
        </is>
      </c>
      <c r="H44" s="16" t="inlineStr"/>
      <c r="I44" s="16" t="n"/>
      <c r="J44" s="16" t="inlineStr">
        <is>
          <t>Lunch (pure veg; backup Madhuban Saattvik Restaurant)</t>
        </is>
      </c>
      <c r="K44" s="19" t="inlineStr">
        <is>
          <t>Open map</t>
        </is>
      </c>
    </row>
    <row r="45">
      <c r="A45" s="12" t="n">
        <v>3</v>
      </c>
      <c r="B45" s="13">
        <f>Overview!$B$3+A45-1</f>
        <v/>
      </c>
      <c r="C45" s="14" t="n">
        <v>0.5625</v>
      </c>
      <c r="D45" s="14" t="n">
        <v>0.5729166666666666</v>
      </c>
      <c r="E45" s="12">
        <f>ROUND((D45-C45)*1440,0)</f>
        <v/>
      </c>
      <c r="F45" s="12" t="inlineStr">
        <is>
          <t>Car</t>
        </is>
      </c>
      <c r="G45" s="12" t="inlineStr">
        <is>
          <t>Katra</t>
        </is>
      </c>
      <c r="H45" s="12" t="inlineStr">
        <is>
          <t>Banganga</t>
        </is>
      </c>
      <c r="I45" s="12" t="n">
        <v>3</v>
      </c>
      <c r="J45" s="12" t="inlineStr">
        <is>
          <t>Drive to Banganga</t>
        </is>
      </c>
      <c r="K45" s="15" t="inlineStr">
        <is>
          <t>Open map</t>
        </is>
      </c>
    </row>
    <row r="46">
      <c r="A46" s="24" t="n">
        <v>3</v>
      </c>
      <c r="B46" s="25">
        <f>Overview!$B$3+A46-1</f>
        <v/>
      </c>
      <c r="C46" s="26" t="n">
        <v>0.5729166666666666</v>
      </c>
      <c r="D46" s="26" t="n">
        <v>0.6041666666666666</v>
      </c>
      <c r="E46" s="24">
        <f>ROUND((D46-C46)*1440,0)</f>
        <v/>
      </c>
      <c r="F46" s="24" t="inlineStr">
        <is>
          <t>Darshan</t>
        </is>
      </c>
      <c r="G46" s="24" t="inlineStr">
        <is>
          <t>Banganga</t>
        </is>
      </c>
      <c r="H46" s="24" t="inlineStr"/>
      <c r="I46" s="24" t="n"/>
      <c r="J46" s="24" t="inlineStr">
        <is>
          <t>Darshan at Banganga, the holy stream the Mother brought forth with an arrow; sprinkle the sacred water</t>
        </is>
      </c>
      <c r="K46" s="27" t="inlineStr">
        <is>
          <t>Open map</t>
        </is>
      </c>
    </row>
    <row r="47">
      <c r="A47" s="12" t="n">
        <v>3</v>
      </c>
      <c r="B47" s="13">
        <f>Overview!$B$3+A47-1</f>
        <v/>
      </c>
      <c r="C47" s="14" t="n">
        <v>0.6041666666666666</v>
      </c>
      <c r="D47" s="14" t="n">
        <v>0.6111111111111112</v>
      </c>
      <c r="E47" s="12">
        <f>ROUND((D47-C47)*1440,0)</f>
        <v/>
      </c>
      <c r="F47" s="12" t="inlineStr">
        <is>
          <t>Car</t>
        </is>
      </c>
      <c r="G47" s="12" t="inlineStr">
        <is>
          <t>Banganga</t>
        </is>
      </c>
      <c r="H47" s="12" t="inlineStr">
        <is>
          <t>Darshani Deodi</t>
        </is>
      </c>
      <c r="I47" s="12" t="n">
        <v>1</v>
      </c>
      <c r="J47" s="12" t="inlineStr">
        <is>
          <t>Short hop</t>
        </is>
      </c>
      <c r="K47" s="15" t="inlineStr">
        <is>
          <t>Open map</t>
        </is>
      </c>
    </row>
    <row r="48">
      <c r="A48" s="12" t="n">
        <v>3</v>
      </c>
      <c r="B48" s="13">
        <f>Overview!$B$3+A48-1</f>
        <v/>
      </c>
      <c r="C48" s="14" t="n">
        <v>0.6111111111111112</v>
      </c>
      <c r="D48" s="14" t="n">
        <v>0.6319444444444444</v>
      </c>
      <c r="E48" s="12">
        <f>ROUND((D48-C48)*1440,0)</f>
        <v/>
      </c>
      <c r="F48" s="12" t="inlineStr">
        <is>
          <t>Darshan</t>
        </is>
      </c>
      <c r="G48" s="12" t="inlineStr">
        <is>
          <t>Darshani Deodi</t>
        </is>
      </c>
      <c r="H48" s="12" t="inlineStr"/>
      <c r="I48" s="12" t="n"/>
      <c r="J48" s="12" t="inlineStr">
        <is>
          <t>Traditional gateway of the yatra; group photo</t>
        </is>
      </c>
      <c r="K48" s="15" t="inlineStr">
        <is>
          <t>Open map</t>
        </is>
      </c>
    </row>
    <row r="49">
      <c r="A49" s="12" t="n">
        <v>3</v>
      </c>
      <c r="B49" s="13">
        <f>Overview!$B$3+A49-1</f>
        <v/>
      </c>
      <c r="C49" s="14" t="n">
        <v>0.6319444444444444</v>
      </c>
      <c r="D49" s="14" t="n">
        <v>0.6423611111111112</v>
      </c>
      <c r="E49" s="12">
        <f>ROUND((D49-C49)*1440,0)</f>
        <v/>
      </c>
      <c r="F49" s="12" t="inlineStr">
        <is>
          <t>Car</t>
        </is>
      </c>
      <c r="G49" s="12" t="inlineStr">
        <is>
          <t>Darshani Deodi</t>
        </is>
      </c>
      <c r="H49" s="12" t="inlineStr">
        <is>
          <t>Katra Main Bazaar</t>
        </is>
      </c>
      <c r="I49" s="12" t="n">
        <v>2</v>
      </c>
      <c r="J49" s="12" t="inlineStr">
        <is>
          <t>Drive to the market</t>
        </is>
      </c>
      <c r="K49" s="15" t="inlineStr">
        <is>
          <t>Open map</t>
        </is>
      </c>
    </row>
    <row r="50">
      <c r="A50" s="12" t="n">
        <v>3</v>
      </c>
      <c r="B50" s="13">
        <f>Overview!$B$3+A50-1</f>
        <v/>
      </c>
      <c r="C50" s="14" t="n">
        <v>0.6423611111111112</v>
      </c>
      <c r="D50" s="14" t="n">
        <v>0.6875</v>
      </c>
      <c r="E50" s="12">
        <f>ROUND((D50-C50)*1440,0)</f>
        <v/>
      </c>
      <c r="F50" s="12" t="inlineStr">
        <is>
          <t>Shopping</t>
        </is>
      </c>
      <c r="G50" s="12" t="inlineStr">
        <is>
          <t>Katra Main Bazaar</t>
        </is>
      </c>
      <c r="H50" s="12" t="inlineStr"/>
      <c r="I50" s="12" t="n"/>
      <c r="J50" s="12" t="inlineStr">
        <is>
          <t>Prasad, chunri, dry fruits, walnut and handicrafts</t>
        </is>
      </c>
      <c r="K50" s="15" t="inlineStr">
        <is>
          <t>Open map</t>
        </is>
      </c>
    </row>
    <row r="51">
      <c r="A51" s="12" t="n">
        <v>3</v>
      </c>
      <c r="B51" s="13">
        <f>Overview!$B$3+A51-1</f>
        <v/>
      </c>
      <c r="C51" s="14" t="n">
        <v>0.6875</v>
      </c>
      <c r="D51" s="14" t="n">
        <v>0.75</v>
      </c>
      <c r="E51" s="12">
        <f>ROUND((D51-C51)*1440,0)</f>
        <v/>
      </c>
      <c r="F51" s="12" t="inlineStr">
        <is>
          <t>Car</t>
        </is>
      </c>
      <c r="G51" s="12" t="inlineStr">
        <is>
          <t>Katra</t>
        </is>
      </c>
      <c r="H51" s="12" t="inlineStr">
        <is>
          <t>Hotel, Jammu</t>
        </is>
      </c>
      <c r="I51" s="12" t="n">
        <v>50</v>
      </c>
      <c r="J51" s="12" t="inlineStr">
        <is>
          <t>Drive back to Jammu</t>
        </is>
      </c>
      <c r="K51" s="15" t="inlineStr">
        <is>
          <t>Open map</t>
        </is>
      </c>
    </row>
    <row r="52">
      <c r="A52" s="12" t="n">
        <v>3</v>
      </c>
      <c r="B52" s="13">
        <f>Overview!$B$3+A52-1</f>
        <v/>
      </c>
      <c r="C52" s="14" t="n">
        <v>0.75</v>
      </c>
      <c r="D52" s="14" t="n">
        <v>0.7708333333333334</v>
      </c>
      <c r="E52" s="12">
        <f>ROUND((D52-C52)*1440,0)</f>
        <v/>
      </c>
      <c r="F52" s="12" t="inlineStr">
        <is>
          <t>Halt</t>
        </is>
      </c>
      <c r="G52" s="12" t="inlineStr">
        <is>
          <t>Hotel, Jammu</t>
        </is>
      </c>
      <c r="H52" s="12" t="inlineStr"/>
      <c r="I52" s="12" t="n"/>
      <c r="J52" s="12" t="inlineStr">
        <is>
          <t>Check-in (same hotel as Day 1), collect main luggage</t>
        </is>
      </c>
      <c r="K52" s="15" t="inlineStr">
        <is>
          <t>Open map</t>
        </is>
      </c>
    </row>
    <row r="53">
      <c r="A53" s="12" t="n">
        <v>3</v>
      </c>
      <c r="B53" s="13">
        <f>Overview!$B$3+A53-1</f>
        <v/>
      </c>
      <c r="C53" s="14" t="n">
        <v>0.7708333333333334</v>
      </c>
      <c r="D53" s="14" t="n">
        <v>0.8333333333333334</v>
      </c>
      <c r="E53" s="12">
        <f>ROUND((D53-C53)*1440,0)</f>
        <v/>
      </c>
      <c r="F53" s="12" t="inlineStr">
        <is>
          <t>Rest</t>
        </is>
      </c>
      <c r="G53" s="12" t="inlineStr">
        <is>
          <t>Hotel, Jammu</t>
        </is>
      </c>
      <c r="H53" s="12" t="inlineStr"/>
      <c r="I53" s="12" t="n"/>
      <c r="J53" s="12" t="inlineStr">
        <is>
          <t>Rest, kirtan; Day 4 briefing</t>
        </is>
      </c>
      <c r="K53" s="15" t="inlineStr">
        <is>
          <t>Open map</t>
        </is>
      </c>
    </row>
    <row r="54">
      <c r="A54" s="16" t="n">
        <v>3</v>
      </c>
      <c r="B54" s="17">
        <f>Overview!$B$3+A54-1</f>
        <v/>
      </c>
      <c r="C54" s="18" t="n">
        <v>0.8333333333333334</v>
      </c>
      <c r="D54" s="18" t="n">
        <v>0.875</v>
      </c>
      <c r="E54" s="16">
        <f>ROUND((D54-C54)*1440,0)</f>
        <v/>
      </c>
      <c r="F54" s="16" t="inlineStr">
        <is>
          <t>Dinner</t>
        </is>
      </c>
      <c r="G54" s="16" t="inlineStr">
        <is>
          <t>Hotel restaurant, Jammu</t>
        </is>
      </c>
      <c r="H54" s="16" t="inlineStr"/>
      <c r="I54" s="16" t="n"/>
      <c r="J54" s="16" t="inlineStr">
        <is>
          <t>Dinner</t>
        </is>
      </c>
      <c r="K54" s="19" t="inlineStr">
        <is>
          <t>Open map</t>
        </is>
      </c>
    </row>
    <row r="55">
      <c r="A55" s="16" t="n">
        <v>4</v>
      </c>
      <c r="B55" s="17">
        <f>Overview!$B$3+A55-1</f>
        <v/>
      </c>
      <c r="C55" s="18" t="n">
        <v>0.3125</v>
      </c>
      <c r="D55" s="18" t="n">
        <v>0.3541666666666667</v>
      </c>
      <c r="E55" s="16">
        <f>ROUND((D55-C55)*1440,0)</f>
        <v/>
      </c>
      <c r="F55" s="16" t="inlineStr">
        <is>
          <t>Breakfast</t>
        </is>
      </c>
      <c r="G55" s="16" t="inlineStr">
        <is>
          <t>Hotel restaurant, Jammu</t>
        </is>
      </c>
      <c r="H55" s="16" t="inlineStr"/>
      <c r="I55" s="16" t="n"/>
      <c r="J55" s="16" t="inlineStr">
        <is>
          <t>Breakfast</t>
        </is>
      </c>
      <c r="K55" s="19" t="inlineStr">
        <is>
          <t>Open map</t>
        </is>
      </c>
    </row>
    <row r="56">
      <c r="A56" s="12" t="n">
        <v>4</v>
      </c>
      <c r="B56" s="13">
        <f>Overview!$B$3+A56-1</f>
        <v/>
      </c>
      <c r="C56" s="14" t="n">
        <v>0.3541666666666667</v>
      </c>
      <c r="D56" s="14" t="n">
        <v>0.375</v>
      </c>
      <c r="E56" s="12">
        <f>ROUND((D56-C56)*1440,0)</f>
        <v/>
      </c>
      <c r="F56" s="12" t="inlineStr">
        <is>
          <t>Halt</t>
        </is>
      </c>
      <c r="G56" s="12" t="inlineStr">
        <is>
          <t>Hotel, Jammu</t>
        </is>
      </c>
      <c r="H56" s="12" t="inlineStr"/>
      <c r="I56" s="12" t="n"/>
      <c r="J56" s="12" t="inlineStr">
        <is>
          <t>Check-out, load luggage; packed lunch for the journey</t>
        </is>
      </c>
      <c r="K56" s="15" t="inlineStr">
        <is>
          <t>Open map</t>
        </is>
      </c>
    </row>
    <row r="57">
      <c r="A57" s="12" t="n">
        <v>4</v>
      </c>
      <c r="B57" s="13">
        <f>Overview!$B$3+A57-1</f>
        <v/>
      </c>
      <c r="C57" s="14" t="n">
        <v>0.375</v>
      </c>
      <c r="D57" s="14" t="n">
        <v>0.3888888888888889</v>
      </c>
      <c r="E57" s="12">
        <f>ROUND((D57-C57)*1440,0)</f>
        <v/>
      </c>
      <c r="F57" s="12" t="inlineStr">
        <is>
          <t>Car</t>
        </is>
      </c>
      <c r="G57" s="12" t="inlineStr">
        <is>
          <t>Hotel, Jammu</t>
        </is>
      </c>
      <c r="H57" s="12" t="inlineStr">
        <is>
          <t>Jammu Airport</t>
        </is>
      </c>
      <c r="I57" s="12" t="n">
        <v>7</v>
      </c>
      <c r="J57" s="12" t="inlineStr">
        <is>
          <t>Drive to the airport</t>
        </is>
      </c>
      <c r="K57" s="15" t="inlineStr">
        <is>
          <t>Open map</t>
        </is>
      </c>
    </row>
    <row r="58">
      <c r="A58" s="12" t="n">
        <v>4</v>
      </c>
      <c r="B58" s="13">
        <f>Overview!$B$3+A58-1</f>
        <v/>
      </c>
      <c r="C58" s="14" t="n">
        <v>0.3888888888888889</v>
      </c>
      <c r="D58" s="14" t="n">
        <v>0.40625</v>
      </c>
      <c r="E58" s="12">
        <f>ROUND((D58-C58)*1440,0)</f>
        <v/>
      </c>
      <c r="F58" s="12" t="inlineStr">
        <is>
          <t>Departure</t>
        </is>
      </c>
      <c r="G58" s="12" t="inlineStr">
        <is>
          <t>Jammu Airport</t>
        </is>
      </c>
      <c r="H58" s="12" t="inlineStr"/>
      <c r="I58" s="12" t="n"/>
      <c r="J58" s="12" t="inlineStr">
        <is>
          <t>Farewell – Jai Mata Di! (return flights after 14:00)</t>
        </is>
      </c>
      <c r="K58" s="15" t="inlineStr">
        <is>
          <t>Open map</t>
        </is>
      </c>
    </row>
    <row r="60">
      <c r="A60" s="5" t="inlineStr">
        <is>
          <t>Legend: yellow rows = meals; peach rows = highlights (Evening &amp; Morning Atka Aarti, Banganga darshan); blue rows = helicopter / battery car / ropeway.</t>
        </is>
      </c>
    </row>
  </sheetData>
  <autoFilter ref="A4:K58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3" customWidth="1" min="3" max="3"/>
    <col width="32" customWidth="1" min="4" max="4"/>
    <col width="30" customWidth="1" min="5" max="5"/>
    <col width="30" customWidth="1" min="6" max="6"/>
  </cols>
  <sheetData>
    <row r="1">
      <c r="A1" s="1" t="inlineStr">
        <is>
          <t>Meal plan (all pure-veg)</t>
        </is>
      </c>
    </row>
    <row r="3">
      <c r="A3" s="11" t="inlineStr">
        <is>
          <t>Day</t>
        </is>
      </c>
      <c r="B3" s="11" t="inlineStr">
        <is>
          <t>Meal</t>
        </is>
      </c>
      <c r="C3" s="11" t="inlineStr">
        <is>
          <t>Time</t>
        </is>
      </c>
      <c r="D3" s="11" t="inlineStr">
        <is>
          <t>Where</t>
        </is>
      </c>
      <c r="E3" s="11" t="inlineStr">
        <is>
          <t>Restaurant (probable)</t>
        </is>
      </c>
      <c r="F3" s="11" t="inlineStr">
        <is>
          <t>Backup</t>
        </is>
      </c>
    </row>
    <row r="4">
      <c r="A4" s="12" t="n">
        <v>1</v>
      </c>
      <c r="B4" s="12" t="inlineStr">
        <is>
          <t>Lunch</t>
        </is>
      </c>
      <c r="C4" s="12" t="inlineStr">
        <is>
          <t>15:15–15:50</t>
        </is>
      </c>
      <c r="D4" s="12" t="inlineStr">
        <is>
          <t>Hotel restaurant, Jammu</t>
        </is>
      </c>
      <c r="E4" s="12" t="inlineStr">
        <is>
          <t>Hotel restaurant, Jammu</t>
        </is>
      </c>
      <c r="F4" s="12" t="inlineStr">
        <is>
          <t>—</t>
        </is>
      </c>
    </row>
    <row r="5">
      <c r="A5" s="12" t="n">
        <v>1</v>
      </c>
      <c r="B5" s="12" t="inlineStr">
        <is>
          <t>Dinner</t>
        </is>
      </c>
      <c r="C5" s="12" t="inlineStr">
        <is>
          <t>20:15–21:15</t>
        </is>
      </c>
      <c r="D5" s="12" t="inlineStr">
        <is>
          <t>Hotel restaurant, Jammu</t>
        </is>
      </c>
      <c r="E5" s="12" t="inlineStr">
        <is>
          <t>Hotel restaurant, Jammu</t>
        </is>
      </c>
      <c r="F5" s="12" t="inlineStr">
        <is>
          <t>—</t>
        </is>
      </c>
    </row>
    <row r="6">
      <c r="A6" s="12" t="n">
        <v>2</v>
      </c>
      <c r="B6" s="12" t="inlineStr">
        <is>
          <t>Breakfast</t>
        </is>
      </c>
      <c r="C6" s="12" t="inlineStr">
        <is>
          <t>07:30–08:30</t>
        </is>
      </c>
      <c r="D6" s="12" t="inlineStr">
        <is>
          <t>Hotel restaurant, Jammu</t>
        </is>
      </c>
      <c r="E6" s="12" t="inlineStr">
        <is>
          <t>Hotel restaurant, Jammu</t>
        </is>
      </c>
      <c r="F6" s="12" t="inlineStr">
        <is>
          <t>—</t>
        </is>
      </c>
    </row>
    <row r="7">
      <c r="A7" s="12" t="n">
        <v>2</v>
      </c>
      <c r="B7" s="12" t="inlineStr">
        <is>
          <t>Lunch</t>
        </is>
      </c>
      <c r="C7" s="12" t="inlineStr">
        <is>
          <t>13:30–14:15</t>
        </is>
      </c>
      <c r="D7" s="12" t="inlineStr">
        <is>
          <t>Restaurant, Bhawan</t>
        </is>
      </c>
      <c r="E7" s="15" t="inlineStr">
        <is>
          <t>Restaurant, Bhawan</t>
        </is>
      </c>
      <c r="F7" s="12" t="inlineStr">
        <is>
          <t>—</t>
        </is>
      </c>
    </row>
    <row r="8">
      <c r="A8" s="12" t="n">
        <v>2</v>
      </c>
      <c r="B8" s="12" t="inlineStr">
        <is>
          <t>Dinner</t>
        </is>
      </c>
      <c r="C8" s="12" t="inlineStr">
        <is>
          <t>19:30–20:30</t>
        </is>
      </c>
      <c r="D8" s="12" t="inlineStr">
        <is>
          <t>Restaurant, Bhawan</t>
        </is>
      </c>
      <c r="E8" s="15" t="inlineStr">
        <is>
          <t>Restaurant, Bhawan</t>
        </is>
      </c>
      <c r="F8" s="12" t="inlineStr">
        <is>
          <t>—</t>
        </is>
      </c>
    </row>
    <row r="9">
      <c r="A9" s="12" t="n">
        <v>3</v>
      </c>
      <c r="B9" s="12" t="inlineStr">
        <is>
          <t>Breakfast</t>
        </is>
      </c>
      <c r="C9" s="12" t="inlineStr">
        <is>
          <t>07:30–08:30</t>
        </is>
      </c>
      <c r="D9" s="12" t="inlineStr">
        <is>
          <t>Restaurant, Bhawan</t>
        </is>
      </c>
      <c r="E9" s="15" t="inlineStr">
        <is>
          <t>Restaurant, Bhawan</t>
        </is>
      </c>
      <c r="F9" s="12" t="inlineStr">
        <is>
          <t>—</t>
        </is>
      </c>
    </row>
    <row r="10">
      <c r="A10" s="12" t="n">
        <v>3</v>
      </c>
      <c r="B10" s="12" t="inlineStr">
        <is>
          <t>Lunch</t>
        </is>
      </c>
      <c r="C10" s="12" t="inlineStr">
        <is>
          <t>12:40–13:30</t>
        </is>
      </c>
      <c r="D10" s="12" t="inlineStr">
        <is>
          <t>Pooja Vaishno Dhaba, Katra</t>
        </is>
      </c>
      <c r="E10" s="15" t="inlineStr">
        <is>
          <t>Pooja Vaishno Dhaba</t>
        </is>
      </c>
      <c r="F10" s="15" t="inlineStr">
        <is>
          <t>Madhuban Saattvik Restaurant</t>
        </is>
      </c>
    </row>
    <row r="11">
      <c r="A11" s="12" t="n">
        <v>3</v>
      </c>
      <c r="B11" s="12" t="inlineStr">
        <is>
          <t>Dinner</t>
        </is>
      </c>
      <c r="C11" s="12" t="inlineStr">
        <is>
          <t>20:00–21:00</t>
        </is>
      </c>
      <c r="D11" s="12" t="inlineStr">
        <is>
          <t>Hotel restaurant, Jammu</t>
        </is>
      </c>
      <c r="E11" s="12" t="inlineStr">
        <is>
          <t>Hotel restaurant, Jammu</t>
        </is>
      </c>
      <c r="F11" s="12" t="inlineStr">
        <is>
          <t>—</t>
        </is>
      </c>
    </row>
    <row r="12">
      <c r="A12" s="12" t="n">
        <v>4</v>
      </c>
      <c r="B12" s="12" t="inlineStr">
        <is>
          <t>Breakfast</t>
        </is>
      </c>
      <c r="C12" s="12" t="inlineStr">
        <is>
          <t>07:30–08:30</t>
        </is>
      </c>
      <c r="D12" s="12" t="inlineStr">
        <is>
          <t>Hotel restaurant, Jammu</t>
        </is>
      </c>
      <c r="E12" s="12" t="inlineStr">
        <is>
          <t>Hotel restaurant, Jammu</t>
        </is>
      </c>
      <c r="F12" s="12" t="inlineStr">
        <is>
          <t>—</t>
        </is>
      </c>
    </row>
  </sheetData>
  <hyperlinks>
    <hyperlink xmlns:r="http://schemas.openxmlformats.org/officeDocument/2006/relationships" ref="E7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0" r:id="rId4"/>
    <hyperlink xmlns:r="http://schemas.openxmlformats.org/officeDocument/2006/relationships" ref="F10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55" customWidth="1" min="3" max="3"/>
  </cols>
  <sheetData>
    <row r="1">
      <c r="A1" s="11" t="inlineStr">
        <is>
          <t>Aspect</t>
        </is>
      </c>
      <c r="B1" s="11" t="inlineStr">
        <is>
          <t>Good</t>
        </is>
      </c>
      <c r="C1" s="11" t="inlineStr">
        <is>
          <t>Bad</t>
        </is>
      </c>
    </row>
    <row r="2">
      <c r="A2" s="12" t="inlineStr">
        <is>
          <t>Helicopter</t>
        </is>
      </c>
      <c r="B2" s="12" t="inlineStr">
        <is>
          <t>Cuts the 13 km climb to ~10 min; ideal for seniors and families</t>
        </is>
      </c>
      <c r="C2" s="12" t="inlineStr">
        <is>
          <t>Weather-dependent; slots sell out fast; tight baggage limit</t>
        </is>
      </c>
    </row>
    <row r="3">
      <c r="A3" s="12" t="inlineStr">
        <is>
          <t>Battery car Sanjichhat → Bhawan</t>
        </is>
      </c>
      <c r="B3" s="12" t="inlineStr">
        <is>
          <t>No walking on Day 2; comfortable for seniors</t>
        </is>
      </c>
      <c r="C3" s="12" t="inlineStr">
        <is>
          <t>Queues at peak hours</t>
        </is>
      </c>
    </row>
    <row r="4">
      <c r="A4" s="12" t="inlineStr">
        <is>
          <t>Night at Bhawan</t>
        </is>
      </c>
      <c r="B4" s="12" t="inlineStr">
        <is>
          <t>Both Evening and Morning Aarti; unhurried darshan</t>
        </is>
      </c>
      <c r="C4" s="12" t="inlineStr">
        <is>
          <t>Shared, basic rooms; limited supply</t>
        </is>
      </c>
    </row>
    <row r="5">
      <c r="A5" s="12" t="inlineStr">
        <is>
          <t>Jammu sightseeing on Day 1</t>
        </is>
      </c>
      <c r="B5" s="12" t="inlineStr">
        <is>
          <t>Uses arrival day well; Raghunath and Ranbireshwar temples and Raghunath Bazaar, only 19 km</t>
        </is>
      </c>
      <c r="C5" s="12" t="inlineStr">
        <is>
          <t>Afternoon-only window after a 14:00 arrival; little slack if flights are late</t>
        </is>
      </c>
    </row>
    <row r="6">
      <c r="A6" s="12" t="inlineStr">
        <is>
          <t>Bhairon by ropeway</t>
        </is>
      </c>
      <c r="B6" s="12" t="inlineStr">
        <is>
          <t>Completes the yatra with no extra climb</t>
        </is>
      </c>
      <c r="C6" s="12" t="inlineStr">
        <is>
          <t>Queues at peak hours; ropeway may stop in bad weather</t>
        </is>
      </c>
    </row>
    <row r="7">
      <c r="A7" s="12" t="inlineStr">
        <is>
          <t>Katra afternoon (Day 3)</t>
        </is>
      </c>
      <c r="B7" s="12" t="inlineStr">
        <is>
          <t>Banganga, Darshani Deodi and shopping at an easy pace</t>
        </is>
      </c>
      <c r="C7" s="12" t="inlineStr">
        <is>
          <t>Crowded market; ~1.5 hr drive back to Jammu</t>
        </is>
      </c>
    </row>
    <row r="8">
      <c r="A8" s="12" t="inlineStr">
        <is>
          <t>Same Jammu hotel on Days 1 and 3</t>
        </is>
      </c>
      <c r="B8" s="12" t="inlineStr">
        <is>
          <t>Main luggage waits there; short airport run on Day 4</t>
        </is>
      </c>
      <c r="C8" s="12" t="inlineStr">
        <is>
          <t>Long Day 3 (04:30 wake-up to Jammu by 18:00)</t>
        </is>
      </c>
    </row>
    <row r="9">
      <c r="A9" s="12" t="inlineStr">
        <is>
          <t>Overall pace</t>
        </is>
      </c>
      <c r="B9" s="12" t="inlineStr">
        <is>
          <t>3 nights only; little road travel (149 km)</t>
        </is>
      </c>
      <c r="C9" s="12" t="inlineStr">
        <is>
          <t>Early starts on Days 2 and 3 (04:30 wake-up at Bhawan)</t>
        </is>
      </c>
    </row>
    <row r="10">
      <c r="A10" s="12" t="inlineStr">
        <is>
          <t>Food</t>
        </is>
      </c>
      <c r="B10" s="12" t="inlineStr">
        <is>
          <t>All meals arranged; pure-veg throughout</t>
        </is>
      </c>
      <c r="C10" s="12" t="inlineStr">
        <is>
          <t>Simple menu at Bhawan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40" customWidth="1" min="3" max="3"/>
    <col width="50" customWidth="1" min="4" max="4"/>
  </cols>
  <sheetData>
    <row r="1">
      <c r="A1" s="11" t="inlineStr">
        <is>
          <t>Challenge</t>
        </is>
      </c>
      <c r="B1" s="11" t="inlineStr">
        <is>
          <t>Impact</t>
        </is>
      </c>
      <c r="C1" s="11" t="inlineStr">
        <is>
          <t>How we prevent it</t>
        </is>
      </c>
      <c r="D1" s="11" t="inlineStr">
        <is>
          <t>Backup on the day</t>
        </is>
      </c>
    </row>
    <row r="2">
      <c r="A2" s="12" t="inlineStr">
        <is>
          <t>Helicopter grounded (rain, fog, wind)</t>
        </is>
      </c>
      <c r="B2" s="12" t="inlineStr">
        <is>
          <t>Day 2 Bhawan arrival or Day 3 return slips</t>
        </is>
      </c>
      <c r="C2" s="12" t="inlineStr">
        <is>
          <t>Avoid Jul–Aug; book earliest slots; keep 2–3 hrs slack</t>
        </is>
      </c>
      <c r="D2" s="12" t="inlineStr">
        <is>
          <t>Wait for next slot; else the 13 km track from Katra (battery car Ardhkuwari → Bhawan); inform the Jammu hotel</t>
        </is>
      </c>
    </row>
    <row r="3">
      <c r="A3" s="12" t="inlineStr">
        <is>
          <t>Helicopter slots not available</t>
        </is>
      </c>
      <c r="B3" s="12" t="inlineStr">
        <is>
          <t>Package cannot run as planned</t>
        </is>
      </c>
      <c r="C3" s="12" t="inlineStr">
        <is>
          <t>Book the day the SMVDSB portal opens; book all yatris together</t>
        </is>
      </c>
      <c r="D3" s="12" t="inlineStr">
        <is>
          <t>Shift dates</t>
        </is>
      </c>
    </row>
    <row r="4">
      <c r="A4" s="12" t="inlineStr">
        <is>
          <t>Yatri misses reporting time</t>
        </is>
      </c>
      <c r="B4" s="12" t="inlineStr">
        <is>
          <t>Seat forfeited</t>
        </is>
      </c>
      <c r="C4" s="12" t="inlineStr">
        <is>
          <t>Leave Katra town by 11:00; registration before helipad</t>
        </is>
      </c>
      <c r="D4" s="12" t="inlineStr">
        <is>
          <t>Re-book a later slot if seats remain</t>
        </is>
      </c>
    </row>
    <row r="5">
      <c r="A5" s="12" t="inlineStr">
        <is>
          <t>Bhawan rooms not available</t>
        </is>
      </c>
      <c r="B5" s="12" t="inlineStr">
        <is>
          <t>No night at Bhawan</t>
        </is>
      </c>
      <c r="C5" s="12" t="inlineStr">
        <is>
          <t>Book on SMVDSB portal as soon as dates are fixed</t>
        </is>
      </c>
      <c r="D5" s="12" t="inlineStr">
        <is>
          <t>Darshan Day 2 evening, return to Jammu same night; Morning Aarti dropped</t>
        </is>
      </c>
    </row>
    <row r="6">
      <c r="A6" s="12" t="inlineStr">
        <is>
          <t>Long darshan queues</t>
        </is>
      </c>
      <c r="B6" s="12" t="inlineStr">
        <is>
          <t>Aarti or flight missed</t>
        </is>
      </c>
      <c r="C6" s="12" t="inlineStr">
        <is>
          <t>Avoid peak dates; darshan in the afternoon after rest</t>
        </is>
      </c>
      <c r="D6" s="12" t="inlineStr">
        <is>
          <t>Darshan Day 3 early morning, keep the 12:15 flight</t>
        </is>
      </c>
    </row>
    <row r="7">
      <c r="A7" s="12" t="inlineStr">
        <is>
          <t>Aarti passes not available</t>
        </is>
      </c>
      <c r="B7" s="12" t="inlineStr">
        <is>
          <t>Group cannot sit inside for Aarti</t>
        </is>
      </c>
      <c r="C7" s="12" t="inlineStr">
        <is>
          <t>Book Atka Aarti passes the day booking opens</t>
        </is>
      </c>
      <c r="D7" s="12" t="inlineStr">
        <is>
          <t>Join Aarti from the courtyard screens</t>
        </is>
      </c>
    </row>
    <row r="8">
      <c r="A8" s="12" t="inlineStr">
        <is>
          <t>Senior tires on the Day 3 downhill track</t>
        </is>
      </c>
      <c r="B8" s="12" t="inlineStr">
        <is>
          <t>Group delayed</t>
        </is>
      </c>
      <c r="C8" s="12" t="inlineStr">
        <is>
          <t>Pre-trip fitness question; escorts walk with seniors</t>
        </is>
      </c>
      <c r="D8" s="12" t="inlineStr">
        <is>
          <t>One escort stays back; use Bhawan medical centre</t>
        </is>
      </c>
    </row>
    <row r="9">
      <c r="A9" s="12" t="inlineStr">
        <is>
          <t>Lost RFID card or ID</t>
        </is>
      </c>
      <c r="B9" s="12" t="inlineStr">
        <is>
          <t>Cannot enter the track</t>
        </is>
      </c>
      <c r="C9" s="12" t="inlineStr">
        <is>
          <t>Leader keeps photocopies; yatris carry originals</t>
        </is>
      </c>
      <c r="D9" s="12" t="inlineStr">
        <is>
          <t>Re-issue at Katra counter with ID copy</t>
        </is>
      </c>
    </row>
    <row r="10">
      <c r="A10" s="12" t="inlineStr">
        <is>
          <t>Prepaid SIMs from other states don't work in J&amp;K</t>
        </is>
      </c>
      <c r="B10" s="12" t="inlineStr">
        <is>
          <t>Group out of contact</t>
        </is>
      </c>
      <c r="C10" s="12" t="inlineStr">
        <is>
          <t>Tell yatris in advance; carry postpaid numbers</t>
        </is>
      </c>
      <c r="D10" s="12" t="inlineStr">
        <is>
          <t>Leader and assistant on postpaid; fixed meeting points</t>
        </is>
      </c>
    </row>
    <row r="11">
      <c r="A11" s="12" t="inlineStr">
        <is>
          <t>Road block / landslide Jammu–Katra</t>
        </is>
      </c>
      <c r="B11" s="12" t="inlineStr">
        <is>
          <t>Day 2 or Day 3 delayed</t>
        </is>
      </c>
      <c r="C11" s="12" t="inlineStr">
        <is>
          <t>Leave on time; check traffic</t>
        </is>
      </c>
      <c r="D11" s="12" t="inlineStr">
        <is>
          <t>Ask local driver for open alternative route</t>
        </is>
      </c>
    </row>
    <row r="12">
      <c r="A12" s="12" t="inlineStr">
        <is>
          <t>Flight delays at Jammu (winter fog)</t>
        </is>
      </c>
      <c r="B12" s="12" t="inlineStr">
        <is>
          <t>Day 1 sightseeing cut short</t>
        </is>
      </c>
      <c r="C12" s="12" t="inlineStr">
        <is>
          <t>Choose flights landing well before 14:00</t>
        </is>
      </c>
      <c r="D12" s="12" t="inlineStr">
        <is>
          <t>Shorten Raghunath Bazaar shopping on Day 1</t>
        </is>
      </c>
    </row>
    <row r="13">
      <c r="A13" s="12" t="inlineStr">
        <is>
          <t>Lost yatri in crowd</t>
        </is>
      </c>
      <c r="B13" s="12" t="inlineStr">
        <is>
          <t>Panic, delay</t>
        </is>
      </c>
      <c r="C13" s="12" t="inlineStr">
        <is>
          <t>Group cap/scarf; buddy pairs; head counts at every move</t>
        </is>
      </c>
      <c r="D13" s="12" t="inlineStr">
        <is>
          <t>Meet at fixed point; announce at help desk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1" t="inlineStr">
        <is>
          <t>Type</t>
        </is>
      </c>
      <c r="B1" s="11" t="inlineStr">
        <is>
          <t>Point</t>
        </is>
      </c>
    </row>
    <row r="2">
      <c r="A2" s="12" t="inlineStr">
        <is>
          <t>Do – yatris</t>
        </is>
      </c>
      <c r="B2" s="12" t="inlineStr">
        <is>
          <t>Carry the original photo ID used for helicopter and Yatra booking</t>
        </is>
      </c>
    </row>
    <row r="3">
      <c r="A3" s="12" t="inlineStr">
        <is>
          <t>Do – yatris</t>
        </is>
      </c>
      <c r="B3" s="12" t="inlineStr">
        <is>
          <t>Keep the RFID Yatra card on you from Katra till the end of Day 3</t>
        </is>
      </c>
    </row>
    <row r="4">
      <c r="A4" s="12" t="inlineStr">
        <is>
          <t>Do – yatris</t>
        </is>
      </c>
      <c r="B4" s="12" t="inlineStr">
        <is>
          <t>Small day bag for Bhawan; main suitcase stays at the Jammu hotel</t>
        </is>
      </c>
    </row>
    <row r="5">
      <c r="A5" s="12" t="inlineStr">
        <is>
          <t>Do – yatris</t>
        </is>
      </c>
      <c r="B5" s="12" t="inlineStr">
        <is>
          <t>Report 10 minutes before every departure time</t>
        </is>
      </c>
    </row>
    <row r="6">
      <c r="A6" s="12" t="inlineStr">
        <is>
          <t>Do – yatris</t>
        </is>
      </c>
      <c r="B6" s="12" t="inlineStr">
        <is>
          <t>Stay with your buddy; wear the group cap or scarf</t>
        </is>
      </c>
    </row>
    <row r="7">
      <c r="A7" s="12" t="inlineStr">
        <is>
          <t>Do – yatris</t>
        </is>
      </c>
      <c r="B7" s="12" t="inlineStr">
        <is>
          <t>Deposit phones, cameras and bags in the cloak room before darshan</t>
        </is>
      </c>
    </row>
    <row r="8">
      <c r="A8" s="12" t="inlineStr">
        <is>
          <t>Do – yatris</t>
        </is>
      </c>
      <c r="B8" s="12" t="inlineStr">
        <is>
          <t>Drink water often; eat light before the helicopter and the track</t>
        </is>
      </c>
    </row>
    <row r="9">
      <c r="A9" s="12" t="inlineStr">
        <is>
          <t>Do – yatris</t>
        </is>
      </c>
      <c r="B9" s="12" t="inlineStr">
        <is>
          <t>Chant; follow Shrine Board queue instructions</t>
        </is>
      </c>
    </row>
    <row r="10">
      <c r="A10" s="12" t="inlineStr">
        <is>
          <t>Do – yatris</t>
        </is>
      </c>
      <c r="B10" s="12" t="inlineStr">
        <is>
          <t>Tell the tour leader at once if unwell</t>
        </is>
      </c>
    </row>
    <row r="11">
      <c r="A11" s="12" t="inlineStr">
        <is>
          <t>Don't – yatris</t>
        </is>
      </c>
      <c r="B11" s="12" t="inlineStr">
        <is>
          <t>Carry phones, cameras, bags, leather goods or eatables into the darshan area (check cloak-room board)</t>
        </is>
      </c>
    </row>
    <row r="12">
      <c r="A12" s="12" t="inlineStr">
        <is>
          <t>Don't – yatris</t>
        </is>
      </c>
      <c r="B12" s="12" t="inlineStr">
        <is>
          <t>Exceed the helicopter baggage limit</t>
        </is>
      </c>
    </row>
    <row r="13">
      <c r="A13" s="12" t="inlineStr">
        <is>
          <t>Don't – yatris</t>
        </is>
      </c>
      <c r="B13" s="12" t="inlineStr">
        <is>
          <t>Rely on a prepaid SIM from outside J&amp;K</t>
        </is>
      </c>
    </row>
    <row r="14">
      <c r="A14" s="12" t="inlineStr">
        <is>
          <t>Don't – yatris</t>
        </is>
      </c>
      <c r="B14" s="12" t="inlineStr">
        <is>
          <t>Buy prasad from touts; use Shrine Board counters</t>
        </is>
      </c>
    </row>
    <row r="15">
      <c r="A15" s="12" t="inlineStr">
        <is>
          <t>Don't – yatris</t>
        </is>
      </c>
      <c r="B15" s="12" t="inlineStr">
        <is>
          <t>Leave the group without telling the tour leader</t>
        </is>
      </c>
    </row>
    <row r="16">
      <c r="A16" s="12" t="inlineStr">
        <is>
          <t>Don't – yatris</t>
        </is>
      </c>
      <c r="B16" s="12" t="inlineStr">
        <is>
          <t>Wear new shoes</t>
        </is>
      </c>
    </row>
    <row r="17">
      <c r="A17" s="12" t="inlineStr">
        <is>
          <t>Do – tour team</t>
        </is>
      </c>
      <c r="B17" s="12" t="inlineStr">
        <is>
          <t>Head count at every movement</t>
        </is>
      </c>
    </row>
    <row r="18">
      <c r="A18" s="12" t="inlineStr">
        <is>
          <t>Do – tour team</t>
        </is>
      </c>
      <c r="B18" s="12" t="inlineStr">
        <is>
          <t>Printed yatri list: names, ID nos, phone, emergency contact, blood group, medical notes</t>
        </is>
      </c>
    </row>
    <row r="19">
      <c r="A19" s="12" t="inlineStr">
        <is>
          <t>Do – tour team</t>
        </is>
      </c>
      <c r="B19" s="12" t="inlineStr">
        <is>
          <t>Tickets, room booking and Aarti passes in print and on phone</t>
        </is>
      </c>
    </row>
    <row r="20">
      <c r="A20" s="12" t="inlineStr">
        <is>
          <t>Do – tour team</t>
        </is>
      </c>
      <c r="B20" s="12" t="inlineStr">
        <is>
          <t>Confirm helicopter status the evening before and 07:00 on flight day</t>
        </is>
      </c>
    </row>
    <row r="21">
      <c r="A21" s="12" t="inlineStr">
        <is>
          <t>Do – tour team</t>
        </is>
      </c>
      <c r="B21" s="12" t="inlineStr">
        <is>
          <t>Reconfirm hotels, cars and meal orders 48 hours ahead</t>
        </is>
      </c>
    </row>
    <row r="22">
      <c r="A22" s="12" t="inlineStr">
        <is>
          <t>Don't – tour team</t>
        </is>
      </c>
      <c r="B22" s="12" t="inlineStr">
        <is>
          <t>Promise a helicopter seat or Aarti pass not yet booked</t>
        </is>
      </c>
    </row>
    <row r="23">
      <c r="A23" s="12" t="inlineStr">
        <is>
          <t>Don't – tour team</t>
        </is>
      </c>
      <c r="B23" s="12" t="inlineStr">
        <is>
          <t>Split the group across helicopter slots without an escort each side</t>
        </is>
      </c>
    </row>
    <row r="24">
      <c r="A24" s="12" t="inlineStr">
        <is>
          <t>Don't – tour team</t>
        </is>
      </c>
      <c r="B24" s="12" t="inlineStr">
        <is>
          <t>Change the plan without telling the yatra coordinator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40" customWidth="1" min="4" max="4"/>
    <col width="16" customWidth="1" min="5" max="5"/>
  </cols>
  <sheetData>
    <row r="1">
      <c r="A1" s="1" t="inlineStr">
        <is>
          <t>Bookings &amp; documents checklist (T = departure date)</t>
        </is>
      </c>
    </row>
    <row r="3">
      <c r="A3" s="11" t="inlineStr">
        <is>
          <t>When</t>
        </is>
      </c>
      <c r="B3" s="11" t="inlineStr">
        <is>
          <t>Task</t>
        </is>
      </c>
      <c r="C3" s="11" t="inlineStr">
        <is>
          <t>Owner</t>
        </is>
      </c>
      <c r="D3" s="11" t="inlineStr">
        <is>
          <t>Notes</t>
        </is>
      </c>
      <c r="E3" s="11" t="inlineStr">
        <is>
          <t>Status (fill in)</t>
        </is>
      </c>
    </row>
    <row r="4">
      <c r="A4" s="12" t="inlineStr">
        <is>
          <t>T−60 days</t>
        </is>
      </c>
      <c r="B4" s="12" t="inlineStr">
        <is>
          <t>Fix dates; avoid Navratri, May–June holidays, Jul–Aug monsoon</t>
        </is>
      </c>
      <c r="C4" s="12" t="inlineStr">
        <is>
          <t>Yatra coordinator</t>
        </is>
      </c>
      <c r="D4" s="12" t="inlineStr"/>
      <c r="E4" s="28" t="inlineStr"/>
    </row>
    <row r="5">
      <c r="A5" s="12" t="inlineStr">
        <is>
          <t>By 25 Dec 2026</t>
        </is>
      </c>
      <c r="B5" s="12" t="inlineStr">
        <is>
          <t>Registrations close: collect yatri names, photo ID (Aadhaar / passport), age, weight, phone, emergency contact, medical notes</t>
        </is>
      </c>
      <c r="C5" s="12" t="inlineStr">
        <is>
          <t>Yatra coordinator</t>
        </is>
      </c>
      <c r="D5" s="12" t="inlineStr">
        <is>
          <t>Last date 25 Dec 2026; name exactly as on ID; weight needed for the helicopter</t>
        </is>
      </c>
      <c r="E5" s="28" t="inlineStr"/>
    </row>
    <row r="6">
      <c r="A6" s="12" t="inlineStr">
        <is>
          <t>30 Dec 2026</t>
        </is>
      </c>
      <c r="B6" s="12" t="inlineStr">
        <is>
          <t>Send complete yatri data to the travel agent</t>
        </is>
      </c>
      <c r="C6" s="12" t="inlineStr">
        <is>
          <t>Yatra coordinator</t>
        </is>
      </c>
      <c r="D6" s="12" t="inlineStr">
        <is>
          <t>Names as on ID, ID numbers, ages, weights, phone numbers</t>
        </is>
      </c>
      <c r="E6" s="28" t="inlineStr"/>
    </row>
    <row r="7">
      <c r="A7" s="12" t="inlineStr">
        <is>
          <t>1 Jan 2027</t>
        </is>
      </c>
      <c r="B7" s="12" t="inlineStr">
        <is>
          <t>Book helicopter Day 2 &amp; Day 3 on SMVDSB portal</t>
        </is>
      </c>
      <c r="C7" s="12" t="inlineStr">
        <is>
          <t>Travel agent with yatra coordinator</t>
        </is>
      </c>
      <c r="D7" s="12" t="inlineStr"/>
      <c r="E7" s="28" t="inlineStr"/>
    </row>
    <row r="8">
      <c r="A8" s="12" t="inlineStr">
        <is>
          <t>Booking opening day</t>
        </is>
      </c>
      <c r="B8" s="12" t="inlineStr">
        <is>
          <t>Book Bhawan accommodation Day 2 night</t>
        </is>
      </c>
      <c r="C8" s="12" t="inlineStr">
        <is>
          <t>Yatra coordinator</t>
        </is>
      </c>
      <c r="D8" s="12" t="inlineStr"/>
      <c r="E8" s="28" t="inlineStr"/>
    </row>
    <row r="9">
      <c r="A9" s="12" t="inlineStr">
        <is>
          <t>Booking opening day</t>
        </is>
      </c>
      <c r="B9" s="12" t="inlineStr">
        <is>
          <t>Book Atka Aarti passes for the Evening &amp; Morning Atka Aarti at the Holy Cave (main temple)</t>
        </is>
      </c>
      <c r="C9" s="12" t="inlineStr">
        <is>
          <t>Yatra coordinator</t>
        </is>
      </c>
      <c r="D9" s="12" t="inlineStr">
        <is>
          <t>Arranged for the group so yatris spend more time before Mata Rani</t>
        </is>
      </c>
      <c r="E9" s="28" t="inlineStr"/>
    </row>
    <row r="10">
      <c r="A10" s="12" t="inlineStr">
        <is>
          <t>Booking opening day</t>
        </is>
      </c>
      <c r="B10" s="12" t="inlineStr">
        <is>
          <t>Book Bhairon ropeway and the Sanjichhat → Bhawan battery car</t>
        </is>
      </c>
      <c r="C10" s="12" t="inlineStr">
        <is>
          <t>Yatra coordinator</t>
        </is>
      </c>
      <c r="D10" s="12" t="inlineStr"/>
      <c r="E10" s="28" t="inlineStr"/>
    </row>
    <row r="11">
      <c r="A11" s="12" t="inlineStr">
        <is>
          <t>T−45 days</t>
        </is>
      </c>
      <c r="B11" s="12" t="inlineStr">
        <is>
          <t>Book flights / trains: arrival before 14:00 on 13 Mar; departure after 14:00 on 16 Mar</t>
        </is>
      </c>
      <c r="C11" s="12" t="inlineStr">
        <is>
          <t>Travel desk</t>
        </is>
      </c>
      <c r="D11" s="12" t="inlineStr"/>
      <c r="E11" s="28" t="inlineStr"/>
    </row>
    <row r="12">
      <c r="A12" s="12" t="inlineStr">
        <is>
          <t>T−45 days</t>
        </is>
      </c>
      <c r="B12" s="12" t="inlineStr">
        <is>
          <t>Book the Jammu hotel for Days 1 and 3 (same hotel; luggage storage on Day 2)</t>
        </is>
      </c>
      <c r="C12" s="12" t="inlineStr">
        <is>
          <t>Travel desk</t>
        </is>
      </c>
      <c r="D12" s="12" t="inlineStr"/>
      <c r="E12" s="28" t="inlineStr"/>
    </row>
    <row r="13">
      <c r="A13" s="12" t="inlineStr">
        <is>
          <t>T−30 days</t>
        </is>
      </c>
      <c r="B13" s="12" t="inlineStr">
        <is>
          <t>Book vehicles for all 4 days</t>
        </is>
      </c>
      <c r="C13" s="12" t="inlineStr">
        <is>
          <t>Travel desk</t>
        </is>
      </c>
      <c r="D13" s="12" t="inlineStr"/>
      <c r="E13" s="28" t="inlineStr"/>
    </row>
    <row r="14">
      <c r="A14" s="12" t="inlineStr">
        <is>
          <t>T−15 days</t>
        </is>
      </c>
      <c r="B14" s="12" t="inlineStr">
        <is>
          <t>Pre-order Day 1 lunch and all hotel dinner menus; pre-book the Day 3 lunch restaurant in Katra</t>
        </is>
      </c>
      <c r="C14" s="12" t="inlineStr">
        <is>
          <t>Tour leader</t>
        </is>
      </c>
      <c r="D14" s="12" t="inlineStr"/>
      <c r="E14" s="28" t="inlineStr"/>
    </row>
    <row r="15">
      <c r="A15" s="12" t="inlineStr">
        <is>
          <t>T−15 days</t>
        </is>
      </c>
      <c r="B15" s="12" t="inlineStr">
        <is>
          <t>Travel insurance for every yatri</t>
        </is>
      </c>
      <c r="C15" s="12" t="inlineStr">
        <is>
          <t>Travel desk</t>
        </is>
      </c>
      <c r="D15" s="12" t="inlineStr"/>
      <c r="E15" s="28" t="inlineStr"/>
    </row>
    <row r="16">
      <c r="A16" s="12" t="inlineStr">
        <is>
          <t>T−7 days</t>
        </is>
      </c>
      <c r="B16" s="12" t="inlineStr">
        <is>
          <t>Pre-departure meeting: itinerary, packing, do's &amp; don'ts, SIM advice</t>
        </is>
      </c>
      <c r="C16" s="12" t="inlineStr">
        <is>
          <t>Tour leader</t>
        </is>
      </c>
      <c r="D16" s="12" t="inlineStr"/>
      <c r="E16" s="28" t="inlineStr"/>
    </row>
    <row r="17">
      <c r="A17" s="12" t="inlineStr">
        <is>
          <t>T−2 days</t>
        </is>
      </c>
      <c r="B17" s="12" t="inlineStr">
        <is>
          <t>Reconfirm hotel, vehicles, restaurants, helicopter slots</t>
        </is>
      </c>
      <c r="C17" s="12" t="inlineStr">
        <is>
          <t>Tour leader</t>
        </is>
      </c>
      <c r="D17" s="12" t="inlineStr"/>
      <c r="E17" s="28" t="inlineStr"/>
    </row>
    <row r="18">
      <c r="A18" s="12" t="inlineStr">
        <is>
          <t>T−1 day</t>
        </is>
      </c>
      <c r="B18" s="12" t="inlineStr">
        <is>
          <t>Print tickets, room booking, passes, yatri list, ID copies</t>
        </is>
      </c>
      <c r="C18" s="12" t="inlineStr">
        <is>
          <t>Tour leader</t>
        </is>
      </c>
      <c r="D18" s="12" t="inlineStr"/>
      <c r="E18" s="28" t="inlineStr"/>
    </row>
    <row r="19">
      <c r="A19" s="12" t="inlineStr">
        <is>
          <t>Day 2 at Katra</t>
        </is>
      </c>
      <c r="B19" s="12" t="inlineStr">
        <is>
          <t>RFID Yatra registration for every yatri</t>
        </is>
      </c>
      <c r="C19" s="12" t="inlineStr">
        <is>
          <t>Tour leader</t>
        </is>
      </c>
      <c r="D19" s="12" t="inlineStr"/>
      <c r="E19" s="2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1" t="inlineStr">
        <is>
          <t>Bag / season</t>
        </is>
      </c>
      <c r="B1" s="11" t="inlineStr">
        <is>
          <t>Item</t>
        </is>
      </c>
    </row>
    <row r="2">
      <c r="A2" s="12" t="inlineStr">
        <is>
          <t>Day bag</t>
        </is>
      </c>
      <c r="B2" s="12" t="inlineStr">
        <is>
          <t>Original photo ID + photocopy</t>
        </is>
      </c>
    </row>
    <row r="3">
      <c r="A3" s="12" t="inlineStr">
        <is>
          <t>Day bag</t>
        </is>
      </c>
      <c r="B3" s="12" t="inlineStr">
        <is>
          <t>Helicopter ticket and RFID Yatra card</t>
        </is>
      </c>
    </row>
    <row r="4">
      <c r="A4" s="12" t="inlineStr">
        <is>
          <t>Day bag</t>
        </is>
      </c>
      <c r="B4" s="12" t="inlineStr">
        <is>
          <t>One change of clothes, towel</t>
        </is>
      </c>
    </row>
    <row r="5">
      <c r="A5" s="12" t="inlineStr">
        <is>
          <t>Day bag</t>
        </is>
      </c>
      <c r="B5" s="12" t="inlineStr">
        <is>
          <t>Shawl / light jacket</t>
        </is>
      </c>
    </row>
    <row r="6">
      <c r="A6" s="12" t="inlineStr">
        <is>
          <t>Day bag</t>
        </is>
      </c>
      <c r="B6" s="12" t="inlineStr">
        <is>
          <t>Medicines for 2 days + prescription</t>
        </is>
      </c>
    </row>
    <row r="7">
      <c r="A7" s="12" t="inlineStr">
        <is>
          <t>Day bag</t>
        </is>
      </c>
      <c r="B7" s="12" t="inlineStr">
        <is>
          <t>Water bottle, dry fruits</t>
        </is>
      </c>
    </row>
    <row r="8">
      <c r="A8" s="12" t="inlineStr">
        <is>
          <t>Day bag</t>
        </is>
      </c>
      <c r="B8" s="12" t="inlineStr">
        <is>
          <t>Japa mala, small torch, small-note cash</t>
        </is>
      </c>
    </row>
    <row r="9">
      <c r="A9" s="12" t="inlineStr">
        <is>
          <t>Main suitcase</t>
        </is>
      </c>
      <c r="B9" s="12" t="inlineStr">
        <is>
          <t>Clothes for 4 days</t>
        </is>
      </c>
    </row>
    <row r="10">
      <c r="A10" s="12" t="inlineStr">
        <is>
          <t>Main suitcase</t>
        </is>
      </c>
      <c r="B10" s="12" t="inlineStr">
        <is>
          <t>Walking shoes with grip + slippers</t>
        </is>
      </c>
    </row>
    <row r="11">
      <c r="A11" s="12" t="inlineStr">
        <is>
          <t>Main suitcase</t>
        </is>
      </c>
      <c r="B11" s="12" t="inlineStr">
        <is>
          <t>Toiletries, sunscreen, cap</t>
        </is>
      </c>
    </row>
    <row r="12">
      <c r="A12" s="12" t="inlineStr">
        <is>
          <t>Main suitcase</t>
        </is>
      </c>
      <c r="B12" s="12" t="inlineStr">
        <is>
          <t>Raincoat / umbrella</t>
        </is>
      </c>
    </row>
    <row r="13">
      <c r="A13" s="12" t="inlineStr">
        <is>
          <t>Main suitcase</t>
        </is>
      </c>
      <c r="B13" s="12" t="inlineStr">
        <is>
          <t>Charger, power bank, postpaid SIM</t>
        </is>
      </c>
    </row>
    <row r="14">
      <c r="A14" s="12" t="inlineStr">
        <is>
          <t>Main suitcase</t>
        </is>
      </c>
      <c r="B14" s="12" t="inlineStr">
        <is>
          <t>First-aid: pain relief, ORS, antacid, band-aids, motion-sickness tablets</t>
        </is>
      </c>
    </row>
    <row r="15">
      <c r="A15" s="12" t="inlineStr">
        <is>
          <t>Dec–Feb</t>
        </is>
      </c>
      <c r="B15" s="12" t="inlineStr">
        <is>
          <t>Thermals, woollen cap, gloves, socks, heavy jacket</t>
        </is>
      </c>
    </row>
    <row r="16">
      <c r="A16" s="12" t="inlineStr">
        <is>
          <t>Mar–Jun</t>
        </is>
      </c>
      <c r="B16" s="12" t="inlineStr">
        <is>
          <t>Light cotton, sunglasses, extra water</t>
        </is>
      </c>
    </row>
    <row r="17">
      <c r="A17" s="12" t="inlineStr">
        <is>
          <t>Jul–Sep</t>
        </is>
      </c>
      <c r="B17" s="12" t="inlineStr">
        <is>
          <t>Raincoat, quick-dry clothes, spare footwear, plastic bags</t>
        </is>
      </c>
    </row>
    <row r="18">
      <c r="A18" s="12" t="inlineStr">
        <is>
          <t>Oct–Nov</t>
        </is>
      </c>
      <c r="B18" s="12" t="inlineStr">
        <is>
          <t>Light woollens for Bhawan nights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1" t="inlineStr">
        <is>
          <t>Topic</t>
        </is>
      </c>
      <c r="B1" s="11" t="inlineStr">
        <is>
          <t>Guidance</t>
        </is>
      </c>
    </row>
    <row r="2">
      <c r="A2" s="12" t="inlineStr">
        <is>
          <t>Exertion</t>
        </is>
      </c>
      <c r="B2" s="12" t="inlineStr">
        <is>
          <t>Only ~3 km on track, downhill on Day 3 (Bhairon → Sanjichhat); Sanjichhat → Bhawan by battery car; rest by car, helicopter, ropeway</t>
        </is>
      </c>
    </row>
    <row r="3">
      <c r="A3" s="12" t="inlineStr">
        <is>
          <t>Fitness check</t>
        </is>
      </c>
      <c r="B3" s="12" t="inlineStr">
        <is>
          <t>Ask about heart, BP, diabetes, asthma, knees; escorts assist anyone who finds the 3 km downhill walk on Day 3 hard</t>
        </is>
      </c>
    </row>
    <row r="4">
      <c r="A4" s="12" t="inlineStr">
        <is>
          <t>Altitude</t>
        </is>
      </c>
      <c r="B4" s="12" t="inlineStr">
        <is>
          <t>Bhawan ~5,200 ft; walk slowly, rest, drink water</t>
        </is>
      </c>
    </row>
    <row r="5">
      <c r="A5" s="12" t="inlineStr">
        <is>
          <t>Helicopter</t>
        </is>
      </c>
      <c r="B5" s="12" t="inlineStr">
        <is>
          <t>Pregnant women, infants, recent surgery: check operator rules before booking</t>
        </is>
      </c>
    </row>
    <row r="6">
      <c r="A6" s="12" t="inlineStr">
        <is>
          <t>Medical help</t>
        </is>
      </c>
      <c r="B6" s="12" t="inlineStr">
        <is>
          <t>Shrine Board medical points on track and at Bhawan; hospitals in Katra and Jammu</t>
        </is>
      </c>
    </row>
    <row r="7">
      <c r="A7" s="12" t="inlineStr">
        <is>
          <t>Seniors</t>
        </is>
      </c>
      <c r="B7" s="12" t="inlineStr">
        <is>
          <t>Seat first; 1 escort per 5–6 seniors on track; darshan after rest</t>
        </is>
      </c>
    </row>
    <row r="8">
      <c r="A8" s="12" t="inlineStr">
        <is>
          <t>Food &amp; water</t>
        </is>
      </c>
      <c r="B8" s="12" t="inlineStr">
        <is>
          <t>Hotels and pre-booked restaurants only; packaged water; avoid fried snacks before flight</t>
        </is>
      </c>
    </row>
    <row r="9">
      <c r="A9" s="12" t="inlineStr">
        <is>
          <t>Crowd safety</t>
        </is>
      </c>
      <c r="B9" s="12" t="inlineStr">
        <is>
          <t>Buddy pairs, group cap/scarf, head counts, fixed meeting points</t>
        </is>
      </c>
    </row>
    <row r="10">
      <c r="A10" s="12" t="inlineStr">
        <is>
          <t>Valuables</t>
        </is>
      </c>
      <c r="B10" s="12" t="inlineStr">
        <is>
          <t>Neck pouch for cash/ID; cloak rooms; no jewellery</t>
        </is>
      </c>
    </row>
    <row r="11">
      <c r="A11" s="12" t="inlineStr">
        <is>
          <t>Insurance</t>
        </is>
      </c>
      <c r="B11" s="12" t="inlineStr">
        <is>
          <t>Every yatri insured; policy no. on yatri list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2" customWidth="1" min="3" max="3"/>
    <col width="24" customWidth="1" min="4" max="4"/>
    <col width="32" customWidth="1" min="5" max="5"/>
  </cols>
  <sheetData>
    <row r="1">
      <c r="A1" s="11" t="inlineStr">
        <is>
          <t>Months</t>
        </is>
      </c>
      <c r="B1" s="11" t="inlineStr">
        <is>
          <t>Weather</t>
        </is>
      </c>
      <c r="C1" s="11" t="inlineStr">
        <is>
          <t>Crowd</t>
        </is>
      </c>
      <c r="D1" s="11" t="inlineStr">
        <is>
          <t>Helicopter reliability</t>
        </is>
      </c>
      <c r="E1" s="11" t="inlineStr">
        <is>
          <t>Verdict</t>
        </is>
      </c>
    </row>
    <row r="2">
      <c r="A2" s="12" t="inlineStr">
        <is>
          <t>Mar–Apr</t>
        </is>
      </c>
      <c r="B2" s="12" t="inlineStr">
        <is>
          <t>Pleasant days, cool nights</t>
        </is>
      </c>
      <c r="C2" s="12" t="inlineStr">
        <is>
          <t>Medium; very high in Chaitra Navratri</t>
        </is>
      </c>
      <c r="D2" s="12" t="inlineStr">
        <is>
          <t>Good</t>
        </is>
      </c>
      <c r="E2" s="12" t="inlineStr">
        <is>
          <t>Recommended (avoid Navratri week)</t>
        </is>
      </c>
    </row>
    <row r="3">
      <c r="A3" s="12" t="inlineStr">
        <is>
          <t>May–Jun</t>
        </is>
      </c>
      <c r="B3" s="12" t="inlineStr">
        <is>
          <t>Hot in Jammu (40°C+), pleasant at Bhawan</t>
        </is>
      </c>
      <c r="C3" s="12" t="inlineStr">
        <is>
          <t>Very high (school holidays)</t>
        </is>
      </c>
      <c r="D3" s="12" t="inlineStr">
        <is>
          <t>Good</t>
        </is>
      </c>
      <c r="E3" s="12" t="inlineStr">
        <is>
          <t>Possible; book very early</t>
        </is>
      </c>
    </row>
    <row r="4">
      <c r="A4" s="12" t="inlineStr">
        <is>
          <t>Jul–Aug</t>
        </is>
      </c>
      <c r="B4" s="12" t="inlineStr">
        <is>
          <t>Monsoon rain, landslide risk</t>
        </is>
      </c>
      <c r="C4" s="12" t="inlineStr">
        <is>
          <t>Low–medium</t>
        </is>
      </c>
      <c r="D4" s="12" t="inlineStr">
        <is>
          <t>Poor; frequent cancellations</t>
        </is>
      </c>
      <c r="E4" s="12" t="inlineStr">
        <is>
          <t>Avoid</t>
        </is>
      </c>
    </row>
    <row r="5">
      <c r="A5" s="12" t="inlineStr">
        <is>
          <t>Sep</t>
        </is>
      </c>
      <c r="B5" s="12" t="inlineStr">
        <is>
          <t>Rain easing</t>
        </is>
      </c>
      <c r="C5" s="12" t="inlineStr">
        <is>
          <t>Medium</t>
        </is>
      </c>
      <c r="D5" s="12" t="inlineStr">
        <is>
          <t>Fair</t>
        </is>
      </c>
      <c r="E5" s="12" t="inlineStr">
        <is>
          <t>Possible late September</t>
        </is>
      </c>
    </row>
    <row r="6">
      <c r="A6" s="12" t="inlineStr">
        <is>
          <t>Oct–Nov</t>
        </is>
      </c>
      <c r="B6" s="12" t="inlineStr">
        <is>
          <t>Clear, cool</t>
        </is>
      </c>
      <c r="C6" s="12" t="inlineStr">
        <is>
          <t>Medium; very high in Sharad Navratri</t>
        </is>
      </c>
      <c r="D6" s="12" t="inlineStr">
        <is>
          <t>Good</t>
        </is>
      </c>
      <c r="E6" s="12" t="inlineStr">
        <is>
          <t>Recommended (avoid Navratri week)</t>
        </is>
      </c>
    </row>
    <row r="7">
      <c r="A7" s="12" t="inlineStr">
        <is>
          <t>Dec–Feb</t>
        </is>
      </c>
      <c r="B7" s="12" t="inlineStr">
        <is>
          <t>Cold; snow possible at Bhairon; fog at Jammu</t>
        </is>
      </c>
      <c r="C7" s="12" t="inlineStr">
        <is>
          <t>Low, except New Year week</t>
        </is>
      </c>
      <c r="D7" s="12" t="inlineStr">
        <is>
          <t>Fair; fog delays</t>
        </is>
      </c>
      <c r="E7" s="12" t="inlineStr">
        <is>
          <t>Possible for hardy groups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6" customWidth="1" min="4" max="4"/>
  </cols>
  <sheetData>
    <row r="1">
      <c r="A1" s="11" t="inlineStr">
        <is>
          <t>Role / contact</t>
        </is>
      </c>
      <c r="B1" s="11" t="inlineStr">
        <is>
          <t>Responsibility / notes</t>
        </is>
      </c>
      <c r="C1" s="11" t="inlineStr">
        <is>
          <t>Name</t>
        </is>
      </c>
      <c r="D1" s="11" t="inlineStr">
        <is>
          <t>Phone</t>
        </is>
      </c>
    </row>
    <row r="2">
      <c r="A2" s="12" t="inlineStr">
        <is>
          <t>Tour leader</t>
        </is>
      </c>
      <c r="B2" s="12" t="inlineStr">
        <is>
          <t>Day plan, head counts, tickets, vendor coordination, backup decisions</t>
        </is>
      </c>
      <c r="C2" s="28" t="inlineStr"/>
      <c r="D2" s="28" t="inlineStr"/>
    </row>
    <row r="3">
      <c r="A3" s="12" t="inlineStr">
        <is>
          <t>Assistant / escort</t>
        </is>
      </c>
      <c r="B3" s="12" t="inlineStr">
        <is>
          <t>Seniors and slow walkers; rear of group; second document set</t>
        </is>
      </c>
      <c r="C3" s="28" t="inlineStr"/>
      <c r="D3" s="28" t="inlineStr"/>
    </row>
    <row r="4">
      <c r="A4" s="12" t="inlineStr">
        <is>
          <t>Yatra coordinator (Hyderabad)</t>
        </is>
      </c>
      <c r="B4" s="12" t="inlineStr">
        <is>
          <t>Bookings, changes, escalation</t>
        </is>
      </c>
      <c r="C4" s="28" t="inlineStr"/>
      <c r="D4" s="28" t="inlineStr"/>
    </row>
    <row r="5">
      <c r="A5" s="12" t="inlineStr">
        <is>
          <t>Kirtan / spiritual lead</t>
        </is>
      </c>
      <c r="B5" s="12" t="inlineStr">
        <is>
          <t>Kirtan, japa, katha at halts and evenings</t>
        </is>
      </c>
      <c r="C5" s="28" t="inlineStr"/>
      <c r="D5" s="28" t="inlineStr"/>
    </row>
    <row r="6">
      <c r="A6" s="12" t="inlineStr">
        <is>
          <t>SMVDSB helpline</t>
        </is>
      </c>
      <c r="B6" s="12" t="inlineStr">
        <is>
          <t>Take from official SMVDSB website</t>
        </is>
      </c>
      <c r="C6" s="28" t="inlineStr"/>
      <c r="D6" s="28" t="inlineStr"/>
    </row>
    <row r="7">
      <c r="A7" s="12" t="inlineStr">
        <is>
          <t>Helicopter operator, Katra</t>
        </is>
      </c>
      <c r="B7" s="12" t="inlineStr">
        <is>
          <t>From the ticket</t>
        </is>
      </c>
      <c r="C7" s="28" t="inlineStr"/>
      <c r="D7" s="28" t="inlineStr"/>
    </row>
    <row r="8">
      <c r="A8" s="12" t="inlineStr">
        <is>
          <t>Hotel, Jammu (Days 1 and 3)</t>
        </is>
      </c>
      <c r="B8" s="12" t="inlineStr"/>
      <c r="C8" s="28" t="inlineStr"/>
      <c r="D8" s="28" t="inlineStr"/>
    </row>
    <row r="9">
      <c r="A9" s="12" t="inlineStr">
        <is>
          <t>Driver(s)</t>
        </is>
      </c>
      <c r="B9" s="12" t="inlineStr"/>
      <c r="C9" s="28" t="inlineStr"/>
      <c r="D9" s="28" t="inlineStr"/>
    </row>
    <row r="10">
      <c r="A10" s="12" t="inlineStr">
        <is>
          <t>Hospital, Katra</t>
        </is>
      </c>
      <c r="B10" s="12" t="inlineStr"/>
      <c r="C10" s="28" t="inlineStr"/>
      <c r="D10" s="28" t="inlineStr"/>
    </row>
    <row r="11">
      <c r="A11" s="12" t="inlineStr">
        <is>
          <t>Hospital, Jammu</t>
        </is>
      </c>
      <c r="B11" s="12" t="inlineStr"/>
      <c r="C11" s="28" t="inlineStr"/>
      <c r="D11" s="28" t="inlineStr"/>
    </row>
    <row r="12">
      <c r="A12" s="12" t="inlineStr">
        <is>
          <t>Police / emergency</t>
        </is>
      </c>
      <c r="B12" s="12" t="inlineStr">
        <is>
          <t>National emergency number</t>
        </is>
      </c>
      <c r="C12" s="12" t="inlineStr"/>
      <c r="D12" s="12" t="inlineStr">
        <is>
          <t>112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22" customWidth="1" min="3" max="3"/>
    <col width="20" customWidth="1" min="4" max="4"/>
  </cols>
  <sheetData>
    <row r="1">
      <c r="A1" s="1" t="inlineStr">
        <is>
          <t>Cost heads per yatri (₹)</t>
        </is>
      </c>
    </row>
    <row r="2">
      <c r="A2" s="5" t="inlineStr">
        <is>
          <t>Fill the yellow cells from current quotes; totals recalculate. Example: Bhairon ropeway – enter the per-yatri ticket price.</t>
        </is>
      </c>
    </row>
    <row r="3">
      <c r="A3" s="29" t="inlineStr">
        <is>
          <t>Package price: 3N/4D ₹50,000 per person + 5% GST, excluding flight charges</t>
        </is>
      </c>
    </row>
    <row r="4">
      <c r="A4" s="6" t="inlineStr">
        <is>
          <t>Cost head</t>
        </is>
      </c>
      <c r="B4" s="6" t="inlineStr">
        <is>
          <t>Basis</t>
        </is>
      </c>
      <c r="C4" s="6" t="inlineStr">
        <is>
          <t>In package?</t>
        </is>
      </c>
      <c r="D4" s="6" t="inlineStr">
        <is>
          <t>Amount per yatri (₹)</t>
        </is>
      </c>
    </row>
    <row r="5">
      <c r="A5" s="7" t="inlineStr">
        <is>
          <t>Flights / trains to and from Jammu</t>
        </is>
      </c>
      <c r="B5" s="7" t="inlineStr">
        <is>
          <t>Per yatri</t>
        </is>
      </c>
      <c r="C5" s="7" t="inlineStr">
        <is>
          <t>No – excluded from price</t>
        </is>
      </c>
      <c r="D5" s="30" t="n"/>
    </row>
    <row r="6">
      <c r="A6" s="7" t="inlineStr">
        <is>
          <t>Hotel Jammu, 2 nights (Days 1 and 3)</t>
        </is>
      </c>
      <c r="B6" s="7" t="inlineStr">
        <is>
          <t>Twin sharing</t>
        </is>
      </c>
      <c r="C6" s="7" t="inlineStr">
        <is>
          <t>Yes</t>
        </is>
      </c>
      <c r="D6" s="30" t="n"/>
    </row>
    <row r="7">
      <c r="A7" s="7" t="inlineStr">
        <is>
          <t>Bhawan accommodation, 1 night</t>
        </is>
      </c>
      <c r="B7" s="7" t="inlineStr">
        <is>
          <t>Per bed / room</t>
        </is>
      </c>
      <c r="C7" s="7" t="inlineStr">
        <is>
          <t>Yes</t>
        </is>
      </c>
      <c r="D7" s="30" t="n"/>
    </row>
    <row r="8">
      <c r="A8" s="7" t="inlineStr">
        <is>
          <t>Helicopter Katra ⇄ Sanjichhat</t>
        </is>
      </c>
      <c r="B8" s="7" t="inlineStr">
        <is>
          <t>Per yatri, both ways</t>
        </is>
      </c>
      <c r="C8" s="7" t="inlineStr">
        <is>
          <t>Yes</t>
        </is>
      </c>
      <c r="D8" s="30" t="n"/>
    </row>
    <row r="9">
      <c r="A9" s="7" t="inlineStr">
        <is>
          <t>Battery car Sanjichhat → Bhawan</t>
        </is>
      </c>
      <c r="B9" s="7" t="inlineStr">
        <is>
          <t>Per yatri</t>
        </is>
      </c>
      <c r="C9" s="7" t="inlineStr">
        <is>
          <t>Yes</t>
        </is>
      </c>
      <c r="D9" s="30" t="n"/>
    </row>
    <row r="10">
      <c r="A10" s="7" t="inlineStr">
        <is>
          <t>Bhairon ropeway</t>
        </is>
      </c>
      <c r="B10" s="7" t="inlineStr">
        <is>
          <t>Per yatri</t>
        </is>
      </c>
      <c r="C10" s="7" t="inlineStr">
        <is>
          <t>Yes</t>
        </is>
      </c>
      <c r="D10" s="30" t="n"/>
    </row>
    <row r="11">
      <c r="A11" s="7" t="inlineStr">
        <is>
          <t>Atka Aarti passes – Evening &amp; Morning Atka Aarti at the Holy Cave, arranged for the group</t>
        </is>
      </c>
      <c r="B11" s="7" t="inlineStr">
        <is>
          <t>Per yatri</t>
        </is>
      </c>
      <c r="C11" s="7" t="inlineStr">
        <is>
          <t>Yes</t>
        </is>
      </c>
      <c r="D11" s="30" t="n"/>
    </row>
    <row r="12">
      <c r="A12" s="7" t="inlineStr">
        <is>
          <t>Vehicles, 4 days (149 km + waiting)</t>
        </is>
      </c>
      <c r="B12" s="7" t="inlineStr">
        <is>
          <t>Per vehicle, split by seats</t>
        </is>
      </c>
      <c r="C12" s="7" t="inlineStr">
        <is>
          <t>Yes</t>
        </is>
      </c>
      <c r="D12" s="30" t="n"/>
    </row>
    <row r="13">
      <c r="A13" s="7" t="inlineStr">
        <is>
          <t>All meals, Day 1 lunch to Day 4 breakfast</t>
        </is>
      </c>
      <c r="B13" s="7" t="inlineStr">
        <is>
          <t>Per yatri</t>
        </is>
      </c>
      <c r="C13" s="7" t="inlineStr">
        <is>
          <t>Yes</t>
        </is>
      </c>
      <c r="D13" s="30" t="n"/>
    </row>
    <row r="14">
      <c r="A14" s="7" t="inlineStr">
        <is>
          <t>Travel insurance</t>
        </is>
      </c>
      <c r="B14" s="7" t="inlineStr">
        <is>
          <t>Per yatri</t>
        </is>
      </c>
      <c r="C14" s="7" t="inlineStr">
        <is>
          <t>Yes</t>
        </is>
      </c>
      <c r="D14" s="30" t="n"/>
    </row>
    <row r="15">
      <c r="A15" s="7" t="inlineStr">
        <is>
          <t>Tour leader and assistant costs</t>
        </is>
      </c>
      <c r="B15" s="7" t="inlineStr">
        <is>
          <t>Split across yatris</t>
        </is>
      </c>
      <c r="C15" s="7" t="inlineStr">
        <is>
          <t>Yes</t>
        </is>
      </c>
      <c r="D15" s="30" t="n"/>
    </row>
    <row r="16">
      <c r="A16" s="3" t="inlineStr">
        <is>
          <t>Subtotal (items in package)</t>
        </is>
      </c>
      <c r="D16" s="31">
        <f>SUMIF(C5:C15,"Yes",D5:D15)</f>
        <v/>
      </c>
    </row>
    <row r="17">
      <c r="A17" s="2" t="inlineStr">
        <is>
          <t>Contingency %</t>
        </is>
      </c>
      <c r="B17" s="2" t="inlineStr">
        <is>
          <t>Assumption: 5–10% for helicopter rebooking and delays</t>
        </is>
      </c>
      <c r="D17" s="32" t="n">
        <v>0.05</v>
      </c>
    </row>
    <row r="18">
      <c r="A18" s="3" t="inlineStr">
        <is>
          <t>Package cost per yatri</t>
        </is>
      </c>
      <c r="D18" s="31">
        <f>D16*(1+D17)</f>
        <v/>
      </c>
    </row>
    <row r="20">
      <c r="A20" s="2" t="inlineStr">
        <is>
          <t>Not included: flights, shopping, personal offerings, tips.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18" customWidth="1" min="2" max="2"/>
  </cols>
  <sheetData>
    <row r="1">
      <c r="A1" s="11" t="inlineStr">
        <is>
          <t>Point to confirm</t>
        </is>
      </c>
      <c r="B1" s="11" t="inlineStr">
        <is>
          <t>Status (fill in)</t>
        </is>
      </c>
    </row>
    <row r="2">
      <c r="A2" s="12" t="inlineStr">
        <is>
          <t>Every yatri's arrival in Jammu by 14:00 on Day 1, and departure flight / train times on Day 4</t>
        </is>
      </c>
      <c r="B2" s="28" t="inlineStr"/>
    </row>
    <row r="3">
      <c r="A3" s="12" t="inlineStr">
        <is>
          <t>Helicopter slots booked on 1 Jan 2027 for Day 2 and Day 3 + reporting time</t>
        </is>
      </c>
      <c r="B3" s="28" t="inlineStr"/>
    </row>
    <row r="4">
      <c r="A4" s="12" t="inlineStr">
        <is>
          <t>Helicopter baggage limit per yatri; main luggage stays at the Jammu hotel on Day 2</t>
        </is>
      </c>
      <c r="B4" s="28" t="inlineStr"/>
    </row>
    <row r="5">
      <c r="A5" s="12" t="inlineStr">
        <is>
          <t>Bhawan accommodation booked for Day 2 night</t>
        </is>
      </c>
      <c r="B5" s="28" t="inlineStr"/>
    </row>
    <row r="6">
      <c r="A6" s="12" t="inlineStr">
        <is>
          <t>Atka Aarti passes – availability and booking window</t>
        </is>
      </c>
      <c r="B6" s="28" t="inlineStr"/>
    </row>
    <row r="7">
      <c r="A7" s="12" t="inlineStr">
        <is>
          <t>Bhairon ropeway tickets; Sanjichhat → Bhawan battery car</t>
        </is>
      </c>
      <c r="B7" s="28" t="inlineStr"/>
    </row>
    <row r="8">
      <c r="A8" s="12" t="inlineStr">
        <is>
          <t>Jammu hotel fixed for Days 1 and 3; replace area map links with exact hotel pins</t>
        </is>
      </c>
      <c r="B8" s="28" t="inlineStr"/>
    </row>
    <row r="9">
      <c r="A9" s="12" t="inlineStr">
        <is>
          <t>Verify every car km and drive time on Google Maps</t>
        </is>
      </c>
      <c r="B9" s="28" t="inlineStr"/>
    </row>
    <row r="10">
      <c r="A10" s="12" t="inlineStr">
        <is>
          <t>Escorts for seniors on the Day 3 downhill track (Bhairon → Sanjichhat)</t>
        </is>
      </c>
      <c r="B10" s="28" t="inlineStr"/>
    </row>
    <row r="11">
      <c r="A11" s="12" t="inlineStr">
        <is>
          <t>Weather back-up if helicopter is grounded</t>
        </is>
      </c>
      <c r="B11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2026-10-24T16:24:02Z</dcterms:created>
  <dcterms:modified xmlns:dcterms="http://purl.org/dc/terms/" xmlns:xsi="http://www.w3.org/2001/XMLSchema-instance" xsi:type="dcterms:W3CDTF">2026-10-24T16:24:02Z</dcterms:modified>
</cp:coreProperties>
</file>
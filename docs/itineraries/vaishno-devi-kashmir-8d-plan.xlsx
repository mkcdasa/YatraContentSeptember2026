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inute-by-Minute" sheetId="2" state="visible" r:id="rId4"/>
    <sheet name="Meal Plan" sheetId="3" state="visible" r:id="rId5"/>
    <sheet name="Pros &amp; Cons" sheetId="4" state="visible" r:id="rId6"/>
    <sheet name="Challenges &amp; Backups" sheetId="5" state="visible" r:id="rId7"/>
    <sheet name="Dos &amp; Donts" sheetId="6" state="visible" r:id="rId8"/>
    <sheet name="Checklist" sheetId="7" state="visible" r:id="rId9"/>
    <sheet name="Packing List" sheetId="8" state="visible" r:id="rId10"/>
    <sheet name="Health &amp; Safety" sheetId="9" state="visible" r:id="rId11"/>
    <sheet name="Best Time" sheetId="10" state="visible" r:id="rId12"/>
    <sheet name="Team &amp; Contacts" sheetId="11" state="visible" r:id="rId13"/>
    <sheet name="Cost Heads" sheetId="12" state="visible" r:id="rId14"/>
    <sheet name="Open Points" sheetId="13" state="visible" r:id="rId15"/>
  </sheets>
  <definedNames>
    <definedName function="false" hidden="true" localSheetId="1" name="_xlnm._FilterDatabase" vbProcedure="false">'Minute-by-Minute'!$A$4:$K$117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<sst xmlns="http://schemas.openxmlformats.org/spreadsheetml/2006/main" count="1068" uniqueCount="582">
  <si>
    <t xml:space="preserve">8 Days Vaishno Devi &amp; Kashmir Pilgrimage – Overview</t>
  </si>
  <si>
    <t xml:space="preserve">Jammu – Katra – Vaishno Devi – Jammu – Srinagar (Gulmarg, Sonamarg day trips) · 7 nights / 8 days · Departure: 13–20 March 2027</t>
  </si>
  <si>
    <t xml:space="preserve">Departure date (Day 1)</t>
  </si>
  <si>
    <t xml:space="preserve">← change this date and every day / row date updates</t>
  </si>
  <si>
    <t xml:space="preserve">Key dates</t>
  </si>
  <si>
    <t xml:space="preserve">Day</t>
  </si>
  <si>
    <t xml:space="preserve">Date</t>
  </si>
  <si>
    <t xml:space="preserve">Route</t>
  </si>
  <si>
    <t xml:space="preserve">Car km</t>
  </si>
  <si>
    <t xml:space="preserve">Night stay</t>
  </si>
  <si>
    <t xml:space="preserve">First start</t>
  </si>
  <si>
    <t xml:space="preserve">Last end</t>
  </si>
  <si>
    <t xml:space="preserve">Registrations close</t>
  </si>
  <si>
    <t xml:space="preserve">Jammu Airport arrival (14:00), Jammu temples</t>
  </si>
  <si>
    <t xml:space="preserve">Jammu</t>
  </si>
  <si>
    <t xml:space="preserve">Yatri data to travel agent</t>
  </si>
  <si>
    <t xml:space="preserve">Jammu → Katra → Sanjichhat (helicopter) → Bhawan (battery car)</t>
  </si>
  <si>
    <t xml:space="preserve">Bhawan</t>
  </si>
  <si>
    <t xml:space="preserve">Helicopter tickets booked</t>
  </si>
  <si>
    <t xml:space="preserve">Bhawan → Bhairon → Sanjichhat (helicopter) → Katra → Jammu</t>
  </si>
  <si>
    <t xml:space="preserve">Jammu → Jammu Airport → Srinagar; Shankaracharya, Jyeshta Devi, shikara</t>
  </si>
  <si>
    <t xml:space="preserve">Srinagar</t>
  </si>
  <si>
    <t xml:space="preserve">Flight info</t>
  </si>
  <si>
    <t xml:space="preserve">Srinagar → Gulmarg (gondola, Maharani Temple) → Srinagar</t>
  </si>
  <si>
    <t xml:space="preserve">Arrival at Jammu Airport on 13 March 2027 before 14:00</t>
  </si>
  <si>
    <t xml:space="preserve">Srinagar → Kheer Bhawani → Sonamarg → Srinagar</t>
  </si>
  <si>
    <t xml:space="preserve">Flight Jammu → Srinagar on 16 March 2027, departing between 11:00 and 12:00</t>
  </si>
  <si>
    <t xml:space="preserve">Srinagar → Pampore → Avantipur → Martand → lunch at Durganag → Lal Chowk / Polo View shopping → Srinagar</t>
  </si>
  <si>
    <t xml:space="preserve">Departure from Srinagar Airport on 20 March 2027 after 14:00</t>
  </si>
  <si>
    <t xml:space="preserve">Srinagar → Polo View shopping → lunch at Durganag → Srinagar Airport departure</t>
  </si>
  <si>
    <t xml:space="preserve">—</t>
  </si>
  <si>
    <t xml:space="preserve">Total</t>
  </si>
  <si>
    <t xml:space="preserve">7 nights</t>
  </si>
  <si>
    <t xml:space="preserve">Price</t>
  </si>
  <si>
    <t xml:space="preserve">7N/8D: ₹1,00,000 per person + 5% GST, excluding flight charges</t>
  </si>
  <si>
    <t xml:space="preserve">Other transport: 2 helicopter flights (5–8 min each), battery car Sanjichhat → Bhawan, Bhairon ropeway, flight Jammu → Srinagar (~50 min), Dal Lake shikara, Gulmarg gondola (Phase 1 and 2), Thajiwas pony ride, ~3 km downhill track on Day 3 (escorts assist seniors).</t>
  </si>
  <si>
    <t xml:space="preserve">Stays: Jammu (Days 1 and 3, same hotel; main luggage waits there on Day 2), Bhawan (Day 2), Srinagar (Days 4, 5, 6 and 7, same hotel; Gulmarg and Sonamarg are day trips).</t>
  </si>
  <si>
    <t xml:space="preserve">Days 1–3 are identical to the 4-day Vaishno Devi package; 4-day yatris leave the group at Jammu Airport on Day 4.</t>
  </si>
  <si>
    <t xml:space="preserve">Assumptions: arrival at Jammu Airport at 14:00 on Day 1; breakfast 07:30–08:30 and departure from the hotel at 09:00 every day; helicopter slots 12:15 (Day 2) and 12:15 (Day 3); Jammu Airport by 09:20 on Day 4 for the 11:00–12:00 flight to Srinagar; Srinagar Airport by 12:45 on Day 8 for departures after 14:00. Day 6 is the longest road day (~167 km); back in Srinagar about 18:30.</t>
  </si>
  <si>
    <t xml:space="preserve">Highlights: Atka Aarti at the Holy Cave, arranged once for the group (evening or morning, as allotted by the Shrine Board), so yatris spend more time before Mata Rani; Banganga darshan on Day 3.</t>
  </si>
  <si>
    <t xml:space="preserve">8 Days Vaishno Devi &amp; Kashmir Pilgrimage – Minute-to-Minute Plan</t>
  </si>
  <si>
    <t xml:space="preserve">Departure: 13–20 March 2027. Draft as of 21 Oct 2026. Car km and drive times are approximate – verify on Google Maps. Edit Start/End times; Mins and totals recalculate.</t>
  </si>
  <si>
    <t xml:space="preserve">Start</t>
  </si>
  <si>
    <t xml:space="preserve">End</t>
  </si>
  <si>
    <t xml:space="preserve">Mins</t>
  </si>
  <si>
    <t xml:space="preserve">Mode</t>
  </si>
  <si>
    <t xml:space="preserve">From</t>
  </si>
  <si>
    <t xml:space="preserve">To</t>
  </si>
  <si>
    <t xml:space="preserve">What we do</t>
  </si>
  <si>
    <t xml:space="preserve">Google Map</t>
  </si>
  <si>
    <t xml:space="preserve">Arrival</t>
  </si>
  <si>
    <t xml:space="preserve">Jammu Airport (IXJ)</t>
  </si>
  <si>
    <t xml:space="preserve">Meet our representative, garland welcome, load luggage, headcount</t>
  </si>
  <si>
    <t xml:space="preserve">Open map</t>
  </si>
  <si>
    <t xml:space="preserve">Car</t>
  </si>
  <si>
    <t xml:space="preserve">Jammu Airport</t>
  </si>
  <si>
    <t xml:space="preserve">Hotel, Jammu</t>
  </si>
  <si>
    <t xml:space="preserve">Transfer to the hotel</t>
  </si>
  <si>
    <t xml:space="preserve">Halt</t>
  </si>
  <si>
    <t xml:space="preserve">Check-in, freshen up</t>
  </si>
  <si>
    <t xml:space="preserve">Lunch</t>
  </si>
  <si>
    <t xml:space="preserve">Hotel restaurant, Jammu</t>
  </si>
  <si>
    <t xml:space="preserve">Raghunath Temple</t>
  </si>
  <si>
    <t xml:space="preserve">Drive to the old-city temple complex</t>
  </si>
  <si>
    <t xml:space="preserve">Darshan</t>
  </si>
  <si>
    <t xml:space="preserve">Darshan of Sri Rama, Sita and Lakshmana; galleries of saligramas; group kirtan</t>
  </si>
  <si>
    <t xml:space="preserve">Ranbireshwar Temple</t>
  </si>
  <si>
    <t xml:space="preserve">Short hop</t>
  </si>
  <si>
    <t xml:space="preserve">Darshan of the 7.5 ft Shiva lingam and crystal lingams</t>
  </si>
  <si>
    <t xml:space="preserve">Raghunath Bazaar</t>
  </si>
  <si>
    <t xml:space="preserve">Short hop to the old-city market</t>
  </si>
  <si>
    <t xml:space="preserve">Shopping</t>
  </si>
  <si>
    <t xml:space="preserve">Raghunath Bazaar, Jammu</t>
  </si>
  <si>
    <t xml:space="preserve">Dry fruits, Kalari cheese, Dogra handicrafts</t>
  </si>
  <si>
    <t xml:space="preserve">Return to the hotel</t>
  </si>
  <si>
    <t xml:space="preserve">Rest</t>
  </si>
  <si>
    <t xml:space="preserve">Rest, kirtan; Day 2 briefing (photo ID, small bag for Bhawan; main luggage stays at this hotel)</t>
  </si>
  <si>
    <t xml:space="preserve">Dinner</t>
  </si>
  <si>
    <t xml:space="preserve">Breakfast</t>
  </si>
  <si>
    <t xml:space="preserve">Check-out with a small bag; main luggage stays at the Jammu hotel for Day 3</t>
  </si>
  <si>
    <t xml:space="preserve">Katra</t>
  </si>
  <si>
    <t xml:space="preserve">Drive via the Jammu–Katra highway; tea stop en route</t>
  </si>
  <si>
    <t xml:space="preserve">Registration</t>
  </si>
  <si>
    <t xml:space="preserve">Yatra Registration Counter, Katra</t>
  </si>
  <si>
    <t xml:space="preserve">RFID Yatra cards for every yatri (carry original photo ID)</t>
  </si>
  <si>
    <t xml:space="preserve">Katra town</t>
  </si>
  <si>
    <t xml:space="preserve">Katra Helipad</t>
  </si>
  <si>
    <t xml:space="preserve">Drive to the helipad</t>
  </si>
  <si>
    <t xml:space="preserve">Reporting</t>
  </si>
  <si>
    <t xml:space="preserve">Report for the allotted slot: ticket and ID check, baggage weighing, security</t>
  </si>
  <si>
    <t xml:space="preserve">Helicopter</t>
  </si>
  <si>
    <t xml:space="preserve">Sanjichhat Helipad</t>
  </si>
  <si>
    <t xml:space="preserve">Helicopter flight, about 5–8 minutes</t>
  </si>
  <si>
    <t xml:space="preserve">Battery car</t>
  </si>
  <si>
    <t xml:space="preserve">2.5 km to Bhawan by battery car</t>
  </si>
  <si>
    <t xml:space="preserve">Check-in at Bhawan accommodation; cloak room</t>
  </si>
  <si>
    <t xml:space="preserve">Restaurant, Bhawan</t>
  </si>
  <si>
    <t xml:space="preserve">Rest, japa, group kirtan</t>
  </si>
  <si>
    <t xml:space="preserve">Holy Cave, Bhawan</t>
  </si>
  <si>
    <t xml:space="preserve">Darshan of the three Pindis (Maha Kali, Maha Lakshmi, Maha Saraswati)</t>
  </si>
  <si>
    <t xml:space="preserve">Aarti</t>
  </si>
  <si>
    <t xml:space="preserve">Atka Aarti at the Holy Cave (main temple), arranged once for the group – this evening or tomorrow morning, as allotted by the Shrine Board; otherwise kirtan and japa</t>
  </si>
  <si>
    <t xml:space="preserve">Wake-up, bath, get ready</t>
  </si>
  <si>
    <t xml:space="preserve">Morning Atka Aarti at the Holy Cave if this is our allotted slot; otherwise japa and early darshan</t>
  </si>
  <si>
    <t xml:space="preserve">Rest, pack small bag</t>
  </si>
  <si>
    <t xml:space="preserve">Check-out, collect cloak-room items</t>
  </si>
  <si>
    <t xml:space="preserve">Walk</t>
  </si>
  <si>
    <t xml:space="preserve">Bhawan ropeway station</t>
  </si>
  <si>
    <t xml:space="preserve">Short walk (~300 m) to the ropeway</t>
  </si>
  <si>
    <t xml:space="preserve">Ropeway</t>
  </si>
  <si>
    <t xml:space="preserve">Bhairon Ghati</t>
  </si>
  <si>
    <t xml:space="preserve">Ropeway ride, about 3 minutes plus queue</t>
  </si>
  <si>
    <t xml:space="preserve">Bhairon Baba Temple</t>
  </si>
  <si>
    <t xml:space="preserve">Darshan of Bhairon Baba – completes the yatra</t>
  </si>
  <si>
    <t xml:space="preserve">Bhairon Temple</t>
  </si>
  <si>
    <t xml:space="preserve">Downhill track ~3 km to the helipad (escorts assist seniors)</t>
  </si>
  <si>
    <t xml:space="preserve">Report for the return slot</t>
  </si>
  <si>
    <t xml:space="preserve">Return flight, about 5–8 minutes</t>
  </si>
  <si>
    <t xml:space="preserve">Pooja Vaishno Dhaba, Katra</t>
  </si>
  <si>
    <t xml:space="preserve">Pick-up at the helipad</t>
  </si>
  <si>
    <t xml:space="preserve">Lunch (pure veg; backup Madhuban Saattvik Restaurant)</t>
  </si>
  <si>
    <t xml:space="preserve">Banganga</t>
  </si>
  <si>
    <t xml:space="preserve">Drive to Banganga</t>
  </si>
  <si>
    <t xml:space="preserve">Darshan at Banganga, the holy stream the Mother brought forth with an arrow; sprinkle the sacred water</t>
  </si>
  <si>
    <t xml:space="preserve">Darshani Deodi</t>
  </si>
  <si>
    <t xml:space="preserve">Traditional gateway of the yatra; group photo</t>
  </si>
  <si>
    <t xml:space="preserve">Katra Main Bazaar</t>
  </si>
  <si>
    <t xml:space="preserve">Drive to the market</t>
  </si>
  <si>
    <t xml:space="preserve">Prasad, chunri, dry fruits, walnut and handicrafts</t>
  </si>
  <si>
    <t xml:space="preserve">Drive back to Jammu</t>
  </si>
  <si>
    <t xml:space="preserve">Check-in (same hotel as Day 1), collect main luggage</t>
  </si>
  <si>
    <t xml:space="preserve">Rest, kirtan; Day 4 briefing</t>
  </si>
  <si>
    <t xml:space="preserve">Check-out, load luggage</t>
  </si>
  <si>
    <t xml:space="preserve">Drive to the airport (3N/4D yatris say farewell here)</t>
  </si>
  <si>
    <t xml:space="preserve">Airport</t>
  </si>
  <si>
    <t xml:space="preserve">Check-in and security</t>
  </si>
  <si>
    <t xml:space="preserve">Flight</t>
  </si>
  <si>
    <t xml:space="preserve">Srinagar Airport</t>
  </si>
  <si>
    <t xml:space="preserve">Flight Jammu → Srinagar (departs between 11:00 and 12:00)</t>
  </si>
  <si>
    <t xml:space="preserve">Baggage collection, meet the Srinagar driver</t>
  </si>
  <si>
    <t xml:space="preserve">Hotel, Srinagar</t>
  </si>
  <si>
    <t xml:space="preserve">Drive to the hotel on Boulevard Road</t>
  </si>
  <si>
    <t xml:space="preserve">Hotel restaurant, Srinagar</t>
  </si>
  <si>
    <t xml:space="preserve">Lunch after check-in</t>
  </si>
  <si>
    <t xml:space="preserve">Shankaracharya Temple</t>
  </si>
  <si>
    <t xml:space="preserve">Drive up Gopadri hill</t>
  </si>
  <si>
    <t xml:space="preserve">Hilltop Shiva temple, ~240 steps; views of Dal Lake (phones not allowed – leave in car)</t>
  </si>
  <si>
    <t xml:space="preserve">Jyeshta Devi Temple</t>
  </si>
  <si>
    <t xml:space="preserve">Drive to Zethyar</t>
  </si>
  <si>
    <t xml:space="preserve">Darshan of Mata Jyeshta Devi</t>
  </si>
  <si>
    <t xml:space="preserve">Rest, tea</t>
  </si>
  <si>
    <t xml:space="preserve">Hotel</t>
  </si>
  <si>
    <t xml:space="preserve">Shikara ghat, Dal Lake</t>
  </si>
  <si>
    <t xml:space="preserve">Walk to the shikara ghat</t>
  </si>
  <si>
    <t xml:space="preserve">Shikara</t>
  </si>
  <si>
    <t xml:space="preserve">Dal Lake</t>
  </si>
  <si>
    <t xml:space="preserve">Sunset shikara ride past Char Chinari and Nehru Park; kirtan on the boat</t>
  </si>
  <si>
    <t xml:space="preserve">Rest; Day 5 briefing (warm clothes for the Gulmarg day trip)</t>
  </si>
  <si>
    <t xml:space="preserve">Breakfast (Amalaki Ekadashi – grain-free)</t>
  </si>
  <si>
    <t xml:space="preserve">Day trip – room retained; carry warm layers</t>
  </si>
  <si>
    <t xml:space="preserve">Gulmarg</t>
  </si>
  <si>
    <t xml:space="preserve">Drive via Tangmarg (snow boots and coats at Tangmarg)</t>
  </si>
  <si>
    <t xml:space="preserve">Gondola</t>
  </si>
  <si>
    <t xml:space="preserve">Gulmarg Gondola: Kongdori (Phase 1) and Apharwat (Phase 2)</t>
  </si>
  <si>
    <t xml:space="preserve">Gondola ride to Snow Point and Apharwat Peak views</t>
  </si>
  <si>
    <t xml:space="preserve">Bakshi Restaurant, Gulmarg</t>
  </si>
  <si>
    <t xml:space="preserve">Lunch – Ekadashi prasadam (fruits, potato, sabudana)</t>
  </si>
  <si>
    <t xml:space="preserve">Maharani Temple</t>
  </si>
  <si>
    <t xml:space="preserve">Short drive across the meadow</t>
  </si>
  <si>
    <t xml:space="preserve">Maharani Temple (Shiva temple), Gulmarg</t>
  </si>
  <si>
    <t xml:space="preserve">Darshan at the hilltop Shiva temple in the meadow</t>
  </si>
  <si>
    <t xml:space="preserve">Sightseeing</t>
  </si>
  <si>
    <t xml:space="preserve">Gulmarg meadow viewpoints</t>
  </si>
  <si>
    <t xml:space="preserve">Meadow walk, Himalayan views, group photo</t>
  </si>
  <si>
    <t xml:space="preserve">Return to Srinagar</t>
  </si>
  <si>
    <t xml:space="preserve">Rest, Ekadashi kirtan; Day 6 briefing</t>
  </si>
  <si>
    <t xml:space="preserve">Dinner – Ekadashi prasadam</t>
  </si>
  <si>
    <t xml:space="preserve">Breakfast – Ekadashi parana (break fast 07:14–10:26)</t>
  </si>
  <si>
    <t xml:space="preserve">Kheer Bhawani Temple, Tulmulla</t>
  </si>
  <si>
    <t xml:space="preserve">Drive via Ganderbal</t>
  </si>
  <si>
    <t xml:space="preserve">Kheer Bhawani Temple</t>
  </si>
  <si>
    <t xml:space="preserve">Darshan of Mata Ragnya Devi at the sacred spring; kheer offering</t>
  </si>
  <si>
    <t xml:space="preserve">Tulmulla</t>
  </si>
  <si>
    <t xml:space="preserve">Sonamarg</t>
  </si>
  <si>
    <t xml:space="preserve">Scenic drive along the Sindh river</t>
  </si>
  <si>
    <t xml:space="preserve">Dogra Vaishno Bhojnalaya, Sonamarg</t>
  </si>
  <si>
    <t xml:space="preserve">Lunch (pure veg)</t>
  </si>
  <si>
    <t xml:space="preserve">Pony</t>
  </si>
  <si>
    <t xml:space="preserve">Thajiwas Glacier</t>
  </si>
  <si>
    <t xml:space="preserve">Pony ride to Thajiwas Glacier (~3 km); snow play</t>
  </si>
  <si>
    <t xml:space="preserve">Sindh River viewpoints, Sonamarg</t>
  </si>
  <si>
    <t xml:space="preserve">Sindh river banks and snow-peak views; group photo</t>
  </si>
  <si>
    <t xml:space="preserve">Rest, kirtan; Day 7 briefing</t>
  </si>
  <si>
    <t xml:space="preserve">Day trip – room retained</t>
  </si>
  <si>
    <t xml:space="preserve">Pampore</t>
  </si>
  <si>
    <t xml:space="preserve">Drive to the saffron town</t>
  </si>
  <si>
    <t xml:space="preserve">Pampore saffron and dry-fruit shops</t>
  </si>
  <si>
    <t xml:space="preserve">Saffron, walnuts, almonds and dry fruits</t>
  </si>
  <si>
    <t xml:space="preserve">Avantipur Temple Ruins</t>
  </si>
  <si>
    <t xml:space="preserve">Along the Jammu–Srinagar highway</t>
  </si>
  <si>
    <t xml:space="preserve">9th-century Avantiswami (Vishnu) temple ruins</t>
  </si>
  <si>
    <t xml:space="preserve">Avantipur</t>
  </si>
  <si>
    <t xml:space="preserve">Martand Sun Temple</t>
  </si>
  <si>
    <t xml:space="preserve">Via Anantnag</t>
  </si>
  <si>
    <t xml:space="preserve">8th-century Surya temple ruins on the Mattan plateau</t>
  </si>
  <si>
    <t xml:space="preserve">Martand</t>
  </si>
  <si>
    <t xml:space="preserve">Krishna Vaishno Dhaba, Durganag, Srinagar</t>
  </si>
  <si>
    <t xml:space="preserve">Drive back to Srinagar (fruit and snacks in the vehicle)</t>
  </si>
  <si>
    <t xml:space="preserve">Krishna Vaishno Dhaba, Srinagar</t>
  </si>
  <si>
    <t xml:space="preserve">Lunch (pure veg; backup Vishal Dhaba next door)</t>
  </si>
  <si>
    <t xml:space="preserve">Durganag</t>
  </si>
  <si>
    <t xml:space="preserve">Lal Chowk, Srinagar</t>
  </si>
  <si>
    <t xml:space="preserve">Short drive to the city centre</t>
  </si>
  <si>
    <t xml:space="preserve">Lal Chowk, Polo View and Residency Road markets, Srinagar</t>
  </si>
  <si>
    <t xml:space="preserve">Pashmina and Kashmiri shawls, papier-mâché, walnut-wood carvings, carpets, dry fruits</t>
  </si>
  <si>
    <t xml:space="preserve">Lal Chowk</t>
  </si>
  <si>
    <t xml:space="preserve">Rest; Day 8 briefing (packing, flight ID)</t>
  </si>
  <si>
    <t xml:space="preserve">Polo View Market, Srinagar</t>
  </si>
  <si>
    <t xml:space="preserve">Short drive</t>
  </si>
  <si>
    <t xml:space="preserve">Last-minute shopping: shawls, dry fruits, handicrafts</t>
  </si>
  <si>
    <t xml:space="preserve">Polo View Market</t>
  </si>
  <si>
    <t xml:space="preserve">Niramish, Durganag, Srinagar</t>
  </si>
  <si>
    <t xml:space="preserve">Niramish, Srinagar</t>
  </si>
  <si>
    <t xml:space="preserve">Lunch (pure veg; backup Krishna Vaishno Dhaba)</t>
  </si>
  <si>
    <t xml:space="preserve">Drive to the terminal (allow for security checkpoints)</t>
  </si>
  <si>
    <t xml:space="preserve">Departure</t>
  </si>
  <si>
    <t xml:space="preserve">Farewell – Jai Mata Di! Har Har Mahadev! (departure flights after 14:00)</t>
  </si>
  <si>
    <t xml:space="preserve">Legend: yellow rows = meals; peach rows = highlights (both possible Atka Aarti slots – the group gets one, as allotted by the Shrine Board; Banganga darshan); blue rows = helicopter, battery car, ropeway, flight, gondola, shikara, Thajiwas pony ride.</t>
  </si>
  <si>
    <t xml:space="preserve">Meal plan (all 22 meals pure-veg)</t>
  </si>
  <si>
    <t xml:space="preserve">Meal</t>
  </si>
  <si>
    <t xml:space="preserve">Time</t>
  </si>
  <si>
    <t xml:space="preserve">Where</t>
  </si>
  <si>
    <t xml:space="preserve">Restaurant (probable)</t>
  </si>
  <si>
    <t xml:space="preserve">Backup</t>
  </si>
  <si>
    <t xml:space="preserve">15:15–15:50</t>
  </si>
  <si>
    <t xml:space="preserve">20:15–21:15</t>
  </si>
  <si>
    <t xml:space="preserve">07:30–08:30</t>
  </si>
  <si>
    <t xml:space="preserve">13:30–14:15</t>
  </si>
  <si>
    <t xml:space="preserve">19:30–20:30</t>
  </si>
  <si>
    <t xml:space="preserve">12:40–13:30</t>
  </si>
  <si>
    <t xml:space="preserve">Pooja Vaishno Dhaba</t>
  </si>
  <si>
    <t xml:space="preserve">Madhuban Saattvik Restaurant</t>
  </si>
  <si>
    <t xml:space="preserve">20:00–21:00</t>
  </si>
  <si>
    <t xml:space="preserve">13:00–14:00</t>
  </si>
  <si>
    <t xml:space="preserve">13:45–14:30</t>
  </si>
  <si>
    <t xml:space="preserve">Bakshi Restaurant</t>
  </si>
  <si>
    <t xml:space="preserve">Pandit Brothers Vegetarian Dhaba</t>
  </si>
  <si>
    <t xml:space="preserve">12:30–13:15</t>
  </si>
  <si>
    <t xml:space="preserve">Dogra Vaishno Bhojnalaya</t>
  </si>
  <si>
    <t xml:space="preserve">Hotel Sonamarg Palace</t>
  </si>
  <si>
    <t xml:space="preserve">14:30–15:15</t>
  </si>
  <si>
    <t xml:space="preserve">Krishna Vaishno Dhaba</t>
  </si>
  <si>
    <t xml:space="preserve">Vishal Dhaba</t>
  </si>
  <si>
    <t xml:space="preserve">11:15–12:00</t>
  </si>
  <si>
    <t xml:space="preserve">Niramish</t>
  </si>
  <si>
    <t xml:space="preserve">Pure-veg options are few in Gulmarg and Sonamarg; pre-book for the group size. Ask every kitchen about no onion-garlic cooking.</t>
  </si>
  <si>
    <t xml:space="preserve">Aspect</t>
  </si>
  <si>
    <t xml:space="preserve">Good</t>
  </si>
  <si>
    <t xml:space="preserve">Bad</t>
  </si>
  <si>
    <t xml:space="preserve">Shared first 3 days</t>
  </si>
  <si>
    <t xml:space="preserve">Same plan as the 4-day package; mixed groups travel together until Day 4</t>
  </si>
  <si>
    <t xml:space="preserve">Group size changes at Jammu Airport on Day 4</t>
  </si>
  <si>
    <t xml:space="preserve">Helicopter to Sanjichhat</t>
  </si>
  <si>
    <t xml:space="preserve">Cuts the 13 km climb to ~10 min; battery car on to Bhawan</t>
  </si>
  <si>
    <t xml:space="preserve">Weather-dependent; slots sell out; tight baggage limit</t>
  </si>
  <si>
    <t xml:space="preserve">Night at Bhawan</t>
  </si>
  <si>
    <t xml:space="preserve">Atka Aarti at the Holy Cave, arranged once for the group (evening or morning, as allotted by the Shrine Board); unhurried darshan</t>
  </si>
  <si>
    <t xml:space="preserve">Basic shared rooms</t>
  </si>
  <si>
    <t xml:space="preserve">Day 3 night in Jammu</t>
  </si>
  <si>
    <t xml:space="preserve">Same hotel as Day 1; main luggage waits there; short airport run on Day 4</t>
  </si>
  <si>
    <t xml:space="preserve">~1.5 hr drive back from Katra on Day 3</t>
  </si>
  <si>
    <t xml:space="preserve">Jammu → Srinagar by flight</t>
  </si>
  <si>
    <t xml:space="preserve">Saves 7–8 hrs on the road</t>
  </si>
  <si>
    <t xml:space="preserve">Weather and security delays at Srinagar airport</t>
  </si>
  <si>
    <t xml:space="preserve">Same Srinagar hotel for 4 nights</t>
  </si>
  <si>
    <t xml:space="preserve">No packing and moving in Kashmir; Gulmarg and Sonamarg as day trips</t>
  </si>
  <si>
    <t xml:space="preserve">About 2 hrs each way to Gulmarg and 3 hrs back from Sonamarg</t>
  </si>
  <si>
    <t xml:space="preserve">Day 6 route</t>
  </si>
  <si>
    <t xml:space="preserve">Kheer Bhawani and Sonamarg in one day trip</t>
  </si>
  <si>
    <t xml:space="preserve">About 167 km and 6.5 hours in the vehicle</t>
  </si>
  <si>
    <t xml:space="preserve">Temple focus in Kashmir</t>
  </si>
  <si>
    <t xml:space="preserve">Kheer Bhawani, Shankaracharya, Jyeshta Devi, Martand, Avantipur, Maharani</t>
  </si>
  <si>
    <t xml:space="preserve">Martand and Avantipur are ruins, not living temples</t>
  </si>
  <si>
    <t xml:space="preserve">Day 7 temples and shopping</t>
  </si>
  <si>
    <t xml:space="preserve">Pampore saffron, Avantipur, Martand and a long shopping evening (15:30–19:00) at Lal Chowk, Polo View and Residency Road</t>
  </si>
  <si>
    <t xml:space="preserve">Late lunch (14:30) after Martand; about 138 km in the day</t>
  </si>
  <si>
    <t xml:space="preserve">Food</t>
  </si>
  <si>
    <t xml:space="preserve">All meals arranged; pure-veg throughout</t>
  </si>
  <si>
    <t xml:space="preserve">Few pure-veg restaurants in Sonamarg and Gulmarg</t>
  </si>
  <si>
    <t xml:space="preserve">Challenge</t>
  </si>
  <si>
    <t xml:space="preserve">Impact</t>
  </si>
  <si>
    <t xml:space="preserve">How we prevent it</t>
  </si>
  <si>
    <t xml:space="preserve">Backup on the day</t>
  </si>
  <si>
    <t xml:space="preserve">Helicopter grounded (rain, fog, wind)</t>
  </si>
  <si>
    <t xml:space="preserve">Day 2 Bhawan arrival or Day 3 return slips</t>
  </si>
  <si>
    <t xml:space="preserve">Avoid Jul–Aug; book early slots; keep 2–3 hrs slack</t>
  </si>
  <si>
    <t xml:space="preserve">Next slot; else the 13 km track from Katra (battery car Ardhkuwari → Bhawan); inform the Jammu hotel</t>
  </si>
  <si>
    <t xml:space="preserve">Helicopter or Bhawan rooms not available</t>
  </si>
  <si>
    <t xml:space="preserve">Package cannot run as planned</t>
  </si>
  <si>
    <t xml:space="preserve">Book the day the SMVDSB portal opens</t>
  </si>
  <si>
    <t xml:space="preserve">Shift dates</t>
  </si>
  <si>
    <t xml:space="preserve">Jammu → Srinagar flight cancelled or delayed (Day 4)</t>
  </si>
  <si>
    <t xml:space="preserve">Shikara and Day 4 afternoon lost</t>
  </si>
  <si>
    <t xml:space="preserve">Book the 11:00–12:00 flight; keep the afternoon light</t>
  </si>
  <si>
    <t xml:space="preserve">Next flight; or road via the Jammu–Srinagar highway (~250 km, 7–8 hrs) from Jammu</t>
  </si>
  <si>
    <t xml:space="preserve">Security advisory or local shutdown in Kashmir</t>
  </si>
  <si>
    <t xml:space="preserve">Sites closed, roads blocked</t>
  </si>
  <si>
    <t xml:space="preserve">Check advisories daily with the local DMC and hotel</t>
  </si>
  <si>
    <t xml:space="preserve">Swap the day's plan; stay in Srinagar for nearby temples and Dal Lake</t>
  </si>
  <si>
    <t xml:space="preserve">Sonamarg road closed by snow or landslide (Day 6)</t>
  </si>
  <si>
    <t xml:space="preserve">Sonamarg missed</t>
  </si>
  <si>
    <t xml:space="preserve">Check road status on Day 5 evening</t>
  </si>
  <si>
    <t xml:space="preserve">Kheer Bhawani, then Srinagar gardens instead</t>
  </si>
  <si>
    <t xml:space="preserve">Gondola closed (wind) or sold out</t>
  </si>
  <si>
    <t xml:space="preserve">No Apharwat</t>
  </si>
  <si>
    <t xml:space="preserve">Yatra Organizers book gondola tickets early; go in the morning</t>
  </si>
  <si>
    <t xml:space="preserve">Phase 1 only, or the meadow and Maharani Temple</t>
  </si>
  <si>
    <t xml:space="preserve">Long Day 6 tires seniors</t>
  </si>
  <si>
    <t xml:space="preserve">Late arrival, fatigue</t>
  </si>
  <si>
    <t xml:space="preserve">Start 09:00 after breakfast; comfort stops every 90 min</t>
  </si>
  <si>
    <t xml:space="preserve">Skip the Thajiwas pony ride; rest at Sonamarg</t>
  </si>
  <si>
    <t xml:space="preserve">Long Day 7 (~138 km, shopping until 19:00)</t>
  </si>
  <si>
    <t xml:space="preserve">Fatigue</t>
  </si>
  <si>
    <t xml:space="preserve">Short stops at Avantipur and Martand; fruit and snacks in the vehicle before the 14:30 lunch</t>
  </si>
  <si>
    <t xml:space="preserve">Skip Avantipur if running late; shorten the shopping</t>
  </si>
  <si>
    <t xml:space="preserve">Pure-veg food hard to find in Gulmarg / Sonamarg</t>
  </si>
  <si>
    <t xml:space="preserve">Long lunch searches</t>
  </si>
  <si>
    <t xml:space="preserve">Pre-book restaurants for the group size</t>
  </si>
  <si>
    <t xml:space="preserve">Hotel packs lunch for the day</t>
  </si>
  <si>
    <t xml:space="preserve">Prepaid SIMs from other states do not work in J&amp;K</t>
  </si>
  <si>
    <t xml:space="preserve">Group out of contact</t>
  </si>
  <si>
    <t xml:space="preserve">Tell yatris; carry postpaid numbers</t>
  </si>
  <si>
    <t xml:space="preserve">Leader and assistant on postpaid; fixed meeting points</t>
  </si>
  <si>
    <t xml:space="preserve">Cold or altitude discomfort (Gulmarg ~2,650 m, Apharwat ~4,000 m)</t>
  </si>
  <si>
    <t xml:space="preserve">Seniors unwell</t>
  </si>
  <si>
    <t xml:space="preserve">Warm layers; skip Phase 2 for heart / BP patients</t>
  </si>
  <si>
    <t xml:space="preserve">Stay at Phase 1 or the meadow</t>
  </si>
  <si>
    <t xml:space="preserve">Long airport security at Srinagar</t>
  </si>
  <si>
    <t xml:space="preserve">Missed departure</t>
  </si>
  <si>
    <t xml:space="preserve">Reach the airport by 12:45</t>
  </si>
  <si>
    <t xml:space="preserve">Book departure after 14:00 (14:30 or later preferred)</t>
  </si>
  <si>
    <t xml:space="preserve">Lost yatri in crowd</t>
  </si>
  <si>
    <t xml:space="preserve">Panic, delay</t>
  </si>
  <si>
    <t xml:space="preserve">Group cap / scarf; buddy pairs; head counts at every move</t>
  </si>
  <si>
    <t xml:space="preserve">Fixed meeting point at every site</t>
  </si>
  <si>
    <t xml:space="preserve">Brief yatris before departure, again at the Day 2 helipad and on the Day 4 evening in Srinagar.</t>
  </si>
  <si>
    <t xml:space="preserve">Type</t>
  </si>
  <si>
    <t xml:space="preserve">Point</t>
  </si>
  <si>
    <t xml:space="preserve">Do – yatris</t>
  </si>
  <si>
    <t xml:space="preserve">Carry the original photo ID used for the helicopter, flights and Yatra registration</t>
  </si>
  <si>
    <t xml:space="preserve">Keep the RFID Yatra card on you until the end of Day 3</t>
  </si>
  <si>
    <t xml:space="preserve">Pack a small day bag for Bhawan; the main suitcase stays at the Jammu hotel</t>
  </si>
  <si>
    <t xml:space="preserve">Carry warm layers on the Gulmarg and Sonamarg day trips</t>
  </si>
  <si>
    <t xml:space="preserve">Dress in warm layers in Kashmir, even in summer; carry a cap and gloves for Gulmarg and Sonamarg</t>
  </si>
  <si>
    <t xml:space="preserve">Report 10 minutes before every departure; stay with your buddy; wear the group cap or scarf</t>
  </si>
  <si>
    <t xml:space="preserve">Deposit phones, cameras and bags in cloak rooms before darshan (Bhawan, Shankaracharya)</t>
  </si>
  <si>
    <t xml:space="preserve">Buy saffron, dry fruits and pashmina from government emporiums or shops recommended by the tour leader</t>
  </si>
  <si>
    <t xml:space="preserve">Respect local customs; dress modestly at all temples and in towns</t>
  </si>
  <si>
    <t xml:space="preserve">Don't – yatris</t>
  </si>
  <si>
    <t xml:space="preserve">Carry phones, cameras, leather goods or eatables into the darshan areas (check each temple's rules)</t>
  </si>
  <si>
    <t xml:space="preserve">Exceed the helicopter or airline baggage limits</t>
  </si>
  <si>
    <t xml:space="preserve">Rely on a prepaid SIM from outside J&amp;K – it will not work</t>
  </si>
  <si>
    <t xml:space="preserve">Wander off alone in Srinagar markets, especially after dark</t>
  </si>
  <si>
    <t xml:space="preserve">Photograph security forces, checkpoints or military areas</t>
  </si>
  <si>
    <t xml:space="preserve">Step onto frozen streams or glacier edges at Thajiwas or Apharwat</t>
  </si>
  <si>
    <t xml:space="preserve">Leave the group without telling the tour leader</t>
  </si>
  <si>
    <t xml:space="preserve">Do – tour team</t>
  </si>
  <si>
    <t xml:space="preserve">Head count at every movement</t>
  </si>
  <si>
    <t xml:space="preserve">Keep a printed yatri list: names, ID numbers, phone, emergency contact, blood group, medical notes</t>
  </si>
  <si>
    <t xml:space="preserve">Check the security advisory and road status with the local DMC every evening</t>
  </si>
  <si>
    <t xml:space="preserve">Confirm helicopter status the evening before and early on flight day; reconfirm flights 24 hours ahead</t>
  </si>
  <si>
    <t xml:space="preserve">Confirm gondola tickets, Thajiwas ponies and vehicles in writing with the DMC</t>
  </si>
  <si>
    <t xml:space="preserve">Don't – tour team</t>
  </si>
  <si>
    <t xml:space="preserve">Promise a helicopter seat, gondola ticket or Aarti pass not yet booked</t>
  </si>
  <si>
    <t xml:space="preserve">Split the group across helicopters or vehicles without an escort with each part</t>
  </si>
  <si>
    <t xml:space="preserve">Change the plan without telling the yatra coordinator</t>
  </si>
  <si>
    <t xml:space="preserve">Bookings &amp; documents checklist (T = departure date)</t>
  </si>
  <si>
    <t xml:space="preserve">When</t>
  </si>
  <si>
    <t xml:space="preserve">Task</t>
  </si>
  <si>
    <t xml:space="preserve">Owner</t>
  </si>
  <si>
    <t xml:space="preserve">Notes</t>
  </si>
  <si>
    <t xml:space="preserve">Status (fill in)</t>
  </si>
  <si>
    <t xml:space="preserve">T−60 days</t>
  </si>
  <si>
    <t xml:space="preserve">Fix dates; avoid Navratri, Amarnath Yatra weeks, Jul–Aug monsoon</t>
  </si>
  <si>
    <t xml:space="preserve">Yatra coordinator</t>
  </si>
  <si>
    <t xml:space="preserve">Check the yatra calendar in the app</t>
  </si>
  <si>
    <t xml:space="preserve">By 25 Dec 2026</t>
  </si>
  <si>
    <t xml:space="preserve">Registrations close: collect yatri names, photo ID (Aadhaar / passport), age, weight, phone, emergency contact, medical notes; mark who does 4 days and who does 8</t>
  </si>
  <si>
    <t xml:space="preserve">Last date 25 Dec 2026; name exactly as on ID; weight needed for the helicopter</t>
  </si>
  <si>
    <t xml:space="preserve">30 Dec 2026</t>
  </si>
  <si>
    <t xml:space="preserve">Send complete yatri data to the travel agent</t>
  </si>
  <si>
    <t xml:space="preserve">Names as on ID, ID numbers, ages, weights, phone numbers; who does 4 days and who does 8</t>
  </si>
  <si>
    <t xml:space="preserve">1 Jan 2027</t>
  </si>
  <si>
    <t xml:space="preserve">Book helicopter Day 2 (Katra → Sanjichhat) and Day 3 (Sanjichhat → Katra) on the SMVDSB portal</t>
  </si>
  <si>
    <t xml:space="preserve">Travel agent with yatra coordinator</t>
  </si>
  <si>
    <t xml:space="preserve">All yatris together</t>
  </si>
  <si>
    <t xml:space="preserve">Booking opening day</t>
  </si>
  <si>
    <t xml:space="preserve">Book Atka Aarti passes: Atka Aarti at the Holy Cave, arranged once for the group (evening or morning, as allotted by the Shrine Board)</t>
  </si>
  <si>
    <t xml:space="preserve">Arranged for the group so yatris spend more time before Mata Rani</t>
  </si>
  <si>
    <t xml:space="preserve">Book Bhawan accommodation (Day 2 night), Bhairon ropeway, Sanjichhat → Bhawan battery car</t>
  </si>
  <si>
    <t xml:space="preserve">SMVDSB portal</t>
  </si>
  <si>
    <t xml:space="preserve">T−45 days</t>
  </si>
  <si>
    <t xml:space="preserve">Book flights: home → Jammu (arrive before 14:00, 13 Mar), Jammu → Srinagar (16 Mar, 11:00–12:00), Srinagar → home (20 Mar, after 14:00)</t>
  </si>
  <si>
    <t xml:space="preserve">Travel desk</t>
  </si>
  <si>
    <t xml:space="preserve">Group fares</t>
  </si>
  <si>
    <t xml:space="preserve">Book hotels: Jammu (Days 1 and 3, same hotel; luggage storage on Day 2), Srinagar (Days 4, 5, 6 and 7, same hotel)</t>
  </si>
  <si>
    <t xml:space="preserve">Ask for pure-veg kitchen</t>
  </si>
  <si>
    <t xml:space="preserve">T−30 days</t>
  </si>
  <si>
    <t xml:space="preserve">Book vehicles: Jammu–Katra (Days 1–4) and Kashmir (Days 4–8) through a registered Kashmir DMC</t>
  </si>
  <si>
    <t xml:space="preserve">Driver phone numbers in the team sheet</t>
  </si>
  <si>
    <t xml:space="preserve">Book Gulmarg gondola tickets (Phase 1 and 2) for Day 5</t>
  </si>
  <si>
    <t xml:space="preserve">Yatra Organizers / travel desk</t>
  </si>
  <si>
    <t xml:space="preserve">Official gondola booking site</t>
  </si>
  <si>
    <t xml:space="preserve">T−15 days</t>
  </si>
  <si>
    <t xml:space="preserve">Pre-book lunch restaurants (Pooja Vaishno Dhaba Katra, Bakshi Restaurant Gulmarg, Dogra Vaishno Bhojnalaya Sonamarg, Krishna Vaishno Dhaba and Niramish Srinagar; backups in the Meal Plan)</t>
  </si>
  <si>
    <t xml:space="preserve">Tour leader</t>
  </si>
  <si>
    <t xml:space="preserve">Pure-veg, no onion-garlic on request</t>
  </si>
  <si>
    <t xml:space="preserve">Travel insurance for every yatri</t>
  </si>
  <si>
    <t xml:space="preserve">Covers helicopter and flights</t>
  </si>
  <si>
    <t xml:space="preserve">T−7 days</t>
  </si>
  <si>
    <t xml:space="preserve">Pre-departure meeting: itinerary, warm clothing, do's and don'ts, SIM advice</t>
  </si>
  <si>
    <t xml:space="preserve">Share the living document</t>
  </si>
  <si>
    <t xml:space="preserve">T−2 days</t>
  </si>
  <si>
    <t xml:space="preserve">Reconfirm all bookings and check Kashmir advisories</t>
  </si>
  <si>
    <t xml:space="preserve">T−1 day</t>
  </si>
  <si>
    <t xml:space="preserve">Print tickets, room bookings, passes, yatri list, ID copies</t>
  </si>
  <si>
    <t xml:space="preserve">Two sets</t>
  </si>
  <si>
    <t xml:space="preserve">Day 2 at Katra</t>
  </si>
  <si>
    <t xml:space="preserve">RFID Yatra registration for every yatri</t>
  </si>
  <si>
    <t xml:space="preserve">Original photo ID</t>
  </si>
  <si>
    <t xml:space="preserve">Bag / season</t>
  </si>
  <si>
    <t xml:space="preserve">Item</t>
  </si>
  <si>
    <t xml:space="preserve">Day bag</t>
  </si>
  <si>
    <t xml:space="preserve">Original photo ID + photocopy; helicopter and flight tickets; RFID Yatra card</t>
  </si>
  <si>
    <t xml:space="preserve">One change of clothes and a towel for the Bhawan night</t>
  </si>
  <si>
    <t xml:space="preserve">Warm jacket, cap, gloves, woollen socks</t>
  </si>
  <si>
    <t xml:space="preserve">Personal medicines + prescription; small first-aid kit</t>
  </si>
  <si>
    <t xml:space="preserve">Water bottle, dry fruits, japa mala, small torch, cash in small notes</t>
  </si>
  <si>
    <t xml:space="preserve">Sunglasses and sunscreen (snow glare at Gulmarg and Sonamarg)</t>
  </si>
  <si>
    <t xml:space="preserve">Main suitcase</t>
  </si>
  <si>
    <t xml:space="preserve">Clothes for 8 days, modest for temples, layered for cold</t>
  </si>
  <si>
    <t xml:space="preserve">Thermal innerwear (2 sets), fleece, heavy jacket</t>
  </si>
  <si>
    <t xml:space="preserve">Walking shoes with grip + slippers; spare socks</t>
  </si>
  <si>
    <t xml:space="preserve">Raincoat or umbrella</t>
  </si>
  <si>
    <t xml:space="preserve">Toiletries, cold cream / lip balm</t>
  </si>
  <si>
    <t xml:space="preserve">Phone charger, power bank (cabin bag only), postpaid SIM</t>
  </si>
  <si>
    <t xml:space="preserve">Medicines: pain relief, ORS, antacid, motion-sickness, cold and cough</t>
  </si>
  <si>
    <t xml:space="preserve">Dec–Feb</t>
  </si>
  <si>
    <t xml:space="preserve">Heavy down jacket, snow boots (or hire at Tangmarg / Sonamarg), thermal gloves, woollen cap</t>
  </si>
  <si>
    <t xml:space="preserve">Mar–Jun</t>
  </si>
  <si>
    <t xml:space="preserve">Light woollens for evenings, sunglasses</t>
  </si>
  <si>
    <t xml:space="preserve">Jul–Sep</t>
  </si>
  <si>
    <t xml:space="preserve">Raincoat, quick-dry clothes, spare footwear</t>
  </si>
  <si>
    <t xml:space="preserve">Oct–Nov</t>
  </si>
  <si>
    <t xml:space="preserve">Warm jacket; nights near freezing in Gulmarg</t>
  </si>
  <si>
    <t xml:space="preserve">Topic</t>
  </si>
  <si>
    <t xml:space="preserve">Guidance</t>
  </si>
  <si>
    <t xml:space="preserve">Fitness check</t>
  </si>
  <si>
    <t xml:space="preserve">Ask every yatri about heart, BP, diabetes, asthma and knee problems at registration; escorts assist anyone who finds the 3 km downhill walk on Day 3 hard</t>
  </si>
  <si>
    <t xml:space="preserve">Altitude</t>
  </si>
  <si>
    <t xml:space="preserve">Bhawan ~1,600 m, Sonamarg ~2,700 m, Gulmarg ~2,650 m, Apharwat (Gondola Phase 2) ~4,000 m. Heart and BP patients should stop at Phase 1. Walk slowly and drink water</t>
  </si>
  <si>
    <t xml:space="preserve">Cold</t>
  </si>
  <si>
    <t xml:space="preserve">Temperatures can drop below zero at night from October to March; layer clothing and keep head, ears and throat covered</t>
  </si>
  <si>
    <t xml:space="preserve">Pregnant women, infants and recent-surgery cases must check operator rules before booking</t>
  </si>
  <si>
    <t xml:space="preserve">Medical help</t>
  </si>
  <si>
    <t xml:space="preserve">Shrine Board medical points on the track and at Bhawan; hospitals in Katra, Jammu, Srinagar and Anantnag</t>
  </si>
  <si>
    <t xml:space="preserve">Seniors</t>
  </si>
  <si>
    <t xml:space="preserve">One escort for every 5–6 seniors; seats near the front of the vehicle on mountain roads; motion-sickness tablets before the Sonamarg and Gulmarg drives</t>
  </si>
  <si>
    <t xml:space="preserve">Food and water</t>
  </si>
  <si>
    <t xml:space="preserve">Hotels and pre-booked restaurants only; packaged water</t>
  </si>
  <si>
    <t xml:space="preserve">Security</t>
  </si>
  <si>
    <t xml:space="preserve">Follow police and army instructions at checkpoints; carry ID at all times; no photography of security installations</t>
  </si>
  <si>
    <t xml:space="preserve">Valuables</t>
  </si>
  <si>
    <t xml:space="preserve">Neck pouch for cash and ID; cloak rooms at temples; no jewellery</t>
  </si>
  <si>
    <t xml:space="preserve">Insurance</t>
  </si>
  <si>
    <t xml:space="preserve">Every yatri insured, policy number on the yatri list</t>
  </si>
  <si>
    <t xml:space="preserve">Months</t>
  </si>
  <si>
    <t xml:space="preserve">Jammu / Vaishno Devi</t>
  </si>
  <si>
    <t xml:space="preserve">Kashmir</t>
  </si>
  <si>
    <t xml:space="preserve">Verdict</t>
  </si>
  <si>
    <t xml:space="preserve">Mar</t>
  </si>
  <si>
    <t xml:space="preserve">Pleasant; Chaitra Navratri crowds</t>
  </si>
  <si>
    <t xml:space="preserve">Cold; snow at Gulmarg; Sonamarg road may be shut</t>
  </si>
  <si>
    <t xml:space="preserve">Possible; check Sonamarg road</t>
  </si>
  <si>
    <t xml:space="preserve">Apr–Jun</t>
  </si>
  <si>
    <t xml:space="preserve">Warm to hot in Jammu (40°C+ in June); pleasant at Bhawan</t>
  </si>
  <si>
    <t xml:space="preserve">Peak season; tulips in April; all roads open</t>
  </si>
  <si>
    <t xml:space="preserve">Recommended; book early</t>
  </si>
  <si>
    <t xml:space="preserve">Jul–Aug</t>
  </si>
  <si>
    <t xml:space="preserve">Monsoon; helicopter cancellations</t>
  </si>
  <si>
    <t xml:space="preserve">Amarnath Yatra traffic and security restrictions</t>
  </si>
  <si>
    <t xml:space="preserve">Avoid</t>
  </si>
  <si>
    <t xml:space="preserve">Sep–Oct</t>
  </si>
  <si>
    <t xml:space="preserve">Clear; Sharad Navratri crowds</t>
  </si>
  <si>
    <t xml:space="preserve">Autumn colours; cool and clear</t>
  </si>
  <si>
    <t xml:space="preserve">Recommended (avoid Navratri week)</t>
  </si>
  <si>
    <t xml:space="preserve">Nov</t>
  </si>
  <si>
    <t xml:space="preserve">Cool and clear</t>
  </si>
  <si>
    <t xml:space="preserve">Cold; first snow possible</t>
  </si>
  <si>
    <t xml:space="preserve">Possible for hardy groups</t>
  </si>
  <si>
    <t xml:space="preserve">Cold; fog delays at Jammu</t>
  </si>
  <si>
    <t xml:space="preserve">Heavy snow; Gulmarg skiing; Sonamarg often shut</t>
  </si>
  <si>
    <t xml:space="preserve">Only with a winter-ready plan</t>
  </si>
  <si>
    <t xml:space="preserve">Role / contact</t>
  </si>
  <si>
    <t xml:space="preserve">Responsibility / notes</t>
  </si>
  <si>
    <t xml:space="preserve">Name</t>
  </si>
  <si>
    <t xml:space="preserve">Phone</t>
  </si>
  <si>
    <t xml:space="preserve">Day plan, head counts, tickets and passes, vendor coordination, backup decisions</t>
  </si>
  <si>
    <t xml:space="preserve">Assistant / escort</t>
  </si>
  <si>
    <t xml:space="preserve">Seniors and slow walkers; rear of the group; second document set</t>
  </si>
  <si>
    <t xml:space="preserve">Kashmir DMC coordinator (from Day 4)</t>
  </si>
  <si>
    <t xml:space="preserve">Vehicles, hotels, gondola, road and security updates</t>
  </si>
  <si>
    <t xml:space="preserve">Yatra coordinator (Hyderabad)</t>
  </si>
  <si>
    <t xml:space="preserve">Bookings, changes, escalation</t>
  </si>
  <si>
    <t xml:space="preserve">Kirtan / spiritual lead</t>
  </si>
  <si>
    <t xml:space="preserve">Kirtan, japa and katha at halts and in the evenings</t>
  </si>
  <si>
    <t xml:space="preserve">Shrine Board (SMVDSB) helpline</t>
  </si>
  <si>
    <t xml:space="preserve">From the official SMVDSB website</t>
  </si>
  <si>
    <t xml:space="preserve">Helicopter operator, Katra helipad</t>
  </si>
  <si>
    <t xml:space="preserve">From the ticket</t>
  </si>
  <si>
    <t xml:space="preserve">Hotels: Jammu, Srinagar</t>
  </si>
  <si>
    <t xml:space="preserve">Drivers: Jammu and Kashmir</t>
  </si>
  <si>
    <t xml:space="preserve">J&amp;K Tourism helpline</t>
  </si>
  <si>
    <t xml:space="preserve">From the official J&amp;K Tourism website</t>
  </si>
  <si>
    <t xml:space="preserve">Hospitals: Katra, Jammu, Srinagar, Anantnag</t>
  </si>
  <si>
    <t xml:space="preserve">Airlines (Jammu → Srinagar, Srinagar → home)</t>
  </si>
  <si>
    <t xml:space="preserve">From the tickets</t>
  </si>
  <si>
    <t xml:space="preserve">Police / emergency</t>
  </si>
  <si>
    <t xml:space="preserve">National emergency number</t>
  </si>
  <si>
    <t xml:space="preserve">112</t>
  </si>
  <si>
    <t xml:space="preserve">Cost heads per yatri (₹)</t>
  </si>
  <si>
    <t xml:space="preserve">Fill the yellow cells from current quotes; totals recalculate. Example: Bhairon ropeway – enter the per-yatri ticket price.</t>
  </si>
  <si>
    <t xml:space="preserve">Package price: 7N/8D ₹1,00,000 per person + 5% GST, excluding flight charges</t>
  </si>
  <si>
    <t xml:space="preserve">Cost head</t>
  </si>
  <si>
    <t xml:space="preserve">Basis</t>
  </si>
  <si>
    <t xml:space="preserve">In package?</t>
  </si>
  <si>
    <t xml:space="preserve">Amount per yatri (₹)</t>
  </si>
  <si>
    <t xml:space="preserve">Flights: home → Jammu, Jammu → Srinagar, Srinagar → home</t>
  </si>
  <si>
    <t xml:space="preserve">Per yatri</t>
  </si>
  <si>
    <t xml:space="preserve">No – excluded from price</t>
  </si>
  <si>
    <t xml:space="preserve">Hotel Jammu, 2 nights (Days 1 and 3)</t>
  </si>
  <si>
    <t xml:space="preserve">Twin sharing</t>
  </si>
  <si>
    <t xml:space="preserve">Yes</t>
  </si>
  <si>
    <t xml:space="preserve">Bhawan accommodation, 1 night</t>
  </si>
  <si>
    <t xml:space="preserve">Per bed / room</t>
  </si>
  <si>
    <t xml:space="preserve">Srinagar hotel, 4 nights (Days 4, 5, 6 and 7)</t>
  </si>
  <si>
    <t xml:space="preserve">Helicopter Katra ⇄ Sanjichhat</t>
  </si>
  <si>
    <t xml:space="preserve">Per yatri, both ways</t>
  </si>
  <si>
    <t xml:space="preserve">Battery car Sanjichhat → Bhawan</t>
  </si>
  <si>
    <t xml:space="preserve">Atka Aarti passes – Atka Aarti at the Holy Cave, arranged once for the group (evening or morning, as allotted by the Shrine Board)</t>
  </si>
  <si>
    <t xml:space="preserve">Bhairon ropeway</t>
  </si>
  <si>
    <t xml:space="preserve">Vehicles: Jammu–Katra (Days 1–4) and Kashmir (Days 4–8), about 595 km</t>
  </si>
  <si>
    <t xml:space="preserve">Per vehicle, split by seats</t>
  </si>
  <si>
    <t xml:space="preserve">Shikara ride, Dal Lake</t>
  </si>
  <si>
    <t xml:space="preserve">Per boat, split</t>
  </si>
  <si>
    <t xml:space="preserve">Gulmarg gondola Phase 1 and Phase 2</t>
  </si>
  <si>
    <t xml:space="preserve">Thajiwas pony ride, Sonamarg</t>
  </si>
  <si>
    <t xml:space="preserve">All meals, Day 1 lunch to Day 8 lunch</t>
  </si>
  <si>
    <t xml:space="preserve">Monument entry tickets (Martand, Avantipur)</t>
  </si>
  <si>
    <t xml:space="preserve">Travel insurance</t>
  </si>
  <si>
    <t xml:space="preserve">Tour leader, assistant and DMC costs</t>
  </si>
  <si>
    <t xml:space="preserve">Split across yatris</t>
  </si>
  <si>
    <t xml:space="preserve">Subtotal (items in package)</t>
  </si>
  <si>
    <t xml:space="preserve">Contingency %</t>
  </si>
  <si>
    <t xml:space="preserve">Assumption: 5–10% for helicopter, flight and weather disruption</t>
  </si>
  <si>
    <t xml:space="preserve">Package cost per yatri</t>
  </si>
  <si>
    <t xml:space="preserve">Not included: flights, shopping, personal offerings, tips.</t>
  </si>
  <si>
    <t xml:space="preserve">Point to confirm</t>
  </si>
  <si>
    <t xml:space="preserve">Every yatri's arrival in Jammu by 14:00 on Day 1 and departure flight from Srinagar on Day 8</t>
  </si>
  <si>
    <t xml:space="preserve">Jammu → Srinagar flight time on Day 4 (window 11:00–12:00; the day plan uses 11:00)</t>
  </si>
  <si>
    <t xml:space="preserve">Helicopter slots booked on 1 Jan 2027 for Day 2 and Day 3, and the reporting time on the tickets</t>
  </si>
  <si>
    <t xml:space="preserve">Helicopter baggage limit; main luggage stays at the Jammu hotel on Day 2</t>
  </si>
  <si>
    <t xml:space="preserve">Bhawan accommodation, Bhairon ropeway and Sanjichhat → Bhawan battery car booked; Atka Aarti slot allotted (Day 2 evening or Day 3 morning)</t>
  </si>
  <si>
    <t xml:space="preserve">Hotels fixed in Jammu (Days 1 and 3) and Srinagar (Days 4, 5, 6 and 7); replace area map links with exact pins</t>
  </si>
  <si>
    <t xml:space="preserve">Kashmir DMC and vehicles fixed</t>
  </si>
  <si>
    <t xml:space="preserve">Gulmarg gondola tickets booked by Yatra Organizers (Phase 1 and Phase 2)</t>
  </si>
  <si>
    <t xml:space="preserve">Lunch restaurants confirmed for the group: Katra, Gulmarg, Sonamarg and Srinagar (Durganag); backups listed in the Meal Plan</t>
  </si>
  <si>
    <t xml:space="preserve">Verify every car km and drive time on Google Maps, especially the Day 5 Gulmarg and Day 6 Sonamarg round trips and the Day 7 loop</t>
  </si>
  <si>
    <t xml:space="preserve">Current security advisory and road status for Gulmarg, Sonamarg and the Anantnag road close to the travel date</t>
  </si>
  <si>
    <t xml:space="preserve">Which 4-day yatris continue to Kashmir, and the farewell at Jammu Airport on Day 4 for those who return home</t>
  </si>
  <si>
    <t xml:space="preserve">Amalaki Ekadashi (17 Mar) prasadam for breakfast, lunch and dinner; parana breakfast 07:30–08:30 on 18 Mar (within 07:14–10:26)</t>
  </si>
  <si>
    <t xml:space="preserve">In mid-March confirm that the Sonamarg road and Thajiwas are open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</si>
</sst>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\ dd\-mmm\-yyyy"/>
    <numFmt numFmtId="166" formatCode="hh:mm"/>
    <numFmt numFmtId="167" formatCode="ddd\ dd\-mmm"/>
    <numFmt numFmtId="168" formatCode="\₹#,##0;&quot;(₹&quot;#,##0\);\-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B2C2C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7B2C2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B2C2C"/>
        <bgColor rgb="FF993366"/>
      </patternFill>
    </fill>
    <fill>
      <patternFill patternType="solid">
        <fgColor rgb="FFFFF4D6"/>
        <bgColor rgb="FFFCE4D6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F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7B2C2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4D6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2C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Jammu+Airport%2C+Satwari%2C+Jammu" TargetMode="External"/><Relationship Id="rId2" Type="http://schemas.openxmlformats.org/officeDocument/2006/relationships/hyperlink" Target="https://www.google.com/maps/dir/?api=1&amp;origin=Jammu+Airport%2C+Satwari%2C+Jammu&amp;destination=Residency+Road%2C+Jammu&amp;travelmode=driving" TargetMode="External"/><Relationship Id="rId3" Type="http://schemas.openxmlformats.org/officeDocument/2006/relationships/hyperlink" Target="https://www.google.com/maps/search/?api=1&amp;query=Residency+Road%2C+Jammu" TargetMode="External"/><Relationship Id="rId4" Type="http://schemas.openxmlformats.org/officeDocument/2006/relationships/hyperlink" Target="https://www.google.com/maps/search/?api=1&amp;query=Residency+Road%2C+Jammu" TargetMode="External"/><Relationship Id="rId5" Type="http://schemas.openxmlformats.org/officeDocument/2006/relationships/hyperlink" Target="https://www.google.com/maps/dir/?api=1&amp;origin=Residency+Road%2C+Jammu&amp;destination=Raghunath+Temple%2C+Jammu&amp;travelmode=driving" TargetMode="External"/><Relationship Id="rId6" Type="http://schemas.openxmlformats.org/officeDocument/2006/relationships/hyperlink" Target="https://www.google.com/maps/search/?api=1&amp;query=Raghunath+Temple%2C+Jammu" TargetMode="External"/><Relationship Id="rId7" Type="http://schemas.openxmlformats.org/officeDocument/2006/relationships/hyperlink" Target="https://www.google.com/maps/dir/?api=1&amp;origin=Raghunath+Temple%2C+Jammu&amp;destination=Ranbireshwar+Temple%2C+Jammu&amp;travelmode=driving" TargetMode="External"/><Relationship Id="rId8" Type="http://schemas.openxmlformats.org/officeDocument/2006/relationships/hyperlink" Target="https://www.google.com/maps/search/?api=1&amp;query=Ranbireshwar+Temple%2C+Jammu" TargetMode="External"/><Relationship Id="rId9" Type="http://schemas.openxmlformats.org/officeDocument/2006/relationships/hyperlink" Target="https://www.google.com/maps/dir/?api=1&amp;origin=Ranbireshwar+Temple%2C+Jammu&amp;destination=Raghunath+Bazaar%2C+Jammu&amp;travelmode=driving" TargetMode="External"/><Relationship Id="rId10" Type="http://schemas.openxmlformats.org/officeDocument/2006/relationships/hyperlink" Target="https://www.google.com/maps/search/?api=1&amp;query=Raghunath+Bazaar%2C+Jammu" TargetMode="External"/><Relationship Id="rId11" Type="http://schemas.openxmlformats.org/officeDocument/2006/relationships/hyperlink" Target="https://www.google.com/maps/dir/?api=1&amp;origin=Raghunath+Bazaar%2C+Jammu&amp;destination=Residency+Road%2C+Jammu&amp;travelmode=driving" TargetMode="External"/><Relationship Id="rId12" Type="http://schemas.openxmlformats.org/officeDocument/2006/relationships/hyperlink" Target="https://www.google.com/maps/search/?api=1&amp;query=Residency+Road%2C+Jammu" TargetMode="External"/><Relationship Id="rId13" Type="http://schemas.openxmlformats.org/officeDocument/2006/relationships/hyperlink" Target="https://www.google.com/maps/search/?api=1&amp;query=Residency+Road%2C+Jammu" TargetMode="External"/><Relationship Id="rId14" Type="http://schemas.openxmlformats.org/officeDocument/2006/relationships/hyperlink" Target="https://www.google.com/maps/search/?api=1&amp;query=Residency+Road%2C+Jammu" TargetMode="External"/><Relationship Id="rId15" Type="http://schemas.openxmlformats.org/officeDocument/2006/relationships/hyperlink" Target="https://www.google.com/maps/search/?api=1&amp;query=Residency+Road%2C+Jammu" TargetMode="External"/><Relationship Id="rId16" Type="http://schemas.openxmlformats.org/officeDocument/2006/relationships/hyperlink" Target="https://www.google.com/maps/dir/?api=1&amp;origin=Residency+Road%2C+Jammu&amp;destination=Yatra+Registration+Counter%2C+Katra+Bus+Stand%2C+Katra&amp;travelmode=driving" TargetMode="External"/><Relationship Id="rId17" Type="http://schemas.openxmlformats.org/officeDocument/2006/relationships/hyperlink" Target="https://www.google.com/maps/search/?api=1&amp;query=Yatra+Registration+Counter%2C+Katra+Bus+Stand%2C+Katra" TargetMode="External"/><Relationship Id="rId18" Type="http://schemas.openxmlformats.org/officeDocument/2006/relationships/hyperlink" Target="https://www.google.com/maps/dir/?api=1&amp;origin=Yatra+Registration+Counter%2C+Katra+Bus+Stand%2C+Katra&amp;destination=Katra+Helipad%2C+Shri+Mata+Vaishno+Devi%2C+Katra&amp;travelmode=driving" TargetMode="External"/><Relationship Id="rId19" Type="http://schemas.openxmlformats.org/officeDocument/2006/relationships/hyperlink" Target="https://www.google.com/maps/search/?api=1&amp;query=Katra+Helipad%2C+Shri+Mata+Vaishno+Devi%2C+Katra" TargetMode="External"/><Relationship Id="rId20" Type="http://schemas.openxmlformats.org/officeDocument/2006/relationships/hyperlink" Target="https://www.google.com/maps/search/?api=1&amp;query=Sanjichhat+Helipad%2C+Vaishno+Devi" TargetMode="External"/><Relationship Id="rId21" Type="http://schemas.openxmlformats.org/officeDocument/2006/relationships/hyperlink" Target="https://www.google.com/maps/dir/?api=1&amp;origin=Sanjichhat+Helipad%2C+Vaishno+Devi&amp;destination=Shri+Mata+Vaishno+Devi+Bhawan%2C+Katra&amp;travelmode=walking" TargetMode="External"/><Relationship Id="rId22" Type="http://schemas.openxmlformats.org/officeDocument/2006/relationships/hyperlink" Target="https://www.google.com/maps/search/?api=1&amp;query=Shri+Mata+Vaishno+Devi+Bhawan%2C+Katra" TargetMode="External"/><Relationship Id="rId23" Type="http://schemas.openxmlformats.org/officeDocument/2006/relationships/hyperlink" Target="https://www.google.com/maps/search/?api=1&amp;query=Shri+Mata+Vaishno+Devi+Bhawan%2C+Katra" TargetMode="External"/><Relationship Id="rId24" Type="http://schemas.openxmlformats.org/officeDocument/2006/relationships/hyperlink" Target="https://www.google.com/maps/search/?api=1&amp;query=Shri+Mata+Vaishno+Devi+Bhawan%2C+Katra" TargetMode="External"/><Relationship Id="rId25" Type="http://schemas.openxmlformats.org/officeDocument/2006/relationships/hyperlink" Target="https://www.google.com/maps/search/?api=1&amp;query=Shri+Mata+Vaishno+Devi+Bhawan%2C+Katra" TargetMode="External"/><Relationship Id="rId26" Type="http://schemas.openxmlformats.org/officeDocument/2006/relationships/hyperlink" Target="https://www.google.com/maps/search/?api=1&amp;query=Shri+Mata+Vaishno+Devi+Bhawan%2C+Katra" TargetMode="External"/><Relationship Id="rId27" Type="http://schemas.openxmlformats.org/officeDocument/2006/relationships/hyperlink" Target="https://www.google.com/maps/search/?api=1&amp;query=Shri+Mata+Vaishno+Devi+Bhawan%2C+Katra" TargetMode="External"/><Relationship Id="rId28" Type="http://schemas.openxmlformats.org/officeDocument/2006/relationships/hyperlink" Target="https://www.google.com/maps/search/?api=1&amp;query=Shri+Mata+Vaishno+Devi+Bhawan%2C+Katra" TargetMode="External"/><Relationship Id="rId29" Type="http://schemas.openxmlformats.org/officeDocument/2006/relationships/hyperlink" Target="https://www.google.com/maps/search/?api=1&amp;query=Shri+Mata+Vaishno+Devi+Bhawan%2C+Katra" TargetMode="External"/><Relationship Id="rId30" Type="http://schemas.openxmlformats.org/officeDocument/2006/relationships/hyperlink" Target="https://www.google.com/maps/search/?api=1&amp;query=Shri+Mata+Vaishno+Devi+Bhawan%2C+Katra" TargetMode="External"/><Relationship Id="rId31" Type="http://schemas.openxmlformats.org/officeDocument/2006/relationships/hyperlink" Target="https://www.google.com/maps/search/?api=1&amp;query=Shri+Mata+Vaishno+Devi+Bhawan%2C+Katra" TargetMode="External"/><Relationship Id="rId32" Type="http://schemas.openxmlformats.org/officeDocument/2006/relationships/hyperlink" Target="https://www.google.com/maps/search/?api=1&amp;query=Shri+Mata+Vaishno+Devi+Bhawan%2C+Katra" TargetMode="External"/><Relationship Id="rId33" Type="http://schemas.openxmlformats.org/officeDocument/2006/relationships/hyperlink" Target="https://www.google.com/maps/search/?api=1&amp;query=Bhawan+Bhairon+Ropeway%2C+Vaishno+Devi" TargetMode="External"/><Relationship Id="rId34" Type="http://schemas.openxmlformats.org/officeDocument/2006/relationships/hyperlink" Target="https://www.google.com/maps/search/?api=1&amp;query=Bhawan+Bhairon+Ropeway%2C+Vaishno+Devi" TargetMode="External"/><Relationship Id="rId35" Type="http://schemas.openxmlformats.org/officeDocument/2006/relationships/hyperlink" Target="https://www.google.com/maps/search/?api=1&amp;query=Bhairon+Baba+Temple%2C+Vaishno+Devi" TargetMode="External"/><Relationship Id="rId36" Type="http://schemas.openxmlformats.org/officeDocument/2006/relationships/hyperlink" Target="https://www.google.com/maps/dir/?api=1&amp;origin=Bhairon+Baba+Temple%2C+Vaishno+Devi&amp;destination=Sanjichhat+Helipad%2C+Vaishno+Devi&amp;travelmode=walking" TargetMode="External"/><Relationship Id="rId37" Type="http://schemas.openxmlformats.org/officeDocument/2006/relationships/hyperlink" Target="https://www.google.com/maps/search/?api=1&amp;query=Sanjichhat+Helipad%2C+Vaishno+Devi" TargetMode="External"/><Relationship Id="rId38" Type="http://schemas.openxmlformats.org/officeDocument/2006/relationships/hyperlink" Target="https://www.google.com/maps/search/?api=1&amp;query=Katra+Helipad%2C+Shri+Mata+Vaishno+Devi%2C+Katra" TargetMode="External"/><Relationship Id="rId39" Type="http://schemas.openxmlformats.org/officeDocument/2006/relationships/hyperlink" Target="https://www.google.com/maps/dir/?api=1&amp;origin=Katra+Helipad%2C+Shri+Mata+Vaishno+Devi%2C+Katra&amp;destination=Pooja+Vaishno+Dhaba%2C+Main+Bazar%2C+Katra&amp;travelmode=driving" TargetMode="External"/><Relationship Id="rId40" Type="http://schemas.openxmlformats.org/officeDocument/2006/relationships/hyperlink" Target="https://www.google.com/maps/search/?api=1&amp;query=Pooja+Vaishno+Dhaba%2C+Main+Bazar%2C+Katra" TargetMode="External"/><Relationship Id="rId41" Type="http://schemas.openxmlformats.org/officeDocument/2006/relationships/hyperlink" Target="https://www.google.com/maps/dir/?api=1&amp;origin=Main+Bazaar%2C+Katra&amp;destination=Banganga+Temple%2C+Katra&amp;travelmode=driving" TargetMode="External"/><Relationship Id="rId42" Type="http://schemas.openxmlformats.org/officeDocument/2006/relationships/hyperlink" Target="https://www.google.com/maps/search/?api=1&amp;query=Banganga+Temple%2C+Katra" TargetMode="External"/><Relationship Id="rId43" Type="http://schemas.openxmlformats.org/officeDocument/2006/relationships/hyperlink" Target="https://www.google.com/maps/dir/?api=1&amp;origin=Banganga+Temple%2C+Katra&amp;destination=Darshani+Deodi%2C+Katra&amp;travelmode=driving" TargetMode="External"/><Relationship Id="rId44" Type="http://schemas.openxmlformats.org/officeDocument/2006/relationships/hyperlink" Target="https://www.google.com/maps/search/?api=1&amp;query=Darshani+Deodi%2C+Katra" TargetMode="External"/><Relationship Id="rId45" Type="http://schemas.openxmlformats.org/officeDocument/2006/relationships/hyperlink" Target="https://www.google.com/maps/dir/?api=1&amp;origin=Darshani+Deodi%2C+Katra&amp;destination=Main+Bazaar%2C+Katra&amp;travelmode=driving" TargetMode="External"/><Relationship Id="rId46" Type="http://schemas.openxmlformats.org/officeDocument/2006/relationships/hyperlink" Target="https://www.google.com/maps/search/?api=1&amp;query=Main+Bazaar%2C+Katra" TargetMode="External"/><Relationship Id="rId47" Type="http://schemas.openxmlformats.org/officeDocument/2006/relationships/hyperlink" Target="https://www.google.com/maps/dir/?api=1&amp;origin=Main+Bazaar%2C+Katra&amp;destination=Residency+Road%2C+Jammu&amp;travelmode=driving" TargetMode="External"/><Relationship Id="rId48" Type="http://schemas.openxmlformats.org/officeDocument/2006/relationships/hyperlink" Target="https://www.google.com/maps/search/?api=1&amp;query=Residency+Road%2C+Jammu" TargetMode="External"/><Relationship Id="rId49" Type="http://schemas.openxmlformats.org/officeDocument/2006/relationships/hyperlink" Target="https://www.google.com/maps/search/?api=1&amp;query=Residency+Road%2C+Jammu" TargetMode="External"/><Relationship Id="rId50" Type="http://schemas.openxmlformats.org/officeDocument/2006/relationships/hyperlink" Target="https://www.google.com/maps/search/?api=1&amp;query=Residency+Road%2C+Jammu" TargetMode="External"/><Relationship Id="rId51" Type="http://schemas.openxmlformats.org/officeDocument/2006/relationships/hyperlink" Target="https://www.google.com/maps/search/?api=1&amp;query=Residency+Road%2C+Jammu" TargetMode="External"/><Relationship Id="rId52" Type="http://schemas.openxmlformats.org/officeDocument/2006/relationships/hyperlink" Target="https://www.google.com/maps/search/?api=1&amp;query=Residency+Road%2C+Jammu" TargetMode="External"/><Relationship Id="rId53" Type="http://schemas.openxmlformats.org/officeDocument/2006/relationships/hyperlink" Target="https://www.google.com/maps/dir/?api=1&amp;origin=Residency+Road%2C+Jammu&amp;destination=Jammu+Airport%2C+Satwari%2C+Jammu&amp;travelmode=driving" TargetMode="External"/><Relationship Id="rId54" Type="http://schemas.openxmlformats.org/officeDocument/2006/relationships/hyperlink" Target="https://www.google.com/maps/search/?api=1&amp;query=Jammu+Airport%2C+Satwari%2C+Jammu" TargetMode="External"/><Relationship Id="rId55" Type="http://schemas.openxmlformats.org/officeDocument/2006/relationships/hyperlink" Target="https://www.google.com/maps/search/?api=1&amp;query=Srinagar+International+Airport" TargetMode="External"/><Relationship Id="rId56" Type="http://schemas.openxmlformats.org/officeDocument/2006/relationships/hyperlink" Target="https://www.google.com/maps/search/?api=1&amp;query=Srinagar+International+Airport" TargetMode="External"/><Relationship Id="rId57" Type="http://schemas.openxmlformats.org/officeDocument/2006/relationships/hyperlink" Target="https://www.google.com/maps/dir/?api=1&amp;origin=Srinagar+International+Airport&amp;destination=Boulevard+Road%2C+Dal+Lake%2C+Srinagar&amp;travelmode=driving" TargetMode="External"/><Relationship Id="rId58" Type="http://schemas.openxmlformats.org/officeDocument/2006/relationships/hyperlink" Target="https://www.google.com/maps/search/?api=1&amp;query=Boulevard+Road%2C+Dal+Lake%2C+Srinagar" TargetMode="External"/><Relationship Id="rId59" Type="http://schemas.openxmlformats.org/officeDocument/2006/relationships/hyperlink" Target="https://www.google.com/maps/dir/?api=1&amp;origin=Boulevard+Road%2C+Dal+Lake%2C+Srinagar&amp;destination=Shankaracharya+Temple%2C+Srinagar&amp;travelmode=driving" TargetMode="External"/><Relationship Id="rId60" Type="http://schemas.openxmlformats.org/officeDocument/2006/relationships/hyperlink" Target="https://www.google.com/maps/search/?api=1&amp;query=Shankaracharya+Temple%2C+Srinagar" TargetMode="External"/><Relationship Id="rId61" Type="http://schemas.openxmlformats.org/officeDocument/2006/relationships/hyperlink" Target="https://www.google.com/maps/dir/?api=1&amp;origin=Shankaracharya+Temple%2C+Srinagar&amp;destination=Jyeshta+Devi+Temple%2C+Zethyar%2C+Srinagar&amp;travelmode=driving" TargetMode="External"/><Relationship Id="rId62" Type="http://schemas.openxmlformats.org/officeDocument/2006/relationships/hyperlink" Target="https://www.google.com/maps/search/?api=1&amp;query=Jyeshta+Devi+Temple%2C+Zethyar%2C+Srinagar" TargetMode="External"/><Relationship Id="rId63" Type="http://schemas.openxmlformats.org/officeDocument/2006/relationships/hyperlink" Target="https://www.google.com/maps/dir/?api=1&amp;origin=Jyeshta+Devi+Temple%2C+Zethyar%2C+Srinagar&amp;destination=Boulevard+Road%2C+Dal+Lake%2C+Srinagar&amp;travelmode=driving" TargetMode="External"/><Relationship Id="rId64" Type="http://schemas.openxmlformats.org/officeDocument/2006/relationships/hyperlink" Target="https://www.google.com/maps/search/?api=1&amp;query=Boulevard+Road%2C+Dal+Lake%2C+Srinagar" TargetMode="External"/><Relationship Id="rId65" Type="http://schemas.openxmlformats.org/officeDocument/2006/relationships/hyperlink" Target="https://www.google.com/maps/search/?api=1&amp;query=Shikara+Ghat+No.+9%2C+Dal+Lake%2C+Srinagar" TargetMode="External"/><Relationship Id="rId66" Type="http://schemas.openxmlformats.org/officeDocument/2006/relationships/hyperlink" Target="https://www.google.com/maps/search/?api=1&amp;query=Shikara+Ghat+No.+9%2C+Dal+Lake%2C+Srinagar" TargetMode="External"/><Relationship Id="rId67" Type="http://schemas.openxmlformats.org/officeDocument/2006/relationships/hyperlink" Target="https://www.google.com/maps/search/?api=1&amp;query=Boulevard+Road%2C+Dal+Lake%2C+Srinagar" TargetMode="External"/><Relationship Id="rId68" Type="http://schemas.openxmlformats.org/officeDocument/2006/relationships/hyperlink" Target="https://www.google.com/maps/search/?api=1&amp;query=Boulevard+Road%2C+Dal+Lake%2C+Srinagar" TargetMode="External"/><Relationship Id="rId69" Type="http://schemas.openxmlformats.org/officeDocument/2006/relationships/hyperlink" Target="https://www.google.com/maps/search/?api=1&amp;query=Boulevard+Road%2C+Dal+Lake%2C+Srinagar" TargetMode="External"/><Relationship Id="rId70" Type="http://schemas.openxmlformats.org/officeDocument/2006/relationships/hyperlink" Target="https://www.google.com/maps/search/?api=1&amp;query=Boulevard+Road%2C+Dal+Lake%2C+Srinagar" TargetMode="External"/><Relationship Id="rId71" Type="http://schemas.openxmlformats.org/officeDocument/2006/relationships/hyperlink" Target="https://www.google.com/maps/dir/?api=1&amp;origin=Boulevard+Road%2C+Dal+Lake%2C+Srinagar&amp;destination=Gulmarg+Gondola+Base+Station%2C+Gulmarg&amp;travelmode=driving" TargetMode="External"/><Relationship Id="rId72" Type="http://schemas.openxmlformats.org/officeDocument/2006/relationships/hyperlink" Target="https://www.google.com/maps/search/?api=1&amp;query=Gulmarg+Gondola+Base+Station%2C+Gulmarg" TargetMode="External"/><Relationship Id="rId73" Type="http://schemas.openxmlformats.org/officeDocument/2006/relationships/hyperlink" Target="https://www.google.com/maps/search/?api=1&amp;query=Bakshi+Restaurant%2C+Main+Market%2C+Gulmarg" TargetMode="External"/><Relationship Id="rId74" Type="http://schemas.openxmlformats.org/officeDocument/2006/relationships/hyperlink" Target="https://www.google.com/maps/dir/?api=1&amp;origin=Gulmarg+Gondola+Base+Station%2C+Gulmarg&amp;destination=Maharani+Temple%2C+Gulmarg&amp;travelmode=driving" TargetMode="External"/><Relationship Id="rId75" Type="http://schemas.openxmlformats.org/officeDocument/2006/relationships/hyperlink" Target="https://www.google.com/maps/search/?api=1&amp;query=Maharani+Temple%2C+Gulmarg" TargetMode="External"/><Relationship Id="rId76" Type="http://schemas.openxmlformats.org/officeDocument/2006/relationships/hyperlink" Target="https://www.google.com/maps/search/?api=1&amp;query=Gulmarg" TargetMode="External"/><Relationship Id="rId77" Type="http://schemas.openxmlformats.org/officeDocument/2006/relationships/hyperlink" Target="https://www.google.com/maps/dir/?api=1&amp;origin=Gulmarg&amp;destination=Boulevard+Road%2C+Dal+Lake%2C+Srinagar&amp;travelmode=driving" TargetMode="External"/><Relationship Id="rId78" Type="http://schemas.openxmlformats.org/officeDocument/2006/relationships/hyperlink" Target="https://www.google.com/maps/search/?api=1&amp;query=Boulevard+Road%2C+Dal+Lake%2C+Srinagar" TargetMode="External"/><Relationship Id="rId79" Type="http://schemas.openxmlformats.org/officeDocument/2006/relationships/hyperlink" Target="https://www.google.com/maps/search/?api=1&amp;query=Boulevard+Road%2C+Dal+Lake%2C+Srinagar" TargetMode="External"/><Relationship Id="rId80" Type="http://schemas.openxmlformats.org/officeDocument/2006/relationships/hyperlink" Target="https://www.google.com/maps/search/?api=1&amp;query=Boulevard+Road%2C+Dal+Lake%2C+Srinagar" TargetMode="External"/><Relationship Id="rId81" Type="http://schemas.openxmlformats.org/officeDocument/2006/relationships/hyperlink" Target="https://www.google.com/maps/search/?api=1&amp;query=Boulevard+Road%2C+Dal+Lake%2C+Srinagar" TargetMode="External"/><Relationship Id="rId82" Type="http://schemas.openxmlformats.org/officeDocument/2006/relationships/hyperlink" Target="https://www.google.com/maps/dir/?api=1&amp;origin=Boulevard+Road%2C+Dal+Lake%2C+Srinagar&amp;destination=Kheer+Bhawani+Temple%2C+Tulmulla%2C+Ganderbal&amp;travelmode=driving" TargetMode="External"/><Relationship Id="rId83" Type="http://schemas.openxmlformats.org/officeDocument/2006/relationships/hyperlink" Target="https://www.google.com/maps/search/?api=1&amp;query=Kheer+Bhawani+Temple%2C+Tulmulla%2C+Ganderbal" TargetMode="External"/><Relationship Id="rId84" Type="http://schemas.openxmlformats.org/officeDocument/2006/relationships/hyperlink" Target="https://www.google.com/maps/dir/?api=1&amp;origin=Kheer+Bhawani+Temple%2C+Tulmulla%2C+Ganderbal&amp;destination=Sonamarg&amp;travelmode=driving" TargetMode="External"/><Relationship Id="rId85" Type="http://schemas.openxmlformats.org/officeDocument/2006/relationships/hyperlink" Target="https://www.google.com/maps/search/?api=1&amp;query=Dogra+Vaishno+Bhojnalaya%2C+Sonamarg" TargetMode="External"/><Relationship Id="rId86" Type="http://schemas.openxmlformats.org/officeDocument/2006/relationships/hyperlink" Target="https://www.google.com/maps/search/?api=1&amp;query=Thajiwas+Glacier%2C+Sonamarg" TargetMode="External"/><Relationship Id="rId87" Type="http://schemas.openxmlformats.org/officeDocument/2006/relationships/hyperlink" Target="https://www.google.com/maps/search/?api=1&amp;query=Sonamarg" TargetMode="External"/><Relationship Id="rId88" Type="http://schemas.openxmlformats.org/officeDocument/2006/relationships/hyperlink" Target="https://www.google.com/maps/dir/?api=1&amp;origin=Sonamarg&amp;destination=Boulevard+Road%2C+Dal+Lake%2C+Srinagar&amp;travelmode=driving" TargetMode="External"/><Relationship Id="rId89" Type="http://schemas.openxmlformats.org/officeDocument/2006/relationships/hyperlink" Target="https://www.google.com/maps/search/?api=1&amp;query=Boulevard+Road%2C+Dal+Lake%2C+Srinagar" TargetMode="External"/><Relationship Id="rId90" Type="http://schemas.openxmlformats.org/officeDocument/2006/relationships/hyperlink" Target="https://www.google.com/maps/search/?api=1&amp;query=Boulevard+Road%2C+Dal+Lake%2C+Srinagar" TargetMode="External"/><Relationship Id="rId91" Type="http://schemas.openxmlformats.org/officeDocument/2006/relationships/hyperlink" Target="https://www.google.com/maps/search/?api=1&amp;query=Boulevard+Road%2C+Dal+Lake%2C+Srinagar" TargetMode="External"/><Relationship Id="rId92" Type="http://schemas.openxmlformats.org/officeDocument/2006/relationships/hyperlink" Target="https://www.google.com/maps/search/?api=1&amp;query=Boulevard+Road%2C+Dal+Lake%2C+Srinagar" TargetMode="External"/><Relationship Id="rId93" Type="http://schemas.openxmlformats.org/officeDocument/2006/relationships/hyperlink" Target="https://www.google.com/maps/dir/?api=1&amp;origin=Boulevard+Road%2C+Dal+Lake%2C+Srinagar&amp;destination=Pampore&amp;travelmode=driving" TargetMode="External"/><Relationship Id="rId94" Type="http://schemas.openxmlformats.org/officeDocument/2006/relationships/hyperlink" Target="https://www.google.com/maps/search/?api=1&amp;query=Pampore+saffron+shop" TargetMode="External"/><Relationship Id="rId95" Type="http://schemas.openxmlformats.org/officeDocument/2006/relationships/hyperlink" Target="https://www.google.com/maps/dir/?api=1&amp;origin=Pampore&amp;destination=Avantipur+Temple+Ruins%2C+Avantipora&amp;travelmode=driving" TargetMode="External"/><Relationship Id="rId96" Type="http://schemas.openxmlformats.org/officeDocument/2006/relationships/hyperlink" Target="https://www.google.com/maps/search/?api=1&amp;query=Avantipur+Temple+Ruins%2C+Avantipora" TargetMode="External"/><Relationship Id="rId97" Type="http://schemas.openxmlformats.org/officeDocument/2006/relationships/hyperlink" Target="https://www.google.com/maps/dir/?api=1&amp;origin=Avantipur+Temple+Ruins%2C+Avantipora&amp;destination=Martand+Sun+Temple%2C+Anantnag&amp;travelmode=driving" TargetMode="External"/><Relationship Id="rId98" Type="http://schemas.openxmlformats.org/officeDocument/2006/relationships/hyperlink" Target="https://www.google.com/maps/search/?api=1&amp;query=Martand+Sun+Temple%2C+Anantnag" TargetMode="External"/><Relationship Id="rId99" Type="http://schemas.openxmlformats.org/officeDocument/2006/relationships/hyperlink" Target="https://www.google.com/maps/dir/?api=1&amp;origin=Martand+Sun+Temple%2C+Anantnag&amp;destination=Krishna+Vaishno+Dhaba%2C+Durganag%2C+Srinagar&amp;travelmode=driving" TargetMode="External"/><Relationship Id="rId100" Type="http://schemas.openxmlformats.org/officeDocument/2006/relationships/hyperlink" Target="https://www.google.com/maps/search/?api=1&amp;query=Krishna+Vaishno+Dhaba%2C+Durganag%2C+Srinagar" TargetMode="External"/><Relationship Id="rId101" Type="http://schemas.openxmlformats.org/officeDocument/2006/relationships/hyperlink" Target="https://www.google.com/maps/dir/?api=1&amp;origin=Krishna+Vaishno+Dhaba%2C+Durganag%2C+Srinagar&amp;destination=Lal+Chowk%2C+Srinagar&amp;travelmode=driving" TargetMode="External"/><Relationship Id="rId102" Type="http://schemas.openxmlformats.org/officeDocument/2006/relationships/hyperlink" Target="https://www.google.com/maps/search/?api=1&amp;query=Lal+Chowk%2C+Srinagar" TargetMode="External"/><Relationship Id="rId103" Type="http://schemas.openxmlformats.org/officeDocument/2006/relationships/hyperlink" Target="https://www.google.com/maps/dir/?api=1&amp;origin=Lal+Chowk%2C+Srinagar&amp;destination=Boulevard+Road%2C+Dal+Lake%2C+Srinagar&amp;travelmode=driving" TargetMode="External"/><Relationship Id="rId104" Type="http://schemas.openxmlformats.org/officeDocument/2006/relationships/hyperlink" Target="https://www.google.com/maps/search/?api=1&amp;query=Boulevard+Road%2C+Dal+Lake%2C+Srinagar" TargetMode="External"/><Relationship Id="rId105" Type="http://schemas.openxmlformats.org/officeDocument/2006/relationships/hyperlink" Target="https://www.google.com/maps/search/?api=1&amp;query=Boulevard+Road%2C+Dal+Lake%2C+Srinagar" TargetMode="External"/><Relationship Id="rId106" Type="http://schemas.openxmlformats.org/officeDocument/2006/relationships/hyperlink" Target="https://www.google.com/maps/search/?api=1&amp;query=Boulevard+Road%2C+Dal+Lake%2C+Srinagar" TargetMode="External"/><Relationship Id="rId107" Type="http://schemas.openxmlformats.org/officeDocument/2006/relationships/hyperlink" Target="https://www.google.com/maps/search/?api=1&amp;query=Boulevard+Road%2C+Dal+Lake%2C+Srinagar" TargetMode="External"/><Relationship Id="rId108" Type="http://schemas.openxmlformats.org/officeDocument/2006/relationships/hyperlink" Target="https://www.google.com/maps/dir/?api=1&amp;origin=Boulevard+Road%2C+Dal+Lake%2C+Srinagar&amp;destination=Polo+View+Market%2C+Srinagar&amp;travelmode=driving" TargetMode="External"/><Relationship Id="rId109" Type="http://schemas.openxmlformats.org/officeDocument/2006/relationships/hyperlink" Target="https://www.google.com/maps/search/?api=1&amp;query=Polo+View+Market%2C+Srinagar" TargetMode="External"/><Relationship Id="rId110" Type="http://schemas.openxmlformats.org/officeDocument/2006/relationships/hyperlink" Target="https://www.google.com/maps/dir/?api=1&amp;origin=Polo+View+Market%2C+Srinagar&amp;destination=Niramish%2C+Durganag%2C+Srinagar&amp;travelmode=driving" TargetMode="External"/><Relationship Id="rId111" Type="http://schemas.openxmlformats.org/officeDocument/2006/relationships/hyperlink" Target="https://www.google.com/maps/search/?api=1&amp;query=Niramish%2C+Durganag%2C+Srinagar" TargetMode="External"/><Relationship Id="rId112" Type="http://schemas.openxmlformats.org/officeDocument/2006/relationships/hyperlink" Target="https://www.google.com/maps/dir/?api=1&amp;origin=Niramish%2C+Durganag%2C+Srinagar&amp;destination=Srinagar+International+Airport&amp;travelmode=driving" TargetMode="External"/><Relationship Id="rId113" Type="http://schemas.openxmlformats.org/officeDocument/2006/relationships/hyperlink" Target="https://www.google.com/maps/search/?api=1&amp;query=Srinagar+International+Airport" TargetMode="External"/><Relationship Id="rId11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Shri+Mata+Vaishno+Devi+Bhawan%2C+Katra" TargetMode="External"/><Relationship Id="rId2" Type="http://schemas.openxmlformats.org/officeDocument/2006/relationships/hyperlink" Target="https://www.google.com/maps/search/?api=1&amp;query=Shri+Mata+Vaishno+Devi+Bhawan%2C+Katra" TargetMode="External"/><Relationship Id="rId3" Type="http://schemas.openxmlformats.org/officeDocument/2006/relationships/hyperlink" Target="https://www.google.com/maps/search/?api=1&amp;query=Shri+Mata+Vaishno+Devi+Bhawan%2C+Katra" TargetMode="External"/><Relationship Id="rId4" Type="http://schemas.openxmlformats.org/officeDocument/2006/relationships/hyperlink" Target="https://www.google.com/maps/search/?api=1&amp;query=Pooja+Vaishno+Dhaba%2C+Main+Bazar%2C+Katra" TargetMode="External"/><Relationship Id="rId5" Type="http://schemas.openxmlformats.org/officeDocument/2006/relationships/hyperlink" Target="https://www.google.com/maps/search/?api=1&amp;query=Madhuban+Saattvik+Restaurant%2C+Hotel+Chinar%2C+Katra" TargetMode="External"/><Relationship Id="rId6" Type="http://schemas.openxmlformats.org/officeDocument/2006/relationships/hyperlink" Target="https://www.google.com/maps/search/?api=1&amp;query=Bakshi+Restaurant%2C+Main+Market%2C+Gulmarg" TargetMode="External"/><Relationship Id="rId7" Type="http://schemas.openxmlformats.org/officeDocument/2006/relationships/hyperlink" Target="https://www.google.com/maps/search/?api=1&amp;query=Pandit+Brothers+Vegetarian+Dhaba%2C+Gulmarg" TargetMode="External"/><Relationship Id="rId8" Type="http://schemas.openxmlformats.org/officeDocument/2006/relationships/hyperlink" Target="https://www.google.com/maps/search/?api=1&amp;query=Dogra+Vaishno+Bhojnalaya%2C+Sonamarg" TargetMode="External"/><Relationship Id="rId9" Type="http://schemas.openxmlformats.org/officeDocument/2006/relationships/hyperlink" Target="https://www.google.com/maps/search/?api=1&amp;query=Hotel+Sonamarg+Palace%2C+Sonamarg" TargetMode="External"/><Relationship Id="rId10" Type="http://schemas.openxmlformats.org/officeDocument/2006/relationships/hyperlink" Target="https://www.google.com/maps/search/?api=1&amp;query=Krishna+Vaishno+Dhaba%2C+Durganag%2C+Srinagar" TargetMode="External"/><Relationship Id="rId11" Type="http://schemas.openxmlformats.org/officeDocument/2006/relationships/hyperlink" Target="https://www.google.com/maps/search/?api=1&amp;query=Vishal+Dhaba%2C+Durganag%2C+Dalgate%2C+Srinagar" TargetMode="External"/><Relationship Id="rId12" Type="http://schemas.openxmlformats.org/officeDocument/2006/relationships/hyperlink" Target="https://www.google.com/maps/search/?api=1&amp;query=Niramish%2C+Durganag%2C+Srinagar" TargetMode="External"/><Relationship Id="rId13" Type="http://schemas.openxmlformats.org/officeDocument/2006/relationships/hyperlink" Target="https://www.google.com/maps/search/?api=1&amp;query=Krishna+Vaishno+Dhaba%2C+Durganag%2C+Srinaga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9" min="9" style="0" width="28"/>
    <col collapsed="false" customWidth="true" hidden="false" outlineLevel="0" max="10" min="10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46459</v>
      </c>
      <c r="C3" s="5" t="s">
        <v>3</v>
      </c>
      <c r="I3" s="3" t="s">
        <v>4</v>
      </c>
    </row>
    <row r="4" customFormat="false" ht="15" hidden="false" customHeight="fals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I4" s="7" t="s">
        <v>12</v>
      </c>
      <c r="J4" s="8" t="n">
        <v>46381</v>
      </c>
    </row>
    <row r="5" customFormat="false" ht="15" hidden="false" customHeight="false" outlineLevel="0" collapsed="false">
      <c r="A5" s="7" t="n">
        <v>1</v>
      </c>
      <c r="B5" s="8" t="n">
        <f aca="false">$B$3+A5-1</f>
        <v>46459</v>
      </c>
      <c r="C5" s="7" t="s">
        <v>13</v>
      </c>
      <c r="D5" s="7" t="n">
        <f aca="false">SUMIF('Minute-by-Minute'!$A$5:$A$117,A5,'Minute-by-Minute'!$I$5:$I$117)</f>
        <v>19</v>
      </c>
      <c r="E5" s="7" t="s">
        <v>14</v>
      </c>
      <c r="F5" s="9" t="n">
        <f aca="false">_xlfn.MINIFS('Minute-by-Minute'!$C$5:$C$117,'Minute-by-Minute'!$A$5:$A$117,A5)</f>
        <v>0.583333333333333</v>
      </c>
      <c r="G5" s="9" t="n">
        <f aca="false">_xlfn.MAXIFS('Minute-by-Minute'!$D$5:$D$117,'Minute-by-Minute'!$A$5:$A$117,A5)</f>
        <v>0.885416666666667</v>
      </c>
      <c r="I5" s="7" t="s">
        <v>15</v>
      </c>
      <c r="J5" s="8" t="n">
        <v>46386</v>
      </c>
    </row>
    <row r="6" customFormat="false" ht="15" hidden="false" customHeight="false" outlineLevel="0" collapsed="false">
      <c r="A6" s="7" t="n">
        <v>2</v>
      </c>
      <c r="B6" s="8" t="n">
        <f aca="false">$B$3+A6-1</f>
        <v>46460</v>
      </c>
      <c r="C6" s="7" t="s">
        <v>16</v>
      </c>
      <c r="D6" s="7" t="n">
        <f aca="false">SUMIF('Minute-by-Minute'!$A$5:$A$117,A6,'Minute-by-Minute'!$I$5:$I$117)</f>
        <v>52</v>
      </c>
      <c r="E6" s="7" t="s">
        <v>17</v>
      </c>
      <c r="F6" s="9" t="n">
        <f aca="false">_xlfn.MINIFS('Minute-by-Minute'!$C$5:$C$117,'Minute-by-Minute'!$A$5:$A$117,A6)</f>
        <v>0.3125</v>
      </c>
      <c r="G6" s="9" t="n">
        <f aca="false">_xlfn.MAXIFS('Minute-by-Minute'!$D$5:$D$117,'Minute-by-Minute'!$A$5:$A$117,A6)</f>
        <v>0.854166666666667</v>
      </c>
      <c r="I6" s="7" t="s">
        <v>18</v>
      </c>
      <c r="J6" s="8" t="n">
        <v>46388</v>
      </c>
    </row>
    <row r="7" customFormat="false" ht="15" hidden="false" customHeight="false" outlineLevel="0" collapsed="false">
      <c r="A7" s="7" t="n">
        <v>3</v>
      </c>
      <c r="B7" s="8" t="n">
        <f aca="false">$B$3+A7-1</f>
        <v>46461</v>
      </c>
      <c r="C7" s="7" t="s">
        <v>19</v>
      </c>
      <c r="D7" s="7" t="n">
        <f aca="false">SUMIF('Minute-by-Minute'!$A$5:$A$117,A7,'Minute-by-Minute'!$I$5:$I$117)</f>
        <v>58</v>
      </c>
      <c r="E7" s="7" t="s">
        <v>14</v>
      </c>
      <c r="F7" s="9" t="n">
        <f aca="false">_xlfn.MINIFS('Minute-by-Minute'!$C$5:$C$117,'Minute-by-Minute'!$A$5:$A$117,A7)</f>
        <v>0.1875</v>
      </c>
      <c r="G7" s="9" t="n">
        <f aca="false">_xlfn.MAXIFS('Minute-by-Minute'!$D$5:$D$117,'Minute-by-Minute'!$A$5:$A$117,A7)</f>
        <v>0.875</v>
      </c>
    </row>
    <row r="8" customFormat="false" ht="15" hidden="false" customHeight="false" outlineLevel="0" collapsed="false">
      <c r="A8" s="7" t="n">
        <v>4</v>
      </c>
      <c r="B8" s="8" t="n">
        <f aca="false">$B$3+A8-1</f>
        <v>46462</v>
      </c>
      <c r="C8" s="7" t="s">
        <v>20</v>
      </c>
      <c r="D8" s="7" t="n">
        <f aca="false">SUMIF('Minute-by-Minute'!$A$5:$A$117,A8,'Minute-by-Minute'!$I$5:$I$117)</f>
        <v>38</v>
      </c>
      <c r="E8" s="7" t="s">
        <v>21</v>
      </c>
      <c r="F8" s="9" t="n">
        <f aca="false">_xlfn.MINIFS('Minute-by-Minute'!$C$5:$C$117,'Minute-by-Minute'!$A$5:$A$117,A8)</f>
        <v>0.3125</v>
      </c>
      <c r="G8" s="9" t="n">
        <f aca="false">_xlfn.MAXIFS('Minute-by-Minute'!$D$5:$D$117,'Minute-by-Minute'!$A$5:$A$117,A8)</f>
        <v>0.875</v>
      </c>
      <c r="I8" s="3" t="s">
        <v>22</v>
      </c>
    </row>
    <row r="9" customFormat="false" ht="15" hidden="false" customHeight="false" outlineLevel="0" collapsed="false">
      <c r="A9" s="7" t="n">
        <v>5</v>
      </c>
      <c r="B9" s="8" t="n">
        <f aca="false">$B$3+A9-1</f>
        <v>46463</v>
      </c>
      <c r="C9" s="7" t="s">
        <v>23</v>
      </c>
      <c r="D9" s="7" t="n">
        <f aca="false">SUMIF('Minute-by-Minute'!$A$5:$A$117,A9,'Minute-by-Minute'!$I$5:$I$117)</f>
        <v>104</v>
      </c>
      <c r="E9" s="7" t="s">
        <v>21</v>
      </c>
      <c r="F9" s="9" t="n">
        <f aca="false">_xlfn.MINIFS('Minute-by-Minute'!$C$5:$C$117,'Minute-by-Minute'!$A$5:$A$117,A9)</f>
        <v>0.3125</v>
      </c>
      <c r="G9" s="9" t="n">
        <f aca="false">_xlfn.MAXIFS('Minute-by-Minute'!$D$5:$D$117,'Minute-by-Minute'!$A$5:$A$117,A9)</f>
        <v>0.875</v>
      </c>
      <c r="I9" s="2" t="s">
        <v>24</v>
      </c>
    </row>
    <row r="10" customFormat="false" ht="15" hidden="false" customHeight="false" outlineLevel="0" collapsed="false">
      <c r="A10" s="7" t="n">
        <v>6</v>
      </c>
      <c r="B10" s="8" t="n">
        <f aca="false">$B$3+A10-1</f>
        <v>46464</v>
      </c>
      <c r="C10" s="7" t="s">
        <v>25</v>
      </c>
      <c r="D10" s="7" t="n">
        <f aca="false">SUMIF('Minute-by-Minute'!$A$5:$A$117,A10,'Minute-by-Minute'!$I$5:$I$117)</f>
        <v>167</v>
      </c>
      <c r="E10" s="7" t="s">
        <v>21</v>
      </c>
      <c r="F10" s="9" t="n">
        <f aca="false">_xlfn.MINIFS('Minute-by-Minute'!$C$5:$C$117,'Minute-by-Minute'!$A$5:$A$117,A10)</f>
        <v>0.3125</v>
      </c>
      <c r="G10" s="9" t="n">
        <f aca="false">_xlfn.MAXIFS('Minute-by-Minute'!$D$5:$D$117,'Minute-by-Minute'!$A$5:$A$117,A10)</f>
        <v>0.875</v>
      </c>
      <c r="I10" s="2" t="s">
        <v>26</v>
      </c>
    </row>
    <row r="11" customFormat="false" ht="15" hidden="false" customHeight="false" outlineLevel="0" collapsed="false">
      <c r="A11" s="7" t="n">
        <v>7</v>
      </c>
      <c r="B11" s="8" t="n">
        <f aca="false">$B$3+A11-1</f>
        <v>46465</v>
      </c>
      <c r="C11" s="7" t="s">
        <v>27</v>
      </c>
      <c r="D11" s="7" t="n">
        <f aca="false">SUMIF('Minute-by-Minute'!$A$5:$A$117,A11,'Minute-by-Minute'!$I$5:$I$117)</f>
        <v>138</v>
      </c>
      <c r="E11" s="7" t="s">
        <v>21</v>
      </c>
      <c r="F11" s="9" t="n">
        <f aca="false">_xlfn.MINIFS('Minute-by-Minute'!$C$5:$C$117,'Minute-by-Minute'!$A$5:$A$117,A11)</f>
        <v>0.3125</v>
      </c>
      <c r="G11" s="9" t="n">
        <f aca="false">_xlfn.MAXIFS('Minute-by-Minute'!$D$5:$D$117,'Minute-by-Minute'!$A$5:$A$117,A11)</f>
        <v>0.875</v>
      </c>
      <c r="I11" s="2" t="s">
        <v>28</v>
      </c>
    </row>
    <row r="12" customFormat="false" ht="15" hidden="false" customHeight="false" outlineLevel="0" collapsed="false">
      <c r="A12" s="7" t="n">
        <v>8</v>
      </c>
      <c r="B12" s="8" t="n">
        <f aca="false">$B$3+A12-1</f>
        <v>46466</v>
      </c>
      <c r="C12" s="7" t="s">
        <v>29</v>
      </c>
      <c r="D12" s="7" t="n">
        <f aca="false">SUMIF('Minute-by-Minute'!$A$5:$A$117,A12,'Minute-by-Minute'!$I$5:$I$117)</f>
        <v>19</v>
      </c>
      <c r="E12" s="7" t="s">
        <v>30</v>
      </c>
      <c r="F12" s="9" t="n">
        <f aca="false">_xlfn.MINIFS('Minute-by-Minute'!$C$5:$C$117,'Minute-by-Minute'!$A$5:$A$117,A12)</f>
        <v>0.3125</v>
      </c>
      <c r="G12" s="9" t="n">
        <f aca="false">_xlfn.MAXIFS('Minute-by-Minute'!$D$5:$D$117,'Minute-by-Minute'!$A$5:$A$117,A12)</f>
        <v>0.552083333333333</v>
      </c>
    </row>
    <row r="13" customFormat="false" ht="15" hidden="false" customHeight="false" outlineLevel="0" collapsed="false">
      <c r="A13" s="3" t="s">
        <v>31</v>
      </c>
      <c r="D13" s="3" t="n">
        <f aca="false">SUM(D5:D12)</f>
        <v>595</v>
      </c>
      <c r="E13" s="2" t="s">
        <v>32</v>
      </c>
      <c r="I13" s="3" t="s">
        <v>33</v>
      </c>
    </row>
    <row r="14" customFormat="false" ht="15" hidden="false" customHeight="false" outlineLevel="0" collapsed="false">
      <c r="I14" s="10" t="s">
        <v>34</v>
      </c>
    </row>
    <row r="15" customFormat="false" ht="15" hidden="false" customHeight="false" outlineLevel="0" collapsed="false">
      <c r="A15" s="2" t="s">
        <v>35</v>
      </c>
    </row>
    <row r="16" customFormat="false" ht="15" hidden="false" customHeight="false" outlineLevel="0" collapsed="false">
      <c r="A16" s="2" t="s">
        <v>36</v>
      </c>
    </row>
    <row r="17" customFormat="false" ht="15" hidden="false" customHeight="false" outlineLevel="0" collapsed="false">
      <c r="A17" s="2" t="s">
        <v>37</v>
      </c>
    </row>
    <row r="18" customFormat="false" ht="15" hidden="false" customHeight="false" outlineLevel="0" collapsed="false">
      <c r="A18" s="2" t="s">
        <v>38</v>
      </c>
    </row>
    <row r="19" customFormat="false" ht="15" hidden="false" customHeight="false" outlineLevel="0" collapsed="false">
      <c r="A19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7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32"/>
    <col collapsed="false" customWidth="true" hidden="false" outlineLevel="0" max="8" min="8" style="0" width="28"/>
    <col collapsed="false" customWidth="true" hidden="false" outlineLevel="0" max="9" min="9" style="0" width="7"/>
    <col collapsed="false" customWidth="true" hidden="false" outlineLevel="0" max="10" min="10" style="0" width="60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5" t="s">
        <v>41</v>
      </c>
    </row>
    <row r="4" customFormat="false" ht="23.85" hidden="false" customHeight="false" outlineLevel="0" collapsed="false">
      <c r="A4" s="11" t="s">
        <v>5</v>
      </c>
      <c r="B4" s="11" t="s">
        <v>6</v>
      </c>
      <c r="C4" s="11" t="s">
        <v>42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  <c r="I4" s="11" t="s">
        <v>8</v>
      </c>
      <c r="J4" s="11" t="s">
        <v>48</v>
      </c>
      <c r="K4" s="11" t="s">
        <v>49</v>
      </c>
    </row>
    <row r="5" customFormat="false" ht="15" hidden="false" customHeight="false" outlineLevel="0" collapsed="false">
      <c r="A5" s="12" t="n">
        <v>1</v>
      </c>
      <c r="B5" s="13" t="n">
        <f aca="false">Overview!$B$3+A5-1</f>
        <v>46459</v>
      </c>
      <c r="C5" s="14" t="n">
        <v>0.583333333333333</v>
      </c>
      <c r="D5" s="14" t="n">
        <v>0.604166666666667</v>
      </c>
      <c r="E5" s="12" t="n">
        <f aca="false">ROUND((D5-C5)*1440,0)</f>
        <v>30</v>
      </c>
      <c r="F5" s="12" t="s">
        <v>50</v>
      </c>
      <c r="G5" s="12" t="s">
        <v>51</v>
      </c>
      <c r="H5" s="12"/>
      <c r="I5" s="12"/>
      <c r="J5" s="12" t="s">
        <v>52</v>
      </c>
      <c r="K5" s="15" t="s">
        <v>53</v>
      </c>
    </row>
    <row r="6" customFormat="false" ht="15" hidden="false" customHeight="false" outlineLevel="0" collapsed="false">
      <c r="A6" s="12" t="n">
        <v>1</v>
      </c>
      <c r="B6" s="13" t="n">
        <f aca="false">Overview!$B$3+A6-1</f>
        <v>46459</v>
      </c>
      <c r="C6" s="14" t="n">
        <v>0.604166666666667</v>
      </c>
      <c r="D6" s="14" t="n">
        <v>0.618055555555556</v>
      </c>
      <c r="E6" s="12" t="n">
        <f aca="false">ROUND((D6-C6)*1440,0)</f>
        <v>20</v>
      </c>
      <c r="F6" s="12" t="s">
        <v>54</v>
      </c>
      <c r="G6" s="12" t="s">
        <v>55</v>
      </c>
      <c r="H6" s="12" t="s">
        <v>56</v>
      </c>
      <c r="I6" s="12" t="n">
        <v>7</v>
      </c>
      <c r="J6" s="12" t="s">
        <v>57</v>
      </c>
      <c r="K6" s="15" t="s">
        <v>53</v>
      </c>
    </row>
    <row r="7" customFormat="false" ht="15" hidden="false" customHeight="false" outlineLevel="0" collapsed="false">
      <c r="A7" s="12" t="n">
        <v>1</v>
      </c>
      <c r="B7" s="13" t="n">
        <f aca="false">Overview!$B$3+A7-1</f>
        <v>46459</v>
      </c>
      <c r="C7" s="14" t="n">
        <v>0.618055555555556</v>
      </c>
      <c r="D7" s="14" t="n">
        <v>0.635416666666667</v>
      </c>
      <c r="E7" s="12" t="n">
        <f aca="false">ROUND((D7-C7)*1440,0)</f>
        <v>25</v>
      </c>
      <c r="F7" s="12" t="s">
        <v>58</v>
      </c>
      <c r="G7" s="12" t="s">
        <v>56</v>
      </c>
      <c r="H7" s="12"/>
      <c r="I7" s="12"/>
      <c r="J7" s="12" t="s">
        <v>59</v>
      </c>
      <c r="K7" s="15" t="s">
        <v>53</v>
      </c>
    </row>
    <row r="8" customFormat="false" ht="15" hidden="false" customHeight="false" outlineLevel="0" collapsed="false">
      <c r="A8" s="16" t="n">
        <v>1</v>
      </c>
      <c r="B8" s="17" t="n">
        <f aca="false">Overview!$B$3+A8-1</f>
        <v>46459</v>
      </c>
      <c r="C8" s="18" t="n">
        <v>0.635416666666667</v>
      </c>
      <c r="D8" s="18" t="n">
        <v>0.659722222222222</v>
      </c>
      <c r="E8" s="16" t="n">
        <f aca="false">ROUND((D8-C8)*1440,0)</f>
        <v>35</v>
      </c>
      <c r="F8" s="16" t="s">
        <v>60</v>
      </c>
      <c r="G8" s="16" t="s">
        <v>61</v>
      </c>
      <c r="H8" s="16"/>
      <c r="I8" s="16"/>
      <c r="J8" s="16" t="s">
        <v>60</v>
      </c>
      <c r="K8" s="19" t="s">
        <v>53</v>
      </c>
    </row>
    <row r="9" customFormat="false" ht="15" hidden="false" customHeight="false" outlineLevel="0" collapsed="false">
      <c r="A9" s="12" t="n">
        <v>1</v>
      </c>
      <c r="B9" s="13" t="n">
        <f aca="false">Overview!$B$3+A9-1</f>
        <v>46459</v>
      </c>
      <c r="C9" s="14" t="n">
        <v>0.659722222222222</v>
      </c>
      <c r="D9" s="14" t="n">
        <v>0.670138888888889</v>
      </c>
      <c r="E9" s="12" t="n">
        <f aca="false">ROUND((D9-C9)*1440,0)</f>
        <v>15</v>
      </c>
      <c r="F9" s="12" t="s">
        <v>54</v>
      </c>
      <c r="G9" s="12" t="s">
        <v>56</v>
      </c>
      <c r="H9" s="12" t="s">
        <v>62</v>
      </c>
      <c r="I9" s="12" t="n">
        <v>5</v>
      </c>
      <c r="J9" s="12" t="s">
        <v>63</v>
      </c>
      <c r="K9" s="15" t="s">
        <v>53</v>
      </c>
    </row>
    <row r="10" customFormat="false" ht="23.85" hidden="false" customHeight="false" outlineLevel="0" collapsed="false">
      <c r="A10" s="12" t="n">
        <v>1</v>
      </c>
      <c r="B10" s="13" t="n">
        <f aca="false">Overview!$B$3+A10-1</f>
        <v>46459</v>
      </c>
      <c r="C10" s="14" t="n">
        <v>0.670138888888889</v>
      </c>
      <c r="D10" s="14" t="n">
        <v>0.697916666666667</v>
      </c>
      <c r="E10" s="12" t="n">
        <f aca="false">ROUND((D10-C10)*1440,0)</f>
        <v>40</v>
      </c>
      <c r="F10" s="12" t="s">
        <v>64</v>
      </c>
      <c r="G10" s="12" t="s">
        <v>62</v>
      </c>
      <c r="H10" s="12"/>
      <c r="I10" s="12"/>
      <c r="J10" s="12" t="s">
        <v>65</v>
      </c>
      <c r="K10" s="15" t="s">
        <v>53</v>
      </c>
    </row>
    <row r="11" customFormat="false" ht="15" hidden="false" customHeight="false" outlineLevel="0" collapsed="false">
      <c r="A11" s="12" t="n">
        <v>1</v>
      </c>
      <c r="B11" s="13" t="n">
        <f aca="false">Overview!$B$3+A11-1</f>
        <v>46459</v>
      </c>
      <c r="C11" s="14" t="n">
        <v>0.697916666666667</v>
      </c>
      <c r="D11" s="14" t="n">
        <v>0.704861111111111</v>
      </c>
      <c r="E11" s="12" t="n">
        <f aca="false">ROUND((D11-C11)*1440,0)</f>
        <v>10</v>
      </c>
      <c r="F11" s="12" t="s">
        <v>54</v>
      </c>
      <c r="G11" s="12" t="s">
        <v>62</v>
      </c>
      <c r="H11" s="12" t="s">
        <v>66</v>
      </c>
      <c r="I11" s="12" t="n">
        <v>1</v>
      </c>
      <c r="J11" s="12" t="s">
        <v>67</v>
      </c>
      <c r="K11" s="15" t="s">
        <v>53</v>
      </c>
    </row>
    <row r="12" customFormat="false" ht="15" hidden="false" customHeight="false" outlineLevel="0" collapsed="false">
      <c r="A12" s="12" t="n">
        <v>1</v>
      </c>
      <c r="B12" s="13" t="n">
        <f aca="false">Overview!$B$3+A12-1</f>
        <v>46459</v>
      </c>
      <c r="C12" s="14" t="n">
        <v>0.704861111111111</v>
      </c>
      <c r="D12" s="14" t="n">
        <v>0.729166666666667</v>
      </c>
      <c r="E12" s="12" t="n">
        <f aca="false">ROUND((D12-C12)*1440,0)</f>
        <v>35</v>
      </c>
      <c r="F12" s="12" t="s">
        <v>64</v>
      </c>
      <c r="G12" s="12" t="s">
        <v>66</v>
      </c>
      <c r="H12" s="12"/>
      <c r="I12" s="12"/>
      <c r="J12" s="12" t="s">
        <v>68</v>
      </c>
      <c r="K12" s="15" t="s">
        <v>53</v>
      </c>
    </row>
    <row r="13" customFormat="false" ht="15" hidden="false" customHeight="false" outlineLevel="0" collapsed="false">
      <c r="A13" s="12" t="n">
        <v>1</v>
      </c>
      <c r="B13" s="13" t="n">
        <f aca="false">Overview!$B$3+A13-1</f>
        <v>46459</v>
      </c>
      <c r="C13" s="14" t="n">
        <v>0.729166666666667</v>
      </c>
      <c r="D13" s="14" t="n">
        <v>0.736111111111111</v>
      </c>
      <c r="E13" s="12" t="n">
        <f aca="false">ROUND((D13-C13)*1440,0)</f>
        <v>10</v>
      </c>
      <c r="F13" s="12" t="s">
        <v>54</v>
      </c>
      <c r="G13" s="12" t="s">
        <v>66</v>
      </c>
      <c r="H13" s="12" t="s">
        <v>69</v>
      </c>
      <c r="I13" s="12" t="n">
        <v>1</v>
      </c>
      <c r="J13" s="12" t="s">
        <v>70</v>
      </c>
      <c r="K13" s="15" t="s">
        <v>53</v>
      </c>
    </row>
    <row r="14" customFormat="false" ht="15" hidden="false" customHeight="false" outlineLevel="0" collapsed="false">
      <c r="A14" s="12" t="n">
        <v>1</v>
      </c>
      <c r="B14" s="13" t="n">
        <f aca="false">Overview!$B$3+A14-1</f>
        <v>46459</v>
      </c>
      <c r="C14" s="14" t="n">
        <v>0.736111111111111</v>
      </c>
      <c r="D14" s="14" t="n">
        <v>0.777777777777778</v>
      </c>
      <c r="E14" s="12" t="n">
        <f aca="false">ROUND((D14-C14)*1440,0)</f>
        <v>60</v>
      </c>
      <c r="F14" s="12" t="s">
        <v>71</v>
      </c>
      <c r="G14" s="12" t="s">
        <v>72</v>
      </c>
      <c r="H14" s="12"/>
      <c r="I14" s="12"/>
      <c r="J14" s="12" t="s">
        <v>73</v>
      </c>
      <c r="K14" s="15" t="s">
        <v>53</v>
      </c>
    </row>
    <row r="15" customFormat="false" ht="15" hidden="false" customHeight="false" outlineLevel="0" collapsed="false">
      <c r="A15" s="12" t="n">
        <v>1</v>
      </c>
      <c r="B15" s="13" t="n">
        <f aca="false">Overview!$B$3+A15-1</f>
        <v>46459</v>
      </c>
      <c r="C15" s="14" t="n">
        <v>0.777777777777778</v>
      </c>
      <c r="D15" s="14" t="n">
        <v>0.791666666666667</v>
      </c>
      <c r="E15" s="12" t="n">
        <f aca="false">ROUND((D15-C15)*1440,0)</f>
        <v>20</v>
      </c>
      <c r="F15" s="12" t="s">
        <v>54</v>
      </c>
      <c r="G15" s="12" t="s">
        <v>69</v>
      </c>
      <c r="H15" s="12" t="s">
        <v>56</v>
      </c>
      <c r="I15" s="12" t="n">
        <v>5</v>
      </c>
      <c r="J15" s="12" t="s">
        <v>74</v>
      </c>
      <c r="K15" s="15" t="s">
        <v>53</v>
      </c>
    </row>
    <row r="16" customFormat="false" ht="23.85" hidden="false" customHeight="false" outlineLevel="0" collapsed="false">
      <c r="A16" s="12" t="n">
        <v>1</v>
      </c>
      <c r="B16" s="13" t="n">
        <f aca="false">Overview!$B$3+A16-1</f>
        <v>46459</v>
      </c>
      <c r="C16" s="14" t="n">
        <v>0.791666666666667</v>
      </c>
      <c r="D16" s="14" t="n">
        <v>0.84375</v>
      </c>
      <c r="E16" s="12" t="n">
        <f aca="false">ROUND((D16-C16)*1440,0)</f>
        <v>75</v>
      </c>
      <c r="F16" s="12" t="s">
        <v>75</v>
      </c>
      <c r="G16" s="12" t="s">
        <v>56</v>
      </c>
      <c r="H16" s="12"/>
      <c r="I16" s="12"/>
      <c r="J16" s="12" t="s">
        <v>76</v>
      </c>
      <c r="K16" s="15" t="s">
        <v>53</v>
      </c>
    </row>
    <row r="17" customFormat="false" ht="15" hidden="false" customHeight="false" outlineLevel="0" collapsed="false">
      <c r="A17" s="16" t="n">
        <v>1</v>
      </c>
      <c r="B17" s="17" t="n">
        <f aca="false">Overview!$B$3+A17-1</f>
        <v>46459</v>
      </c>
      <c r="C17" s="18" t="n">
        <v>0.84375</v>
      </c>
      <c r="D17" s="18" t="n">
        <v>0.885416666666667</v>
      </c>
      <c r="E17" s="16" t="n">
        <f aca="false">ROUND((D17-C17)*1440,0)</f>
        <v>60</v>
      </c>
      <c r="F17" s="16" t="s">
        <v>77</v>
      </c>
      <c r="G17" s="16" t="s">
        <v>61</v>
      </c>
      <c r="H17" s="16"/>
      <c r="I17" s="16"/>
      <c r="J17" s="16" t="s">
        <v>77</v>
      </c>
      <c r="K17" s="19" t="s">
        <v>53</v>
      </c>
    </row>
    <row r="18" customFormat="false" ht="15" hidden="false" customHeight="false" outlineLevel="0" collapsed="false">
      <c r="A18" s="16" t="n">
        <v>2</v>
      </c>
      <c r="B18" s="17" t="n">
        <f aca="false">Overview!$B$3+A18-1</f>
        <v>46460</v>
      </c>
      <c r="C18" s="18" t="n">
        <v>0.3125</v>
      </c>
      <c r="D18" s="18" t="n">
        <v>0.354166666666667</v>
      </c>
      <c r="E18" s="16" t="n">
        <f aca="false">ROUND((D18-C18)*1440,0)</f>
        <v>60</v>
      </c>
      <c r="F18" s="16" t="s">
        <v>78</v>
      </c>
      <c r="G18" s="16" t="s">
        <v>61</v>
      </c>
      <c r="H18" s="16"/>
      <c r="I18" s="16"/>
      <c r="J18" s="16" t="s">
        <v>78</v>
      </c>
      <c r="K18" s="19" t="s">
        <v>53</v>
      </c>
    </row>
    <row r="19" customFormat="false" ht="23.85" hidden="false" customHeight="false" outlineLevel="0" collapsed="false">
      <c r="A19" s="12" t="n">
        <v>2</v>
      </c>
      <c r="B19" s="13" t="n">
        <f aca="false">Overview!$B$3+A19-1</f>
        <v>46460</v>
      </c>
      <c r="C19" s="14" t="n">
        <v>0.354166666666667</v>
      </c>
      <c r="D19" s="14" t="n">
        <v>0.375</v>
      </c>
      <c r="E19" s="12" t="n">
        <f aca="false">ROUND((D19-C19)*1440,0)</f>
        <v>30</v>
      </c>
      <c r="F19" s="12" t="s">
        <v>58</v>
      </c>
      <c r="G19" s="12" t="s">
        <v>56</v>
      </c>
      <c r="H19" s="12"/>
      <c r="I19" s="12"/>
      <c r="J19" s="12" t="s">
        <v>79</v>
      </c>
      <c r="K19" s="15" t="s">
        <v>53</v>
      </c>
    </row>
    <row r="20" customFormat="false" ht="15" hidden="false" customHeight="false" outlineLevel="0" collapsed="false">
      <c r="A20" s="12" t="n">
        <v>2</v>
      </c>
      <c r="B20" s="13" t="n">
        <f aca="false">Overview!$B$3+A20-1</f>
        <v>46460</v>
      </c>
      <c r="C20" s="14" t="n">
        <v>0.375</v>
      </c>
      <c r="D20" s="14" t="n">
        <v>0.4375</v>
      </c>
      <c r="E20" s="12" t="n">
        <f aca="false">ROUND((D20-C20)*1440,0)</f>
        <v>90</v>
      </c>
      <c r="F20" s="12" t="s">
        <v>54</v>
      </c>
      <c r="G20" s="12" t="s">
        <v>56</v>
      </c>
      <c r="H20" s="12" t="s">
        <v>80</v>
      </c>
      <c r="I20" s="12" t="n">
        <v>50</v>
      </c>
      <c r="J20" s="12" t="s">
        <v>81</v>
      </c>
      <c r="K20" s="15" t="s">
        <v>53</v>
      </c>
    </row>
    <row r="21" customFormat="false" ht="15" hidden="false" customHeight="false" outlineLevel="0" collapsed="false">
      <c r="A21" s="12" t="n">
        <v>2</v>
      </c>
      <c r="B21" s="13" t="n">
        <f aca="false">Overview!$B$3+A21-1</f>
        <v>46460</v>
      </c>
      <c r="C21" s="14" t="n">
        <v>0.4375</v>
      </c>
      <c r="D21" s="14" t="n">
        <v>0.458333333333333</v>
      </c>
      <c r="E21" s="12" t="n">
        <f aca="false">ROUND((D21-C21)*1440,0)</f>
        <v>30</v>
      </c>
      <c r="F21" s="12" t="s">
        <v>82</v>
      </c>
      <c r="G21" s="12" t="s">
        <v>83</v>
      </c>
      <c r="H21" s="12"/>
      <c r="I21" s="12"/>
      <c r="J21" s="12" t="s">
        <v>84</v>
      </c>
      <c r="K21" s="15" t="s">
        <v>53</v>
      </c>
    </row>
    <row r="22" customFormat="false" ht="15" hidden="false" customHeight="false" outlineLevel="0" collapsed="false">
      <c r="A22" s="12" t="n">
        <v>2</v>
      </c>
      <c r="B22" s="13" t="n">
        <f aca="false">Overview!$B$3+A22-1</f>
        <v>46460</v>
      </c>
      <c r="C22" s="14" t="n">
        <v>0.458333333333333</v>
      </c>
      <c r="D22" s="14" t="n">
        <v>0.465277777777778</v>
      </c>
      <c r="E22" s="12" t="n">
        <f aca="false">ROUND((D22-C22)*1440,0)</f>
        <v>10</v>
      </c>
      <c r="F22" s="12" t="s">
        <v>54</v>
      </c>
      <c r="G22" s="12" t="s">
        <v>85</v>
      </c>
      <c r="H22" s="12" t="s">
        <v>86</v>
      </c>
      <c r="I22" s="12" t="n">
        <v>2</v>
      </c>
      <c r="J22" s="12" t="s">
        <v>87</v>
      </c>
      <c r="K22" s="15" t="s">
        <v>53</v>
      </c>
    </row>
    <row r="23" customFormat="false" ht="23.85" hidden="false" customHeight="false" outlineLevel="0" collapsed="false">
      <c r="A23" s="12" t="n">
        <v>2</v>
      </c>
      <c r="B23" s="13" t="n">
        <f aca="false">Overview!$B$3+A23-1</f>
        <v>46460</v>
      </c>
      <c r="C23" s="14" t="n">
        <v>0.465277777777778</v>
      </c>
      <c r="D23" s="14" t="n">
        <v>0.510416666666667</v>
      </c>
      <c r="E23" s="12" t="n">
        <f aca="false">ROUND((D23-C23)*1440,0)</f>
        <v>65</v>
      </c>
      <c r="F23" s="12" t="s">
        <v>88</v>
      </c>
      <c r="G23" s="12" t="s">
        <v>86</v>
      </c>
      <c r="H23" s="12"/>
      <c r="I23" s="12"/>
      <c r="J23" s="12" t="s">
        <v>89</v>
      </c>
      <c r="K23" s="15" t="s">
        <v>53</v>
      </c>
    </row>
    <row r="24" customFormat="false" ht="15" hidden="false" customHeight="false" outlineLevel="0" collapsed="false">
      <c r="A24" s="20" t="n">
        <v>2</v>
      </c>
      <c r="B24" s="21" t="n">
        <f aca="false">Overview!$B$3+A24-1</f>
        <v>46460</v>
      </c>
      <c r="C24" s="22" t="n">
        <v>0.510416666666667</v>
      </c>
      <c r="D24" s="22" t="n">
        <v>0.517361111111111</v>
      </c>
      <c r="E24" s="20" t="n">
        <f aca="false">ROUND((D24-C24)*1440,0)</f>
        <v>10</v>
      </c>
      <c r="F24" s="20" t="s">
        <v>90</v>
      </c>
      <c r="G24" s="20" t="s">
        <v>86</v>
      </c>
      <c r="H24" s="20" t="s">
        <v>91</v>
      </c>
      <c r="I24" s="20"/>
      <c r="J24" s="20" t="s">
        <v>92</v>
      </c>
      <c r="K24" s="23" t="s">
        <v>53</v>
      </c>
    </row>
    <row r="25" customFormat="false" ht="15" hidden="false" customHeight="false" outlineLevel="0" collapsed="false">
      <c r="A25" s="20" t="n">
        <v>2</v>
      </c>
      <c r="B25" s="21" t="n">
        <f aca="false">Overview!$B$3+A25-1</f>
        <v>46460</v>
      </c>
      <c r="C25" s="22" t="n">
        <v>0.517361111111111</v>
      </c>
      <c r="D25" s="22" t="n">
        <v>0.541666666666667</v>
      </c>
      <c r="E25" s="20" t="n">
        <f aca="false">ROUND((D25-C25)*1440,0)</f>
        <v>35</v>
      </c>
      <c r="F25" s="20" t="s">
        <v>93</v>
      </c>
      <c r="G25" s="20" t="s">
        <v>91</v>
      </c>
      <c r="H25" s="20" t="s">
        <v>17</v>
      </c>
      <c r="I25" s="20"/>
      <c r="J25" s="20" t="s">
        <v>94</v>
      </c>
      <c r="K25" s="23" t="s">
        <v>53</v>
      </c>
    </row>
    <row r="26" customFormat="false" ht="15" hidden="false" customHeight="false" outlineLevel="0" collapsed="false">
      <c r="A26" s="12" t="n">
        <v>2</v>
      </c>
      <c r="B26" s="13" t="n">
        <f aca="false">Overview!$B$3+A26-1</f>
        <v>46460</v>
      </c>
      <c r="C26" s="14" t="n">
        <v>0.541666666666667</v>
      </c>
      <c r="D26" s="14" t="n">
        <v>0.5625</v>
      </c>
      <c r="E26" s="12" t="n">
        <f aca="false">ROUND((D26-C26)*1440,0)</f>
        <v>30</v>
      </c>
      <c r="F26" s="12" t="s">
        <v>58</v>
      </c>
      <c r="G26" s="12" t="s">
        <v>17</v>
      </c>
      <c r="H26" s="12"/>
      <c r="I26" s="12"/>
      <c r="J26" s="12" t="s">
        <v>95</v>
      </c>
      <c r="K26" s="15" t="s">
        <v>53</v>
      </c>
    </row>
    <row r="27" customFormat="false" ht="15" hidden="false" customHeight="false" outlineLevel="0" collapsed="false">
      <c r="A27" s="16" t="n">
        <v>2</v>
      </c>
      <c r="B27" s="17" t="n">
        <f aca="false">Overview!$B$3+A27-1</f>
        <v>46460</v>
      </c>
      <c r="C27" s="18" t="n">
        <v>0.5625</v>
      </c>
      <c r="D27" s="18" t="n">
        <v>0.59375</v>
      </c>
      <c r="E27" s="16" t="n">
        <f aca="false">ROUND((D27-C27)*1440,0)</f>
        <v>45</v>
      </c>
      <c r="F27" s="16" t="s">
        <v>60</v>
      </c>
      <c r="G27" s="16" t="s">
        <v>96</v>
      </c>
      <c r="H27" s="16"/>
      <c r="I27" s="16"/>
      <c r="J27" s="16" t="s">
        <v>60</v>
      </c>
      <c r="K27" s="19" t="s">
        <v>53</v>
      </c>
    </row>
    <row r="28" customFormat="false" ht="15" hidden="false" customHeight="false" outlineLevel="0" collapsed="false">
      <c r="A28" s="12" t="n">
        <v>2</v>
      </c>
      <c r="B28" s="13" t="n">
        <f aca="false">Overview!$B$3+A28-1</f>
        <v>46460</v>
      </c>
      <c r="C28" s="14" t="n">
        <v>0.59375</v>
      </c>
      <c r="D28" s="14" t="n">
        <v>0.6875</v>
      </c>
      <c r="E28" s="12" t="n">
        <f aca="false">ROUND((D28-C28)*1440,0)</f>
        <v>135</v>
      </c>
      <c r="F28" s="12" t="s">
        <v>75</v>
      </c>
      <c r="G28" s="12" t="s">
        <v>17</v>
      </c>
      <c r="H28" s="12"/>
      <c r="I28" s="12"/>
      <c r="J28" s="12" t="s">
        <v>97</v>
      </c>
      <c r="K28" s="15" t="s">
        <v>53</v>
      </c>
    </row>
    <row r="29" customFormat="false" ht="15" hidden="false" customHeight="false" outlineLevel="0" collapsed="false">
      <c r="A29" s="12" t="n">
        <v>2</v>
      </c>
      <c r="B29" s="13" t="n">
        <f aca="false">Overview!$B$3+A29-1</f>
        <v>46460</v>
      </c>
      <c r="C29" s="14" t="n">
        <v>0.6875</v>
      </c>
      <c r="D29" s="14" t="n">
        <v>0.75</v>
      </c>
      <c r="E29" s="12" t="n">
        <f aca="false">ROUND((D29-C29)*1440,0)</f>
        <v>90</v>
      </c>
      <c r="F29" s="12" t="s">
        <v>64</v>
      </c>
      <c r="G29" s="12" t="s">
        <v>98</v>
      </c>
      <c r="H29" s="12"/>
      <c r="I29" s="12"/>
      <c r="J29" s="12" t="s">
        <v>99</v>
      </c>
      <c r="K29" s="15" t="s">
        <v>53</v>
      </c>
    </row>
    <row r="30" customFormat="false" ht="35.05" hidden="false" customHeight="false" outlineLevel="0" collapsed="false">
      <c r="A30" s="24" t="n">
        <v>2</v>
      </c>
      <c r="B30" s="25" t="n">
        <f aca="false">Overview!$B$3+A30-1</f>
        <v>46460</v>
      </c>
      <c r="C30" s="26" t="n">
        <v>0.75</v>
      </c>
      <c r="D30" s="26" t="n">
        <v>0.8125</v>
      </c>
      <c r="E30" s="24" t="n">
        <f aca="false">ROUND((D30-C30)*1440,0)</f>
        <v>90</v>
      </c>
      <c r="F30" s="24" t="s">
        <v>100</v>
      </c>
      <c r="G30" s="24" t="s">
        <v>17</v>
      </c>
      <c r="H30" s="24"/>
      <c r="I30" s="24"/>
      <c r="J30" s="24" t="s">
        <v>101</v>
      </c>
      <c r="K30" s="27" t="s">
        <v>53</v>
      </c>
    </row>
    <row r="31" customFormat="false" ht="15" hidden="false" customHeight="false" outlineLevel="0" collapsed="false">
      <c r="A31" s="16" t="n">
        <v>2</v>
      </c>
      <c r="B31" s="17" t="n">
        <f aca="false">Overview!$B$3+A31-1</f>
        <v>46460</v>
      </c>
      <c r="C31" s="18" t="n">
        <v>0.8125</v>
      </c>
      <c r="D31" s="18" t="n">
        <v>0.854166666666667</v>
      </c>
      <c r="E31" s="16" t="n">
        <f aca="false">ROUND((D31-C31)*1440,0)</f>
        <v>60</v>
      </c>
      <c r="F31" s="16" t="s">
        <v>77</v>
      </c>
      <c r="G31" s="16" t="s">
        <v>96</v>
      </c>
      <c r="H31" s="16"/>
      <c r="I31" s="16"/>
      <c r="J31" s="16" t="s">
        <v>77</v>
      </c>
      <c r="K31" s="19" t="s">
        <v>53</v>
      </c>
    </row>
    <row r="32" customFormat="false" ht="15" hidden="false" customHeight="false" outlineLevel="0" collapsed="false">
      <c r="A32" s="12" t="n">
        <v>3</v>
      </c>
      <c r="B32" s="13" t="n">
        <f aca="false">Overview!$B$3+A32-1</f>
        <v>46461</v>
      </c>
      <c r="C32" s="14" t="n">
        <v>0.1875</v>
      </c>
      <c r="D32" s="14" t="n">
        <v>0.229166666666667</v>
      </c>
      <c r="E32" s="12" t="n">
        <f aca="false">ROUND((D32-C32)*1440,0)</f>
        <v>60</v>
      </c>
      <c r="F32" s="12" t="s">
        <v>58</v>
      </c>
      <c r="G32" s="12" t="s">
        <v>17</v>
      </c>
      <c r="H32" s="12"/>
      <c r="I32" s="12"/>
      <c r="J32" s="12" t="s">
        <v>102</v>
      </c>
      <c r="K32" s="15" t="s">
        <v>53</v>
      </c>
    </row>
    <row r="33" customFormat="false" ht="23.85" hidden="false" customHeight="false" outlineLevel="0" collapsed="false">
      <c r="A33" s="24" t="n">
        <v>3</v>
      </c>
      <c r="B33" s="25" t="n">
        <f aca="false">Overview!$B$3+A33-1</f>
        <v>46461</v>
      </c>
      <c r="C33" s="26" t="n">
        <v>0.229166666666667</v>
      </c>
      <c r="D33" s="26" t="n">
        <v>0.291666666666667</v>
      </c>
      <c r="E33" s="24" t="n">
        <f aca="false">ROUND((D33-C33)*1440,0)</f>
        <v>90</v>
      </c>
      <c r="F33" s="24" t="s">
        <v>100</v>
      </c>
      <c r="G33" s="24" t="s">
        <v>17</v>
      </c>
      <c r="H33" s="24"/>
      <c r="I33" s="24"/>
      <c r="J33" s="24" t="s">
        <v>103</v>
      </c>
      <c r="K33" s="27" t="s">
        <v>53</v>
      </c>
    </row>
    <row r="34" customFormat="false" ht="15" hidden="false" customHeight="false" outlineLevel="0" collapsed="false">
      <c r="A34" s="12" t="n">
        <v>3</v>
      </c>
      <c r="B34" s="13" t="n">
        <f aca="false">Overview!$B$3+A34-1</f>
        <v>46461</v>
      </c>
      <c r="C34" s="14" t="n">
        <v>0.291666666666667</v>
      </c>
      <c r="D34" s="14" t="n">
        <v>0.3125</v>
      </c>
      <c r="E34" s="12" t="n">
        <f aca="false">ROUND((D34-C34)*1440,0)</f>
        <v>30</v>
      </c>
      <c r="F34" s="12" t="s">
        <v>75</v>
      </c>
      <c r="G34" s="12" t="s">
        <v>17</v>
      </c>
      <c r="H34" s="12"/>
      <c r="I34" s="12"/>
      <c r="J34" s="12" t="s">
        <v>104</v>
      </c>
      <c r="K34" s="15" t="s">
        <v>53</v>
      </c>
    </row>
    <row r="35" customFormat="false" ht="15" hidden="false" customHeight="false" outlineLevel="0" collapsed="false">
      <c r="A35" s="16" t="n">
        <v>3</v>
      </c>
      <c r="B35" s="17" t="n">
        <f aca="false">Overview!$B$3+A35-1</f>
        <v>46461</v>
      </c>
      <c r="C35" s="18" t="n">
        <v>0.3125</v>
      </c>
      <c r="D35" s="18" t="n">
        <v>0.354166666666667</v>
      </c>
      <c r="E35" s="16" t="n">
        <f aca="false">ROUND((D35-C35)*1440,0)</f>
        <v>60</v>
      </c>
      <c r="F35" s="16" t="s">
        <v>78</v>
      </c>
      <c r="G35" s="16" t="s">
        <v>96</v>
      </c>
      <c r="H35" s="16"/>
      <c r="I35" s="16"/>
      <c r="J35" s="16" t="s">
        <v>78</v>
      </c>
      <c r="K35" s="19" t="s">
        <v>53</v>
      </c>
    </row>
    <row r="36" customFormat="false" ht="15" hidden="false" customHeight="false" outlineLevel="0" collapsed="false">
      <c r="A36" s="12" t="n">
        <v>3</v>
      </c>
      <c r="B36" s="13" t="n">
        <f aca="false">Overview!$B$3+A36-1</f>
        <v>46461</v>
      </c>
      <c r="C36" s="14" t="n">
        <v>0.354166666666667</v>
      </c>
      <c r="D36" s="14" t="n">
        <v>0.375</v>
      </c>
      <c r="E36" s="12" t="n">
        <f aca="false">ROUND((D36-C36)*1440,0)</f>
        <v>30</v>
      </c>
      <c r="F36" s="12" t="s">
        <v>58</v>
      </c>
      <c r="G36" s="12" t="s">
        <v>17</v>
      </c>
      <c r="H36" s="12"/>
      <c r="I36" s="12"/>
      <c r="J36" s="12" t="s">
        <v>105</v>
      </c>
      <c r="K36" s="15" t="s">
        <v>53</v>
      </c>
    </row>
    <row r="37" customFormat="false" ht="15" hidden="false" customHeight="false" outlineLevel="0" collapsed="false">
      <c r="A37" s="12" t="n">
        <v>3</v>
      </c>
      <c r="B37" s="13" t="n">
        <f aca="false">Overview!$B$3+A37-1</f>
        <v>46461</v>
      </c>
      <c r="C37" s="14" t="n">
        <v>0.375</v>
      </c>
      <c r="D37" s="14" t="n">
        <v>0.385416666666667</v>
      </c>
      <c r="E37" s="12" t="n">
        <f aca="false">ROUND((D37-C37)*1440,0)</f>
        <v>15</v>
      </c>
      <c r="F37" s="12" t="s">
        <v>106</v>
      </c>
      <c r="G37" s="12" t="s">
        <v>17</v>
      </c>
      <c r="H37" s="12" t="s">
        <v>107</v>
      </c>
      <c r="I37" s="12"/>
      <c r="J37" s="12" t="s">
        <v>108</v>
      </c>
      <c r="K37" s="15" t="s">
        <v>53</v>
      </c>
    </row>
    <row r="38" customFormat="false" ht="15" hidden="false" customHeight="false" outlineLevel="0" collapsed="false">
      <c r="A38" s="20" t="n">
        <v>3</v>
      </c>
      <c r="B38" s="21" t="n">
        <f aca="false">Overview!$B$3+A38-1</f>
        <v>46461</v>
      </c>
      <c r="C38" s="22" t="n">
        <v>0.385416666666667</v>
      </c>
      <c r="D38" s="22" t="n">
        <v>0.399305555555556</v>
      </c>
      <c r="E38" s="20" t="n">
        <f aca="false">ROUND((D38-C38)*1440,0)</f>
        <v>20</v>
      </c>
      <c r="F38" s="20" t="s">
        <v>109</v>
      </c>
      <c r="G38" s="20" t="s">
        <v>107</v>
      </c>
      <c r="H38" s="20" t="s">
        <v>110</v>
      </c>
      <c r="I38" s="20"/>
      <c r="J38" s="20" t="s">
        <v>111</v>
      </c>
      <c r="K38" s="23" t="s">
        <v>53</v>
      </c>
    </row>
    <row r="39" customFormat="false" ht="15" hidden="false" customHeight="false" outlineLevel="0" collapsed="false">
      <c r="A39" s="12" t="n">
        <v>3</v>
      </c>
      <c r="B39" s="13" t="n">
        <f aca="false">Overview!$B$3+A39-1</f>
        <v>46461</v>
      </c>
      <c r="C39" s="14" t="n">
        <v>0.399305555555556</v>
      </c>
      <c r="D39" s="14" t="n">
        <v>0.427083333333333</v>
      </c>
      <c r="E39" s="12" t="n">
        <f aca="false">ROUND((D39-C39)*1440,0)</f>
        <v>40</v>
      </c>
      <c r="F39" s="12" t="s">
        <v>64</v>
      </c>
      <c r="G39" s="12" t="s">
        <v>112</v>
      </c>
      <c r="H39" s="12"/>
      <c r="I39" s="12"/>
      <c r="J39" s="12" t="s">
        <v>113</v>
      </c>
      <c r="K39" s="15" t="s">
        <v>53</v>
      </c>
    </row>
    <row r="40" customFormat="false" ht="15" hidden="false" customHeight="false" outlineLevel="0" collapsed="false">
      <c r="A40" s="12" t="n">
        <v>3</v>
      </c>
      <c r="B40" s="13" t="n">
        <f aca="false">Overview!$B$3+A40-1</f>
        <v>46461</v>
      </c>
      <c r="C40" s="14" t="n">
        <v>0.427083333333333</v>
      </c>
      <c r="D40" s="14" t="n">
        <v>0.46875</v>
      </c>
      <c r="E40" s="12" t="n">
        <f aca="false">ROUND((D40-C40)*1440,0)</f>
        <v>60</v>
      </c>
      <c r="F40" s="12" t="s">
        <v>106</v>
      </c>
      <c r="G40" s="12" t="s">
        <v>114</v>
      </c>
      <c r="H40" s="12" t="s">
        <v>91</v>
      </c>
      <c r="I40" s="12"/>
      <c r="J40" s="12" t="s">
        <v>115</v>
      </c>
      <c r="K40" s="15" t="s">
        <v>53</v>
      </c>
    </row>
    <row r="41" customFormat="false" ht="15" hidden="false" customHeight="false" outlineLevel="0" collapsed="false">
      <c r="A41" s="12" t="n">
        <v>3</v>
      </c>
      <c r="B41" s="13" t="n">
        <f aca="false">Overview!$B$3+A41-1</f>
        <v>46461</v>
      </c>
      <c r="C41" s="14" t="n">
        <v>0.46875</v>
      </c>
      <c r="D41" s="14" t="n">
        <v>0.510416666666667</v>
      </c>
      <c r="E41" s="12" t="n">
        <f aca="false">ROUND((D41-C41)*1440,0)</f>
        <v>60</v>
      </c>
      <c r="F41" s="12" t="s">
        <v>88</v>
      </c>
      <c r="G41" s="12" t="s">
        <v>91</v>
      </c>
      <c r="H41" s="12"/>
      <c r="I41" s="12"/>
      <c r="J41" s="12" t="s">
        <v>116</v>
      </c>
      <c r="K41" s="15" t="s">
        <v>53</v>
      </c>
    </row>
    <row r="42" customFormat="false" ht="15" hidden="false" customHeight="false" outlineLevel="0" collapsed="false">
      <c r="A42" s="20" t="n">
        <v>3</v>
      </c>
      <c r="B42" s="21" t="n">
        <f aca="false">Overview!$B$3+A42-1</f>
        <v>46461</v>
      </c>
      <c r="C42" s="22" t="n">
        <v>0.510416666666667</v>
      </c>
      <c r="D42" s="22" t="n">
        <v>0.517361111111111</v>
      </c>
      <c r="E42" s="20" t="n">
        <f aca="false">ROUND((D42-C42)*1440,0)</f>
        <v>10</v>
      </c>
      <c r="F42" s="20" t="s">
        <v>90</v>
      </c>
      <c r="G42" s="20" t="s">
        <v>91</v>
      </c>
      <c r="H42" s="20" t="s">
        <v>86</v>
      </c>
      <c r="I42" s="20"/>
      <c r="J42" s="20" t="s">
        <v>117</v>
      </c>
      <c r="K42" s="23" t="s">
        <v>53</v>
      </c>
    </row>
    <row r="43" customFormat="false" ht="15" hidden="false" customHeight="false" outlineLevel="0" collapsed="false">
      <c r="A43" s="12" t="n">
        <v>3</v>
      </c>
      <c r="B43" s="13" t="n">
        <f aca="false">Overview!$B$3+A43-1</f>
        <v>46461</v>
      </c>
      <c r="C43" s="14" t="n">
        <v>0.517361111111111</v>
      </c>
      <c r="D43" s="14" t="n">
        <v>0.527777777777778</v>
      </c>
      <c r="E43" s="12" t="n">
        <f aca="false">ROUND((D43-C43)*1440,0)</f>
        <v>15</v>
      </c>
      <c r="F43" s="12" t="s">
        <v>54</v>
      </c>
      <c r="G43" s="12" t="s">
        <v>86</v>
      </c>
      <c r="H43" s="12" t="s">
        <v>118</v>
      </c>
      <c r="I43" s="12" t="n">
        <v>2</v>
      </c>
      <c r="J43" s="12" t="s">
        <v>119</v>
      </c>
      <c r="K43" s="15" t="s">
        <v>53</v>
      </c>
    </row>
    <row r="44" customFormat="false" ht="15" hidden="false" customHeight="false" outlineLevel="0" collapsed="false">
      <c r="A44" s="16" t="n">
        <v>3</v>
      </c>
      <c r="B44" s="17" t="n">
        <f aca="false">Overview!$B$3+A44-1</f>
        <v>46461</v>
      </c>
      <c r="C44" s="18" t="n">
        <v>0.527777777777778</v>
      </c>
      <c r="D44" s="18" t="n">
        <v>0.5625</v>
      </c>
      <c r="E44" s="16" t="n">
        <f aca="false">ROUND((D44-C44)*1440,0)</f>
        <v>50</v>
      </c>
      <c r="F44" s="16" t="s">
        <v>60</v>
      </c>
      <c r="G44" s="16" t="s">
        <v>118</v>
      </c>
      <c r="H44" s="16"/>
      <c r="I44" s="16"/>
      <c r="J44" s="16" t="s">
        <v>120</v>
      </c>
      <c r="K44" s="19" t="s">
        <v>53</v>
      </c>
    </row>
    <row r="45" customFormat="false" ht="15" hidden="false" customHeight="false" outlineLevel="0" collapsed="false">
      <c r="A45" s="12" t="n">
        <v>3</v>
      </c>
      <c r="B45" s="13" t="n">
        <f aca="false">Overview!$B$3+A45-1</f>
        <v>46461</v>
      </c>
      <c r="C45" s="14" t="n">
        <v>0.5625</v>
      </c>
      <c r="D45" s="14" t="n">
        <v>0.572916666666667</v>
      </c>
      <c r="E45" s="12" t="n">
        <f aca="false">ROUND((D45-C45)*1440,0)</f>
        <v>15</v>
      </c>
      <c r="F45" s="12" t="s">
        <v>54</v>
      </c>
      <c r="G45" s="12" t="s">
        <v>80</v>
      </c>
      <c r="H45" s="12" t="s">
        <v>121</v>
      </c>
      <c r="I45" s="12" t="n">
        <v>3</v>
      </c>
      <c r="J45" s="12" t="s">
        <v>122</v>
      </c>
      <c r="K45" s="15" t="s">
        <v>53</v>
      </c>
    </row>
    <row r="46" customFormat="false" ht="23.85" hidden="false" customHeight="false" outlineLevel="0" collapsed="false">
      <c r="A46" s="24" t="n">
        <v>3</v>
      </c>
      <c r="B46" s="25" t="n">
        <f aca="false">Overview!$B$3+A46-1</f>
        <v>46461</v>
      </c>
      <c r="C46" s="26" t="n">
        <v>0.572916666666667</v>
      </c>
      <c r="D46" s="26" t="n">
        <v>0.604166666666667</v>
      </c>
      <c r="E46" s="24" t="n">
        <f aca="false">ROUND((D46-C46)*1440,0)</f>
        <v>45</v>
      </c>
      <c r="F46" s="24" t="s">
        <v>64</v>
      </c>
      <c r="G46" s="24" t="s">
        <v>121</v>
      </c>
      <c r="H46" s="24"/>
      <c r="I46" s="24"/>
      <c r="J46" s="24" t="s">
        <v>123</v>
      </c>
      <c r="K46" s="27" t="s">
        <v>53</v>
      </c>
    </row>
    <row r="47" customFormat="false" ht="15" hidden="false" customHeight="false" outlineLevel="0" collapsed="false">
      <c r="A47" s="12" t="n">
        <v>3</v>
      </c>
      <c r="B47" s="13" t="n">
        <f aca="false">Overview!$B$3+A47-1</f>
        <v>46461</v>
      </c>
      <c r="C47" s="14" t="n">
        <v>0.604166666666667</v>
      </c>
      <c r="D47" s="14" t="n">
        <v>0.611111111111111</v>
      </c>
      <c r="E47" s="12" t="n">
        <f aca="false">ROUND((D47-C47)*1440,0)</f>
        <v>10</v>
      </c>
      <c r="F47" s="12" t="s">
        <v>54</v>
      </c>
      <c r="G47" s="12" t="s">
        <v>121</v>
      </c>
      <c r="H47" s="12" t="s">
        <v>124</v>
      </c>
      <c r="I47" s="12" t="n">
        <v>1</v>
      </c>
      <c r="J47" s="12" t="s">
        <v>67</v>
      </c>
      <c r="K47" s="15" t="s">
        <v>53</v>
      </c>
    </row>
    <row r="48" customFormat="false" ht="15" hidden="false" customHeight="false" outlineLevel="0" collapsed="false">
      <c r="A48" s="12" t="n">
        <v>3</v>
      </c>
      <c r="B48" s="13" t="n">
        <f aca="false">Overview!$B$3+A48-1</f>
        <v>46461</v>
      </c>
      <c r="C48" s="14" t="n">
        <v>0.611111111111111</v>
      </c>
      <c r="D48" s="14" t="n">
        <v>0.631944444444444</v>
      </c>
      <c r="E48" s="12" t="n">
        <f aca="false">ROUND((D48-C48)*1440,0)</f>
        <v>30</v>
      </c>
      <c r="F48" s="12" t="s">
        <v>64</v>
      </c>
      <c r="G48" s="12" t="s">
        <v>124</v>
      </c>
      <c r="H48" s="12"/>
      <c r="I48" s="12"/>
      <c r="J48" s="12" t="s">
        <v>125</v>
      </c>
      <c r="K48" s="15" t="s">
        <v>53</v>
      </c>
    </row>
    <row r="49" customFormat="false" ht="15" hidden="false" customHeight="false" outlineLevel="0" collapsed="false">
      <c r="A49" s="12" t="n">
        <v>3</v>
      </c>
      <c r="B49" s="13" t="n">
        <f aca="false">Overview!$B$3+A49-1</f>
        <v>46461</v>
      </c>
      <c r="C49" s="14" t="n">
        <v>0.631944444444444</v>
      </c>
      <c r="D49" s="14" t="n">
        <v>0.642361111111111</v>
      </c>
      <c r="E49" s="12" t="n">
        <f aca="false">ROUND((D49-C49)*1440,0)</f>
        <v>15</v>
      </c>
      <c r="F49" s="12" t="s">
        <v>54</v>
      </c>
      <c r="G49" s="12" t="s">
        <v>124</v>
      </c>
      <c r="H49" s="12" t="s">
        <v>126</v>
      </c>
      <c r="I49" s="12" t="n">
        <v>2</v>
      </c>
      <c r="J49" s="12" t="s">
        <v>127</v>
      </c>
      <c r="K49" s="15" t="s">
        <v>53</v>
      </c>
    </row>
    <row r="50" customFormat="false" ht="15" hidden="false" customHeight="false" outlineLevel="0" collapsed="false">
      <c r="A50" s="12" t="n">
        <v>3</v>
      </c>
      <c r="B50" s="13" t="n">
        <f aca="false">Overview!$B$3+A50-1</f>
        <v>46461</v>
      </c>
      <c r="C50" s="14" t="n">
        <v>0.642361111111111</v>
      </c>
      <c r="D50" s="14" t="n">
        <v>0.6875</v>
      </c>
      <c r="E50" s="12" t="n">
        <f aca="false">ROUND((D50-C50)*1440,0)</f>
        <v>65</v>
      </c>
      <c r="F50" s="12" t="s">
        <v>71</v>
      </c>
      <c r="G50" s="12" t="s">
        <v>126</v>
      </c>
      <c r="H50" s="12"/>
      <c r="I50" s="12"/>
      <c r="J50" s="12" t="s">
        <v>128</v>
      </c>
      <c r="K50" s="15" t="s">
        <v>53</v>
      </c>
    </row>
    <row r="51" customFormat="false" ht="15" hidden="false" customHeight="false" outlineLevel="0" collapsed="false">
      <c r="A51" s="12" t="n">
        <v>3</v>
      </c>
      <c r="B51" s="13" t="n">
        <f aca="false">Overview!$B$3+A51-1</f>
        <v>46461</v>
      </c>
      <c r="C51" s="14" t="n">
        <v>0.6875</v>
      </c>
      <c r="D51" s="14" t="n">
        <v>0.75</v>
      </c>
      <c r="E51" s="12" t="n">
        <f aca="false">ROUND((D51-C51)*1440,0)</f>
        <v>90</v>
      </c>
      <c r="F51" s="12" t="s">
        <v>54</v>
      </c>
      <c r="G51" s="12" t="s">
        <v>80</v>
      </c>
      <c r="H51" s="12" t="s">
        <v>56</v>
      </c>
      <c r="I51" s="12" t="n">
        <v>50</v>
      </c>
      <c r="J51" s="12" t="s">
        <v>129</v>
      </c>
      <c r="K51" s="15" t="s">
        <v>53</v>
      </c>
    </row>
    <row r="52" customFormat="false" ht="15" hidden="false" customHeight="false" outlineLevel="0" collapsed="false">
      <c r="A52" s="12" t="n">
        <v>3</v>
      </c>
      <c r="B52" s="13" t="n">
        <f aca="false">Overview!$B$3+A52-1</f>
        <v>46461</v>
      </c>
      <c r="C52" s="14" t="n">
        <v>0.75</v>
      </c>
      <c r="D52" s="14" t="n">
        <v>0.770833333333333</v>
      </c>
      <c r="E52" s="12" t="n">
        <f aca="false">ROUND((D52-C52)*1440,0)</f>
        <v>30</v>
      </c>
      <c r="F52" s="12" t="s">
        <v>58</v>
      </c>
      <c r="G52" s="12" t="s">
        <v>56</v>
      </c>
      <c r="H52" s="12"/>
      <c r="I52" s="12"/>
      <c r="J52" s="12" t="s">
        <v>130</v>
      </c>
      <c r="K52" s="15" t="s">
        <v>53</v>
      </c>
    </row>
    <row r="53" customFormat="false" ht="15" hidden="false" customHeight="false" outlineLevel="0" collapsed="false">
      <c r="A53" s="12" t="n">
        <v>3</v>
      </c>
      <c r="B53" s="13" t="n">
        <f aca="false">Overview!$B$3+A53-1</f>
        <v>46461</v>
      </c>
      <c r="C53" s="14" t="n">
        <v>0.770833333333333</v>
      </c>
      <c r="D53" s="14" t="n">
        <v>0.833333333333333</v>
      </c>
      <c r="E53" s="12" t="n">
        <f aca="false">ROUND((D53-C53)*1440,0)</f>
        <v>90</v>
      </c>
      <c r="F53" s="12" t="s">
        <v>75</v>
      </c>
      <c r="G53" s="12" t="s">
        <v>56</v>
      </c>
      <c r="H53" s="12"/>
      <c r="I53" s="12"/>
      <c r="J53" s="12" t="s">
        <v>131</v>
      </c>
      <c r="K53" s="15" t="s">
        <v>53</v>
      </c>
    </row>
    <row r="54" customFormat="false" ht="15" hidden="false" customHeight="false" outlineLevel="0" collapsed="false">
      <c r="A54" s="16" t="n">
        <v>3</v>
      </c>
      <c r="B54" s="17" t="n">
        <f aca="false">Overview!$B$3+A54-1</f>
        <v>46461</v>
      </c>
      <c r="C54" s="18" t="n">
        <v>0.833333333333333</v>
      </c>
      <c r="D54" s="18" t="n">
        <v>0.875</v>
      </c>
      <c r="E54" s="16" t="n">
        <f aca="false">ROUND((D54-C54)*1440,0)</f>
        <v>60</v>
      </c>
      <c r="F54" s="16" t="s">
        <v>77</v>
      </c>
      <c r="G54" s="16" t="s">
        <v>61</v>
      </c>
      <c r="H54" s="16"/>
      <c r="I54" s="16"/>
      <c r="J54" s="16" t="s">
        <v>77</v>
      </c>
      <c r="K54" s="19" t="s">
        <v>53</v>
      </c>
    </row>
    <row r="55" customFormat="false" ht="15" hidden="false" customHeight="false" outlineLevel="0" collapsed="false">
      <c r="A55" s="16" t="n">
        <v>4</v>
      </c>
      <c r="B55" s="17" t="n">
        <f aca="false">Overview!$B$3+A55-1</f>
        <v>46462</v>
      </c>
      <c r="C55" s="18" t="n">
        <v>0.3125</v>
      </c>
      <c r="D55" s="18" t="n">
        <v>0.354166666666667</v>
      </c>
      <c r="E55" s="16" t="n">
        <f aca="false">ROUND((D55-C55)*1440,0)</f>
        <v>60</v>
      </c>
      <c r="F55" s="16" t="s">
        <v>78</v>
      </c>
      <c r="G55" s="16" t="s">
        <v>61</v>
      </c>
      <c r="H55" s="16"/>
      <c r="I55" s="16"/>
      <c r="J55" s="16" t="s">
        <v>78</v>
      </c>
      <c r="K55" s="19" t="s">
        <v>53</v>
      </c>
    </row>
    <row r="56" customFormat="false" ht="15" hidden="false" customHeight="false" outlineLevel="0" collapsed="false">
      <c r="A56" s="12" t="n">
        <v>4</v>
      </c>
      <c r="B56" s="13" t="n">
        <f aca="false">Overview!$B$3+A56-1</f>
        <v>46462</v>
      </c>
      <c r="C56" s="14" t="n">
        <v>0.354166666666667</v>
      </c>
      <c r="D56" s="14" t="n">
        <v>0.375</v>
      </c>
      <c r="E56" s="12" t="n">
        <f aca="false">ROUND((D56-C56)*1440,0)</f>
        <v>30</v>
      </c>
      <c r="F56" s="12" t="s">
        <v>58</v>
      </c>
      <c r="G56" s="12" t="s">
        <v>56</v>
      </c>
      <c r="H56" s="12"/>
      <c r="I56" s="12"/>
      <c r="J56" s="12" t="s">
        <v>132</v>
      </c>
      <c r="K56" s="15" t="s">
        <v>53</v>
      </c>
    </row>
    <row r="57" customFormat="false" ht="15" hidden="false" customHeight="false" outlineLevel="0" collapsed="false">
      <c r="A57" s="12" t="n">
        <v>4</v>
      </c>
      <c r="B57" s="13" t="n">
        <f aca="false">Overview!$B$3+A57-1</f>
        <v>46462</v>
      </c>
      <c r="C57" s="14" t="n">
        <v>0.375</v>
      </c>
      <c r="D57" s="14" t="n">
        <v>0.388888888888889</v>
      </c>
      <c r="E57" s="12" t="n">
        <f aca="false">ROUND((D57-C57)*1440,0)</f>
        <v>20</v>
      </c>
      <c r="F57" s="12" t="s">
        <v>54</v>
      </c>
      <c r="G57" s="12" t="s">
        <v>56</v>
      </c>
      <c r="H57" s="12" t="s">
        <v>55</v>
      </c>
      <c r="I57" s="12" t="n">
        <v>7</v>
      </c>
      <c r="J57" s="12" t="s">
        <v>133</v>
      </c>
      <c r="K57" s="15" t="s">
        <v>53</v>
      </c>
    </row>
    <row r="58" customFormat="false" ht="15" hidden="false" customHeight="false" outlineLevel="0" collapsed="false">
      <c r="A58" s="12" t="n">
        <v>4</v>
      </c>
      <c r="B58" s="13" t="n">
        <f aca="false">Overview!$B$3+A58-1</f>
        <v>46462</v>
      </c>
      <c r="C58" s="14" t="n">
        <v>0.388888888888889</v>
      </c>
      <c r="D58" s="14" t="n">
        <v>0.458333333333333</v>
      </c>
      <c r="E58" s="12" t="n">
        <f aca="false">ROUND((D58-C58)*1440,0)</f>
        <v>100</v>
      </c>
      <c r="F58" s="12" t="s">
        <v>134</v>
      </c>
      <c r="G58" s="12" t="s">
        <v>55</v>
      </c>
      <c r="H58" s="12"/>
      <c r="I58" s="12"/>
      <c r="J58" s="12" t="s">
        <v>135</v>
      </c>
      <c r="K58" s="15" t="s">
        <v>53</v>
      </c>
    </row>
    <row r="59" customFormat="false" ht="15" hidden="false" customHeight="false" outlineLevel="0" collapsed="false">
      <c r="A59" s="20" t="n">
        <v>4</v>
      </c>
      <c r="B59" s="21" t="n">
        <f aca="false">Overview!$B$3+A59-1</f>
        <v>46462</v>
      </c>
      <c r="C59" s="22" t="n">
        <v>0.458333333333333</v>
      </c>
      <c r="D59" s="22" t="n">
        <v>0.493055555555556</v>
      </c>
      <c r="E59" s="20" t="n">
        <f aca="false">ROUND((D59-C59)*1440,0)</f>
        <v>50</v>
      </c>
      <c r="F59" s="20" t="s">
        <v>136</v>
      </c>
      <c r="G59" s="20" t="s">
        <v>55</v>
      </c>
      <c r="H59" s="20" t="s">
        <v>137</v>
      </c>
      <c r="I59" s="20"/>
      <c r="J59" s="20" t="s">
        <v>138</v>
      </c>
      <c r="K59" s="23" t="s">
        <v>53</v>
      </c>
    </row>
    <row r="60" customFormat="false" ht="15" hidden="false" customHeight="false" outlineLevel="0" collapsed="false">
      <c r="A60" s="12" t="n">
        <v>4</v>
      </c>
      <c r="B60" s="13" t="n">
        <f aca="false">Overview!$B$3+A60-1</f>
        <v>46462</v>
      </c>
      <c r="C60" s="14" t="n">
        <v>0.493055555555556</v>
      </c>
      <c r="D60" s="14" t="n">
        <v>0.510416666666667</v>
      </c>
      <c r="E60" s="12" t="n">
        <f aca="false">ROUND((D60-C60)*1440,0)</f>
        <v>25</v>
      </c>
      <c r="F60" s="12" t="s">
        <v>134</v>
      </c>
      <c r="G60" s="12" t="s">
        <v>137</v>
      </c>
      <c r="H60" s="12"/>
      <c r="I60" s="12"/>
      <c r="J60" s="12" t="s">
        <v>139</v>
      </c>
      <c r="K60" s="15" t="s">
        <v>53</v>
      </c>
    </row>
    <row r="61" customFormat="false" ht="15" hidden="false" customHeight="false" outlineLevel="0" collapsed="false">
      <c r="A61" s="12" t="n">
        <v>4</v>
      </c>
      <c r="B61" s="13" t="n">
        <f aca="false">Overview!$B$3+A61-1</f>
        <v>46462</v>
      </c>
      <c r="C61" s="14" t="n">
        <v>0.510416666666667</v>
      </c>
      <c r="D61" s="14" t="n">
        <v>0.541666666666667</v>
      </c>
      <c r="E61" s="12" t="n">
        <f aca="false">ROUND((D61-C61)*1440,0)</f>
        <v>45</v>
      </c>
      <c r="F61" s="12" t="s">
        <v>54</v>
      </c>
      <c r="G61" s="12" t="s">
        <v>137</v>
      </c>
      <c r="H61" s="12" t="s">
        <v>140</v>
      </c>
      <c r="I61" s="12" t="n">
        <v>14</v>
      </c>
      <c r="J61" s="12" t="s">
        <v>141</v>
      </c>
      <c r="K61" s="15" t="s">
        <v>53</v>
      </c>
    </row>
    <row r="62" customFormat="false" ht="15" hidden="false" customHeight="false" outlineLevel="0" collapsed="false">
      <c r="A62" s="16" t="n">
        <v>4</v>
      </c>
      <c r="B62" s="17" t="n">
        <f aca="false">Overview!$B$3+A62-1</f>
        <v>46462</v>
      </c>
      <c r="C62" s="18" t="n">
        <v>0.541666666666667</v>
      </c>
      <c r="D62" s="18" t="n">
        <v>0.583333333333333</v>
      </c>
      <c r="E62" s="16" t="n">
        <f aca="false">ROUND((D62-C62)*1440,0)</f>
        <v>60</v>
      </c>
      <c r="F62" s="16" t="s">
        <v>60</v>
      </c>
      <c r="G62" s="16" t="s">
        <v>142</v>
      </c>
      <c r="H62" s="16"/>
      <c r="I62" s="16"/>
      <c r="J62" s="16" t="s">
        <v>143</v>
      </c>
      <c r="K62" s="19" t="s">
        <v>53</v>
      </c>
    </row>
    <row r="63" customFormat="false" ht="15" hidden="false" customHeight="false" outlineLevel="0" collapsed="false">
      <c r="A63" s="12" t="n">
        <v>4</v>
      </c>
      <c r="B63" s="13" t="n">
        <f aca="false">Overview!$B$3+A63-1</f>
        <v>46462</v>
      </c>
      <c r="C63" s="14" t="n">
        <v>0.583333333333333</v>
      </c>
      <c r="D63" s="14" t="n">
        <v>0.59375</v>
      </c>
      <c r="E63" s="12" t="n">
        <f aca="false">ROUND((D63-C63)*1440,0)</f>
        <v>15</v>
      </c>
      <c r="F63" s="12" t="s">
        <v>54</v>
      </c>
      <c r="G63" s="12" t="s">
        <v>140</v>
      </c>
      <c r="H63" s="12" t="s">
        <v>144</v>
      </c>
      <c r="I63" s="12" t="n">
        <v>5</v>
      </c>
      <c r="J63" s="12" t="s">
        <v>145</v>
      </c>
      <c r="K63" s="15" t="s">
        <v>53</v>
      </c>
    </row>
    <row r="64" customFormat="false" ht="23.85" hidden="false" customHeight="false" outlineLevel="0" collapsed="false">
      <c r="A64" s="12" t="n">
        <v>4</v>
      </c>
      <c r="B64" s="13" t="n">
        <f aca="false">Overview!$B$3+A64-1</f>
        <v>46462</v>
      </c>
      <c r="C64" s="14" t="n">
        <v>0.59375</v>
      </c>
      <c r="D64" s="14" t="n">
        <v>0.625</v>
      </c>
      <c r="E64" s="12" t="n">
        <f aca="false">ROUND((D64-C64)*1440,0)</f>
        <v>45</v>
      </c>
      <c r="F64" s="12" t="s">
        <v>64</v>
      </c>
      <c r="G64" s="12" t="s">
        <v>144</v>
      </c>
      <c r="H64" s="12"/>
      <c r="I64" s="12"/>
      <c r="J64" s="12" t="s">
        <v>146</v>
      </c>
      <c r="K64" s="15" t="s">
        <v>53</v>
      </c>
    </row>
    <row r="65" customFormat="false" ht="15" hidden="false" customHeight="false" outlineLevel="0" collapsed="false">
      <c r="A65" s="12" t="n">
        <v>4</v>
      </c>
      <c r="B65" s="13" t="n">
        <f aca="false">Overview!$B$3+A65-1</f>
        <v>46462</v>
      </c>
      <c r="C65" s="14" t="n">
        <v>0.625</v>
      </c>
      <c r="D65" s="14" t="n">
        <v>0.635416666666667</v>
      </c>
      <c r="E65" s="12" t="n">
        <f aca="false">ROUND((D65-C65)*1440,0)</f>
        <v>15</v>
      </c>
      <c r="F65" s="12" t="s">
        <v>54</v>
      </c>
      <c r="G65" s="12" t="s">
        <v>144</v>
      </c>
      <c r="H65" s="12" t="s">
        <v>147</v>
      </c>
      <c r="I65" s="12" t="n">
        <v>6</v>
      </c>
      <c r="J65" s="12" t="s">
        <v>148</v>
      </c>
      <c r="K65" s="15" t="s">
        <v>53</v>
      </c>
    </row>
    <row r="66" customFormat="false" ht="15" hidden="false" customHeight="false" outlineLevel="0" collapsed="false">
      <c r="A66" s="12" t="n">
        <v>4</v>
      </c>
      <c r="B66" s="13" t="n">
        <f aca="false">Overview!$B$3+A66-1</f>
        <v>46462</v>
      </c>
      <c r="C66" s="14" t="n">
        <v>0.635416666666667</v>
      </c>
      <c r="D66" s="14" t="n">
        <v>0.65625</v>
      </c>
      <c r="E66" s="12" t="n">
        <f aca="false">ROUND((D66-C66)*1440,0)</f>
        <v>30</v>
      </c>
      <c r="F66" s="12" t="s">
        <v>64</v>
      </c>
      <c r="G66" s="12" t="s">
        <v>147</v>
      </c>
      <c r="H66" s="12"/>
      <c r="I66" s="12"/>
      <c r="J66" s="12" t="s">
        <v>149</v>
      </c>
      <c r="K66" s="15" t="s">
        <v>53</v>
      </c>
    </row>
    <row r="67" customFormat="false" ht="15" hidden="false" customHeight="false" outlineLevel="0" collapsed="false">
      <c r="A67" s="12" t="n">
        <v>4</v>
      </c>
      <c r="B67" s="13" t="n">
        <f aca="false">Overview!$B$3+A67-1</f>
        <v>46462</v>
      </c>
      <c r="C67" s="14" t="n">
        <v>0.65625</v>
      </c>
      <c r="D67" s="14" t="n">
        <v>0.670138888888889</v>
      </c>
      <c r="E67" s="12" t="n">
        <f aca="false">ROUND((D67-C67)*1440,0)</f>
        <v>20</v>
      </c>
      <c r="F67" s="12" t="s">
        <v>54</v>
      </c>
      <c r="G67" s="12" t="s">
        <v>147</v>
      </c>
      <c r="H67" s="12" t="s">
        <v>140</v>
      </c>
      <c r="I67" s="12" t="n">
        <v>6</v>
      </c>
      <c r="J67" s="12" t="s">
        <v>74</v>
      </c>
      <c r="K67" s="15" t="s">
        <v>53</v>
      </c>
    </row>
    <row r="68" customFormat="false" ht="15" hidden="false" customHeight="false" outlineLevel="0" collapsed="false">
      <c r="A68" s="12" t="n">
        <v>4</v>
      </c>
      <c r="B68" s="13" t="n">
        <f aca="false">Overview!$B$3+A68-1</f>
        <v>46462</v>
      </c>
      <c r="C68" s="14" t="n">
        <v>0.670138888888889</v>
      </c>
      <c r="D68" s="14" t="n">
        <v>0.697916666666667</v>
      </c>
      <c r="E68" s="12" t="n">
        <f aca="false">ROUND((D68-C68)*1440,0)</f>
        <v>40</v>
      </c>
      <c r="F68" s="12" t="s">
        <v>75</v>
      </c>
      <c r="G68" s="12" t="s">
        <v>140</v>
      </c>
      <c r="H68" s="12"/>
      <c r="I68" s="12"/>
      <c r="J68" s="12" t="s">
        <v>150</v>
      </c>
      <c r="K68" s="15" t="s">
        <v>53</v>
      </c>
    </row>
    <row r="69" customFormat="false" ht="15" hidden="false" customHeight="false" outlineLevel="0" collapsed="false">
      <c r="A69" s="12" t="n">
        <v>4</v>
      </c>
      <c r="B69" s="13" t="n">
        <f aca="false">Overview!$B$3+A69-1</f>
        <v>46462</v>
      </c>
      <c r="C69" s="14" t="n">
        <v>0.697916666666667</v>
      </c>
      <c r="D69" s="14" t="n">
        <v>0.708333333333333</v>
      </c>
      <c r="E69" s="12" t="n">
        <f aca="false">ROUND((D69-C69)*1440,0)</f>
        <v>15</v>
      </c>
      <c r="F69" s="12" t="s">
        <v>106</v>
      </c>
      <c r="G69" s="12" t="s">
        <v>151</v>
      </c>
      <c r="H69" s="12" t="s">
        <v>152</v>
      </c>
      <c r="I69" s="12"/>
      <c r="J69" s="12" t="s">
        <v>153</v>
      </c>
      <c r="K69" s="15" t="s">
        <v>53</v>
      </c>
    </row>
    <row r="70" customFormat="false" ht="15" hidden="false" customHeight="false" outlineLevel="0" collapsed="false">
      <c r="A70" s="20" t="n">
        <v>4</v>
      </c>
      <c r="B70" s="21" t="n">
        <f aca="false">Overview!$B$3+A70-1</f>
        <v>46462</v>
      </c>
      <c r="C70" s="22" t="n">
        <v>0.708333333333333</v>
      </c>
      <c r="D70" s="22" t="n">
        <v>0.770833333333333</v>
      </c>
      <c r="E70" s="20" t="n">
        <f aca="false">ROUND((D70-C70)*1440,0)</f>
        <v>90</v>
      </c>
      <c r="F70" s="20" t="s">
        <v>154</v>
      </c>
      <c r="G70" s="20" t="s">
        <v>155</v>
      </c>
      <c r="H70" s="20"/>
      <c r="I70" s="20"/>
      <c r="J70" s="20" t="s">
        <v>156</v>
      </c>
      <c r="K70" s="23" t="s">
        <v>53</v>
      </c>
    </row>
    <row r="71" customFormat="false" ht="15" hidden="false" customHeight="false" outlineLevel="0" collapsed="false">
      <c r="A71" s="12" t="n">
        <v>4</v>
      </c>
      <c r="B71" s="13" t="n">
        <f aca="false">Overview!$B$3+A71-1</f>
        <v>46462</v>
      </c>
      <c r="C71" s="14" t="n">
        <v>0.770833333333333</v>
      </c>
      <c r="D71" s="14" t="n">
        <v>0.833333333333333</v>
      </c>
      <c r="E71" s="12" t="n">
        <f aca="false">ROUND((D71-C71)*1440,0)</f>
        <v>90</v>
      </c>
      <c r="F71" s="12" t="s">
        <v>75</v>
      </c>
      <c r="G71" s="12" t="s">
        <v>140</v>
      </c>
      <c r="H71" s="12"/>
      <c r="I71" s="12"/>
      <c r="J71" s="12" t="s">
        <v>157</v>
      </c>
      <c r="K71" s="15" t="s">
        <v>53</v>
      </c>
    </row>
    <row r="72" customFormat="false" ht="15" hidden="false" customHeight="false" outlineLevel="0" collapsed="false">
      <c r="A72" s="16" t="n">
        <v>4</v>
      </c>
      <c r="B72" s="17" t="n">
        <f aca="false">Overview!$B$3+A72-1</f>
        <v>46462</v>
      </c>
      <c r="C72" s="18" t="n">
        <v>0.833333333333333</v>
      </c>
      <c r="D72" s="18" t="n">
        <v>0.875</v>
      </c>
      <c r="E72" s="16" t="n">
        <f aca="false">ROUND((D72-C72)*1440,0)</f>
        <v>60</v>
      </c>
      <c r="F72" s="16" t="s">
        <v>77</v>
      </c>
      <c r="G72" s="16" t="s">
        <v>142</v>
      </c>
      <c r="H72" s="16"/>
      <c r="I72" s="16"/>
      <c r="J72" s="16" t="s">
        <v>77</v>
      </c>
      <c r="K72" s="19" t="s">
        <v>53</v>
      </c>
    </row>
    <row r="73" customFormat="false" ht="15" hidden="false" customHeight="false" outlineLevel="0" collapsed="false">
      <c r="A73" s="16" t="n">
        <v>5</v>
      </c>
      <c r="B73" s="17" t="n">
        <f aca="false">Overview!$B$3+A73-1</f>
        <v>46463</v>
      </c>
      <c r="C73" s="18" t="n">
        <v>0.3125</v>
      </c>
      <c r="D73" s="18" t="n">
        <v>0.354166666666667</v>
      </c>
      <c r="E73" s="16" t="n">
        <f aca="false">ROUND((D73-C73)*1440,0)</f>
        <v>60</v>
      </c>
      <c r="F73" s="16" t="s">
        <v>78</v>
      </c>
      <c r="G73" s="16" t="s">
        <v>142</v>
      </c>
      <c r="H73" s="16"/>
      <c r="I73" s="16"/>
      <c r="J73" s="16" t="s">
        <v>158</v>
      </c>
      <c r="K73" s="19" t="s">
        <v>53</v>
      </c>
    </row>
    <row r="74" customFormat="false" ht="15" hidden="false" customHeight="false" outlineLevel="0" collapsed="false">
      <c r="A74" s="12" t="n">
        <v>5</v>
      </c>
      <c r="B74" s="13" t="n">
        <f aca="false">Overview!$B$3+A74-1</f>
        <v>46463</v>
      </c>
      <c r="C74" s="14" t="n">
        <v>0.354166666666667</v>
      </c>
      <c r="D74" s="14" t="n">
        <v>0.375</v>
      </c>
      <c r="E74" s="12" t="n">
        <f aca="false">ROUND((D74-C74)*1440,0)</f>
        <v>30</v>
      </c>
      <c r="F74" s="12" t="s">
        <v>58</v>
      </c>
      <c r="G74" s="12" t="s">
        <v>140</v>
      </c>
      <c r="H74" s="12"/>
      <c r="I74" s="12"/>
      <c r="J74" s="12" t="s">
        <v>159</v>
      </c>
      <c r="K74" s="15" t="s">
        <v>53</v>
      </c>
    </row>
    <row r="75" customFormat="false" ht="15" hidden="false" customHeight="false" outlineLevel="0" collapsed="false">
      <c r="A75" s="12" t="n">
        <v>5</v>
      </c>
      <c r="B75" s="13" t="n">
        <f aca="false">Overview!$B$3+A75-1</f>
        <v>46463</v>
      </c>
      <c r="C75" s="14" t="n">
        <v>0.375</v>
      </c>
      <c r="D75" s="14" t="n">
        <v>0.447916666666667</v>
      </c>
      <c r="E75" s="12" t="n">
        <f aca="false">ROUND((D75-C75)*1440,0)</f>
        <v>105</v>
      </c>
      <c r="F75" s="12" t="s">
        <v>54</v>
      </c>
      <c r="G75" s="12" t="s">
        <v>140</v>
      </c>
      <c r="H75" s="12" t="s">
        <v>160</v>
      </c>
      <c r="I75" s="12" t="n">
        <v>50</v>
      </c>
      <c r="J75" s="12" t="s">
        <v>161</v>
      </c>
      <c r="K75" s="15" t="s">
        <v>53</v>
      </c>
    </row>
    <row r="76" customFormat="false" ht="23.85" hidden="false" customHeight="false" outlineLevel="0" collapsed="false">
      <c r="A76" s="20" t="n">
        <v>5</v>
      </c>
      <c r="B76" s="21" t="n">
        <f aca="false">Overview!$B$3+A76-1</f>
        <v>46463</v>
      </c>
      <c r="C76" s="22" t="n">
        <v>0.447916666666667</v>
      </c>
      <c r="D76" s="22" t="n">
        <v>0.572916666666667</v>
      </c>
      <c r="E76" s="20" t="n">
        <f aca="false">ROUND((D76-C76)*1440,0)</f>
        <v>180</v>
      </c>
      <c r="F76" s="20" t="s">
        <v>162</v>
      </c>
      <c r="G76" s="20" t="s">
        <v>163</v>
      </c>
      <c r="H76" s="20"/>
      <c r="I76" s="20"/>
      <c r="J76" s="20" t="s">
        <v>164</v>
      </c>
      <c r="K76" s="23" t="s">
        <v>53</v>
      </c>
    </row>
    <row r="77" customFormat="false" ht="15" hidden="false" customHeight="false" outlineLevel="0" collapsed="false">
      <c r="A77" s="16" t="n">
        <v>5</v>
      </c>
      <c r="B77" s="17" t="n">
        <f aca="false">Overview!$B$3+A77-1</f>
        <v>46463</v>
      </c>
      <c r="C77" s="18" t="n">
        <v>0.572916666666667</v>
      </c>
      <c r="D77" s="18" t="n">
        <v>0.604166666666667</v>
      </c>
      <c r="E77" s="16" t="n">
        <f aca="false">ROUND((D77-C77)*1440,0)</f>
        <v>45</v>
      </c>
      <c r="F77" s="16" t="s">
        <v>60</v>
      </c>
      <c r="G77" s="16" t="s">
        <v>165</v>
      </c>
      <c r="H77" s="16"/>
      <c r="I77" s="16"/>
      <c r="J77" s="16" t="s">
        <v>166</v>
      </c>
      <c r="K77" s="19" t="s">
        <v>53</v>
      </c>
    </row>
    <row r="78" customFormat="false" ht="15" hidden="false" customHeight="false" outlineLevel="0" collapsed="false">
      <c r="A78" s="12" t="n">
        <v>5</v>
      </c>
      <c r="B78" s="13" t="n">
        <f aca="false">Overview!$B$3+A78-1</f>
        <v>46463</v>
      </c>
      <c r="C78" s="14" t="n">
        <v>0.604166666666667</v>
      </c>
      <c r="D78" s="14" t="n">
        <v>0.614583333333333</v>
      </c>
      <c r="E78" s="12" t="n">
        <f aca="false">ROUND((D78-C78)*1440,0)</f>
        <v>15</v>
      </c>
      <c r="F78" s="12" t="s">
        <v>54</v>
      </c>
      <c r="G78" s="12" t="s">
        <v>160</v>
      </c>
      <c r="H78" s="12" t="s">
        <v>167</v>
      </c>
      <c r="I78" s="12" t="n">
        <v>2</v>
      </c>
      <c r="J78" s="12" t="s">
        <v>168</v>
      </c>
      <c r="K78" s="15" t="s">
        <v>53</v>
      </c>
    </row>
    <row r="79" customFormat="false" ht="23.85" hidden="false" customHeight="false" outlineLevel="0" collapsed="false">
      <c r="A79" s="12" t="n">
        <v>5</v>
      </c>
      <c r="B79" s="13" t="n">
        <f aca="false">Overview!$B$3+A79-1</f>
        <v>46463</v>
      </c>
      <c r="C79" s="14" t="n">
        <v>0.614583333333333</v>
      </c>
      <c r="D79" s="14" t="n">
        <v>0.645833333333333</v>
      </c>
      <c r="E79" s="12" t="n">
        <f aca="false">ROUND((D79-C79)*1440,0)</f>
        <v>45</v>
      </c>
      <c r="F79" s="12" t="s">
        <v>64</v>
      </c>
      <c r="G79" s="12" t="s">
        <v>169</v>
      </c>
      <c r="H79" s="12"/>
      <c r="I79" s="12"/>
      <c r="J79" s="12" t="s">
        <v>170</v>
      </c>
      <c r="K79" s="15" t="s">
        <v>53</v>
      </c>
    </row>
    <row r="80" customFormat="false" ht="15" hidden="false" customHeight="false" outlineLevel="0" collapsed="false">
      <c r="A80" s="12" t="n">
        <v>5</v>
      </c>
      <c r="B80" s="13" t="n">
        <f aca="false">Overview!$B$3+A80-1</f>
        <v>46463</v>
      </c>
      <c r="C80" s="14" t="n">
        <v>0.645833333333333</v>
      </c>
      <c r="D80" s="14" t="n">
        <v>0.6875</v>
      </c>
      <c r="E80" s="12" t="n">
        <f aca="false">ROUND((D80-C80)*1440,0)</f>
        <v>60</v>
      </c>
      <c r="F80" s="12" t="s">
        <v>171</v>
      </c>
      <c r="G80" s="12" t="s">
        <v>172</v>
      </c>
      <c r="H80" s="12"/>
      <c r="I80" s="12"/>
      <c r="J80" s="12" t="s">
        <v>173</v>
      </c>
      <c r="K80" s="15" t="s">
        <v>53</v>
      </c>
    </row>
    <row r="81" customFormat="false" ht="15" hidden="false" customHeight="false" outlineLevel="0" collapsed="false">
      <c r="A81" s="12" t="n">
        <v>5</v>
      </c>
      <c r="B81" s="13" t="n">
        <f aca="false">Overview!$B$3+A81-1</f>
        <v>46463</v>
      </c>
      <c r="C81" s="14" t="n">
        <v>0.6875</v>
      </c>
      <c r="D81" s="14" t="n">
        <v>0.770833333333333</v>
      </c>
      <c r="E81" s="12" t="n">
        <f aca="false">ROUND((D81-C81)*1440,0)</f>
        <v>120</v>
      </c>
      <c r="F81" s="12" t="s">
        <v>54</v>
      </c>
      <c r="G81" s="12" t="s">
        <v>160</v>
      </c>
      <c r="H81" s="12" t="s">
        <v>140</v>
      </c>
      <c r="I81" s="12" t="n">
        <v>52</v>
      </c>
      <c r="J81" s="12" t="s">
        <v>174</v>
      </c>
      <c r="K81" s="15" t="s">
        <v>53</v>
      </c>
    </row>
    <row r="82" customFormat="false" ht="15" hidden="false" customHeight="false" outlineLevel="0" collapsed="false">
      <c r="A82" s="12" t="n">
        <v>5</v>
      </c>
      <c r="B82" s="13" t="n">
        <f aca="false">Overview!$B$3+A82-1</f>
        <v>46463</v>
      </c>
      <c r="C82" s="14" t="n">
        <v>0.770833333333333</v>
      </c>
      <c r="D82" s="14" t="n">
        <v>0.833333333333333</v>
      </c>
      <c r="E82" s="12" t="n">
        <f aca="false">ROUND((D82-C82)*1440,0)</f>
        <v>90</v>
      </c>
      <c r="F82" s="12" t="s">
        <v>75</v>
      </c>
      <c r="G82" s="12" t="s">
        <v>140</v>
      </c>
      <c r="H82" s="12"/>
      <c r="I82" s="12"/>
      <c r="J82" s="12" t="s">
        <v>175</v>
      </c>
      <c r="K82" s="15" t="s">
        <v>53</v>
      </c>
    </row>
    <row r="83" customFormat="false" ht="15" hidden="false" customHeight="false" outlineLevel="0" collapsed="false">
      <c r="A83" s="16" t="n">
        <v>5</v>
      </c>
      <c r="B83" s="17" t="n">
        <f aca="false">Overview!$B$3+A83-1</f>
        <v>46463</v>
      </c>
      <c r="C83" s="18" t="n">
        <v>0.833333333333333</v>
      </c>
      <c r="D83" s="18" t="n">
        <v>0.875</v>
      </c>
      <c r="E83" s="16" t="n">
        <f aca="false">ROUND((D83-C83)*1440,0)</f>
        <v>60</v>
      </c>
      <c r="F83" s="16" t="s">
        <v>77</v>
      </c>
      <c r="G83" s="16" t="s">
        <v>142</v>
      </c>
      <c r="H83" s="16"/>
      <c r="I83" s="16"/>
      <c r="J83" s="16" t="s">
        <v>176</v>
      </c>
      <c r="K83" s="19" t="s">
        <v>53</v>
      </c>
    </row>
    <row r="84" customFormat="false" ht="15" hidden="false" customHeight="false" outlineLevel="0" collapsed="false">
      <c r="A84" s="16" t="n">
        <v>6</v>
      </c>
      <c r="B84" s="17" t="n">
        <f aca="false">Overview!$B$3+A84-1</f>
        <v>46464</v>
      </c>
      <c r="C84" s="18" t="n">
        <v>0.3125</v>
      </c>
      <c r="D84" s="18" t="n">
        <v>0.354166666666667</v>
      </c>
      <c r="E84" s="16" t="n">
        <f aca="false">ROUND((D84-C84)*1440,0)</f>
        <v>60</v>
      </c>
      <c r="F84" s="16" t="s">
        <v>78</v>
      </c>
      <c r="G84" s="16" t="s">
        <v>142</v>
      </c>
      <c r="H84" s="16"/>
      <c r="I84" s="16"/>
      <c r="J84" s="16" t="s">
        <v>177</v>
      </c>
      <c r="K84" s="19" t="s">
        <v>53</v>
      </c>
    </row>
    <row r="85" customFormat="false" ht="15" hidden="false" customHeight="false" outlineLevel="0" collapsed="false">
      <c r="A85" s="12" t="n">
        <v>6</v>
      </c>
      <c r="B85" s="13" t="n">
        <f aca="false">Overview!$B$3+A85-1</f>
        <v>46464</v>
      </c>
      <c r="C85" s="14" t="n">
        <v>0.354166666666667</v>
      </c>
      <c r="D85" s="14" t="n">
        <v>0.375</v>
      </c>
      <c r="E85" s="12" t="n">
        <f aca="false">ROUND((D85-C85)*1440,0)</f>
        <v>30</v>
      </c>
      <c r="F85" s="12" t="s">
        <v>58</v>
      </c>
      <c r="G85" s="12" t="s">
        <v>140</v>
      </c>
      <c r="H85" s="12"/>
      <c r="I85" s="12"/>
      <c r="J85" s="12" t="s">
        <v>159</v>
      </c>
      <c r="K85" s="15" t="s">
        <v>53</v>
      </c>
    </row>
    <row r="86" customFormat="false" ht="15" hidden="false" customHeight="false" outlineLevel="0" collapsed="false">
      <c r="A86" s="12" t="n">
        <v>6</v>
      </c>
      <c r="B86" s="13" t="n">
        <f aca="false">Overview!$B$3+A86-1</f>
        <v>46464</v>
      </c>
      <c r="C86" s="14" t="n">
        <v>0.375</v>
      </c>
      <c r="D86" s="14" t="n">
        <v>0.40625</v>
      </c>
      <c r="E86" s="12" t="n">
        <f aca="false">ROUND((D86-C86)*1440,0)</f>
        <v>45</v>
      </c>
      <c r="F86" s="12" t="s">
        <v>54</v>
      </c>
      <c r="G86" s="12" t="s">
        <v>140</v>
      </c>
      <c r="H86" s="12" t="s">
        <v>178</v>
      </c>
      <c r="I86" s="12" t="n">
        <v>25</v>
      </c>
      <c r="J86" s="12" t="s">
        <v>179</v>
      </c>
      <c r="K86" s="15" t="s">
        <v>53</v>
      </c>
    </row>
    <row r="87" customFormat="false" ht="15" hidden="false" customHeight="false" outlineLevel="0" collapsed="false">
      <c r="A87" s="12" t="n">
        <v>6</v>
      </c>
      <c r="B87" s="13" t="n">
        <f aca="false">Overview!$B$3+A87-1</f>
        <v>46464</v>
      </c>
      <c r="C87" s="14" t="n">
        <v>0.40625</v>
      </c>
      <c r="D87" s="14" t="n">
        <v>0.4375</v>
      </c>
      <c r="E87" s="12" t="n">
        <f aca="false">ROUND((D87-C87)*1440,0)</f>
        <v>45</v>
      </c>
      <c r="F87" s="12" t="s">
        <v>64</v>
      </c>
      <c r="G87" s="12" t="s">
        <v>180</v>
      </c>
      <c r="H87" s="12"/>
      <c r="I87" s="12"/>
      <c r="J87" s="12" t="s">
        <v>181</v>
      </c>
      <c r="K87" s="15" t="s">
        <v>53</v>
      </c>
    </row>
    <row r="88" customFormat="false" ht="15" hidden="false" customHeight="false" outlineLevel="0" collapsed="false">
      <c r="A88" s="12" t="n">
        <v>6</v>
      </c>
      <c r="B88" s="13" t="n">
        <f aca="false">Overview!$B$3+A88-1</f>
        <v>46464</v>
      </c>
      <c r="C88" s="14" t="n">
        <v>0.4375</v>
      </c>
      <c r="D88" s="14" t="n">
        <v>0.520833333333333</v>
      </c>
      <c r="E88" s="12" t="n">
        <f aca="false">ROUND((D88-C88)*1440,0)</f>
        <v>120</v>
      </c>
      <c r="F88" s="12" t="s">
        <v>54</v>
      </c>
      <c r="G88" s="12" t="s">
        <v>182</v>
      </c>
      <c r="H88" s="12" t="s">
        <v>183</v>
      </c>
      <c r="I88" s="12" t="n">
        <v>60</v>
      </c>
      <c r="J88" s="12" t="s">
        <v>184</v>
      </c>
      <c r="K88" s="15" t="s">
        <v>53</v>
      </c>
    </row>
    <row r="89" customFormat="false" ht="15" hidden="false" customHeight="false" outlineLevel="0" collapsed="false">
      <c r="A89" s="16" t="n">
        <v>6</v>
      </c>
      <c r="B89" s="17" t="n">
        <f aca="false">Overview!$B$3+A89-1</f>
        <v>46464</v>
      </c>
      <c r="C89" s="18" t="n">
        <v>0.520833333333333</v>
      </c>
      <c r="D89" s="18" t="n">
        <v>0.552083333333333</v>
      </c>
      <c r="E89" s="16" t="n">
        <f aca="false">ROUND((D89-C89)*1440,0)</f>
        <v>45</v>
      </c>
      <c r="F89" s="16" t="s">
        <v>60</v>
      </c>
      <c r="G89" s="16" t="s">
        <v>185</v>
      </c>
      <c r="H89" s="16"/>
      <c r="I89" s="16"/>
      <c r="J89" s="16" t="s">
        <v>186</v>
      </c>
      <c r="K89" s="19" t="s">
        <v>53</v>
      </c>
    </row>
    <row r="90" customFormat="false" ht="15" hidden="false" customHeight="false" outlineLevel="0" collapsed="false">
      <c r="A90" s="20" t="n">
        <v>6</v>
      </c>
      <c r="B90" s="21" t="n">
        <f aca="false">Overview!$B$3+A90-1</f>
        <v>46464</v>
      </c>
      <c r="C90" s="22" t="n">
        <v>0.552083333333333</v>
      </c>
      <c r="D90" s="22" t="n">
        <v>0.614583333333333</v>
      </c>
      <c r="E90" s="20" t="n">
        <f aca="false">ROUND((D90-C90)*1440,0)</f>
        <v>90</v>
      </c>
      <c r="F90" s="20" t="s">
        <v>187</v>
      </c>
      <c r="G90" s="20" t="s">
        <v>183</v>
      </c>
      <c r="H90" s="20" t="s">
        <v>188</v>
      </c>
      <c r="I90" s="20"/>
      <c r="J90" s="20" t="s">
        <v>189</v>
      </c>
      <c r="K90" s="23" t="s">
        <v>53</v>
      </c>
    </row>
    <row r="91" customFormat="false" ht="15" hidden="false" customHeight="false" outlineLevel="0" collapsed="false">
      <c r="A91" s="12" t="n">
        <v>6</v>
      </c>
      <c r="B91" s="13" t="n">
        <f aca="false">Overview!$B$3+A91-1</f>
        <v>46464</v>
      </c>
      <c r="C91" s="14" t="n">
        <v>0.614583333333333</v>
      </c>
      <c r="D91" s="14" t="n">
        <v>0.645833333333333</v>
      </c>
      <c r="E91" s="12" t="n">
        <f aca="false">ROUND((D91-C91)*1440,0)</f>
        <v>45</v>
      </c>
      <c r="F91" s="12" t="s">
        <v>171</v>
      </c>
      <c r="G91" s="12" t="s">
        <v>190</v>
      </c>
      <c r="H91" s="12"/>
      <c r="I91" s="12"/>
      <c r="J91" s="12" t="s">
        <v>191</v>
      </c>
      <c r="K91" s="15" t="s">
        <v>53</v>
      </c>
    </row>
    <row r="92" customFormat="false" ht="15" hidden="false" customHeight="false" outlineLevel="0" collapsed="false">
      <c r="A92" s="12" t="n">
        <v>6</v>
      </c>
      <c r="B92" s="13" t="n">
        <f aca="false">Overview!$B$3+A92-1</f>
        <v>46464</v>
      </c>
      <c r="C92" s="14" t="n">
        <v>0.645833333333333</v>
      </c>
      <c r="D92" s="14" t="n">
        <v>0.770833333333333</v>
      </c>
      <c r="E92" s="12" t="n">
        <f aca="false">ROUND((D92-C92)*1440,0)</f>
        <v>180</v>
      </c>
      <c r="F92" s="12" t="s">
        <v>54</v>
      </c>
      <c r="G92" s="12" t="s">
        <v>183</v>
      </c>
      <c r="H92" s="12" t="s">
        <v>140</v>
      </c>
      <c r="I92" s="12" t="n">
        <v>82</v>
      </c>
      <c r="J92" s="12" t="s">
        <v>174</v>
      </c>
      <c r="K92" s="15" t="s">
        <v>53</v>
      </c>
    </row>
    <row r="93" customFormat="false" ht="15" hidden="false" customHeight="false" outlineLevel="0" collapsed="false">
      <c r="A93" s="12" t="n">
        <v>6</v>
      </c>
      <c r="B93" s="13" t="n">
        <f aca="false">Overview!$B$3+A93-1</f>
        <v>46464</v>
      </c>
      <c r="C93" s="14" t="n">
        <v>0.770833333333333</v>
      </c>
      <c r="D93" s="14" t="n">
        <v>0.833333333333333</v>
      </c>
      <c r="E93" s="12" t="n">
        <f aca="false">ROUND((D93-C93)*1440,0)</f>
        <v>90</v>
      </c>
      <c r="F93" s="12" t="s">
        <v>75</v>
      </c>
      <c r="G93" s="12" t="s">
        <v>140</v>
      </c>
      <c r="H93" s="12"/>
      <c r="I93" s="12"/>
      <c r="J93" s="12" t="s">
        <v>192</v>
      </c>
      <c r="K93" s="15" t="s">
        <v>53</v>
      </c>
    </row>
    <row r="94" customFormat="false" ht="15" hidden="false" customHeight="false" outlineLevel="0" collapsed="false">
      <c r="A94" s="16" t="n">
        <v>6</v>
      </c>
      <c r="B94" s="17" t="n">
        <f aca="false">Overview!$B$3+A94-1</f>
        <v>46464</v>
      </c>
      <c r="C94" s="18" t="n">
        <v>0.833333333333333</v>
      </c>
      <c r="D94" s="18" t="n">
        <v>0.875</v>
      </c>
      <c r="E94" s="16" t="n">
        <f aca="false">ROUND((D94-C94)*1440,0)</f>
        <v>60</v>
      </c>
      <c r="F94" s="16" t="s">
        <v>77</v>
      </c>
      <c r="G94" s="16" t="s">
        <v>142</v>
      </c>
      <c r="H94" s="16"/>
      <c r="I94" s="16"/>
      <c r="J94" s="16" t="s">
        <v>77</v>
      </c>
      <c r="K94" s="19" t="s">
        <v>53</v>
      </c>
    </row>
    <row r="95" customFormat="false" ht="15" hidden="false" customHeight="false" outlineLevel="0" collapsed="false">
      <c r="A95" s="16" t="n">
        <v>7</v>
      </c>
      <c r="B95" s="17" t="n">
        <f aca="false">Overview!$B$3+A95-1</f>
        <v>46465</v>
      </c>
      <c r="C95" s="18" t="n">
        <v>0.3125</v>
      </c>
      <c r="D95" s="18" t="n">
        <v>0.354166666666667</v>
      </c>
      <c r="E95" s="16" t="n">
        <f aca="false">ROUND((D95-C95)*1440,0)</f>
        <v>60</v>
      </c>
      <c r="F95" s="16" t="s">
        <v>78</v>
      </c>
      <c r="G95" s="16" t="s">
        <v>142</v>
      </c>
      <c r="H95" s="16"/>
      <c r="I95" s="16"/>
      <c r="J95" s="16" t="s">
        <v>78</v>
      </c>
      <c r="K95" s="19" t="s">
        <v>53</v>
      </c>
    </row>
    <row r="96" customFormat="false" ht="15" hidden="false" customHeight="false" outlineLevel="0" collapsed="false">
      <c r="A96" s="12" t="n">
        <v>7</v>
      </c>
      <c r="B96" s="13" t="n">
        <f aca="false">Overview!$B$3+A96-1</f>
        <v>46465</v>
      </c>
      <c r="C96" s="14" t="n">
        <v>0.354166666666667</v>
      </c>
      <c r="D96" s="14" t="n">
        <v>0.375</v>
      </c>
      <c r="E96" s="12" t="n">
        <f aca="false">ROUND((D96-C96)*1440,0)</f>
        <v>30</v>
      </c>
      <c r="F96" s="12" t="s">
        <v>58</v>
      </c>
      <c r="G96" s="12" t="s">
        <v>140</v>
      </c>
      <c r="H96" s="12"/>
      <c r="I96" s="12"/>
      <c r="J96" s="12" t="s">
        <v>193</v>
      </c>
      <c r="K96" s="15" t="s">
        <v>53</v>
      </c>
    </row>
    <row r="97" customFormat="false" ht="15" hidden="false" customHeight="false" outlineLevel="0" collapsed="false">
      <c r="A97" s="12" t="n">
        <v>7</v>
      </c>
      <c r="B97" s="13" t="n">
        <f aca="false">Overview!$B$3+A97-1</f>
        <v>46465</v>
      </c>
      <c r="C97" s="14" t="n">
        <v>0.375</v>
      </c>
      <c r="D97" s="14" t="n">
        <v>0.395833333333333</v>
      </c>
      <c r="E97" s="12" t="n">
        <f aca="false">ROUND((D97-C97)*1440,0)</f>
        <v>30</v>
      </c>
      <c r="F97" s="12" t="s">
        <v>54</v>
      </c>
      <c r="G97" s="12" t="s">
        <v>140</v>
      </c>
      <c r="H97" s="12" t="s">
        <v>194</v>
      </c>
      <c r="I97" s="12" t="n">
        <v>15</v>
      </c>
      <c r="J97" s="12" t="s">
        <v>195</v>
      </c>
      <c r="K97" s="15" t="s">
        <v>53</v>
      </c>
    </row>
    <row r="98" customFormat="false" ht="15" hidden="false" customHeight="false" outlineLevel="0" collapsed="false">
      <c r="A98" s="12" t="n">
        <v>7</v>
      </c>
      <c r="B98" s="13" t="n">
        <f aca="false">Overview!$B$3+A98-1</f>
        <v>46465</v>
      </c>
      <c r="C98" s="14" t="n">
        <v>0.395833333333333</v>
      </c>
      <c r="D98" s="14" t="n">
        <v>0.427083333333333</v>
      </c>
      <c r="E98" s="12" t="n">
        <f aca="false">ROUND((D98-C98)*1440,0)</f>
        <v>45</v>
      </c>
      <c r="F98" s="12" t="s">
        <v>71</v>
      </c>
      <c r="G98" s="12" t="s">
        <v>196</v>
      </c>
      <c r="H98" s="12"/>
      <c r="I98" s="12"/>
      <c r="J98" s="12" t="s">
        <v>197</v>
      </c>
      <c r="K98" s="15" t="s">
        <v>53</v>
      </c>
    </row>
    <row r="99" customFormat="false" ht="15" hidden="false" customHeight="false" outlineLevel="0" collapsed="false">
      <c r="A99" s="12" t="n">
        <v>7</v>
      </c>
      <c r="B99" s="13" t="n">
        <f aca="false">Overview!$B$3+A99-1</f>
        <v>46465</v>
      </c>
      <c r="C99" s="14" t="n">
        <v>0.427083333333333</v>
      </c>
      <c r="D99" s="14" t="n">
        <v>0.447916666666667</v>
      </c>
      <c r="E99" s="12" t="n">
        <f aca="false">ROUND((D99-C99)*1440,0)</f>
        <v>30</v>
      </c>
      <c r="F99" s="12" t="s">
        <v>54</v>
      </c>
      <c r="G99" s="12" t="s">
        <v>194</v>
      </c>
      <c r="H99" s="12" t="s">
        <v>198</v>
      </c>
      <c r="I99" s="12" t="n">
        <v>15</v>
      </c>
      <c r="J99" s="12" t="s">
        <v>199</v>
      </c>
      <c r="K99" s="15" t="s">
        <v>53</v>
      </c>
    </row>
    <row r="100" customFormat="false" ht="15" hidden="false" customHeight="false" outlineLevel="0" collapsed="false">
      <c r="A100" s="12" t="n">
        <v>7</v>
      </c>
      <c r="B100" s="13" t="n">
        <f aca="false">Overview!$B$3+A100-1</f>
        <v>46465</v>
      </c>
      <c r="C100" s="14" t="n">
        <v>0.447916666666667</v>
      </c>
      <c r="D100" s="14" t="n">
        <v>0.479166666666667</v>
      </c>
      <c r="E100" s="12" t="n">
        <f aca="false">ROUND((D100-C100)*1440,0)</f>
        <v>45</v>
      </c>
      <c r="F100" s="12" t="s">
        <v>171</v>
      </c>
      <c r="G100" s="12" t="s">
        <v>198</v>
      </c>
      <c r="H100" s="12"/>
      <c r="I100" s="12"/>
      <c r="J100" s="12" t="s">
        <v>200</v>
      </c>
      <c r="K100" s="15" t="s">
        <v>53</v>
      </c>
    </row>
    <row r="101" customFormat="false" ht="15" hidden="false" customHeight="false" outlineLevel="0" collapsed="false">
      <c r="A101" s="12" t="n">
        <v>7</v>
      </c>
      <c r="B101" s="13" t="n">
        <f aca="false">Overview!$B$3+A101-1</f>
        <v>46465</v>
      </c>
      <c r="C101" s="14" t="n">
        <v>0.479166666666667</v>
      </c>
      <c r="D101" s="14" t="n">
        <v>0.510416666666667</v>
      </c>
      <c r="E101" s="12" t="n">
        <f aca="false">ROUND((D101-C101)*1440,0)</f>
        <v>45</v>
      </c>
      <c r="F101" s="12" t="s">
        <v>54</v>
      </c>
      <c r="G101" s="12" t="s">
        <v>201</v>
      </c>
      <c r="H101" s="12" t="s">
        <v>202</v>
      </c>
      <c r="I101" s="12" t="n">
        <v>35</v>
      </c>
      <c r="J101" s="12" t="s">
        <v>203</v>
      </c>
      <c r="K101" s="15" t="s">
        <v>53</v>
      </c>
    </row>
    <row r="102" customFormat="false" ht="15" hidden="false" customHeight="false" outlineLevel="0" collapsed="false">
      <c r="A102" s="12" t="n">
        <v>7</v>
      </c>
      <c r="B102" s="13" t="n">
        <f aca="false">Overview!$B$3+A102-1</f>
        <v>46465</v>
      </c>
      <c r="C102" s="14" t="n">
        <v>0.510416666666667</v>
      </c>
      <c r="D102" s="14" t="n">
        <v>0.541666666666667</v>
      </c>
      <c r="E102" s="12" t="n">
        <f aca="false">ROUND((D102-C102)*1440,0)</f>
        <v>45</v>
      </c>
      <c r="F102" s="12" t="s">
        <v>171</v>
      </c>
      <c r="G102" s="12" t="s">
        <v>202</v>
      </c>
      <c r="H102" s="12"/>
      <c r="I102" s="12"/>
      <c r="J102" s="12" t="s">
        <v>204</v>
      </c>
      <c r="K102" s="15" t="s">
        <v>53</v>
      </c>
    </row>
    <row r="103" customFormat="false" ht="23.85" hidden="false" customHeight="false" outlineLevel="0" collapsed="false">
      <c r="A103" s="12" t="n">
        <v>7</v>
      </c>
      <c r="B103" s="13" t="n">
        <f aca="false">Overview!$B$3+A103-1</f>
        <v>46465</v>
      </c>
      <c r="C103" s="14" t="n">
        <v>0.541666666666667</v>
      </c>
      <c r="D103" s="14" t="n">
        <v>0.604166666666667</v>
      </c>
      <c r="E103" s="12" t="n">
        <f aca="false">ROUND((D103-C103)*1440,0)</f>
        <v>90</v>
      </c>
      <c r="F103" s="12" t="s">
        <v>54</v>
      </c>
      <c r="G103" s="12" t="s">
        <v>205</v>
      </c>
      <c r="H103" s="12" t="s">
        <v>206</v>
      </c>
      <c r="I103" s="12" t="n">
        <v>65</v>
      </c>
      <c r="J103" s="12" t="s">
        <v>207</v>
      </c>
      <c r="K103" s="15" t="s">
        <v>53</v>
      </c>
    </row>
    <row r="104" customFormat="false" ht="15" hidden="false" customHeight="false" outlineLevel="0" collapsed="false">
      <c r="A104" s="16" t="n">
        <v>7</v>
      </c>
      <c r="B104" s="17" t="n">
        <f aca="false">Overview!$B$3+A104-1</f>
        <v>46465</v>
      </c>
      <c r="C104" s="18" t="n">
        <v>0.604166666666667</v>
      </c>
      <c r="D104" s="18" t="n">
        <v>0.635416666666667</v>
      </c>
      <c r="E104" s="16" t="n">
        <f aca="false">ROUND((D104-C104)*1440,0)</f>
        <v>45</v>
      </c>
      <c r="F104" s="16" t="s">
        <v>60</v>
      </c>
      <c r="G104" s="16" t="s">
        <v>208</v>
      </c>
      <c r="H104" s="16"/>
      <c r="I104" s="16"/>
      <c r="J104" s="16" t="s">
        <v>209</v>
      </c>
      <c r="K104" s="19" t="s">
        <v>53</v>
      </c>
    </row>
    <row r="105" customFormat="false" ht="15" hidden="false" customHeight="false" outlineLevel="0" collapsed="false">
      <c r="A105" s="12" t="n">
        <v>7</v>
      </c>
      <c r="B105" s="13" t="n">
        <f aca="false">Overview!$B$3+A105-1</f>
        <v>46465</v>
      </c>
      <c r="C105" s="14" t="n">
        <v>0.635416666666667</v>
      </c>
      <c r="D105" s="14" t="n">
        <v>0.645833333333333</v>
      </c>
      <c r="E105" s="12" t="n">
        <f aca="false">ROUND((D105-C105)*1440,0)</f>
        <v>15</v>
      </c>
      <c r="F105" s="12" t="s">
        <v>54</v>
      </c>
      <c r="G105" s="12" t="s">
        <v>210</v>
      </c>
      <c r="H105" s="12" t="s">
        <v>211</v>
      </c>
      <c r="I105" s="12" t="n">
        <v>3</v>
      </c>
      <c r="J105" s="12" t="s">
        <v>212</v>
      </c>
      <c r="K105" s="15" t="s">
        <v>53</v>
      </c>
    </row>
    <row r="106" customFormat="false" ht="23.85" hidden="false" customHeight="false" outlineLevel="0" collapsed="false">
      <c r="A106" s="12" t="n">
        <v>7</v>
      </c>
      <c r="B106" s="13" t="n">
        <f aca="false">Overview!$B$3+A106-1</f>
        <v>46465</v>
      </c>
      <c r="C106" s="14" t="n">
        <v>0.645833333333333</v>
      </c>
      <c r="D106" s="14" t="n">
        <v>0.791666666666667</v>
      </c>
      <c r="E106" s="12" t="n">
        <f aca="false">ROUND((D106-C106)*1440,0)</f>
        <v>210</v>
      </c>
      <c r="F106" s="12" t="s">
        <v>71</v>
      </c>
      <c r="G106" s="12" t="s">
        <v>213</v>
      </c>
      <c r="H106" s="12"/>
      <c r="I106" s="12"/>
      <c r="J106" s="12" t="s">
        <v>214</v>
      </c>
      <c r="K106" s="15" t="s">
        <v>53</v>
      </c>
    </row>
    <row r="107" customFormat="false" ht="15" hidden="false" customHeight="false" outlineLevel="0" collapsed="false">
      <c r="A107" s="12" t="n">
        <v>7</v>
      </c>
      <c r="B107" s="13" t="n">
        <f aca="false">Overview!$B$3+A107-1</f>
        <v>46465</v>
      </c>
      <c r="C107" s="14" t="n">
        <v>0.791666666666667</v>
      </c>
      <c r="D107" s="14" t="n">
        <v>0.802083333333333</v>
      </c>
      <c r="E107" s="12" t="n">
        <f aca="false">ROUND((D107-C107)*1440,0)</f>
        <v>15</v>
      </c>
      <c r="F107" s="12" t="s">
        <v>54</v>
      </c>
      <c r="G107" s="12" t="s">
        <v>215</v>
      </c>
      <c r="H107" s="12" t="s">
        <v>140</v>
      </c>
      <c r="I107" s="12" t="n">
        <v>5</v>
      </c>
      <c r="J107" s="12" t="s">
        <v>74</v>
      </c>
      <c r="K107" s="15" t="s">
        <v>53</v>
      </c>
    </row>
    <row r="108" customFormat="false" ht="15" hidden="false" customHeight="false" outlineLevel="0" collapsed="false">
      <c r="A108" s="12" t="n">
        <v>7</v>
      </c>
      <c r="B108" s="13" t="n">
        <f aca="false">Overview!$B$3+A108-1</f>
        <v>46465</v>
      </c>
      <c r="C108" s="14" t="n">
        <v>0.802083333333333</v>
      </c>
      <c r="D108" s="14" t="n">
        <v>0.833333333333333</v>
      </c>
      <c r="E108" s="12" t="n">
        <f aca="false">ROUND((D108-C108)*1440,0)</f>
        <v>45</v>
      </c>
      <c r="F108" s="12" t="s">
        <v>75</v>
      </c>
      <c r="G108" s="12" t="s">
        <v>140</v>
      </c>
      <c r="H108" s="12"/>
      <c r="I108" s="12"/>
      <c r="J108" s="12" t="s">
        <v>216</v>
      </c>
      <c r="K108" s="15" t="s">
        <v>53</v>
      </c>
    </row>
    <row r="109" customFormat="false" ht="15" hidden="false" customHeight="false" outlineLevel="0" collapsed="false">
      <c r="A109" s="16" t="n">
        <v>7</v>
      </c>
      <c r="B109" s="17" t="n">
        <f aca="false">Overview!$B$3+A109-1</f>
        <v>46465</v>
      </c>
      <c r="C109" s="18" t="n">
        <v>0.833333333333333</v>
      </c>
      <c r="D109" s="18" t="n">
        <v>0.875</v>
      </c>
      <c r="E109" s="16" t="n">
        <f aca="false">ROUND((D109-C109)*1440,0)</f>
        <v>60</v>
      </c>
      <c r="F109" s="16" t="s">
        <v>77</v>
      </c>
      <c r="G109" s="16" t="s">
        <v>142</v>
      </c>
      <c r="H109" s="16"/>
      <c r="I109" s="16"/>
      <c r="J109" s="16" t="s">
        <v>77</v>
      </c>
      <c r="K109" s="19" t="s">
        <v>53</v>
      </c>
    </row>
    <row r="110" customFormat="false" ht="15" hidden="false" customHeight="false" outlineLevel="0" collapsed="false">
      <c r="A110" s="16" t="n">
        <v>8</v>
      </c>
      <c r="B110" s="17" t="n">
        <f aca="false">Overview!$B$3+A110-1</f>
        <v>46466</v>
      </c>
      <c r="C110" s="18" t="n">
        <v>0.3125</v>
      </c>
      <c r="D110" s="18" t="n">
        <v>0.354166666666667</v>
      </c>
      <c r="E110" s="16" t="n">
        <f aca="false">ROUND((D110-C110)*1440,0)</f>
        <v>60</v>
      </c>
      <c r="F110" s="16" t="s">
        <v>78</v>
      </c>
      <c r="G110" s="16" t="s">
        <v>142</v>
      </c>
      <c r="H110" s="16"/>
      <c r="I110" s="16"/>
      <c r="J110" s="16" t="s">
        <v>78</v>
      </c>
      <c r="K110" s="19" t="s">
        <v>53</v>
      </c>
    </row>
    <row r="111" customFormat="false" ht="15" hidden="false" customHeight="false" outlineLevel="0" collapsed="false">
      <c r="A111" s="12" t="n">
        <v>8</v>
      </c>
      <c r="B111" s="13" t="n">
        <f aca="false">Overview!$B$3+A111-1</f>
        <v>46466</v>
      </c>
      <c r="C111" s="14" t="n">
        <v>0.354166666666667</v>
      </c>
      <c r="D111" s="14" t="n">
        <v>0.375</v>
      </c>
      <c r="E111" s="12" t="n">
        <f aca="false">ROUND((D111-C111)*1440,0)</f>
        <v>30</v>
      </c>
      <c r="F111" s="12" t="s">
        <v>58</v>
      </c>
      <c r="G111" s="12" t="s">
        <v>140</v>
      </c>
      <c r="H111" s="12"/>
      <c r="I111" s="12"/>
      <c r="J111" s="12" t="s">
        <v>132</v>
      </c>
      <c r="K111" s="15" t="s">
        <v>53</v>
      </c>
    </row>
    <row r="112" customFormat="false" ht="15" hidden="false" customHeight="false" outlineLevel="0" collapsed="false">
      <c r="A112" s="12" t="n">
        <v>8</v>
      </c>
      <c r="B112" s="13" t="n">
        <f aca="false">Overview!$B$3+A112-1</f>
        <v>46466</v>
      </c>
      <c r="C112" s="14" t="n">
        <v>0.375</v>
      </c>
      <c r="D112" s="14" t="n">
        <v>0.385416666666667</v>
      </c>
      <c r="E112" s="12" t="n">
        <f aca="false">ROUND((D112-C112)*1440,0)</f>
        <v>15</v>
      </c>
      <c r="F112" s="12" t="s">
        <v>54</v>
      </c>
      <c r="G112" s="12" t="s">
        <v>140</v>
      </c>
      <c r="H112" s="12" t="s">
        <v>217</v>
      </c>
      <c r="I112" s="12" t="n">
        <v>3</v>
      </c>
      <c r="J112" s="12" t="s">
        <v>218</v>
      </c>
      <c r="K112" s="15" t="s">
        <v>53</v>
      </c>
    </row>
    <row r="113" customFormat="false" ht="15" hidden="false" customHeight="false" outlineLevel="0" collapsed="false">
      <c r="A113" s="12" t="n">
        <v>8</v>
      </c>
      <c r="B113" s="13" t="n">
        <f aca="false">Overview!$B$3+A113-1</f>
        <v>46466</v>
      </c>
      <c r="C113" s="14" t="n">
        <v>0.385416666666667</v>
      </c>
      <c r="D113" s="14" t="n">
        <v>0.458333333333333</v>
      </c>
      <c r="E113" s="12" t="n">
        <f aca="false">ROUND((D113-C113)*1440,0)</f>
        <v>105</v>
      </c>
      <c r="F113" s="12" t="s">
        <v>71</v>
      </c>
      <c r="G113" s="12" t="s">
        <v>217</v>
      </c>
      <c r="H113" s="12"/>
      <c r="I113" s="12"/>
      <c r="J113" s="12" t="s">
        <v>219</v>
      </c>
      <c r="K113" s="15" t="s">
        <v>53</v>
      </c>
    </row>
    <row r="114" customFormat="false" ht="15" hidden="false" customHeight="false" outlineLevel="0" collapsed="false">
      <c r="A114" s="12" t="n">
        <v>8</v>
      </c>
      <c r="B114" s="13" t="n">
        <f aca="false">Overview!$B$3+A114-1</f>
        <v>46466</v>
      </c>
      <c r="C114" s="14" t="n">
        <v>0.458333333333333</v>
      </c>
      <c r="D114" s="14" t="n">
        <v>0.46875</v>
      </c>
      <c r="E114" s="12" t="n">
        <f aca="false">ROUND((D114-C114)*1440,0)</f>
        <v>15</v>
      </c>
      <c r="F114" s="12" t="s">
        <v>54</v>
      </c>
      <c r="G114" s="12" t="s">
        <v>220</v>
      </c>
      <c r="H114" s="12" t="s">
        <v>221</v>
      </c>
      <c r="I114" s="12" t="n">
        <v>2</v>
      </c>
      <c r="J114" s="12" t="s">
        <v>218</v>
      </c>
      <c r="K114" s="15" t="s">
        <v>53</v>
      </c>
    </row>
    <row r="115" customFormat="false" ht="15" hidden="false" customHeight="false" outlineLevel="0" collapsed="false">
      <c r="A115" s="16" t="n">
        <v>8</v>
      </c>
      <c r="B115" s="17" t="n">
        <f aca="false">Overview!$B$3+A115-1</f>
        <v>46466</v>
      </c>
      <c r="C115" s="18" t="n">
        <v>0.46875</v>
      </c>
      <c r="D115" s="18" t="n">
        <v>0.5</v>
      </c>
      <c r="E115" s="16" t="n">
        <f aca="false">ROUND((D115-C115)*1440,0)</f>
        <v>45</v>
      </c>
      <c r="F115" s="16" t="s">
        <v>60</v>
      </c>
      <c r="G115" s="16" t="s">
        <v>222</v>
      </c>
      <c r="H115" s="16"/>
      <c r="I115" s="16"/>
      <c r="J115" s="16" t="s">
        <v>223</v>
      </c>
      <c r="K115" s="19" t="s">
        <v>53</v>
      </c>
    </row>
    <row r="116" customFormat="false" ht="15" hidden="false" customHeight="false" outlineLevel="0" collapsed="false">
      <c r="A116" s="12" t="n">
        <v>8</v>
      </c>
      <c r="B116" s="13" t="n">
        <f aca="false">Overview!$B$3+A116-1</f>
        <v>46466</v>
      </c>
      <c r="C116" s="14" t="n">
        <v>0.5</v>
      </c>
      <c r="D116" s="14" t="n">
        <v>0.53125</v>
      </c>
      <c r="E116" s="12" t="n">
        <f aca="false">ROUND((D116-C116)*1440,0)</f>
        <v>45</v>
      </c>
      <c r="F116" s="12" t="s">
        <v>54</v>
      </c>
      <c r="G116" s="12" t="s">
        <v>210</v>
      </c>
      <c r="H116" s="12" t="s">
        <v>137</v>
      </c>
      <c r="I116" s="12" t="n">
        <v>14</v>
      </c>
      <c r="J116" s="12" t="s">
        <v>224</v>
      </c>
      <c r="K116" s="15" t="s">
        <v>53</v>
      </c>
    </row>
    <row r="117" customFormat="false" ht="15" hidden="false" customHeight="false" outlineLevel="0" collapsed="false">
      <c r="A117" s="12" t="n">
        <v>8</v>
      </c>
      <c r="B117" s="13" t="n">
        <f aca="false">Overview!$B$3+A117-1</f>
        <v>46466</v>
      </c>
      <c r="C117" s="14" t="n">
        <v>0.53125</v>
      </c>
      <c r="D117" s="14" t="n">
        <v>0.552083333333333</v>
      </c>
      <c r="E117" s="12" t="n">
        <f aca="false">ROUND((D117-C117)*1440,0)</f>
        <v>30</v>
      </c>
      <c r="F117" s="12" t="s">
        <v>225</v>
      </c>
      <c r="G117" s="12" t="s">
        <v>137</v>
      </c>
      <c r="H117" s="12"/>
      <c r="I117" s="12"/>
      <c r="J117" s="12" t="s">
        <v>226</v>
      </c>
      <c r="K117" s="15" t="s">
        <v>53</v>
      </c>
    </row>
    <row r="119" customFormat="false" ht="15" hidden="false" customHeight="false" outlineLevel="0" collapsed="false">
      <c r="A119" s="5" t="s">
        <v>227</v>
      </c>
    </row>
  </sheetData>
  <autoFilter ref="A4:K117"/>
  <hyperlinks>
    <hyperlink ref="K5" r:id="rId1" display="Open map"/>
    <hyperlink ref="K6" r:id="rId2" display="Open map"/>
    <hyperlink ref="K7" r:id="rId3" display="Open map"/>
    <hyperlink ref="K8" r:id="rId4" display="Open map"/>
    <hyperlink ref="K9" r:id="rId5" display="Open map"/>
    <hyperlink ref="K10" r:id="rId6" display="Open map"/>
    <hyperlink ref="K11" r:id="rId7" display="Open map"/>
    <hyperlink ref="K12" r:id="rId8" display="Open map"/>
    <hyperlink ref="K13" r:id="rId9" display="Open map"/>
    <hyperlink ref="K14" r:id="rId10" display="Open map"/>
    <hyperlink ref="K15" r:id="rId11" display="Open map"/>
    <hyperlink ref="K16" r:id="rId12" display="Open map"/>
    <hyperlink ref="K17" r:id="rId13" display="Open map"/>
    <hyperlink ref="K18" r:id="rId14" display="Open map"/>
    <hyperlink ref="K19" r:id="rId15" display="Open map"/>
    <hyperlink ref="K20" r:id="rId16" display="Open map"/>
    <hyperlink ref="K21" r:id="rId17" display="Open map"/>
    <hyperlink ref="K22" r:id="rId18" display="Open map"/>
    <hyperlink ref="K23" r:id="rId19" display="Open map"/>
    <hyperlink ref="K24" r:id="rId20" display="Open map"/>
    <hyperlink ref="K25" r:id="rId21" display="Open map"/>
    <hyperlink ref="K26" r:id="rId22" display="Open map"/>
    <hyperlink ref="K27" r:id="rId23" display="Open map"/>
    <hyperlink ref="K28" r:id="rId24" display="Open map"/>
    <hyperlink ref="K29" r:id="rId25" display="Open map"/>
    <hyperlink ref="K30" r:id="rId26" display="Open map"/>
    <hyperlink ref="K31" r:id="rId27" display="Open map"/>
    <hyperlink ref="K32" r:id="rId28" display="Open map"/>
    <hyperlink ref="K33" r:id="rId29" display="Open map"/>
    <hyperlink ref="K34" r:id="rId30" display="Open map"/>
    <hyperlink ref="K35" r:id="rId31" display="Open map"/>
    <hyperlink ref="K36" r:id="rId32" display="Open map"/>
    <hyperlink ref="K37" r:id="rId33" display="Open map"/>
    <hyperlink ref="K38" r:id="rId34" display="Open map"/>
    <hyperlink ref="K39" r:id="rId35" display="Open map"/>
    <hyperlink ref="K40" r:id="rId36" display="Open map"/>
    <hyperlink ref="K41" r:id="rId37" display="Open map"/>
    <hyperlink ref="K42" r:id="rId38" display="Open map"/>
    <hyperlink ref="K43" r:id="rId39" display="Open map"/>
    <hyperlink ref="K44" r:id="rId40" display="Open map"/>
    <hyperlink ref="K45" r:id="rId41" display="Open map"/>
    <hyperlink ref="K46" r:id="rId42" display="Open map"/>
    <hyperlink ref="K47" r:id="rId43" display="Open map"/>
    <hyperlink ref="K48" r:id="rId44" display="Open map"/>
    <hyperlink ref="K49" r:id="rId45" display="Open map"/>
    <hyperlink ref="K50" r:id="rId46" display="Open map"/>
    <hyperlink ref="K51" r:id="rId47" display="Open map"/>
    <hyperlink ref="K52" r:id="rId48" display="Open map"/>
    <hyperlink ref="K53" r:id="rId49" display="Open map"/>
    <hyperlink ref="K54" r:id="rId50" display="Open map"/>
    <hyperlink ref="K55" r:id="rId51" display="Open map"/>
    <hyperlink ref="K56" r:id="rId52" display="Open map"/>
    <hyperlink ref="K57" r:id="rId53" display="Open map"/>
    <hyperlink ref="K58" r:id="rId54" display="Open map"/>
    <hyperlink ref="K59" r:id="rId55" display="Open map"/>
    <hyperlink ref="K60" r:id="rId56" display="Open map"/>
    <hyperlink ref="K61" r:id="rId57" display="Open map"/>
    <hyperlink ref="K62" r:id="rId58" display="Open map"/>
    <hyperlink ref="K63" r:id="rId59" display="Open map"/>
    <hyperlink ref="K64" r:id="rId60" display="Open map"/>
    <hyperlink ref="K65" r:id="rId61" display="Open map"/>
    <hyperlink ref="K66" r:id="rId62" display="Open map"/>
    <hyperlink ref="K67" r:id="rId63" display="Open map"/>
    <hyperlink ref="K68" r:id="rId64" display="Open map"/>
    <hyperlink ref="K69" r:id="rId65" display="Open map"/>
    <hyperlink ref="K70" r:id="rId66" display="Open map"/>
    <hyperlink ref="K71" r:id="rId67" display="Open map"/>
    <hyperlink ref="K72" r:id="rId68" display="Open map"/>
    <hyperlink ref="K73" r:id="rId69" display="Open map"/>
    <hyperlink ref="K74" r:id="rId70" display="Open map"/>
    <hyperlink ref="K75" r:id="rId71" display="Open map"/>
    <hyperlink ref="K76" r:id="rId72" display="Open map"/>
    <hyperlink ref="K77" r:id="rId73" display="Open map"/>
    <hyperlink ref="K78" r:id="rId74" display="Open map"/>
    <hyperlink ref="K79" r:id="rId75" display="Open map"/>
    <hyperlink ref="K80" r:id="rId76" display="Open map"/>
    <hyperlink ref="K81" r:id="rId77" display="Open map"/>
    <hyperlink ref="K82" r:id="rId78" display="Open map"/>
    <hyperlink ref="K83" r:id="rId79" display="Open map"/>
    <hyperlink ref="K84" r:id="rId80" display="Open map"/>
    <hyperlink ref="K85" r:id="rId81" display="Open map"/>
    <hyperlink ref="K86" r:id="rId82" display="Open map"/>
    <hyperlink ref="K87" r:id="rId83" display="Open map"/>
    <hyperlink ref="K88" r:id="rId84" display="Open map"/>
    <hyperlink ref="K89" r:id="rId85" display="Open map"/>
    <hyperlink ref="K90" r:id="rId86" display="Open map"/>
    <hyperlink ref="K91" r:id="rId87" display="Open map"/>
    <hyperlink ref="K92" r:id="rId88" display="Open map"/>
    <hyperlink ref="K93" r:id="rId89" display="Open map"/>
    <hyperlink ref="K94" r:id="rId90" display="Open map"/>
    <hyperlink ref="K95" r:id="rId91" display="Open map"/>
    <hyperlink ref="K96" r:id="rId92" display="Open map"/>
    <hyperlink ref="K97" r:id="rId93" display="Open map"/>
    <hyperlink ref="K98" r:id="rId94" display="Open map"/>
    <hyperlink ref="K99" r:id="rId95" display="Open map"/>
    <hyperlink ref="K100" r:id="rId96" display="Open map"/>
    <hyperlink ref="K101" r:id="rId97" display="Open map"/>
    <hyperlink ref="K102" r:id="rId98" display="Open map"/>
    <hyperlink ref="K103" r:id="rId99" display="Open map"/>
    <hyperlink ref="K104" r:id="rId100" display="Open map"/>
    <hyperlink ref="K105" r:id="rId101" display="Open map"/>
    <hyperlink ref="K106" r:id="rId102" display="Open map"/>
    <hyperlink ref="K107" r:id="rId103" display="Open map"/>
    <hyperlink ref="K108" r:id="rId104" display="Open map"/>
    <hyperlink ref="K109" r:id="rId105" display="Open map"/>
    <hyperlink ref="K110" r:id="rId106" display="Open map"/>
    <hyperlink ref="K111" r:id="rId107" display="Open map"/>
    <hyperlink ref="K112" r:id="rId108" display="Open map"/>
    <hyperlink ref="K113" r:id="rId109" display="Open map"/>
    <hyperlink ref="K114" r:id="rId110" display="Open map"/>
    <hyperlink ref="K115" r:id="rId111" display="Open map"/>
    <hyperlink ref="K116" r:id="rId112" display="Open map"/>
    <hyperlink ref="K117" r:id="rId113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6" min="5" style="0" width="30"/>
  </cols>
  <sheetData>
    <row r="1" customFormat="false" ht="17.35" hidden="false" customHeight="false" outlineLevel="0" collapsed="false">
      <c r="A1" s="1" t="s">
        <v>228</v>
      </c>
    </row>
    <row r="3" customFormat="false" ht="15" hidden="false" customHeight="false" outlineLevel="0" collapsed="false">
      <c r="A3" s="11" t="s">
        <v>5</v>
      </c>
      <c r="B3" s="11" t="s">
        <v>229</v>
      </c>
      <c r="C3" s="11" t="s">
        <v>230</v>
      </c>
      <c r="D3" s="11" t="s">
        <v>231</v>
      </c>
      <c r="E3" s="11" t="s">
        <v>232</v>
      </c>
      <c r="F3" s="11" t="s">
        <v>233</v>
      </c>
    </row>
    <row r="4" customFormat="false" ht="15" hidden="false" customHeight="false" outlineLevel="0" collapsed="false">
      <c r="A4" s="12" t="n">
        <v>1</v>
      </c>
      <c r="B4" s="12" t="s">
        <v>60</v>
      </c>
      <c r="C4" s="12" t="s">
        <v>234</v>
      </c>
      <c r="D4" s="12" t="s">
        <v>61</v>
      </c>
      <c r="E4" s="12" t="s">
        <v>61</v>
      </c>
      <c r="F4" s="12" t="s">
        <v>30</v>
      </c>
    </row>
    <row r="5" customFormat="false" ht="15" hidden="false" customHeight="false" outlineLevel="0" collapsed="false">
      <c r="A5" s="12" t="n">
        <v>1</v>
      </c>
      <c r="B5" s="12" t="s">
        <v>77</v>
      </c>
      <c r="C5" s="12" t="s">
        <v>235</v>
      </c>
      <c r="D5" s="12" t="s">
        <v>61</v>
      </c>
      <c r="E5" s="12" t="s">
        <v>61</v>
      </c>
      <c r="F5" s="12" t="s">
        <v>30</v>
      </c>
    </row>
    <row r="6" customFormat="false" ht="15" hidden="false" customHeight="false" outlineLevel="0" collapsed="false">
      <c r="A6" s="12" t="n">
        <v>2</v>
      </c>
      <c r="B6" s="12" t="s">
        <v>78</v>
      </c>
      <c r="C6" s="12" t="s">
        <v>236</v>
      </c>
      <c r="D6" s="12" t="s">
        <v>61</v>
      </c>
      <c r="E6" s="12" t="s">
        <v>61</v>
      </c>
      <c r="F6" s="12" t="s">
        <v>30</v>
      </c>
    </row>
    <row r="7" customFormat="false" ht="15" hidden="false" customHeight="false" outlineLevel="0" collapsed="false">
      <c r="A7" s="12" t="n">
        <v>2</v>
      </c>
      <c r="B7" s="12" t="s">
        <v>60</v>
      </c>
      <c r="C7" s="12" t="s">
        <v>237</v>
      </c>
      <c r="D7" s="12" t="s">
        <v>96</v>
      </c>
      <c r="E7" s="15" t="s">
        <v>96</v>
      </c>
      <c r="F7" s="12" t="s">
        <v>30</v>
      </c>
    </row>
    <row r="8" customFormat="false" ht="15" hidden="false" customHeight="false" outlineLevel="0" collapsed="false">
      <c r="A8" s="12" t="n">
        <v>2</v>
      </c>
      <c r="B8" s="12" t="s">
        <v>77</v>
      </c>
      <c r="C8" s="12" t="s">
        <v>238</v>
      </c>
      <c r="D8" s="12" t="s">
        <v>96</v>
      </c>
      <c r="E8" s="15" t="s">
        <v>96</v>
      </c>
      <c r="F8" s="12" t="s">
        <v>30</v>
      </c>
    </row>
    <row r="9" customFormat="false" ht="15" hidden="false" customHeight="false" outlineLevel="0" collapsed="false">
      <c r="A9" s="12" t="n">
        <v>3</v>
      </c>
      <c r="B9" s="12" t="s">
        <v>78</v>
      </c>
      <c r="C9" s="12" t="s">
        <v>236</v>
      </c>
      <c r="D9" s="12" t="s">
        <v>96</v>
      </c>
      <c r="E9" s="15" t="s">
        <v>96</v>
      </c>
      <c r="F9" s="12" t="s">
        <v>30</v>
      </c>
    </row>
    <row r="10" customFormat="false" ht="15" hidden="false" customHeight="false" outlineLevel="0" collapsed="false">
      <c r="A10" s="12" t="n">
        <v>3</v>
      </c>
      <c r="B10" s="12" t="s">
        <v>60</v>
      </c>
      <c r="C10" s="12" t="s">
        <v>239</v>
      </c>
      <c r="D10" s="12" t="s">
        <v>118</v>
      </c>
      <c r="E10" s="15" t="s">
        <v>240</v>
      </c>
      <c r="F10" s="15" t="s">
        <v>241</v>
      </c>
    </row>
    <row r="11" customFormat="false" ht="15" hidden="false" customHeight="false" outlineLevel="0" collapsed="false">
      <c r="A11" s="12" t="n">
        <v>3</v>
      </c>
      <c r="B11" s="12" t="s">
        <v>77</v>
      </c>
      <c r="C11" s="12" t="s">
        <v>242</v>
      </c>
      <c r="D11" s="12" t="s">
        <v>61</v>
      </c>
      <c r="E11" s="12" t="s">
        <v>61</v>
      </c>
      <c r="F11" s="12" t="s">
        <v>30</v>
      </c>
    </row>
    <row r="12" customFormat="false" ht="15" hidden="false" customHeight="false" outlineLevel="0" collapsed="false">
      <c r="A12" s="12" t="n">
        <v>4</v>
      </c>
      <c r="B12" s="12" t="s">
        <v>78</v>
      </c>
      <c r="C12" s="12" t="s">
        <v>236</v>
      </c>
      <c r="D12" s="12" t="s">
        <v>61</v>
      </c>
      <c r="E12" s="12" t="s">
        <v>61</v>
      </c>
      <c r="F12" s="12" t="s">
        <v>30</v>
      </c>
    </row>
    <row r="13" customFormat="false" ht="15" hidden="false" customHeight="false" outlineLevel="0" collapsed="false">
      <c r="A13" s="12" t="n">
        <v>4</v>
      </c>
      <c r="B13" s="12" t="s">
        <v>60</v>
      </c>
      <c r="C13" s="12" t="s">
        <v>243</v>
      </c>
      <c r="D13" s="12" t="s">
        <v>142</v>
      </c>
      <c r="E13" s="12" t="s">
        <v>142</v>
      </c>
      <c r="F13" s="12" t="s">
        <v>30</v>
      </c>
    </row>
    <row r="14" customFormat="false" ht="15" hidden="false" customHeight="false" outlineLevel="0" collapsed="false">
      <c r="A14" s="12" t="n">
        <v>4</v>
      </c>
      <c r="B14" s="12" t="s">
        <v>77</v>
      </c>
      <c r="C14" s="12" t="s">
        <v>242</v>
      </c>
      <c r="D14" s="12" t="s">
        <v>142</v>
      </c>
      <c r="E14" s="12" t="s">
        <v>142</v>
      </c>
      <c r="F14" s="12" t="s">
        <v>30</v>
      </c>
    </row>
    <row r="15" customFormat="false" ht="15" hidden="false" customHeight="false" outlineLevel="0" collapsed="false">
      <c r="A15" s="12" t="n">
        <v>5</v>
      </c>
      <c r="B15" s="12" t="s">
        <v>158</v>
      </c>
      <c r="C15" s="12" t="s">
        <v>236</v>
      </c>
      <c r="D15" s="12" t="s">
        <v>142</v>
      </c>
      <c r="E15" s="12" t="s">
        <v>142</v>
      </c>
      <c r="F15" s="12" t="s">
        <v>30</v>
      </c>
    </row>
    <row r="16" customFormat="false" ht="23.85" hidden="false" customHeight="false" outlineLevel="0" collapsed="false">
      <c r="A16" s="12" t="n">
        <v>5</v>
      </c>
      <c r="B16" s="12" t="s">
        <v>166</v>
      </c>
      <c r="C16" s="12" t="s">
        <v>244</v>
      </c>
      <c r="D16" s="12" t="s">
        <v>165</v>
      </c>
      <c r="E16" s="15" t="s">
        <v>245</v>
      </c>
      <c r="F16" s="15" t="s">
        <v>246</v>
      </c>
    </row>
    <row r="17" customFormat="false" ht="15" hidden="false" customHeight="false" outlineLevel="0" collapsed="false">
      <c r="A17" s="12" t="n">
        <v>5</v>
      </c>
      <c r="B17" s="12" t="s">
        <v>176</v>
      </c>
      <c r="C17" s="12" t="s">
        <v>242</v>
      </c>
      <c r="D17" s="12" t="s">
        <v>142</v>
      </c>
      <c r="E17" s="12" t="s">
        <v>142</v>
      </c>
      <c r="F17" s="12" t="s">
        <v>30</v>
      </c>
    </row>
    <row r="18" customFormat="false" ht="23.85" hidden="false" customHeight="false" outlineLevel="0" collapsed="false">
      <c r="A18" s="12" t="n">
        <v>6</v>
      </c>
      <c r="B18" s="12" t="s">
        <v>177</v>
      </c>
      <c r="C18" s="12" t="s">
        <v>236</v>
      </c>
      <c r="D18" s="12" t="s">
        <v>142</v>
      </c>
      <c r="E18" s="12" t="s">
        <v>142</v>
      </c>
      <c r="F18" s="12" t="s">
        <v>30</v>
      </c>
    </row>
    <row r="19" customFormat="false" ht="15" hidden="false" customHeight="false" outlineLevel="0" collapsed="false">
      <c r="A19" s="12" t="n">
        <v>6</v>
      </c>
      <c r="B19" s="12" t="s">
        <v>60</v>
      </c>
      <c r="C19" s="12" t="s">
        <v>247</v>
      </c>
      <c r="D19" s="12" t="s">
        <v>185</v>
      </c>
      <c r="E19" s="15" t="s">
        <v>248</v>
      </c>
      <c r="F19" s="15" t="s">
        <v>249</v>
      </c>
    </row>
    <row r="20" customFormat="false" ht="15" hidden="false" customHeight="false" outlineLevel="0" collapsed="false">
      <c r="A20" s="12" t="n">
        <v>6</v>
      </c>
      <c r="B20" s="12" t="s">
        <v>77</v>
      </c>
      <c r="C20" s="12" t="s">
        <v>242</v>
      </c>
      <c r="D20" s="12" t="s">
        <v>142</v>
      </c>
      <c r="E20" s="12" t="s">
        <v>142</v>
      </c>
      <c r="F20" s="12" t="s">
        <v>30</v>
      </c>
    </row>
    <row r="21" customFormat="false" ht="15" hidden="false" customHeight="false" outlineLevel="0" collapsed="false">
      <c r="A21" s="12" t="n">
        <v>7</v>
      </c>
      <c r="B21" s="12" t="s">
        <v>78</v>
      </c>
      <c r="C21" s="12" t="s">
        <v>236</v>
      </c>
      <c r="D21" s="12" t="s">
        <v>142</v>
      </c>
      <c r="E21" s="12" t="s">
        <v>142</v>
      </c>
      <c r="F21" s="12" t="s">
        <v>30</v>
      </c>
    </row>
    <row r="22" customFormat="false" ht="15" hidden="false" customHeight="false" outlineLevel="0" collapsed="false">
      <c r="A22" s="12" t="n">
        <v>7</v>
      </c>
      <c r="B22" s="12" t="s">
        <v>60</v>
      </c>
      <c r="C22" s="12" t="s">
        <v>250</v>
      </c>
      <c r="D22" s="12" t="s">
        <v>208</v>
      </c>
      <c r="E22" s="15" t="s">
        <v>251</v>
      </c>
      <c r="F22" s="15" t="s">
        <v>252</v>
      </c>
    </row>
    <row r="23" customFormat="false" ht="15" hidden="false" customHeight="false" outlineLevel="0" collapsed="false">
      <c r="A23" s="12" t="n">
        <v>7</v>
      </c>
      <c r="B23" s="12" t="s">
        <v>77</v>
      </c>
      <c r="C23" s="12" t="s">
        <v>242</v>
      </c>
      <c r="D23" s="12" t="s">
        <v>142</v>
      </c>
      <c r="E23" s="12" t="s">
        <v>142</v>
      </c>
      <c r="F23" s="12" t="s">
        <v>30</v>
      </c>
    </row>
    <row r="24" customFormat="false" ht="15" hidden="false" customHeight="false" outlineLevel="0" collapsed="false">
      <c r="A24" s="12" t="n">
        <v>8</v>
      </c>
      <c r="B24" s="12" t="s">
        <v>78</v>
      </c>
      <c r="C24" s="12" t="s">
        <v>236</v>
      </c>
      <c r="D24" s="12" t="s">
        <v>142</v>
      </c>
      <c r="E24" s="12" t="s">
        <v>142</v>
      </c>
      <c r="F24" s="12" t="s">
        <v>30</v>
      </c>
    </row>
    <row r="25" customFormat="false" ht="15" hidden="false" customHeight="false" outlineLevel="0" collapsed="false">
      <c r="A25" s="12" t="n">
        <v>8</v>
      </c>
      <c r="B25" s="12" t="s">
        <v>60</v>
      </c>
      <c r="C25" s="12" t="s">
        <v>253</v>
      </c>
      <c r="D25" s="12" t="s">
        <v>222</v>
      </c>
      <c r="E25" s="15" t="s">
        <v>254</v>
      </c>
      <c r="F25" s="15" t="s">
        <v>251</v>
      </c>
    </row>
    <row r="27" customFormat="false" ht="15" hidden="false" customHeight="false" outlineLevel="0" collapsed="false">
      <c r="A27" s="5" t="s">
        <v>255</v>
      </c>
    </row>
  </sheetData>
  <hyperlinks>
    <hyperlink ref="E7" r:id="rId1" display="Restaurant, Bhawan"/>
    <hyperlink ref="E8" r:id="rId2" display="Restaurant, Bhawan"/>
    <hyperlink ref="E9" r:id="rId3" display="Restaurant, Bhawan"/>
    <hyperlink ref="E10" r:id="rId4" display="Pooja Vaishno Dhaba"/>
    <hyperlink ref="F10" r:id="rId5" display="Madhuban Saattvik Restaurant"/>
    <hyperlink ref="E16" r:id="rId6" display="Bakshi Restaurant"/>
    <hyperlink ref="F16" r:id="rId7" display="Pandit Brothers Vegetarian Dhaba"/>
    <hyperlink ref="E19" r:id="rId8" display="Dogra Vaishno Bhojnalaya"/>
    <hyperlink ref="F19" r:id="rId9" display="Hotel Sonamarg Palace"/>
    <hyperlink ref="E22" r:id="rId10" display="Krishna Vaishno Dhaba"/>
    <hyperlink ref="F22" r:id="rId11" display="Vishal Dhaba"/>
    <hyperlink ref="E25" r:id="rId12" display="Niramish"/>
    <hyperlink ref="F25" r:id="rId13" display="Krishna Vaishno Dhab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1" t="s">
        <v>256</v>
      </c>
      <c r="B1" s="11" t="s">
        <v>257</v>
      </c>
      <c r="C1" s="11" t="s">
        <v>258</v>
      </c>
    </row>
    <row r="2" customFormat="false" ht="23.85" hidden="false" customHeight="false" outlineLevel="0" collapsed="false">
      <c r="A2" s="12" t="s">
        <v>259</v>
      </c>
      <c r="B2" s="12" t="s">
        <v>260</v>
      </c>
      <c r="C2" s="12" t="s">
        <v>261</v>
      </c>
    </row>
    <row r="3" customFormat="false" ht="15" hidden="false" customHeight="false" outlineLevel="0" collapsed="false">
      <c r="A3" s="12" t="s">
        <v>262</v>
      </c>
      <c r="B3" s="12" t="s">
        <v>263</v>
      </c>
      <c r="C3" s="12" t="s">
        <v>264</v>
      </c>
    </row>
    <row r="4" customFormat="false" ht="23.85" hidden="false" customHeight="false" outlineLevel="0" collapsed="false">
      <c r="A4" s="12" t="s">
        <v>265</v>
      </c>
      <c r="B4" s="12" t="s">
        <v>266</v>
      </c>
      <c r="C4" s="12" t="s">
        <v>267</v>
      </c>
    </row>
    <row r="5" customFormat="false" ht="23.85" hidden="false" customHeight="false" outlineLevel="0" collapsed="false">
      <c r="A5" s="12" t="s">
        <v>268</v>
      </c>
      <c r="B5" s="12" t="s">
        <v>269</v>
      </c>
      <c r="C5" s="12" t="s">
        <v>270</v>
      </c>
    </row>
    <row r="6" customFormat="false" ht="15" hidden="false" customHeight="false" outlineLevel="0" collapsed="false">
      <c r="A6" s="12" t="s">
        <v>271</v>
      </c>
      <c r="B6" s="12" t="s">
        <v>272</v>
      </c>
      <c r="C6" s="12" t="s">
        <v>273</v>
      </c>
    </row>
    <row r="7" customFormat="false" ht="23.85" hidden="false" customHeight="false" outlineLevel="0" collapsed="false">
      <c r="A7" s="12" t="s">
        <v>274</v>
      </c>
      <c r="B7" s="12" t="s">
        <v>275</v>
      </c>
      <c r="C7" s="12" t="s">
        <v>276</v>
      </c>
    </row>
    <row r="8" customFormat="false" ht="15" hidden="false" customHeight="false" outlineLevel="0" collapsed="false">
      <c r="A8" s="12" t="s">
        <v>277</v>
      </c>
      <c r="B8" s="12" t="s">
        <v>278</v>
      </c>
      <c r="C8" s="12" t="s">
        <v>279</v>
      </c>
    </row>
    <row r="9" customFormat="false" ht="23.85" hidden="false" customHeight="false" outlineLevel="0" collapsed="false">
      <c r="A9" s="12" t="s">
        <v>280</v>
      </c>
      <c r="B9" s="12" t="s">
        <v>281</v>
      </c>
      <c r="C9" s="12" t="s">
        <v>282</v>
      </c>
    </row>
    <row r="10" customFormat="false" ht="23.85" hidden="false" customHeight="false" outlineLevel="0" collapsed="false">
      <c r="A10" s="12" t="s">
        <v>283</v>
      </c>
      <c r="B10" s="12" t="s">
        <v>284</v>
      </c>
      <c r="C10" s="12" t="s">
        <v>285</v>
      </c>
    </row>
    <row r="11" customFormat="false" ht="15" hidden="false" customHeight="false" outlineLevel="0" collapsed="false">
      <c r="A11" s="12" t="s">
        <v>286</v>
      </c>
      <c r="B11" s="12" t="s">
        <v>287</v>
      </c>
      <c r="C11" s="12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1" t="s">
        <v>289</v>
      </c>
      <c r="B1" s="11" t="s">
        <v>290</v>
      </c>
      <c r="C1" s="11" t="s">
        <v>291</v>
      </c>
      <c r="D1" s="11" t="s">
        <v>292</v>
      </c>
    </row>
    <row r="2" customFormat="false" ht="23.85" hidden="false" customHeight="false" outlineLevel="0" collapsed="false">
      <c r="A2" s="12" t="s">
        <v>293</v>
      </c>
      <c r="B2" s="12" t="s">
        <v>294</v>
      </c>
      <c r="C2" s="12" t="s">
        <v>295</v>
      </c>
      <c r="D2" s="12" t="s">
        <v>296</v>
      </c>
    </row>
    <row r="3" customFormat="false" ht="23.85" hidden="false" customHeight="false" outlineLevel="0" collapsed="false">
      <c r="A3" s="12" t="s">
        <v>297</v>
      </c>
      <c r="B3" s="12" t="s">
        <v>298</v>
      </c>
      <c r="C3" s="12" t="s">
        <v>299</v>
      </c>
      <c r="D3" s="12" t="s">
        <v>300</v>
      </c>
    </row>
    <row r="4" customFormat="false" ht="23.85" hidden="false" customHeight="false" outlineLevel="0" collapsed="false">
      <c r="A4" s="12" t="s">
        <v>301</v>
      </c>
      <c r="B4" s="12" t="s">
        <v>302</v>
      </c>
      <c r="C4" s="12" t="s">
        <v>303</v>
      </c>
      <c r="D4" s="12" t="s">
        <v>304</v>
      </c>
    </row>
    <row r="5" customFormat="false" ht="23.85" hidden="false" customHeight="false" outlineLevel="0" collapsed="false">
      <c r="A5" s="12" t="s">
        <v>305</v>
      </c>
      <c r="B5" s="12" t="s">
        <v>306</v>
      </c>
      <c r="C5" s="12" t="s">
        <v>307</v>
      </c>
      <c r="D5" s="12" t="s">
        <v>308</v>
      </c>
    </row>
    <row r="6" customFormat="false" ht="23.85" hidden="false" customHeight="false" outlineLevel="0" collapsed="false">
      <c r="A6" s="12" t="s">
        <v>309</v>
      </c>
      <c r="B6" s="12" t="s">
        <v>310</v>
      </c>
      <c r="C6" s="12" t="s">
        <v>311</v>
      </c>
      <c r="D6" s="12" t="s">
        <v>312</v>
      </c>
    </row>
    <row r="7" customFormat="false" ht="23.85" hidden="false" customHeight="false" outlineLevel="0" collapsed="false">
      <c r="A7" s="12" t="s">
        <v>313</v>
      </c>
      <c r="B7" s="12" t="s">
        <v>314</v>
      </c>
      <c r="C7" s="12" t="s">
        <v>315</v>
      </c>
      <c r="D7" s="12" t="s">
        <v>316</v>
      </c>
    </row>
    <row r="8" customFormat="false" ht="23.85" hidden="false" customHeight="false" outlineLevel="0" collapsed="false">
      <c r="A8" s="12" t="s">
        <v>317</v>
      </c>
      <c r="B8" s="12" t="s">
        <v>318</v>
      </c>
      <c r="C8" s="12" t="s">
        <v>319</v>
      </c>
      <c r="D8" s="12" t="s">
        <v>320</v>
      </c>
    </row>
    <row r="9" customFormat="false" ht="23.85" hidden="false" customHeight="false" outlineLevel="0" collapsed="false">
      <c r="A9" s="12" t="s">
        <v>321</v>
      </c>
      <c r="B9" s="12" t="s">
        <v>322</v>
      </c>
      <c r="C9" s="12" t="s">
        <v>323</v>
      </c>
      <c r="D9" s="12" t="s">
        <v>324</v>
      </c>
    </row>
    <row r="10" customFormat="false" ht="23.85" hidden="false" customHeight="false" outlineLevel="0" collapsed="false">
      <c r="A10" s="12" t="s">
        <v>325</v>
      </c>
      <c r="B10" s="12" t="s">
        <v>326</v>
      </c>
      <c r="C10" s="12" t="s">
        <v>327</v>
      </c>
      <c r="D10" s="12" t="s">
        <v>328</v>
      </c>
    </row>
    <row r="11" customFormat="false" ht="23.85" hidden="false" customHeight="false" outlineLevel="0" collapsed="false">
      <c r="A11" s="12" t="s">
        <v>329</v>
      </c>
      <c r="B11" s="12" t="s">
        <v>330</v>
      </c>
      <c r="C11" s="12" t="s">
        <v>331</v>
      </c>
      <c r="D11" s="12" t="s">
        <v>332</v>
      </c>
    </row>
    <row r="12" customFormat="false" ht="23.85" hidden="false" customHeight="false" outlineLevel="0" collapsed="false">
      <c r="A12" s="12" t="s">
        <v>333</v>
      </c>
      <c r="B12" s="12" t="s">
        <v>334</v>
      </c>
      <c r="C12" s="12" t="s">
        <v>335</v>
      </c>
      <c r="D12" s="12" t="s">
        <v>336</v>
      </c>
    </row>
    <row r="13" customFormat="false" ht="15" hidden="false" customHeight="false" outlineLevel="0" collapsed="false">
      <c r="A13" s="12" t="s">
        <v>337</v>
      </c>
      <c r="B13" s="12" t="s">
        <v>338</v>
      </c>
      <c r="C13" s="12" t="s">
        <v>339</v>
      </c>
      <c r="D13" s="12" t="s">
        <v>340</v>
      </c>
    </row>
    <row r="14" customFormat="false" ht="23.85" hidden="false" customHeight="false" outlineLevel="0" collapsed="false">
      <c r="A14" s="12" t="s">
        <v>341</v>
      </c>
      <c r="B14" s="12" t="s">
        <v>342</v>
      </c>
      <c r="C14" s="12" t="s">
        <v>343</v>
      </c>
      <c r="D14" s="12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5" t="s">
        <v>345</v>
      </c>
    </row>
    <row r="3" customFormat="false" ht="15" hidden="false" customHeight="false" outlineLevel="0" collapsed="false">
      <c r="A3" s="11" t="s">
        <v>346</v>
      </c>
      <c r="B3" s="11" t="s">
        <v>347</v>
      </c>
    </row>
    <row r="4" customFormat="false" ht="15" hidden="false" customHeight="false" outlineLevel="0" collapsed="false">
      <c r="A4" s="12" t="s">
        <v>348</v>
      </c>
      <c r="B4" s="12" t="s">
        <v>349</v>
      </c>
    </row>
    <row r="5" customFormat="false" ht="15" hidden="false" customHeight="false" outlineLevel="0" collapsed="false">
      <c r="A5" s="12" t="s">
        <v>348</v>
      </c>
      <c r="B5" s="12" t="s">
        <v>350</v>
      </c>
    </row>
    <row r="6" customFormat="false" ht="15" hidden="false" customHeight="false" outlineLevel="0" collapsed="false">
      <c r="A6" s="12" t="s">
        <v>348</v>
      </c>
      <c r="B6" s="12" t="s">
        <v>351</v>
      </c>
    </row>
    <row r="7" customFormat="false" ht="15" hidden="false" customHeight="false" outlineLevel="0" collapsed="false">
      <c r="A7" s="12" t="s">
        <v>348</v>
      </c>
      <c r="B7" s="12" t="s">
        <v>352</v>
      </c>
    </row>
    <row r="8" customFormat="false" ht="15" hidden="false" customHeight="false" outlineLevel="0" collapsed="false">
      <c r="A8" s="12" t="s">
        <v>348</v>
      </c>
      <c r="B8" s="12" t="s">
        <v>353</v>
      </c>
    </row>
    <row r="9" customFormat="false" ht="15" hidden="false" customHeight="false" outlineLevel="0" collapsed="false">
      <c r="A9" s="12" t="s">
        <v>348</v>
      </c>
      <c r="B9" s="12" t="s">
        <v>354</v>
      </c>
    </row>
    <row r="10" customFormat="false" ht="15" hidden="false" customHeight="false" outlineLevel="0" collapsed="false">
      <c r="A10" s="12" t="s">
        <v>348</v>
      </c>
      <c r="B10" s="12" t="s">
        <v>355</v>
      </c>
    </row>
    <row r="11" customFormat="false" ht="15" hidden="false" customHeight="false" outlineLevel="0" collapsed="false">
      <c r="A11" s="12" t="s">
        <v>348</v>
      </c>
      <c r="B11" s="12" t="s">
        <v>356</v>
      </c>
    </row>
    <row r="12" customFormat="false" ht="15" hidden="false" customHeight="false" outlineLevel="0" collapsed="false">
      <c r="A12" s="12" t="s">
        <v>348</v>
      </c>
      <c r="B12" s="12" t="s">
        <v>357</v>
      </c>
    </row>
    <row r="13" customFormat="false" ht="15" hidden="false" customHeight="false" outlineLevel="0" collapsed="false">
      <c r="A13" s="12" t="s">
        <v>358</v>
      </c>
      <c r="B13" s="12" t="s">
        <v>359</v>
      </c>
    </row>
    <row r="14" customFormat="false" ht="15" hidden="false" customHeight="false" outlineLevel="0" collapsed="false">
      <c r="A14" s="12" t="s">
        <v>358</v>
      </c>
      <c r="B14" s="12" t="s">
        <v>360</v>
      </c>
    </row>
    <row r="15" customFormat="false" ht="15" hidden="false" customHeight="false" outlineLevel="0" collapsed="false">
      <c r="A15" s="12" t="s">
        <v>358</v>
      </c>
      <c r="B15" s="12" t="s">
        <v>361</v>
      </c>
    </row>
    <row r="16" customFormat="false" ht="15" hidden="false" customHeight="false" outlineLevel="0" collapsed="false">
      <c r="A16" s="12" t="s">
        <v>358</v>
      </c>
      <c r="B16" s="12" t="s">
        <v>362</v>
      </c>
    </row>
    <row r="17" customFormat="false" ht="15" hidden="false" customHeight="false" outlineLevel="0" collapsed="false">
      <c r="A17" s="12" t="s">
        <v>358</v>
      </c>
      <c r="B17" s="12" t="s">
        <v>363</v>
      </c>
    </row>
    <row r="18" customFormat="false" ht="15" hidden="false" customHeight="false" outlineLevel="0" collapsed="false">
      <c r="A18" s="12" t="s">
        <v>358</v>
      </c>
      <c r="B18" s="12" t="s">
        <v>364</v>
      </c>
    </row>
    <row r="19" customFormat="false" ht="15" hidden="false" customHeight="false" outlineLevel="0" collapsed="false">
      <c r="A19" s="12" t="s">
        <v>358</v>
      </c>
      <c r="B19" s="12" t="s">
        <v>365</v>
      </c>
    </row>
    <row r="20" customFormat="false" ht="15" hidden="false" customHeight="false" outlineLevel="0" collapsed="false">
      <c r="A20" s="12" t="s">
        <v>366</v>
      </c>
      <c r="B20" s="12" t="s">
        <v>367</v>
      </c>
    </row>
    <row r="21" customFormat="false" ht="15" hidden="false" customHeight="false" outlineLevel="0" collapsed="false">
      <c r="A21" s="12" t="s">
        <v>366</v>
      </c>
      <c r="B21" s="12" t="s">
        <v>368</v>
      </c>
    </row>
    <row r="22" customFormat="false" ht="15" hidden="false" customHeight="false" outlineLevel="0" collapsed="false">
      <c r="A22" s="12" t="s">
        <v>366</v>
      </c>
      <c r="B22" s="12" t="s">
        <v>369</v>
      </c>
    </row>
    <row r="23" customFormat="false" ht="15" hidden="false" customHeight="false" outlineLevel="0" collapsed="false">
      <c r="A23" s="12" t="s">
        <v>366</v>
      </c>
      <c r="B23" s="12" t="s">
        <v>370</v>
      </c>
    </row>
    <row r="24" customFormat="false" ht="15" hidden="false" customHeight="false" outlineLevel="0" collapsed="false">
      <c r="A24" s="12" t="s">
        <v>366</v>
      </c>
      <c r="B24" s="12" t="s">
        <v>371</v>
      </c>
    </row>
    <row r="25" customFormat="false" ht="15" hidden="false" customHeight="false" outlineLevel="0" collapsed="false">
      <c r="A25" s="12" t="s">
        <v>372</v>
      </c>
      <c r="B25" s="12" t="s">
        <v>373</v>
      </c>
    </row>
    <row r="26" customFormat="false" ht="15" hidden="false" customHeight="false" outlineLevel="0" collapsed="false">
      <c r="A26" s="12" t="s">
        <v>372</v>
      </c>
      <c r="B26" s="12" t="s">
        <v>374</v>
      </c>
    </row>
    <row r="27" customFormat="false" ht="15" hidden="false" customHeight="false" outlineLevel="0" collapsed="false">
      <c r="A27" s="12" t="s">
        <v>372</v>
      </c>
      <c r="B27" s="12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376</v>
      </c>
    </row>
    <row r="3" customFormat="false" ht="15" hidden="false" customHeight="false" outlineLevel="0" collapsed="false">
      <c r="A3" s="11" t="s">
        <v>377</v>
      </c>
      <c r="B3" s="11" t="s">
        <v>378</v>
      </c>
      <c r="C3" s="11" t="s">
        <v>379</v>
      </c>
      <c r="D3" s="11" t="s">
        <v>380</v>
      </c>
      <c r="E3" s="11" t="s">
        <v>381</v>
      </c>
    </row>
    <row r="4" customFormat="false" ht="15" hidden="false" customHeight="false" outlineLevel="0" collapsed="false">
      <c r="A4" s="12" t="s">
        <v>382</v>
      </c>
      <c r="B4" s="12" t="s">
        <v>383</v>
      </c>
      <c r="C4" s="12" t="s">
        <v>384</v>
      </c>
      <c r="D4" s="12" t="s">
        <v>385</v>
      </c>
      <c r="E4" s="28"/>
    </row>
    <row r="5" customFormat="false" ht="35.05" hidden="false" customHeight="false" outlineLevel="0" collapsed="false">
      <c r="A5" s="12" t="s">
        <v>386</v>
      </c>
      <c r="B5" s="12" t="s">
        <v>387</v>
      </c>
      <c r="C5" s="12" t="s">
        <v>384</v>
      </c>
      <c r="D5" s="12" t="s">
        <v>388</v>
      </c>
      <c r="E5" s="28"/>
    </row>
    <row r="6" customFormat="false" ht="35.05" hidden="false" customHeight="false" outlineLevel="0" collapsed="false">
      <c r="A6" s="12" t="s">
        <v>389</v>
      </c>
      <c r="B6" s="12" t="s">
        <v>390</v>
      </c>
      <c r="C6" s="12" t="s">
        <v>384</v>
      </c>
      <c r="D6" s="12" t="s">
        <v>391</v>
      </c>
      <c r="E6" s="28"/>
    </row>
    <row r="7" customFormat="false" ht="23.85" hidden="false" customHeight="false" outlineLevel="0" collapsed="false">
      <c r="A7" s="12" t="s">
        <v>392</v>
      </c>
      <c r="B7" s="12" t="s">
        <v>393</v>
      </c>
      <c r="C7" s="12" t="s">
        <v>394</v>
      </c>
      <c r="D7" s="12" t="s">
        <v>395</v>
      </c>
      <c r="E7" s="28"/>
    </row>
    <row r="8" customFormat="false" ht="23.85" hidden="false" customHeight="false" outlineLevel="0" collapsed="false">
      <c r="A8" s="12" t="s">
        <v>396</v>
      </c>
      <c r="B8" s="12" t="s">
        <v>397</v>
      </c>
      <c r="C8" s="12" t="s">
        <v>384</v>
      </c>
      <c r="D8" s="12" t="s">
        <v>398</v>
      </c>
      <c r="E8" s="28"/>
    </row>
    <row r="9" customFormat="false" ht="23.85" hidden="false" customHeight="false" outlineLevel="0" collapsed="false">
      <c r="A9" s="12" t="s">
        <v>396</v>
      </c>
      <c r="B9" s="12" t="s">
        <v>399</v>
      </c>
      <c r="C9" s="12" t="s">
        <v>384</v>
      </c>
      <c r="D9" s="12" t="s">
        <v>400</v>
      </c>
      <c r="E9" s="28"/>
    </row>
    <row r="10" customFormat="false" ht="23.85" hidden="false" customHeight="false" outlineLevel="0" collapsed="false">
      <c r="A10" s="12" t="s">
        <v>401</v>
      </c>
      <c r="B10" s="12" t="s">
        <v>402</v>
      </c>
      <c r="C10" s="12" t="s">
        <v>403</v>
      </c>
      <c r="D10" s="12" t="s">
        <v>404</v>
      </c>
      <c r="E10" s="28"/>
    </row>
    <row r="11" customFormat="false" ht="23.85" hidden="false" customHeight="false" outlineLevel="0" collapsed="false">
      <c r="A11" s="12" t="s">
        <v>401</v>
      </c>
      <c r="B11" s="12" t="s">
        <v>405</v>
      </c>
      <c r="C11" s="12" t="s">
        <v>403</v>
      </c>
      <c r="D11" s="12" t="s">
        <v>406</v>
      </c>
      <c r="E11" s="28"/>
    </row>
    <row r="12" customFormat="false" ht="23.85" hidden="false" customHeight="false" outlineLevel="0" collapsed="false">
      <c r="A12" s="12" t="s">
        <v>407</v>
      </c>
      <c r="B12" s="12" t="s">
        <v>408</v>
      </c>
      <c r="C12" s="12" t="s">
        <v>403</v>
      </c>
      <c r="D12" s="12" t="s">
        <v>409</v>
      </c>
      <c r="E12" s="28"/>
    </row>
    <row r="13" customFormat="false" ht="23.85" hidden="false" customHeight="false" outlineLevel="0" collapsed="false">
      <c r="A13" s="12" t="s">
        <v>407</v>
      </c>
      <c r="B13" s="12" t="s">
        <v>410</v>
      </c>
      <c r="C13" s="12" t="s">
        <v>411</v>
      </c>
      <c r="D13" s="12" t="s">
        <v>412</v>
      </c>
      <c r="E13" s="28"/>
    </row>
    <row r="14" customFormat="false" ht="35.05" hidden="false" customHeight="false" outlineLevel="0" collapsed="false">
      <c r="A14" s="12" t="s">
        <v>413</v>
      </c>
      <c r="B14" s="12" t="s">
        <v>414</v>
      </c>
      <c r="C14" s="12" t="s">
        <v>415</v>
      </c>
      <c r="D14" s="12" t="s">
        <v>416</v>
      </c>
      <c r="E14" s="28"/>
    </row>
    <row r="15" customFormat="false" ht="15" hidden="false" customHeight="false" outlineLevel="0" collapsed="false">
      <c r="A15" s="12" t="s">
        <v>413</v>
      </c>
      <c r="B15" s="12" t="s">
        <v>417</v>
      </c>
      <c r="C15" s="12" t="s">
        <v>403</v>
      </c>
      <c r="D15" s="12" t="s">
        <v>418</v>
      </c>
      <c r="E15" s="28"/>
    </row>
    <row r="16" customFormat="false" ht="15" hidden="false" customHeight="false" outlineLevel="0" collapsed="false">
      <c r="A16" s="12" t="s">
        <v>419</v>
      </c>
      <c r="B16" s="12" t="s">
        <v>420</v>
      </c>
      <c r="C16" s="12" t="s">
        <v>415</v>
      </c>
      <c r="D16" s="12" t="s">
        <v>421</v>
      </c>
      <c r="E16" s="28"/>
    </row>
    <row r="17" customFormat="false" ht="15" hidden="false" customHeight="false" outlineLevel="0" collapsed="false">
      <c r="A17" s="12" t="s">
        <v>422</v>
      </c>
      <c r="B17" s="12" t="s">
        <v>423</v>
      </c>
      <c r="C17" s="12" t="s">
        <v>415</v>
      </c>
      <c r="D17" s="12"/>
      <c r="E17" s="28"/>
    </row>
    <row r="18" customFormat="false" ht="15" hidden="false" customHeight="false" outlineLevel="0" collapsed="false">
      <c r="A18" s="12" t="s">
        <v>424</v>
      </c>
      <c r="B18" s="12" t="s">
        <v>425</v>
      </c>
      <c r="C18" s="12" t="s">
        <v>415</v>
      </c>
      <c r="D18" s="12" t="s">
        <v>426</v>
      </c>
      <c r="E18" s="28"/>
    </row>
    <row r="19" customFormat="false" ht="15" hidden="false" customHeight="false" outlineLevel="0" collapsed="false">
      <c r="A19" s="12" t="s">
        <v>427</v>
      </c>
      <c r="B19" s="12" t="s">
        <v>428</v>
      </c>
      <c r="C19" s="12" t="s">
        <v>415</v>
      </c>
      <c r="D19" s="12" t="s">
        <v>429</v>
      </c>
      <c r="E19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5"/>
  </cols>
  <sheetData>
    <row r="1" customFormat="false" ht="15" hidden="false" customHeight="false" outlineLevel="0" collapsed="false">
      <c r="A1" s="11" t="s">
        <v>430</v>
      </c>
      <c r="B1" s="11" t="s">
        <v>431</v>
      </c>
    </row>
    <row r="2" customFormat="false" ht="15" hidden="false" customHeight="false" outlineLevel="0" collapsed="false">
      <c r="A2" s="12" t="s">
        <v>432</v>
      </c>
      <c r="B2" s="12" t="s">
        <v>433</v>
      </c>
    </row>
    <row r="3" customFormat="false" ht="15" hidden="false" customHeight="false" outlineLevel="0" collapsed="false">
      <c r="A3" s="12" t="s">
        <v>432</v>
      </c>
      <c r="B3" s="12" t="s">
        <v>434</v>
      </c>
    </row>
    <row r="4" customFormat="false" ht="15" hidden="false" customHeight="false" outlineLevel="0" collapsed="false">
      <c r="A4" s="12" t="s">
        <v>432</v>
      </c>
      <c r="B4" s="12" t="s">
        <v>435</v>
      </c>
    </row>
    <row r="5" customFormat="false" ht="15" hidden="false" customHeight="false" outlineLevel="0" collapsed="false">
      <c r="A5" s="12" t="s">
        <v>432</v>
      </c>
      <c r="B5" s="12" t="s">
        <v>436</v>
      </c>
    </row>
    <row r="6" customFormat="false" ht="15" hidden="false" customHeight="false" outlineLevel="0" collapsed="false">
      <c r="A6" s="12" t="s">
        <v>432</v>
      </c>
      <c r="B6" s="12" t="s">
        <v>437</v>
      </c>
    </row>
    <row r="7" customFormat="false" ht="15" hidden="false" customHeight="false" outlineLevel="0" collapsed="false">
      <c r="A7" s="12" t="s">
        <v>432</v>
      </c>
      <c r="B7" s="12" t="s">
        <v>438</v>
      </c>
    </row>
    <row r="8" customFormat="false" ht="15" hidden="false" customHeight="false" outlineLevel="0" collapsed="false">
      <c r="A8" s="12" t="s">
        <v>439</v>
      </c>
      <c r="B8" s="12" t="s">
        <v>440</v>
      </c>
    </row>
    <row r="9" customFormat="false" ht="15" hidden="false" customHeight="false" outlineLevel="0" collapsed="false">
      <c r="A9" s="12" t="s">
        <v>439</v>
      </c>
      <c r="B9" s="12" t="s">
        <v>441</v>
      </c>
    </row>
    <row r="10" customFormat="false" ht="15" hidden="false" customHeight="false" outlineLevel="0" collapsed="false">
      <c r="A10" s="12" t="s">
        <v>439</v>
      </c>
      <c r="B10" s="12" t="s">
        <v>442</v>
      </c>
    </row>
    <row r="11" customFormat="false" ht="15" hidden="false" customHeight="false" outlineLevel="0" collapsed="false">
      <c r="A11" s="12" t="s">
        <v>439</v>
      </c>
      <c r="B11" s="12" t="s">
        <v>443</v>
      </c>
    </row>
    <row r="12" customFormat="false" ht="15" hidden="false" customHeight="false" outlineLevel="0" collapsed="false">
      <c r="A12" s="12" t="s">
        <v>439</v>
      </c>
      <c r="B12" s="12" t="s">
        <v>444</v>
      </c>
    </row>
    <row r="13" customFormat="false" ht="15" hidden="false" customHeight="false" outlineLevel="0" collapsed="false">
      <c r="A13" s="12" t="s">
        <v>439</v>
      </c>
      <c r="B13" s="12" t="s">
        <v>445</v>
      </c>
    </row>
    <row r="14" customFormat="false" ht="15" hidden="false" customHeight="false" outlineLevel="0" collapsed="false">
      <c r="A14" s="12" t="s">
        <v>439</v>
      </c>
      <c r="B14" s="12" t="s">
        <v>446</v>
      </c>
    </row>
    <row r="15" customFormat="false" ht="15" hidden="false" customHeight="false" outlineLevel="0" collapsed="false">
      <c r="A15" s="12" t="s">
        <v>447</v>
      </c>
      <c r="B15" s="12" t="s">
        <v>448</v>
      </c>
    </row>
    <row r="16" customFormat="false" ht="15" hidden="false" customHeight="false" outlineLevel="0" collapsed="false">
      <c r="A16" s="12" t="s">
        <v>449</v>
      </c>
      <c r="B16" s="12" t="s">
        <v>450</v>
      </c>
    </row>
    <row r="17" customFormat="false" ht="15" hidden="false" customHeight="false" outlineLevel="0" collapsed="false">
      <c r="A17" s="12" t="s">
        <v>451</v>
      </c>
      <c r="B17" s="12" t="s">
        <v>452</v>
      </c>
    </row>
    <row r="18" customFormat="false" ht="15" hidden="false" customHeight="false" outlineLevel="0" collapsed="false">
      <c r="A18" s="12" t="s">
        <v>453</v>
      </c>
      <c r="B18" s="12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1" t="s">
        <v>455</v>
      </c>
      <c r="B1" s="11" t="s">
        <v>456</v>
      </c>
    </row>
    <row r="2" customFormat="false" ht="23.85" hidden="false" customHeight="false" outlineLevel="0" collapsed="false">
      <c r="A2" s="12" t="s">
        <v>457</v>
      </c>
      <c r="B2" s="12" t="s">
        <v>458</v>
      </c>
    </row>
    <row r="3" customFormat="false" ht="23.85" hidden="false" customHeight="false" outlineLevel="0" collapsed="false">
      <c r="A3" s="12" t="s">
        <v>459</v>
      </c>
      <c r="B3" s="12" t="s">
        <v>460</v>
      </c>
    </row>
    <row r="4" customFormat="false" ht="23.85" hidden="false" customHeight="false" outlineLevel="0" collapsed="false">
      <c r="A4" s="12" t="s">
        <v>461</v>
      </c>
      <c r="B4" s="12" t="s">
        <v>462</v>
      </c>
    </row>
    <row r="5" customFormat="false" ht="15" hidden="false" customHeight="false" outlineLevel="0" collapsed="false">
      <c r="A5" s="12" t="s">
        <v>90</v>
      </c>
      <c r="B5" s="12" t="s">
        <v>463</v>
      </c>
    </row>
    <row r="6" customFormat="false" ht="15" hidden="false" customHeight="false" outlineLevel="0" collapsed="false">
      <c r="A6" s="12" t="s">
        <v>464</v>
      </c>
      <c r="B6" s="12" t="s">
        <v>465</v>
      </c>
    </row>
    <row r="7" customFormat="false" ht="23.85" hidden="false" customHeight="false" outlineLevel="0" collapsed="false">
      <c r="A7" s="12" t="s">
        <v>466</v>
      </c>
      <c r="B7" s="12" t="s">
        <v>467</v>
      </c>
    </row>
    <row r="8" customFormat="false" ht="15" hidden="false" customHeight="false" outlineLevel="0" collapsed="false">
      <c r="A8" s="12" t="s">
        <v>468</v>
      </c>
      <c r="B8" s="12" t="s">
        <v>469</v>
      </c>
    </row>
    <row r="9" customFormat="false" ht="15" hidden="false" customHeight="false" outlineLevel="0" collapsed="false">
      <c r="A9" s="12" t="s">
        <v>470</v>
      </c>
      <c r="B9" s="12" t="s">
        <v>471</v>
      </c>
    </row>
    <row r="10" customFormat="false" ht="15" hidden="false" customHeight="false" outlineLevel="0" collapsed="false">
      <c r="A10" s="12" t="s">
        <v>472</v>
      </c>
      <c r="B10" s="12" t="s">
        <v>473</v>
      </c>
    </row>
    <row r="11" customFormat="false" ht="15" hidden="false" customHeight="false" outlineLevel="0" collapsed="false">
      <c r="A11" s="12" t="s">
        <v>474</v>
      </c>
      <c r="B11" s="12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32"/>
  </cols>
  <sheetData>
    <row r="1" customFormat="false" ht="15" hidden="false" customHeight="false" outlineLevel="0" collapsed="false">
      <c r="A1" s="11" t="s">
        <v>476</v>
      </c>
      <c r="B1" s="11" t="s">
        <v>477</v>
      </c>
      <c r="C1" s="11" t="s">
        <v>478</v>
      </c>
      <c r="D1" s="11" t="s">
        <v>479</v>
      </c>
    </row>
    <row r="2" customFormat="false" ht="15" hidden="false" customHeight="false" outlineLevel="0" collapsed="false">
      <c r="A2" s="12" t="s">
        <v>480</v>
      </c>
      <c r="B2" s="12" t="s">
        <v>481</v>
      </c>
      <c r="C2" s="12" t="s">
        <v>482</v>
      </c>
      <c r="D2" s="12" t="s">
        <v>483</v>
      </c>
    </row>
    <row r="3" customFormat="false" ht="23.85" hidden="false" customHeight="false" outlineLevel="0" collapsed="false">
      <c r="A3" s="12" t="s">
        <v>484</v>
      </c>
      <c r="B3" s="12" t="s">
        <v>485</v>
      </c>
      <c r="C3" s="12" t="s">
        <v>486</v>
      </c>
      <c r="D3" s="12" t="s">
        <v>487</v>
      </c>
    </row>
    <row r="4" customFormat="false" ht="15" hidden="false" customHeight="false" outlineLevel="0" collapsed="false">
      <c r="A4" s="12" t="s">
        <v>488</v>
      </c>
      <c r="B4" s="12" t="s">
        <v>489</v>
      </c>
      <c r="C4" s="12" t="s">
        <v>490</v>
      </c>
      <c r="D4" s="12" t="s">
        <v>491</v>
      </c>
    </row>
    <row r="5" customFormat="false" ht="15" hidden="false" customHeight="false" outlineLevel="0" collapsed="false">
      <c r="A5" s="12" t="s">
        <v>492</v>
      </c>
      <c r="B5" s="12" t="s">
        <v>493</v>
      </c>
      <c r="C5" s="12" t="s">
        <v>494</v>
      </c>
      <c r="D5" s="12" t="s">
        <v>495</v>
      </c>
    </row>
    <row r="6" customFormat="false" ht="15" hidden="false" customHeight="false" outlineLevel="0" collapsed="false">
      <c r="A6" s="12" t="s">
        <v>496</v>
      </c>
      <c r="B6" s="12" t="s">
        <v>497</v>
      </c>
      <c r="C6" s="12" t="s">
        <v>498</v>
      </c>
      <c r="D6" s="12" t="s">
        <v>499</v>
      </c>
    </row>
    <row r="7" customFormat="false" ht="15" hidden="false" customHeight="false" outlineLevel="0" collapsed="false">
      <c r="A7" s="12" t="s">
        <v>447</v>
      </c>
      <c r="B7" s="12" t="s">
        <v>500</v>
      </c>
      <c r="C7" s="12" t="s">
        <v>501</v>
      </c>
      <c r="D7" s="12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1" t="s">
        <v>503</v>
      </c>
      <c r="B1" s="11" t="s">
        <v>504</v>
      </c>
      <c r="C1" s="11" t="s">
        <v>505</v>
      </c>
      <c r="D1" s="11" t="s">
        <v>506</v>
      </c>
    </row>
    <row r="2" customFormat="false" ht="23.85" hidden="false" customHeight="false" outlineLevel="0" collapsed="false">
      <c r="A2" s="12" t="s">
        <v>415</v>
      </c>
      <c r="B2" s="12" t="s">
        <v>507</v>
      </c>
      <c r="C2" s="28"/>
      <c r="D2" s="28"/>
    </row>
    <row r="3" customFormat="false" ht="15" hidden="false" customHeight="false" outlineLevel="0" collapsed="false">
      <c r="A3" s="12" t="s">
        <v>508</v>
      </c>
      <c r="B3" s="12" t="s">
        <v>509</v>
      </c>
      <c r="C3" s="28"/>
      <c r="D3" s="28"/>
    </row>
    <row r="4" customFormat="false" ht="15" hidden="false" customHeight="false" outlineLevel="0" collapsed="false">
      <c r="A4" s="12" t="s">
        <v>510</v>
      </c>
      <c r="B4" s="12" t="s">
        <v>511</v>
      </c>
      <c r="C4" s="28"/>
      <c r="D4" s="28"/>
    </row>
    <row r="5" customFormat="false" ht="15" hidden="false" customHeight="false" outlineLevel="0" collapsed="false">
      <c r="A5" s="12" t="s">
        <v>512</v>
      </c>
      <c r="B5" s="12" t="s">
        <v>513</v>
      </c>
      <c r="C5" s="28"/>
      <c r="D5" s="28"/>
    </row>
    <row r="6" customFormat="false" ht="15" hidden="false" customHeight="false" outlineLevel="0" collapsed="false">
      <c r="A6" s="12" t="s">
        <v>514</v>
      </c>
      <c r="B6" s="12" t="s">
        <v>515</v>
      </c>
      <c r="C6" s="28"/>
      <c r="D6" s="28"/>
    </row>
    <row r="7" customFormat="false" ht="15" hidden="false" customHeight="false" outlineLevel="0" collapsed="false">
      <c r="A7" s="12" t="s">
        <v>516</v>
      </c>
      <c r="B7" s="12" t="s">
        <v>517</v>
      </c>
      <c r="C7" s="28"/>
      <c r="D7" s="28"/>
    </row>
    <row r="8" customFormat="false" ht="15" hidden="false" customHeight="false" outlineLevel="0" collapsed="false">
      <c r="A8" s="12" t="s">
        <v>518</v>
      </c>
      <c r="B8" s="12" t="s">
        <v>519</v>
      </c>
      <c r="C8" s="28"/>
      <c r="D8" s="28"/>
    </row>
    <row r="9" customFormat="false" ht="15" hidden="false" customHeight="false" outlineLevel="0" collapsed="false">
      <c r="A9" s="12" t="s">
        <v>520</v>
      </c>
      <c r="B9" s="12"/>
      <c r="C9" s="28"/>
      <c r="D9" s="28"/>
    </row>
    <row r="10" customFormat="false" ht="15" hidden="false" customHeight="false" outlineLevel="0" collapsed="false">
      <c r="A10" s="12" t="s">
        <v>521</v>
      </c>
      <c r="B10" s="12"/>
      <c r="C10" s="28"/>
      <c r="D10" s="28"/>
    </row>
    <row r="11" customFormat="false" ht="15" hidden="false" customHeight="false" outlineLevel="0" collapsed="false">
      <c r="A11" s="12" t="s">
        <v>522</v>
      </c>
      <c r="B11" s="12" t="s">
        <v>523</v>
      </c>
      <c r="C11" s="28"/>
      <c r="D11" s="28"/>
    </row>
    <row r="12" customFormat="false" ht="23.85" hidden="false" customHeight="false" outlineLevel="0" collapsed="false">
      <c r="A12" s="12" t="s">
        <v>524</v>
      </c>
      <c r="B12" s="12"/>
      <c r="C12" s="28"/>
      <c r="D12" s="28"/>
    </row>
    <row r="13" customFormat="false" ht="23.85" hidden="false" customHeight="false" outlineLevel="0" collapsed="false">
      <c r="A13" s="12" t="s">
        <v>525</v>
      </c>
      <c r="B13" s="12" t="s">
        <v>526</v>
      </c>
      <c r="C13" s="28"/>
      <c r="D13" s="28"/>
    </row>
    <row r="14" customFormat="false" ht="15" hidden="false" customHeight="false" outlineLevel="0" collapsed="false">
      <c r="A14" s="12" t="s">
        <v>527</v>
      </c>
      <c r="B14" s="12" t="s">
        <v>528</v>
      </c>
      <c r="C14" s="12"/>
      <c r="D14" s="12" t="s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530</v>
      </c>
    </row>
    <row r="2" customFormat="false" ht="15" hidden="false" customHeight="false" outlineLevel="0" collapsed="false">
      <c r="A2" s="5" t="s">
        <v>531</v>
      </c>
    </row>
    <row r="3" customFormat="false" ht="15" hidden="false" customHeight="false" outlineLevel="0" collapsed="false">
      <c r="A3" s="29" t="s">
        <v>532</v>
      </c>
    </row>
    <row r="4" customFormat="false" ht="15" hidden="false" customHeight="false" outlineLevel="0" collapsed="false">
      <c r="A4" s="6" t="s">
        <v>533</v>
      </c>
      <c r="B4" s="6" t="s">
        <v>534</v>
      </c>
      <c r="C4" s="6" t="s">
        <v>535</v>
      </c>
      <c r="D4" s="6" t="s">
        <v>536</v>
      </c>
    </row>
    <row r="5" customFormat="false" ht="15" hidden="false" customHeight="false" outlineLevel="0" collapsed="false">
      <c r="A5" s="7" t="s">
        <v>537</v>
      </c>
      <c r="B5" s="7" t="s">
        <v>538</v>
      </c>
      <c r="C5" s="7" t="s">
        <v>539</v>
      </c>
      <c r="D5" s="30"/>
    </row>
    <row r="6" customFormat="false" ht="15" hidden="false" customHeight="false" outlineLevel="0" collapsed="false">
      <c r="A6" s="7" t="s">
        <v>540</v>
      </c>
      <c r="B6" s="7" t="s">
        <v>541</v>
      </c>
      <c r="C6" s="7" t="s">
        <v>542</v>
      </c>
      <c r="D6" s="30"/>
    </row>
    <row r="7" customFormat="false" ht="15" hidden="false" customHeight="false" outlineLevel="0" collapsed="false">
      <c r="A7" s="7" t="s">
        <v>543</v>
      </c>
      <c r="B7" s="7" t="s">
        <v>544</v>
      </c>
      <c r="C7" s="7" t="s">
        <v>542</v>
      </c>
      <c r="D7" s="30"/>
    </row>
    <row r="8" customFormat="false" ht="15" hidden="false" customHeight="false" outlineLevel="0" collapsed="false">
      <c r="A8" s="7" t="s">
        <v>545</v>
      </c>
      <c r="B8" s="7" t="s">
        <v>541</v>
      </c>
      <c r="C8" s="7" t="s">
        <v>542</v>
      </c>
      <c r="D8" s="30"/>
    </row>
    <row r="9" customFormat="false" ht="15" hidden="false" customHeight="false" outlineLevel="0" collapsed="false">
      <c r="A9" s="7" t="s">
        <v>546</v>
      </c>
      <c r="B9" s="7" t="s">
        <v>547</v>
      </c>
      <c r="C9" s="7" t="s">
        <v>542</v>
      </c>
      <c r="D9" s="30"/>
    </row>
    <row r="10" customFormat="false" ht="15" hidden="false" customHeight="false" outlineLevel="0" collapsed="false">
      <c r="A10" s="7" t="s">
        <v>548</v>
      </c>
      <c r="B10" s="7" t="s">
        <v>538</v>
      </c>
      <c r="C10" s="7" t="s">
        <v>542</v>
      </c>
      <c r="D10" s="30"/>
    </row>
    <row r="11" customFormat="false" ht="15" hidden="false" customHeight="false" outlineLevel="0" collapsed="false">
      <c r="A11" s="7" t="s">
        <v>549</v>
      </c>
      <c r="B11" s="7" t="s">
        <v>538</v>
      </c>
      <c r="C11" s="7" t="s">
        <v>542</v>
      </c>
      <c r="D11" s="30"/>
    </row>
    <row r="12" customFormat="false" ht="15" hidden="false" customHeight="false" outlineLevel="0" collapsed="false">
      <c r="A12" s="7" t="s">
        <v>550</v>
      </c>
      <c r="B12" s="7" t="s">
        <v>538</v>
      </c>
      <c r="C12" s="7" t="s">
        <v>542</v>
      </c>
      <c r="D12" s="30"/>
    </row>
    <row r="13" customFormat="false" ht="15" hidden="false" customHeight="false" outlineLevel="0" collapsed="false">
      <c r="A13" s="7" t="s">
        <v>551</v>
      </c>
      <c r="B13" s="7" t="s">
        <v>552</v>
      </c>
      <c r="C13" s="7" t="s">
        <v>542</v>
      </c>
      <c r="D13" s="30"/>
    </row>
    <row r="14" customFormat="false" ht="15" hidden="false" customHeight="false" outlineLevel="0" collapsed="false">
      <c r="A14" s="7" t="s">
        <v>553</v>
      </c>
      <c r="B14" s="7" t="s">
        <v>554</v>
      </c>
      <c r="C14" s="7" t="s">
        <v>542</v>
      </c>
      <c r="D14" s="30"/>
    </row>
    <row r="15" customFormat="false" ht="15" hidden="false" customHeight="false" outlineLevel="0" collapsed="false">
      <c r="A15" s="7" t="s">
        <v>555</v>
      </c>
      <c r="B15" s="7" t="s">
        <v>538</v>
      </c>
      <c r="C15" s="7" t="s">
        <v>542</v>
      </c>
      <c r="D15" s="30"/>
    </row>
    <row r="16" customFormat="false" ht="15" hidden="false" customHeight="false" outlineLevel="0" collapsed="false">
      <c r="A16" s="7" t="s">
        <v>556</v>
      </c>
      <c r="B16" s="7" t="s">
        <v>538</v>
      </c>
      <c r="C16" s="7" t="s">
        <v>542</v>
      </c>
      <c r="D16" s="30"/>
    </row>
    <row r="17" customFormat="false" ht="15" hidden="false" customHeight="false" outlineLevel="0" collapsed="false">
      <c r="A17" s="7" t="s">
        <v>557</v>
      </c>
      <c r="B17" s="7" t="s">
        <v>538</v>
      </c>
      <c r="C17" s="7" t="s">
        <v>542</v>
      </c>
      <c r="D17" s="30"/>
    </row>
    <row r="18" customFormat="false" ht="15" hidden="false" customHeight="false" outlineLevel="0" collapsed="false">
      <c r="A18" s="7" t="s">
        <v>558</v>
      </c>
      <c r="B18" s="7" t="s">
        <v>538</v>
      </c>
      <c r="C18" s="7" t="s">
        <v>542</v>
      </c>
      <c r="D18" s="30"/>
    </row>
    <row r="19" customFormat="false" ht="15" hidden="false" customHeight="false" outlineLevel="0" collapsed="false">
      <c r="A19" s="7" t="s">
        <v>559</v>
      </c>
      <c r="B19" s="7" t="s">
        <v>538</v>
      </c>
      <c r="C19" s="7" t="s">
        <v>542</v>
      </c>
      <c r="D19" s="30"/>
    </row>
    <row r="20" customFormat="false" ht="15" hidden="false" customHeight="false" outlineLevel="0" collapsed="false">
      <c r="A20" s="7" t="s">
        <v>560</v>
      </c>
      <c r="B20" s="7" t="s">
        <v>561</v>
      </c>
      <c r="C20" s="7" t="s">
        <v>542</v>
      </c>
      <c r="D20" s="30"/>
    </row>
    <row r="21" customFormat="false" ht="15" hidden="false" customHeight="false" outlineLevel="0" collapsed="false">
      <c r="A21" s="3" t="s">
        <v>562</v>
      </c>
      <c r="D21" s="31" t="n">
        <f aca="false">SUMIF(C5:C20,"Yes",D5:D20)</f>
        <v>0</v>
      </c>
    </row>
    <row r="22" customFormat="false" ht="15" hidden="false" customHeight="false" outlineLevel="0" collapsed="false">
      <c r="A22" s="2" t="s">
        <v>563</v>
      </c>
      <c r="B22" s="2" t="s">
        <v>564</v>
      </c>
      <c r="D22" s="32" t="n">
        <v>0.05</v>
      </c>
    </row>
    <row r="23" customFormat="false" ht="15" hidden="false" customHeight="false" outlineLevel="0" collapsed="false">
      <c r="A23" s="3" t="s">
        <v>565</v>
      </c>
      <c r="D23" s="31" t="n">
        <f aca="false">D21*(1+D22)</f>
        <v>0</v>
      </c>
    </row>
    <row r="25" customFormat="false" ht="15" hidden="false" customHeight="false" outlineLevel="0" collapsed="false">
      <c r="A25" s="2" t="s">
        <v>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1" t="s">
        <v>567</v>
      </c>
      <c r="B1" s="11" t="s">
        <v>381</v>
      </c>
    </row>
    <row r="2" customFormat="false" ht="15" hidden="false" customHeight="false" outlineLevel="0" collapsed="false">
      <c r="A2" s="12" t="s">
        <v>568</v>
      </c>
      <c r="B2" s="28"/>
    </row>
    <row r="3" customFormat="false" ht="15" hidden="false" customHeight="false" outlineLevel="0" collapsed="false">
      <c r="A3" s="12" t="s">
        <v>569</v>
      </c>
      <c r="B3" s="28"/>
    </row>
    <row r="4" customFormat="false" ht="15" hidden="false" customHeight="false" outlineLevel="0" collapsed="false">
      <c r="A4" s="12" t="s">
        <v>570</v>
      </c>
      <c r="B4" s="28"/>
    </row>
    <row r="5" customFormat="false" ht="15" hidden="false" customHeight="false" outlineLevel="0" collapsed="false">
      <c r="A5" s="12" t="s">
        <v>571</v>
      </c>
      <c r="B5" s="28"/>
    </row>
    <row r="6" customFormat="false" ht="23.85" hidden="false" customHeight="false" outlineLevel="0" collapsed="false">
      <c r="A6" s="12" t="s">
        <v>572</v>
      </c>
      <c r="B6" s="28"/>
    </row>
    <row r="7" customFormat="false" ht="15" hidden="false" customHeight="false" outlineLevel="0" collapsed="false">
      <c r="A7" s="12" t="s">
        <v>573</v>
      </c>
      <c r="B7" s="28"/>
    </row>
    <row r="8" customFormat="false" ht="15" hidden="false" customHeight="false" outlineLevel="0" collapsed="false">
      <c r="A8" s="12" t="s">
        <v>574</v>
      </c>
      <c r="B8" s="28"/>
    </row>
    <row r="9" customFormat="false" ht="15" hidden="false" customHeight="false" outlineLevel="0" collapsed="false">
      <c r="A9" s="12" t="s">
        <v>575</v>
      </c>
      <c r="B9" s="28"/>
    </row>
    <row r="10" customFormat="false" ht="23.85" hidden="false" customHeight="false" outlineLevel="0" collapsed="false">
      <c r="A10" s="12" t="s">
        <v>576</v>
      </c>
      <c r="B10" s="28"/>
    </row>
    <row r="11" customFormat="false" ht="23.85" hidden="false" customHeight="false" outlineLevel="0" collapsed="false">
      <c r="A11" s="12" t="s">
        <v>577</v>
      </c>
      <c r="B11" s="28"/>
    </row>
    <row r="12" customFormat="false" ht="23.85" hidden="false" customHeight="false" outlineLevel="0" collapsed="false">
      <c r="A12" s="12" t="s">
        <v>578</v>
      </c>
      <c r="B12" s="28"/>
    </row>
    <row r="13" customFormat="false" ht="15" hidden="false" customHeight="false" outlineLevel="0" collapsed="false">
      <c r="A13" s="12" t="s">
        <v>579</v>
      </c>
      <c r="B13" s="28"/>
    </row>
    <row r="14" customFormat="false" ht="23.85" hidden="false" customHeight="false" outlineLevel="0" collapsed="false">
      <c r="A14" s="12" t="s">
        <v>580</v>
      </c>
      <c r="B14" s="28"/>
    </row>
    <row r="15" customFormat="false" ht="15" hidden="false" customHeight="false" outlineLevel="0" collapsed="false">
      <c r="A15" s="12" t="s">
        <v>581</v>
      </c>
      <c r="B15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2026-10-26T13:49:20Z</dcterms:created>
  <dc:creator>openpyxl</dc:creator>
  <dc:description/>
  <dc:language>en-US</dc:language>
  <cp:lastModifiedBy/>
  <dcterms:modified xsi:type="dcterms:W3CDTF">2026-10-26T13:49:20Z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
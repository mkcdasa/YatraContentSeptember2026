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<sst xmlns="http://schemas.openxmlformats.org/spreadsheetml/2006/main" count="1064" uniqueCount="612">
  <si>
    <t xml:space="preserve">8 Days Vaishno Devi &amp; Kashmir Pilgrimage – Overview</t>
  </si>
  <si>
    <t xml:space="preserve">Jammu – Katra – Vaishno Devi – Srinagar – Gulmarg – Sonamarg – Pahalgam – Srinagar · 7 nights / 8 days · Departure: 13–20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</si>
  <si>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</si>
  <si>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</si>
  <si>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</si>
  <si>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</si>
  <si>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</si>
  <si>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</si>
  <si>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</si>
  <si>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</si>
  <si>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</si>
  <si>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</si>
  <si>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</si>
  <si>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arrival, Jammu temples</t>
  </si>
  <si>
    <t xml:space="preserve">Jammu</t>
  </si>
  <si>
    <t xml:space="preserve">Yatri data to travel agent</t>
  </si>
  <si>
    <t xml:space="preserve">Jammu → Katra → Sanjichhat (helicopter) → Bhawan</t>
  </si>
  <si>
    <t xml:space="preserve">Bhawan</t>
  </si>
  <si>
    <t xml:space="preserve">Helicopter tickets booked</t>
  </si>
  <si>
    <t xml:space="preserve">Bhawan → Bhairon → Sanjichhat (helicopter) → Katra</t>
  </si>
  <si>
    <t xml:space="preserve">Katra</t>
  </si>
  <si>
    <t xml:space="preserve">Katra → Jammu Airport → flight to Srinagar → Dal Lake shikara</t>
  </si>
  <si>
    <t xml:space="preserve">Srinagar</t>
  </si>
  <si>
    <t xml:space="preserve">Srinagar → Gulmarg</t>
  </si>
  <si>
    <t xml:space="preserve">Gulmarg</t>
  </si>
  <si>
    <t xml:space="preserve">Gulmarg → Kheer Bhawani → Sonamarg → Srinagar</t>
  </si>
  <si>
    <t xml:space="preserve">Srinagar → Avantipur → Martand → Pahalgam (union cab to valleys)</t>
  </si>
  <si>
    <t xml:space="preserve">Pahalgam</t>
  </si>
  <si>
    <t xml:space="preserve">Pahalgam → Srinagar temples → departure</t>
  </si>
  <si>
    <t xml:space="preserve">—</t>
  </si>
  <si>
    <t xml:space="preserve">Total</t>
  </si>
  <si>
    <t xml:space="preserve">7 nights</t>
  </si>
  <si>
    <t xml:space="preserve">Other transport: 2 helicopter flights (5–8 min each), Bhairon ropeway, flight Jammu → Srinagar (~50 min), Dal Lake shikara, optional Gulmarg gondola, ~5.5 km on the Vaishno Devi track.</t>
  </si>
  <si>
    <t xml:space="preserve">Union cab 56 km on Day 7 (Chandanwari, Betaab, Aru) is not counted in car km.</t>
  </si>
  <si>
    <t xml:space="preserve">Days 1–3 are identical to the 4-day Vaishno Devi package; 4-day yatris leave the group at Jammu Airport on Day 4 morning.</t>
  </si>
  <si>
    <t xml:space="preserve">Assumptions: arrival at Jammu by 14:00 on Day 1; helicopter slots 10:30 (Day 2) and 11:00 (Day 3); Jammu → Srinagar flight ~11:00 Day 4; Srinagar departure after 17:30 Day 8; Kashmir hotels on MAP (breakfast + dinner). Day 6 is the longest road day (~212 km); start by 07:45 after the 07:15 parana breakfast.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</si>
  <si>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</si>
  <si>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</si>
  <si>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</si>
  <si>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</si>
  <si>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</si>
  <si>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</si>
  <si>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</si>
  <si>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</si>
  <si>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</si>
  <si>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</si>
  <si>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</si>
  <si>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</si>
  <si>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</si>
  <si>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</si>
  <si>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</si>
  <si>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</si>
  <si>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</si>
  <si>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</si>
  <si>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</si>
  <si>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</si>
  <si>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</si>
  <si>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</si>
  <si>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</si>
  <si>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</si>
  <si>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</si>
  <si>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</si>
  <si>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</si>
  <si>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</si>
  <si>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</si>
  <si>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</si>
  <si>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</si>
  <si>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</si>
  <si>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</si>
  <si>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</si>
  <si>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</si>
  <si>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</si>
  <si>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</si>
  <si>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</si>
  <si>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</si>
  <si>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</si>
  <si>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</si>
  <si>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</si>
  <si>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</si>
  <si>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</si>
  <si>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</si>
  <si>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</si>
  <si>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</si>
  <si>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</si>
  <si>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</si>
  <si>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</si>
  <si>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</si>
  <si>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</si>
  <si>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</si>
  <si>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</si>
  <si>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</si>
  <si>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</si>
  <si>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</si>
  <si>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</si>
  <si>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</si>
  <si>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</si>
  <si>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</si>
  <si>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</si>
  <si>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</si>
  <si>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</si>
  <si>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</si>
  <si>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</si>
  <si>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</si>
  <si>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</si>
  <si>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</si>
  <si>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</si>
  <si>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</si>
  <si>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</si>
  <si>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</si>
  <si>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</si>
  <si>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</si>
  <si>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</si>
  <si>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</si>
  <si>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</si>
  <si>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</si>
  <si>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</si>
  <si>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</si>
  <si>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</si>
  <si>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</si>
  <si>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</si>
  <si>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</si>
  <si>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</si>
  <si>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</si>
  <si>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</si>
  <si>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</si>
  <si>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</si>
  <si>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</si>
  <si>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</si>
  <si>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</si>
  <si>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</si>
  <si>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</si>
  <si>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</si>
  <si>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</si>
  <si>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</si>
  <si>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</si>
  <si>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</si>
  <si>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</si>
  <si>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</si>
  <si>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</si>
  <si>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</si>
  <si>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</si>
  <si>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</si>
  <si>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</si>
  <si>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</si>
  <si>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Drive to Jammu Airport</t>
  </si>
  <si>
    <t xml:space="preserve">Airport</t>
  </si>
  <si>
    <t xml:space="preserve">Check-in, security (carry ID; power banks in cabin bag)</t>
  </si>
  <si>
    <t xml:space="preserve">Flight</t>
  </si>
  <si>
    <t xml:space="preserve">Srinagar Airport</t>
  </si>
  <si>
    <t xml:space="preserve">Flight Jammu → Srinagar, about 50 min (time to match booked flight)</t>
  </si>
  <si>
    <t xml:space="preserve">Baggage collection, meet Srinagar driver</t>
  </si>
  <si>
    <t xml:space="preserve">Hotel / houseboat, Dal Lake</t>
  </si>
  <si>
    <t xml:space="preserve">Drive to Boulevard Road</t>
  </si>
  <si>
    <t xml:space="preserve">Hotel / houseboat restaurant, Srinagar</t>
  </si>
  <si>
    <t xml:space="preserve">Lunch – at the hotel / houseboat after check-in; group pays</t>
  </si>
  <si>
    <t xml:space="preserve">Rest after the early start</t>
  </si>
  <si>
    <t xml:space="preserve">Hotel</t>
  </si>
  <si>
    <t xml:space="preserve">Shikara ghat, Dal Lake</t>
  </si>
  <si>
    <t xml:space="preserve">Walk to nearest shikara ghat</t>
  </si>
  <si>
    <t xml:space="preserve">Shikara</t>
  </si>
  <si>
    <t xml:space="preserve">Dal Lake</t>
  </si>
  <si>
    <t xml:space="preserve">Sunset shikara ride past Char Chinari and Nehru Park; kirtan on the boat (floating market runs only at dawn)</t>
  </si>
  <si>
    <t xml:space="preserve">Rest; Day 5 briefing (warm clothes, overnight bag for Gulmarg)</t>
  </si>
  <si>
    <t xml:space="preserve">Dinner – hotel on MAP plan (breakfast + dinner included)</t>
  </si>
  <si>
    <t xml:space="preserve">Hotel restaurant, Srinagar</t>
  </si>
  <si>
    <t xml:space="preserve">Breakfast – included (MAP); Amalaki Ekadashi – grain-free items; check-out</t>
  </si>
  <si>
    <t xml:space="preserve">Hotel, Srinagar</t>
  </si>
  <si>
    <t xml:space="preserve">Drive via Tangmarg (hire snow boots / coats at Tangmarg in winter)</t>
  </si>
  <si>
    <t xml:space="preserve">Gondola</t>
  </si>
  <si>
    <t xml:space="preserve">Gulmarg Gondola: Kongdori (Phase 1) and Apharwat (Phase 2)</t>
  </si>
  <si>
    <t xml:space="preserve">Gondola ride (optional; book tickets online in advance); Snow Point and Apharwat Peak views</t>
  </si>
  <si>
    <t xml:space="preserve">Pure-veg restaurant, Gulmarg</t>
  </si>
  <si>
    <t xml:space="preserve">Lunch – Amalaki Ekadashi: grain-free Ekadashi prasadam (fruits, potato, sabudana), pre-ordered; group pays</t>
  </si>
  <si>
    <t xml:space="preserve">Hotel, Gulmarg</t>
  </si>
  <si>
    <t xml:space="preserve">Check-in</t>
  </si>
  <si>
    <t xml:space="preserve">Short rest</t>
  </si>
  <si>
    <t xml:space="preserve">Maharani Temple</t>
  </si>
  <si>
    <t xml:space="preserve">Short drive / walk across the meadow</t>
  </si>
  <si>
    <t xml:space="preserve">Maharani Temple (Shiva temple), Gulmarg</t>
  </si>
  <si>
    <t xml:space="preserve">Darshan at the hilltop Shiva temple in the Gulmarg meadow</t>
  </si>
  <si>
    <t xml:space="preserve">Sightseeing</t>
  </si>
  <si>
    <t xml:space="preserve">Gulmarg meadow viewpoints</t>
  </si>
  <si>
    <t xml:space="preserve">Meadow walk, Himalayan views at sunset, group photo</t>
  </si>
  <si>
    <t xml:space="preserve">Rest, kirtan; Day 6 briefing (early start, long drive)</t>
  </si>
  <si>
    <t xml:space="preserve">Hotel restaurant, Gulmarg</t>
  </si>
  <si>
    <t xml:space="preserve">Dinner – included (MAP); Ekadashi grain-free menu pre-ordered with the hotel</t>
  </si>
  <si>
    <t xml:space="preserve">Break fast (parana) 07:14–10:26 – breakfast from 07:15, included (MAP); check-out ready before</t>
  </si>
  <si>
    <t xml:space="preserve">Kheer Bhawani Temple, Tulmulla</t>
  </si>
  <si>
    <t xml:space="preserve">Drive via Tangmarg and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</si>
  <si>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</si>
  <si>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</si>
  <si>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</si>
  <si>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</si>
  <si>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</si>
  <si>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Pony / local taxi</t>
  </si>
  <si>
    <t xml:space="preserve">Thajiwas Glacier</t>
  </si>
  <si>
    <t xml:space="preserve">Thajiwas Glacier by pony (optional, ~3 km; fixed union rates); snow play</t>
  </si>
  <si>
    <t xml:space="preserve">Pure-veg restaurant, Sonamarg</t>
  </si>
  <si>
    <t xml:space="preserve">Lunch – pure-veg dhaba / restaurant at Sonamarg market; group pays</t>
  </si>
  <si>
    <t xml:space="preserve">Sindh River viewpoints, Sonamarg</t>
  </si>
  <si>
    <t xml:space="preserve">Sindh river banks and snow-peak viewpoints; group photo</t>
  </si>
  <si>
    <t xml:space="preserve">Return to Srinagar</t>
  </si>
  <si>
    <t xml:space="preserve">Check-in, rest, kirtan</t>
  </si>
  <si>
    <t xml:space="preserve">Dinner – included (MAP)</t>
  </si>
  <si>
    <t xml:space="preserve">Breakfast – included (MAP); check-out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</si>
  <si>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</si>
  <si>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</si>
  <si>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</si>
  <si>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</si>
  <si>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</si>
  <si>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</si>
  <si>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</si>
  <si>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</si>
  <si>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Hotel, Pahalgam</t>
  </si>
  <si>
    <t xml:space="preserve">Drive along the Lidder river</t>
  </si>
  <si>
    <t xml:space="preserve">Hotel restaurant, Pahalgam</t>
  </si>
  <si>
    <t xml:space="preserve">Lunch – at the Pahalgam hotel; group pays</t>
  </si>
  <si>
    <t xml:space="preserve">Pahalgam taxi stand</t>
  </si>
  <si>
    <t xml:space="preserve">Board local union cabs (our car cannot go beyond Pahalgam)</t>
  </si>
  <si>
    <t xml:space="preserve">Union cab</t>
  </si>
  <si>
    <t xml:space="preserve">Chandanwari</t>
  </si>
  <si>
    <t xml:space="preserve">16 km by union cab</t>
  </si>
  <si>
    <t xml:space="preserve">Start point of the Amarnath route; snow bridge (season)</t>
  </si>
  <si>
    <t xml:space="preserve">Betaab Valley</t>
  </si>
  <si>
    <t xml:space="preserve">7 km</t>
  </si>
  <si>
    <t xml:space="preserve">Meadows and river, photo stop (entry ticket)</t>
  </si>
  <si>
    <t xml:space="preserve">Aru Valley</t>
  </si>
  <si>
    <t xml:space="preserve">21 km via Pahalgam</t>
  </si>
  <si>
    <t xml:space="preserve">Meadow village, pine forests</t>
  </si>
  <si>
    <t xml:space="preserve">12 km back to Pahalgam</t>
  </si>
  <si>
    <t xml:space="preserve">Lidder River banks</t>
  </si>
  <si>
    <t xml:space="preserve">Evening walk by the Lidder river; kirtan</t>
  </si>
  <si>
    <t xml:space="preserve">Shankaracharya Temple, Srinagar</t>
  </si>
  <si>
    <t xml:space="preserve">Drive to Srinagar</t>
  </si>
  <si>
    <t xml:space="preserve">Shankaracharya Temple</t>
  </si>
  <si>
    <t xml:space="preserve">Hilltop Shiva temple, ~240 steps from the parking;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</si>
  <si>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</si>
  <si>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</si>
  <si>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</si>
  <si>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Pure-veg restaurant, Srinagar</t>
  </si>
  <si>
    <t xml:space="preserve">Lunch – pure-veg restaurant near Lal Chowk / Durganag; group pays</t>
  </si>
  <si>
    <t xml:space="preserve">Lal Chowk / Polo View Market, Srinagar</t>
  </si>
  <si>
    <t xml:space="preserve">Saffron, dry fruits, walnut wood, pashmina (buy from government emporium for authenticity)</t>
  </si>
  <si>
    <t xml:space="preserve">Lal Chowk</t>
  </si>
  <si>
    <t xml:space="preserve">Drive to airport (allow for security checkpoints)</t>
  </si>
  <si>
    <t xml:space="preserve">Departure</t>
  </si>
  <si>
    <t xml:space="preserve">Drop-off, farewell, Jai Mata Di! Har Har Mahadev! (flights after 17:30; reach 2.5 hrs early)</t>
  </si>
  <si>
    <t xml:space="preserve">Legend: yellow rows = meals; blue rows = helicopter, ropeway, flight, gondola, shikara, union cab.</t>
  </si>
  <si>
    <t xml:space="preserve">Meal plan (all 23 meals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</si>
  <si>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</si>
  <si>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</si>
  <si>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</si>
  <si>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</si>
  <si>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</si>
  <si>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</si>
  <si>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</si>
  <si>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</si>
  <si>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</si>
  <si>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</si>
  <si>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</si>
  <si>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</si>
  <si>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</si>
  <si>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</si>
  <si>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06:30–07:00</t>
  </si>
  <si>
    <t xml:space="preserve">Complimentary</t>
  </si>
  <si>
    <t xml:space="preserve">12:15–13:00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</si>
  <si>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</si>
  <si>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</si>
  <si>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</si>
  <si>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</si>
  <si>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/ restaurant</t>
  </si>
  <si>
    <t xml:space="preserve">20:00–21:00</t>
  </si>
  <si>
    <t xml:space="preserve">07:00–07:45</t>
  </si>
  <si>
    <t xml:space="preserve">13:00–14:00</t>
  </si>
  <si>
    <t xml:space="preserve">Hotel / houseboat, Srinagar</t>
  </si>
  <si>
    <t xml:space="preserve">Hotel (MAP)</t>
  </si>
  <si>
    <t xml:space="preserve">Included</t>
  </si>
  <si>
    <t xml:space="preserve">Hotel (MAP), Ekadashi items</t>
  </si>
  <si>
    <t xml:space="preserve">Restaurant, pre-booked (Ekadashi grain-free)</t>
  </si>
  <si>
    <t xml:space="preserve">Hotel (MAP), Ekadashi menu</t>
  </si>
  <si>
    <t xml:space="preserve">07:15–07:45 (parana)</t>
  </si>
  <si>
    <t xml:space="preserve">14:00–14:45</t>
  </si>
  <si>
    <t xml:space="preserve">Restaurant, pre-booked</t>
  </si>
  <si>
    <t xml:space="preserve">12:45–13:45</t>
  </si>
  <si>
    <t xml:space="preserve">Pure-veg options are few in Gulmarg and Sonamarg; pre-book for the group size or carry packed lunch from the hotel.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</si>
  <si>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</si>
  <si>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</si>
  <si>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</si>
  <si>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</si>
  <si>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</si>
  <si>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</si>
  <si>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</si>
  <si>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</si>
  <si>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</si>
  <si>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</si>
  <si>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</si>
  <si>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rooms; no meals included</t>
  </si>
  <si>
    <t xml:space="preserve">Jammu → Srinagar by flight</t>
  </si>
  <si>
    <t xml:space="preserve">Saves 7–8 hrs on the road</t>
  </si>
  <si>
    <t xml:space="preserve">Extra fare; weather and security delays at Srinagar airport</t>
  </si>
  <si>
    <t xml:space="preserve">Night in Gulmarg</t>
  </si>
  <si>
    <t xml:space="preserve">Unhurried gondola, temple and sunset meadow; no return drive the same day</t>
  </si>
  <si>
    <t xml:space="preserve">Hotels in Gulmarg cost more; cold nights</t>
  </si>
  <si>
    <t xml:space="preserve">Day 6 route</t>
  </si>
  <si>
    <t xml:space="preserve">Kheer Bhawani and Sonamarg on the way back from Gulmarg</t>
  </si>
  <si>
    <t xml:space="preserve">About 212 km and 10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</si>
  <si>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</si>
  <si>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</si>
  <si>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</si>
  <si>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Pahalgam valleys</t>
  </si>
  <si>
    <t xml:space="preserve">Betaab, Aru and Chandanwari in one afternoon</t>
  </si>
  <si>
    <t xml:space="preserve">Union cab mandatory and paid separately</t>
  </si>
  <si>
    <t xml:space="preserve">Food</t>
  </si>
  <si>
    <t xml:space="preserve">MAP covers breakfast and dinner in Kashmir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</si>
  <si>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</si>
  <si>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</si>
  <si>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</si>
  <si>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</si>
  <si>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</si>
  <si>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</si>
  <si>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</si>
  <si>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</si>
  <si>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pony / palki or the 13 km track; tell the Katra hotel</t>
  </si>
  <si>
    <t xml:space="preserve">Helicopter or Bhawan rooms not available</t>
  </si>
  <si>
    <t xml:space="preserve">Package cannot run as sold</t>
  </si>
  <si>
    <t xml:space="preserve">Book the day the SMVDSB portal opens</t>
  </si>
  <si>
    <t xml:space="preserve">Shift dates or sell a pony / palki variant</t>
  </si>
  <si>
    <t xml:space="preserve">Jammu → Srinagar flight cancelled or delayed (Day 4)</t>
  </si>
  <si>
    <t xml:space="preserve">Shikara and Day 4 evening lost</t>
  </si>
  <si>
    <t xml:space="preserve">Book the morning flight; keep the afternoon light</t>
  </si>
  <si>
    <t xml:space="preserve">Next flight; or road via the Jammu–Srinagar highway (~250 km, 7–8 hrs) from Katra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</si>
  <si>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</si>
  <si>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</si>
  <si>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</si>
  <si>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</si>
  <si>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</si>
  <si>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</si>
  <si>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</si>
  <si>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 and Srinagar gardens instead; return straight from Gulmarg</t>
  </si>
  <si>
    <t xml:space="preserve">Gondola closed (wind) or sold out</t>
  </si>
  <si>
    <t xml:space="preserve">No Apharwat</t>
  </si>
  <si>
    <t xml:space="preserve">Book online tickets early; go in the morning</t>
  </si>
  <si>
    <t xml:space="preserve">Phase 1 only, or retry on Day 6 morning before leaving Gulmarg</t>
  </si>
  <si>
    <t xml:space="preserve">Long Day 6 tires seniors</t>
  </si>
  <si>
    <t xml:space="preserve">Late arrival, fatigue</t>
  </si>
  <si>
    <t xml:space="preserve">Start by 07:30; comfort stops every 90 min</t>
  </si>
  <si>
    <t xml:space="preserve">Skip the Thajiwas pony ride; rest at Sonamarg</t>
  </si>
  <si>
    <t xml:space="preserve">Union cab rates disputed at Pahalgam</t>
  </si>
  <si>
    <t xml:space="preserve">Delay, overcharging</t>
  </si>
  <si>
    <t xml:space="preserve">Agree the union rate card through the hotel or DMC</t>
  </si>
  <si>
    <t xml:space="preserve">Pay against the printed rate card only</t>
  </si>
  <si>
    <t xml:space="preserve">Pure-veg food hard to find in Gulmarg / Sonamarg</t>
  </si>
  <si>
    <t xml:space="preserve">Long lunch searches</t>
  </si>
  <si>
    <t xml:space="preserve">Pre-book; or packed lunch from the hotel</t>
  </si>
  <si>
    <t xml:space="preserve">Packed lunch as standard on Days 5–6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</si>
  <si>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</si>
  <si>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</si>
  <si>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</si>
  <si>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</si>
  <si>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</si>
  <si>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</si>
  <si>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</si>
  <si>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</si>
  <si>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</si>
  <si>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</si>
  <si>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2.5 hrs early</t>
  </si>
  <si>
    <t xml:space="preserve">Book departure after 17:30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</si>
  <si>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</si>
  <si>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</si>
  <si>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</si>
  <si>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</si>
  <si>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</si>
  <si>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</si>
  <si>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</si>
  <si>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</si>
  <si>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</si>
  <si>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you are back in Katra</t>
  </si>
  <si>
    <t xml:space="preserve">Pack a small day bag for Bhawan; the main suitcase stays at the Katra hotel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</si>
  <si>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</si>
  <si>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</si>
  <si>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</si>
  <si>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Hire ponies, union cabs and sledges only at the posted rate; confirm the price before you start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</si>
  <si>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</si>
  <si>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</si>
  <si>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</si>
  <si>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</si>
  <si>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</si>
  <si>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</si>
  <si>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or Pahalgam,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</si>
  <si>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</si>
  <si>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</si>
  <si>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</si>
  <si>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</si>
  <si>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</si>
  <si>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</si>
  <si>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</si>
  <si>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</si>
  <si>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Agree union cab, pony and gondola arrangements in writing through the hotel or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</si>
  <si>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</si>
  <si>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</si>
  <si>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</si>
  <si>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</si>
  <si>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</si>
  <si>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</si>
  <si>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</si>
  <si>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</si>
  <si>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</si>
  <si>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</si>
  <si>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</si>
  <si>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</si>
  <si>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</si>
  <si>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</si>
  <si>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By 25 Dec 2026</t>
  </si>
  <si>
    <t xml:space="preserve">Registrations close: collect yatri names, photo ID (Aadhaar / passport), age, weight, phone, emergency contact, medical notes; mark who does 4 days and who does 8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</si>
  <si>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</si>
  <si>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</si>
  <si>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</si>
  <si>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numbers; who does 4 days and who does 8</t>
  </si>
  <si>
    <t xml:space="preserve">1 Jan 2027</t>
  </si>
  <si>
    <t xml:space="preserve">Book helicopter Day 2 (Katra → Sanjichhat) and Day 3 (Sanjichhat → Katra) on the SMVDSB portal</t>
  </si>
  <si>
    <t xml:space="preserve">Travel agent with yatra coordinator</t>
  </si>
  <si>
    <t xml:space="preserve">All yatris together</t>
  </si>
  <si>
    <t xml:space="preserve">Booking opening day</t>
  </si>
  <si>
    <t xml:space="preserve">Book Bhawan accommodation (Day 2 night), Atka Aarti passes, Bhairon ropeway</t>
  </si>
  <si>
    <t xml:space="preserve">SMVDSB portal</t>
  </si>
  <si>
    <t xml:space="preserve">T−45 days</t>
  </si>
  <si>
    <t xml:space="preserve">Book flights: home → Jammu (Day 1, arriving by 14:00), Jammu → Srinagar (Day 4 morning), Srinagar → home (Day 8, after 17:30)</t>
  </si>
  <si>
    <t xml:space="preserve">Travel desk</t>
  </si>
  <si>
    <t xml:space="preserve">Group fares</t>
  </si>
  <si>
    <t xml:space="preserve">Book hotels: Jammu (Day 1), Katra (Day 3), Srinagar hotel / houseboat (Days 4 and 6, MAP), Gulmarg (Day 5, MAP), Pahalgam (Day 7, MAP)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</si>
  <si>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</si>
  <si>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</si>
  <si>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</si>
  <si>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</si>
  <si>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online (Phase 1 and 2) for Day 5</t>
  </si>
  <si>
    <t xml:space="preserve">Official gondola booking site</t>
  </si>
  <si>
    <t xml:space="preserve">T−15 days</t>
  </si>
  <si>
    <t xml:space="preserve">Pre-book lunch restaurants (Jammu, Katra, Gulmarg, Sonamarg, Srinagar); confirm union cab rate for Pahalgam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</si>
  <si>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</si>
  <si>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</si>
  <si>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</si>
  <si>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</si>
  <si>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</si>
  <si>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</si>
  <si>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</si>
  <si>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</si>
  <si>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</si>
  <si>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</si>
  <si>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</si>
  <si>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</si>
  <si>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</si>
  <si>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</si>
  <si>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</si>
  <si>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</si>
  <si>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</si>
  <si>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</si>
  <si>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</si>
  <si>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</si>
  <si>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</si>
  <si>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</si>
  <si>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</si>
  <si>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</si>
  <si>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</si>
  <si>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</si>
  <si>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</si>
  <si>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</si>
  <si>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</si>
  <si>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</si>
  <si>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</si>
  <si>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</si>
  <si>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</si>
  <si>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</si>
  <si>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</si>
  <si>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</si>
  <si>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</si>
  <si>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</si>
  <si>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</si>
  <si>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Pahalgam and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</si>
  <si>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</si>
  <si>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</si>
  <si>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</si>
  <si>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pre-book pony, palki or battery car for anyone who cannot walk 1 km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</si>
  <si>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</si>
  <si>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</si>
  <si>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</si>
  <si>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</si>
  <si>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</si>
  <si>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</si>
  <si>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</si>
  <si>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</si>
  <si>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</si>
  <si>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</si>
  <si>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 and pre-booked restaurants only; packaged water; packed lunch where pure-veg options are thin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</si>
  <si>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</si>
  <si>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</si>
  <si>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</si>
  <si>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</si>
  <si>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</si>
  <si>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</si>
  <si>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</si>
  <si>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</si>
  <si>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</si>
  <si>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</si>
  <si>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</si>
  <si>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</si>
  <si>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</si>
  <si>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</si>
  <si>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</si>
  <si>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</si>
  <si>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</si>
  <si>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</si>
  <si>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</si>
  <si>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</si>
  <si>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</si>
  <si>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</si>
  <si>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</si>
  <si>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</si>
  <si>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</si>
  <si>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</si>
  <si>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</si>
  <si>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</si>
  <si>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</si>
  <si>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</si>
  <si>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</si>
  <si>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</si>
  <si>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</si>
  <si>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</si>
  <si>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</si>
  <si>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</si>
  <si>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</si>
  <si>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payments,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</si>
  <si>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</si>
  <si>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</si>
  <si>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</si>
  <si>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union cabs,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</si>
  <si>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</si>
  <si>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</si>
  <si>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</si>
  <si>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</si>
  <si>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</si>
  <si>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</si>
  <si>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</si>
  <si>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</si>
  <si>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Katra, Srinagar, Gulmarg, Pahalgam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</si>
  <si>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</si>
  <si>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</si>
  <si>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</si>
  <si>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</si>
  <si>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</si>
  <si>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</si>
  <si>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</si>
  <si>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</si>
  <si>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</si>
  <si>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</si>
  <si>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</si>
  <si>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</si>
  <si>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</si>
  <si>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</si>
  <si>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</si>
  <si>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home → Jammu and Srinagar → home</t>
  </si>
  <si>
    <t xml:space="preserve">Per yatri</t>
  </si>
  <si>
    <t xml:space="preserve">Decide</t>
  </si>
  <si>
    <t xml:space="preserve">Flight Jammu → Srinagar</t>
  </si>
  <si>
    <t xml:space="preserve">Yes</t>
  </si>
  <si>
    <t xml:space="preserve">Hotel Jammu, 1 night with breakfast</t>
  </si>
  <si>
    <t xml:space="preserve">Twin sharing</t>
  </si>
  <si>
    <t xml:space="preserve">Bhawan accommodation, 1 night</t>
  </si>
  <si>
    <t xml:space="preserve">Per bed / room</t>
  </si>
  <si>
    <t xml:space="preserve">Hotel Katra, 1 night with breakfast</t>
  </si>
  <si>
    <t xml:space="preserve">Srinagar hotel / houseboat, 2 nights MAP</t>
  </si>
  <si>
    <t xml:space="preserve">Gulmarg hotel, 1 night MAP</t>
  </si>
  <si>
    <t xml:space="preserve">Pahalgam hotel, 1 night MAP</t>
  </si>
  <si>
    <t xml:space="preserve">Helicopter Katra ⇄ Sanjichhat</t>
  </si>
  <si>
    <t xml:space="preserve">Per yatri, both ways</t>
  </si>
  <si>
    <t xml:space="preserve">Bhairon ropeway, Atka Aarti passes</t>
  </si>
  <si>
    <t xml:space="preserve">Vehicles: Jammu–Katra (Days 1–4) and Kashmir (Days 4–8), about 641 km</t>
  </si>
  <si>
    <t xml:space="preserve">Per vehicle, split by seats</t>
  </si>
  <si>
    <t xml:space="preserve">Shikara ride, Dal Lake</t>
  </si>
  <si>
    <t xml:space="preserve">Per boat, split</t>
  </si>
  <si>
    <t xml:space="preserve">Pahalgam union cabs (Chandanwari, Betaab, Aru)</t>
  </si>
  <si>
    <t xml:space="preserve">Per cab, split</t>
  </si>
  <si>
    <t xml:space="preserve">Lunches (8) and dinners in Jammu, Katra and Bhawan</t>
  </si>
  <si>
    <t xml:space="preserve">Per plate</t>
  </si>
  <si>
    <t xml:space="preserve">Gulmarg gondola Phase 1 / Phase 2</t>
  </si>
  <si>
    <t xml:space="preserve">Optional</t>
  </si>
  <si>
    <t xml:space="preserve">Pony at Sonamarg; pony / palki at Vaishno Devi</t>
  </si>
  <si>
    <t xml:space="preserve">Per use</t>
  </si>
  <si>
    <t xml:space="preserve">No – on actuals</t>
  </si>
  <si>
    <t xml:space="preserve">Monument entry tickets (Martand, Avantipur, Betaab Valley)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</si>
  <si>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</si>
  <si>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</si>
  <si>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</si>
  <si>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</si>
  <si>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</si>
  <si>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</si>
  <si>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</si>
  <si>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Optional / not in package: gondola, pony / palki (on actuals),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</si>
  <si>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</si>
  <si>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</si>
  <si>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(the day plan assumes about 11:00)</t>
  </si>
  <si>
    <t xml:space="preserve">Helicopter slots booked on 1 Jan 2027 for Day 2 and Day 3, and the reporting time on the tickets</t>
  </si>
  <si>
    <t xml:space="preserve">Helicopter baggage limit; where main luggage waits on Day 2</t>
  </si>
  <si>
    <t xml:space="preserve">Bhawan accommodation, Atka Aarti passes and Bhairon ropeway booked</t>
  </si>
  <si>
    <t xml:space="preserve">Hotels fixed in Jammu, Katra, Srinagar (hotel or houseboat), Gulmarg and Pahalgam; replace area map links with exact pins</t>
  </si>
  <si>
    <t xml:space="preserve">Kashmir DMC and vehicles fixed; union cab rate for Pahalgam agreed</t>
  </si>
  <si>
    <t xml:space="preserve">Gulmarg gondola tickets booked (Phase 1 / Phase 2)</t>
  </si>
  <si>
    <t xml:space="preserve">Pure-veg lunch places fixed for Gulmarg and Sonamarg, or packed lunches arranged</t>
  </si>
  <si>
    <t xml:space="preserve">Verify every car km and drive time on Google Maps, especially the Gulmarg → Kheer Bhawani leg on Day 6</t>
  </si>
  <si>
    <t xml:space="preserve">Current security advisory and road status for Sonamarg and Pahalgam close to the travel date</t>
  </si>
  <si>
    <t xml:space="preserve">Which 4-day yatris continue to Kashmir, and the drop at Jammu Airport on Day 4 for those who return home</t>
  </si>
  <si>
    <t xml:space="preserve">Amalaki Ekadashi (17 Mar) grain-free menus confirmed with the Srinagar and Gulmarg hotels; parana breakfast from 07:15 on 18 Mar</t>
  </si>
  <si>
    <t xml:space="preserve">In mid-March Chandanwari, Betaab and Aru may still be snowbound; confirm with the Pahalgam union how far cabs can 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</si>
</sst>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Bhojanalaya%2C+Shri+Mata+Vaishno+Devi+Bhawan" TargetMode="External"/><Relationship Id="rId33" Type="http://schemas.openxmlformats.org/officeDocument/2006/relationships/hyperlink" Target="https://www.google.com/maps/search/?api=1&amp;query=Shri+Mata+Vaishno+Devi+Bhawan%2C+Katra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iron+Baba+Temple%2C+Vaishno+Devi" TargetMode="External"/><Relationship Id="rId37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8" Type="http://schemas.openxmlformats.org/officeDocument/2006/relationships/hyperlink" Target="https://www.google.com/maps/search/?api=1&amp;query=Sanjichhat+Helipad%2C+Vaishno+Devi" TargetMode="External"/><Relationship Id="rId39" Type="http://schemas.openxmlformats.org/officeDocument/2006/relationships/hyperlink" Target="https://www.google.com/maps/search/?api=1&amp;query=Katra+Helipad%2C+Shri+Mata+Vaishno+Devi%2C+Katra" TargetMode="External"/><Relationship Id="rId40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1" Type="http://schemas.openxmlformats.org/officeDocument/2006/relationships/hyperlink" Target="https://www.google.com/maps/search/?api=1&amp;query=Main+Bazaar%2C+Katra" TargetMode="External"/><Relationship Id="rId42" Type="http://schemas.openxmlformats.org/officeDocument/2006/relationships/hyperlink" Target="https://www.google.com/maps/search/?api=1&amp;query=pure+veg+restaurant+near+Main+Bazaar%2C+Katra" TargetMode="External"/><Relationship Id="rId43" Type="http://schemas.openxmlformats.org/officeDocument/2006/relationships/hyperlink" Target="https://www.google.com/maps/search/?api=1&amp;query=Main+Bazaar%2C+Katra" TargetMode="External"/><Relationship Id="rId44" Type="http://schemas.openxmlformats.org/officeDocument/2006/relationships/hyperlink" Target="https://www.google.com/maps/dir/?api=1&amp;origin=Main+Bazaar%2C+Katra&amp;destination=Banganga+Temple%2C+Katra&amp;travelmode=driving" TargetMode="External"/><Relationship Id="rId45" Type="http://schemas.openxmlformats.org/officeDocument/2006/relationships/hyperlink" Target="https://www.google.com/maps/search/?api=1&amp;query=Banganga+Temple%2C+Katra" TargetMode="External"/><Relationship Id="rId46" Type="http://schemas.openxmlformats.org/officeDocument/2006/relationships/hyperlink" Target="https://www.google.com/maps/dir/?api=1&amp;origin=Banganga+Temple%2C+Katra&amp;destination=Darshani+Deodi%2C+Katra&amp;travelmode=driving" TargetMode="External"/><Relationship Id="rId47" Type="http://schemas.openxmlformats.org/officeDocument/2006/relationships/hyperlink" Target="https://www.google.com/maps/search/?api=1&amp;query=Darshani+Deodi%2C+Katra" TargetMode="External"/><Relationship Id="rId48" Type="http://schemas.openxmlformats.org/officeDocument/2006/relationships/hyperlink" Target="https://www.google.com/maps/dir/?api=1&amp;origin=Darshani+Deodi%2C+Katra&amp;destination=Main+Bazaar%2C+Katra&amp;travelmode=driving" TargetMode="External"/><Relationship Id="rId49" Type="http://schemas.openxmlformats.org/officeDocument/2006/relationships/hyperlink" Target="https://www.google.com/maps/search/?api=1&amp;query=Main+Bazaar%2C+Katra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5" Type="http://schemas.openxmlformats.org/officeDocument/2006/relationships/hyperlink" Target="https://www.google.com/maps/search/?api=1&amp;query=Jammu+Airport%2C+Satwari%2C+Jammu" TargetMode="External"/><Relationship Id="rId56" Type="http://schemas.openxmlformats.org/officeDocument/2006/relationships/hyperlink" Target="https://www.google.com/maps/search/?api=1&amp;query=Srinagar+International+Airport" TargetMode="External"/><Relationship Id="rId57" Type="http://schemas.openxmlformats.org/officeDocument/2006/relationships/hyperlink" Target="https://www.google.com/maps/search/?api=1&amp;query=Srinagar+International+Airport" TargetMode="External"/><Relationship Id="rId58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59" Type="http://schemas.openxmlformats.org/officeDocument/2006/relationships/hyperlink" Target="https://www.google.com/maps/search/?api=1&amp;query=Boulevard+Road%2C+Dal+Lake%2C+Srinagar" TargetMode="External"/><Relationship Id="rId60" Type="http://schemas.openxmlformats.org/officeDocument/2006/relationships/hyperlink" Target="https://www.google.com/maps/search/?api=1&amp;query=Boulevard+Road%2C+Dal+Lake%2C+Srinagar" TargetMode="External"/><Relationship Id="rId61" Type="http://schemas.openxmlformats.org/officeDocument/2006/relationships/hyperlink" Target="https://www.google.com/maps/search/?api=1&amp;query=Shikara+Ghat+No.+9%2C+Dal+Lake%2C+Srinagar" TargetMode="External"/><Relationship Id="rId62" Type="http://schemas.openxmlformats.org/officeDocument/2006/relationships/hyperlink" Target="https://www.google.com/maps/search/?api=1&amp;query=Shikara+Ghat+No.+9%2C+Dal+Lake%2C+Srinagar" TargetMode="External"/><Relationship Id="rId63" Type="http://schemas.openxmlformats.org/officeDocument/2006/relationships/hyperlink" Target="https://www.google.com/maps/search/?api=1&amp;query=Boulevard+Road%2C+Dal+Lake%2C+Srinagar" TargetMode="External"/><Relationship Id="rId64" Type="http://schemas.openxmlformats.org/officeDocument/2006/relationships/hyperlink" Target="https://www.google.com/maps/search/?api=1&amp;query=Boulevard+Road%2C+Dal+Lake%2C+Srinagar" TargetMode="External"/><Relationship Id="rId65" Type="http://schemas.openxmlformats.org/officeDocument/2006/relationships/hyperlink" Target="https://www.google.com/maps/search/?api=1&amp;query=Boulevard+Road%2C+Dal+Lake%2C+Srinagar" TargetMode="External"/><Relationship Id="rId66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67" Type="http://schemas.openxmlformats.org/officeDocument/2006/relationships/hyperlink" Target="https://www.google.com/maps/search/?api=1&amp;query=Gulmarg+Gondola+Base+Station%2C+Gulmarg" TargetMode="External"/><Relationship Id="rId68" Type="http://schemas.openxmlformats.org/officeDocument/2006/relationships/hyperlink" Target="https://www.google.com/maps/search/?api=1&amp;query=vegetarian+restaurant+Gulmarg" TargetMode="External"/><Relationship Id="rId69" Type="http://schemas.openxmlformats.org/officeDocument/2006/relationships/hyperlink" Target="https://www.google.com/maps/search/?api=1&amp;query=Gulmarg+Hotel%2C+Gulmarg" TargetMode="External"/><Relationship Id="rId70" Type="http://schemas.openxmlformats.org/officeDocument/2006/relationships/hyperlink" Target="https://www.google.com/maps/search/?api=1&amp;query=Gulmarg+Hotel%2C+Gulmarg" TargetMode="External"/><Relationship Id="rId71" Type="http://schemas.openxmlformats.org/officeDocument/2006/relationships/hyperlink" Target="https://www.google.com/maps/dir/?api=1&amp;origin=Gulmarg+Hotel%2C+Gulmarg&amp;destination=Maharani+Temple%2C+Gulmarg&amp;travelmode=driving" TargetMode="External"/><Relationship Id="rId72" Type="http://schemas.openxmlformats.org/officeDocument/2006/relationships/hyperlink" Target="https://www.google.com/maps/search/?api=1&amp;query=Maharani+Temple%2C+Gulmarg" TargetMode="External"/><Relationship Id="rId73" Type="http://schemas.openxmlformats.org/officeDocument/2006/relationships/hyperlink" Target="https://www.google.com/maps/search/?api=1&amp;query=Gulmarg" TargetMode="External"/><Relationship Id="rId74" Type="http://schemas.openxmlformats.org/officeDocument/2006/relationships/hyperlink" Target="https://www.google.com/maps/search/?api=1&amp;query=Gulmarg+Hotel%2C+Gulmarg" TargetMode="External"/><Relationship Id="rId75" Type="http://schemas.openxmlformats.org/officeDocument/2006/relationships/hyperlink" Target="https://www.google.com/maps/search/?api=1&amp;query=Gulmarg+Hotel%2C+Gulmarg" TargetMode="External"/><Relationship Id="rId76" Type="http://schemas.openxmlformats.org/officeDocument/2006/relationships/hyperlink" Target="https://www.google.com/maps/search/?api=1&amp;query=Gulmarg+Hotel%2C+Gulmarg" TargetMode="External"/><Relationship Id="rId77" Type="http://schemas.openxmlformats.org/officeDocument/2006/relationships/hyperlink" Target="https://www.google.com/maps/dir/?api=1&amp;origin=Gulmarg+Gondola+Base+Station%2C+Gulmarg&amp;destination=Kheer+Bhawani+Temple%2C+Tulmulla%2C+Ganderbal&amp;travelmode=driving" TargetMode="External"/><Relationship Id="rId78" Type="http://schemas.openxmlformats.org/officeDocument/2006/relationships/hyperlink" Target="https://www.google.com/maps/search/?api=1&amp;query=Kheer+Bhawani+Temple%2C+Tulmulla%2C+Ganderbal" TargetMode="External"/><Relationship Id="rId79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0" Type="http://schemas.openxmlformats.org/officeDocument/2006/relationships/hyperlink" Target="https://www.google.com/maps/search/?api=1&amp;query=Thajiwas+Glacier%2C+Sonamarg" TargetMode="External"/><Relationship Id="rId81" Type="http://schemas.openxmlformats.org/officeDocument/2006/relationships/hyperlink" Target="https://www.google.com/maps/search/?api=1&amp;query=vegetarian+restaurant+Sonamarg" TargetMode="External"/><Relationship Id="rId82" Type="http://schemas.openxmlformats.org/officeDocument/2006/relationships/hyperlink" Target="https://www.google.com/maps/search/?api=1&amp;query=Sonamarg" TargetMode="External"/><Relationship Id="rId83" Type="http://schemas.openxmlformats.org/officeDocument/2006/relationships/hyperlink" Target="https://www.google.com/maps/dir/?api=1&amp;origin=Sonamarg&amp;destination=Boulevard+Road%2C+Dal+Lake%2C+Srinagar&amp;travelmode=driving" TargetMode="External"/><Relationship Id="rId84" Type="http://schemas.openxmlformats.org/officeDocument/2006/relationships/hyperlink" Target="https://www.google.com/maps/search/?api=1&amp;query=Boulevard+Road%2C+Dal+Lake%2C+Srinagar" TargetMode="External"/><Relationship Id="rId85" Type="http://schemas.openxmlformats.org/officeDocument/2006/relationships/hyperlink" Target="https://www.google.com/maps/search/?api=1&amp;query=Boulevard+Road%2C+Dal+Lake%2C+Srinagar" TargetMode="External"/><Relationship Id="rId86" Type="http://schemas.openxmlformats.org/officeDocument/2006/relationships/hyperlink" Target="https://www.google.com/maps/search/?api=1&amp;query=Boulevard+Road%2C+Dal+Lake%2C+Srinagar" TargetMode="External"/><Relationship Id="rId87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88" Type="http://schemas.openxmlformats.org/officeDocument/2006/relationships/hyperlink" Target="https://www.google.com/maps/search/?api=1&amp;query=Avantipur+Temple+Ruins%2C+Avantipora" TargetMode="External"/><Relationship Id="rId89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0" Type="http://schemas.openxmlformats.org/officeDocument/2006/relationships/hyperlink" Target="https://www.google.com/maps/search/?api=1&amp;query=Martand+Sun+Temple%2C+Anantnag" TargetMode="External"/><Relationship Id="rId91" Type="http://schemas.openxmlformats.org/officeDocument/2006/relationships/hyperlink" Target="https://www.google.com/maps/dir/?api=1&amp;origin=Martand+Sun+Temple%2C+Anantnag&amp;destination=Pahalgam&amp;travelmode=driving" TargetMode="External"/><Relationship Id="rId92" Type="http://schemas.openxmlformats.org/officeDocument/2006/relationships/hyperlink" Target="https://www.google.com/maps/search/?api=1&amp;query=Pahalgam" TargetMode="External"/><Relationship Id="rId93" Type="http://schemas.openxmlformats.org/officeDocument/2006/relationships/hyperlink" Target="https://www.google.com/maps/search/?api=1&amp;query=Pahalgam" TargetMode="External"/><Relationship Id="rId94" Type="http://schemas.openxmlformats.org/officeDocument/2006/relationships/hyperlink" Target="https://www.google.com/maps/search/?api=1&amp;query=Pahalgam+Taxi+Stand" TargetMode="External"/><Relationship Id="rId95" Type="http://schemas.openxmlformats.org/officeDocument/2006/relationships/hyperlink" Target="https://www.google.com/maps/dir/?api=1&amp;origin=Pahalgam&amp;destination=Chandanwari%2C+Pahalgam&amp;travelmode=driving" TargetMode="External"/><Relationship Id="rId96" Type="http://schemas.openxmlformats.org/officeDocument/2006/relationships/hyperlink" Target="https://www.google.com/maps/search/?api=1&amp;query=Chandanwari%2C+Pahalgam" TargetMode="External"/><Relationship Id="rId97" Type="http://schemas.openxmlformats.org/officeDocument/2006/relationships/hyperlink" Target="https://www.google.com/maps/dir/?api=1&amp;origin=Chandanwari%2C+Pahalgam&amp;destination=Betaab+Valley%2C+Pahalgam&amp;travelmode=driving" TargetMode="External"/><Relationship Id="rId98" Type="http://schemas.openxmlformats.org/officeDocument/2006/relationships/hyperlink" Target="https://www.google.com/maps/search/?api=1&amp;query=Betaab+Valley%2C+Pahalgam" TargetMode="External"/><Relationship Id="rId99" Type="http://schemas.openxmlformats.org/officeDocument/2006/relationships/hyperlink" Target="https://www.google.com/maps/dir/?api=1&amp;origin=Betaab+Valley%2C+Pahalgam&amp;destination=Aru+Valley%2C+Pahalgam&amp;travelmode=driving" TargetMode="External"/><Relationship Id="rId100" Type="http://schemas.openxmlformats.org/officeDocument/2006/relationships/hyperlink" Target="https://www.google.com/maps/search/?api=1&amp;query=Aru+Valley%2C+Pahalgam" TargetMode="External"/><Relationship Id="rId101" Type="http://schemas.openxmlformats.org/officeDocument/2006/relationships/hyperlink" Target="https://www.google.com/maps/dir/?api=1&amp;origin=Aru+Valley%2C+Pahalgam&amp;destination=Pahalgam&amp;travelmode=driving" TargetMode="External"/><Relationship Id="rId102" Type="http://schemas.openxmlformats.org/officeDocument/2006/relationships/hyperlink" Target="https://www.google.com/maps/search/?api=1&amp;query=Lidder+River%2C+Pahalgam" TargetMode="External"/><Relationship Id="rId103" Type="http://schemas.openxmlformats.org/officeDocument/2006/relationships/hyperlink" Target="https://www.google.com/maps/search/?api=1&amp;query=Pahalgam" TargetMode="External"/><Relationship Id="rId104" Type="http://schemas.openxmlformats.org/officeDocument/2006/relationships/hyperlink" Target="https://www.google.com/maps/search/?api=1&amp;query=Pahalgam" TargetMode="External"/><Relationship Id="rId105" Type="http://schemas.openxmlformats.org/officeDocument/2006/relationships/hyperlink" Target="https://www.google.com/maps/dir/?api=1&amp;origin=Pahalgam&amp;destination=Shankaracharya+Temple%2C+Srinagar&amp;travelmode=driving" TargetMode="External"/><Relationship Id="rId106" Type="http://schemas.openxmlformats.org/officeDocument/2006/relationships/hyperlink" Target="https://www.google.com/maps/search/?api=1&amp;query=Shankaracharya+Temple%2C+Srinagar" TargetMode="External"/><Relationship Id="rId107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108" Type="http://schemas.openxmlformats.org/officeDocument/2006/relationships/hyperlink" Target="https://www.google.com/maps/search/?api=1&amp;query=Jyeshta+Devi+Temple%2C+Zethyar%2C+Srinagar" TargetMode="External"/><Relationship Id="rId109" Type="http://schemas.openxmlformats.org/officeDocument/2006/relationships/hyperlink" Target="https://www.google.com/maps/search/?api=1&amp;query=pure+veg+restaurant+Srinagar" TargetMode="External"/><Relationship Id="rId110" Type="http://schemas.openxmlformats.org/officeDocument/2006/relationships/hyperlink" Target="https://www.google.com/maps/search/?api=1&amp;query=Lal+Chowk%2C+Srinagar" TargetMode="External"/><Relationship Id="rId111" Type="http://schemas.openxmlformats.org/officeDocument/2006/relationships/hyperlink" Target="https://www.google.com/maps/dir/?api=1&amp;origin=Lal+Chowk%2C+Srinagar&amp;destination=Srinagar+International+Airport&amp;travelmode=driving" TargetMode="External"/><Relationship Id="rId112" Type="http://schemas.openxmlformats.org/officeDocument/2006/relationships/hyperlink" Target="https://www.google.com/maps/search/?api=1&amp;query=Srinagar+International+Airport" TargetMode="External"/><Relationship Id="rId11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SUMIF('Minute-by-Minute'!$A$5:$A$117,A5,'Minute-by-Minute'!$I$5:$I$117)</f>
        <v>32</v>
      </c>
      <c r="E5" s="7" t="s">
        <v>14</v>
      </c>
      <c r="F5" s="9" t="n">
        <f aca="false">_xlfn.MINIFS('Minute-by-Minute'!$C$5:$C$117,'Minute-by-Minute'!$A$5:$A$117,A5)</f>
        <v>0.333333333333333</v>
      </c>
      <c r="G5" s="9" t="n">
        <f aca="false">_xlfn.MAXIFS('Minute-by-Minute'!$D$5:$D$117,'Minute-by-Minute'!$A$5:$A$117,A5)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SUMIF('Minute-by-Minute'!$A$5:$A$117,A6,'Minute-by-Minute'!$I$5:$I$117)</f>
        <v>52</v>
      </c>
      <c r="E6" s="7" t="s">
        <v>17</v>
      </c>
      <c r="F6" s="9" t="n">
        <f aca="false">_xlfn.MINIFS('Minute-by-Minute'!$C$5:$C$117,'Minute-by-Minute'!$A$5:$A$117,A6)</f>
        <v>0.270833333333333</v>
      </c>
      <c r="G6" s="9" t="n">
        <f aca="false">_xlfn.MAXIFS('Minute-by-Minute'!$D$5:$D$117,'Minute-by-Minute'!$A$5:$A$117,A6)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SUMIF('Minute-by-Minute'!$A$5:$A$117,A7,'Minute-by-Minute'!$I$5:$I$117)</f>
        <v>9</v>
      </c>
      <c r="E7" s="7" t="s">
        <v>20</v>
      </c>
      <c r="F7" s="9" t="n">
        <f aca="false">_xlfn.MINIFS('Minute-by-Minute'!$C$5:$C$117,'Minute-by-Minute'!$A$5:$A$117,A7)</f>
        <v>0.1875</v>
      </c>
      <c r="G7" s="9" t="n">
        <f aca="false">_xlfn.MAXIFS('Minute-by-Minute'!$D$5:$D$117,'Minute-by-Minute'!$A$5:$A$117,A7)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21</v>
      </c>
      <c r="D8" s="7" t="n">
        <f aca="false">SUMIF('Minute-by-Minute'!$A$5:$A$117,A8,'Minute-by-Minute'!$I$5:$I$117)</f>
        <v>64</v>
      </c>
      <c r="E8" s="7" t="s">
        <v>22</v>
      </c>
      <c r="F8" s="9" t="n">
        <f aca="false">_xlfn.MINIFS('Minute-by-Minute'!$C$5:$C$117,'Minute-by-Minute'!$A$5:$A$117,A8)</f>
        <v>0.291666666666667</v>
      </c>
      <c r="G8" s="9" t="n">
        <f aca="false">_xlfn.MAXIFS('Minute-by-Minute'!$D$5:$D$117,'Minute-by-Minute'!$A$5:$A$117,A8)</f>
        <v>0.875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23</v>
      </c>
      <c r="D9" s="7" t="n">
        <f aca="false">SUMIF('Minute-by-Minute'!$A$5:$A$117,A9,'Minute-by-Minute'!$I$5:$I$117)</f>
        <v>52</v>
      </c>
      <c r="E9" s="7" t="s">
        <v>24</v>
      </c>
      <c r="F9" s="9" t="n">
        <f aca="false">_xlfn.MINIFS('Minute-by-Minute'!$C$5:$C$117,'Minute-by-Minute'!$A$5:$A$117,A9)</f>
        <v>0.291666666666667</v>
      </c>
      <c r="G9" s="9" t="n">
        <f aca="false">_xlfn.MAXIFS('Minute-by-Minute'!$D$5:$D$117,'Minute-by-Minute'!$A$5:$A$117,A9)</f>
        <v>0.875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25</v>
      </c>
      <c r="D10" s="7" t="n">
        <f aca="false">SUMIF('Minute-by-Minute'!$A$5:$A$117,A10,'Minute-by-Minute'!$I$5:$I$117)</f>
        <v>212</v>
      </c>
      <c r="E10" s="7" t="s">
        <v>22</v>
      </c>
      <c r="F10" s="9" t="n">
        <f aca="false">_xlfn.MINIFS('Minute-by-Minute'!$C$5:$C$117,'Minute-by-Minute'!$A$5:$A$117,A10)</f>
        <v>0.302083333333333</v>
      </c>
      <c r="G10" s="9" t="n">
        <f aca="false">_xlfn.MAXIFS('Minute-by-Minute'!$D$5:$D$117,'Minute-by-Minute'!$A$5:$A$117,A10)</f>
        <v>0.875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26</v>
      </c>
      <c r="D11" s="7" t="n">
        <f aca="false">SUMIF('Minute-by-Minute'!$A$5:$A$117,A11,'Minute-by-Minute'!$I$5:$I$117)</f>
        <v>105</v>
      </c>
      <c r="E11" s="7" t="s">
        <v>27</v>
      </c>
      <c r="F11" s="9" t="n">
        <f aca="false">_xlfn.MINIFS('Minute-by-Minute'!$C$5:$C$117,'Minute-by-Minute'!$A$5:$A$117,A11)</f>
        <v>0.291666666666667</v>
      </c>
      <c r="G11" s="9" t="n">
        <f aca="false">_xlfn.MAXIFS('Minute-by-Minute'!$D$5:$D$117,'Minute-by-Minute'!$A$5:$A$117,A11)</f>
        <v>0.875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28</v>
      </c>
      <c r="D12" s="7" t="n">
        <f aca="false">SUMIF('Minute-by-Minute'!$A$5:$A$117,A12,'Minute-by-Minute'!$I$5:$I$117)</f>
        <v>115</v>
      </c>
      <c r="E12" s="7" t="s">
        <v>29</v>
      </c>
      <c r="F12" s="9" t="n">
        <f aca="false">_xlfn.MINIFS('Minute-by-Minute'!$C$5:$C$117,'Minute-by-Minute'!$A$5:$A$117,A12)</f>
        <v>0.291666666666667</v>
      </c>
      <c r="G12" s="9" t="n">
        <f aca="false">_xlfn.MAXIFS('Minute-by-Minute'!$D$5:$D$117,'Minute-by-Minute'!$A$5:$A$117,A12)</f>
        <v>0.666666666666667</v>
      </c>
    </row>
    <row r="13" customFormat="false" ht="15" hidden="false" customHeight="false" outlineLevel="0" collapsed="false">
      <c r="A13" s="3" t="s">
        <v>30</v>
      </c>
      <c r="D13" s="3" t="n">
        <f aca="false">SUM(D5:D12)</f>
        <v>641</v>
      </c>
      <c r="E13" s="2" t="s">
        <v>31</v>
      </c>
    </row>
    <row r="15" customFormat="false" ht="15" hidden="false" customHeight="false" outlineLevel="0" collapsed="false">
      <c r="A15" s="2" t="s">
        <v>32</v>
      </c>
    </row>
    <row r="16" customFormat="false" ht="15" hidden="false" customHeight="false" outlineLevel="0" collapsed="false">
      <c r="A16" s="2" t="s">
        <v>33</v>
      </c>
    </row>
    <row r="17" customFormat="false" ht="15" hidden="false" customHeight="false" outlineLevel="0" collapsed="false">
      <c r="A17" s="2" t="s">
        <v>34</v>
      </c>
    </row>
    <row r="18" customFormat="false" ht="15" hidden="false" customHeight="false" outlineLevel="0" collapsed="false">
      <c r="A18" s="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5" t="s">
        <v>37</v>
      </c>
    </row>
    <row r="4" customFormat="false" ht="23.85" hidden="false" customHeight="false" outlineLevel="0" collapsed="false">
      <c r="A4" s="10" t="s">
        <v>5</v>
      </c>
      <c r="B4" s="10" t="s">
        <v>6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42</v>
      </c>
      <c r="H4" s="10" t="s">
        <v>43</v>
      </c>
      <c r="I4" s="10" t="s">
        <v>8</v>
      </c>
      <c r="J4" s="10" t="s">
        <v>44</v>
      </c>
      <c r="K4" s="10" t="s">
        <v>45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46</v>
      </c>
      <c r="G5" s="11" t="s">
        <v>47</v>
      </c>
      <c r="H5" s="11"/>
      <c r="I5" s="11"/>
      <c r="J5" s="11" t="s">
        <v>48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49</v>
      </c>
      <c r="G6" s="14" t="s">
        <v>50</v>
      </c>
      <c r="H6" s="14"/>
      <c r="I6" s="14"/>
      <c r="J6" s="14" t="s">
        <v>51</v>
      </c>
      <c r="K6" s="17" t="s">
        <v>52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53</v>
      </c>
      <c r="G7" s="14" t="s">
        <v>54</v>
      </c>
      <c r="H7" s="14" t="s">
        <v>55</v>
      </c>
      <c r="I7" s="14" t="n">
        <v>7</v>
      </c>
      <c r="J7" s="14" t="s">
        <v>56</v>
      </c>
      <c r="K7" s="17" t="s">
        <v>52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57</v>
      </c>
      <c r="G8" s="14" t="s">
        <v>58</v>
      </c>
      <c r="H8" s="14"/>
      <c r="I8" s="14"/>
      <c r="J8" s="14" t="s">
        <v>59</v>
      </c>
      <c r="K8" s="17" t="s">
        <v>52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60</v>
      </c>
      <c r="G9" s="11" t="s">
        <v>61</v>
      </c>
      <c r="H9" s="11"/>
      <c r="I9" s="11"/>
      <c r="J9" s="11" t="s">
        <v>62</v>
      </c>
      <c r="K9" s="18" t="s">
        <v>52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53</v>
      </c>
      <c r="G10" s="14" t="s">
        <v>58</v>
      </c>
      <c r="H10" s="14" t="s">
        <v>63</v>
      </c>
      <c r="I10" s="14" t="n">
        <v>5</v>
      </c>
      <c r="J10" s="14" t="s">
        <v>64</v>
      </c>
      <c r="K10" s="17" t="s">
        <v>52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65</v>
      </c>
      <c r="G11" s="14" t="s">
        <v>63</v>
      </c>
      <c r="H11" s="14"/>
      <c r="I11" s="14"/>
      <c r="J11" s="14" t="s">
        <v>66</v>
      </c>
      <c r="K11" s="17" t="s">
        <v>52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53</v>
      </c>
      <c r="G12" s="14" t="s">
        <v>63</v>
      </c>
      <c r="H12" s="14" t="s">
        <v>67</v>
      </c>
      <c r="I12" s="14" t="n">
        <v>1</v>
      </c>
      <c r="J12" s="14" t="s">
        <v>68</v>
      </c>
      <c r="K12" s="17" t="s">
        <v>52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65</v>
      </c>
      <c r="G13" s="14" t="s">
        <v>67</v>
      </c>
      <c r="H13" s="14"/>
      <c r="I13" s="14"/>
      <c r="J13" s="14" t="s">
        <v>69</v>
      </c>
      <c r="K13" s="17" t="s">
        <v>52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53</v>
      </c>
      <c r="G14" s="14" t="s">
        <v>67</v>
      </c>
      <c r="H14" s="14" t="s">
        <v>70</v>
      </c>
      <c r="I14" s="14" t="n">
        <v>6</v>
      </c>
      <c r="J14" s="14" t="s">
        <v>71</v>
      </c>
      <c r="K14" s="17" t="s">
        <v>52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65</v>
      </c>
      <c r="G15" s="14" t="s">
        <v>72</v>
      </c>
      <c r="H15" s="14"/>
      <c r="I15" s="14"/>
      <c r="J15" s="14" t="s">
        <v>73</v>
      </c>
      <c r="K15" s="17" t="s">
        <v>52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53</v>
      </c>
      <c r="G16" s="14" t="s">
        <v>74</v>
      </c>
      <c r="H16" s="14" t="s">
        <v>75</v>
      </c>
      <c r="I16" s="14" t="n">
        <v>7</v>
      </c>
      <c r="J16" s="14" t="s">
        <v>76</v>
      </c>
      <c r="K16" s="17" t="s">
        <v>52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65</v>
      </c>
      <c r="G17" s="14" t="s">
        <v>75</v>
      </c>
      <c r="H17" s="14"/>
      <c r="I17" s="14"/>
      <c r="J17" s="14" t="s">
        <v>77</v>
      </c>
      <c r="K17" s="17" t="s">
        <v>52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53</v>
      </c>
      <c r="G18" s="14" t="s">
        <v>75</v>
      </c>
      <c r="H18" s="14" t="s">
        <v>58</v>
      </c>
      <c r="I18" s="14" t="n">
        <v>6</v>
      </c>
      <c r="J18" s="14" t="s">
        <v>78</v>
      </c>
      <c r="K18" s="17" t="s">
        <v>52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57</v>
      </c>
      <c r="G19" s="14" t="s">
        <v>58</v>
      </c>
      <c r="H19" s="14"/>
      <c r="I19" s="14"/>
      <c r="J19" s="14" t="s">
        <v>79</v>
      </c>
      <c r="K19" s="17" t="s">
        <v>52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80</v>
      </c>
      <c r="G20" s="11" t="s">
        <v>61</v>
      </c>
      <c r="H20" s="11"/>
      <c r="I20" s="11"/>
      <c r="J20" s="11" t="s">
        <v>81</v>
      </c>
      <c r="K20" s="18" t="s">
        <v>52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0.270833333333333</v>
      </c>
      <c r="D21" s="13" t="n">
        <v>0.291666666666667</v>
      </c>
      <c r="E21" s="11" t="n">
        <f aca="false">ROUND((D21-C21)*1440,0)</f>
        <v>30</v>
      </c>
      <c r="F21" s="11" t="s">
        <v>46</v>
      </c>
      <c r="G21" s="11" t="s">
        <v>61</v>
      </c>
      <c r="H21" s="11"/>
      <c r="I21" s="11"/>
      <c r="J21" s="11" t="s">
        <v>82</v>
      </c>
      <c r="K21" s="18" t="s">
        <v>52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0.291666666666667</v>
      </c>
      <c r="D22" s="16" t="n">
        <v>0.302083333333333</v>
      </c>
      <c r="E22" s="14" t="n">
        <f aca="false">ROUND((D22-C22)*1440,0)</f>
        <v>15</v>
      </c>
      <c r="F22" s="14" t="s">
        <v>57</v>
      </c>
      <c r="G22" s="14" t="s">
        <v>58</v>
      </c>
      <c r="H22" s="14"/>
      <c r="I22" s="14"/>
      <c r="J22" s="14" t="s">
        <v>83</v>
      </c>
      <c r="K22" s="17" t="s">
        <v>52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0.302083333333333</v>
      </c>
      <c r="D23" s="16" t="n">
        <v>0.364583333333333</v>
      </c>
      <c r="E23" s="14" t="n">
        <f aca="false">ROUND((D23-C23)*1440,0)</f>
        <v>90</v>
      </c>
      <c r="F23" s="14" t="s">
        <v>53</v>
      </c>
      <c r="G23" s="14" t="s">
        <v>58</v>
      </c>
      <c r="H23" s="14" t="s">
        <v>20</v>
      </c>
      <c r="I23" s="14" t="n">
        <v>50</v>
      </c>
      <c r="J23" s="14" t="s">
        <v>84</v>
      </c>
      <c r="K23" s="17" t="s">
        <v>52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0.364583333333333</v>
      </c>
      <c r="D24" s="16" t="n">
        <v>0.385416666666667</v>
      </c>
      <c r="E24" s="14" t="n">
        <f aca="false">ROUND((D24-C24)*1440,0)</f>
        <v>30</v>
      </c>
      <c r="F24" s="14" t="s">
        <v>85</v>
      </c>
      <c r="G24" s="14" t="s">
        <v>86</v>
      </c>
      <c r="H24" s="14"/>
      <c r="I24" s="14"/>
      <c r="J24" s="14" t="s">
        <v>87</v>
      </c>
      <c r="K24" s="17" t="s">
        <v>52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0.385416666666667</v>
      </c>
      <c r="D25" s="16" t="n">
        <v>0.392361111111111</v>
      </c>
      <c r="E25" s="14" t="n">
        <f aca="false">ROUND((D25-C25)*1440,0)</f>
        <v>10</v>
      </c>
      <c r="F25" s="14" t="s">
        <v>53</v>
      </c>
      <c r="G25" s="14" t="s">
        <v>88</v>
      </c>
      <c r="H25" s="14" t="s">
        <v>89</v>
      </c>
      <c r="I25" s="14" t="n">
        <v>2</v>
      </c>
      <c r="J25" s="14" t="s">
        <v>90</v>
      </c>
      <c r="K25" s="17" t="s">
        <v>52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0.392361111111111</v>
      </c>
      <c r="D26" s="16" t="n">
        <v>0.4375</v>
      </c>
      <c r="E26" s="14" t="n">
        <f aca="false">ROUND((D26-C26)*1440,0)</f>
        <v>65</v>
      </c>
      <c r="F26" s="14" t="s">
        <v>91</v>
      </c>
      <c r="G26" s="14" t="s">
        <v>89</v>
      </c>
      <c r="H26" s="14"/>
      <c r="I26" s="14"/>
      <c r="J26" s="14" t="s">
        <v>92</v>
      </c>
      <c r="K26" s="17" t="s">
        <v>52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0.4375</v>
      </c>
      <c r="D27" s="21" t="n">
        <v>0.444444444444444</v>
      </c>
      <c r="E27" s="19" t="n">
        <f aca="false">ROUND((D27-C27)*1440,0)</f>
        <v>10</v>
      </c>
      <c r="F27" s="19" t="s">
        <v>93</v>
      </c>
      <c r="G27" s="19" t="s">
        <v>89</v>
      </c>
      <c r="H27" s="19" t="s">
        <v>94</v>
      </c>
      <c r="I27" s="19"/>
      <c r="J27" s="19" t="s">
        <v>95</v>
      </c>
      <c r="K27" s="22" t="s">
        <v>52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0.444444444444444</v>
      </c>
      <c r="D28" s="16" t="n">
        <v>0.489583333333333</v>
      </c>
      <c r="E28" s="14" t="n">
        <f aca="false">ROUND((D28-C28)*1440,0)</f>
        <v>65</v>
      </c>
      <c r="F28" s="14" t="s">
        <v>96</v>
      </c>
      <c r="G28" s="14" t="s">
        <v>94</v>
      </c>
      <c r="H28" s="14" t="s">
        <v>17</v>
      </c>
      <c r="I28" s="14"/>
      <c r="J28" s="14" t="s">
        <v>97</v>
      </c>
      <c r="K28" s="17" t="s">
        <v>52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0.489583333333333</v>
      </c>
      <c r="D29" s="16" t="n">
        <v>0.510416666666667</v>
      </c>
      <c r="E29" s="14" t="n">
        <f aca="false">ROUND((D29-C29)*1440,0)</f>
        <v>30</v>
      </c>
      <c r="F29" s="14" t="s">
        <v>57</v>
      </c>
      <c r="G29" s="14" t="s">
        <v>17</v>
      </c>
      <c r="H29" s="14"/>
      <c r="I29" s="14"/>
      <c r="J29" s="14" t="s">
        <v>98</v>
      </c>
      <c r="K29" s="17" t="s">
        <v>52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0.510416666666667</v>
      </c>
      <c r="D30" s="13" t="n">
        <v>0.541666666666667</v>
      </c>
      <c r="E30" s="11" t="n">
        <f aca="false">ROUND((D30-C30)*1440,0)</f>
        <v>45</v>
      </c>
      <c r="F30" s="11" t="s">
        <v>60</v>
      </c>
      <c r="G30" s="11" t="s">
        <v>99</v>
      </c>
      <c r="H30" s="11"/>
      <c r="I30" s="11"/>
      <c r="J30" s="11" t="s">
        <v>100</v>
      </c>
      <c r="K30" s="18" t="s">
        <v>52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0.541666666666667</v>
      </c>
      <c r="D31" s="16" t="n">
        <v>0.6875</v>
      </c>
      <c r="E31" s="14" t="n">
        <f aca="false">ROUND((D31-C31)*1440,0)</f>
        <v>210</v>
      </c>
      <c r="F31" s="14" t="s">
        <v>101</v>
      </c>
      <c r="G31" s="14" t="s">
        <v>17</v>
      </c>
      <c r="H31" s="14"/>
      <c r="I31" s="14"/>
      <c r="J31" s="14" t="s">
        <v>102</v>
      </c>
      <c r="K31" s="17" t="s">
        <v>52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65</v>
      </c>
      <c r="G32" s="14" t="s">
        <v>103</v>
      </c>
      <c r="H32" s="14"/>
      <c r="I32" s="14"/>
      <c r="J32" s="14" t="s">
        <v>104</v>
      </c>
      <c r="K32" s="17" t="s">
        <v>52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105</v>
      </c>
      <c r="G33" s="14" t="s">
        <v>17</v>
      </c>
      <c r="H33" s="14"/>
      <c r="I33" s="14"/>
      <c r="J33" s="14" t="s">
        <v>106</v>
      </c>
      <c r="K33" s="17" t="s">
        <v>52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80</v>
      </c>
      <c r="G34" s="11" t="s">
        <v>99</v>
      </c>
      <c r="H34" s="11"/>
      <c r="I34" s="11"/>
      <c r="J34" s="11" t="s">
        <v>107</v>
      </c>
      <c r="K34" s="18" t="s">
        <v>52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57</v>
      </c>
      <c r="G35" s="14" t="s">
        <v>17</v>
      </c>
      <c r="H35" s="14"/>
      <c r="I35" s="14"/>
      <c r="J35" s="14" t="s">
        <v>108</v>
      </c>
      <c r="K35" s="17" t="s">
        <v>52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105</v>
      </c>
      <c r="G36" s="14" t="s">
        <v>17</v>
      </c>
      <c r="H36" s="14"/>
      <c r="I36" s="14"/>
      <c r="J36" s="14" t="s">
        <v>109</v>
      </c>
      <c r="K36" s="17" t="s">
        <v>52</v>
      </c>
    </row>
    <row r="37" customFormat="false" ht="23.85" hidden="false" customHeight="false" outlineLevel="0" collapsed="false">
      <c r="A37" s="11" t="n">
        <v>3</v>
      </c>
      <c r="B37" s="12" t="n">
        <f aca="false">Overview!$B$3+A37-1</f>
        <v>46461</v>
      </c>
      <c r="C37" s="13" t="n">
        <v>0.291666666666667</v>
      </c>
      <c r="D37" s="13" t="n">
        <v>0.3125</v>
      </c>
      <c r="E37" s="11" t="n">
        <f aca="false">ROUND((D37-C37)*1440,0)</f>
        <v>30</v>
      </c>
      <c r="F37" s="11" t="s">
        <v>46</v>
      </c>
      <c r="G37" s="11" t="s">
        <v>99</v>
      </c>
      <c r="H37" s="11"/>
      <c r="I37" s="11"/>
      <c r="J37" s="11" t="s">
        <v>110</v>
      </c>
      <c r="K37" s="18" t="s">
        <v>52</v>
      </c>
    </row>
    <row r="38" customFormat="false" ht="15" hidden="false" customHeight="false" outlineLevel="0" collapsed="false">
      <c r="A38" s="14" t="n">
        <v>3</v>
      </c>
      <c r="B38" s="15" t="n">
        <f aca="false">Overview!$B$3+A38-1</f>
        <v>46461</v>
      </c>
      <c r="C38" s="16" t="n">
        <v>0.3125</v>
      </c>
      <c r="D38" s="16" t="n">
        <v>0.322916666666667</v>
      </c>
      <c r="E38" s="14" t="n">
        <f aca="false">ROUND((D38-C38)*1440,0)</f>
        <v>15</v>
      </c>
      <c r="F38" s="14" t="s">
        <v>57</v>
      </c>
      <c r="G38" s="14" t="s">
        <v>17</v>
      </c>
      <c r="H38" s="14"/>
      <c r="I38" s="14"/>
      <c r="J38" s="14" t="s">
        <v>111</v>
      </c>
      <c r="K38" s="17" t="s">
        <v>52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0.322916666666667</v>
      </c>
      <c r="D39" s="16" t="n">
        <v>0.333333333333333</v>
      </c>
      <c r="E39" s="14" t="n">
        <f aca="false">ROUND((D39-C39)*1440,0)</f>
        <v>15</v>
      </c>
      <c r="F39" s="14" t="s">
        <v>112</v>
      </c>
      <c r="G39" s="14" t="s">
        <v>17</v>
      </c>
      <c r="H39" s="14" t="s">
        <v>113</v>
      </c>
      <c r="I39" s="14"/>
      <c r="J39" s="14" t="s">
        <v>114</v>
      </c>
      <c r="K39" s="17" t="s">
        <v>52</v>
      </c>
    </row>
    <row r="40" customFormat="false" ht="15" hidden="false" customHeight="false" outlineLevel="0" collapsed="false">
      <c r="A40" s="19" t="n">
        <v>3</v>
      </c>
      <c r="B40" s="20" t="n">
        <f aca="false">Overview!$B$3+A40-1</f>
        <v>46461</v>
      </c>
      <c r="C40" s="21" t="n">
        <v>0.333333333333333</v>
      </c>
      <c r="D40" s="21" t="n">
        <v>0.347222222222222</v>
      </c>
      <c r="E40" s="19" t="n">
        <f aca="false">ROUND((D40-C40)*1440,0)</f>
        <v>20</v>
      </c>
      <c r="F40" s="19" t="s">
        <v>115</v>
      </c>
      <c r="G40" s="19" t="s">
        <v>113</v>
      </c>
      <c r="H40" s="19" t="s">
        <v>116</v>
      </c>
      <c r="I40" s="19"/>
      <c r="J40" s="19" t="s">
        <v>117</v>
      </c>
      <c r="K40" s="22" t="s">
        <v>52</v>
      </c>
    </row>
    <row r="41" customFormat="false" ht="15" hidden="false" customHeight="false" outlineLevel="0" collapsed="false">
      <c r="A41" s="14" t="n">
        <v>3</v>
      </c>
      <c r="B41" s="15" t="n">
        <f aca="false">Overview!$B$3+A41-1</f>
        <v>46461</v>
      </c>
      <c r="C41" s="16" t="n">
        <v>0.347222222222222</v>
      </c>
      <c r="D41" s="16" t="n">
        <v>0.375</v>
      </c>
      <c r="E41" s="14" t="n">
        <f aca="false">ROUND((D41-C41)*1440,0)</f>
        <v>40</v>
      </c>
      <c r="F41" s="14" t="s">
        <v>65</v>
      </c>
      <c r="G41" s="14" t="s">
        <v>118</v>
      </c>
      <c r="H41" s="14"/>
      <c r="I41" s="14"/>
      <c r="J41" s="14" t="s">
        <v>119</v>
      </c>
      <c r="K41" s="17" t="s">
        <v>52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0.375</v>
      </c>
      <c r="D42" s="16" t="n">
        <v>0.416666666666667</v>
      </c>
      <c r="E42" s="14" t="n">
        <f aca="false">ROUND((D42-C42)*1440,0)</f>
        <v>60</v>
      </c>
      <c r="F42" s="14" t="s">
        <v>120</v>
      </c>
      <c r="G42" s="14" t="s">
        <v>121</v>
      </c>
      <c r="H42" s="14" t="s">
        <v>94</v>
      </c>
      <c r="I42" s="14"/>
      <c r="J42" s="14" t="s">
        <v>122</v>
      </c>
      <c r="K42" s="17" t="s">
        <v>52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0.416666666666667</v>
      </c>
      <c r="D43" s="16" t="n">
        <v>0.458333333333333</v>
      </c>
      <c r="E43" s="14" t="n">
        <f aca="false">ROUND((D43-C43)*1440,0)</f>
        <v>60</v>
      </c>
      <c r="F43" s="14" t="s">
        <v>91</v>
      </c>
      <c r="G43" s="14" t="s">
        <v>94</v>
      </c>
      <c r="H43" s="14"/>
      <c r="I43" s="14"/>
      <c r="J43" s="14" t="s">
        <v>123</v>
      </c>
      <c r="K43" s="17" t="s">
        <v>52</v>
      </c>
    </row>
    <row r="44" customFormat="false" ht="15" hidden="false" customHeight="false" outlineLevel="0" collapsed="false">
      <c r="A44" s="19" t="n">
        <v>3</v>
      </c>
      <c r="B44" s="20" t="n">
        <f aca="false">Overview!$B$3+A44-1</f>
        <v>46461</v>
      </c>
      <c r="C44" s="21" t="n">
        <v>0.458333333333333</v>
      </c>
      <c r="D44" s="21" t="n">
        <v>0.465277777777778</v>
      </c>
      <c r="E44" s="19" t="n">
        <f aca="false">ROUND((D44-C44)*1440,0)</f>
        <v>10</v>
      </c>
      <c r="F44" s="19" t="s">
        <v>93</v>
      </c>
      <c r="G44" s="19" t="s">
        <v>94</v>
      </c>
      <c r="H44" s="19" t="s">
        <v>89</v>
      </c>
      <c r="I44" s="19"/>
      <c r="J44" s="19" t="s">
        <v>124</v>
      </c>
      <c r="K44" s="22" t="s">
        <v>52</v>
      </c>
    </row>
    <row r="45" customFormat="false" ht="15" hidden="false" customHeight="false" outlineLevel="0" collapsed="false">
      <c r="A45" s="14" t="n">
        <v>3</v>
      </c>
      <c r="B45" s="15" t="n">
        <f aca="false">Overview!$B$3+A45-1</f>
        <v>46461</v>
      </c>
      <c r="C45" s="16" t="n">
        <v>0.465277777777778</v>
      </c>
      <c r="D45" s="16" t="n">
        <v>0.475694444444444</v>
      </c>
      <c r="E45" s="14" t="n">
        <f aca="false">ROUND((D45-C45)*1440,0)</f>
        <v>15</v>
      </c>
      <c r="F45" s="14" t="s">
        <v>53</v>
      </c>
      <c r="G45" s="14" t="s">
        <v>89</v>
      </c>
      <c r="H45" s="14" t="s">
        <v>125</v>
      </c>
      <c r="I45" s="14" t="n">
        <v>2</v>
      </c>
      <c r="J45" s="14" t="s">
        <v>126</v>
      </c>
      <c r="K45" s="17" t="s">
        <v>52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0.475694444444444</v>
      </c>
      <c r="D46" s="16" t="n">
        <v>0.510416666666667</v>
      </c>
      <c r="E46" s="14" t="n">
        <f aca="false">ROUND((D46-C46)*1440,0)</f>
        <v>50</v>
      </c>
      <c r="F46" s="14" t="s">
        <v>57</v>
      </c>
      <c r="G46" s="14" t="s">
        <v>125</v>
      </c>
      <c r="H46" s="14"/>
      <c r="I46" s="14"/>
      <c r="J46" s="14" t="s">
        <v>59</v>
      </c>
      <c r="K46" s="17" t="s">
        <v>52</v>
      </c>
    </row>
    <row r="47" customFormat="false" ht="23.85" hidden="false" customHeight="false" outlineLevel="0" collapsed="false">
      <c r="A47" s="11" t="n">
        <v>3</v>
      </c>
      <c r="B47" s="12" t="n">
        <f aca="false">Overview!$B$3+A47-1</f>
        <v>46461</v>
      </c>
      <c r="C47" s="13" t="n">
        <v>0.510416666666667</v>
      </c>
      <c r="D47" s="13" t="n">
        <v>0.541666666666667</v>
      </c>
      <c r="E47" s="11" t="n">
        <f aca="false">ROUND((D47-C47)*1440,0)</f>
        <v>45</v>
      </c>
      <c r="F47" s="11" t="s">
        <v>60</v>
      </c>
      <c r="G47" s="11" t="s">
        <v>127</v>
      </c>
      <c r="H47" s="11"/>
      <c r="I47" s="11"/>
      <c r="J47" s="11" t="s">
        <v>128</v>
      </c>
      <c r="K47" s="18" t="s">
        <v>52</v>
      </c>
    </row>
    <row r="48" customFormat="false" ht="15" hidden="false" customHeight="false" outlineLevel="0" collapsed="false">
      <c r="A48" s="14" t="n">
        <v>3</v>
      </c>
      <c r="B48" s="15" t="n">
        <f aca="false">Overview!$B$3+A48-1</f>
        <v>46461</v>
      </c>
      <c r="C48" s="16" t="n">
        <v>0.541666666666667</v>
      </c>
      <c r="D48" s="16" t="n">
        <v>0.666666666666667</v>
      </c>
      <c r="E48" s="14" t="n">
        <f aca="false">ROUND((D48-C48)*1440,0)</f>
        <v>180</v>
      </c>
      <c r="F48" s="14" t="s">
        <v>101</v>
      </c>
      <c r="G48" s="14" t="s">
        <v>125</v>
      </c>
      <c r="H48" s="14"/>
      <c r="I48" s="14"/>
      <c r="J48" s="14" t="s">
        <v>101</v>
      </c>
      <c r="K48" s="17" t="s">
        <v>52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0.666666666666667</v>
      </c>
      <c r="D49" s="16" t="n">
        <v>0.677083333333333</v>
      </c>
      <c r="E49" s="14" t="n">
        <f aca="false">ROUND((D49-C49)*1440,0)</f>
        <v>15</v>
      </c>
      <c r="F49" s="14" t="s">
        <v>53</v>
      </c>
      <c r="G49" s="14" t="s">
        <v>125</v>
      </c>
      <c r="H49" s="14" t="s">
        <v>129</v>
      </c>
      <c r="I49" s="14" t="n">
        <v>3</v>
      </c>
      <c r="J49" s="14" t="s">
        <v>130</v>
      </c>
      <c r="K49" s="17" t="s">
        <v>52</v>
      </c>
    </row>
    <row r="50" customFormat="false" ht="23.8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0.677083333333333</v>
      </c>
      <c r="D50" s="16" t="n">
        <v>0.708333333333333</v>
      </c>
      <c r="E50" s="14" t="n">
        <f aca="false">ROUND((D50-C50)*1440,0)</f>
        <v>45</v>
      </c>
      <c r="F50" s="14" t="s">
        <v>65</v>
      </c>
      <c r="G50" s="14" t="s">
        <v>129</v>
      </c>
      <c r="H50" s="14"/>
      <c r="I50" s="14"/>
      <c r="J50" s="14" t="s">
        <v>131</v>
      </c>
      <c r="K50" s="17" t="s">
        <v>52</v>
      </c>
    </row>
    <row r="51" customFormat="false" ht="1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0.708333333333333</v>
      </c>
      <c r="D51" s="16" t="n">
        <v>0.715277777777778</v>
      </c>
      <c r="E51" s="14" t="n">
        <f aca="false">ROUND((D51-C51)*1440,0)</f>
        <v>10</v>
      </c>
      <c r="F51" s="14" t="s">
        <v>53</v>
      </c>
      <c r="G51" s="14" t="s">
        <v>129</v>
      </c>
      <c r="H51" s="14" t="s">
        <v>132</v>
      </c>
      <c r="I51" s="14" t="n">
        <v>1</v>
      </c>
      <c r="J51" s="14" t="s">
        <v>133</v>
      </c>
      <c r="K51" s="17" t="s">
        <v>52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0.715277777777778</v>
      </c>
      <c r="D52" s="16" t="n">
        <v>0.736111111111111</v>
      </c>
      <c r="E52" s="14" t="n">
        <f aca="false">ROUND((D52-C52)*1440,0)</f>
        <v>30</v>
      </c>
      <c r="F52" s="14" t="s">
        <v>65</v>
      </c>
      <c r="G52" s="14" t="s">
        <v>132</v>
      </c>
      <c r="H52" s="14"/>
      <c r="I52" s="14"/>
      <c r="J52" s="14" t="s">
        <v>134</v>
      </c>
      <c r="K52" s="17" t="s">
        <v>52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0.736111111111111</v>
      </c>
      <c r="D53" s="16" t="n">
        <v>0.746527777777778</v>
      </c>
      <c r="E53" s="14" t="n">
        <f aca="false">ROUND((D53-C53)*1440,0)</f>
        <v>15</v>
      </c>
      <c r="F53" s="14" t="s">
        <v>53</v>
      </c>
      <c r="G53" s="14" t="s">
        <v>132</v>
      </c>
      <c r="H53" s="14" t="s">
        <v>135</v>
      </c>
      <c r="I53" s="14" t="n">
        <v>2</v>
      </c>
      <c r="J53" s="14" t="s">
        <v>136</v>
      </c>
      <c r="K53" s="17" t="s">
        <v>52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0.746527777777778</v>
      </c>
      <c r="D54" s="16" t="n">
        <v>0.8125</v>
      </c>
      <c r="E54" s="14" t="n">
        <f aca="false">ROUND((D54-C54)*1440,0)</f>
        <v>95</v>
      </c>
      <c r="F54" s="14" t="s">
        <v>137</v>
      </c>
      <c r="G54" s="14" t="s">
        <v>135</v>
      </c>
      <c r="H54" s="14"/>
      <c r="I54" s="14"/>
      <c r="J54" s="14" t="s">
        <v>138</v>
      </c>
      <c r="K54" s="17" t="s">
        <v>52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0.8125</v>
      </c>
      <c r="D55" s="16" t="n">
        <v>0.822916666666667</v>
      </c>
      <c r="E55" s="14" t="n">
        <f aca="false">ROUND((D55-C55)*1440,0)</f>
        <v>15</v>
      </c>
      <c r="F55" s="14" t="s">
        <v>139</v>
      </c>
      <c r="G55" s="14" t="s">
        <v>135</v>
      </c>
      <c r="H55" s="14" t="s">
        <v>125</v>
      </c>
      <c r="I55" s="14" t="n">
        <v>1</v>
      </c>
      <c r="J55" s="14" t="s">
        <v>140</v>
      </c>
      <c r="K55" s="17" t="s">
        <v>52</v>
      </c>
    </row>
    <row r="56" customFormat="false" ht="23.85" hidden="false" customHeight="false" outlineLevel="0" collapsed="false">
      <c r="A56" s="11" t="n">
        <v>3</v>
      </c>
      <c r="B56" s="12" t="n">
        <f aca="false">Overview!$B$3+A56-1</f>
        <v>46461</v>
      </c>
      <c r="C56" s="13" t="n">
        <v>0.833333333333333</v>
      </c>
      <c r="D56" s="13" t="n">
        <v>0.875</v>
      </c>
      <c r="E56" s="11" t="n">
        <f aca="false">ROUND((D56-C56)*1440,0)</f>
        <v>60</v>
      </c>
      <c r="F56" s="11" t="s">
        <v>80</v>
      </c>
      <c r="G56" s="11" t="s">
        <v>141</v>
      </c>
      <c r="H56" s="11"/>
      <c r="I56" s="11"/>
      <c r="J56" s="11" t="s">
        <v>142</v>
      </c>
      <c r="K56" s="18" t="s">
        <v>52</v>
      </c>
    </row>
    <row r="57" customFormat="false" ht="15" hidden="false" customHeight="false" outlineLevel="0" collapsed="false">
      <c r="A57" s="11" t="n">
        <v>4</v>
      </c>
      <c r="B57" s="12" t="n">
        <f aca="false">Overview!$B$3+A57-1</f>
        <v>46462</v>
      </c>
      <c r="C57" s="13" t="n">
        <v>0.291666666666667</v>
      </c>
      <c r="D57" s="13" t="n">
        <v>0.322916666666667</v>
      </c>
      <c r="E57" s="11" t="n">
        <f aca="false">ROUND((D57-C57)*1440,0)</f>
        <v>45</v>
      </c>
      <c r="F57" s="11" t="s">
        <v>46</v>
      </c>
      <c r="G57" s="11" t="s">
        <v>141</v>
      </c>
      <c r="H57" s="11"/>
      <c r="I57" s="11"/>
      <c r="J57" s="11" t="s">
        <v>143</v>
      </c>
      <c r="K57" s="18" t="s">
        <v>52</v>
      </c>
    </row>
    <row r="58" customFormat="false" ht="15" hidden="false" customHeight="false" outlineLevel="0" collapsed="false">
      <c r="A58" s="14" t="n">
        <v>4</v>
      </c>
      <c r="B58" s="15" t="n">
        <f aca="false">Overview!$B$3+A58-1</f>
        <v>46462</v>
      </c>
      <c r="C58" s="16" t="n">
        <v>0.322916666666667</v>
      </c>
      <c r="D58" s="16" t="n">
        <v>0.333333333333333</v>
      </c>
      <c r="E58" s="14" t="n">
        <f aca="false">ROUND((D58-C58)*1440,0)</f>
        <v>15</v>
      </c>
      <c r="F58" s="14" t="s">
        <v>57</v>
      </c>
      <c r="G58" s="14" t="s">
        <v>125</v>
      </c>
      <c r="H58" s="14"/>
      <c r="I58" s="14"/>
      <c r="J58" s="14" t="s">
        <v>83</v>
      </c>
      <c r="K58" s="17" t="s">
        <v>52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0.333333333333333</v>
      </c>
      <c r="D59" s="16" t="n">
        <v>0.395833333333333</v>
      </c>
      <c r="E59" s="14" t="n">
        <f aca="false">ROUND((D59-C59)*1440,0)</f>
        <v>90</v>
      </c>
      <c r="F59" s="14" t="s">
        <v>53</v>
      </c>
      <c r="G59" s="14" t="s">
        <v>125</v>
      </c>
      <c r="H59" s="14" t="s">
        <v>54</v>
      </c>
      <c r="I59" s="14" t="n">
        <v>50</v>
      </c>
      <c r="J59" s="14" t="s">
        <v>144</v>
      </c>
      <c r="K59" s="17" t="s">
        <v>52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0.395833333333333</v>
      </c>
      <c r="D60" s="16" t="n">
        <v>0.458333333333333</v>
      </c>
      <c r="E60" s="14" t="n">
        <f aca="false">ROUND((D60-C60)*1440,0)</f>
        <v>90</v>
      </c>
      <c r="F60" s="14" t="s">
        <v>145</v>
      </c>
      <c r="G60" s="14" t="s">
        <v>54</v>
      </c>
      <c r="H60" s="14"/>
      <c r="I60" s="14"/>
      <c r="J60" s="14" t="s">
        <v>146</v>
      </c>
      <c r="K60" s="17" t="s">
        <v>52</v>
      </c>
    </row>
    <row r="61" customFormat="false" ht="15" hidden="false" customHeight="false" outlineLevel="0" collapsed="false">
      <c r="A61" s="19" t="n">
        <v>4</v>
      </c>
      <c r="B61" s="20" t="n">
        <f aca="false">Overview!$B$3+A61-1</f>
        <v>46462</v>
      </c>
      <c r="C61" s="21" t="n">
        <v>0.458333333333333</v>
      </c>
      <c r="D61" s="21" t="n">
        <v>0.493055555555556</v>
      </c>
      <c r="E61" s="19" t="n">
        <f aca="false">ROUND((D61-C61)*1440,0)</f>
        <v>50</v>
      </c>
      <c r="F61" s="19" t="s">
        <v>147</v>
      </c>
      <c r="G61" s="19" t="s">
        <v>54</v>
      </c>
      <c r="H61" s="19" t="s">
        <v>148</v>
      </c>
      <c r="I61" s="19"/>
      <c r="J61" s="19" t="s">
        <v>149</v>
      </c>
      <c r="K61" s="22" t="s">
        <v>52</v>
      </c>
    </row>
    <row r="62" customFormat="false" ht="15" hidden="false" customHeight="false" outlineLevel="0" collapsed="false">
      <c r="A62" s="14" t="n">
        <v>4</v>
      </c>
      <c r="B62" s="15" t="n">
        <f aca="false">Overview!$B$3+A62-1</f>
        <v>46462</v>
      </c>
      <c r="C62" s="16" t="n">
        <v>0.493055555555556</v>
      </c>
      <c r="D62" s="16" t="n">
        <v>0.510416666666667</v>
      </c>
      <c r="E62" s="14" t="n">
        <f aca="false">ROUND((D62-C62)*1440,0)</f>
        <v>25</v>
      </c>
      <c r="F62" s="14" t="s">
        <v>145</v>
      </c>
      <c r="G62" s="14" t="s">
        <v>148</v>
      </c>
      <c r="H62" s="14"/>
      <c r="I62" s="14"/>
      <c r="J62" s="14" t="s">
        <v>150</v>
      </c>
      <c r="K62" s="17" t="s">
        <v>52</v>
      </c>
    </row>
    <row r="63" customFormat="false" ht="15" hidden="false" customHeight="false" outlineLevel="0" collapsed="false">
      <c r="A63" s="14" t="n">
        <v>4</v>
      </c>
      <c r="B63" s="15" t="n">
        <f aca="false">Overview!$B$3+A63-1</f>
        <v>46462</v>
      </c>
      <c r="C63" s="16" t="n">
        <v>0.510416666666667</v>
      </c>
      <c r="D63" s="16" t="n">
        <v>0.541666666666667</v>
      </c>
      <c r="E63" s="14" t="n">
        <f aca="false">ROUND((D63-C63)*1440,0)</f>
        <v>45</v>
      </c>
      <c r="F63" s="14" t="s">
        <v>53</v>
      </c>
      <c r="G63" s="14" t="s">
        <v>148</v>
      </c>
      <c r="H63" s="14" t="s">
        <v>151</v>
      </c>
      <c r="I63" s="14" t="n">
        <v>14</v>
      </c>
      <c r="J63" s="14" t="s">
        <v>152</v>
      </c>
      <c r="K63" s="17" t="s">
        <v>52</v>
      </c>
    </row>
    <row r="64" customFormat="false" ht="15" hidden="false" customHeight="false" outlineLevel="0" collapsed="false">
      <c r="A64" s="11" t="n">
        <v>4</v>
      </c>
      <c r="B64" s="12" t="n">
        <f aca="false">Overview!$B$3+A64-1</f>
        <v>46462</v>
      </c>
      <c r="C64" s="13" t="n">
        <v>0.541666666666667</v>
      </c>
      <c r="D64" s="13" t="n">
        <v>0.583333333333333</v>
      </c>
      <c r="E64" s="11" t="n">
        <f aca="false">ROUND((D64-C64)*1440,0)</f>
        <v>60</v>
      </c>
      <c r="F64" s="11" t="s">
        <v>60</v>
      </c>
      <c r="G64" s="11" t="s">
        <v>153</v>
      </c>
      <c r="H64" s="11"/>
      <c r="I64" s="11"/>
      <c r="J64" s="11" t="s">
        <v>154</v>
      </c>
      <c r="K64" s="18" t="s">
        <v>52</v>
      </c>
    </row>
    <row r="65" customFormat="false" ht="15" hidden="false" customHeight="false" outlineLevel="0" collapsed="false">
      <c r="A65" s="14" t="n">
        <v>4</v>
      </c>
      <c r="B65" s="15" t="n">
        <f aca="false">Overview!$B$3+A65-1</f>
        <v>46462</v>
      </c>
      <c r="C65" s="16" t="n">
        <v>0.583333333333333</v>
      </c>
      <c r="D65" s="16" t="n">
        <v>0.697916666666667</v>
      </c>
      <c r="E65" s="14" t="n">
        <f aca="false">ROUND((D65-C65)*1440,0)</f>
        <v>165</v>
      </c>
      <c r="F65" s="14" t="s">
        <v>101</v>
      </c>
      <c r="G65" s="14" t="s">
        <v>151</v>
      </c>
      <c r="H65" s="14"/>
      <c r="I65" s="14"/>
      <c r="J65" s="14" t="s">
        <v>155</v>
      </c>
      <c r="K65" s="17" t="s">
        <v>52</v>
      </c>
    </row>
    <row r="66" customFormat="false" ht="15" hidden="false" customHeight="false" outlineLevel="0" collapsed="false">
      <c r="A66" s="14" t="n">
        <v>4</v>
      </c>
      <c r="B66" s="15" t="n">
        <f aca="false">Overview!$B$3+A66-1</f>
        <v>46462</v>
      </c>
      <c r="C66" s="16" t="n">
        <v>0.697916666666667</v>
      </c>
      <c r="D66" s="16" t="n">
        <v>0.708333333333333</v>
      </c>
      <c r="E66" s="14" t="n">
        <f aca="false">ROUND((D66-C66)*1440,0)</f>
        <v>15</v>
      </c>
      <c r="F66" s="14" t="s">
        <v>112</v>
      </c>
      <c r="G66" s="14" t="s">
        <v>156</v>
      </c>
      <c r="H66" s="14" t="s">
        <v>157</v>
      </c>
      <c r="I66" s="14"/>
      <c r="J66" s="14" t="s">
        <v>158</v>
      </c>
      <c r="K66" s="17" t="s">
        <v>52</v>
      </c>
    </row>
    <row r="67" customFormat="false" ht="23.85" hidden="false" customHeight="false" outlineLevel="0" collapsed="false">
      <c r="A67" s="19" t="n">
        <v>4</v>
      </c>
      <c r="B67" s="20" t="n">
        <f aca="false">Overview!$B$3+A67-1</f>
        <v>46462</v>
      </c>
      <c r="C67" s="21" t="n">
        <v>0.708333333333333</v>
      </c>
      <c r="D67" s="21" t="n">
        <v>0.770833333333333</v>
      </c>
      <c r="E67" s="19" t="n">
        <f aca="false">ROUND((D67-C67)*1440,0)</f>
        <v>90</v>
      </c>
      <c r="F67" s="19" t="s">
        <v>159</v>
      </c>
      <c r="G67" s="19" t="s">
        <v>160</v>
      </c>
      <c r="H67" s="19"/>
      <c r="I67" s="19"/>
      <c r="J67" s="19" t="s">
        <v>161</v>
      </c>
      <c r="K67" s="22" t="s">
        <v>52</v>
      </c>
    </row>
    <row r="68" customFormat="false" ht="15" hidden="false" customHeight="false" outlineLevel="0" collapsed="false">
      <c r="A68" s="14" t="n">
        <v>4</v>
      </c>
      <c r="B68" s="15" t="n">
        <f aca="false">Overview!$B$3+A68-1</f>
        <v>46462</v>
      </c>
      <c r="C68" s="16" t="n">
        <v>0.770833333333333</v>
      </c>
      <c r="D68" s="16" t="n">
        <v>0.833333333333333</v>
      </c>
      <c r="E68" s="14" t="n">
        <f aca="false">ROUND((D68-C68)*1440,0)</f>
        <v>90</v>
      </c>
      <c r="F68" s="14" t="s">
        <v>101</v>
      </c>
      <c r="G68" s="14" t="s">
        <v>151</v>
      </c>
      <c r="H68" s="14"/>
      <c r="I68" s="14"/>
      <c r="J68" s="14" t="s">
        <v>162</v>
      </c>
      <c r="K68" s="17" t="s">
        <v>52</v>
      </c>
    </row>
    <row r="69" customFormat="false" ht="15" hidden="false" customHeight="false" outlineLevel="0" collapsed="false">
      <c r="A69" s="11" t="n">
        <v>4</v>
      </c>
      <c r="B69" s="12" t="n">
        <f aca="false">Overview!$B$3+A69-1</f>
        <v>46462</v>
      </c>
      <c r="C69" s="13" t="n">
        <v>0.833333333333333</v>
      </c>
      <c r="D69" s="13" t="n">
        <v>0.875</v>
      </c>
      <c r="E69" s="11" t="n">
        <f aca="false">ROUND((D69-C69)*1440,0)</f>
        <v>60</v>
      </c>
      <c r="F69" s="11" t="s">
        <v>80</v>
      </c>
      <c r="G69" s="11" t="s">
        <v>153</v>
      </c>
      <c r="H69" s="11"/>
      <c r="I69" s="11"/>
      <c r="J69" s="11" t="s">
        <v>163</v>
      </c>
      <c r="K69" s="18" t="s">
        <v>52</v>
      </c>
    </row>
    <row r="70" customFormat="false" ht="23.85" hidden="false" customHeight="false" outlineLevel="0" collapsed="false">
      <c r="A70" s="11" t="n">
        <v>5</v>
      </c>
      <c r="B70" s="12" t="n">
        <f aca="false">Overview!$B$3+A70-1</f>
        <v>46463</v>
      </c>
      <c r="C70" s="13" t="n">
        <v>0.291666666666667</v>
      </c>
      <c r="D70" s="13" t="n">
        <v>0.322916666666667</v>
      </c>
      <c r="E70" s="11" t="n">
        <f aca="false">ROUND((D70-C70)*1440,0)</f>
        <v>45</v>
      </c>
      <c r="F70" s="11" t="s">
        <v>46</v>
      </c>
      <c r="G70" s="11" t="s">
        <v>164</v>
      </c>
      <c r="H70" s="11"/>
      <c r="I70" s="11"/>
      <c r="J70" s="11" t="s">
        <v>165</v>
      </c>
      <c r="K70" s="18" t="s">
        <v>52</v>
      </c>
    </row>
    <row r="71" customFormat="false" ht="15" hidden="false" customHeight="false" outlineLevel="0" collapsed="false">
      <c r="A71" s="14" t="n">
        <v>5</v>
      </c>
      <c r="B71" s="15" t="n">
        <f aca="false">Overview!$B$3+A71-1</f>
        <v>46463</v>
      </c>
      <c r="C71" s="16" t="n">
        <v>0.322916666666667</v>
      </c>
      <c r="D71" s="16" t="n">
        <v>0.395833333333333</v>
      </c>
      <c r="E71" s="14" t="n">
        <f aca="false">ROUND((D71-C71)*1440,0)</f>
        <v>105</v>
      </c>
      <c r="F71" s="14" t="s">
        <v>53</v>
      </c>
      <c r="G71" s="14" t="s">
        <v>166</v>
      </c>
      <c r="H71" s="14" t="s">
        <v>24</v>
      </c>
      <c r="I71" s="14" t="n">
        <v>50</v>
      </c>
      <c r="J71" s="14" t="s">
        <v>167</v>
      </c>
      <c r="K71" s="17" t="s">
        <v>52</v>
      </c>
    </row>
    <row r="72" customFormat="false" ht="23.85" hidden="false" customHeight="false" outlineLevel="0" collapsed="false">
      <c r="A72" s="19" t="n">
        <v>5</v>
      </c>
      <c r="B72" s="20" t="n">
        <f aca="false">Overview!$B$3+A72-1</f>
        <v>46463</v>
      </c>
      <c r="C72" s="21" t="n">
        <v>0.395833333333333</v>
      </c>
      <c r="D72" s="21" t="n">
        <v>0.541666666666667</v>
      </c>
      <c r="E72" s="19" t="n">
        <f aca="false">ROUND((D72-C72)*1440,0)</f>
        <v>210</v>
      </c>
      <c r="F72" s="19" t="s">
        <v>168</v>
      </c>
      <c r="G72" s="19" t="s">
        <v>169</v>
      </c>
      <c r="H72" s="19"/>
      <c r="I72" s="19"/>
      <c r="J72" s="19" t="s">
        <v>170</v>
      </c>
      <c r="K72" s="22" t="s">
        <v>52</v>
      </c>
    </row>
    <row r="73" customFormat="false" ht="23.85" hidden="false" customHeight="false" outlineLevel="0" collapsed="false">
      <c r="A73" s="11" t="n">
        <v>5</v>
      </c>
      <c r="B73" s="12" t="n">
        <f aca="false">Overview!$B$3+A73-1</f>
        <v>46463</v>
      </c>
      <c r="C73" s="13" t="n">
        <v>0.541666666666667</v>
      </c>
      <c r="D73" s="13" t="n">
        <v>0.583333333333333</v>
      </c>
      <c r="E73" s="11" t="n">
        <f aca="false">ROUND((D73-C73)*1440,0)</f>
        <v>60</v>
      </c>
      <c r="F73" s="11" t="s">
        <v>60</v>
      </c>
      <c r="G73" s="11" t="s">
        <v>171</v>
      </c>
      <c r="H73" s="11"/>
      <c r="I73" s="11"/>
      <c r="J73" s="11" t="s">
        <v>172</v>
      </c>
      <c r="K73" s="18" t="s">
        <v>52</v>
      </c>
    </row>
    <row r="74" customFormat="false" ht="15" hidden="false" customHeight="false" outlineLevel="0" collapsed="false">
      <c r="A74" s="14" t="n">
        <v>5</v>
      </c>
      <c r="B74" s="15" t="n">
        <f aca="false">Overview!$B$3+A74-1</f>
        <v>46463</v>
      </c>
      <c r="C74" s="16" t="n">
        <v>0.583333333333333</v>
      </c>
      <c r="D74" s="16" t="n">
        <v>0.604166666666667</v>
      </c>
      <c r="E74" s="14" t="n">
        <f aca="false">ROUND((D74-C74)*1440,0)</f>
        <v>30</v>
      </c>
      <c r="F74" s="14" t="s">
        <v>57</v>
      </c>
      <c r="G74" s="14" t="s">
        <v>173</v>
      </c>
      <c r="H74" s="14"/>
      <c r="I74" s="14"/>
      <c r="J74" s="14" t="s">
        <v>174</v>
      </c>
      <c r="K74" s="17" t="s">
        <v>52</v>
      </c>
    </row>
    <row r="75" customFormat="false" ht="15" hidden="false" customHeight="false" outlineLevel="0" collapsed="false">
      <c r="A75" s="14" t="n">
        <v>5</v>
      </c>
      <c r="B75" s="15" t="n">
        <f aca="false">Overview!$B$3+A75-1</f>
        <v>46463</v>
      </c>
      <c r="C75" s="16" t="n">
        <v>0.604166666666667</v>
      </c>
      <c r="D75" s="16" t="n">
        <v>0.625</v>
      </c>
      <c r="E75" s="14" t="n">
        <f aca="false">ROUND((D75-C75)*1440,0)</f>
        <v>30</v>
      </c>
      <c r="F75" s="14" t="s">
        <v>101</v>
      </c>
      <c r="G75" s="14" t="s">
        <v>173</v>
      </c>
      <c r="H75" s="14"/>
      <c r="I75" s="14"/>
      <c r="J75" s="14" t="s">
        <v>175</v>
      </c>
      <c r="K75" s="17" t="s">
        <v>52</v>
      </c>
    </row>
    <row r="76" customFormat="false" ht="15" hidden="false" customHeight="false" outlineLevel="0" collapsed="false">
      <c r="A76" s="14" t="n">
        <v>5</v>
      </c>
      <c r="B76" s="15" t="n">
        <f aca="false">Overview!$B$3+A76-1</f>
        <v>46463</v>
      </c>
      <c r="C76" s="16" t="n">
        <v>0.625</v>
      </c>
      <c r="D76" s="16" t="n">
        <v>0.635416666666667</v>
      </c>
      <c r="E76" s="14" t="n">
        <f aca="false">ROUND((D76-C76)*1440,0)</f>
        <v>15</v>
      </c>
      <c r="F76" s="14" t="s">
        <v>53</v>
      </c>
      <c r="G76" s="14" t="s">
        <v>173</v>
      </c>
      <c r="H76" s="14" t="s">
        <v>176</v>
      </c>
      <c r="I76" s="14" t="n">
        <v>2</v>
      </c>
      <c r="J76" s="14" t="s">
        <v>177</v>
      </c>
      <c r="K76" s="17" t="s">
        <v>52</v>
      </c>
    </row>
    <row r="77" customFormat="false" ht="23.85" hidden="false" customHeight="false" outlineLevel="0" collapsed="false">
      <c r="A77" s="14" t="n">
        <v>5</v>
      </c>
      <c r="B77" s="15" t="n">
        <f aca="false">Overview!$B$3+A77-1</f>
        <v>46463</v>
      </c>
      <c r="C77" s="16" t="n">
        <v>0.635416666666667</v>
      </c>
      <c r="D77" s="16" t="n">
        <v>0.666666666666667</v>
      </c>
      <c r="E77" s="14" t="n">
        <f aca="false">ROUND((D77-C77)*1440,0)</f>
        <v>45</v>
      </c>
      <c r="F77" s="14" t="s">
        <v>65</v>
      </c>
      <c r="G77" s="14" t="s">
        <v>178</v>
      </c>
      <c r="H77" s="14"/>
      <c r="I77" s="14"/>
      <c r="J77" s="14" t="s">
        <v>179</v>
      </c>
      <c r="K77" s="17" t="s">
        <v>52</v>
      </c>
    </row>
    <row r="78" customFormat="false" ht="15" hidden="false" customHeight="false" outlineLevel="0" collapsed="false">
      <c r="A78" s="14" t="n">
        <v>5</v>
      </c>
      <c r="B78" s="15" t="n">
        <f aca="false">Overview!$B$3+A78-1</f>
        <v>46463</v>
      </c>
      <c r="C78" s="16" t="n">
        <v>0.666666666666667</v>
      </c>
      <c r="D78" s="16" t="n">
        <v>0.729166666666667</v>
      </c>
      <c r="E78" s="14" t="n">
        <f aca="false">ROUND((D78-C78)*1440,0)</f>
        <v>90</v>
      </c>
      <c r="F78" s="14" t="s">
        <v>180</v>
      </c>
      <c r="G78" s="14" t="s">
        <v>181</v>
      </c>
      <c r="H78" s="14"/>
      <c r="I78" s="14"/>
      <c r="J78" s="14" t="s">
        <v>182</v>
      </c>
      <c r="K78" s="17" t="s">
        <v>52</v>
      </c>
    </row>
    <row r="79" customFormat="false" ht="15" hidden="false" customHeight="false" outlineLevel="0" collapsed="false">
      <c r="A79" s="14" t="n">
        <v>5</v>
      </c>
      <c r="B79" s="15" t="n">
        <f aca="false">Overview!$B$3+A79-1</f>
        <v>46463</v>
      </c>
      <c r="C79" s="16" t="n">
        <v>0.729166666666667</v>
      </c>
      <c r="D79" s="16" t="n">
        <v>0.833333333333333</v>
      </c>
      <c r="E79" s="14" t="n">
        <f aca="false">ROUND((D79-C79)*1440,0)</f>
        <v>150</v>
      </c>
      <c r="F79" s="14" t="s">
        <v>101</v>
      </c>
      <c r="G79" s="14" t="s">
        <v>173</v>
      </c>
      <c r="H79" s="14"/>
      <c r="I79" s="14"/>
      <c r="J79" s="14" t="s">
        <v>183</v>
      </c>
      <c r="K79" s="17" t="s">
        <v>52</v>
      </c>
    </row>
    <row r="80" customFormat="false" ht="23.85" hidden="false" customHeight="false" outlineLevel="0" collapsed="false">
      <c r="A80" s="11" t="n">
        <v>5</v>
      </c>
      <c r="B80" s="12" t="n">
        <f aca="false">Overview!$B$3+A80-1</f>
        <v>46463</v>
      </c>
      <c r="C80" s="13" t="n">
        <v>0.833333333333333</v>
      </c>
      <c r="D80" s="13" t="n">
        <v>0.875</v>
      </c>
      <c r="E80" s="11" t="n">
        <f aca="false">ROUND((D80-C80)*1440,0)</f>
        <v>60</v>
      </c>
      <c r="F80" s="11" t="s">
        <v>80</v>
      </c>
      <c r="G80" s="11" t="s">
        <v>184</v>
      </c>
      <c r="H80" s="11"/>
      <c r="I80" s="11"/>
      <c r="J80" s="11" t="s">
        <v>185</v>
      </c>
      <c r="K80" s="18" t="s">
        <v>52</v>
      </c>
    </row>
    <row r="81" customFormat="false" ht="23.85" hidden="false" customHeight="false" outlineLevel="0" collapsed="false">
      <c r="A81" s="11" t="n">
        <v>6</v>
      </c>
      <c r="B81" s="12" t="n">
        <f aca="false">Overview!$B$3+A81-1</f>
        <v>46464</v>
      </c>
      <c r="C81" s="13" t="n">
        <v>0.302083333333333</v>
      </c>
      <c r="D81" s="13" t="n">
        <v>0.322916666666667</v>
      </c>
      <c r="E81" s="11" t="n">
        <f aca="false">ROUND((D81-C81)*1440,0)</f>
        <v>30</v>
      </c>
      <c r="F81" s="11" t="s">
        <v>46</v>
      </c>
      <c r="G81" s="11" t="s">
        <v>184</v>
      </c>
      <c r="H81" s="11"/>
      <c r="I81" s="11"/>
      <c r="J81" s="11" t="s">
        <v>186</v>
      </c>
      <c r="K81" s="18" t="s">
        <v>52</v>
      </c>
    </row>
    <row r="82" customFormat="false" ht="15" hidden="false" customHeight="false" outlineLevel="0" collapsed="false">
      <c r="A82" s="14" t="n">
        <v>6</v>
      </c>
      <c r="B82" s="15" t="n">
        <f aca="false">Overview!$B$3+A82-1</f>
        <v>46464</v>
      </c>
      <c r="C82" s="16" t="n">
        <v>0.322916666666667</v>
      </c>
      <c r="D82" s="16" t="n">
        <v>0.395833333333333</v>
      </c>
      <c r="E82" s="14" t="n">
        <f aca="false">ROUND((D82-C82)*1440,0)</f>
        <v>105</v>
      </c>
      <c r="F82" s="14" t="s">
        <v>53</v>
      </c>
      <c r="G82" s="14" t="s">
        <v>24</v>
      </c>
      <c r="H82" s="14" t="s">
        <v>187</v>
      </c>
      <c r="I82" s="14" t="n">
        <v>70</v>
      </c>
      <c r="J82" s="14" t="s">
        <v>188</v>
      </c>
      <c r="K82" s="17" t="s">
        <v>52</v>
      </c>
    </row>
    <row r="83" customFormat="false" ht="15" hidden="false" customHeight="false" outlineLevel="0" collapsed="false">
      <c r="A83" s="14" t="n">
        <v>6</v>
      </c>
      <c r="B83" s="15" t="n">
        <f aca="false">Overview!$B$3+A83-1</f>
        <v>46464</v>
      </c>
      <c r="C83" s="16" t="n">
        <v>0.395833333333333</v>
      </c>
      <c r="D83" s="16" t="n">
        <v>0.427083333333333</v>
      </c>
      <c r="E83" s="14" t="n">
        <f aca="false">ROUND((D83-C83)*1440,0)</f>
        <v>45</v>
      </c>
      <c r="F83" s="14" t="s">
        <v>65</v>
      </c>
      <c r="G83" s="14" t="s">
        <v>189</v>
      </c>
      <c r="H83" s="14"/>
      <c r="I83" s="14"/>
      <c r="J83" s="14" t="s">
        <v>190</v>
      </c>
      <c r="K83" s="17" t="s">
        <v>52</v>
      </c>
    </row>
    <row r="84" customFormat="false" ht="15" hidden="false" customHeight="false" outlineLevel="0" collapsed="false">
      <c r="A84" s="14" t="n">
        <v>6</v>
      </c>
      <c r="B84" s="15" t="n">
        <f aca="false">Overview!$B$3+A84-1</f>
        <v>46464</v>
      </c>
      <c r="C84" s="16" t="n">
        <v>0.427083333333333</v>
      </c>
      <c r="D84" s="16" t="n">
        <v>0.510416666666667</v>
      </c>
      <c r="E84" s="14" t="n">
        <f aca="false">ROUND((D84-C84)*1440,0)</f>
        <v>120</v>
      </c>
      <c r="F84" s="14" t="s">
        <v>53</v>
      </c>
      <c r="G84" s="14" t="s">
        <v>191</v>
      </c>
      <c r="H84" s="14" t="s">
        <v>192</v>
      </c>
      <c r="I84" s="14" t="n">
        <v>60</v>
      </c>
      <c r="J84" s="14" t="s">
        <v>193</v>
      </c>
      <c r="K84" s="17" t="s">
        <v>52</v>
      </c>
    </row>
    <row r="85" customFormat="false" ht="15" hidden="false" customHeight="false" outlineLevel="0" collapsed="false">
      <c r="A85" s="14" t="n">
        <v>6</v>
      </c>
      <c r="B85" s="15" t="n">
        <f aca="false">Overview!$B$3+A85-1</f>
        <v>46464</v>
      </c>
      <c r="C85" s="16" t="n">
        <v>0.510416666666667</v>
      </c>
      <c r="D85" s="16" t="n">
        <v>0.583333333333333</v>
      </c>
      <c r="E85" s="14" t="n">
        <f aca="false">ROUND((D85-C85)*1440,0)</f>
        <v>105</v>
      </c>
      <c r="F85" s="14" t="s">
        <v>194</v>
      </c>
      <c r="G85" s="14" t="s">
        <v>192</v>
      </c>
      <c r="H85" s="14" t="s">
        <v>195</v>
      </c>
      <c r="I85" s="14"/>
      <c r="J85" s="14" t="s">
        <v>196</v>
      </c>
      <c r="K85" s="17" t="s">
        <v>52</v>
      </c>
    </row>
    <row r="86" customFormat="false" ht="15" hidden="false" customHeight="false" outlineLevel="0" collapsed="false">
      <c r="A86" s="11" t="n">
        <v>6</v>
      </c>
      <c r="B86" s="12" t="n">
        <f aca="false">Overview!$B$3+A86-1</f>
        <v>46464</v>
      </c>
      <c r="C86" s="13" t="n">
        <v>0.583333333333333</v>
      </c>
      <c r="D86" s="13" t="n">
        <v>0.614583333333333</v>
      </c>
      <c r="E86" s="11" t="n">
        <f aca="false">ROUND((D86-C86)*1440,0)</f>
        <v>45</v>
      </c>
      <c r="F86" s="11" t="s">
        <v>60</v>
      </c>
      <c r="G86" s="11" t="s">
        <v>197</v>
      </c>
      <c r="H86" s="11"/>
      <c r="I86" s="11"/>
      <c r="J86" s="11" t="s">
        <v>198</v>
      </c>
      <c r="K86" s="18" t="s">
        <v>52</v>
      </c>
    </row>
    <row r="87" customFormat="false" ht="15" hidden="false" customHeight="false" outlineLevel="0" collapsed="false">
      <c r="A87" s="14" t="n">
        <v>6</v>
      </c>
      <c r="B87" s="15" t="n">
        <f aca="false">Overview!$B$3+A87-1</f>
        <v>46464</v>
      </c>
      <c r="C87" s="16" t="n">
        <v>0.614583333333333</v>
      </c>
      <c r="D87" s="16" t="n">
        <v>0.645833333333333</v>
      </c>
      <c r="E87" s="14" t="n">
        <f aca="false">ROUND((D87-C87)*1440,0)</f>
        <v>45</v>
      </c>
      <c r="F87" s="14" t="s">
        <v>180</v>
      </c>
      <c r="G87" s="14" t="s">
        <v>199</v>
      </c>
      <c r="H87" s="14"/>
      <c r="I87" s="14"/>
      <c r="J87" s="14" t="s">
        <v>200</v>
      </c>
      <c r="K87" s="17" t="s">
        <v>52</v>
      </c>
    </row>
    <row r="88" customFormat="false" ht="15" hidden="false" customHeight="false" outlineLevel="0" collapsed="false">
      <c r="A88" s="14" t="n">
        <v>6</v>
      </c>
      <c r="B88" s="15" t="n">
        <f aca="false">Overview!$B$3+A88-1</f>
        <v>46464</v>
      </c>
      <c r="C88" s="16" t="n">
        <v>0.645833333333333</v>
      </c>
      <c r="D88" s="16" t="n">
        <v>0.770833333333333</v>
      </c>
      <c r="E88" s="14" t="n">
        <f aca="false">ROUND((D88-C88)*1440,0)</f>
        <v>180</v>
      </c>
      <c r="F88" s="14" t="s">
        <v>53</v>
      </c>
      <c r="G88" s="14" t="s">
        <v>192</v>
      </c>
      <c r="H88" s="14" t="s">
        <v>166</v>
      </c>
      <c r="I88" s="14" t="n">
        <v>82</v>
      </c>
      <c r="J88" s="14" t="s">
        <v>201</v>
      </c>
      <c r="K88" s="17" t="s">
        <v>52</v>
      </c>
    </row>
    <row r="89" customFormat="false" ht="15" hidden="false" customHeight="false" outlineLevel="0" collapsed="false">
      <c r="A89" s="14" t="n">
        <v>6</v>
      </c>
      <c r="B89" s="15" t="n">
        <f aca="false">Overview!$B$3+A89-1</f>
        <v>46464</v>
      </c>
      <c r="C89" s="16" t="n">
        <v>0.770833333333333</v>
      </c>
      <c r="D89" s="16" t="n">
        <v>0.833333333333333</v>
      </c>
      <c r="E89" s="14" t="n">
        <f aca="false">ROUND((D89-C89)*1440,0)</f>
        <v>90</v>
      </c>
      <c r="F89" s="14" t="s">
        <v>101</v>
      </c>
      <c r="G89" s="14" t="s">
        <v>166</v>
      </c>
      <c r="H89" s="14"/>
      <c r="I89" s="14"/>
      <c r="J89" s="14" t="s">
        <v>202</v>
      </c>
      <c r="K89" s="17" t="s">
        <v>52</v>
      </c>
    </row>
    <row r="90" customFormat="false" ht="15" hidden="false" customHeight="false" outlineLevel="0" collapsed="false">
      <c r="A90" s="11" t="n">
        <v>6</v>
      </c>
      <c r="B90" s="12" t="n">
        <f aca="false">Overview!$B$3+A90-1</f>
        <v>46464</v>
      </c>
      <c r="C90" s="13" t="n">
        <v>0.833333333333333</v>
      </c>
      <c r="D90" s="13" t="n">
        <v>0.875</v>
      </c>
      <c r="E90" s="11" t="n">
        <f aca="false">ROUND((D90-C90)*1440,0)</f>
        <v>60</v>
      </c>
      <c r="F90" s="11" t="s">
        <v>80</v>
      </c>
      <c r="G90" s="11" t="s">
        <v>164</v>
      </c>
      <c r="H90" s="11"/>
      <c r="I90" s="11"/>
      <c r="J90" s="11" t="s">
        <v>203</v>
      </c>
      <c r="K90" s="18" t="s">
        <v>52</v>
      </c>
    </row>
    <row r="91" customFormat="false" ht="15" hidden="false" customHeight="false" outlineLevel="0" collapsed="false">
      <c r="A91" s="11" t="n">
        <v>7</v>
      </c>
      <c r="B91" s="12" t="n">
        <f aca="false">Overview!$B$3+A91-1</f>
        <v>46465</v>
      </c>
      <c r="C91" s="13" t="n">
        <v>0.291666666666667</v>
      </c>
      <c r="D91" s="13" t="n">
        <v>0.322916666666667</v>
      </c>
      <c r="E91" s="11" t="n">
        <f aca="false">ROUND((D91-C91)*1440,0)</f>
        <v>45</v>
      </c>
      <c r="F91" s="11" t="s">
        <v>46</v>
      </c>
      <c r="G91" s="11" t="s">
        <v>164</v>
      </c>
      <c r="H91" s="11"/>
      <c r="I91" s="11"/>
      <c r="J91" s="11" t="s">
        <v>204</v>
      </c>
      <c r="K91" s="18" t="s">
        <v>52</v>
      </c>
    </row>
    <row r="92" customFormat="false" ht="15" hidden="false" customHeight="false" outlineLevel="0" collapsed="false">
      <c r="A92" s="14" t="n">
        <v>7</v>
      </c>
      <c r="B92" s="15" t="n">
        <f aca="false">Overview!$B$3+A92-1</f>
        <v>46465</v>
      </c>
      <c r="C92" s="16" t="n">
        <v>0.322916666666667</v>
      </c>
      <c r="D92" s="16" t="n">
        <v>0.364583333333333</v>
      </c>
      <c r="E92" s="14" t="n">
        <f aca="false">ROUND((D92-C92)*1440,0)</f>
        <v>60</v>
      </c>
      <c r="F92" s="14" t="s">
        <v>53</v>
      </c>
      <c r="G92" s="14" t="s">
        <v>166</v>
      </c>
      <c r="H92" s="14" t="s">
        <v>205</v>
      </c>
      <c r="I92" s="14" t="n">
        <v>30</v>
      </c>
      <c r="J92" s="14" t="s">
        <v>206</v>
      </c>
      <c r="K92" s="17" t="s">
        <v>52</v>
      </c>
    </row>
    <row r="93" customFormat="false" ht="15" hidden="false" customHeight="false" outlineLevel="0" collapsed="false">
      <c r="A93" s="14" t="n">
        <v>7</v>
      </c>
      <c r="B93" s="15" t="n">
        <f aca="false">Overview!$B$3+A93-1</f>
        <v>46465</v>
      </c>
      <c r="C93" s="16" t="n">
        <v>0.364583333333333</v>
      </c>
      <c r="D93" s="16" t="n">
        <v>0.395833333333333</v>
      </c>
      <c r="E93" s="14" t="n">
        <f aca="false">ROUND((D93-C93)*1440,0)</f>
        <v>45</v>
      </c>
      <c r="F93" s="14" t="s">
        <v>180</v>
      </c>
      <c r="G93" s="14" t="s">
        <v>205</v>
      </c>
      <c r="H93" s="14"/>
      <c r="I93" s="14"/>
      <c r="J93" s="14" t="s">
        <v>207</v>
      </c>
      <c r="K93" s="17" t="s">
        <v>52</v>
      </c>
    </row>
    <row r="94" customFormat="false" ht="15" hidden="false" customHeight="false" outlineLevel="0" collapsed="false">
      <c r="A94" s="14" t="n">
        <v>7</v>
      </c>
      <c r="B94" s="15" t="n">
        <f aca="false">Overview!$B$3+A94-1</f>
        <v>46465</v>
      </c>
      <c r="C94" s="16" t="n">
        <v>0.395833333333333</v>
      </c>
      <c r="D94" s="16" t="n">
        <v>0.4375</v>
      </c>
      <c r="E94" s="14" t="n">
        <f aca="false">ROUND((D94-C94)*1440,0)</f>
        <v>60</v>
      </c>
      <c r="F94" s="14" t="s">
        <v>53</v>
      </c>
      <c r="G94" s="14" t="s">
        <v>208</v>
      </c>
      <c r="H94" s="14" t="s">
        <v>209</v>
      </c>
      <c r="I94" s="14" t="n">
        <v>35</v>
      </c>
      <c r="J94" s="14" t="s">
        <v>210</v>
      </c>
      <c r="K94" s="17" t="s">
        <v>52</v>
      </c>
    </row>
    <row r="95" customFormat="false" ht="15" hidden="false" customHeight="false" outlineLevel="0" collapsed="false">
      <c r="A95" s="14" t="n">
        <v>7</v>
      </c>
      <c r="B95" s="15" t="n">
        <f aca="false">Overview!$B$3+A95-1</f>
        <v>46465</v>
      </c>
      <c r="C95" s="16" t="n">
        <v>0.4375</v>
      </c>
      <c r="D95" s="16" t="n">
        <v>0.46875</v>
      </c>
      <c r="E95" s="14" t="n">
        <f aca="false">ROUND((D95-C95)*1440,0)</f>
        <v>45</v>
      </c>
      <c r="F95" s="14" t="s">
        <v>180</v>
      </c>
      <c r="G95" s="14" t="s">
        <v>209</v>
      </c>
      <c r="H95" s="14"/>
      <c r="I95" s="14"/>
      <c r="J95" s="14" t="s">
        <v>211</v>
      </c>
      <c r="K95" s="17" t="s">
        <v>52</v>
      </c>
    </row>
    <row r="96" customFormat="false" ht="15" hidden="false" customHeight="false" outlineLevel="0" collapsed="false">
      <c r="A96" s="14" t="n">
        <v>7</v>
      </c>
      <c r="B96" s="15" t="n">
        <f aca="false">Overview!$B$3+A96-1</f>
        <v>46465</v>
      </c>
      <c r="C96" s="16" t="n">
        <v>0.46875</v>
      </c>
      <c r="D96" s="16" t="n">
        <v>0.520833333333333</v>
      </c>
      <c r="E96" s="14" t="n">
        <f aca="false">ROUND((D96-C96)*1440,0)</f>
        <v>75</v>
      </c>
      <c r="F96" s="14" t="s">
        <v>53</v>
      </c>
      <c r="G96" s="14" t="s">
        <v>212</v>
      </c>
      <c r="H96" s="14" t="s">
        <v>213</v>
      </c>
      <c r="I96" s="14" t="n">
        <v>40</v>
      </c>
      <c r="J96" s="14" t="s">
        <v>214</v>
      </c>
      <c r="K96" s="17" t="s">
        <v>52</v>
      </c>
    </row>
    <row r="97" customFormat="false" ht="15" hidden="false" customHeight="false" outlineLevel="0" collapsed="false">
      <c r="A97" s="14" t="n">
        <v>7</v>
      </c>
      <c r="B97" s="15" t="n">
        <f aca="false">Overview!$B$3+A97-1</f>
        <v>46465</v>
      </c>
      <c r="C97" s="16" t="n">
        <v>0.520833333333333</v>
      </c>
      <c r="D97" s="16" t="n">
        <v>0.541666666666667</v>
      </c>
      <c r="E97" s="14" t="n">
        <f aca="false">ROUND((D97-C97)*1440,0)</f>
        <v>30</v>
      </c>
      <c r="F97" s="14" t="s">
        <v>57</v>
      </c>
      <c r="G97" s="14" t="s">
        <v>213</v>
      </c>
      <c r="H97" s="14"/>
      <c r="I97" s="14"/>
      <c r="J97" s="14" t="s">
        <v>174</v>
      </c>
      <c r="K97" s="17" t="s">
        <v>52</v>
      </c>
    </row>
    <row r="98" customFormat="false" ht="15" hidden="false" customHeight="false" outlineLevel="0" collapsed="false">
      <c r="A98" s="11" t="n">
        <v>7</v>
      </c>
      <c r="B98" s="12" t="n">
        <f aca="false">Overview!$B$3+A98-1</f>
        <v>46465</v>
      </c>
      <c r="C98" s="13" t="n">
        <v>0.541666666666667</v>
      </c>
      <c r="D98" s="13" t="n">
        <v>0.583333333333333</v>
      </c>
      <c r="E98" s="11" t="n">
        <f aca="false">ROUND((D98-C98)*1440,0)</f>
        <v>60</v>
      </c>
      <c r="F98" s="11" t="s">
        <v>60</v>
      </c>
      <c r="G98" s="11" t="s">
        <v>215</v>
      </c>
      <c r="H98" s="11"/>
      <c r="I98" s="11"/>
      <c r="J98" s="11" t="s">
        <v>216</v>
      </c>
      <c r="K98" s="18" t="s">
        <v>52</v>
      </c>
    </row>
    <row r="99" customFormat="false" ht="15" hidden="false" customHeight="false" outlineLevel="0" collapsed="false">
      <c r="A99" s="14" t="n">
        <v>7</v>
      </c>
      <c r="B99" s="15" t="n">
        <f aca="false">Overview!$B$3+A99-1</f>
        <v>46465</v>
      </c>
      <c r="C99" s="16" t="n">
        <v>0.583333333333333</v>
      </c>
      <c r="D99" s="16" t="n">
        <v>0.59375</v>
      </c>
      <c r="E99" s="14" t="n">
        <f aca="false">ROUND((D99-C99)*1440,0)</f>
        <v>15</v>
      </c>
      <c r="F99" s="14" t="s">
        <v>57</v>
      </c>
      <c r="G99" s="14" t="s">
        <v>217</v>
      </c>
      <c r="H99" s="14"/>
      <c r="I99" s="14"/>
      <c r="J99" s="14" t="s">
        <v>218</v>
      </c>
      <c r="K99" s="17" t="s">
        <v>52</v>
      </c>
    </row>
    <row r="100" customFormat="false" ht="15" hidden="false" customHeight="false" outlineLevel="0" collapsed="false">
      <c r="A100" s="19" t="n">
        <v>7</v>
      </c>
      <c r="B100" s="20" t="n">
        <f aca="false">Overview!$B$3+A100-1</f>
        <v>46465</v>
      </c>
      <c r="C100" s="21" t="n">
        <v>0.59375</v>
      </c>
      <c r="D100" s="21" t="n">
        <v>0.621527777777778</v>
      </c>
      <c r="E100" s="19" t="n">
        <f aca="false">ROUND((D100-C100)*1440,0)</f>
        <v>40</v>
      </c>
      <c r="F100" s="19" t="s">
        <v>219</v>
      </c>
      <c r="G100" s="19" t="s">
        <v>27</v>
      </c>
      <c r="H100" s="19" t="s">
        <v>220</v>
      </c>
      <c r="I100" s="19"/>
      <c r="J100" s="19" t="s">
        <v>221</v>
      </c>
      <c r="K100" s="22" t="s">
        <v>52</v>
      </c>
    </row>
    <row r="101" customFormat="false" ht="15" hidden="false" customHeight="false" outlineLevel="0" collapsed="false">
      <c r="A101" s="14" t="n">
        <v>7</v>
      </c>
      <c r="B101" s="15" t="n">
        <f aca="false">Overview!$B$3+A101-1</f>
        <v>46465</v>
      </c>
      <c r="C101" s="16" t="n">
        <v>0.621527777777778</v>
      </c>
      <c r="D101" s="16" t="n">
        <v>0.645833333333333</v>
      </c>
      <c r="E101" s="14" t="n">
        <f aca="false">ROUND((D101-C101)*1440,0)</f>
        <v>35</v>
      </c>
      <c r="F101" s="14" t="s">
        <v>180</v>
      </c>
      <c r="G101" s="14" t="s">
        <v>220</v>
      </c>
      <c r="H101" s="14"/>
      <c r="I101" s="14"/>
      <c r="J101" s="14" t="s">
        <v>222</v>
      </c>
      <c r="K101" s="17" t="s">
        <v>52</v>
      </c>
    </row>
    <row r="102" customFormat="false" ht="15" hidden="false" customHeight="false" outlineLevel="0" collapsed="false">
      <c r="A102" s="19" t="n">
        <v>7</v>
      </c>
      <c r="B102" s="20" t="n">
        <f aca="false">Overview!$B$3+A102-1</f>
        <v>46465</v>
      </c>
      <c r="C102" s="21" t="n">
        <v>0.645833333333333</v>
      </c>
      <c r="D102" s="21" t="n">
        <v>0.659722222222222</v>
      </c>
      <c r="E102" s="19" t="n">
        <f aca="false">ROUND((D102-C102)*1440,0)</f>
        <v>20</v>
      </c>
      <c r="F102" s="19" t="s">
        <v>219</v>
      </c>
      <c r="G102" s="19" t="s">
        <v>220</v>
      </c>
      <c r="H102" s="19" t="s">
        <v>223</v>
      </c>
      <c r="I102" s="19"/>
      <c r="J102" s="19" t="s">
        <v>224</v>
      </c>
      <c r="K102" s="22" t="s">
        <v>52</v>
      </c>
    </row>
    <row r="103" customFormat="false" ht="15" hidden="false" customHeight="false" outlineLevel="0" collapsed="false">
      <c r="A103" s="14" t="n">
        <v>7</v>
      </c>
      <c r="B103" s="15" t="n">
        <f aca="false">Overview!$B$3+A103-1</f>
        <v>46465</v>
      </c>
      <c r="C103" s="16" t="n">
        <v>0.659722222222222</v>
      </c>
      <c r="D103" s="16" t="n">
        <v>0.6875</v>
      </c>
      <c r="E103" s="14" t="n">
        <f aca="false">ROUND((D103-C103)*1440,0)</f>
        <v>40</v>
      </c>
      <c r="F103" s="14" t="s">
        <v>180</v>
      </c>
      <c r="G103" s="14" t="s">
        <v>223</v>
      </c>
      <c r="H103" s="14"/>
      <c r="I103" s="14"/>
      <c r="J103" s="14" t="s">
        <v>225</v>
      </c>
      <c r="K103" s="17" t="s">
        <v>52</v>
      </c>
    </row>
    <row r="104" customFormat="false" ht="15" hidden="false" customHeight="false" outlineLevel="0" collapsed="false">
      <c r="A104" s="19" t="n">
        <v>7</v>
      </c>
      <c r="B104" s="20" t="n">
        <f aca="false">Overview!$B$3+A104-1</f>
        <v>46465</v>
      </c>
      <c r="C104" s="21" t="n">
        <v>0.6875</v>
      </c>
      <c r="D104" s="21" t="n">
        <v>0.722222222222222</v>
      </c>
      <c r="E104" s="19" t="n">
        <f aca="false">ROUND((D104-C104)*1440,0)</f>
        <v>50</v>
      </c>
      <c r="F104" s="19" t="s">
        <v>219</v>
      </c>
      <c r="G104" s="19" t="s">
        <v>223</v>
      </c>
      <c r="H104" s="19" t="s">
        <v>226</v>
      </c>
      <c r="I104" s="19"/>
      <c r="J104" s="19" t="s">
        <v>227</v>
      </c>
      <c r="K104" s="22" t="s">
        <v>52</v>
      </c>
    </row>
    <row r="105" customFormat="false" ht="15" hidden="false" customHeight="false" outlineLevel="0" collapsed="false">
      <c r="A105" s="14" t="n">
        <v>7</v>
      </c>
      <c r="B105" s="15" t="n">
        <f aca="false">Overview!$B$3+A105-1</f>
        <v>46465</v>
      </c>
      <c r="C105" s="16" t="n">
        <v>0.722222222222222</v>
      </c>
      <c r="D105" s="16" t="n">
        <v>0.75</v>
      </c>
      <c r="E105" s="14" t="n">
        <f aca="false">ROUND((D105-C105)*1440,0)</f>
        <v>40</v>
      </c>
      <c r="F105" s="14" t="s">
        <v>180</v>
      </c>
      <c r="G105" s="14" t="s">
        <v>226</v>
      </c>
      <c r="H105" s="14"/>
      <c r="I105" s="14"/>
      <c r="J105" s="14" t="s">
        <v>228</v>
      </c>
      <c r="K105" s="17" t="s">
        <v>52</v>
      </c>
    </row>
    <row r="106" customFormat="false" ht="15" hidden="false" customHeight="false" outlineLevel="0" collapsed="false">
      <c r="A106" s="19" t="n">
        <v>7</v>
      </c>
      <c r="B106" s="20" t="n">
        <f aca="false">Overview!$B$3+A106-1</f>
        <v>46465</v>
      </c>
      <c r="C106" s="21" t="n">
        <v>0.75</v>
      </c>
      <c r="D106" s="21" t="n">
        <v>0.770833333333333</v>
      </c>
      <c r="E106" s="19" t="n">
        <f aca="false">ROUND((D106-C106)*1440,0)</f>
        <v>30</v>
      </c>
      <c r="F106" s="19" t="s">
        <v>219</v>
      </c>
      <c r="G106" s="19" t="s">
        <v>226</v>
      </c>
      <c r="H106" s="19" t="s">
        <v>213</v>
      </c>
      <c r="I106" s="19"/>
      <c r="J106" s="19" t="s">
        <v>229</v>
      </c>
      <c r="K106" s="22" t="s">
        <v>52</v>
      </c>
    </row>
    <row r="107" customFormat="false" ht="15" hidden="false" customHeight="false" outlineLevel="0" collapsed="false">
      <c r="A107" s="14" t="n">
        <v>7</v>
      </c>
      <c r="B107" s="15" t="n">
        <f aca="false">Overview!$B$3+A107-1</f>
        <v>46465</v>
      </c>
      <c r="C107" s="16" t="n">
        <v>0.770833333333333</v>
      </c>
      <c r="D107" s="16" t="n">
        <v>0.8125</v>
      </c>
      <c r="E107" s="14" t="n">
        <f aca="false">ROUND((D107-C107)*1440,0)</f>
        <v>60</v>
      </c>
      <c r="F107" s="14" t="s">
        <v>112</v>
      </c>
      <c r="G107" s="14" t="s">
        <v>230</v>
      </c>
      <c r="H107" s="14"/>
      <c r="I107" s="14"/>
      <c r="J107" s="14" t="s">
        <v>231</v>
      </c>
      <c r="K107" s="17" t="s">
        <v>52</v>
      </c>
    </row>
    <row r="108" customFormat="false" ht="15" hidden="false" customHeight="false" outlineLevel="0" collapsed="false">
      <c r="A108" s="11" t="n">
        <v>7</v>
      </c>
      <c r="B108" s="12" t="n">
        <f aca="false">Overview!$B$3+A108-1</f>
        <v>46465</v>
      </c>
      <c r="C108" s="13" t="n">
        <v>0.833333333333333</v>
      </c>
      <c r="D108" s="13" t="n">
        <v>0.875</v>
      </c>
      <c r="E108" s="11" t="n">
        <f aca="false">ROUND((D108-C108)*1440,0)</f>
        <v>60</v>
      </c>
      <c r="F108" s="11" t="s">
        <v>80</v>
      </c>
      <c r="G108" s="11" t="s">
        <v>215</v>
      </c>
      <c r="H108" s="11"/>
      <c r="I108" s="11"/>
      <c r="J108" s="11" t="s">
        <v>203</v>
      </c>
      <c r="K108" s="18" t="s">
        <v>52</v>
      </c>
    </row>
    <row r="109" customFormat="false" ht="15" hidden="false" customHeight="false" outlineLevel="0" collapsed="false">
      <c r="A109" s="11" t="n">
        <v>8</v>
      </c>
      <c r="B109" s="12" t="n">
        <f aca="false">Overview!$B$3+A109-1</f>
        <v>46466</v>
      </c>
      <c r="C109" s="13" t="n">
        <v>0.291666666666667</v>
      </c>
      <c r="D109" s="13" t="n">
        <v>0.322916666666667</v>
      </c>
      <c r="E109" s="11" t="n">
        <f aca="false">ROUND((D109-C109)*1440,0)</f>
        <v>45</v>
      </c>
      <c r="F109" s="11" t="s">
        <v>46</v>
      </c>
      <c r="G109" s="11" t="s">
        <v>215</v>
      </c>
      <c r="H109" s="11"/>
      <c r="I109" s="11"/>
      <c r="J109" s="11" t="s">
        <v>204</v>
      </c>
      <c r="K109" s="18" t="s">
        <v>52</v>
      </c>
    </row>
    <row r="110" customFormat="false" ht="15" hidden="false" customHeight="false" outlineLevel="0" collapsed="false">
      <c r="A110" s="14" t="n">
        <v>8</v>
      </c>
      <c r="B110" s="15" t="n">
        <f aca="false">Overview!$B$3+A110-1</f>
        <v>46466</v>
      </c>
      <c r="C110" s="16" t="n">
        <v>0.322916666666667</v>
      </c>
      <c r="D110" s="16" t="n">
        <v>0.4375</v>
      </c>
      <c r="E110" s="14" t="n">
        <f aca="false">ROUND((D110-C110)*1440,0)</f>
        <v>165</v>
      </c>
      <c r="F110" s="14" t="s">
        <v>53</v>
      </c>
      <c r="G110" s="14" t="s">
        <v>27</v>
      </c>
      <c r="H110" s="14" t="s">
        <v>232</v>
      </c>
      <c r="I110" s="14" t="n">
        <v>95</v>
      </c>
      <c r="J110" s="14" t="s">
        <v>233</v>
      </c>
      <c r="K110" s="17" t="s">
        <v>52</v>
      </c>
    </row>
    <row r="111" customFormat="false" ht="23.85" hidden="false" customHeight="false" outlineLevel="0" collapsed="false">
      <c r="A111" s="14" t="n">
        <v>8</v>
      </c>
      <c r="B111" s="15" t="n">
        <f aca="false">Overview!$B$3+A111-1</f>
        <v>46466</v>
      </c>
      <c r="C111" s="16" t="n">
        <v>0.4375</v>
      </c>
      <c r="D111" s="16" t="n">
        <v>0.489583333333333</v>
      </c>
      <c r="E111" s="14" t="n">
        <f aca="false">ROUND((D111-C111)*1440,0)</f>
        <v>75</v>
      </c>
      <c r="F111" s="14" t="s">
        <v>65</v>
      </c>
      <c r="G111" s="14" t="s">
        <v>234</v>
      </c>
      <c r="H111" s="14"/>
      <c r="I111" s="14"/>
      <c r="J111" s="14" t="s">
        <v>235</v>
      </c>
      <c r="K111" s="17" t="s">
        <v>52</v>
      </c>
    </row>
    <row r="112" customFormat="false" ht="15" hidden="false" customHeight="false" outlineLevel="0" collapsed="false">
      <c r="A112" s="14" t="n">
        <v>8</v>
      </c>
      <c r="B112" s="15" t="n">
        <f aca="false">Overview!$B$3+A112-1</f>
        <v>46466</v>
      </c>
      <c r="C112" s="16" t="n">
        <v>0.489583333333333</v>
      </c>
      <c r="D112" s="16" t="n">
        <v>0.5</v>
      </c>
      <c r="E112" s="14" t="n">
        <f aca="false">ROUND((D112-C112)*1440,0)</f>
        <v>15</v>
      </c>
      <c r="F112" s="14" t="s">
        <v>53</v>
      </c>
      <c r="G112" s="14" t="s">
        <v>234</v>
      </c>
      <c r="H112" s="14" t="s">
        <v>236</v>
      </c>
      <c r="I112" s="14" t="n">
        <v>6</v>
      </c>
      <c r="J112" s="14" t="s">
        <v>237</v>
      </c>
      <c r="K112" s="17" t="s">
        <v>52</v>
      </c>
    </row>
    <row r="113" customFormat="false" ht="15" hidden="false" customHeight="false" outlineLevel="0" collapsed="false">
      <c r="A113" s="14" t="n">
        <v>8</v>
      </c>
      <c r="B113" s="15" t="n">
        <f aca="false">Overview!$B$3+A113-1</f>
        <v>46466</v>
      </c>
      <c r="C113" s="16" t="n">
        <v>0.5</v>
      </c>
      <c r="D113" s="16" t="n">
        <v>0.527777777777778</v>
      </c>
      <c r="E113" s="14" t="n">
        <f aca="false">ROUND((D113-C113)*1440,0)</f>
        <v>40</v>
      </c>
      <c r="F113" s="14" t="s">
        <v>65</v>
      </c>
      <c r="G113" s="14" t="s">
        <v>236</v>
      </c>
      <c r="H113" s="14"/>
      <c r="I113" s="14"/>
      <c r="J113" s="14" t="s">
        <v>238</v>
      </c>
      <c r="K113" s="17" t="s">
        <v>52</v>
      </c>
    </row>
    <row r="114" customFormat="false" ht="15" hidden="false" customHeight="false" outlineLevel="0" collapsed="false">
      <c r="A114" s="11" t="n">
        <v>8</v>
      </c>
      <c r="B114" s="12" t="n">
        <f aca="false">Overview!$B$3+A114-1</f>
        <v>46466</v>
      </c>
      <c r="C114" s="13" t="n">
        <v>0.53125</v>
      </c>
      <c r="D114" s="13" t="n">
        <v>0.572916666666667</v>
      </c>
      <c r="E114" s="11" t="n">
        <f aca="false">ROUND((D114-C114)*1440,0)</f>
        <v>60</v>
      </c>
      <c r="F114" s="11" t="s">
        <v>60</v>
      </c>
      <c r="G114" s="11" t="s">
        <v>239</v>
      </c>
      <c r="H114" s="11"/>
      <c r="I114" s="11"/>
      <c r="J114" s="11" t="s">
        <v>240</v>
      </c>
      <c r="K114" s="18" t="s">
        <v>52</v>
      </c>
    </row>
    <row r="115" customFormat="false" ht="23.85" hidden="false" customHeight="false" outlineLevel="0" collapsed="false">
      <c r="A115" s="14" t="n">
        <v>8</v>
      </c>
      <c r="B115" s="15" t="n">
        <f aca="false">Overview!$B$3+A115-1</f>
        <v>46466</v>
      </c>
      <c r="C115" s="16" t="n">
        <v>0.572916666666667</v>
      </c>
      <c r="D115" s="16" t="n">
        <v>0.614583333333333</v>
      </c>
      <c r="E115" s="14" t="n">
        <f aca="false">ROUND((D115-C115)*1440,0)</f>
        <v>60</v>
      </c>
      <c r="F115" s="14" t="s">
        <v>137</v>
      </c>
      <c r="G115" s="14" t="s">
        <v>241</v>
      </c>
      <c r="H115" s="14"/>
      <c r="I115" s="14"/>
      <c r="J115" s="14" t="s">
        <v>242</v>
      </c>
      <c r="K115" s="17" t="s">
        <v>52</v>
      </c>
    </row>
    <row r="116" customFormat="false" ht="15" hidden="false" customHeight="false" outlineLevel="0" collapsed="false">
      <c r="A116" s="14" t="n">
        <v>8</v>
      </c>
      <c r="B116" s="15" t="n">
        <f aca="false">Overview!$B$3+A116-1</f>
        <v>46466</v>
      </c>
      <c r="C116" s="16" t="n">
        <v>0.614583333333333</v>
      </c>
      <c r="D116" s="16" t="n">
        <v>0.645833333333333</v>
      </c>
      <c r="E116" s="14" t="n">
        <f aca="false">ROUND((D116-C116)*1440,0)</f>
        <v>45</v>
      </c>
      <c r="F116" s="14" t="s">
        <v>53</v>
      </c>
      <c r="G116" s="14" t="s">
        <v>243</v>
      </c>
      <c r="H116" s="14" t="s">
        <v>148</v>
      </c>
      <c r="I116" s="14" t="n">
        <v>14</v>
      </c>
      <c r="J116" s="14" t="s">
        <v>244</v>
      </c>
      <c r="K116" s="17" t="s">
        <v>52</v>
      </c>
    </row>
    <row r="117" customFormat="false" ht="23.85" hidden="false" customHeight="false" outlineLevel="0" collapsed="false">
      <c r="A117" s="14" t="n">
        <v>8</v>
      </c>
      <c r="B117" s="15" t="n">
        <f aca="false">Overview!$B$3+A117-1</f>
        <v>46466</v>
      </c>
      <c r="C117" s="16" t="n">
        <v>0.645833333333333</v>
      </c>
      <c r="D117" s="16" t="n">
        <v>0.666666666666667</v>
      </c>
      <c r="E117" s="14" t="n">
        <f aca="false">ROUND((D117-C117)*1440,0)</f>
        <v>30</v>
      </c>
      <c r="F117" s="14" t="s">
        <v>245</v>
      </c>
      <c r="G117" s="14" t="s">
        <v>148</v>
      </c>
      <c r="H117" s="14"/>
      <c r="I117" s="14"/>
      <c r="J117" s="14" t="s">
        <v>246</v>
      </c>
      <c r="K117" s="17" t="s">
        <v>52</v>
      </c>
    </row>
    <row r="119" customFormat="false" ht="15" hidden="false" customHeight="false" outlineLevel="0" collapsed="false">
      <c r="A119" s="5" t="s">
        <v>247</v>
      </c>
    </row>
  </sheetData>
  <autoFilter ref="A4:K117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  <hyperlink ref="K62" r:id="rId57" display="Open map"/>
    <hyperlink ref="K63" r:id="rId58" display="Open map"/>
    <hyperlink ref="K64" r:id="rId59" display="Open map"/>
    <hyperlink ref="K65" r:id="rId60" display="Open map"/>
    <hyperlink ref="K66" r:id="rId61" display="Open map"/>
    <hyperlink ref="K67" r:id="rId62" display="Open map"/>
    <hyperlink ref="K68" r:id="rId63" display="Open map"/>
    <hyperlink ref="K69" r:id="rId64" display="Open map"/>
    <hyperlink ref="K70" r:id="rId65" display="Open map"/>
    <hyperlink ref="K71" r:id="rId66" display="Open map"/>
    <hyperlink ref="K72" r:id="rId67" display="Open map"/>
    <hyperlink ref="K73" r:id="rId68" display="Open map"/>
    <hyperlink ref="K74" r:id="rId69" display="Open map"/>
    <hyperlink ref="K75" r:id="rId70" display="Open map"/>
    <hyperlink ref="K76" r:id="rId71" display="Open map"/>
    <hyperlink ref="K77" r:id="rId72" display="Open map"/>
    <hyperlink ref="K78" r:id="rId73" display="Open map"/>
    <hyperlink ref="K79" r:id="rId74" display="Open map"/>
    <hyperlink ref="K80" r:id="rId75" display="Open map"/>
    <hyperlink ref="K81" r:id="rId76" display="Open map"/>
    <hyperlink ref="K82" r:id="rId77" display="Open map"/>
    <hyperlink ref="K83" r:id="rId78" display="Open map"/>
    <hyperlink ref="K84" r:id="rId79" display="Open map"/>
    <hyperlink ref="K85" r:id="rId80" display="Open map"/>
    <hyperlink ref="K86" r:id="rId81" display="Open map"/>
    <hyperlink ref="K87" r:id="rId82" display="Open map"/>
    <hyperlink ref="K88" r:id="rId83" display="Open map"/>
    <hyperlink ref="K89" r:id="rId84" display="Open map"/>
    <hyperlink ref="K90" r:id="rId85" display="Open map"/>
    <hyperlink ref="K91" r:id="rId86" display="Open map"/>
    <hyperlink ref="K92" r:id="rId87" display="Open map"/>
    <hyperlink ref="K93" r:id="rId88" display="Open map"/>
    <hyperlink ref="K94" r:id="rId89" display="Open map"/>
    <hyperlink ref="K95" r:id="rId90" display="Open map"/>
    <hyperlink ref="K96" r:id="rId91" display="Open map"/>
    <hyperlink ref="K97" r:id="rId92" display="Open map"/>
    <hyperlink ref="K98" r:id="rId93" display="Open map"/>
    <hyperlink ref="K99" r:id="rId94" display="Open map"/>
    <hyperlink ref="K100" r:id="rId95" display="Open map"/>
    <hyperlink ref="K101" r:id="rId96" display="Open map"/>
    <hyperlink ref="K102" r:id="rId97" display="Open map"/>
    <hyperlink ref="K103" r:id="rId98" display="Open map"/>
    <hyperlink ref="K104" r:id="rId99" display="Open map"/>
    <hyperlink ref="K105" r:id="rId100" display="Open map"/>
    <hyperlink ref="K106" r:id="rId101" display="Open map"/>
    <hyperlink ref="K107" r:id="rId102" display="Open map"/>
    <hyperlink ref="K108" r:id="rId103" display="Open map"/>
    <hyperlink ref="K109" r:id="rId104" display="Open map"/>
    <hyperlink ref="K110" r:id="rId105" display="Open map"/>
    <hyperlink ref="K111" r:id="rId106" display="Open map"/>
    <hyperlink ref="K112" r:id="rId107" display="Open map"/>
    <hyperlink ref="K113" r:id="rId108" display="Open map"/>
    <hyperlink ref="K114" r:id="rId109" display="Open map"/>
    <hyperlink ref="K115" r:id="rId110" display="Open map"/>
    <hyperlink ref="K116" r:id="rId111" display="Open map"/>
    <hyperlink ref="K117" r:id="rId11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248</v>
      </c>
    </row>
    <row r="3" customFormat="false" ht="15" hidden="false" customHeight="false" outlineLevel="0" collapsed="false">
      <c r="A3" s="10" t="s">
        <v>5</v>
      </c>
      <c r="B3" s="10" t="s">
        <v>249</v>
      </c>
      <c r="C3" s="10" t="s">
        <v>250</v>
      </c>
      <c r="D3" s="10" t="s">
        <v>251</v>
      </c>
      <c r="E3" s="10" t="s">
        <v>252</v>
      </c>
      <c r="F3" s="10" t="s">
        <v>253</v>
      </c>
    </row>
    <row r="4" customFormat="false" ht="15" hidden="false" customHeight="false" outlineLevel="0" collapsed="false">
      <c r="A4" s="14" t="n">
        <v>1</v>
      </c>
      <c r="B4" s="14" t="s">
        <v>46</v>
      </c>
      <c r="C4" s="14" t="s">
        <v>254</v>
      </c>
      <c r="D4" s="14" t="s">
        <v>255</v>
      </c>
      <c r="E4" s="14" t="s">
        <v>256</v>
      </c>
      <c r="F4" s="14" t="s">
        <v>257</v>
      </c>
    </row>
    <row r="5" customFormat="false" ht="15" hidden="false" customHeight="false" outlineLevel="0" collapsed="false">
      <c r="A5" s="14" t="n">
        <v>1</v>
      </c>
      <c r="B5" s="14" t="s">
        <v>60</v>
      </c>
      <c r="C5" s="14" t="s">
        <v>258</v>
      </c>
      <c r="D5" s="14" t="s">
        <v>61</v>
      </c>
      <c r="E5" s="14" t="s">
        <v>259</v>
      </c>
      <c r="F5" s="14" t="s">
        <v>260</v>
      </c>
    </row>
    <row r="6" customFormat="false" ht="15" hidden="false" customHeight="false" outlineLevel="0" collapsed="false">
      <c r="A6" s="14" t="n">
        <v>1</v>
      </c>
      <c r="B6" s="14" t="s">
        <v>80</v>
      </c>
      <c r="C6" s="14" t="s">
        <v>261</v>
      </c>
      <c r="D6" s="14" t="s">
        <v>61</v>
      </c>
      <c r="E6" s="14" t="s">
        <v>262</v>
      </c>
      <c r="F6" s="14" t="s">
        <v>260</v>
      </c>
    </row>
    <row r="7" customFormat="false" ht="15" hidden="false" customHeight="false" outlineLevel="0" collapsed="false">
      <c r="A7" s="14" t="n">
        <v>2</v>
      </c>
      <c r="B7" s="14" t="s">
        <v>46</v>
      </c>
      <c r="C7" s="14" t="s">
        <v>263</v>
      </c>
      <c r="D7" s="14" t="s">
        <v>61</v>
      </c>
      <c r="E7" s="14" t="s">
        <v>156</v>
      </c>
      <c r="F7" s="14" t="s">
        <v>264</v>
      </c>
    </row>
    <row r="8" customFormat="false" ht="15" hidden="false" customHeight="false" outlineLevel="0" collapsed="false">
      <c r="A8" s="14" t="n">
        <v>2</v>
      </c>
      <c r="B8" s="14" t="s">
        <v>60</v>
      </c>
      <c r="C8" s="14" t="s">
        <v>265</v>
      </c>
      <c r="D8" s="14" t="s">
        <v>99</v>
      </c>
      <c r="E8" s="14" t="s">
        <v>266</v>
      </c>
      <c r="F8" s="14" t="s">
        <v>267</v>
      </c>
    </row>
    <row r="9" customFormat="false" ht="15" hidden="false" customHeight="false" outlineLevel="0" collapsed="false">
      <c r="A9" s="14" t="n">
        <v>2</v>
      </c>
      <c r="B9" s="14" t="s">
        <v>80</v>
      </c>
      <c r="C9" s="14" t="s">
        <v>268</v>
      </c>
      <c r="D9" s="14" t="s">
        <v>99</v>
      </c>
      <c r="E9" s="14" t="s">
        <v>266</v>
      </c>
      <c r="F9" s="14" t="s">
        <v>267</v>
      </c>
    </row>
    <row r="10" customFormat="false" ht="15" hidden="false" customHeight="false" outlineLevel="0" collapsed="false">
      <c r="A10" s="14" t="n">
        <v>3</v>
      </c>
      <c r="B10" s="14" t="s">
        <v>46</v>
      </c>
      <c r="C10" s="14" t="s">
        <v>269</v>
      </c>
      <c r="D10" s="14" t="s">
        <v>99</v>
      </c>
      <c r="E10" s="14" t="s">
        <v>266</v>
      </c>
      <c r="F10" s="14" t="s">
        <v>267</v>
      </c>
    </row>
    <row r="11" customFormat="false" ht="15" hidden="false" customHeight="false" outlineLevel="0" collapsed="false">
      <c r="A11" s="14" t="n">
        <v>3</v>
      </c>
      <c r="B11" s="14" t="s">
        <v>60</v>
      </c>
      <c r="C11" s="14" t="s">
        <v>265</v>
      </c>
      <c r="D11" s="14" t="s">
        <v>127</v>
      </c>
      <c r="E11" s="14" t="s">
        <v>270</v>
      </c>
      <c r="F11" s="14" t="s">
        <v>260</v>
      </c>
    </row>
    <row r="12" customFormat="false" ht="15" hidden="false" customHeight="false" outlineLevel="0" collapsed="false">
      <c r="A12" s="14" t="n">
        <v>3</v>
      </c>
      <c r="B12" s="14" t="s">
        <v>80</v>
      </c>
      <c r="C12" s="14" t="s">
        <v>271</v>
      </c>
      <c r="D12" s="14" t="s">
        <v>141</v>
      </c>
      <c r="E12" s="14" t="s">
        <v>262</v>
      </c>
      <c r="F12" s="14" t="s">
        <v>260</v>
      </c>
    </row>
    <row r="13" customFormat="false" ht="15" hidden="false" customHeight="false" outlineLevel="0" collapsed="false">
      <c r="A13" s="14" t="n">
        <v>4</v>
      </c>
      <c r="B13" s="14" t="s">
        <v>46</v>
      </c>
      <c r="C13" s="14" t="s">
        <v>272</v>
      </c>
      <c r="D13" s="14" t="s">
        <v>141</v>
      </c>
      <c r="E13" s="14" t="s">
        <v>156</v>
      </c>
      <c r="F13" s="14" t="s">
        <v>264</v>
      </c>
    </row>
    <row r="14" customFormat="false" ht="15" hidden="false" customHeight="false" outlineLevel="0" collapsed="false">
      <c r="A14" s="14" t="n">
        <v>4</v>
      </c>
      <c r="B14" s="14" t="s">
        <v>60</v>
      </c>
      <c r="C14" s="14" t="s">
        <v>273</v>
      </c>
      <c r="D14" s="14" t="s">
        <v>153</v>
      </c>
      <c r="E14" s="14" t="s">
        <v>156</v>
      </c>
      <c r="F14" s="14" t="s">
        <v>260</v>
      </c>
    </row>
    <row r="15" customFormat="false" ht="15" hidden="false" customHeight="false" outlineLevel="0" collapsed="false">
      <c r="A15" s="14" t="n">
        <v>4</v>
      </c>
      <c r="B15" s="14" t="s">
        <v>80</v>
      </c>
      <c r="C15" s="14" t="s">
        <v>271</v>
      </c>
      <c r="D15" s="14" t="s">
        <v>274</v>
      </c>
      <c r="E15" s="14" t="s">
        <v>275</v>
      </c>
      <c r="F15" s="14" t="s">
        <v>276</v>
      </c>
    </row>
    <row r="16" customFormat="false" ht="15" hidden="false" customHeight="false" outlineLevel="0" collapsed="false">
      <c r="A16" s="14" t="n">
        <v>5</v>
      </c>
      <c r="B16" s="14" t="s">
        <v>46</v>
      </c>
      <c r="C16" s="14" t="s">
        <v>272</v>
      </c>
      <c r="D16" s="14" t="s">
        <v>166</v>
      </c>
      <c r="E16" s="14" t="s">
        <v>277</v>
      </c>
      <c r="F16" s="14" t="s">
        <v>276</v>
      </c>
    </row>
    <row r="17" customFormat="false" ht="23.85" hidden="false" customHeight="false" outlineLevel="0" collapsed="false">
      <c r="A17" s="14" t="n">
        <v>5</v>
      </c>
      <c r="B17" s="14" t="s">
        <v>60</v>
      </c>
      <c r="C17" s="14" t="s">
        <v>273</v>
      </c>
      <c r="D17" s="14" t="s">
        <v>171</v>
      </c>
      <c r="E17" s="14" t="s">
        <v>278</v>
      </c>
      <c r="F17" s="14" t="s">
        <v>260</v>
      </c>
    </row>
    <row r="18" customFormat="false" ht="15" hidden="false" customHeight="false" outlineLevel="0" collapsed="false">
      <c r="A18" s="14" t="n">
        <v>5</v>
      </c>
      <c r="B18" s="14" t="s">
        <v>80</v>
      </c>
      <c r="C18" s="14" t="s">
        <v>271</v>
      </c>
      <c r="D18" s="14" t="s">
        <v>173</v>
      </c>
      <c r="E18" s="14" t="s">
        <v>279</v>
      </c>
      <c r="F18" s="14" t="s">
        <v>276</v>
      </c>
    </row>
    <row r="19" customFormat="false" ht="23.85" hidden="false" customHeight="false" outlineLevel="0" collapsed="false">
      <c r="A19" s="14" t="n">
        <v>6</v>
      </c>
      <c r="B19" s="14" t="s">
        <v>46</v>
      </c>
      <c r="C19" s="14" t="s">
        <v>280</v>
      </c>
      <c r="D19" s="14" t="s">
        <v>173</v>
      </c>
      <c r="E19" s="14" t="s">
        <v>275</v>
      </c>
      <c r="F19" s="14" t="s">
        <v>276</v>
      </c>
    </row>
    <row r="20" customFormat="false" ht="15" hidden="false" customHeight="false" outlineLevel="0" collapsed="false">
      <c r="A20" s="14" t="n">
        <v>6</v>
      </c>
      <c r="B20" s="14" t="s">
        <v>60</v>
      </c>
      <c r="C20" s="14" t="s">
        <v>281</v>
      </c>
      <c r="D20" s="14" t="s">
        <v>197</v>
      </c>
      <c r="E20" s="14" t="s">
        <v>282</v>
      </c>
      <c r="F20" s="14" t="s">
        <v>260</v>
      </c>
    </row>
    <row r="21" customFormat="false" ht="15" hidden="false" customHeight="false" outlineLevel="0" collapsed="false">
      <c r="A21" s="14" t="n">
        <v>6</v>
      </c>
      <c r="B21" s="14" t="s">
        <v>80</v>
      </c>
      <c r="C21" s="14" t="s">
        <v>271</v>
      </c>
      <c r="D21" s="14" t="s">
        <v>166</v>
      </c>
      <c r="E21" s="14" t="s">
        <v>275</v>
      </c>
      <c r="F21" s="14" t="s">
        <v>276</v>
      </c>
    </row>
    <row r="22" customFormat="false" ht="15" hidden="false" customHeight="false" outlineLevel="0" collapsed="false">
      <c r="A22" s="14" t="n">
        <v>7</v>
      </c>
      <c r="B22" s="14" t="s">
        <v>46</v>
      </c>
      <c r="C22" s="14" t="s">
        <v>272</v>
      </c>
      <c r="D22" s="14" t="s">
        <v>166</v>
      </c>
      <c r="E22" s="14" t="s">
        <v>275</v>
      </c>
      <c r="F22" s="14" t="s">
        <v>276</v>
      </c>
    </row>
    <row r="23" customFormat="false" ht="15" hidden="false" customHeight="false" outlineLevel="0" collapsed="false">
      <c r="A23" s="14" t="n">
        <v>7</v>
      </c>
      <c r="B23" s="14" t="s">
        <v>60</v>
      </c>
      <c r="C23" s="14" t="s">
        <v>273</v>
      </c>
      <c r="D23" s="14" t="s">
        <v>215</v>
      </c>
      <c r="E23" s="14" t="s">
        <v>156</v>
      </c>
      <c r="F23" s="14" t="s">
        <v>260</v>
      </c>
    </row>
    <row r="24" customFormat="false" ht="15" hidden="false" customHeight="false" outlineLevel="0" collapsed="false">
      <c r="A24" s="14" t="n">
        <v>7</v>
      </c>
      <c r="B24" s="14" t="s">
        <v>80</v>
      </c>
      <c r="C24" s="14" t="s">
        <v>271</v>
      </c>
      <c r="D24" s="14" t="s">
        <v>213</v>
      </c>
      <c r="E24" s="14" t="s">
        <v>275</v>
      </c>
      <c r="F24" s="14" t="s">
        <v>276</v>
      </c>
    </row>
    <row r="25" customFormat="false" ht="15" hidden="false" customHeight="false" outlineLevel="0" collapsed="false">
      <c r="A25" s="14" t="n">
        <v>8</v>
      </c>
      <c r="B25" s="14" t="s">
        <v>46</v>
      </c>
      <c r="C25" s="14" t="s">
        <v>272</v>
      </c>
      <c r="D25" s="14" t="s">
        <v>213</v>
      </c>
      <c r="E25" s="14" t="s">
        <v>275</v>
      </c>
      <c r="F25" s="14" t="s">
        <v>276</v>
      </c>
    </row>
    <row r="26" customFormat="false" ht="15" hidden="false" customHeight="false" outlineLevel="0" collapsed="false">
      <c r="A26" s="14" t="n">
        <v>8</v>
      </c>
      <c r="B26" s="14" t="s">
        <v>60</v>
      </c>
      <c r="C26" s="14" t="s">
        <v>283</v>
      </c>
      <c r="D26" s="14" t="s">
        <v>239</v>
      </c>
      <c r="E26" s="14" t="s">
        <v>282</v>
      </c>
      <c r="F26" s="14" t="s">
        <v>260</v>
      </c>
    </row>
    <row r="28" customFormat="false" ht="15" hidden="false" customHeight="false" outlineLevel="0" collapsed="false">
      <c r="A28" s="5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0" t="s">
        <v>285</v>
      </c>
      <c r="B1" s="10" t="s">
        <v>286</v>
      </c>
      <c r="C1" s="10" t="s">
        <v>287</v>
      </c>
    </row>
    <row r="2" customFormat="false" ht="23.85" hidden="false" customHeight="false" outlineLevel="0" collapsed="false">
      <c r="A2" s="14" t="s">
        <v>288</v>
      </c>
      <c r="B2" s="14" t="s">
        <v>289</v>
      </c>
      <c r="C2" s="14" t="s">
        <v>290</v>
      </c>
    </row>
    <row r="3" customFormat="false" ht="15" hidden="false" customHeight="false" outlineLevel="0" collapsed="false">
      <c r="A3" s="14" t="s">
        <v>291</v>
      </c>
      <c r="B3" s="14" t="s">
        <v>292</v>
      </c>
      <c r="C3" s="14" t="s">
        <v>293</v>
      </c>
    </row>
    <row r="4" customFormat="false" ht="15" hidden="false" customHeight="false" outlineLevel="0" collapsed="false">
      <c r="A4" s="14" t="s">
        <v>294</v>
      </c>
      <c r="B4" s="14" t="s">
        <v>295</v>
      </c>
      <c r="C4" s="14" t="s">
        <v>296</v>
      </c>
    </row>
    <row r="5" customFormat="false" ht="15" hidden="false" customHeight="false" outlineLevel="0" collapsed="false">
      <c r="A5" s="14" t="s">
        <v>297</v>
      </c>
      <c r="B5" s="14" t="s">
        <v>298</v>
      </c>
      <c r="C5" s="14" t="s">
        <v>299</v>
      </c>
    </row>
    <row r="6" customFormat="false" ht="23.85" hidden="false" customHeight="false" outlineLevel="0" collapsed="false">
      <c r="A6" s="14" t="s">
        <v>300</v>
      </c>
      <c r="B6" s="14" t="s">
        <v>301</v>
      </c>
      <c r="C6" s="14" t="s">
        <v>302</v>
      </c>
    </row>
    <row r="7" customFormat="false" ht="15" hidden="false" customHeight="false" outlineLevel="0" collapsed="false">
      <c r="A7" s="14" t="s">
        <v>303</v>
      </c>
      <c r="B7" s="14" t="s">
        <v>304</v>
      </c>
      <c r="C7" s="14" t="s">
        <v>305</v>
      </c>
    </row>
    <row r="8" customFormat="false" ht="23.85" hidden="false" customHeight="false" outlineLevel="0" collapsed="false">
      <c r="A8" s="14" t="s">
        <v>306</v>
      </c>
      <c r="B8" s="14" t="s">
        <v>307</v>
      </c>
      <c r="C8" s="14" t="s">
        <v>308</v>
      </c>
    </row>
    <row r="9" customFormat="false" ht="15" hidden="false" customHeight="false" outlineLevel="0" collapsed="false">
      <c r="A9" s="14" t="s">
        <v>309</v>
      </c>
      <c r="B9" s="14" t="s">
        <v>310</v>
      </c>
      <c r="C9" s="14" t="s">
        <v>311</v>
      </c>
    </row>
    <row r="10" customFormat="false" ht="15" hidden="false" customHeight="false" outlineLevel="0" collapsed="false">
      <c r="A10" s="14" t="s">
        <v>312</v>
      </c>
      <c r="B10" s="14" t="s">
        <v>313</v>
      </c>
      <c r="C10" s="14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315</v>
      </c>
      <c r="B1" s="10" t="s">
        <v>316</v>
      </c>
      <c r="C1" s="10" t="s">
        <v>317</v>
      </c>
      <c r="D1" s="10" t="s">
        <v>318</v>
      </c>
    </row>
    <row r="2" customFormat="false" ht="23.85" hidden="false" customHeight="false" outlineLevel="0" collapsed="false">
      <c r="A2" s="14" t="s">
        <v>319</v>
      </c>
      <c r="B2" s="14" t="s">
        <v>320</v>
      </c>
      <c r="C2" s="14" t="s">
        <v>321</v>
      </c>
      <c r="D2" s="14" t="s">
        <v>322</v>
      </c>
    </row>
    <row r="3" customFormat="false" ht="23.85" hidden="false" customHeight="false" outlineLevel="0" collapsed="false">
      <c r="A3" s="14" t="s">
        <v>323</v>
      </c>
      <c r="B3" s="14" t="s">
        <v>324</v>
      </c>
      <c r="C3" s="14" t="s">
        <v>325</v>
      </c>
      <c r="D3" s="14" t="s">
        <v>326</v>
      </c>
    </row>
    <row r="4" customFormat="false" ht="23.85" hidden="false" customHeight="false" outlineLevel="0" collapsed="false">
      <c r="A4" s="14" t="s">
        <v>327</v>
      </c>
      <c r="B4" s="14" t="s">
        <v>328</v>
      </c>
      <c r="C4" s="14" t="s">
        <v>329</v>
      </c>
      <c r="D4" s="14" t="s">
        <v>330</v>
      </c>
    </row>
    <row r="5" customFormat="false" ht="23.85" hidden="false" customHeight="false" outlineLevel="0" collapsed="false">
      <c r="A5" s="14" t="s">
        <v>331</v>
      </c>
      <c r="B5" s="14" t="s">
        <v>332</v>
      </c>
      <c r="C5" s="14" t="s">
        <v>333</v>
      </c>
      <c r="D5" s="14" t="s">
        <v>334</v>
      </c>
    </row>
    <row r="6" customFormat="false" ht="23.85" hidden="false" customHeight="false" outlineLevel="0" collapsed="false">
      <c r="A6" s="14" t="s">
        <v>335</v>
      </c>
      <c r="B6" s="14" t="s">
        <v>336</v>
      </c>
      <c r="C6" s="14" t="s">
        <v>337</v>
      </c>
      <c r="D6" s="14" t="s">
        <v>338</v>
      </c>
    </row>
    <row r="7" customFormat="false" ht="23.85" hidden="false" customHeight="false" outlineLevel="0" collapsed="false">
      <c r="A7" s="14" t="s">
        <v>339</v>
      </c>
      <c r="B7" s="14" t="s">
        <v>340</v>
      </c>
      <c r="C7" s="14" t="s">
        <v>341</v>
      </c>
      <c r="D7" s="14" t="s">
        <v>342</v>
      </c>
    </row>
    <row r="8" customFormat="false" ht="15" hidden="false" customHeight="false" outlineLevel="0" collapsed="false">
      <c r="A8" s="14" t="s">
        <v>343</v>
      </c>
      <c r="B8" s="14" t="s">
        <v>344</v>
      </c>
      <c r="C8" s="14" t="s">
        <v>345</v>
      </c>
      <c r="D8" s="14" t="s">
        <v>346</v>
      </c>
    </row>
    <row r="9" customFormat="false" ht="23.85" hidden="false" customHeight="false" outlineLevel="0" collapsed="false">
      <c r="A9" s="14" t="s">
        <v>347</v>
      </c>
      <c r="B9" s="14" t="s">
        <v>348</v>
      </c>
      <c r="C9" s="14" t="s">
        <v>349</v>
      </c>
      <c r="D9" s="14" t="s">
        <v>350</v>
      </c>
    </row>
    <row r="10" customFormat="false" ht="23.85" hidden="false" customHeight="false" outlineLevel="0" collapsed="false">
      <c r="A10" s="14" t="s">
        <v>351</v>
      </c>
      <c r="B10" s="14" t="s">
        <v>352</v>
      </c>
      <c r="C10" s="14" t="s">
        <v>353</v>
      </c>
      <c r="D10" s="14" t="s">
        <v>354</v>
      </c>
    </row>
    <row r="11" customFormat="false" ht="23.85" hidden="false" customHeight="false" outlineLevel="0" collapsed="false">
      <c r="A11" s="14" t="s">
        <v>355</v>
      </c>
      <c r="B11" s="14" t="s">
        <v>356</v>
      </c>
      <c r="C11" s="14" t="s">
        <v>357</v>
      </c>
      <c r="D11" s="14" t="s">
        <v>358</v>
      </c>
    </row>
    <row r="12" customFormat="false" ht="23.85" hidden="false" customHeight="false" outlineLevel="0" collapsed="false">
      <c r="A12" s="14" t="s">
        <v>359</v>
      </c>
      <c r="B12" s="14" t="s">
        <v>360</v>
      </c>
      <c r="C12" s="14" t="s">
        <v>361</v>
      </c>
      <c r="D12" s="14" t="s">
        <v>362</v>
      </c>
    </row>
    <row r="13" customFormat="false" ht="15" hidden="false" customHeight="false" outlineLevel="0" collapsed="false">
      <c r="A13" s="14" t="s">
        <v>363</v>
      </c>
      <c r="B13" s="14" t="s">
        <v>364</v>
      </c>
      <c r="C13" s="14" t="s">
        <v>365</v>
      </c>
      <c r="D13" s="14" t="s">
        <v>366</v>
      </c>
    </row>
    <row r="14" customFormat="false" ht="23.85" hidden="false" customHeight="false" outlineLevel="0" collapsed="false">
      <c r="A14" s="14" t="s">
        <v>367</v>
      </c>
      <c r="B14" s="14" t="s">
        <v>368</v>
      </c>
      <c r="C14" s="14" t="s">
        <v>369</v>
      </c>
      <c r="D14" s="14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371</v>
      </c>
    </row>
    <row r="3" customFormat="false" ht="15" hidden="false" customHeight="false" outlineLevel="0" collapsed="false">
      <c r="A3" s="10" t="s">
        <v>372</v>
      </c>
      <c r="B3" s="10" t="s">
        <v>373</v>
      </c>
    </row>
    <row r="4" customFormat="false" ht="15" hidden="false" customHeight="false" outlineLevel="0" collapsed="false">
      <c r="A4" s="14" t="s">
        <v>374</v>
      </c>
      <c r="B4" s="14" t="s">
        <v>375</v>
      </c>
    </row>
    <row r="5" customFormat="false" ht="15" hidden="false" customHeight="false" outlineLevel="0" collapsed="false">
      <c r="A5" s="14" t="s">
        <v>374</v>
      </c>
      <c r="B5" s="14" t="s">
        <v>376</v>
      </c>
    </row>
    <row r="6" customFormat="false" ht="15" hidden="false" customHeight="false" outlineLevel="0" collapsed="false">
      <c r="A6" s="14" t="s">
        <v>374</v>
      </c>
      <c r="B6" s="14" t="s">
        <v>377</v>
      </c>
    </row>
    <row r="7" customFormat="false" ht="15" hidden="false" customHeight="false" outlineLevel="0" collapsed="false">
      <c r="A7" s="14" t="s">
        <v>374</v>
      </c>
      <c r="B7" s="14" t="s">
        <v>378</v>
      </c>
    </row>
    <row r="8" customFormat="false" ht="15" hidden="false" customHeight="false" outlineLevel="0" collapsed="false">
      <c r="A8" s="14" t="s">
        <v>374</v>
      </c>
      <c r="B8" s="14" t="s">
        <v>379</v>
      </c>
    </row>
    <row r="9" customFormat="false" ht="15" hidden="false" customHeight="false" outlineLevel="0" collapsed="false">
      <c r="A9" s="14" t="s">
        <v>374</v>
      </c>
      <c r="B9" s="14" t="s">
        <v>380</v>
      </c>
    </row>
    <row r="10" customFormat="false" ht="15" hidden="false" customHeight="false" outlineLevel="0" collapsed="false">
      <c r="A10" s="14" t="s">
        <v>374</v>
      </c>
      <c r="B10" s="14" t="s">
        <v>381</v>
      </c>
    </row>
    <row r="11" customFormat="false" ht="15" hidden="false" customHeight="false" outlineLevel="0" collapsed="false">
      <c r="A11" s="14" t="s">
        <v>374</v>
      </c>
      <c r="B11" s="14" t="s">
        <v>382</v>
      </c>
    </row>
    <row r="12" customFormat="false" ht="15" hidden="false" customHeight="false" outlineLevel="0" collapsed="false">
      <c r="A12" s="14" t="s">
        <v>374</v>
      </c>
      <c r="B12" s="14" t="s">
        <v>383</v>
      </c>
    </row>
    <row r="13" customFormat="false" ht="15" hidden="false" customHeight="false" outlineLevel="0" collapsed="false">
      <c r="A13" s="14" t="s">
        <v>384</v>
      </c>
      <c r="B13" s="14" t="s">
        <v>385</v>
      </c>
    </row>
    <row r="14" customFormat="false" ht="15" hidden="false" customHeight="false" outlineLevel="0" collapsed="false">
      <c r="A14" s="14" t="s">
        <v>384</v>
      </c>
      <c r="B14" s="14" t="s">
        <v>386</v>
      </c>
    </row>
    <row r="15" customFormat="false" ht="15" hidden="false" customHeight="false" outlineLevel="0" collapsed="false">
      <c r="A15" s="14" t="s">
        <v>384</v>
      </c>
      <c r="B15" s="14" t="s">
        <v>387</v>
      </c>
    </row>
    <row r="16" customFormat="false" ht="15" hidden="false" customHeight="false" outlineLevel="0" collapsed="false">
      <c r="A16" s="14" t="s">
        <v>384</v>
      </c>
      <c r="B16" s="14" t="s">
        <v>388</v>
      </c>
    </row>
    <row r="17" customFormat="false" ht="15" hidden="false" customHeight="false" outlineLevel="0" collapsed="false">
      <c r="A17" s="14" t="s">
        <v>384</v>
      </c>
      <c r="B17" s="14" t="s">
        <v>389</v>
      </c>
    </row>
    <row r="18" customFormat="false" ht="15" hidden="false" customHeight="false" outlineLevel="0" collapsed="false">
      <c r="A18" s="14" t="s">
        <v>384</v>
      </c>
      <c r="B18" s="14" t="s">
        <v>390</v>
      </c>
    </row>
    <row r="19" customFormat="false" ht="15" hidden="false" customHeight="false" outlineLevel="0" collapsed="false">
      <c r="A19" s="14" t="s">
        <v>384</v>
      </c>
      <c r="B19" s="14" t="s">
        <v>391</v>
      </c>
    </row>
    <row r="20" customFormat="false" ht="15" hidden="false" customHeight="false" outlineLevel="0" collapsed="false">
      <c r="A20" s="14" t="s">
        <v>392</v>
      </c>
      <c r="B20" s="14" t="s">
        <v>393</v>
      </c>
    </row>
    <row r="21" customFormat="false" ht="15" hidden="false" customHeight="false" outlineLevel="0" collapsed="false">
      <c r="A21" s="14" t="s">
        <v>392</v>
      </c>
      <c r="B21" s="14" t="s">
        <v>394</v>
      </c>
    </row>
    <row r="22" customFormat="false" ht="15" hidden="false" customHeight="false" outlineLevel="0" collapsed="false">
      <c r="A22" s="14" t="s">
        <v>392</v>
      </c>
      <c r="B22" s="14" t="s">
        <v>395</v>
      </c>
    </row>
    <row r="23" customFormat="false" ht="15" hidden="false" customHeight="false" outlineLevel="0" collapsed="false">
      <c r="A23" s="14" t="s">
        <v>392</v>
      </c>
      <c r="B23" s="14" t="s">
        <v>396</v>
      </c>
    </row>
    <row r="24" customFormat="false" ht="15" hidden="false" customHeight="false" outlineLevel="0" collapsed="false">
      <c r="A24" s="14" t="s">
        <v>392</v>
      </c>
      <c r="B24" s="14" t="s">
        <v>397</v>
      </c>
    </row>
    <row r="25" customFormat="false" ht="15" hidden="false" customHeight="false" outlineLevel="0" collapsed="false">
      <c r="A25" s="14" t="s">
        <v>398</v>
      </c>
      <c r="B25" s="14" t="s">
        <v>399</v>
      </c>
    </row>
    <row r="26" customFormat="false" ht="15" hidden="false" customHeight="false" outlineLevel="0" collapsed="false">
      <c r="A26" s="14" t="s">
        <v>398</v>
      </c>
      <c r="B26" s="14" t="s">
        <v>400</v>
      </c>
    </row>
    <row r="27" customFormat="false" ht="15" hidden="false" customHeight="false" outlineLevel="0" collapsed="false">
      <c r="A27" s="14" t="s">
        <v>398</v>
      </c>
      <c r="B27" s="14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402</v>
      </c>
    </row>
    <row r="3" customFormat="false" ht="15" hidden="false" customHeight="false" outlineLevel="0" collapsed="false">
      <c r="A3" s="10" t="s">
        <v>403</v>
      </c>
      <c r="B3" s="10" t="s">
        <v>404</v>
      </c>
      <c r="C3" s="10" t="s">
        <v>405</v>
      </c>
      <c r="D3" s="10" t="s">
        <v>406</v>
      </c>
      <c r="E3" s="10" t="s">
        <v>407</v>
      </c>
    </row>
    <row r="4" customFormat="false" ht="15" hidden="false" customHeight="false" outlineLevel="0" collapsed="false">
      <c r="A4" s="14" t="s">
        <v>408</v>
      </c>
      <c r="B4" s="14" t="s">
        <v>409</v>
      </c>
      <c r="C4" s="14" t="s">
        <v>410</v>
      </c>
      <c r="D4" s="14" t="s">
        <v>411</v>
      </c>
      <c r="E4" s="23"/>
    </row>
    <row r="5" customFormat="false" ht="35.05" hidden="false" customHeight="false" outlineLevel="0" collapsed="false">
      <c r="A5" s="14" t="s">
        <v>412</v>
      </c>
      <c r="B5" s="14" t="s">
        <v>413</v>
      </c>
      <c r="C5" s="14" t="s">
        <v>410</v>
      </c>
      <c r="D5" s="14" t="s">
        <v>414</v>
      </c>
      <c r="E5" s="23"/>
    </row>
    <row r="6" customFormat="false" ht="35.05" hidden="false" customHeight="false" outlineLevel="0" collapsed="false">
      <c r="A6" s="14" t="s">
        <v>415</v>
      </c>
      <c r="B6" s="14" t="s">
        <v>416</v>
      </c>
      <c r="C6" s="14" t="s">
        <v>410</v>
      </c>
      <c r="D6" s="14" t="s">
        <v>417</v>
      </c>
      <c r="E6" s="23"/>
    </row>
    <row r="7" customFormat="false" ht="23.85" hidden="false" customHeight="false" outlineLevel="0" collapsed="false">
      <c r="A7" s="14" t="s">
        <v>418</v>
      </c>
      <c r="B7" s="14" t="s">
        <v>419</v>
      </c>
      <c r="C7" s="14" t="s">
        <v>420</v>
      </c>
      <c r="D7" s="14" t="s">
        <v>421</v>
      </c>
      <c r="E7" s="23"/>
    </row>
    <row r="8" customFormat="false" ht="15" hidden="false" customHeight="false" outlineLevel="0" collapsed="false">
      <c r="A8" s="14" t="s">
        <v>422</v>
      </c>
      <c r="B8" s="14" t="s">
        <v>423</v>
      </c>
      <c r="C8" s="14" t="s">
        <v>410</v>
      </c>
      <c r="D8" s="14" t="s">
        <v>424</v>
      </c>
      <c r="E8" s="23"/>
    </row>
    <row r="9" customFormat="false" ht="23.85" hidden="false" customHeight="false" outlineLevel="0" collapsed="false">
      <c r="A9" s="14" t="s">
        <v>425</v>
      </c>
      <c r="B9" s="14" t="s">
        <v>426</v>
      </c>
      <c r="C9" s="14" t="s">
        <v>427</v>
      </c>
      <c r="D9" s="14" t="s">
        <v>428</v>
      </c>
      <c r="E9" s="23"/>
    </row>
    <row r="10" customFormat="false" ht="23.85" hidden="false" customHeight="false" outlineLevel="0" collapsed="false">
      <c r="A10" s="14" t="s">
        <v>425</v>
      </c>
      <c r="B10" s="14" t="s">
        <v>429</v>
      </c>
      <c r="C10" s="14" t="s">
        <v>427</v>
      </c>
      <c r="D10" s="14" t="s">
        <v>430</v>
      </c>
      <c r="E10" s="23"/>
    </row>
    <row r="11" customFormat="false" ht="23.85" hidden="false" customHeight="false" outlineLevel="0" collapsed="false">
      <c r="A11" s="14" t="s">
        <v>431</v>
      </c>
      <c r="B11" s="14" t="s">
        <v>432</v>
      </c>
      <c r="C11" s="14" t="s">
        <v>427</v>
      </c>
      <c r="D11" s="14" t="s">
        <v>433</v>
      </c>
      <c r="E11" s="23"/>
    </row>
    <row r="12" customFormat="false" ht="15" hidden="false" customHeight="false" outlineLevel="0" collapsed="false">
      <c r="A12" s="14" t="s">
        <v>431</v>
      </c>
      <c r="B12" s="14" t="s">
        <v>434</v>
      </c>
      <c r="C12" s="14" t="s">
        <v>427</v>
      </c>
      <c r="D12" s="14" t="s">
        <v>435</v>
      </c>
      <c r="E12" s="23"/>
    </row>
    <row r="13" customFormat="false" ht="23.85" hidden="false" customHeight="false" outlineLevel="0" collapsed="false">
      <c r="A13" s="14" t="s">
        <v>436</v>
      </c>
      <c r="B13" s="14" t="s">
        <v>437</v>
      </c>
      <c r="C13" s="14" t="s">
        <v>438</v>
      </c>
      <c r="D13" s="14" t="s">
        <v>439</v>
      </c>
      <c r="E13" s="23"/>
    </row>
    <row r="14" customFormat="false" ht="15" hidden="false" customHeight="false" outlineLevel="0" collapsed="false">
      <c r="A14" s="14" t="s">
        <v>436</v>
      </c>
      <c r="B14" s="14" t="s">
        <v>440</v>
      </c>
      <c r="C14" s="14" t="s">
        <v>427</v>
      </c>
      <c r="D14" s="14" t="s">
        <v>441</v>
      </c>
      <c r="E14" s="23"/>
    </row>
    <row r="15" customFormat="false" ht="15" hidden="false" customHeight="false" outlineLevel="0" collapsed="false">
      <c r="A15" s="14" t="s">
        <v>442</v>
      </c>
      <c r="B15" s="14" t="s">
        <v>443</v>
      </c>
      <c r="C15" s="14" t="s">
        <v>438</v>
      </c>
      <c r="D15" s="14" t="s">
        <v>444</v>
      </c>
      <c r="E15" s="23"/>
    </row>
    <row r="16" customFormat="false" ht="15" hidden="false" customHeight="false" outlineLevel="0" collapsed="false">
      <c r="A16" s="14" t="s">
        <v>445</v>
      </c>
      <c r="B16" s="14" t="s">
        <v>446</v>
      </c>
      <c r="C16" s="14" t="s">
        <v>438</v>
      </c>
      <c r="D16" s="14"/>
      <c r="E16" s="23"/>
    </row>
    <row r="17" customFormat="false" ht="15" hidden="false" customHeight="false" outlineLevel="0" collapsed="false">
      <c r="A17" s="14" t="s">
        <v>447</v>
      </c>
      <c r="B17" s="14" t="s">
        <v>448</v>
      </c>
      <c r="C17" s="14" t="s">
        <v>438</v>
      </c>
      <c r="D17" s="14" t="s">
        <v>449</v>
      </c>
      <c r="E17" s="23"/>
    </row>
    <row r="18" customFormat="false" ht="15" hidden="false" customHeight="false" outlineLevel="0" collapsed="false">
      <c r="A18" s="14" t="s">
        <v>450</v>
      </c>
      <c r="B18" s="14" t="s">
        <v>451</v>
      </c>
      <c r="C18" s="14" t="s">
        <v>438</v>
      </c>
      <c r="D18" s="14" t="s">
        <v>452</v>
      </c>
      <c r="E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0" t="s">
        <v>453</v>
      </c>
      <c r="B1" s="10" t="s">
        <v>454</v>
      </c>
    </row>
    <row r="2" customFormat="false" ht="15" hidden="false" customHeight="false" outlineLevel="0" collapsed="false">
      <c r="A2" s="14" t="s">
        <v>455</v>
      </c>
      <c r="B2" s="14" t="s">
        <v>456</v>
      </c>
    </row>
    <row r="3" customFormat="false" ht="15" hidden="false" customHeight="false" outlineLevel="0" collapsed="false">
      <c r="A3" s="14" t="s">
        <v>455</v>
      </c>
      <c r="B3" s="14" t="s">
        <v>457</v>
      </c>
    </row>
    <row r="4" customFormat="false" ht="15" hidden="false" customHeight="false" outlineLevel="0" collapsed="false">
      <c r="A4" s="14" t="s">
        <v>455</v>
      </c>
      <c r="B4" s="14" t="s">
        <v>458</v>
      </c>
    </row>
    <row r="5" customFormat="false" ht="15" hidden="false" customHeight="false" outlineLevel="0" collapsed="false">
      <c r="A5" s="14" t="s">
        <v>455</v>
      </c>
      <c r="B5" s="14" t="s">
        <v>459</v>
      </c>
    </row>
    <row r="6" customFormat="false" ht="15" hidden="false" customHeight="false" outlineLevel="0" collapsed="false">
      <c r="A6" s="14" t="s">
        <v>455</v>
      </c>
      <c r="B6" s="14" t="s">
        <v>460</v>
      </c>
    </row>
    <row r="7" customFormat="false" ht="15" hidden="false" customHeight="false" outlineLevel="0" collapsed="false">
      <c r="A7" s="14" t="s">
        <v>455</v>
      </c>
      <c r="B7" s="14" t="s">
        <v>461</v>
      </c>
    </row>
    <row r="8" customFormat="false" ht="15" hidden="false" customHeight="false" outlineLevel="0" collapsed="false">
      <c r="A8" s="14" t="s">
        <v>462</v>
      </c>
      <c r="B8" s="14" t="s">
        <v>463</v>
      </c>
    </row>
    <row r="9" customFormat="false" ht="15" hidden="false" customHeight="false" outlineLevel="0" collapsed="false">
      <c r="A9" s="14" t="s">
        <v>462</v>
      </c>
      <c r="B9" s="14" t="s">
        <v>464</v>
      </c>
    </row>
    <row r="10" customFormat="false" ht="15" hidden="false" customHeight="false" outlineLevel="0" collapsed="false">
      <c r="A10" s="14" t="s">
        <v>462</v>
      </c>
      <c r="B10" s="14" t="s">
        <v>465</v>
      </c>
    </row>
    <row r="11" customFormat="false" ht="15" hidden="false" customHeight="false" outlineLevel="0" collapsed="false">
      <c r="A11" s="14" t="s">
        <v>462</v>
      </c>
      <c r="B11" s="14" t="s">
        <v>466</v>
      </c>
    </row>
    <row r="12" customFormat="false" ht="15" hidden="false" customHeight="false" outlineLevel="0" collapsed="false">
      <c r="A12" s="14" t="s">
        <v>462</v>
      </c>
      <c r="B12" s="14" t="s">
        <v>467</v>
      </c>
    </row>
    <row r="13" customFormat="false" ht="15" hidden="false" customHeight="false" outlineLevel="0" collapsed="false">
      <c r="A13" s="14" t="s">
        <v>462</v>
      </c>
      <c r="B13" s="14" t="s">
        <v>468</v>
      </c>
    </row>
    <row r="14" customFormat="false" ht="15" hidden="false" customHeight="false" outlineLevel="0" collapsed="false">
      <c r="A14" s="14" t="s">
        <v>462</v>
      </c>
      <c r="B14" s="14" t="s">
        <v>469</v>
      </c>
    </row>
    <row r="15" customFormat="false" ht="15" hidden="false" customHeight="false" outlineLevel="0" collapsed="false">
      <c r="A15" s="14" t="s">
        <v>470</v>
      </c>
      <c r="B15" s="14" t="s">
        <v>471</v>
      </c>
    </row>
    <row r="16" customFormat="false" ht="15" hidden="false" customHeight="false" outlineLevel="0" collapsed="false">
      <c r="A16" s="14" t="s">
        <v>472</v>
      </c>
      <c r="B16" s="14" t="s">
        <v>473</v>
      </c>
    </row>
    <row r="17" customFormat="false" ht="15" hidden="false" customHeight="false" outlineLevel="0" collapsed="false">
      <c r="A17" s="14" t="s">
        <v>474</v>
      </c>
      <c r="B17" s="14" t="s">
        <v>475</v>
      </c>
    </row>
    <row r="18" customFormat="false" ht="15" hidden="false" customHeight="false" outlineLevel="0" collapsed="false">
      <c r="A18" s="14" t="s">
        <v>476</v>
      </c>
      <c r="B18" s="14" t="s">
        <v>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0" t="s">
        <v>478</v>
      </c>
      <c r="B1" s="10" t="s">
        <v>479</v>
      </c>
    </row>
    <row r="2" customFormat="false" ht="23.85" hidden="false" customHeight="false" outlineLevel="0" collapsed="false">
      <c r="A2" s="14" t="s">
        <v>480</v>
      </c>
      <c r="B2" s="14" t="s">
        <v>481</v>
      </c>
    </row>
    <row r="3" customFormat="false" ht="23.85" hidden="false" customHeight="false" outlineLevel="0" collapsed="false">
      <c r="A3" s="14" t="s">
        <v>482</v>
      </c>
      <c r="B3" s="14" t="s">
        <v>483</v>
      </c>
    </row>
    <row r="4" customFormat="false" ht="23.85" hidden="false" customHeight="false" outlineLevel="0" collapsed="false">
      <c r="A4" s="14" t="s">
        <v>484</v>
      </c>
      <c r="B4" s="14" t="s">
        <v>485</v>
      </c>
    </row>
    <row r="5" customFormat="false" ht="15" hidden="false" customHeight="false" outlineLevel="0" collapsed="false">
      <c r="A5" s="14" t="s">
        <v>93</v>
      </c>
      <c r="B5" s="14" t="s">
        <v>486</v>
      </c>
    </row>
    <row r="6" customFormat="false" ht="15" hidden="false" customHeight="false" outlineLevel="0" collapsed="false">
      <c r="A6" s="14" t="s">
        <v>487</v>
      </c>
      <c r="B6" s="14" t="s">
        <v>488</v>
      </c>
    </row>
    <row r="7" customFormat="false" ht="23.85" hidden="false" customHeight="false" outlineLevel="0" collapsed="false">
      <c r="A7" s="14" t="s">
        <v>489</v>
      </c>
      <c r="B7" s="14" t="s">
        <v>490</v>
      </c>
    </row>
    <row r="8" customFormat="false" ht="15" hidden="false" customHeight="false" outlineLevel="0" collapsed="false">
      <c r="A8" s="14" t="s">
        <v>491</v>
      </c>
      <c r="B8" s="14" t="s">
        <v>492</v>
      </c>
    </row>
    <row r="9" customFormat="false" ht="15" hidden="false" customHeight="false" outlineLevel="0" collapsed="false">
      <c r="A9" s="14" t="s">
        <v>493</v>
      </c>
      <c r="B9" s="14" t="s">
        <v>494</v>
      </c>
    </row>
    <row r="10" customFormat="false" ht="15" hidden="false" customHeight="false" outlineLevel="0" collapsed="false">
      <c r="A10" s="14" t="s">
        <v>495</v>
      </c>
      <c r="B10" s="14" t="s">
        <v>496</v>
      </c>
    </row>
    <row r="11" customFormat="false" ht="15" hidden="false" customHeight="false" outlineLevel="0" collapsed="false">
      <c r="A11" s="14" t="s">
        <v>497</v>
      </c>
      <c r="B11" s="14" t="s">
        <v>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0" t="s">
        <v>499</v>
      </c>
      <c r="B1" s="10" t="s">
        <v>500</v>
      </c>
      <c r="C1" s="10" t="s">
        <v>501</v>
      </c>
      <c r="D1" s="10" t="s">
        <v>502</v>
      </c>
    </row>
    <row r="2" customFormat="false" ht="15" hidden="false" customHeight="false" outlineLevel="0" collapsed="false">
      <c r="A2" s="14" t="s">
        <v>503</v>
      </c>
      <c r="B2" s="14" t="s">
        <v>504</v>
      </c>
      <c r="C2" s="14" t="s">
        <v>505</v>
      </c>
      <c r="D2" s="14" t="s">
        <v>506</v>
      </c>
    </row>
    <row r="3" customFormat="false" ht="23.85" hidden="false" customHeight="false" outlineLevel="0" collapsed="false">
      <c r="A3" s="14" t="s">
        <v>507</v>
      </c>
      <c r="B3" s="14" t="s">
        <v>508</v>
      </c>
      <c r="C3" s="14" t="s">
        <v>509</v>
      </c>
      <c r="D3" s="14" t="s">
        <v>510</v>
      </c>
    </row>
    <row r="4" customFormat="false" ht="15" hidden="false" customHeight="false" outlineLevel="0" collapsed="false">
      <c r="A4" s="14" t="s">
        <v>511</v>
      </c>
      <c r="B4" s="14" t="s">
        <v>512</v>
      </c>
      <c r="C4" s="14" t="s">
        <v>513</v>
      </c>
      <c r="D4" s="14" t="s">
        <v>514</v>
      </c>
    </row>
    <row r="5" customFormat="false" ht="15" hidden="false" customHeight="false" outlineLevel="0" collapsed="false">
      <c r="A5" s="14" t="s">
        <v>515</v>
      </c>
      <c r="B5" s="14" t="s">
        <v>516</v>
      </c>
      <c r="C5" s="14" t="s">
        <v>517</v>
      </c>
      <c r="D5" s="14" t="s">
        <v>518</v>
      </c>
    </row>
    <row r="6" customFormat="false" ht="15" hidden="false" customHeight="false" outlineLevel="0" collapsed="false">
      <c r="A6" s="14" t="s">
        <v>519</v>
      </c>
      <c r="B6" s="14" t="s">
        <v>520</v>
      </c>
      <c r="C6" s="14" t="s">
        <v>521</v>
      </c>
      <c r="D6" s="14" t="s">
        <v>522</v>
      </c>
    </row>
    <row r="7" customFormat="false" ht="15" hidden="false" customHeight="false" outlineLevel="0" collapsed="false">
      <c r="A7" s="14" t="s">
        <v>470</v>
      </c>
      <c r="B7" s="14" t="s">
        <v>523</v>
      </c>
      <c r="C7" s="14" t="s">
        <v>524</v>
      </c>
      <c r="D7" s="14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526</v>
      </c>
      <c r="B1" s="10" t="s">
        <v>527</v>
      </c>
      <c r="C1" s="10" t="s">
        <v>528</v>
      </c>
      <c r="D1" s="10" t="s">
        <v>529</v>
      </c>
    </row>
    <row r="2" customFormat="false" ht="23.85" hidden="false" customHeight="false" outlineLevel="0" collapsed="false">
      <c r="A2" s="14" t="s">
        <v>438</v>
      </c>
      <c r="B2" s="14" t="s">
        <v>530</v>
      </c>
      <c r="C2" s="23"/>
      <c r="D2" s="23"/>
    </row>
    <row r="3" customFormat="false" ht="15" hidden="false" customHeight="false" outlineLevel="0" collapsed="false">
      <c r="A3" s="14" t="s">
        <v>531</v>
      </c>
      <c r="B3" s="14" t="s">
        <v>532</v>
      </c>
      <c r="C3" s="23"/>
      <c r="D3" s="23"/>
    </row>
    <row r="4" customFormat="false" ht="15" hidden="false" customHeight="false" outlineLevel="0" collapsed="false">
      <c r="A4" s="14" t="s">
        <v>533</v>
      </c>
      <c r="B4" s="14" t="s">
        <v>534</v>
      </c>
      <c r="C4" s="23"/>
      <c r="D4" s="23"/>
    </row>
    <row r="5" customFormat="false" ht="15" hidden="false" customHeight="false" outlineLevel="0" collapsed="false">
      <c r="A5" s="14" t="s">
        <v>535</v>
      </c>
      <c r="B5" s="14" t="s">
        <v>536</v>
      </c>
      <c r="C5" s="23"/>
      <c r="D5" s="23"/>
    </row>
    <row r="6" customFormat="false" ht="15" hidden="false" customHeight="false" outlineLevel="0" collapsed="false">
      <c r="A6" s="14" t="s">
        <v>537</v>
      </c>
      <c r="B6" s="14" t="s">
        <v>538</v>
      </c>
      <c r="C6" s="23"/>
      <c r="D6" s="23"/>
    </row>
    <row r="7" customFormat="false" ht="15" hidden="false" customHeight="false" outlineLevel="0" collapsed="false">
      <c r="A7" s="14" t="s">
        <v>539</v>
      </c>
      <c r="B7" s="14" t="s">
        <v>540</v>
      </c>
      <c r="C7" s="23"/>
      <c r="D7" s="23"/>
    </row>
    <row r="8" customFormat="false" ht="15" hidden="false" customHeight="false" outlineLevel="0" collapsed="false">
      <c r="A8" s="14" t="s">
        <v>541</v>
      </c>
      <c r="B8" s="14" t="s">
        <v>542</v>
      </c>
      <c r="C8" s="23"/>
      <c r="D8" s="23"/>
    </row>
    <row r="9" customFormat="false" ht="23.85" hidden="false" customHeight="false" outlineLevel="0" collapsed="false">
      <c r="A9" s="14" t="s">
        <v>543</v>
      </c>
      <c r="B9" s="14"/>
      <c r="C9" s="23"/>
      <c r="D9" s="23"/>
    </row>
    <row r="10" customFormat="false" ht="15" hidden="false" customHeight="false" outlineLevel="0" collapsed="false">
      <c r="A10" s="14" t="s">
        <v>544</v>
      </c>
      <c r="B10" s="14"/>
      <c r="C10" s="23"/>
      <c r="D10" s="23"/>
    </row>
    <row r="11" customFormat="false" ht="15" hidden="false" customHeight="false" outlineLevel="0" collapsed="false">
      <c r="A11" s="14" t="s">
        <v>545</v>
      </c>
      <c r="B11" s="14" t="s">
        <v>546</v>
      </c>
      <c r="C11" s="23"/>
      <c r="D11" s="23"/>
    </row>
    <row r="12" customFormat="false" ht="23.85" hidden="false" customHeight="false" outlineLevel="0" collapsed="false">
      <c r="A12" s="14" t="s">
        <v>547</v>
      </c>
      <c r="B12" s="14"/>
      <c r="C12" s="23"/>
      <c r="D12" s="23"/>
    </row>
    <row r="13" customFormat="false" ht="23.85" hidden="false" customHeight="false" outlineLevel="0" collapsed="false">
      <c r="A13" s="14" t="s">
        <v>548</v>
      </c>
      <c r="B13" s="14" t="s">
        <v>549</v>
      </c>
      <c r="C13" s="23"/>
      <c r="D13" s="23"/>
    </row>
    <row r="14" customFormat="false" ht="15" hidden="false" customHeight="false" outlineLevel="0" collapsed="false">
      <c r="A14" s="14" t="s">
        <v>550</v>
      </c>
      <c r="B14" s="14" t="s">
        <v>551</v>
      </c>
      <c r="C14" s="14"/>
      <c r="D14" s="14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553</v>
      </c>
    </row>
    <row r="2" customFormat="false" ht="15" hidden="false" customHeight="false" outlineLevel="0" collapsed="false">
      <c r="A2" s="5" t="s">
        <v>554</v>
      </c>
    </row>
    <row r="4" customFormat="false" ht="15" hidden="false" customHeight="false" outlineLevel="0" collapsed="false">
      <c r="A4" s="6" t="s">
        <v>555</v>
      </c>
      <c r="B4" s="6" t="s">
        <v>556</v>
      </c>
      <c r="C4" s="6" t="s">
        <v>557</v>
      </c>
      <c r="D4" s="6" t="s">
        <v>558</v>
      </c>
    </row>
    <row r="5" customFormat="false" ht="15" hidden="false" customHeight="false" outlineLevel="0" collapsed="false">
      <c r="A5" s="7" t="s">
        <v>559</v>
      </c>
      <c r="B5" s="7" t="s">
        <v>560</v>
      </c>
      <c r="C5" s="7" t="s">
        <v>561</v>
      </c>
      <c r="D5" s="24"/>
    </row>
    <row r="6" customFormat="false" ht="15" hidden="false" customHeight="false" outlineLevel="0" collapsed="false">
      <c r="A6" s="7" t="s">
        <v>562</v>
      </c>
      <c r="B6" s="7" t="s">
        <v>560</v>
      </c>
      <c r="C6" s="7" t="s">
        <v>563</v>
      </c>
      <c r="D6" s="24"/>
    </row>
    <row r="7" customFormat="false" ht="15" hidden="false" customHeight="false" outlineLevel="0" collapsed="false">
      <c r="A7" s="7" t="s">
        <v>564</v>
      </c>
      <c r="B7" s="7" t="s">
        <v>565</v>
      </c>
      <c r="C7" s="7" t="s">
        <v>563</v>
      </c>
      <c r="D7" s="24"/>
    </row>
    <row r="8" customFormat="false" ht="15" hidden="false" customHeight="false" outlineLevel="0" collapsed="false">
      <c r="A8" s="7" t="s">
        <v>566</v>
      </c>
      <c r="B8" s="7" t="s">
        <v>567</v>
      </c>
      <c r="C8" s="7" t="s">
        <v>563</v>
      </c>
      <c r="D8" s="24"/>
    </row>
    <row r="9" customFormat="false" ht="15" hidden="false" customHeight="false" outlineLevel="0" collapsed="false">
      <c r="A9" s="7" t="s">
        <v>568</v>
      </c>
      <c r="B9" s="7" t="s">
        <v>565</v>
      </c>
      <c r="C9" s="7" t="s">
        <v>563</v>
      </c>
      <c r="D9" s="24"/>
    </row>
    <row r="10" customFormat="false" ht="15" hidden="false" customHeight="false" outlineLevel="0" collapsed="false">
      <c r="A10" s="7" t="s">
        <v>569</v>
      </c>
      <c r="B10" s="7" t="s">
        <v>565</v>
      </c>
      <c r="C10" s="7" t="s">
        <v>563</v>
      </c>
      <c r="D10" s="24"/>
    </row>
    <row r="11" customFormat="false" ht="15" hidden="false" customHeight="false" outlineLevel="0" collapsed="false">
      <c r="A11" s="7" t="s">
        <v>570</v>
      </c>
      <c r="B11" s="7" t="s">
        <v>565</v>
      </c>
      <c r="C11" s="7" t="s">
        <v>563</v>
      </c>
      <c r="D11" s="24"/>
    </row>
    <row r="12" customFormat="false" ht="15" hidden="false" customHeight="false" outlineLevel="0" collapsed="false">
      <c r="A12" s="7" t="s">
        <v>571</v>
      </c>
      <c r="B12" s="7" t="s">
        <v>565</v>
      </c>
      <c r="C12" s="7" t="s">
        <v>563</v>
      </c>
      <c r="D12" s="24"/>
    </row>
    <row r="13" customFormat="false" ht="15" hidden="false" customHeight="false" outlineLevel="0" collapsed="false">
      <c r="A13" s="7" t="s">
        <v>572</v>
      </c>
      <c r="B13" s="7" t="s">
        <v>573</v>
      </c>
      <c r="C13" s="7" t="s">
        <v>563</v>
      </c>
      <c r="D13" s="24"/>
    </row>
    <row r="14" customFormat="false" ht="15" hidden="false" customHeight="false" outlineLevel="0" collapsed="false">
      <c r="A14" s="7" t="s">
        <v>574</v>
      </c>
      <c r="B14" s="7" t="s">
        <v>560</v>
      </c>
      <c r="C14" s="7" t="s">
        <v>563</v>
      </c>
      <c r="D14" s="24"/>
    </row>
    <row r="15" customFormat="false" ht="15" hidden="false" customHeight="false" outlineLevel="0" collapsed="false">
      <c r="A15" s="7" t="s">
        <v>575</v>
      </c>
      <c r="B15" s="7" t="s">
        <v>576</v>
      </c>
      <c r="C15" s="7" t="s">
        <v>563</v>
      </c>
      <c r="D15" s="24"/>
    </row>
    <row r="16" customFormat="false" ht="15" hidden="false" customHeight="false" outlineLevel="0" collapsed="false">
      <c r="A16" s="7" t="s">
        <v>577</v>
      </c>
      <c r="B16" s="7" t="s">
        <v>578</v>
      </c>
      <c r="C16" s="7" t="s">
        <v>563</v>
      </c>
      <c r="D16" s="24"/>
    </row>
    <row r="17" customFormat="false" ht="15" hidden="false" customHeight="false" outlineLevel="0" collapsed="false">
      <c r="A17" s="7" t="s">
        <v>579</v>
      </c>
      <c r="B17" s="7" t="s">
        <v>580</v>
      </c>
      <c r="C17" s="7" t="s">
        <v>563</v>
      </c>
      <c r="D17" s="24"/>
    </row>
    <row r="18" customFormat="false" ht="15" hidden="false" customHeight="false" outlineLevel="0" collapsed="false">
      <c r="A18" s="7" t="s">
        <v>581</v>
      </c>
      <c r="B18" s="7" t="s">
        <v>582</v>
      </c>
      <c r="C18" s="7" t="s">
        <v>563</v>
      </c>
      <c r="D18" s="24"/>
    </row>
    <row r="19" customFormat="false" ht="15" hidden="false" customHeight="false" outlineLevel="0" collapsed="false">
      <c r="A19" s="7" t="s">
        <v>583</v>
      </c>
      <c r="B19" s="7" t="s">
        <v>560</v>
      </c>
      <c r="C19" s="7" t="s">
        <v>584</v>
      </c>
      <c r="D19" s="24"/>
    </row>
    <row r="20" customFormat="false" ht="15" hidden="false" customHeight="false" outlineLevel="0" collapsed="false">
      <c r="A20" s="7" t="s">
        <v>585</v>
      </c>
      <c r="B20" s="7" t="s">
        <v>586</v>
      </c>
      <c r="C20" s="7" t="s">
        <v>587</v>
      </c>
      <c r="D20" s="24"/>
    </row>
    <row r="21" customFormat="false" ht="15" hidden="false" customHeight="false" outlineLevel="0" collapsed="false">
      <c r="A21" s="7" t="s">
        <v>588</v>
      </c>
      <c r="B21" s="7" t="s">
        <v>560</v>
      </c>
      <c r="C21" s="7" t="s">
        <v>563</v>
      </c>
      <c r="D21" s="24"/>
    </row>
    <row r="22" customFormat="false" ht="15" hidden="false" customHeight="false" outlineLevel="0" collapsed="false">
      <c r="A22" s="7" t="s">
        <v>589</v>
      </c>
      <c r="B22" s="7" t="s">
        <v>560</v>
      </c>
      <c r="C22" s="7" t="s">
        <v>563</v>
      </c>
      <c r="D22" s="24"/>
    </row>
    <row r="23" customFormat="false" ht="15" hidden="false" customHeight="false" outlineLevel="0" collapsed="false">
      <c r="A23" s="7" t="s">
        <v>590</v>
      </c>
      <c r="B23" s="7" t="s">
        <v>591</v>
      </c>
      <c r="C23" s="7" t="s">
        <v>563</v>
      </c>
      <c r="D23" s="24"/>
    </row>
    <row r="24" customFormat="false" ht="15" hidden="false" customHeight="false" outlineLevel="0" collapsed="false">
      <c r="A24" s="3" t="s">
        <v>592</v>
      </c>
      <c r="D24" s="25" t="n">
        <f aca="false">SUMIF(C5:C23,"Yes",D5:D23)</f>
        <v>0</v>
      </c>
    </row>
    <row r="25" customFormat="false" ht="15" hidden="false" customHeight="false" outlineLevel="0" collapsed="false">
      <c r="A25" s="2" t="s">
        <v>593</v>
      </c>
      <c r="B25" s="2" t="s">
        <v>594</v>
      </c>
      <c r="D25" s="26" t="n">
        <v>0.05</v>
      </c>
    </row>
    <row r="26" customFormat="false" ht="15" hidden="false" customHeight="false" outlineLevel="0" collapsed="false">
      <c r="A26" s="3" t="s">
        <v>595</v>
      </c>
      <c r="D26" s="25" t="n">
        <f aca="false">D24*(1+D25)</f>
        <v>0</v>
      </c>
    </row>
    <row r="28" customFormat="false" ht="15" hidden="false" customHeight="false" outlineLevel="0" collapsed="false">
      <c r="A28" s="2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597</v>
      </c>
      <c r="B1" s="10" t="s">
        <v>407</v>
      </c>
    </row>
    <row r="2" customFormat="false" ht="15" hidden="false" customHeight="false" outlineLevel="0" collapsed="false">
      <c r="A2" s="14" t="s">
        <v>598</v>
      </c>
      <c r="B2" s="23"/>
    </row>
    <row r="3" customFormat="false" ht="15" hidden="false" customHeight="false" outlineLevel="0" collapsed="false">
      <c r="A3" s="14" t="s">
        <v>599</v>
      </c>
      <c r="B3" s="23"/>
    </row>
    <row r="4" customFormat="false" ht="15" hidden="false" customHeight="false" outlineLevel="0" collapsed="false">
      <c r="A4" s="14" t="s">
        <v>600</v>
      </c>
      <c r="B4" s="23"/>
    </row>
    <row r="5" customFormat="false" ht="15" hidden="false" customHeight="false" outlineLevel="0" collapsed="false">
      <c r="A5" s="14" t="s">
        <v>601</v>
      </c>
      <c r="B5" s="23"/>
    </row>
    <row r="6" customFormat="false" ht="15" hidden="false" customHeight="false" outlineLevel="0" collapsed="false">
      <c r="A6" s="14" t="s">
        <v>602</v>
      </c>
      <c r="B6" s="23"/>
    </row>
    <row r="7" customFormat="false" ht="23.85" hidden="false" customHeight="false" outlineLevel="0" collapsed="false">
      <c r="A7" s="14" t="s">
        <v>603</v>
      </c>
      <c r="B7" s="23"/>
    </row>
    <row r="8" customFormat="false" ht="15" hidden="false" customHeight="false" outlineLevel="0" collapsed="false">
      <c r="A8" s="14" t="s">
        <v>604</v>
      </c>
      <c r="B8" s="23"/>
    </row>
    <row r="9" customFormat="false" ht="15" hidden="false" customHeight="false" outlineLevel="0" collapsed="false">
      <c r="A9" s="14" t="s">
        <v>605</v>
      </c>
      <c r="B9" s="23"/>
    </row>
    <row r="10" customFormat="false" ht="15" hidden="false" customHeight="false" outlineLevel="0" collapsed="false">
      <c r="A10" s="14" t="s">
        <v>606</v>
      </c>
      <c r="B10" s="23"/>
    </row>
    <row r="11" customFormat="false" ht="15" hidden="false" customHeight="false" outlineLevel="0" collapsed="false">
      <c r="A11" s="14" t="s">
        <v>607</v>
      </c>
      <c r="B11" s="23"/>
    </row>
    <row r="12" customFormat="false" ht="15" hidden="false" customHeight="false" outlineLevel="0" collapsed="false">
      <c r="A12" s="14" t="s">
        <v>608</v>
      </c>
      <c r="B12" s="23"/>
    </row>
    <row r="13" customFormat="false" ht="15" hidden="false" customHeight="false" outlineLevel="0" collapsed="false">
      <c r="A13" s="14" t="s">
        <v>609</v>
      </c>
      <c r="B13" s="23"/>
    </row>
    <row r="14" customFormat="false" ht="23.85" hidden="false" customHeight="false" outlineLevel="0" collapsed="false">
      <c r="A14" s="14" t="s">
        <v>610</v>
      </c>
      <c r="B14" s="23"/>
    </row>
    <row r="15" customFormat="false" ht="23.85" hidden="false" customHeight="false" outlineLevel="0" collapsed="false">
      <c r="A15" s="14" t="s">
        <v>611</v>
      </c>
      <c r="B15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2026-10-21T11:05:48Z</dcterms:created>
  <dc:creator>openpyxl</dc:creator>
  <dc:description/>
  <dc:language>en-US</dc:language>
  <cp:lastModifiedBy/>
  <dcterms:modified xsi:type="dcterms:W3CDTF">2026-10-21T11:05:48Z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
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Inputs" sheetId="1" state="visible" r:id="rId3"/>
    <sheet name="Itinerary" sheetId="2" state="visible" r:id="rId4"/>
    <sheet name="Day summary" sheetId="3" state="visible" r:id="rId5"/>
    <sheet name="Meal plan" sheetId="4" state="visible" r:id="rId6"/>
    <sheet name="Tickets" sheetId="5" state="visible" r:id="rId7"/>
    <sheet name="Budget" sheetId="6" state="visible" r:id="rId8"/>
    <sheet name="Sensitivity" sheetId="7" state="visible" r:id="rId9"/>
    <sheet name="Open point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<sst xmlns="http://schemas.openxmlformats.org/spreadsheetml/2006/main" count="622" uniqueCount="353">
  <si>
    <t xml:space="preserve">Bali Yatra 21-26 Jun 2027: inputs (yellow = edit; paste new quotes in column D, it overrides column B)</t>
  </si>
  <si>
    <t xml:space="preserve">Item</t>
  </si>
  <si>
    <t xml:space="preserve">Default</t>
  </si>
  <si>
    <t xml:space="preserve">Unit</t>
  </si>
  <si>
    <t xml:space="preserve">New quote (paste here)</t>
  </si>
  <si>
    <t xml:space="preserve">Effective value</t>
  </si>
  <si>
    <t xml:space="preserve">Source / status</t>
  </si>
  <si>
    <t xml:space="preserve">IDR per Rs 1 (today)</t>
  </si>
  <si>
    <t xml:space="preserve">IDR</t>
  </si>
  <si>
    <t xml:space="preserve">XE mid-market, 23 Oct 2026</t>
  </si>
  <si>
    <t xml:space="preserve">IDR per Rs 1 (previous basis)</t>
  </si>
  <si>
    <t xml:space="preserve">Approx. Pluang, 22 Jul 2026 (184.8 to 185.8)</t>
  </si>
  <si>
    <t xml:space="preserve">Paying yatris (planning size)</t>
  </si>
  <si>
    <t xml:space="preserve">persons</t>
  </si>
  <si>
    <t xml:space="preserve">Decision: 30 or more</t>
  </si>
  <si>
    <t xml:space="preserve">Tour managers (our team)</t>
  </si>
  <si>
    <t xml:space="preserve">Assumption, confirm</t>
  </si>
  <si>
    <t xml:space="preserve">Accompanying devotees (cost borne by us)</t>
  </si>
  <si>
    <t xml:space="preserve">Assumption, confirm (cook, kirtan lead, doctor etc.)</t>
  </si>
  <si>
    <t xml:space="preserve">Target margin on selling price</t>
  </si>
  <si>
    <t xml:space="preserve">%</t>
  </si>
  <si>
    <t xml:space="preserve">ASSUMPTION: not given yet, replace</t>
  </si>
  <si>
    <t xml:space="preserve">GST on package</t>
  </si>
  <si>
    <t xml:space="preserve">5% without ITC per secondary sources; CA to confirm</t>
  </si>
  <si>
    <t xml:space="preserve">TCS on overseas tour package</t>
  </si>
  <si>
    <t xml:space="preserve">2% flat from 1 Apr 2026 (news/blogs); CA to confirm</t>
  </si>
  <si>
    <t xml:space="preserve">Contingency on cost</t>
  </si>
  <si>
    <t xml:space="preserve">Planning allowance, edit</t>
  </si>
  <si>
    <t xml:space="preserve">Bank / payment charges on selling price</t>
  </si>
  <si>
    <t xml:space="preserve">ASSUMPTION: confirm with bank</t>
  </si>
  <si>
    <t xml:space="preserve">Seats per coach</t>
  </si>
  <si>
    <t xml:space="preserve">seats</t>
  </si>
  <si>
    <t xml:space="preserve">Operator quote: max 30-35 seater</t>
  </si>
  <si>
    <t xml:space="preserve">Extra coach, cost per day</t>
  </si>
  <si>
    <t xml:space="preserve">NOT VERIFIED: 27-seat 12h rate used as floor (mybalitrips.com)</t>
  </si>
  <si>
    <t xml:space="preserve">Days an extra coach is needed</t>
  </si>
  <si>
    <t xml:space="preserve">days</t>
  </si>
  <si>
    <t xml:space="preserve">Itinerary: Days 2 to 5 (airport, Ubud, Kuta transfers)</t>
  </si>
  <si>
    <t xml:space="preserve">Return flights HYD-KUL-DPS per person</t>
  </si>
  <si>
    <t xml:space="preserve">Rs</t>
  </si>
  <si>
    <t xml:space="preserve">PLACEHOLDER: Veena World Nov 2025 airfare ex-Bangalore; get HYD group quote</t>
  </si>
  <si>
    <t xml:space="preserve">Land package per person, 4 nights twin</t>
  </si>
  <si>
    <t xml:space="preserve">Veena World Nov 2025, 30+ pax, Option 1; get re-quote for Jun 2027</t>
  </si>
  <si>
    <t xml:space="preserve">e-VOA visa fee per person</t>
  </si>
  <si>
    <t xml:space="preserve">Announced rise 12 Aug 2026 (The Star); official page still shows 500,000. Effective date NOT VERIFIED</t>
  </si>
  <si>
    <t xml:space="preserve">e-VOA fee, previous basis</t>
  </si>
  <si>
    <t xml:space="preserve">Official e-VOA page, 23 Oct 2026</t>
  </si>
  <si>
    <t xml:space="preserve">Bali tourist levy per person</t>
  </si>
  <si>
    <t xml:space="preserve">lovebali.baliprov.go.id</t>
  </si>
  <si>
    <t xml:space="preserve">Yatri kit (bag, cap, ID card, handbook)</t>
  </si>
  <si>
    <t xml:space="preserve">TBC: no quote yet</t>
  </si>
  <si>
    <t xml:space="preserve">Senior insurance top-up (age 60+), average per yatri</t>
  </si>
  <si>
    <t xml:space="preserve">TBC: get group quote with age bands</t>
  </si>
  <si>
    <t xml:space="preserve">Satvik arrangements beyond package (boxed lunch, snacks)</t>
  </si>
  <si>
    <t xml:space="preserve">Hyderabad local transfers per yatri</t>
  </si>
  <si>
    <t xml:space="preserve">Proposed selling price per yatri, before GST (optional)</t>
  </si>
  <si>
    <t xml:space="preserve">Enter to see the margin it gives</t>
  </si>
  <si>
    <t xml:space="preserve">Day-by-day itinerary (tentative: flights and ashram timings not confirmed; km are approximate, check each link before fixing)</t>
  </si>
  <si>
    <t xml:space="preserve">Day</t>
  </si>
  <si>
    <t xml:space="preserve">Date</t>
  </si>
  <si>
    <t xml:space="preserve">Start</t>
  </si>
  <si>
    <t xml:space="preserve">End</t>
  </si>
  <si>
    <t xml:space="preserve">Clock shift (h)</t>
  </si>
  <si>
    <t xml:space="preserve">Duration (h)</t>
  </si>
  <si>
    <t xml:space="preserve">Duration</t>
  </si>
  <si>
    <t xml:space="preserve">Activity</t>
  </si>
  <si>
    <t xml:space="preserve">Place</t>
  </si>
  <si>
    <t xml:space="preserve">Google Maps</t>
  </si>
  <si>
    <t xml:space="preserve">Transport</t>
  </si>
  <si>
    <t xml:space="preserve">Approx km</t>
  </si>
  <si>
    <t xml:space="preserve">What we do</t>
  </si>
  <si>
    <t xml:space="preserve">Meal / who provides</t>
  </si>
  <si>
    <t xml:space="preserve">Satvik dinner and pre-departure briefing</t>
  </si>
  <si>
    <t xml:space="preserve">Hare Krishna Golden Temple, Hyderabad</t>
  </si>
  <si>
    <t xml:space="preserve">Open map</t>
  </si>
  <si>
    <t xml:space="preserve">On foot</t>
  </si>
  <si>
    <t xml:space="preserve">Prasadam, briefing on documents, dress, health, group rules. Garland the Deities, offer prayers for a safe yatra.</t>
  </si>
  <si>
    <t xml:space="preserve">Dinner: HKGT prasadam (confirm)</t>
  </si>
  <si>
    <t xml:space="preserve">Coach to airport</t>
  </si>
  <si>
    <t xml:space="preserve">Rajiv Gandhi International Airport, Hyderabad</t>
  </si>
  <si>
    <t xml:space="preserve">Coach</t>
  </si>
  <si>
    <t xml:space="preserve">Allow 1h15m for evening traffic.</t>
  </si>
  <si>
    <t xml:space="preserve">-</t>
  </si>
  <si>
    <t xml:space="preserve">Group check-in, emigration, boarding</t>
  </si>
  <si>
    <t xml:space="preserve">Walk</t>
  </si>
  <si>
    <t xml:space="preserve">Report 3h 55m before departure; seniors get wheelchair help on request.</t>
  </si>
  <si>
    <t xml:space="preserve">Own snacks (Satvik kit)</t>
  </si>
  <si>
    <t xml:space="preserve">Flight HYD to Kuala Lumpur (AirAsia AK068, TENTATIVE)</t>
  </si>
  <si>
    <t xml:space="preserve">Kuala Lumpur International Airport</t>
  </si>
  <si>
    <t xml:space="preserve">Flight</t>
  </si>
  <si>
    <t xml:space="preserve">Schedule from Oct 2026 snapshot; June 2027 not open. Operates Mon/Tue/Wed/Sat in that pattern.</t>
  </si>
  <si>
    <t xml:space="preserve">On board: own prasadam snacks</t>
  </si>
  <si>
    <t xml:space="preserve">Transit at Kuala Lumpur</t>
  </si>
  <si>
    <t xml:space="preserve">Immigration and transit; Satvik breakfast kit from Hyderabad.</t>
  </si>
  <si>
    <t xml:space="preserve">Breakfast: carried Satvik kit</t>
  </si>
  <si>
    <t xml:space="preserve">Flight KUL to Bali (AirAsia AK364, TENTATIVE)</t>
  </si>
  <si>
    <t xml:space="preserve">Ngurah Rai International Airport, Bali</t>
  </si>
  <si>
    <t xml:space="preserve">KUL and Bali share the same time zone (UTC+8).</t>
  </si>
  <si>
    <t xml:space="preserve">On board: own snacks</t>
  </si>
  <si>
    <t xml:space="preserve">Arrival: immigration (e-VOA), bags, meet guide</t>
  </si>
  <si>
    <t xml:space="preserve">Pre-paid e-VOA and arrival card QR codes ready. Levy vouchers. Allow 1h 45m for 35 persons.</t>
  </si>
  <si>
    <t xml:space="preserve">Coach to lunch</t>
  </si>
  <si>
    <t xml:space="preserve">Vrindavan Pure Veg Restaurant, Kuta</t>
  </si>
  <si>
    <t xml:space="preserve">Short hop from the airport.</t>
  </si>
  <si>
    <t xml:space="preserve">Lunch</t>
  </si>
  <si>
    <t xml:space="preserve">Confirm group size, no onion-garlic cooking and booking in writing. Fallback: pre-ordered boxed lunch.</t>
  </si>
  <si>
    <t xml:space="preserve">Lunch: Indian pure-veg restaurant (to book)</t>
  </si>
  <si>
    <t xml:space="preserve">Coach to ISKCON Bali</t>
  </si>
  <si>
    <t xml:space="preserve">Sri Sri Radha Madhava Mandir, Bitera, Gianyar</t>
  </si>
  <si>
    <t xml:space="preserve">Address from a 2011 article: confirm location and timings with the temple.</t>
  </si>
  <si>
    <t xml:space="preserve">Darshan, kirtan and prasadam at ISKCON Bali (TIMINGS TBC)</t>
  </si>
  <si>
    <t xml:space="preserve">Temple darshan and sandhya arati if timed; group prasadam dinner only if the temple agrees (not verified).</t>
  </si>
  <si>
    <t xml:space="preserve">Dinner: ISKCON Bali prasadam (to request)</t>
  </si>
  <si>
    <t xml:space="preserve">Coach to Ubud hotel</t>
  </si>
  <si>
    <t xml:space="preserve">Ubud hotel (hotel TBC)</t>
  </si>
  <si>
    <t xml:space="preserve">Distance is approximate.</t>
  </si>
  <si>
    <t xml:space="preserve">Hotel check-in and rest</t>
  </si>
  <si>
    <t xml:space="preserve">Rooms list ready; early rest after the long journey. Overnight Ubud.</t>
  </si>
  <si>
    <t xml:space="preserve">Dinner fallback: hotel Satvik meal</t>
  </si>
  <si>
    <t xml:space="preserve">Breakfast</t>
  </si>
  <si>
    <t xml:space="preserve">Satvik breakfast arranged with the hotel in advance.</t>
  </si>
  <si>
    <t xml:space="preserve">Breakfast: hotel</t>
  </si>
  <si>
    <t xml:space="preserve">Coach to Tirta Empul</t>
  </si>
  <si>
    <t xml:space="preserve">Tirta Empul Temple, Tampaksiring</t>
  </si>
  <si>
    <t xml:space="preserve">Temple opens 09:00.</t>
  </si>
  <si>
    <t xml:space="preserve">Tirta Empul holy spring temple</t>
  </si>
  <si>
    <t xml:space="preserve">Optional ritual bath (sarong and sash, spare dry clothes). Women: Bali temple rule on menstruation applies. Steps are wet: stay with the group.</t>
  </si>
  <si>
    <t xml:space="preserve">Coach to Ubud</t>
  </si>
  <si>
    <t xml:space="preserve">Ubud centre</t>
  </si>
  <si>
    <t xml:space="preserve">Madhubann Pure Veg Indian, Ubud</t>
  </si>
  <si>
    <t xml:space="preserve">Pure veg, Jain thali reported. Confirm group booking and no onion-garlic.</t>
  </si>
  <si>
    <t xml:space="preserve">Sacred Monkey Forest</t>
  </si>
  <si>
    <t xml:space="preserve">Sacred Monkey Forest Sanctuary, Ubud</t>
  </si>
  <si>
    <t xml:space="preserve">Coach / walk</t>
  </si>
  <si>
    <t xml:space="preserve">Slow 1h walk on shaded paths. Hold glasses, phones and food: monkeys snatch. Hours 09:00 to 18:00.</t>
  </si>
  <si>
    <t xml:space="preserve">Rest at hotel</t>
  </si>
  <si>
    <t xml:space="preserve">Rest (short coach hop)</t>
  </si>
  <si>
    <t xml:space="preserve">Seniors rest in the heat of the day.</t>
  </si>
  <si>
    <t xml:space="preserve">Tea / snack: hotel</t>
  </si>
  <si>
    <t xml:space="preserve">Taman Saraswati and Ubud village walk (optional shopping)</t>
  </si>
  <si>
    <t xml:space="preserve">Pura Taman Saraswati, Ubud</t>
  </si>
  <si>
    <t xml:space="preserve">Lotus pond temple, short flat walk; local shopping.</t>
  </si>
  <si>
    <t xml:space="preserve">Sandhya kirtan and talk</t>
  </si>
  <si>
    <t xml:space="preserve">Hall to be arranged.</t>
  </si>
  <si>
    <t xml:space="preserve">Dinner</t>
  </si>
  <si>
    <t xml:space="preserve">Satvik dinner arranged with the hotel.</t>
  </si>
  <si>
    <t xml:space="preserve">Dinner: hotel</t>
  </si>
  <si>
    <t xml:space="preserve">Breakfast and check-out</t>
  </si>
  <si>
    <t xml:space="preserve">Luggage loaded by 08:15.</t>
  </si>
  <si>
    <t xml:space="preserve">Breakfast: hotel (and boxed lunch pick-up)</t>
  </si>
  <si>
    <t xml:space="preserve">Coach to Bedugul</t>
  </si>
  <si>
    <t xml:space="preserve">Pura Ulun Danu Beratan, Bedugul</t>
  </si>
  <si>
    <t xml:space="preserve">Winding mountain road: seat seniors at the front, motion-sickness tablets.</t>
  </si>
  <si>
    <t xml:space="preserve">Ulun Danu Beratan temple on Lake Beratan</t>
  </si>
  <si>
    <t xml:space="preserve">Cool and misty at about 1,200 m. Flat gardens, easy for seniors. Carry a light jacket.</t>
  </si>
  <si>
    <t xml:space="preserve">Boxed Satvik lunch in the garden</t>
  </si>
  <si>
    <t xml:space="preserve">No verified restaurant at Bedugul: pre-order boxed lunches from a vegetarian restaurant.</t>
  </si>
  <si>
    <t xml:space="preserve">Lunch: pre-ordered boxes (to book)</t>
  </si>
  <si>
    <t xml:space="preserve">Coach to Kuta hotel</t>
  </si>
  <si>
    <t xml:space="preserve">Kuta hotel (hotel TBC)</t>
  </si>
  <si>
    <t xml:space="preserve">Check-in: early check-in subject to availability; leave luggage if rooms are not ready.</t>
  </si>
  <si>
    <t xml:space="preserve">Rest before Tanah Lot.</t>
  </si>
  <si>
    <t xml:space="preserve">Tea: hotel</t>
  </si>
  <si>
    <t xml:space="preserve">Coach to Tanah Lot</t>
  </si>
  <si>
    <t xml:space="preserve">Tanah Lot Temple, Tabanan</t>
  </si>
  <si>
    <t xml:space="preserve">Evening traffic: leave on time.</t>
  </si>
  <si>
    <t xml:space="preserve">Tanah Lot sea temple and sunset (sunset about 18:10)</t>
  </si>
  <si>
    <t xml:space="preserve">Steps are uneven and crowded; seniors may view from the upper cliff path. Shopping on the way.</t>
  </si>
  <si>
    <t xml:space="preserve">Satvik dinner with the hotel or Shiv Sagar, Seminyak (pure veg).</t>
  </si>
  <si>
    <t xml:space="preserve">Dinner: hotel / pure-veg restaurant</t>
  </si>
  <si>
    <t xml:space="preserve">Coach to GWK</t>
  </si>
  <si>
    <t xml:space="preserve">Garuda Wisnu Kencana Cultural Park, Ungasan</t>
  </si>
  <si>
    <t xml:space="preserve">Garuda Wisnu Kencana Cultural Park</t>
  </si>
  <si>
    <t xml:space="preserve">Giant Lord Vishnu on Garuda statue and plazas. Opening hours conflict in sources: confirm. Buggy help for seniors if offered.</t>
  </si>
  <si>
    <t xml:space="preserve">Vinayak Pure Veg, Lippo Mall Kuta</t>
  </si>
  <si>
    <t xml:space="preserve">Pure veg with Jain-style cooking reported; confirm group booking.</t>
  </si>
  <si>
    <t xml:space="preserve">Coach to Uluwatu</t>
  </si>
  <si>
    <t xml:space="preserve">Uluwatu Temple, Pecatu</t>
  </si>
  <si>
    <t xml:space="preserve">Uluwatu cliff temple (sunset about 18:10)</t>
  </si>
  <si>
    <t xml:space="preserve">Monkeys steal glasses and phones. Steps along the cliff: optional shorter walk for seniors.</t>
  </si>
  <si>
    <t xml:space="preserve">Kecak fire dance (OPTIONAL, separate ticket)</t>
  </si>
  <si>
    <t xml:space="preserve">Uluwatu Temple amphitheatre, Pecatu</t>
  </si>
  <si>
    <t xml:space="preserve">Shows 18:00 and 19:00; those not joining wait in the coach or cafe.</t>
  </si>
  <si>
    <t xml:space="preserve">Satvik dinner at the hotel.</t>
  </si>
  <si>
    <t xml:space="preserve">Coach to Krishna Oleh-Oleh</t>
  </si>
  <si>
    <t xml:space="preserve">Krishna Oleh-Oleh, Bali (branch TBC)</t>
  </si>
  <si>
    <t xml:space="preserve">Souvenirs and snacks (check Satvik labels).</t>
  </si>
  <si>
    <t xml:space="preserve">Shopping and free time</t>
  </si>
  <si>
    <t xml:space="preserve">Group photo; keep an eye on the time.</t>
  </si>
  <si>
    <t xml:space="preserve">Coach to lunch and check-out</t>
  </si>
  <si>
    <t xml:space="preserve">Luggage loaded after check-out (hotel check-out time TBC).</t>
  </si>
  <si>
    <t xml:space="preserve">Check-in, immigration, boarding</t>
  </si>
  <si>
    <t xml:space="preserve">Flight times TBC.</t>
  </si>
  <si>
    <t xml:space="preserve">Flight Bali to Kuala Lumpur (ASSUMED, Malaysia Airlines pattern)</t>
  </si>
  <si>
    <t xml:space="preserve">NOT VERIFIED: no Bali to Hyderabad schedule found.</t>
  </si>
  <si>
    <t xml:space="preserve">Transit, dinner from carried Satvik kit.</t>
  </si>
  <si>
    <t xml:space="preserve">Dinner: carried Satvik kit</t>
  </si>
  <si>
    <t xml:space="preserve">Flight KUL to Hyderabad (ASSUMED: MH198 pattern)</t>
  </si>
  <si>
    <t xml:space="preserve">Arrival time is India time (IST). NOT VERIFIED for 2027.</t>
  </si>
  <si>
    <t xml:space="preserve">Day summary (formulas read the Itinerary sheet)</t>
  </si>
  <si>
    <t xml:space="preserve">Route</t>
  </si>
  <si>
    <t xml:space="preserve">Overnight</t>
  </si>
  <si>
    <t xml:space="preserve">Coach hours</t>
  </si>
  <si>
    <t xml:space="preserve">Flight hours (clock-adjusted)</t>
  </si>
  <si>
    <t xml:space="preserve">Driver check (8h baseline)</t>
  </si>
  <si>
    <t xml:space="preserve">Sunrise</t>
  </si>
  <si>
    <t xml:space="preserve">Sunset</t>
  </si>
  <si>
    <t xml:space="preserve">Hyderabad to airport, overnight flight via Kuala Lumpur</t>
  </si>
  <si>
    <t xml:space="preserve">In flight</t>
  </si>
  <si>
    <t xml:space="preserve">n/a (Hyderabad)</t>
  </si>
  <si>
    <t xml:space="preserve">n/a</t>
  </si>
  <si>
    <t xml:space="preserve">Kuala Lumpur, Bali airport, Kuta lunch, ISKCON Bitera, Ubud</t>
  </si>
  <si>
    <t xml:space="preserve">Ubud</t>
  </si>
  <si>
    <t xml:space="preserve">06:32</t>
  </si>
  <si>
    <t xml:space="preserve">18:09</t>
  </si>
  <si>
    <t xml:space="preserve">Tirta Empul, Ubud, Monkey Forest, Saraswati</t>
  </si>
  <si>
    <t xml:space="preserve">Ubud to Bedugul to Kuta, Tanah Lot</t>
  </si>
  <si>
    <t xml:space="preserve">Kuta</t>
  </si>
  <si>
    <t xml:space="preserve">18:10</t>
  </si>
  <si>
    <t xml:space="preserve">GWK, Kuta, Uluwatu</t>
  </si>
  <si>
    <t xml:space="preserve">06:33</t>
  </si>
  <si>
    <t xml:space="preserve">Krishna Oleh-Oleh, airport, flights home</t>
  </si>
  <si>
    <t xml:space="preserve">In flight / Hyderabad (late night)</t>
  </si>
  <si>
    <t xml:space="preserve">Total</t>
  </si>
  <si>
    <t xml:space="preserve">Sunrise and sunset: Denpasar, sunrise-sunset.org, checked 23 Oct 2026. Driver-hour baseline: Indonesian Law 22/2009 Art. 90 (8h/day, 30 min rest after 4h); local confirmation pending.</t>
  </si>
  <si>
    <t xml:space="preserve">Coach hours count driving legs only; short hops to and from hotel rests (about 20 min) are not counted.</t>
  </si>
  <si>
    <t xml:space="preserve">Meal plan (Satvik only: no onion, garlic, eggs, meat, fish). No Ekadasi on 21-26 Jun 2027 (Nirjala 14/15 Jun; Yogini 30 Jun).</t>
  </si>
  <si>
    <t xml:space="preserve">Notes</t>
  </si>
  <si>
    <t xml:space="preserve">Home</t>
  </si>
  <si>
    <t xml:space="preserve">HKGT prasadam before departure (confirm); Satvik snack kit on the flight</t>
  </si>
  <si>
    <t xml:space="preserve">Pack Satvik kit for the long journey</t>
  </si>
  <si>
    <t xml:space="preserve">Carried Satvik kit at KUL</t>
  </si>
  <si>
    <t xml:space="preserve">Vrindavan Pure Veg, Kuta (to book)</t>
  </si>
  <si>
    <t xml:space="preserve">ISKCON Bali prasadam (to request); fallback hotel</t>
  </si>
  <si>
    <t xml:space="preserve">Written Satvik confirmation needed from every provider</t>
  </si>
  <si>
    <t xml:space="preserve">Ubud hotel</t>
  </si>
  <si>
    <t xml:space="preserve">Madhubann Pure Veg Indian, Ubud (to book)</t>
  </si>
  <si>
    <t xml:space="preserve">Hotel kitchen must cook without onion/garlic</t>
  </si>
  <si>
    <t xml:space="preserve">Boxed Satvik lunch at Bedugul (to book)</t>
  </si>
  <si>
    <t xml:space="preserve">Kuta hotel or Shiv Sagar, Seminyak (to book)</t>
  </si>
  <si>
    <t xml:space="preserve">No verified restaurant near Bedugul</t>
  </si>
  <si>
    <t xml:space="preserve">Kuta hotel</t>
  </si>
  <si>
    <t xml:space="preserve">Vinayak, Lippo Mall Kuta (to book)</t>
  </si>
  <si>
    <t xml:space="preserve">Kecak evening is optional; dinner may be late</t>
  </si>
  <si>
    <t xml:space="preserve">Hyderabad arrival about 23:20</t>
  </si>
  <si>
    <t xml:space="preserve">Entry tickets, adult rate (not official except Monkey Forest; no senior or group concession found). IDR converted at Inputs rate.</t>
  </si>
  <si>
    <t xml:space="preserve">Site</t>
  </si>
  <si>
    <t xml:space="preserve">Status</t>
  </si>
  <si>
    <t xml:space="preserve">Adult IDR</t>
  </si>
  <si>
    <t xml:space="preserve">Adult Rs</t>
  </si>
  <si>
    <t xml:space="preserve">Qty (yatris)</t>
  </si>
  <si>
    <t xml:space="preserve">Total IDR</t>
  </si>
  <si>
    <t xml:space="preserve">Total Rs</t>
  </si>
  <si>
    <t xml:space="preserve">Source / note</t>
  </si>
  <si>
    <t xml:space="preserve">Sacred Monkey Forest, Ubud</t>
  </si>
  <si>
    <t xml:space="preserve">Planned</t>
  </si>
  <si>
    <t xml:space="preserve">Official site</t>
  </si>
  <si>
    <t xml:space="preserve">Tirta Empul</t>
  </si>
  <si>
    <t xml:space="preserve">Guide, baliholidaysecrets.com; others say 50,000</t>
  </si>
  <si>
    <t xml:space="preserve">Pura Ulun Danu Beratan</t>
  </si>
  <si>
    <t xml:space="preserve">Same guide; others 50,000 to 75,000</t>
  </si>
  <si>
    <t xml:space="preserve">Taman Saraswati, Ubud</t>
  </si>
  <si>
    <t xml:space="preserve">Guide conflict (free to 60,000): upper used</t>
  </si>
  <si>
    <t xml:space="preserve">Tanah Lot</t>
  </si>
  <si>
    <t xml:space="preserve">Same guide</t>
  </si>
  <si>
    <t xml:space="preserve">GWK Cultural Park</t>
  </si>
  <si>
    <t xml:space="preserve">Same guide; official site shows price only after date selection</t>
  </si>
  <si>
    <t xml:space="preserve">Uluwatu Temple</t>
  </si>
  <si>
    <t xml:space="preserve">Same guide; another says 50,000</t>
  </si>
  <si>
    <t xml:space="preserve">Kecak fire dance, Uluwatu</t>
  </si>
  <si>
    <t xml:space="preserve">Optional</t>
  </si>
  <si>
    <t xml:space="preserve">Same guide; 100,000 to 200,000 elsewhere</t>
  </si>
  <si>
    <t xml:space="preserve">Goa Gajah</t>
  </si>
  <si>
    <t xml:space="preserve">Not in route; kept as option</t>
  </si>
  <si>
    <t xml:space="preserve">Tegallalang rice terrace</t>
  </si>
  <si>
    <t xml:space="preserve">Not recommended for seniors</t>
  </si>
  <si>
    <t xml:space="preserve">Ubud Palace</t>
  </si>
  <si>
    <t xml:space="preserve">Free per guide</t>
  </si>
  <si>
    <t xml:space="preserve">ISKCON Bali ashram</t>
  </si>
  <si>
    <t xml:space="preserve">Voluntary donation</t>
  </si>
  <si>
    <t xml:space="preserve">Planned total per adult</t>
  </si>
  <si>
    <t xml:space="preserve">Optional total per adult (if all taken)</t>
  </si>
  <si>
    <t xml:space="preserve">Tickets are assumed to be inside the operator land package (the quote says both yes and no). If not, add the planned total to the budget as a cost.</t>
  </si>
  <si>
    <t xml:space="preserve">Budget per yatri at the planning size (Inputs!B6). Previous basis = old FX and old visa fee; Current = today's rate and latest quotes.</t>
  </si>
  <si>
    <t xml:space="preserve">Line</t>
  </si>
  <si>
    <t xml:space="preserve">Previous basis Rs</t>
  </si>
  <si>
    <t xml:space="preserve">Current Rs</t>
  </si>
  <si>
    <t xml:space="preserve">Change Rs</t>
  </si>
  <si>
    <t xml:space="preserve">Change %</t>
  </si>
  <si>
    <t xml:space="preserve">Return flights HYD-KUL-DPS</t>
  </si>
  <si>
    <t xml:space="preserve">PLACEHOLDER: old ex-Bangalore airfare</t>
  </si>
  <si>
    <t xml:space="preserve">Land package, 4 nights twin (hotels, meals, coach, guide, tips, tickets)</t>
  </si>
  <si>
    <t xml:space="preserve">Quote Nov 2025 for Apr 2026: re-quote needed</t>
  </si>
  <si>
    <t xml:space="preserve">Extra coach share (only above seat capacity)</t>
  </si>
  <si>
    <t xml:space="preserve">NOT VERIFIED coach rate</t>
  </si>
  <si>
    <t xml:space="preserve">e-VOA visa fee</t>
  </si>
  <si>
    <t xml:space="preserve">Fee rise announced, effective date NOT VERIFIED</t>
  </si>
  <si>
    <t xml:space="preserve">Bali tourist levy</t>
  </si>
  <si>
    <t xml:space="preserve">Official portal</t>
  </si>
  <si>
    <t xml:space="preserve">Yatri kit</t>
  </si>
  <si>
    <t xml:space="preserve">TBC</t>
  </si>
  <si>
    <t xml:space="preserve">Senior insurance top-up</t>
  </si>
  <si>
    <t xml:space="preserve">Satvik arrangements beyond package</t>
  </si>
  <si>
    <t xml:space="preserve">Hyderabad local transfers</t>
  </si>
  <si>
    <t xml:space="preserve">Tour manager and accompanying devotees (cost shared by paying yatris)</t>
  </si>
  <si>
    <t xml:space="preserve">Assumption: 1 + 2 persons</t>
  </si>
  <si>
    <t xml:space="preserve">Sub-total</t>
  </si>
  <si>
    <t xml:space="preserve">Contingency</t>
  </si>
  <si>
    <t xml:space="preserve">COST PER YATRI</t>
  </si>
  <si>
    <t xml:space="preserve">Price before GST for the target margin (bank charges included)</t>
  </si>
  <si>
    <t xml:space="preserve">GST</t>
  </si>
  <si>
    <t xml:space="preserve">Price including GST</t>
  </si>
  <si>
    <t xml:space="preserve">TCS (collected from the yatri, adjustable against their income tax)</t>
  </si>
  <si>
    <t xml:space="preserve">TOTAL PAYABLE BY YATRI</t>
  </si>
  <si>
    <t xml:space="preserve">Margin at your proposed selling price (Inputs: selling price before GST)</t>
  </si>
  <si>
    <t xml:space="preserve">Gap: price needed minus proposed selling price</t>
  </si>
  <si>
    <t xml:space="preserve">Cost per yatri and price needed, by group size (current basis)</t>
  </si>
  <si>
    <t xml:space="preserve">Yatris</t>
  </si>
  <si>
    <t xml:space="preserve">Extra coaches</t>
  </si>
  <si>
    <t xml:space="preserve">Flights</t>
  </si>
  <si>
    <t xml:space="preserve">Land package</t>
  </si>
  <si>
    <t xml:space="preserve">Extra coach share</t>
  </si>
  <si>
    <t xml:space="preserve">e-VOA</t>
  </si>
  <si>
    <t xml:space="preserve">Levy</t>
  </si>
  <si>
    <t xml:space="preserve">Other (kit, insurance, Satvik, transfers)</t>
  </si>
  <si>
    <t xml:space="preserve">Team share (TM + devotees)</t>
  </si>
  <si>
    <t xml:space="preserve">COST per yatri</t>
  </si>
  <si>
    <t xml:space="preserve">Price before GST at target margin</t>
  </si>
  <si>
    <t xml:space="preserve">Incl. 5% GST</t>
  </si>
  <si>
    <t xml:space="preserve">Incl. TCS (total payable)</t>
  </si>
  <si>
    <t xml:space="preserve">Price at 5% margin</t>
  </si>
  <si>
    <t xml:space="preserve">Price at 10% margin</t>
  </si>
  <si>
    <t xml:space="preserve">Price at 15% margin</t>
  </si>
  <si>
    <t xml:space="preserve">Price at 20% margin</t>
  </si>
  <si>
    <t xml:space="preserve">Note: the operator land slab is flat for 30 or more guests, so the cost per yatri changes with group size only through the extra coach, the shared team cost and rounding.</t>
  </si>
  <si>
    <t xml:space="preserve">#</t>
  </si>
  <si>
    <t xml:space="preserve">Open point to verify</t>
  </si>
  <si>
    <t xml:space="preserve">Owner</t>
  </si>
  <si>
    <t xml:space="preserve">Flights HYD-DPS-HYD for Jun 2027: get written group quotes (MH, AirAsia/Batik). Monday 21 Jun arrival needs a Sunday-night departure, which the current AirAsia pattern does not operate.</t>
  </si>
  <si>
    <t xml:space="preserve">Return DPS to HYD times and airline: not found.</t>
  </si>
  <si>
    <t xml:space="preserve">e-VOA fee: IDR 500,000 (official page) or IDR 750,000 (announced rise, 12 Aug 2026)? Effective date.</t>
  </si>
  <si>
    <t xml:space="preserve">Hotel names, star ratings, Jun 2027 twin rate and ++ taxes (10%/11% tax, 10% service).</t>
  </si>
  <si>
    <t xml:space="preserve">Land package re-quote for Jun 2027 (4 nights), with written Satvik confirmation and whether entry tickets are included.</t>
  </si>
  <si>
    <t xml:space="preserve">ISKCON Bali Bitera: current address, programme times, group prasadam, contact.</t>
  </si>
  <si>
    <t xml:space="preserve">Restaurants: group capacity, price and no onion-garlic for Vrindavan, Madhubann, Vinayak, Shiv Sagar; boxed lunch for Bedugul.</t>
  </si>
  <si>
    <t xml:space="preserve">Entry ticket prices from official sources; senior or group concessions.</t>
  </si>
  <si>
    <t xml:space="preserve">Bali Arts Festival 2027 dates (likely overlap, Denpasar road closures).</t>
  </si>
  <si>
    <t xml:space="preserve">Menstruation rule at temples: brief women yatris; confirm site policies.</t>
  </si>
  <si>
    <t xml:space="preserve">Senior insurance (60+) group quote; medical fitness forms.</t>
  </si>
  <si>
    <t xml:space="preserve">TCS 2% and GST 5% treatment: CA confirmation.</t>
  </si>
  <si>
    <t xml:space="preserve">Organiser names, phone numbers, website, handles for the brand block.</t>
  </si>
  <si>
    <t xml:space="preserve">Target margin and selling price.</t>
  </si>
  <si>
    <t xml:space="preserve">Yatra team: number of tour managers and accompanying devotees.</t>
  </si>
</sst>
</file>

<file path=xl/styles.xml><?xml version="1.0" encoding="utf-8"?>
<styleSheet xmlns="http://schemas.openxmlformats.org/spreadsheetml/2006/main">
  <numFmts count="6">
    <numFmt numFmtId="164" formatCode="General"/>
    <numFmt numFmtId="165" formatCode="0.0%"/>
    <numFmt numFmtId="166" formatCode="ddd\ dd\-mmm"/>
    <numFmt numFmtId="167" formatCode="hh:mm"/>
    <numFmt numFmtId="168" formatCode="ddd\ dd\-mmm\-yyyy"/>
    <numFmt numFmtId="169" formatCode="#,##0"/>
  </numFmts>
  <fonts count="8">
    <font>
      <sz val="11"/>
      <color theme="1"/>
      <name val="Calibri"/>
      <family val="2"/>
      <charset val="1"/>
    </font>
    <font>
      <sz val="10"/>
      <name val="Arial"/>
      <family val="0"/>
    </font>
    <font>
      <sz val="10"/>
      <name val="Arial"/>
      <family val="0"/>
    </font>
    <font>
      <sz val="10"/>
      <name val="Arial"/>
      <family val="0"/>
    </font>
    <font>
      <b val="true"/>
      <sz val="13"/>
      <name val="Cambria"/>
      <family val="0"/>
      <charset val="1"/>
    </font>
    <font>
      <b val="true"/>
      <sz val="11"/>
      <color rgb="FFFFFFFF"/>
      <name val="Cambria"/>
      <family val="0"/>
      <charset val="1"/>
    </font>
    <font>
      <u val="single"/>
      <sz val="11"/>
      <color rgb="FF0563C1"/>
      <name val="Cambria"/>
      <family val="0"/>
      <charset val="1"/>
    </font>
    <font>
      <b val="true"/>
      <sz val="11"/>
      <name val="Cambria"/>
      <family val="0"/>
      <charset val="1"/>
    </font>
  </fonts>
  <fills count="5">
    <fill>
      <patternFill patternType="none"/>
    </fill>
    <fill>
      <patternFill patternType="gray125"/>
    </fill>
    <fill>
      <patternFill patternType="solid">
        <fgColor rgb="FF7A3E00"/>
        <bgColor rgb="FF993366"/>
      </patternFill>
    </fill>
    <fill>
      <patternFill patternType="solid">
        <fgColor rgb="FFFFF2CC"/>
        <bgColor rgb="FFFFFFFF"/>
      </patternFill>
    </fill>
    <fill>
      <patternFill patternType="solid">
        <fgColor rgb="FFF8CBAD"/>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3"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7"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9" fontId="0" fillId="3"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7A3E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google.com/maps/search/?api=1&amp;query=Hare+Krishna+Golden+Temple+Banjara+Hills+Hyderabad" TargetMode="External"/><Relationship Id="rId2" Type="http://schemas.openxmlformats.org/officeDocument/2006/relationships/hyperlink" Target="https://www.google.com/maps/search/?api=1&amp;query=Rajiv+Gandhi+International+Airport+Hyderabad" TargetMode="External"/><Relationship Id="rId3" Type="http://schemas.openxmlformats.org/officeDocument/2006/relationships/hyperlink" Target="https://www.google.com/maps/search/?api=1&amp;query=Rajiv+Gandhi+International+Airport+Hyderabad" TargetMode="External"/><Relationship Id="rId4" Type="http://schemas.openxmlformats.org/officeDocument/2006/relationships/hyperlink" Target="https://www.google.com/maps/search/?api=1&amp;query=Kuala+Lumpur+International+Airport" TargetMode="External"/><Relationship Id="rId5" Type="http://schemas.openxmlformats.org/officeDocument/2006/relationships/hyperlink" Target="https://www.google.com/maps/search/?api=1&amp;query=Kuala+Lumpur+International+Airport" TargetMode="External"/><Relationship Id="rId6" Type="http://schemas.openxmlformats.org/officeDocument/2006/relationships/hyperlink" Target="https://www.google.com/maps/search/?api=1&amp;query=Ngurah+Rai+International+Airport+Bali" TargetMode="External"/><Relationship Id="rId7" Type="http://schemas.openxmlformats.org/officeDocument/2006/relationships/hyperlink" Target="https://www.google.com/maps/search/?api=1&amp;query=Ngurah+Rai+International+Airport+Bali" TargetMode="External"/><Relationship Id="rId8" Type="http://schemas.openxmlformats.org/officeDocument/2006/relationships/hyperlink" Target="https://www.google.com/maps/search/?api=1&amp;query=Vrindavan+100%25+pure+Indian+vegetarian+restaurant+Kuta+Bali" TargetMode="External"/><Relationship Id="rId9" Type="http://schemas.openxmlformats.org/officeDocument/2006/relationships/hyperlink" Target="https://www.google.com/maps/search/?api=1&amp;query=Vrindavan+100%25+pure+Indian+vegetarian+restaurant+Kuta+Bali" TargetMode="External"/><Relationship Id="rId10" Type="http://schemas.openxmlformats.org/officeDocument/2006/relationships/hyperlink" Target="https://www.google.com/maps/search/?api=1&amp;query=ISKCON+Bali+Sri+Sri+Radha+Madhava+Mandir+Bitera+Gianyar" TargetMode="External"/><Relationship Id="rId11" Type="http://schemas.openxmlformats.org/officeDocument/2006/relationships/hyperlink" Target="https://www.google.com/maps/search/?api=1&amp;query=ISKCON+Bali+Sri+Sri+Radha+Madhava+Mandir+Bitera+Gianyar" TargetMode="External"/><Relationship Id="rId12" Type="http://schemas.openxmlformats.org/officeDocument/2006/relationships/hyperlink" Target="https://www.google.com/maps/search/?api=1&amp;query=Ubud+Wana+Resort+Ubud+Bali" TargetMode="External"/><Relationship Id="rId13" Type="http://schemas.openxmlformats.org/officeDocument/2006/relationships/hyperlink" Target="https://www.google.com/maps/search/?api=1&amp;query=Ubud+Wana+Resort+Ubud+Bali" TargetMode="External"/><Relationship Id="rId14" Type="http://schemas.openxmlformats.org/officeDocument/2006/relationships/hyperlink" Target="https://www.google.com/maps/search/?api=1&amp;query=Ubud+Wana+Resort+Ubud+Bali" TargetMode="External"/><Relationship Id="rId15" Type="http://schemas.openxmlformats.org/officeDocument/2006/relationships/hyperlink" Target="https://www.google.com/maps/search/?api=1&amp;query=Tirta+Empul+Temple+Tampaksiring+Bali" TargetMode="External"/><Relationship Id="rId16" Type="http://schemas.openxmlformats.org/officeDocument/2006/relationships/hyperlink" Target="https://www.google.com/maps/search/?api=1&amp;query=Tirta+Empul+Temple+Tampaksiring+Bali" TargetMode="External"/><Relationship Id="rId17" Type="http://schemas.openxmlformats.org/officeDocument/2006/relationships/hyperlink" Target="https://www.google.com/maps/search/?api=1&amp;query=Madhubann+Pure+Veg+Indian+Ubud+Bali" TargetMode="External"/><Relationship Id="rId18" Type="http://schemas.openxmlformats.org/officeDocument/2006/relationships/hyperlink" Target="https://www.google.com/maps/search/?api=1&amp;query=Madhubann+Pure+Veg+Indian+Ubud+Bali" TargetMode="External"/><Relationship Id="rId19" Type="http://schemas.openxmlformats.org/officeDocument/2006/relationships/hyperlink" Target="https://www.google.com/maps/search/?api=1&amp;query=Sacred+Monkey+Forest+Sanctuary+Ubud" TargetMode="External"/><Relationship Id="rId20" Type="http://schemas.openxmlformats.org/officeDocument/2006/relationships/hyperlink" Target="https://www.google.com/maps/search/?api=1&amp;query=Ubud+Wana+Resort+Ubud+Bali" TargetMode="External"/><Relationship Id="rId21" Type="http://schemas.openxmlformats.org/officeDocument/2006/relationships/hyperlink" Target="https://www.google.com/maps/search/?api=1&amp;query=Pura+Taman+Saraswati+Ubud" TargetMode="External"/><Relationship Id="rId22" Type="http://schemas.openxmlformats.org/officeDocument/2006/relationships/hyperlink" Target="https://www.google.com/maps/search/?api=1&amp;query=Ubud+Wana+Resort+Ubud+Bali" TargetMode="External"/><Relationship Id="rId23" Type="http://schemas.openxmlformats.org/officeDocument/2006/relationships/hyperlink" Target="https://www.google.com/maps/search/?api=1&amp;query=Ubud+Wana+Resort+Ubud+Bali" TargetMode="External"/><Relationship Id="rId24" Type="http://schemas.openxmlformats.org/officeDocument/2006/relationships/hyperlink" Target="https://www.google.com/maps/search/?api=1&amp;query=Ubud+Wana+Resort+Ubud+Bali" TargetMode="External"/><Relationship Id="rId25" Type="http://schemas.openxmlformats.org/officeDocument/2006/relationships/hyperlink" Target="https://www.google.com/maps/search/?api=1&amp;query=Pura+Ulun+Danu+Beratan+Bedugul" TargetMode="External"/><Relationship Id="rId26" Type="http://schemas.openxmlformats.org/officeDocument/2006/relationships/hyperlink" Target="https://www.google.com/maps/search/?api=1&amp;query=Pura+Ulun+Danu+Beratan+Bedugul" TargetMode="External"/><Relationship Id="rId27" Type="http://schemas.openxmlformats.org/officeDocument/2006/relationships/hyperlink" Target="https://www.google.com/maps/search/?api=1&amp;query=Pura+Ulun+Danu+Beratan+Bedugul" TargetMode="External"/><Relationship Id="rId28" Type="http://schemas.openxmlformats.org/officeDocument/2006/relationships/hyperlink" Target="https://www.google.com/maps/search/?api=1&amp;query=Fairfield+by+Marriott+Bali+Kuta+Sunset+Road" TargetMode="External"/><Relationship Id="rId29" Type="http://schemas.openxmlformats.org/officeDocument/2006/relationships/hyperlink" Target="https://www.google.com/maps/search/?api=1&amp;query=Fairfield+by+Marriott+Bali+Kuta+Sunset+Road" TargetMode="External"/><Relationship Id="rId30" Type="http://schemas.openxmlformats.org/officeDocument/2006/relationships/hyperlink" Target="https://www.google.com/maps/search/?api=1&amp;query=Tanah+Lot+Temple+Tabanan+Bali" TargetMode="External"/><Relationship Id="rId31" Type="http://schemas.openxmlformats.org/officeDocument/2006/relationships/hyperlink" Target="https://www.google.com/maps/search/?api=1&amp;query=Tanah+Lot+Temple+Tabanan+Bali" TargetMode="External"/><Relationship Id="rId32" Type="http://schemas.openxmlformats.org/officeDocument/2006/relationships/hyperlink" Target="https://www.google.com/maps/search/?api=1&amp;query=Fairfield+by+Marriott+Bali+Kuta+Sunset+Road" TargetMode="External"/><Relationship Id="rId33" Type="http://schemas.openxmlformats.org/officeDocument/2006/relationships/hyperlink" Target="https://www.google.com/maps/search/?api=1&amp;query=Fairfield+by+Marriott+Bali+Kuta+Sunset+Road" TargetMode="External"/><Relationship Id="rId34" Type="http://schemas.openxmlformats.org/officeDocument/2006/relationships/hyperlink" Target="https://www.google.com/maps/search/?api=1&amp;query=Fairfield+by+Marriott+Bali+Kuta+Sunset+Road" TargetMode="External"/><Relationship Id="rId35" Type="http://schemas.openxmlformats.org/officeDocument/2006/relationships/hyperlink" Target="https://www.google.com/maps/search/?api=1&amp;query=Garuda+Wisnu+Kencana+Cultural+Park+Ungasan+Bali" TargetMode="External"/><Relationship Id="rId36" Type="http://schemas.openxmlformats.org/officeDocument/2006/relationships/hyperlink" Target="https://www.google.com/maps/search/?api=1&amp;query=Garuda+Wisnu+Kencana+Cultural+Park+Ungasan+Bali" TargetMode="External"/><Relationship Id="rId37" Type="http://schemas.openxmlformats.org/officeDocument/2006/relationships/hyperlink" Target="https://www.google.com/maps/search/?api=1&amp;query=Vinayak+Pure+Veg+Indian+Lippo+Mall+Kuta+Bali" TargetMode="External"/><Relationship Id="rId38" Type="http://schemas.openxmlformats.org/officeDocument/2006/relationships/hyperlink" Target="https://www.google.com/maps/search/?api=1&amp;query=Vinayak+Pure+Veg+Indian+Lippo+Mall+Kuta+Bali" TargetMode="External"/><Relationship Id="rId39" Type="http://schemas.openxmlformats.org/officeDocument/2006/relationships/hyperlink" Target="https://www.google.com/maps/search/?api=1&amp;query=Fairfield+by+Marriott+Bali+Kuta+Sunset+Road" TargetMode="External"/><Relationship Id="rId40" Type="http://schemas.openxmlformats.org/officeDocument/2006/relationships/hyperlink" Target="https://www.google.com/maps/search/?api=1&amp;query=Uluwatu+Temple+Pecatu+Bali" TargetMode="External"/><Relationship Id="rId41" Type="http://schemas.openxmlformats.org/officeDocument/2006/relationships/hyperlink" Target="https://www.google.com/maps/search/?api=1&amp;query=Uluwatu+Temple+Pecatu+Bali" TargetMode="External"/><Relationship Id="rId42" Type="http://schemas.openxmlformats.org/officeDocument/2006/relationships/hyperlink" Target="https://www.google.com/maps/search/?api=1&amp;query=Uluwatu+Temple+Pecatu+Bali" TargetMode="External"/><Relationship Id="rId43" Type="http://schemas.openxmlformats.org/officeDocument/2006/relationships/hyperlink" Target="https://www.google.com/maps/search/?api=1&amp;query=Fairfield+by+Marriott+Bali+Kuta+Sunset+Road" TargetMode="External"/><Relationship Id="rId44" Type="http://schemas.openxmlformats.org/officeDocument/2006/relationships/hyperlink" Target="https://www.google.com/maps/search/?api=1&amp;query=Fairfield+by+Marriott+Bali+Kuta+Sunset+Road" TargetMode="External"/><Relationship Id="rId45" Type="http://schemas.openxmlformats.org/officeDocument/2006/relationships/hyperlink" Target="https://www.google.com/maps/search/?api=1&amp;query=Fairfield+by+Marriott+Bali+Kuta+Sunset+Road" TargetMode="External"/><Relationship Id="rId46" Type="http://schemas.openxmlformats.org/officeDocument/2006/relationships/hyperlink" Target="https://www.google.com/maps/search/?api=1&amp;query=Krisna+Oleh-Oleh+Bali+Sunset+Road" TargetMode="External"/><Relationship Id="rId47" Type="http://schemas.openxmlformats.org/officeDocument/2006/relationships/hyperlink" Target="https://www.google.com/maps/search/?api=1&amp;query=Krisna+Oleh-Oleh+Bali+Sunset+Road" TargetMode="External"/><Relationship Id="rId48" Type="http://schemas.openxmlformats.org/officeDocument/2006/relationships/hyperlink" Target="https://www.google.com/maps/search/?api=1&amp;query=Vrindavan+100%25+pure+Indian+vegetarian+restaurant+Kuta+Bali" TargetMode="External"/><Relationship Id="rId49" Type="http://schemas.openxmlformats.org/officeDocument/2006/relationships/hyperlink" Target="https://www.google.com/maps/search/?api=1&amp;query=Vrindavan+100%25+pure+Indian+vegetarian+restaurant+Kuta+Bali" TargetMode="External"/><Relationship Id="rId50" Type="http://schemas.openxmlformats.org/officeDocument/2006/relationships/hyperlink" Target="https://www.google.com/maps/search/?api=1&amp;query=Ngurah+Rai+International+Airport+Bali" TargetMode="External"/><Relationship Id="rId51" Type="http://schemas.openxmlformats.org/officeDocument/2006/relationships/hyperlink" Target="https://www.google.com/maps/search/?api=1&amp;query=Ngurah+Rai+International+Airport+Bali" TargetMode="External"/><Relationship Id="rId52" Type="http://schemas.openxmlformats.org/officeDocument/2006/relationships/hyperlink" Target="https://www.google.com/maps/search/?api=1&amp;query=Kuala+Lumpur+International+Airport" TargetMode="External"/><Relationship Id="rId53" Type="http://schemas.openxmlformats.org/officeDocument/2006/relationships/hyperlink" Target="https://www.google.com/maps/search/?api=1&amp;query=Kuala+Lumpur+International+Airport" TargetMode="External"/><Relationship Id="rId54" Type="http://schemas.openxmlformats.org/officeDocument/2006/relationships/hyperlink" Target="https://www.google.com/maps/search/?api=1&amp;query=Rajiv+Gandhi+International+Airport+Hyderabad"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9"/>
    <col collapsed="false" customWidth="true" hidden="false" outlineLevel="0" max="4" min="4" style="0" width="22"/>
    <col collapsed="false" customWidth="true" hidden="false" outlineLevel="0" max="5" min="5" style="0" width="16"/>
    <col collapsed="false" customWidth="true" hidden="false" outlineLevel="0" max="6" min="6" style="0" width="80"/>
  </cols>
  <sheetData>
    <row r="1" customFormat="false" ht="16.15" hidden="false" customHeight="false" outlineLevel="0" collapsed="false">
      <c r="A1" s="1" t="s">
        <v>0</v>
      </c>
    </row>
    <row r="3" customFormat="false" ht="28.35" hidden="false" customHeight="false" outlineLevel="0" collapsed="false">
      <c r="A3" s="2" t="s">
        <v>1</v>
      </c>
      <c r="B3" s="2" t="s">
        <v>2</v>
      </c>
      <c r="C3" s="2" t="s">
        <v>3</v>
      </c>
      <c r="D3" s="2" t="s">
        <v>4</v>
      </c>
      <c r="E3" s="2" t="s">
        <v>5</v>
      </c>
      <c r="F3" s="2" t="s">
        <v>6</v>
      </c>
    </row>
    <row r="4" customFormat="false" ht="15" hidden="false" customHeight="false" outlineLevel="0" collapsed="false">
      <c r="A4" s="0" t="s">
        <v>7</v>
      </c>
      <c r="B4" s="3" t="n">
        <v>190.6446</v>
      </c>
      <c r="C4" s="4" t="s">
        <v>8</v>
      </c>
      <c r="D4" s="3"/>
      <c r="E4" s="4" t="n">
        <f aca="false">IF(D4="",B4,D4)</f>
        <v>190.6446</v>
      </c>
      <c r="F4" s="4" t="s">
        <v>9</v>
      </c>
    </row>
    <row r="5" customFormat="false" ht="15" hidden="false" customHeight="false" outlineLevel="0" collapsed="false">
      <c r="A5" s="0" t="s">
        <v>10</v>
      </c>
      <c r="B5" s="3" t="n">
        <v>185</v>
      </c>
      <c r="C5" s="4" t="s">
        <v>8</v>
      </c>
      <c r="D5" s="3"/>
      <c r="E5" s="4" t="n">
        <f aca="false">IF(D5="",B5,D5)</f>
        <v>185</v>
      </c>
      <c r="F5" s="4" t="s">
        <v>11</v>
      </c>
    </row>
    <row r="6" customFormat="false" ht="15" hidden="false" customHeight="false" outlineLevel="0" collapsed="false">
      <c r="A6" s="0" t="s">
        <v>12</v>
      </c>
      <c r="B6" s="3" t="n">
        <v>35</v>
      </c>
      <c r="C6" s="4" t="s">
        <v>13</v>
      </c>
      <c r="D6" s="3"/>
      <c r="E6" s="4" t="n">
        <f aca="false">IF(D6="",B6,D6)</f>
        <v>35</v>
      </c>
      <c r="F6" s="4" t="s">
        <v>14</v>
      </c>
    </row>
    <row r="7" customFormat="false" ht="15" hidden="false" customHeight="false" outlineLevel="0" collapsed="false">
      <c r="A7" s="0" t="s">
        <v>15</v>
      </c>
      <c r="B7" s="3" t="n">
        <v>1</v>
      </c>
      <c r="C7" s="4" t="s">
        <v>13</v>
      </c>
      <c r="D7" s="3"/>
      <c r="E7" s="4" t="n">
        <f aca="false">IF(D7="",B7,D7)</f>
        <v>1</v>
      </c>
      <c r="F7" s="4" t="s">
        <v>16</v>
      </c>
    </row>
    <row r="8" customFormat="false" ht="15" hidden="false" customHeight="false" outlineLevel="0" collapsed="false">
      <c r="A8" s="0" t="s">
        <v>17</v>
      </c>
      <c r="B8" s="3" t="n">
        <v>2</v>
      </c>
      <c r="C8" s="4" t="s">
        <v>13</v>
      </c>
      <c r="D8" s="3"/>
      <c r="E8" s="4" t="n">
        <f aca="false">IF(D8="",B8,D8)</f>
        <v>2</v>
      </c>
      <c r="F8" s="4" t="s">
        <v>18</v>
      </c>
    </row>
    <row r="9" customFormat="false" ht="15" hidden="false" customHeight="false" outlineLevel="0" collapsed="false">
      <c r="A9" s="0" t="s">
        <v>19</v>
      </c>
      <c r="B9" s="5" t="n">
        <v>0.1</v>
      </c>
      <c r="C9" s="4" t="s">
        <v>20</v>
      </c>
      <c r="D9" s="3"/>
      <c r="E9" s="6" t="n">
        <f aca="false">IF(D9="",B9,D9)</f>
        <v>0.1</v>
      </c>
      <c r="F9" s="4" t="s">
        <v>21</v>
      </c>
    </row>
    <row r="10" customFormat="false" ht="15" hidden="false" customHeight="false" outlineLevel="0" collapsed="false">
      <c r="A10" s="0" t="s">
        <v>22</v>
      </c>
      <c r="B10" s="5" t="n">
        <v>0.05</v>
      </c>
      <c r="C10" s="4" t="s">
        <v>20</v>
      </c>
      <c r="D10" s="3"/>
      <c r="E10" s="6" t="n">
        <f aca="false">IF(D10="",B10,D10)</f>
        <v>0.05</v>
      </c>
      <c r="F10" s="4" t="s">
        <v>23</v>
      </c>
    </row>
    <row r="11" customFormat="false" ht="15" hidden="false" customHeight="false" outlineLevel="0" collapsed="false">
      <c r="A11" s="0" t="s">
        <v>24</v>
      </c>
      <c r="B11" s="5" t="n">
        <v>0.02</v>
      </c>
      <c r="C11" s="4" t="s">
        <v>20</v>
      </c>
      <c r="D11" s="3"/>
      <c r="E11" s="6" t="n">
        <f aca="false">IF(D11="",B11,D11)</f>
        <v>0.02</v>
      </c>
      <c r="F11" s="4" t="s">
        <v>25</v>
      </c>
    </row>
    <row r="12" customFormat="false" ht="15" hidden="false" customHeight="false" outlineLevel="0" collapsed="false">
      <c r="A12" s="0" t="s">
        <v>26</v>
      </c>
      <c r="B12" s="5" t="n">
        <v>0.03</v>
      </c>
      <c r="C12" s="4" t="s">
        <v>20</v>
      </c>
      <c r="D12" s="3"/>
      <c r="E12" s="6" t="n">
        <f aca="false">IF(D12="",B12,D12)</f>
        <v>0.03</v>
      </c>
      <c r="F12" s="4" t="s">
        <v>27</v>
      </c>
    </row>
    <row r="13" customFormat="false" ht="15" hidden="false" customHeight="false" outlineLevel="0" collapsed="false">
      <c r="A13" s="0" t="s">
        <v>28</v>
      </c>
      <c r="B13" s="5" t="n">
        <v>0.015</v>
      </c>
      <c r="C13" s="4" t="s">
        <v>20</v>
      </c>
      <c r="D13" s="3"/>
      <c r="E13" s="6" t="n">
        <f aca="false">IF(D13="",B13,D13)</f>
        <v>0.015</v>
      </c>
      <c r="F13" s="4" t="s">
        <v>29</v>
      </c>
    </row>
    <row r="14" customFormat="false" ht="15" hidden="false" customHeight="false" outlineLevel="0" collapsed="false">
      <c r="A14" s="0" t="s">
        <v>30</v>
      </c>
      <c r="B14" s="3" t="n">
        <v>35</v>
      </c>
      <c r="C14" s="4" t="s">
        <v>31</v>
      </c>
      <c r="D14" s="3"/>
      <c r="E14" s="4" t="n">
        <f aca="false">IF(D14="",B14,D14)</f>
        <v>35</v>
      </c>
      <c r="F14" s="4" t="s">
        <v>32</v>
      </c>
    </row>
    <row r="15" customFormat="false" ht="15" hidden="false" customHeight="false" outlineLevel="0" collapsed="false">
      <c r="A15" s="0" t="s">
        <v>33</v>
      </c>
      <c r="B15" s="3" t="n">
        <v>1900000</v>
      </c>
      <c r="C15" s="4" t="s">
        <v>8</v>
      </c>
      <c r="D15" s="3"/>
      <c r="E15" s="4" t="n">
        <f aca="false">IF(D15="",B15,D15)</f>
        <v>1900000</v>
      </c>
      <c r="F15" s="4" t="s">
        <v>34</v>
      </c>
    </row>
    <row r="16" customFormat="false" ht="15" hidden="false" customHeight="false" outlineLevel="0" collapsed="false">
      <c r="A16" s="0" t="s">
        <v>35</v>
      </c>
      <c r="B16" s="3" t="n">
        <v>4</v>
      </c>
      <c r="C16" s="4" t="s">
        <v>36</v>
      </c>
      <c r="D16" s="3"/>
      <c r="E16" s="4" t="n">
        <f aca="false">IF(D16="",B16,D16)</f>
        <v>4</v>
      </c>
      <c r="F16" s="4" t="s">
        <v>37</v>
      </c>
    </row>
    <row r="17" customFormat="false" ht="15" hidden="false" customHeight="false" outlineLevel="0" collapsed="false">
      <c r="A17" s="0" t="s">
        <v>38</v>
      </c>
      <c r="B17" s="3" t="n">
        <v>48000</v>
      </c>
      <c r="C17" s="4" t="s">
        <v>39</v>
      </c>
      <c r="D17" s="3"/>
      <c r="E17" s="4" t="n">
        <f aca="false">IF(D17="",B17,D17)</f>
        <v>48000</v>
      </c>
      <c r="F17" s="4" t="s">
        <v>40</v>
      </c>
    </row>
    <row r="18" customFormat="false" ht="15" hidden="false" customHeight="false" outlineLevel="0" collapsed="false">
      <c r="A18" s="0" t="s">
        <v>41</v>
      </c>
      <c r="B18" s="3" t="n">
        <v>35000</v>
      </c>
      <c r="C18" s="4" t="s">
        <v>39</v>
      </c>
      <c r="D18" s="3"/>
      <c r="E18" s="4" t="n">
        <f aca="false">IF(D18="",B18,D18)</f>
        <v>35000</v>
      </c>
      <c r="F18" s="4" t="s">
        <v>42</v>
      </c>
    </row>
    <row r="19" customFormat="false" ht="15" hidden="false" customHeight="false" outlineLevel="0" collapsed="false">
      <c r="A19" s="0" t="s">
        <v>43</v>
      </c>
      <c r="B19" s="3" t="n">
        <v>750000</v>
      </c>
      <c r="C19" s="4" t="s">
        <v>8</v>
      </c>
      <c r="D19" s="3"/>
      <c r="E19" s="4" t="n">
        <f aca="false">IF(D19="",B19,D19)</f>
        <v>750000</v>
      </c>
      <c r="F19" s="4" t="s">
        <v>44</v>
      </c>
    </row>
    <row r="20" customFormat="false" ht="15" hidden="false" customHeight="false" outlineLevel="0" collapsed="false">
      <c r="A20" s="0" t="s">
        <v>45</v>
      </c>
      <c r="B20" s="3" t="n">
        <v>500000</v>
      </c>
      <c r="C20" s="4" t="s">
        <v>8</v>
      </c>
      <c r="D20" s="3"/>
      <c r="E20" s="4" t="n">
        <f aca="false">IF(D20="",B20,D20)</f>
        <v>500000</v>
      </c>
      <c r="F20" s="4" t="s">
        <v>46</v>
      </c>
    </row>
    <row r="21" customFormat="false" ht="15" hidden="false" customHeight="false" outlineLevel="0" collapsed="false">
      <c r="A21" s="0" t="s">
        <v>47</v>
      </c>
      <c r="B21" s="3" t="n">
        <v>150000</v>
      </c>
      <c r="C21" s="4" t="s">
        <v>8</v>
      </c>
      <c r="D21" s="3"/>
      <c r="E21" s="4" t="n">
        <f aca="false">IF(D21="",B21,D21)</f>
        <v>150000</v>
      </c>
      <c r="F21" s="4" t="s">
        <v>48</v>
      </c>
    </row>
    <row r="22" customFormat="false" ht="15" hidden="false" customHeight="false" outlineLevel="0" collapsed="false">
      <c r="A22" s="0" t="s">
        <v>49</v>
      </c>
      <c r="B22" s="7" t="n">
        <v>0</v>
      </c>
      <c r="C22" s="4" t="s">
        <v>39</v>
      </c>
      <c r="D22" s="3"/>
      <c r="E22" s="4" t="n">
        <f aca="false">IF(D22="",B22,D22)</f>
        <v>0</v>
      </c>
      <c r="F22" s="4" t="s">
        <v>50</v>
      </c>
    </row>
    <row r="23" customFormat="false" ht="15" hidden="false" customHeight="false" outlineLevel="0" collapsed="false">
      <c r="A23" s="0" t="s">
        <v>51</v>
      </c>
      <c r="B23" s="7" t="n">
        <v>0</v>
      </c>
      <c r="C23" s="4" t="s">
        <v>39</v>
      </c>
      <c r="D23" s="3"/>
      <c r="E23" s="4" t="n">
        <f aca="false">IF(D23="",B23,D23)</f>
        <v>0</v>
      </c>
      <c r="F23" s="4" t="s">
        <v>52</v>
      </c>
    </row>
    <row r="24" customFormat="false" ht="15" hidden="false" customHeight="false" outlineLevel="0" collapsed="false">
      <c r="A24" s="0" t="s">
        <v>53</v>
      </c>
      <c r="B24" s="7" t="n">
        <v>0</v>
      </c>
      <c r="C24" s="4" t="s">
        <v>39</v>
      </c>
      <c r="D24" s="3"/>
      <c r="E24" s="4" t="n">
        <f aca="false">IF(D24="",B24,D24)</f>
        <v>0</v>
      </c>
      <c r="F24" s="4" t="s">
        <v>50</v>
      </c>
    </row>
    <row r="25" customFormat="false" ht="15" hidden="false" customHeight="false" outlineLevel="0" collapsed="false">
      <c r="A25" s="0" t="s">
        <v>54</v>
      </c>
      <c r="B25" s="7" t="n">
        <v>0</v>
      </c>
      <c r="C25" s="4" t="s">
        <v>39</v>
      </c>
      <c r="D25" s="3"/>
      <c r="E25" s="4" t="n">
        <f aca="false">IF(D25="",B25,D25)</f>
        <v>0</v>
      </c>
      <c r="F25" s="4" t="s">
        <v>50</v>
      </c>
    </row>
    <row r="26" customFormat="false" ht="15" hidden="false" customHeight="false" outlineLevel="0" collapsed="false">
      <c r="A26" s="0" t="s">
        <v>55</v>
      </c>
      <c r="B26" s="3"/>
      <c r="C26" s="4" t="s">
        <v>39</v>
      </c>
      <c r="D26" s="3"/>
      <c r="E26" s="4" t="n">
        <f aca="false">IF(D26="",B26,D26)</f>
        <v>0</v>
      </c>
      <c r="F26" s="4" t="s">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4" min="3" style="0" width="8"/>
    <col collapsed="false" customWidth="true" hidden="false" outlineLevel="0" max="6" min="5" style="0" width="9"/>
    <col collapsed="false" customWidth="true" hidden="false" outlineLevel="0" max="7" min="7" style="0" width="10"/>
    <col collapsed="false" customWidth="true" hidden="false" outlineLevel="0" max="8" min="8" style="0" width="48"/>
    <col collapsed="false" customWidth="true" hidden="false" outlineLevel="0" max="9" min="9" style="0" width="42"/>
    <col collapsed="false" customWidth="true" hidden="false" outlineLevel="0" max="10" min="10" style="0" width="12"/>
    <col collapsed="false" customWidth="true" hidden="false" outlineLevel="0" max="11" min="11" style="0" width="13"/>
    <col collapsed="false" customWidth="true" hidden="false" outlineLevel="0" max="12" min="12" style="0" width="9"/>
    <col collapsed="false" customWidth="true" hidden="false" outlineLevel="0" max="13" min="13" style="0" width="70"/>
    <col collapsed="false" customWidth="true" hidden="false" outlineLevel="0" max="14" min="14" style="0" width="38"/>
  </cols>
  <sheetData>
    <row r="1" customFormat="false" ht="16.15" hidden="false" customHeight="false" outlineLevel="0" collapsed="false">
      <c r="A1" s="1" t="s">
        <v>57</v>
      </c>
    </row>
    <row r="3" customFormat="false" ht="28.35" hidden="false" customHeight="false" outlineLevel="0" collapsed="false">
      <c r="A3" s="2" t="s">
        <v>58</v>
      </c>
      <c r="B3" s="2" t="s">
        <v>59</v>
      </c>
      <c r="C3" s="2" t="s">
        <v>60</v>
      </c>
      <c r="D3" s="2" t="s">
        <v>61</v>
      </c>
      <c r="E3" s="2" t="s">
        <v>62</v>
      </c>
      <c r="F3" s="2" t="s">
        <v>63</v>
      </c>
      <c r="G3" s="2" t="s">
        <v>64</v>
      </c>
      <c r="H3" s="2" t="s">
        <v>65</v>
      </c>
      <c r="I3" s="2" t="s">
        <v>66</v>
      </c>
      <c r="J3" s="2" t="s">
        <v>67</v>
      </c>
      <c r="K3" s="2" t="s">
        <v>68</v>
      </c>
      <c r="L3" s="2" t="s">
        <v>69</v>
      </c>
      <c r="M3" s="2" t="s">
        <v>70</v>
      </c>
      <c r="N3" s="2" t="s">
        <v>71</v>
      </c>
    </row>
    <row r="4" customFormat="false" ht="28.35" hidden="false" customHeight="false" outlineLevel="0" collapsed="false">
      <c r="A4" s="8" t="n">
        <v>1</v>
      </c>
      <c r="B4" s="9" t="n">
        <v>46559</v>
      </c>
      <c r="C4" s="10" t="n">
        <v>46559.7291666667</v>
      </c>
      <c r="D4" s="10" t="n">
        <v>46559.78125</v>
      </c>
      <c r="E4" s="8" t="n">
        <v>0</v>
      </c>
      <c r="F4" s="8" t="n">
        <f aca="false">ROUND(((D4-C4)*24)-E4,2)</f>
        <v>1.25</v>
      </c>
      <c r="G4" s="8" t="str">
        <f aca="false">INT(F4)&amp;"h "&amp;TEXT(ROUND(MOD(F4,1)*60,0),"00")&amp;"m"</f>
        <v>1h 15m</v>
      </c>
      <c r="H4" s="8" t="s">
        <v>72</v>
      </c>
      <c r="I4" s="8" t="s">
        <v>73</v>
      </c>
      <c r="J4" s="11" t="s">
        <v>74</v>
      </c>
      <c r="K4" s="8" t="s">
        <v>75</v>
      </c>
      <c r="L4" s="8" t="n">
        <v>0</v>
      </c>
      <c r="M4" s="8" t="s">
        <v>76</v>
      </c>
      <c r="N4" s="8" t="s">
        <v>77</v>
      </c>
    </row>
    <row r="5" customFormat="false" ht="15" hidden="false" customHeight="false" outlineLevel="0" collapsed="false">
      <c r="A5" s="8" t="n">
        <v>1</v>
      </c>
      <c r="B5" s="9" t="n">
        <v>46559</v>
      </c>
      <c r="C5" s="10" t="n">
        <v>46559.78125</v>
      </c>
      <c r="D5" s="10" t="n">
        <v>46559.8333333333</v>
      </c>
      <c r="E5" s="8" t="n">
        <v>0</v>
      </c>
      <c r="F5" s="8" t="n">
        <f aca="false">ROUND(((D5-C5)*24)-E5,2)</f>
        <v>1.25</v>
      </c>
      <c r="G5" s="8" t="str">
        <f aca="false">INT(F5)&amp;"h "&amp;TEXT(ROUND(MOD(F5,1)*60,0),"00")&amp;"m"</f>
        <v>1h 15m</v>
      </c>
      <c r="H5" s="8" t="s">
        <v>78</v>
      </c>
      <c r="I5" s="8" t="s">
        <v>79</v>
      </c>
      <c r="J5" s="11" t="s">
        <v>74</v>
      </c>
      <c r="K5" s="8" t="s">
        <v>80</v>
      </c>
      <c r="L5" s="8" t="n">
        <v>30</v>
      </c>
      <c r="M5" s="8" t="s">
        <v>81</v>
      </c>
      <c r="N5" s="8" t="s">
        <v>82</v>
      </c>
    </row>
    <row r="6" customFormat="false" ht="15" hidden="false" customHeight="false" outlineLevel="0" collapsed="false">
      <c r="A6" s="8" t="n">
        <v>1</v>
      </c>
      <c r="B6" s="9" t="n">
        <v>46559</v>
      </c>
      <c r="C6" s="10" t="n">
        <v>46559.8333333333</v>
      </c>
      <c r="D6" s="10" t="n">
        <v>46559.9965277778</v>
      </c>
      <c r="E6" s="8" t="n">
        <v>0</v>
      </c>
      <c r="F6" s="8" t="n">
        <f aca="false">ROUND(((D6-C6)*24)-E6,2)</f>
        <v>3.92</v>
      </c>
      <c r="G6" s="8" t="str">
        <f aca="false">INT(F6)&amp;"h "&amp;TEXT(ROUND(MOD(F6,1)*60,0),"00")&amp;"m"</f>
        <v>3h 55m</v>
      </c>
      <c r="H6" s="8" t="s">
        <v>83</v>
      </c>
      <c r="I6" s="8" t="s">
        <v>79</v>
      </c>
      <c r="J6" s="11" t="s">
        <v>74</v>
      </c>
      <c r="K6" s="8" t="s">
        <v>84</v>
      </c>
      <c r="L6" s="8" t="n">
        <v>0</v>
      </c>
      <c r="M6" s="8" t="s">
        <v>85</v>
      </c>
      <c r="N6" s="8" t="s">
        <v>86</v>
      </c>
    </row>
    <row r="7" customFormat="false" ht="28.35" hidden="false" customHeight="false" outlineLevel="0" collapsed="false">
      <c r="A7" s="8" t="n">
        <v>1</v>
      </c>
      <c r="B7" s="9" t="n">
        <v>46559</v>
      </c>
      <c r="C7" s="10" t="n">
        <v>46559.9965277778</v>
      </c>
      <c r="D7" s="10" t="n">
        <v>46560.2916666667</v>
      </c>
      <c r="E7" s="8" t="n">
        <v>2.5</v>
      </c>
      <c r="F7" s="8" t="n">
        <f aca="false">ROUND(((D7-C7)*24)-E7,2)</f>
        <v>4.58</v>
      </c>
      <c r="G7" s="8" t="str">
        <f aca="false">INT(F7)&amp;"h "&amp;TEXT(ROUND(MOD(F7,1)*60,0),"00")&amp;"m"</f>
        <v>4h 35m</v>
      </c>
      <c r="H7" s="8" t="s">
        <v>87</v>
      </c>
      <c r="I7" s="8" t="s">
        <v>88</v>
      </c>
      <c r="J7" s="11" t="s">
        <v>74</v>
      </c>
      <c r="K7" s="8" t="s">
        <v>89</v>
      </c>
      <c r="L7" s="8" t="n">
        <v>0</v>
      </c>
      <c r="M7" s="8" t="s">
        <v>90</v>
      </c>
      <c r="N7" s="8" t="s">
        <v>91</v>
      </c>
    </row>
    <row r="8" customFormat="false" ht="15" hidden="false" customHeight="false" outlineLevel="0" collapsed="false">
      <c r="A8" s="8" t="n">
        <v>2</v>
      </c>
      <c r="B8" s="9" t="n">
        <v>46560</v>
      </c>
      <c r="C8" s="10" t="n">
        <v>46560.2916666667</v>
      </c>
      <c r="D8" s="10" t="n">
        <v>46560.375</v>
      </c>
      <c r="E8" s="8" t="n">
        <v>0</v>
      </c>
      <c r="F8" s="8" t="n">
        <f aca="false">ROUND(((D8-C8)*24)-E8,2)</f>
        <v>2</v>
      </c>
      <c r="G8" s="8" t="str">
        <f aca="false">INT(F8)&amp;"h "&amp;TEXT(ROUND(MOD(F8,1)*60,0),"00")&amp;"m"</f>
        <v>2h 00m</v>
      </c>
      <c r="H8" s="8" t="s">
        <v>92</v>
      </c>
      <c r="I8" s="8" t="s">
        <v>88</v>
      </c>
      <c r="J8" s="11" t="s">
        <v>74</v>
      </c>
      <c r="K8" s="8" t="s">
        <v>84</v>
      </c>
      <c r="L8" s="8" t="n">
        <v>0</v>
      </c>
      <c r="M8" s="8" t="s">
        <v>93</v>
      </c>
      <c r="N8" s="8" t="s">
        <v>94</v>
      </c>
    </row>
    <row r="9" customFormat="false" ht="15" hidden="false" customHeight="false" outlineLevel="0" collapsed="false">
      <c r="A9" s="8" t="n">
        <v>2</v>
      </c>
      <c r="B9" s="9" t="n">
        <v>46560</v>
      </c>
      <c r="C9" s="10" t="n">
        <v>46560.375</v>
      </c>
      <c r="D9" s="10" t="n">
        <v>46560.5104166667</v>
      </c>
      <c r="E9" s="8" t="n">
        <v>0</v>
      </c>
      <c r="F9" s="8" t="n">
        <f aca="false">ROUND(((D9-C9)*24)-E9,2)</f>
        <v>3.25</v>
      </c>
      <c r="G9" s="8" t="str">
        <f aca="false">INT(F9)&amp;"h "&amp;TEXT(ROUND(MOD(F9,1)*60,0),"00")&amp;"m"</f>
        <v>3h 15m</v>
      </c>
      <c r="H9" s="8" t="s">
        <v>95</v>
      </c>
      <c r="I9" s="8" t="s">
        <v>96</v>
      </c>
      <c r="J9" s="11" t="s">
        <v>74</v>
      </c>
      <c r="K9" s="8" t="s">
        <v>89</v>
      </c>
      <c r="L9" s="8" t="n">
        <v>0</v>
      </c>
      <c r="M9" s="8" t="s">
        <v>97</v>
      </c>
      <c r="N9" s="8" t="s">
        <v>98</v>
      </c>
    </row>
    <row r="10" customFormat="false" ht="28.35" hidden="false" customHeight="false" outlineLevel="0" collapsed="false">
      <c r="A10" s="8" t="n">
        <v>2</v>
      </c>
      <c r="B10" s="9" t="n">
        <v>46560</v>
      </c>
      <c r="C10" s="10" t="n">
        <v>46560.5104166667</v>
      </c>
      <c r="D10" s="10" t="n">
        <v>46560.5833333333</v>
      </c>
      <c r="E10" s="8" t="n">
        <v>0</v>
      </c>
      <c r="F10" s="8" t="n">
        <f aca="false">ROUND(((D10-C10)*24)-E10,2)</f>
        <v>1.75</v>
      </c>
      <c r="G10" s="8" t="str">
        <f aca="false">INT(F10)&amp;"h "&amp;TEXT(ROUND(MOD(F10,1)*60,0),"00")&amp;"m"</f>
        <v>1h 45m</v>
      </c>
      <c r="H10" s="8" t="s">
        <v>99</v>
      </c>
      <c r="I10" s="8" t="s">
        <v>96</v>
      </c>
      <c r="J10" s="11" t="s">
        <v>74</v>
      </c>
      <c r="K10" s="8" t="s">
        <v>84</v>
      </c>
      <c r="L10" s="8" t="n">
        <v>0</v>
      </c>
      <c r="M10" s="8" t="s">
        <v>100</v>
      </c>
      <c r="N10" s="8" t="s">
        <v>82</v>
      </c>
    </row>
    <row r="11" customFormat="false" ht="15" hidden="false" customHeight="false" outlineLevel="0" collapsed="false">
      <c r="A11" s="8" t="n">
        <v>2</v>
      </c>
      <c r="B11" s="9" t="n">
        <v>46560</v>
      </c>
      <c r="C11" s="10" t="n">
        <v>46560.5833333333</v>
      </c>
      <c r="D11" s="10" t="n">
        <v>46560.5972222222</v>
      </c>
      <c r="E11" s="8" t="n">
        <v>0</v>
      </c>
      <c r="F11" s="8" t="n">
        <f aca="false">ROUND(((D11-C11)*24)-E11,2)</f>
        <v>0.33</v>
      </c>
      <c r="G11" s="8" t="str">
        <f aca="false">INT(F11)&amp;"h "&amp;TEXT(ROUND(MOD(F11,1)*60,0),"00")&amp;"m"</f>
        <v>0h 20m</v>
      </c>
      <c r="H11" s="8" t="s">
        <v>101</v>
      </c>
      <c r="I11" s="8" t="s">
        <v>102</v>
      </c>
      <c r="J11" s="11" t="s">
        <v>74</v>
      </c>
      <c r="K11" s="8" t="s">
        <v>80</v>
      </c>
      <c r="L11" s="8" t="n">
        <v>5</v>
      </c>
      <c r="M11" s="8" t="s">
        <v>103</v>
      </c>
      <c r="N11" s="8" t="s">
        <v>82</v>
      </c>
    </row>
    <row r="12" customFormat="false" ht="28.35" hidden="false" customHeight="false" outlineLevel="0" collapsed="false">
      <c r="A12" s="8" t="n">
        <v>2</v>
      </c>
      <c r="B12" s="9" t="n">
        <v>46560</v>
      </c>
      <c r="C12" s="10" t="n">
        <v>46560.5972222222</v>
      </c>
      <c r="D12" s="10" t="n">
        <v>46560.6458333333</v>
      </c>
      <c r="E12" s="8" t="n">
        <v>0</v>
      </c>
      <c r="F12" s="8" t="n">
        <f aca="false">ROUND(((D12-C12)*24)-E12,2)</f>
        <v>1.17</v>
      </c>
      <c r="G12" s="8" t="str">
        <f aca="false">INT(F12)&amp;"h "&amp;TEXT(ROUND(MOD(F12,1)*60,0),"00")&amp;"m"</f>
        <v>1h 10m</v>
      </c>
      <c r="H12" s="8" t="s">
        <v>104</v>
      </c>
      <c r="I12" s="8" t="s">
        <v>102</v>
      </c>
      <c r="J12" s="11" t="s">
        <v>74</v>
      </c>
      <c r="K12" s="8" t="s">
        <v>75</v>
      </c>
      <c r="L12" s="8" t="n">
        <v>0</v>
      </c>
      <c r="M12" s="8" t="s">
        <v>105</v>
      </c>
      <c r="N12" s="8" t="s">
        <v>106</v>
      </c>
    </row>
    <row r="13" customFormat="false" ht="15" hidden="false" customHeight="false" outlineLevel="0" collapsed="false">
      <c r="A13" s="8" t="n">
        <v>2</v>
      </c>
      <c r="B13" s="9" t="n">
        <v>46560</v>
      </c>
      <c r="C13" s="10" t="n">
        <v>46560.6458333333</v>
      </c>
      <c r="D13" s="10" t="n">
        <v>46560.6979166667</v>
      </c>
      <c r="E13" s="8" t="n">
        <v>0</v>
      </c>
      <c r="F13" s="8" t="n">
        <f aca="false">ROUND(((D13-C13)*24)-E13,2)</f>
        <v>1.25</v>
      </c>
      <c r="G13" s="8" t="str">
        <f aca="false">INT(F13)&amp;"h "&amp;TEXT(ROUND(MOD(F13,1)*60,0),"00")&amp;"m"</f>
        <v>1h 15m</v>
      </c>
      <c r="H13" s="8" t="s">
        <v>107</v>
      </c>
      <c r="I13" s="8" t="s">
        <v>108</v>
      </c>
      <c r="J13" s="11" t="s">
        <v>74</v>
      </c>
      <c r="K13" s="8" t="s">
        <v>80</v>
      </c>
      <c r="L13" s="8" t="n">
        <v>35</v>
      </c>
      <c r="M13" s="8" t="s">
        <v>109</v>
      </c>
      <c r="N13" s="8" t="s">
        <v>82</v>
      </c>
    </row>
    <row r="14" customFormat="false" ht="28.35" hidden="false" customHeight="false" outlineLevel="0" collapsed="false">
      <c r="A14" s="8" t="n">
        <v>2</v>
      </c>
      <c r="B14" s="9" t="n">
        <v>46560</v>
      </c>
      <c r="C14" s="10" t="n">
        <v>46560.6979166667</v>
      </c>
      <c r="D14" s="10" t="n">
        <v>46560.7916666667</v>
      </c>
      <c r="E14" s="8" t="n">
        <v>0</v>
      </c>
      <c r="F14" s="8" t="n">
        <f aca="false">ROUND(((D14-C14)*24)-E14,2)</f>
        <v>2.25</v>
      </c>
      <c r="G14" s="8" t="str">
        <f aca="false">INT(F14)&amp;"h "&amp;TEXT(ROUND(MOD(F14,1)*60,0),"00")&amp;"m"</f>
        <v>2h 15m</v>
      </c>
      <c r="H14" s="8" t="s">
        <v>110</v>
      </c>
      <c r="I14" s="8" t="s">
        <v>108</v>
      </c>
      <c r="J14" s="11" t="s">
        <v>74</v>
      </c>
      <c r="K14" s="8" t="s">
        <v>75</v>
      </c>
      <c r="L14" s="8" t="n">
        <v>0</v>
      </c>
      <c r="M14" s="8" t="s">
        <v>111</v>
      </c>
      <c r="N14" s="8" t="s">
        <v>112</v>
      </c>
    </row>
    <row r="15" customFormat="false" ht="15" hidden="false" customHeight="false" outlineLevel="0" collapsed="false">
      <c r="A15" s="8" t="n">
        <v>2</v>
      </c>
      <c r="B15" s="9" t="n">
        <v>46560</v>
      </c>
      <c r="C15" s="10" t="n">
        <v>46560.7916666667</v>
      </c>
      <c r="D15" s="10" t="n">
        <v>46560.8229166667</v>
      </c>
      <c r="E15" s="8" t="n">
        <v>0</v>
      </c>
      <c r="F15" s="8" t="n">
        <f aca="false">ROUND(((D15-C15)*24)-E15,2)</f>
        <v>0.75</v>
      </c>
      <c r="G15" s="8" t="str">
        <f aca="false">INT(F15)&amp;"h "&amp;TEXT(ROUND(MOD(F15,1)*60,0),"00")&amp;"m"</f>
        <v>0h 45m</v>
      </c>
      <c r="H15" s="8" t="s">
        <v>113</v>
      </c>
      <c r="I15" s="8" t="s">
        <v>114</v>
      </c>
      <c r="J15" s="11" t="s">
        <v>74</v>
      </c>
      <c r="K15" s="8" t="s">
        <v>80</v>
      </c>
      <c r="L15" s="8" t="n">
        <v>15</v>
      </c>
      <c r="M15" s="8" t="s">
        <v>115</v>
      </c>
      <c r="N15" s="8" t="s">
        <v>82</v>
      </c>
    </row>
    <row r="16" customFormat="false" ht="15" hidden="false" customHeight="false" outlineLevel="0" collapsed="false">
      <c r="A16" s="8" t="n">
        <v>2</v>
      </c>
      <c r="B16" s="9" t="n">
        <v>46560</v>
      </c>
      <c r="C16" s="10" t="n">
        <v>46560.8229166667</v>
      </c>
      <c r="D16" s="10" t="n">
        <v>46560.8541666667</v>
      </c>
      <c r="E16" s="8" t="n">
        <v>0</v>
      </c>
      <c r="F16" s="8" t="n">
        <f aca="false">ROUND(((D16-C16)*24)-E16,2)</f>
        <v>0.75</v>
      </c>
      <c r="G16" s="8" t="str">
        <f aca="false">INT(F16)&amp;"h "&amp;TEXT(ROUND(MOD(F16,1)*60,0),"00")&amp;"m"</f>
        <v>0h 45m</v>
      </c>
      <c r="H16" s="8" t="s">
        <v>116</v>
      </c>
      <c r="I16" s="8" t="s">
        <v>114</v>
      </c>
      <c r="J16" s="11" t="s">
        <v>74</v>
      </c>
      <c r="K16" s="8" t="s">
        <v>82</v>
      </c>
      <c r="L16" s="8" t="n">
        <v>0</v>
      </c>
      <c r="M16" s="8" t="s">
        <v>117</v>
      </c>
      <c r="N16" s="8" t="s">
        <v>118</v>
      </c>
    </row>
    <row r="17" customFormat="false" ht="15" hidden="false" customHeight="false" outlineLevel="0" collapsed="false">
      <c r="A17" s="8" t="n">
        <v>3</v>
      </c>
      <c r="B17" s="9" t="n">
        <v>46561</v>
      </c>
      <c r="C17" s="10" t="n">
        <v>46561.2916666667</v>
      </c>
      <c r="D17" s="10" t="n">
        <v>46561.34375</v>
      </c>
      <c r="E17" s="8" t="n">
        <v>0</v>
      </c>
      <c r="F17" s="8" t="n">
        <f aca="false">ROUND(((D17-C17)*24)-E17,2)</f>
        <v>1.25</v>
      </c>
      <c r="G17" s="8" t="str">
        <f aca="false">INT(F17)&amp;"h "&amp;TEXT(ROUND(MOD(F17,1)*60,0),"00")&amp;"m"</f>
        <v>1h 15m</v>
      </c>
      <c r="H17" s="8" t="s">
        <v>119</v>
      </c>
      <c r="I17" s="8" t="s">
        <v>114</v>
      </c>
      <c r="J17" s="11" t="s">
        <v>74</v>
      </c>
      <c r="K17" s="8" t="s">
        <v>82</v>
      </c>
      <c r="L17" s="8" t="n">
        <v>0</v>
      </c>
      <c r="M17" s="8" t="s">
        <v>120</v>
      </c>
      <c r="N17" s="8" t="s">
        <v>121</v>
      </c>
    </row>
    <row r="18" customFormat="false" ht="15" hidden="false" customHeight="false" outlineLevel="0" collapsed="false">
      <c r="A18" s="8" t="n">
        <v>3</v>
      </c>
      <c r="B18" s="9" t="n">
        <v>46561</v>
      </c>
      <c r="C18" s="10" t="n">
        <v>46561.34375</v>
      </c>
      <c r="D18" s="10" t="n">
        <v>46561.375</v>
      </c>
      <c r="E18" s="8" t="n">
        <v>0</v>
      </c>
      <c r="F18" s="8" t="n">
        <f aca="false">ROUND(((D18-C18)*24)-E18,2)</f>
        <v>0.75</v>
      </c>
      <c r="G18" s="8" t="str">
        <f aca="false">INT(F18)&amp;"h "&amp;TEXT(ROUND(MOD(F18,1)*60,0),"00")&amp;"m"</f>
        <v>0h 45m</v>
      </c>
      <c r="H18" s="8" t="s">
        <v>122</v>
      </c>
      <c r="I18" s="8" t="s">
        <v>123</v>
      </c>
      <c r="J18" s="11" t="s">
        <v>74</v>
      </c>
      <c r="K18" s="8" t="s">
        <v>80</v>
      </c>
      <c r="L18" s="8" t="n">
        <v>15</v>
      </c>
      <c r="M18" s="8" t="s">
        <v>124</v>
      </c>
      <c r="N18" s="8" t="s">
        <v>82</v>
      </c>
    </row>
    <row r="19" customFormat="false" ht="28.35" hidden="false" customHeight="false" outlineLevel="0" collapsed="false">
      <c r="A19" s="8" t="n">
        <v>3</v>
      </c>
      <c r="B19" s="9" t="n">
        <v>46561</v>
      </c>
      <c r="C19" s="10" t="n">
        <v>46561.375</v>
      </c>
      <c r="D19" s="10" t="n">
        <v>46561.4583333333</v>
      </c>
      <c r="E19" s="8" t="n">
        <v>0</v>
      </c>
      <c r="F19" s="8" t="n">
        <f aca="false">ROUND(((D19-C19)*24)-E19,2)</f>
        <v>2</v>
      </c>
      <c r="G19" s="8" t="str">
        <f aca="false">INT(F19)&amp;"h "&amp;TEXT(ROUND(MOD(F19,1)*60,0),"00")&amp;"m"</f>
        <v>2h 00m</v>
      </c>
      <c r="H19" s="8" t="s">
        <v>125</v>
      </c>
      <c r="I19" s="8" t="s">
        <v>123</v>
      </c>
      <c r="J19" s="11" t="s">
        <v>74</v>
      </c>
      <c r="K19" s="8" t="s">
        <v>75</v>
      </c>
      <c r="L19" s="8" t="n">
        <v>0</v>
      </c>
      <c r="M19" s="8" t="s">
        <v>126</v>
      </c>
      <c r="N19" s="8" t="s">
        <v>82</v>
      </c>
    </row>
    <row r="20" customFormat="false" ht="15" hidden="false" customHeight="false" outlineLevel="0" collapsed="false">
      <c r="A20" s="8" t="n">
        <v>3</v>
      </c>
      <c r="B20" s="9" t="n">
        <v>46561</v>
      </c>
      <c r="C20" s="10" t="n">
        <v>46561.4583333333</v>
      </c>
      <c r="D20" s="10" t="n">
        <v>46561.4895833333</v>
      </c>
      <c r="E20" s="8" t="n">
        <v>0</v>
      </c>
      <c r="F20" s="8" t="n">
        <f aca="false">ROUND(((D20-C20)*24)-E20,2)</f>
        <v>0.75</v>
      </c>
      <c r="G20" s="8" t="str">
        <f aca="false">INT(F20)&amp;"h "&amp;TEXT(ROUND(MOD(F20,1)*60,0),"00")&amp;"m"</f>
        <v>0h 45m</v>
      </c>
      <c r="H20" s="8" t="s">
        <v>127</v>
      </c>
      <c r="I20" s="8" t="s">
        <v>128</v>
      </c>
      <c r="J20" s="11" t="s">
        <v>74</v>
      </c>
      <c r="K20" s="8" t="s">
        <v>80</v>
      </c>
      <c r="L20" s="8" t="n">
        <v>15</v>
      </c>
      <c r="M20" s="8" t="s">
        <v>82</v>
      </c>
      <c r="N20" s="8" t="s">
        <v>82</v>
      </c>
    </row>
    <row r="21" customFormat="false" ht="15" hidden="false" customHeight="false" outlineLevel="0" collapsed="false">
      <c r="A21" s="8" t="n">
        <v>3</v>
      </c>
      <c r="B21" s="9" t="n">
        <v>46561</v>
      </c>
      <c r="C21" s="10" t="n">
        <v>46561.4895833333</v>
      </c>
      <c r="D21" s="10" t="n">
        <v>46561.5416666667</v>
      </c>
      <c r="E21" s="8" t="n">
        <v>0</v>
      </c>
      <c r="F21" s="8" t="n">
        <f aca="false">ROUND(((D21-C21)*24)-E21,2)</f>
        <v>1.25</v>
      </c>
      <c r="G21" s="8" t="str">
        <f aca="false">INT(F21)&amp;"h "&amp;TEXT(ROUND(MOD(F21,1)*60,0),"00")&amp;"m"</f>
        <v>1h 15m</v>
      </c>
      <c r="H21" s="8" t="s">
        <v>104</v>
      </c>
      <c r="I21" s="8" t="s">
        <v>129</v>
      </c>
      <c r="J21" s="11" t="s">
        <v>74</v>
      </c>
      <c r="K21" s="8" t="s">
        <v>75</v>
      </c>
      <c r="L21" s="8" t="n">
        <v>0</v>
      </c>
      <c r="M21" s="8" t="s">
        <v>130</v>
      </c>
      <c r="N21" s="8" t="s">
        <v>106</v>
      </c>
    </row>
    <row r="22" customFormat="false" ht="28.35" hidden="false" customHeight="false" outlineLevel="0" collapsed="false">
      <c r="A22" s="8" t="n">
        <v>3</v>
      </c>
      <c r="B22" s="9" t="n">
        <v>46561</v>
      </c>
      <c r="C22" s="10" t="n">
        <v>46561.5416666667</v>
      </c>
      <c r="D22" s="10" t="n">
        <v>46561.6041666667</v>
      </c>
      <c r="E22" s="8" t="n">
        <v>0</v>
      </c>
      <c r="F22" s="8" t="n">
        <f aca="false">ROUND(((D22-C22)*24)-E22,2)</f>
        <v>1.5</v>
      </c>
      <c r="G22" s="8" t="str">
        <f aca="false">INT(F22)&amp;"h "&amp;TEXT(ROUND(MOD(F22,1)*60,0),"00")&amp;"m"</f>
        <v>1h 30m</v>
      </c>
      <c r="H22" s="8" t="s">
        <v>131</v>
      </c>
      <c r="I22" s="8" t="s">
        <v>132</v>
      </c>
      <c r="J22" s="11" t="s">
        <v>74</v>
      </c>
      <c r="K22" s="8" t="s">
        <v>133</v>
      </c>
      <c r="L22" s="8" t="n">
        <v>2</v>
      </c>
      <c r="M22" s="8" t="s">
        <v>134</v>
      </c>
      <c r="N22" s="8" t="s">
        <v>82</v>
      </c>
    </row>
    <row r="23" customFormat="false" ht="28.35" hidden="false" customHeight="false" outlineLevel="0" collapsed="false">
      <c r="A23" s="8" t="n">
        <v>3</v>
      </c>
      <c r="B23" s="9" t="n">
        <v>46561</v>
      </c>
      <c r="C23" s="10" t="n">
        <v>46561.6041666667</v>
      </c>
      <c r="D23" s="10" t="n">
        <v>46561.6666666667</v>
      </c>
      <c r="E23" s="8" t="n">
        <v>0</v>
      </c>
      <c r="F23" s="8" t="n">
        <f aca="false">ROUND(((D23-C23)*24)-E23,2)</f>
        <v>1.5</v>
      </c>
      <c r="G23" s="8" t="str">
        <f aca="false">INT(F23)&amp;"h "&amp;TEXT(ROUND(MOD(F23,1)*60,0),"00")&amp;"m"</f>
        <v>1h 30m</v>
      </c>
      <c r="H23" s="8" t="s">
        <v>135</v>
      </c>
      <c r="I23" s="8" t="s">
        <v>114</v>
      </c>
      <c r="J23" s="11" t="s">
        <v>74</v>
      </c>
      <c r="K23" s="8" t="s">
        <v>136</v>
      </c>
      <c r="L23" s="8" t="n">
        <v>3</v>
      </c>
      <c r="M23" s="8" t="s">
        <v>137</v>
      </c>
      <c r="N23" s="8" t="s">
        <v>138</v>
      </c>
    </row>
    <row r="24" customFormat="false" ht="28.35" hidden="false" customHeight="false" outlineLevel="0" collapsed="false">
      <c r="A24" s="8" t="n">
        <v>3</v>
      </c>
      <c r="B24" s="9" t="n">
        <v>46561</v>
      </c>
      <c r="C24" s="10" t="n">
        <v>46561.6666666667</v>
      </c>
      <c r="D24" s="10" t="n">
        <v>46561.7291666667</v>
      </c>
      <c r="E24" s="8" t="n">
        <v>0</v>
      </c>
      <c r="F24" s="8" t="n">
        <f aca="false">ROUND(((D24-C24)*24)-E24,2)</f>
        <v>1.5</v>
      </c>
      <c r="G24" s="8" t="str">
        <f aca="false">INT(F24)&amp;"h "&amp;TEXT(ROUND(MOD(F24,1)*60,0),"00")&amp;"m"</f>
        <v>1h 30m</v>
      </c>
      <c r="H24" s="8" t="s">
        <v>139</v>
      </c>
      <c r="I24" s="8" t="s">
        <v>140</v>
      </c>
      <c r="J24" s="11" t="s">
        <v>74</v>
      </c>
      <c r="K24" s="8" t="s">
        <v>133</v>
      </c>
      <c r="L24" s="8" t="n">
        <v>3</v>
      </c>
      <c r="M24" s="8" t="s">
        <v>141</v>
      </c>
      <c r="N24" s="8" t="s">
        <v>82</v>
      </c>
    </row>
    <row r="25" customFormat="false" ht="15" hidden="false" customHeight="false" outlineLevel="0" collapsed="false">
      <c r="A25" s="8" t="n">
        <v>3</v>
      </c>
      <c r="B25" s="9" t="n">
        <v>46561</v>
      </c>
      <c r="C25" s="10" t="n">
        <v>46561.75</v>
      </c>
      <c r="D25" s="10" t="n">
        <v>46561.7916666667</v>
      </c>
      <c r="E25" s="8" t="n">
        <v>0</v>
      </c>
      <c r="F25" s="8" t="n">
        <f aca="false">ROUND(((D25-C25)*24)-E25,2)</f>
        <v>1</v>
      </c>
      <c r="G25" s="8" t="str">
        <f aca="false">INT(F25)&amp;"h "&amp;TEXT(ROUND(MOD(F25,1)*60,0),"00")&amp;"m"</f>
        <v>1h 00m</v>
      </c>
      <c r="H25" s="8" t="s">
        <v>142</v>
      </c>
      <c r="I25" s="8" t="s">
        <v>114</v>
      </c>
      <c r="J25" s="11" t="s">
        <v>74</v>
      </c>
      <c r="K25" s="8" t="s">
        <v>82</v>
      </c>
      <c r="L25" s="8" t="n">
        <v>0</v>
      </c>
      <c r="M25" s="8" t="s">
        <v>143</v>
      </c>
      <c r="N25" s="8" t="s">
        <v>82</v>
      </c>
    </row>
    <row r="26" customFormat="false" ht="15" hidden="false" customHeight="false" outlineLevel="0" collapsed="false">
      <c r="A26" s="8" t="n">
        <v>3</v>
      </c>
      <c r="B26" s="9" t="n">
        <v>46561</v>
      </c>
      <c r="C26" s="10" t="n">
        <v>46561.7916666667</v>
      </c>
      <c r="D26" s="10" t="n">
        <v>46561.84375</v>
      </c>
      <c r="E26" s="8" t="n">
        <v>0</v>
      </c>
      <c r="F26" s="8" t="n">
        <f aca="false">ROUND(((D26-C26)*24)-E26,2)</f>
        <v>1.25</v>
      </c>
      <c r="G26" s="8" t="str">
        <f aca="false">INT(F26)&amp;"h "&amp;TEXT(ROUND(MOD(F26,1)*60,0),"00")&amp;"m"</f>
        <v>1h 15m</v>
      </c>
      <c r="H26" s="8" t="s">
        <v>144</v>
      </c>
      <c r="I26" s="8" t="s">
        <v>114</v>
      </c>
      <c r="J26" s="11" t="s">
        <v>74</v>
      </c>
      <c r="K26" s="8" t="s">
        <v>82</v>
      </c>
      <c r="L26" s="8" t="n">
        <v>0</v>
      </c>
      <c r="M26" s="8" t="s">
        <v>145</v>
      </c>
      <c r="N26" s="8" t="s">
        <v>146</v>
      </c>
    </row>
    <row r="27" customFormat="false" ht="15" hidden="false" customHeight="false" outlineLevel="0" collapsed="false">
      <c r="A27" s="8" t="n">
        <v>4</v>
      </c>
      <c r="B27" s="9" t="n">
        <v>46562</v>
      </c>
      <c r="C27" s="10" t="n">
        <v>46562.2916666667</v>
      </c>
      <c r="D27" s="10" t="n">
        <v>46562.3541666667</v>
      </c>
      <c r="E27" s="8" t="n">
        <v>0</v>
      </c>
      <c r="F27" s="8" t="n">
        <f aca="false">ROUND(((D27-C27)*24)-E27,2)</f>
        <v>1.5</v>
      </c>
      <c r="G27" s="8" t="str">
        <f aca="false">INT(F27)&amp;"h "&amp;TEXT(ROUND(MOD(F27,1)*60,0),"00")&amp;"m"</f>
        <v>1h 30m</v>
      </c>
      <c r="H27" s="8" t="s">
        <v>147</v>
      </c>
      <c r="I27" s="8" t="s">
        <v>114</v>
      </c>
      <c r="J27" s="11" t="s">
        <v>74</v>
      </c>
      <c r="K27" s="8" t="s">
        <v>82</v>
      </c>
      <c r="L27" s="8" t="n">
        <v>0</v>
      </c>
      <c r="M27" s="8" t="s">
        <v>148</v>
      </c>
      <c r="N27" s="8" t="s">
        <v>149</v>
      </c>
    </row>
    <row r="28" customFormat="false" ht="15" hidden="false" customHeight="false" outlineLevel="0" collapsed="false">
      <c r="A28" s="8" t="n">
        <v>4</v>
      </c>
      <c r="B28" s="9" t="n">
        <v>46562</v>
      </c>
      <c r="C28" s="10" t="n">
        <v>46562.3541666667</v>
      </c>
      <c r="D28" s="10" t="n">
        <v>46562.4270833333</v>
      </c>
      <c r="E28" s="8" t="n">
        <v>0</v>
      </c>
      <c r="F28" s="8" t="n">
        <f aca="false">ROUND(((D28-C28)*24)-E28,2)</f>
        <v>1.75</v>
      </c>
      <c r="G28" s="8" t="str">
        <f aca="false">INT(F28)&amp;"h "&amp;TEXT(ROUND(MOD(F28,1)*60,0),"00")&amp;"m"</f>
        <v>1h 45m</v>
      </c>
      <c r="H28" s="8" t="s">
        <v>150</v>
      </c>
      <c r="I28" s="8" t="s">
        <v>151</v>
      </c>
      <c r="J28" s="11" t="s">
        <v>74</v>
      </c>
      <c r="K28" s="8" t="s">
        <v>80</v>
      </c>
      <c r="L28" s="8" t="n">
        <v>50</v>
      </c>
      <c r="M28" s="8" t="s">
        <v>152</v>
      </c>
      <c r="N28" s="8" t="s">
        <v>82</v>
      </c>
    </row>
    <row r="29" customFormat="false" ht="28.35" hidden="false" customHeight="false" outlineLevel="0" collapsed="false">
      <c r="A29" s="8" t="n">
        <v>4</v>
      </c>
      <c r="B29" s="9" t="n">
        <v>46562</v>
      </c>
      <c r="C29" s="10" t="n">
        <v>46562.4270833333</v>
      </c>
      <c r="D29" s="10" t="n">
        <v>46562.4895833333</v>
      </c>
      <c r="E29" s="8" t="n">
        <v>0</v>
      </c>
      <c r="F29" s="8" t="n">
        <f aca="false">ROUND(((D29-C29)*24)-E29,2)</f>
        <v>1.5</v>
      </c>
      <c r="G29" s="8" t="str">
        <f aca="false">INT(F29)&amp;"h "&amp;TEXT(ROUND(MOD(F29,1)*60,0),"00")&amp;"m"</f>
        <v>1h 30m</v>
      </c>
      <c r="H29" s="8" t="s">
        <v>153</v>
      </c>
      <c r="I29" s="8" t="s">
        <v>151</v>
      </c>
      <c r="J29" s="11" t="s">
        <v>74</v>
      </c>
      <c r="K29" s="8" t="s">
        <v>75</v>
      </c>
      <c r="L29" s="8" t="n">
        <v>0</v>
      </c>
      <c r="M29" s="8" t="s">
        <v>154</v>
      </c>
      <c r="N29" s="8" t="s">
        <v>82</v>
      </c>
    </row>
    <row r="30" customFormat="false" ht="28.35" hidden="false" customHeight="false" outlineLevel="0" collapsed="false">
      <c r="A30" s="8" t="n">
        <v>4</v>
      </c>
      <c r="B30" s="9" t="n">
        <v>46562</v>
      </c>
      <c r="C30" s="10" t="n">
        <v>46562.4895833333</v>
      </c>
      <c r="D30" s="10" t="n">
        <v>46562.53125</v>
      </c>
      <c r="E30" s="8" t="n">
        <v>0</v>
      </c>
      <c r="F30" s="8" t="n">
        <f aca="false">ROUND(((D30-C30)*24)-E30,2)</f>
        <v>1</v>
      </c>
      <c r="G30" s="8" t="str">
        <f aca="false">INT(F30)&amp;"h "&amp;TEXT(ROUND(MOD(F30,1)*60,0),"00")&amp;"m"</f>
        <v>1h 00m</v>
      </c>
      <c r="H30" s="8" t="s">
        <v>155</v>
      </c>
      <c r="I30" s="8" t="s">
        <v>151</v>
      </c>
      <c r="J30" s="11" t="s">
        <v>74</v>
      </c>
      <c r="K30" s="8" t="s">
        <v>75</v>
      </c>
      <c r="L30" s="8" t="n">
        <v>0</v>
      </c>
      <c r="M30" s="8" t="s">
        <v>156</v>
      </c>
      <c r="N30" s="8" t="s">
        <v>157</v>
      </c>
    </row>
    <row r="31" customFormat="false" ht="28.35" hidden="false" customHeight="false" outlineLevel="0" collapsed="false">
      <c r="A31" s="8" t="n">
        <v>4</v>
      </c>
      <c r="B31" s="9" t="n">
        <v>46562</v>
      </c>
      <c r="C31" s="10" t="n">
        <v>46562.53125</v>
      </c>
      <c r="D31" s="10" t="n">
        <v>46562.6145833333</v>
      </c>
      <c r="E31" s="8" t="n">
        <v>0</v>
      </c>
      <c r="F31" s="8" t="n">
        <f aca="false">ROUND(((D31-C31)*24)-E31,2)</f>
        <v>2</v>
      </c>
      <c r="G31" s="8" t="str">
        <f aca="false">INT(F31)&amp;"h "&amp;TEXT(ROUND(MOD(F31,1)*60,0),"00")&amp;"m"</f>
        <v>2h 00m</v>
      </c>
      <c r="H31" s="8" t="s">
        <v>158</v>
      </c>
      <c r="I31" s="8" t="s">
        <v>159</v>
      </c>
      <c r="J31" s="11" t="s">
        <v>74</v>
      </c>
      <c r="K31" s="8" t="s">
        <v>80</v>
      </c>
      <c r="L31" s="8" t="n">
        <v>60</v>
      </c>
      <c r="M31" s="8" t="s">
        <v>160</v>
      </c>
      <c r="N31" s="8" t="s">
        <v>82</v>
      </c>
    </row>
    <row r="32" customFormat="false" ht="15" hidden="false" customHeight="false" outlineLevel="0" collapsed="false">
      <c r="A32" s="8" t="n">
        <v>4</v>
      </c>
      <c r="B32" s="9" t="n">
        <v>46562</v>
      </c>
      <c r="C32" s="10" t="n">
        <v>46562.6145833333</v>
      </c>
      <c r="D32" s="10" t="n">
        <v>46562.6770833333</v>
      </c>
      <c r="E32" s="8" t="n">
        <v>0</v>
      </c>
      <c r="F32" s="8" t="n">
        <f aca="false">ROUND(((D32-C32)*24)-E32,2)</f>
        <v>1.5</v>
      </c>
      <c r="G32" s="8" t="str">
        <f aca="false">INT(F32)&amp;"h "&amp;TEXT(ROUND(MOD(F32,1)*60,0),"00")&amp;"m"</f>
        <v>1h 30m</v>
      </c>
      <c r="H32" s="8" t="s">
        <v>116</v>
      </c>
      <c r="I32" s="8" t="s">
        <v>159</v>
      </c>
      <c r="J32" s="11" t="s">
        <v>74</v>
      </c>
      <c r="K32" s="8" t="s">
        <v>82</v>
      </c>
      <c r="L32" s="8" t="n">
        <v>0</v>
      </c>
      <c r="M32" s="8" t="s">
        <v>161</v>
      </c>
      <c r="N32" s="8" t="s">
        <v>162</v>
      </c>
    </row>
    <row r="33" customFormat="false" ht="15" hidden="false" customHeight="false" outlineLevel="0" collapsed="false">
      <c r="A33" s="8" t="n">
        <v>4</v>
      </c>
      <c r="B33" s="9" t="n">
        <v>46562</v>
      </c>
      <c r="C33" s="10" t="n">
        <v>46562.6770833333</v>
      </c>
      <c r="D33" s="10" t="n">
        <v>46562.71875</v>
      </c>
      <c r="E33" s="8" t="n">
        <v>0</v>
      </c>
      <c r="F33" s="8" t="n">
        <f aca="false">ROUND(((D33-C33)*24)-E33,2)</f>
        <v>1</v>
      </c>
      <c r="G33" s="8" t="str">
        <f aca="false">INT(F33)&amp;"h "&amp;TEXT(ROUND(MOD(F33,1)*60,0),"00")&amp;"m"</f>
        <v>1h 00m</v>
      </c>
      <c r="H33" s="8" t="s">
        <v>163</v>
      </c>
      <c r="I33" s="8" t="s">
        <v>164</v>
      </c>
      <c r="J33" s="11" t="s">
        <v>74</v>
      </c>
      <c r="K33" s="8" t="s">
        <v>80</v>
      </c>
      <c r="L33" s="8" t="n">
        <v>20</v>
      </c>
      <c r="M33" s="8" t="s">
        <v>165</v>
      </c>
      <c r="N33" s="8" t="s">
        <v>82</v>
      </c>
    </row>
    <row r="34" customFormat="false" ht="28.35" hidden="false" customHeight="false" outlineLevel="0" collapsed="false">
      <c r="A34" s="8" t="n">
        <v>4</v>
      </c>
      <c r="B34" s="9" t="n">
        <v>46562</v>
      </c>
      <c r="C34" s="10" t="n">
        <v>46562.71875</v>
      </c>
      <c r="D34" s="10" t="n">
        <v>46562.78125</v>
      </c>
      <c r="E34" s="8" t="n">
        <v>0</v>
      </c>
      <c r="F34" s="8" t="n">
        <f aca="false">ROUND(((D34-C34)*24)-E34,2)</f>
        <v>1.5</v>
      </c>
      <c r="G34" s="8" t="str">
        <f aca="false">INT(F34)&amp;"h "&amp;TEXT(ROUND(MOD(F34,1)*60,0),"00")&amp;"m"</f>
        <v>1h 30m</v>
      </c>
      <c r="H34" s="8" t="s">
        <v>166</v>
      </c>
      <c r="I34" s="8" t="s">
        <v>164</v>
      </c>
      <c r="J34" s="11" t="s">
        <v>74</v>
      </c>
      <c r="K34" s="8" t="s">
        <v>75</v>
      </c>
      <c r="L34" s="8" t="n">
        <v>0</v>
      </c>
      <c r="M34" s="8" t="s">
        <v>167</v>
      </c>
      <c r="N34" s="8" t="s">
        <v>82</v>
      </c>
    </row>
    <row r="35" customFormat="false" ht="15" hidden="false" customHeight="false" outlineLevel="0" collapsed="false">
      <c r="A35" s="8" t="n">
        <v>4</v>
      </c>
      <c r="B35" s="9" t="n">
        <v>46562</v>
      </c>
      <c r="C35" s="10" t="n">
        <v>46562.78125</v>
      </c>
      <c r="D35" s="10" t="n">
        <v>46562.8229166667</v>
      </c>
      <c r="E35" s="8" t="n">
        <v>0</v>
      </c>
      <c r="F35" s="8" t="n">
        <f aca="false">ROUND(((D35-C35)*24)-E35,2)</f>
        <v>1</v>
      </c>
      <c r="G35" s="8" t="str">
        <f aca="false">INT(F35)&amp;"h "&amp;TEXT(ROUND(MOD(F35,1)*60,0),"00")&amp;"m"</f>
        <v>1h 00m</v>
      </c>
      <c r="H35" s="8" t="s">
        <v>158</v>
      </c>
      <c r="I35" s="8" t="s">
        <v>159</v>
      </c>
      <c r="J35" s="11" t="s">
        <v>74</v>
      </c>
      <c r="K35" s="8" t="s">
        <v>80</v>
      </c>
      <c r="L35" s="8" t="n">
        <v>20</v>
      </c>
      <c r="M35" s="8" t="s">
        <v>82</v>
      </c>
      <c r="N35" s="8" t="s">
        <v>82</v>
      </c>
    </row>
    <row r="36" customFormat="false" ht="15" hidden="false" customHeight="false" outlineLevel="0" collapsed="false">
      <c r="A36" s="8" t="n">
        <v>4</v>
      </c>
      <c r="B36" s="9" t="n">
        <v>46562</v>
      </c>
      <c r="C36" s="10" t="n">
        <v>46562.8229166667</v>
      </c>
      <c r="D36" s="10" t="n">
        <v>46562.875</v>
      </c>
      <c r="E36" s="8" t="n">
        <v>0</v>
      </c>
      <c r="F36" s="8" t="n">
        <f aca="false">ROUND(((D36-C36)*24)-E36,2)</f>
        <v>1.25</v>
      </c>
      <c r="G36" s="8" t="str">
        <f aca="false">INT(F36)&amp;"h "&amp;TEXT(ROUND(MOD(F36,1)*60,0),"00")&amp;"m"</f>
        <v>1h 15m</v>
      </c>
      <c r="H36" s="8" t="s">
        <v>144</v>
      </c>
      <c r="I36" s="8" t="s">
        <v>159</v>
      </c>
      <c r="J36" s="11" t="s">
        <v>74</v>
      </c>
      <c r="K36" s="8" t="s">
        <v>82</v>
      </c>
      <c r="L36" s="8" t="n">
        <v>0</v>
      </c>
      <c r="M36" s="8" t="s">
        <v>168</v>
      </c>
      <c r="N36" s="8" t="s">
        <v>169</v>
      </c>
    </row>
    <row r="37" customFormat="false" ht="15" hidden="false" customHeight="false" outlineLevel="0" collapsed="false">
      <c r="A37" s="8" t="n">
        <v>5</v>
      </c>
      <c r="B37" s="9" t="n">
        <v>46563</v>
      </c>
      <c r="C37" s="10" t="n">
        <v>46563.3020833333</v>
      </c>
      <c r="D37" s="10" t="n">
        <v>46563.3541666667</v>
      </c>
      <c r="E37" s="8" t="n">
        <v>0</v>
      </c>
      <c r="F37" s="8" t="n">
        <f aca="false">ROUND(((D37-C37)*24)-E37,2)</f>
        <v>1.25</v>
      </c>
      <c r="G37" s="8" t="str">
        <f aca="false">INT(F37)&amp;"h "&amp;TEXT(ROUND(MOD(F37,1)*60,0),"00")&amp;"m"</f>
        <v>1h 15m</v>
      </c>
      <c r="H37" s="8" t="s">
        <v>119</v>
      </c>
      <c r="I37" s="8" t="s">
        <v>159</v>
      </c>
      <c r="J37" s="11" t="s">
        <v>74</v>
      </c>
      <c r="K37" s="8" t="s">
        <v>82</v>
      </c>
      <c r="L37" s="8" t="n">
        <v>0</v>
      </c>
      <c r="M37" s="8" t="s">
        <v>82</v>
      </c>
      <c r="N37" s="8" t="s">
        <v>121</v>
      </c>
    </row>
    <row r="38" customFormat="false" ht="15" hidden="false" customHeight="false" outlineLevel="0" collapsed="false">
      <c r="A38" s="8" t="n">
        <v>5</v>
      </c>
      <c r="B38" s="9" t="n">
        <v>46563</v>
      </c>
      <c r="C38" s="10" t="n">
        <v>46563.3541666667</v>
      </c>
      <c r="D38" s="10" t="n">
        <v>46563.3888888889</v>
      </c>
      <c r="E38" s="8" t="n">
        <v>0</v>
      </c>
      <c r="F38" s="8" t="n">
        <f aca="false">ROUND(((D38-C38)*24)-E38,2)</f>
        <v>0.83</v>
      </c>
      <c r="G38" s="8" t="str">
        <f aca="false">INT(F38)&amp;"h "&amp;TEXT(ROUND(MOD(F38,1)*60,0),"00")&amp;"m"</f>
        <v>0h 50m</v>
      </c>
      <c r="H38" s="8" t="s">
        <v>170</v>
      </c>
      <c r="I38" s="8" t="s">
        <v>171</v>
      </c>
      <c r="J38" s="11" t="s">
        <v>74</v>
      </c>
      <c r="K38" s="8" t="s">
        <v>80</v>
      </c>
      <c r="L38" s="8" t="n">
        <v>22</v>
      </c>
      <c r="M38" s="8" t="s">
        <v>82</v>
      </c>
      <c r="N38" s="8" t="s">
        <v>82</v>
      </c>
    </row>
    <row r="39" customFormat="false" ht="28.35" hidden="false" customHeight="false" outlineLevel="0" collapsed="false">
      <c r="A39" s="8" t="n">
        <v>5</v>
      </c>
      <c r="B39" s="9" t="n">
        <v>46563</v>
      </c>
      <c r="C39" s="10" t="n">
        <v>46563.3888888889</v>
      </c>
      <c r="D39" s="10" t="n">
        <v>46563.4930555556</v>
      </c>
      <c r="E39" s="8" t="n">
        <v>0</v>
      </c>
      <c r="F39" s="8" t="n">
        <f aca="false">ROUND(((D39-C39)*24)-E39,2)</f>
        <v>2.5</v>
      </c>
      <c r="G39" s="8" t="str">
        <f aca="false">INT(F39)&amp;"h "&amp;TEXT(ROUND(MOD(F39,1)*60,0),"00")&amp;"m"</f>
        <v>2h 30m</v>
      </c>
      <c r="H39" s="8" t="s">
        <v>172</v>
      </c>
      <c r="I39" s="8" t="s">
        <v>171</v>
      </c>
      <c r="J39" s="11" t="s">
        <v>74</v>
      </c>
      <c r="K39" s="8" t="s">
        <v>75</v>
      </c>
      <c r="L39" s="8" t="n">
        <v>0</v>
      </c>
      <c r="M39" s="8" t="s">
        <v>173</v>
      </c>
      <c r="N39" s="8" t="s">
        <v>82</v>
      </c>
    </row>
    <row r="40" customFormat="false" ht="15" hidden="false" customHeight="false" outlineLevel="0" collapsed="false">
      <c r="A40" s="8" t="n">
        <v>5</v>
      </c>
      <c r="B40" s="9" t="n">
        <v>46563</v>
      </c>
      <c r="C40" s="10" t="n">
        <v>46563.4930555556</v>
      </c>
      <c r="D40" s="10" t="n">
        <v>46563.5243055556</v>
      </c>
      <c r="E40" s="8" t="n">
        <v>0</v>
      </c>
      <c r="F40" s="8" t="n">
        <f aca="false">ROUND(((D40-C40)*24)-E40,2)</f>
        <v>0.75</v>
      </c>
      <c r="G40" s="8" t="str">
        <f aca="false">INT(F40)&amp;"h "&amp;TEXT(ROUND(MOD(F40,1)*60,0),"00")&amp;"m"</f>
        <v>0h 45m</v>
      </c>
      <c r="H40" s="8" t="s">
        <v>101</v>
      </c>
      <c r="I40" s="8" t="s">
        <v>174</v>
      </c>
      <c r="J40" s="11" t="s">
        <v>74</v>
      </c>
      <c r="K40" s="8" t="s">
        <v>80</v>
      </c>
      <c r="L40" s="8" t="n">
        <v>22</v>
      </c>
      <c r="M40" s="8" t="s">
        <v>82</v>
      </c>
      <c r="N40" s="8" t="s">
        <v>82</v>
      </c>
    </row>
    <row r="41" customFormat="false" ht="15" hidden="false" customHeight="false" outlineLevel="0" collapsed="false">
      <c r="A41" s="8" t="n">
        <v>5</v>
      </c>
      <c r="B41" s="9" t="n">
        <v>46563</v>
      </c>
      <c r="C41" s="10" t="n">
        <v>46563.5243055556</v>
      </c>
      <c r="D41" s="10" t="n">
        <v>46563.5833333333</v>
      </c>
      <c r="E41" s="8" t="n">
        <v>0</v>
      </c>
      <c r="F41" s="8" t="n">
        <f aca="false">ROUND(((D41-C41)*24)-E41,2)</f>
        <v>1.42</v>
      </c>
      <c r="G41" s="8" t="str">
        <f aca="false">INT(F41)&amp;"h "&amp;TEXT(ROUND(MOD(F41,1)*60,0),"00")&amp;"m"</f>
        <v>1h 25m</v>
      </c>
      <c r="H41" s="8" t="s">
        <v>104</v>
      </c>
      <c r="I41" s="8" t="s">
        <v>174</v>
      </c>
      <c r="J41" s="11" t="s">
        <v>74</v>
      </c>
      <c r="K41" s="8" t="s">
        <v>75</v>
      </c>
      <c r="L41" s="8" t="n">
        <v>0</v>
      </c>
      <c r="M41" s="8" t="s">
        <v>175</v>
      </c>
      <c r="N41" s="8" t="s">
        <v>106</v>
      </c>
    </row>
    <row r="42" customFormat="false" ht="28.35" hidden="false" customHeight="false" outlineLevel="0" collapsed="false">
      <c r="A42" s="8" t="n">
        <v>5</v>
      </c>
      <c r="B42" s="9" t="n">
        <v>46563</v>
      </c>
      <c r="C42" s="10" t="n">
        <v>46563.5833333333</v>
      </c>
      <c r="D42" s="10" t="n">
        <v>46563.6458333333</v>
      </c>
      <c r="E42" s="8" t="n">
        <v>0</v>
      </c>
      <c r="F42" s="8" t="n">
        <f aca="false">ROUND(((D42-C42)*24)-E42,2)</f>
        <v>1.5</v>
      </c>
      <c r="G42" s="8" t="str">
        <f aca="false">INT(F42)&amp;"h "&amp;TEXT(ROUND(MOD(F42,1)*60,0),"00")&amp;"m"</f>
        <v>1h 30m</v>
      </c>
      <c r="H42" s="8" t="s">
        <v>135</v>
      </c>
      <c r="I42" s="8" t="s">
        <v>159</v>
      </c>
      <c r="J42" s="11" t="s">
        <v>74</v>
      </c>
      <c r="K42" s="8" t="s">
        <v>136</v>
      </c>
      <c r="L42" s="8" t="n">
        <v>5</v>
      </c>
      <c r="M42" s="8" t="s">
        <v>82</v>
      </c>
      <c r="N42" s="8" t="s">
        <v>82</v>
      </c>
    </row>
    <row r="43" customFormat="false" ht="15" hidden="false" customHeight="false" outlineLevel="0" collapsed="false">
      <c r="A43" s="8" t="n">
        <v>5</v>
      </c>
      <c r="B43" s="9" t="n">
        <v>46563</v>
      </c>
      <c r="C43" s="10" t="n">
        <v>46563.6458333333</v>
      </c>
      <c r="D43" s="10" t="n">
        <v>46563.6875</v>
      </c>
      <c r="E43" s="8" t="n">
        <v>0</v>
      </c>
      <c r="F43" s="8" t="n">
        <f aca="false">ROUND(((D43-C43)*24)-E43,2)</f>
        <v>1</v>
      </c>
      <c r="G43" s="8" t="str">
        <f aca="false">INT(F43)&amp;"h "&amp;TEXT(ROUND(MOD(F43,1)*60,0),"00")&amp;"m"</f>
        <v>1h 00m</v>
      </c>
      <c r="H43" s="8" t="s">
        <v>176</v>
      </c>
      <c r="I43" s="8" t="s">
        <v>177</v>
      </c>
      <c r="J43" s="11" t="s">
        <v>74</v>
      </c>
      <c r="K43" s="8" t="s">
        <v>80</v>
      </c>
      <c r="L43" s="8" t="n">
        <v>25</v>
      </c>
      <c r="M43" s="8" t="s">
        <v>82</v>
      </c>
      <c r="N43" s="8" t="s">
        <v>82</v>
      </c>
    </row>
    <row r="44" customFormat="false" ht="28.35" hidden="false" customHeight="false" outlineLevel="0" collapsed="false">
      <c r="A44" s="8" t="n">
        <v>5</v>
      </c>
      <c r="B44" s="9" t="n">
        <v>46563</v>
      </c>
      <c r="C44" s="10" t="n">
        <v>46563.6875</v>
      </c>
      <c r="D44" s="10" t="n">
        <v>46563.75</v>
      </c>
      <c r="E44" s="8" t="n">
        <v>0</v>
      </c>
      <c r="F44" s="8" t="n">
        <f aca="false">ROUND(((D44-C44)*24)-E44,2)</f>
        <v>1.5</v>
      </c>
      <c r="G44" s="8" t="str">
        <f aca="false">INT(F44)&amp;"h "&amp;TEXT(ROUND(MOD(F44,1)*60,0),"00")&amp;"m"</f>
        <v>1h 30m</v>
      </c>
      <c r="H44" s="8" t="s">
        <v>178</v>
      </c>
      <c r="I44" s="8" t="s">
        <v>177</v>
      </c>
      <c r="J44" s="11" t="s">
        <v>74</v>
      </c>
      <c r="K44" s="8" t="s">
        <v>75</v>
      </c>
      <c r="L44" s="8" t="n">
        <v>0</v>
      </c>
      <c r="M44" s="8" t="s">
        <v>179</v>
      </c>
      <c r="N44" s="8" t="s">
        <v>82</v>
      </c>
    </row>
    <row r="45" customFormat="false" ht="15" hidden="false" customHeight="false" outlineLevel="0" collapsed="false">
      <c r="A45" s="8" t="n">
        <v>5</v>
      </c>
      <c r="B45" s="9" t="n">
        <v>46563</v>
      </c>
      <c r="C45" s="10" t="n">
        <v>46563.75</v>
      </c>
      <c r="D45" s="10" t="n">
        <v>46563.7916666667</v>
      </c>
      <c r="E45" s="8" t="n">
        <v>0</v>
      </c>
      <c r="F45" s="8" t="n">
        <f aca="false">ROUND(((D45-C45)*24)-E45,2)</f>
        <v>1</v>
      </c>
      <c r="G45" s="8" t="str">
        <f aca="false">INT(F45)&amp;"h "&amp;TEXT(ROUND(MOD(F45,1)*60,0),"00")&amp;"m"</f>
        <v>1h 00m</v>
      </c>
      <c r="H45" s="8" t="s">
        <v>180</v>
      </c>
      <c r="I45" s="8" t="s">
        <v>181</v>
      </c>
      <c r="J45" s="11" t="s">
        <v>74</v>
      </c>
      <c r="K45" s="8" t="s">
        <v>75</v>
      </c>
      <c r="L45" s="8" t="n">
        <v>0</v>
      </c>
      <c r="M45" s="8" t="s">
        <v>182</v>
      </c>
      <c r="N45" s="8" t="s">
        <v>82</v>
      </c>
    </row>
    <row r="46" customFormat="false" ht="15" hidden="false" customHeight="false" outlineLevel="0" collapsed="false">
      <c r="A46" s="8" t="n">
        <v>5</v>
      </c>
      <c r="B46" s="9" t="n">
        <v>46563</v>
      </c>
      <c r="C46" s="10" t="n">
        <v>46563.7916666667</v>
      </c>
      <c r="D46" s="10" t="n">
        <v>46563.8333333333</v>
      </c>
      <c r="E46" s="8" t="n">
        <v>0</v>
      </c>
      <c r="F46" s="8" t="n">
        <f aca="false">ROUND(((D46-C46)*24)-E46,2)</f>
        <v>1</v>
      </c>
      <c r="G46" s="8" t="str">
        <f aca="false">INT(F46)&amp;"h "&amp;TEXT(ROUND(MOD(F46,1)*60,0),"00")&amp;"m"</f>
        <v>1h 00m</v>
      </c>
      <c r="H46" s="8" t="s">
        <v>158</v>
      </c>
      <c r="I46" s="8" t="s">
        <v>159</v>
      </c>
      <c r="J46" s="11" t="s">
        <v>74</v>
      </c>
      <c r="K46" s="8" t="s">
        <v>80</v>
      </c>
      <c r="L46" s="8" t="n">
        <v>25</v>
      </c>
      <c r="M46" s="8" t="s">
        <v>82</v>
      </c>
      <c r="N46" s="8" t="s">
        <v>82</v>
      </c>
    </row>
    <row r="47" customFormat="false" ht="15" hidden="false" customHeight="false" outlineLevel="0" collapsed="false">
      <c r="A47" s="8" t="n">
        <v>5</v>
      </c>
      <c r="B47" s="9" t="n">
        <v>46563</v>
      </c>
      <c r="C47" s="10" t="n">
        <v>46563.8333333333</v>
      </c>
      <c r="D47" s="10" t="n">
        <v>46563.8854166667</v>
      </c>
      <c r="E47" s="8" t="n">
        <v>0</v>
      </c>
      <c r="F47" s="8" t="n">
        <f aca="false">ROUND(((D47-C47)*24)-E47,2)</f>
        <v>1.25</v>
      </c>
      <c r="G47" s="8" t="str">
        <f aca="false">INT(F47)&amp;"h "&amp;TEXT(ROUND(MOD(F47,1)*60,0),"00")&amp;"m"</f>
        <v>1h 15m</v>
      </c>
      <c r="H47" s="8" t="s">
        <v>144</v>
      </c>
      <c r="I47" s="8" t="s">
        <v>159</v>
      </c>
      <c r="J47" s="11" t="s">
        <v>74</v>
      </c>
      <c r="K47" s="8" t="s">
        <v>82</v>
      </c>
      <c r="L47" s="8" t="n">
        <v>0</v>
      </c>
      <c r="M47" s="8" t="s">
        <v>183</v>
      </c>
      <c r="N47" s="8" t="s">
        <v>146</v>
      </c>
    </row>
    <row r="48" customFormat="false" ht="15" hidden="false" customHeight="false" outlineLevel="0" collapsed="false">
      <c r="A48" s="8" t="n">
        <v>6</v>
      </c>
      <c r="B48" s="9" t="n">
        <v>46564</v>
      </c>
      <c r="C48" s="10" t="n">
        <v>46564.2916666667</v>
      </c>
      <c r="D48" s="10" t="n">
        <v>46564.3541666667</v>
      </c>
      <c r="E48" s="8" t="n">
        <v>0</v>
      </c>
      <c r="F48" s="8" t="n">
        <f aca="false">ROUND(((D48-C48)*24)-E48,2)</f>
        <v>1.5</v>
      </c>
      <c r="G48" s="8" t="str">
        <f aca="false">INT(F48)&amp;"h "&amp;TEXT(ROUND(MOD(F48,1)*60,0),"00")&amp;"m"</f>
        <v>1h 30m</v>
      </c>
      <c r="H48" s="8" t="s">
        <v>119</v>
      </c>
      <c r="I48" s="8" t="s">
        <v>159</v>
      </c>
      <c r="J48" s="11" t="s">
        <v>74</v>
      </c>
      <c r="K48" s="8" t="s">
        <v>82</v>
      </c>
      <c r="L48" s="8" t="n">
        <v>0</v>
      </c>
      <c r="M48" s="8" t="s">
        <v>82</v>
      </c>
      <c r="N48" s="8" t="s">
        <v>121</v>
      </c>
    </row>
    <row r="49" customFormat="false" ht="15" hidden="false" customHeight="false" outlineLevel="0" collapsed="false">
      <c r="A49" s="8" t="n">
        <v>6</v>
      </c>
      <c r="B49" s="9" t="n">
        <v>46564</v>
      </c>
      <c r="C49" s="10" t="n">
        <v>46564.3645833333</v>
      </c>
      <c r="D49" s="10" t="n">
        <v>46564.3854166667</v>
      </c>
      <c r="E49" s="8" t="n">
        <v>0</v>
      </c>
      <c r="F49" s="8" t="n">
        <f aca="false">ROUND(((D49-C49)*24)-E49,2)</f>
        <v>0.5</v>
      </c>
      <c r="G49" s="8" t="str">
        <f aca="false">INT(F49)&amp;"h "&amp;TEXT(ROUND(MOD(F49,1)*60,0),"00")&amp;"m"</f>
        <v>0h 30m</v>
      </c>
      <c r="H49" s="8" t="s">
        <v>184</v>
      </c>
      <c r="I49" s="8" t="s">
        <v>185</v>
      </c>
      <c r="J49" s="11" t="s">
        <v>74</v>
      </c>
      <c r="K49" s="8" t="s">
        <v>80</v>
      </c>
      <c r="L49" s="8" t="n">
        <v>6</v>
      </c>
      <c r="M49" s="8" t="s">
        <v>186</v>
      </c>
      <c r="N49" s="8" t="s">
        <v>82</v>
      </c>
    </row>
    <row r="50" customFormat="false" ht="15" hidden="false" customHeight="false" outlineLevel="0" collapsed="false">
      <c r="A50" s="8" t="n">
        <v>6</v>
      </c>
      <c r="B50" s="9" t="n">
        <v>46564</v>
      </c>
      <c r="C50" s="10" t="n">
        <v>46564.3854166667</v>
      </c>
      <c r="D50" s="10" t="n">
        <v>46564.4583333333</v>
      </c>
      <c r="E50" s="8" t="n">
        <v>0</v>
      </c>
      <c r="F50" s="8" t="n">
        <f aca="false">ROUND(((D50-C50)*24)-E50,2)</f>
        <v>1.75</v>
      </c>
      <c r="G50" s="8" t="str">
        <f aca="false">INT(F50)&amp;"h "&amp;TEXT(ROUND(MOD(F50,1)*60,0),"00")&amp;"m"</f>
        <v>1h 45m</v>
      </c>
      <c r="H50" s="8" t="s">
        <v>187</v>
      </c>
      <c r="I50" s="8" t="s">
        <v>185</v>
      </c>
      <c r="J50" s="11" t="s">
        <v>74</v>
      </c>
      <c r="K50" s="8" t="s">
        <v>75</v>
      </c>
      <c r="L50" s="8" t="n">
        <v>0</v>
      </c>
      <c r="M50" s="8" t="s">
        <v>188</v>
      </c>
      <c r="N50" s="8" t="s">
        <v>82</v>
      </c>
    </row>
    <row r="51" customFormat="false" ht="15" hidden="false" customHeight="false" outlineLevel="0" collapsed="false">
      <c r="A51" s="8" t="n">
        <v>6</v>
      </c>
      <c r="B51" s="9" t="n">
        <v>46564</v>
      </c>
      <c r="C51" s="10" t="n">
        <v>46564.4583333333</v>
      </c>
      <c r="D51" s="10" t="n">
        <v>46564.4791666667</v>
      </c>
      <c r="E51" s="8" t="n">
        <v>0</v>
      </c>
      <c r="F51" s="8" t="n">
        <f aca="false">ROUND(((D51-C51)*24)-E51,2)</f>
        <v>0.5</v>
      </c>
      <c r="G51" s="8" t="str">
        <f aca="false">INT(F51)&amp;"h "&amp;TEXT(ROUND(MOD(F51,1)*60,0),"00")&amp;"m"</f>
        <v>0h 30m</v>
      </c>
      <c r="H51" s="8" t="s">
        <v>189</v>
      </c>
      <c r="I51" s="8" t="s">
        <v>102</v>
      </c>
      <c r="J51" s="11" t="s">
        <v>74</v>
      </c>
      <c r="K51" s="8" t="s">
        <v>80</v>
      </c>
      <c r="L51" s="8" t="n">
        <v>6</v>
      </c>
      <c r="M51" s="8" t="s">
        <v>190</v>
      </c>
      <c r="N51" s="8" t="s">
        <v>82</v>
      </c>
    </row>
    <row r="52" customFormat="false" ht="15" hidden="false" customHeight="false" outlineLevel="0" collapsed="false">
      <c r="A52" s="8" t="n">
        <v>6</v>
      </c>
      <c r="B52" s="9" t="n">
        <v>46564</v>
      </c>
      <c r="C52" s="10" t="n">
        <v>46564.4791666667</v>
      </c>
      <c r="D52" s="10" t="n">
        <v>46564.5416666667</v>
      </c>
      <c r="E52" s="8" t="n">
        <v>0</v>
      </c>
      <c r="F52" s="8" t="n">
        <f aca="false">ROUND(((D52-C52)*24)-E52,2)</f>
        <v>1.5</v>
      </c>
      <c r="G52" s="8" t="str">
        <f aca="false">INT(F52)&amp;"h "&amp;TEXT(ROUND(MOD(F52,1)*60,0),"00")&amp;"m"</f>
        <v>1h 30m</v>
      </c>
      <c r="H52" s="8" t="s">
        <v>104</v>
      </c>
      <c r="I52" s="8" t="s">
        <v>102</v>
      </c>
      <c r="J52" s="11" t="s">
        <v>74</v>
      </c>
      <c r="K52" s="8" t="s">
        <v>75</v>
      </c>
      <c r="L52" s="8" t="n">
        <v>0</v>
      </c>
      <c r="M52" s="8" t="s">
        <v>82</v>
      </c>
      <c r="N52" s="8" t="s">
        <v>106</v>
      </c>
    </row>
    <row r="53" customFormat="false" ht="15" hidden="false" customHeight="false" outlineLevel="0" collapsed="false">
      <c r="A53" s="8" t="n">
        <v>6</v>
      </c>
      <c r="B53" s="9" t="n">
        <v>46564</v>
      </c>
      <c r="C53" s="10" t="n">
        <v>46564.5416666667</v>
      </c>
      <c r="D53" s="10" t="n">
        <v>46564.5625</v>
      </c>
      <c r="E53" s="8" t="n">
        <v>0</v>
      </c>
      <c r="F53" s="8" t="n">
        <f aca="false">ROUND(((D53-C53)*24)-E53,2)</f>
        <v>0.5</v>
      </c>
      <c r="G53" s="8" t="str">
        <f aca="false">INT(F53)&amp;"h "&amp;TEXT(ROUND(MOD(F53,1)*60,0),"00")&amp;"m"</f>
        <v>0h 30m</v>
      </c>
      <c r="H53" s="8" t="s">
        <v>78</v>
      </c>
      <c r="I53" s="8" t="s">
        <v>96</v>
      </c>
      <c r="J53" s="11" t="s">
        <v>74</v>
      </c>
      <c r="K53" s="8" t="s">
        <v>80</v>
      </c>
      <c r="L53" s="8" t="n">
        <v>5</v>
      </c>
      <c r="M53" s="8" t="s">
        <v>82</v>
      </c>
      <c r="N53" s="8" t="s">
        <v>82</v>
      </c>
    </row>
    <row r="54" customFormat="false" ht="15" hidden="false" customHeight="false" outlineLevel="0" collapsed="false">
      <c r="A54" s="8" t="n">
        <v>6</v>
      </c>
      <c r="B54" s="9" t="n">
        <v>46564</v>
      </c>
      <c r="C54" s="10" t="n">
        <v>46564.5625</v>
      </c>
      <c r="D54" s="10" t="n">
        <v>46564.6840277778</v>
      </c>
      <c r="E54" s="8" t="n">
        <v>0</v>
      </c>
      <c r="F54" s="8" t="n">
        <f aca="false">ROUND(((D54-C54)*24)-E54,2)</f>
        <v>2.92</v>
      </c>
      <c r="G54" s="8" t="str">
        <f aca="false">INT(F54)&amp;"h "&amp;TEXT(ROUND(MOD(F54,1)*60,0),"00")&amp;"m"</f>
        <v>2h 55m</v>
      </c>
      <c r="H54" s="8" t="s">
        <v>191</v>
      </c>
      <c r="I54" s="8" t="s">
        <v>96</v>
      </c>
      <c r="J54" s="11" t="s">
        <v>74</v>
      </c>
      <c r="K54" s="8" t="s">
        <v>84</v>
      </c>
      <c r="L54" s="8" t="n">
        <v>0</v>
      </c>
      <c r="M54" s="8" t="s">
        <v>192</v>
      </c>
      <c r="N54" s="8" t="s">
        <v>82</v>
      </c>
    </row>
    <row r="55" customFormat="false" ht="28.35" hidden="false" customHeight="false" outlineLevel="0" collapsed="false">
      <c r="A55" s="8" t="n">
        <v>6</v>
      </c>
      <c r="B55" s="9" t="n">
        <v>46564</v>
      </c>
      <c r="C55" s="10" t="n">
        <v>46564.6840277778</v>
      </c>
      <c r="D55" s="10" t="n">
        <v>46564.8159722222</v>
      </c>
      <c r="E55" s="8" t="n">
        <v>0</v>
      </c>
      <c r="F55" s="8" t="n">
        <f aca="false">ROUND(((D55-C55)*24)-E55,2)</f>
        <v>3.17</v>
      </c>
      <c r="G55" s="8" t="str">
        <f aca="false">INT(F55)&amp;"h "&amp;TEXT(ROUND(MOD(F55,1)*60,0),"00")&amp;"m"</f>
        <v>3h 10m</v>
      </c>
      <c r="H55" s="8" t="s">
        <v>193</v>
      </c>
      <c r="I55" s="8" t="s">
        <v>88</v>
      </c>
      <c r="J55" s="11" t="s">
        <v>74</v>
      </c>
      <c r="K55" s="8" t="s">
        <v>89</v>
      </c>
      <c r="L55" s="8" t="n">
        <v>0</v>
      </c>
      <c r="M55" s="8" t="s">
        <v>194</v>
      </c>
      <c r="N55" s="8" t="s">
        <v>98</v>
      </c>
    </row>
    <row r="56" customFormat="false" ht="15" hidden="false" customHeight="false" outlineLevel="0" collapsed="false">
      <c r="A56" s="8" t="n">
        <v>6</v>
      </c>
      <c r="B56" s="9" t="n">
        <v>46564</v>
      </c>
      <c r="C56" s="10" t="n">
        <v>46564.8159722222</v>
      </c>
      <c r="D56" s="10" t="n">
        <v>46564.8923611111</v>
      </c>
      <c r="E56" s="8" t="n">
        <v>0</v>
      </c>
      <c r="F56" s="8" t="n">
        <f aca="false">ROUND(((D56-C56)*24)-E56,2)</f>
        <v>1.83</v>
      </c>
      <c r="G56" s="8" t="str">
        <f aca="false">INT(F56)&amp;"h "&amp;TEXT(ROUND(MOD(F56,1)*60,0),"00")&amp;"m"</f>
        <v>1h 50m</v>
      </c>
      <c r="H56" s="8" t="s">
        <v>92</v>
      </c>
      <c r="I56" s="8" t="s">
        <v>88</v>
      </c>
      <c r="J56" s="11" t="s">
        <v>74</v>
      </c>
      <c r="K56" s="8" t="s">
        <v>84</v>
      </c>
      <c r="L56" s="8" t="n">
        <v>0</v>
      </c>
      <c r="M56" s="8" t="s">
        <v>195</v>
      </c>
      <c r="N56" s="8" t="s">
        <v>196</v>
      </c>
    </row>
    <row r="57" customFormat="false" ht="15" hidden="false" customHeight="false" outlineLevel="0" collapsed="false">
      <c r="A57" s="8" t="n">
        <v>6</v>
      </c>
      <c r="B57" s="9" t="n">
        <v>46564</v>
      </c>
      <c r="C57" s="10" t="n">
        <v>46564.8923611111</v>
      </c>
      <c r="D57" s="10" t="n">
        <v>46564.9722222222</v>
      </c>
      <c r="E57" s="8" t="n">
        <v>-2.5</v>
      </c>
      <c r="F57" s="8" t="n">
        <f aca="false">ROUND(((D57-C57)*24)-E57,2)</f>
        <v>4.42</v>
      </c>
      <c r="G57" s="8" t="str">
        <f aca="false">INT(F57)&amp;"h "&amp;TEXT(ROUND(MOD(F57,1)*60,0),"00")&amp;"m"</f>
        <v>4h 25m</v>
      </c>
      <c r="H57" s="8" t="s">
        <v>197</v>
      </c>
      <c r="I57" s="8" t="s">
        <v>79</v>
      </c>
      <c r="J57" s="11" t="s">
        <v>74</v>
      </c>
      <c r="K57" s="8" t="s">
        <v>89</v>
      </c>
      <c r="L57" s="8" t="n">
        <v>0</v>
      </c>
      <c r="M57" s="8" t="s">
        <v>198</v>
      </c>
      <c r="N57" s="8" t="s">
        <v>98</v>
      </c>
    </row>
  </sheetData>
  <hyperlinks>
    <hyperlink ref="J4" r:id="rId1" display="Open map"/>
    <hyperlink ref="J5" r:id="rId2" display="Open map"/>
    <hyperlink ref="J6" r:id="rId3" display="Open map"/>
    <hyperlink ref="J7" r:id="rId4" display="Open map"/>
    <hyperlink ref="J8" r:id="rId5" display="Open map"/>
    <hyperlink ref="J9" r:id="rId6" display="Open map"/>
    <hyperlink ref="J10" r:id="rId7" display="Open map"/>
    <hyperlink ref="J11" r:id="rId8" display="Open map"/>
    <hyperlink ref="J12" r:id="rId9" display="Open map"/>
    <hyperlink ref="J13" r:id="rId10" display="Open map"/>
    <hyperlink ref="J14" r:id="rId11" display="Open map"/>
    <hyperlink ref="J15" r:id="rId12" display="Open map"/>
    <hyperlink ref="J16" r:id="rId13" display="Open map"/>
    <hyperlink ref="J17" r:id="rId14" display="Open map"/>
    <hyperlink ref="J18" r:id="rId15" display="Open map"/>
    <hyperlink ref="J19" r:id="rId16" display="Open map"/>
    <hyperlink ref="J20" r:id="rId17" display="Open map"/>
    <hyperlink ref="J21" r:id="rId18" display="Open map"/>
    <hyperlink ref="J22" r:id="rId19" display="Open map"/>
    <hyperlink ref="J23" r:id="rId20" display="Open map"/>
    <hyperlink ref="J24" r:id="rId21" display="Open map"/>
    <hyperlink ref="J25" r:id="rId22" display="Open map"/>
    <hyperlink ref="J26" r:id="rId23" display="Open map"/>
    <hyperlink ref="J27" r:id="rId24" display="Open map"/>
    <hyperlink ref="J28" r:id="rId25" display="Open map"/>
    <hyperlink ref="J29" r:id="rId26" display="Open map"/>
    <hyperlink ref="J30" r:id="rId27" display="Open map"/>
    <hyperlink ref="J31" r:id="rId28" display="Open map"/>
    <hyperlink ref="J32" r:id="rId29" display="Open map"/>
    <hyperlink ref="J33" r:id="rId30" display="Open map"/>
    <hyperlink ref="J34" r:id="rId31" display="Open map"/>
    <hyperlink ref="J35" r:id="rId32" display="Open map"/>
    <hyperlink ref="J36" r:id="rId33" display="Open map"/>
    <hyperlink ref="J37" r:id="rId34" display="Open map"/>
    <hyperlink ref="J38" r:id="rId35" display="Open map"/>
    <hyperlink ref="J39" r:id="rId36" display="Open map"/>
    <hyperlink ref="J40" r:id="rId37" display="Open map"/>
    <hyperlink ref="J41" r:id="rId38" display="Open map"/>
    <hyperlink ref="J42" r:id="rId39" display="Open map"/>
    <hyperlink ref="J43" r:id="rId40" display="Open map"/>
    <hyperlink ref="J44" r:id="rId41" display="Open map"/>
    <hyperlink ref="J45" r:id="rId42" display="Open map"/>
    <hyperlink ref="J46" r:id="rId43" display="Open map"/>
    <hyperlink ref="J47" r:id="rId44" display="Open map"/>
    <hyperlink ref="J48" r:id="rId45" display="Open map"/>
    <hyperlink ref="J49" r:id="rId46" display="Open map"/>
    <hyperlink ref="J50" r:id="rId47" display="Open map"/>
    <hyperlink ref="J51" r:id="rId48" display="Open map"/>
    <hyperlink ref="J52" r:id="rId49" display="Open map"/>
    <hyperlink ref="J53" r:id="rId50" display="Open map"/>
    <hyperlink ref="J54" r:id="rId51" display="Open map"/>
    <hyperlink ref="J55" r:id="rId52" display="Open map"/>
    <hyperlink ref="J56" r:id="rId53" display="Open map"/>
    <hyperlink ref="J57" r:id="rId54" display="Open map"/>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60"/>
    <col collapsed="false" customWidth="true" hidden="false" outlineLevel="0" max="4" min="4" style="0" width="26"/>
    <col collapsed="false" customWidth="true" hidden="false" outlineLevel="0" max="5" min="5" style="0" width="11"/>
    <col collapsed="false" customWidth="true" hidden="false" outlineLevel="0" max="6" min="6" style="0" width="12"/>
    <col collapsed="false" customWidth="true" hidden="false" outlineLevel="0" max="7" min="7" style="0" width="16"/>
    <col collapsed="false" customWidth="true" hidden="false" outlineLevel="0" max="8" min="8" style="0" width="20"/>
    <col collapsed="false" customWidth="true" hidden="false" outlineLevel="0" max="10" min="9" style="0" width="10"/>
  </cols>
  <sheetData>
    <row r="1" customFormat="false" ht="16.15" hidden="false" customHeight="false" outlineLevel="0" collapsed="false">
      <c r="A1" s="1" t="s">
        <v>199</v>
      </c>
    </row>
    <row r="3" customFormat="false" ht="28.35" hidden="false" customHeight="false" outlineLevel="0" collapsed="false">
      <c r="A3" s="2" t="s">
        <v>58</v>
      </c>
      <c r="B3" s="2" t="s">
        <v>59</v>
      </c>
      <c r="C3" s="2" t="s">
        <v>200</v>
      </c>
      <c r="D3" s="2" t="s">
        <v>201</v>
      </c>
      <c r="E3" s="2" t="s">
        <v>69</v>
      </c>
      <c r="F3" s="2" t="s">
        <v>202</v>
      </c>
      <c r="G3" s="2" t="s">
        <v>203</v>
      </c>
      <c r="H3" s="2" t="s">
        <v>204</v>
      </c>
      <c r="I3" s="2" t="s">
        <v>205</v>
      </c>
      <c r="J3" s="2" t="s">
        <v>206</v>
      </c>
    </row>
    <row r="4" customFormat="false" ht="15" hidden="false" customHeight="false" outlineLevel="0" collapsed="false">
      <c r="A4" s="0" t="n">
        <v>1</v>
      </c>
      <c r="B4" s="12" t="n">
        <v>46559</v>
      </c>
      <c r="C4" s="4" t="s">
        <v>207</v>
      </c>
      <c r="D4" s="4" t="s">
        <v>208</v>
      </c>
      <c r="E4" s="4" t="n">
        <f aca="false">SUMIFS(Itinerary!$L$4:$L$57,Itinerary!$A$4:$A$57,A4)</f>
        <v>30</v>
      </c>
      <c r="F4" s="4" t="n">
        <f aca="false">SUMIFS(Itinerary!$F$4:$F$57,Itinerary!$A$4:$A$57,A4,Itinerary!$K$4:$K$57,"Coach")</f>
        <v>1.25</v>
      </c>
      <c r="G4" s="4" t="n">
        <f aca="false">SUMIFS(Itinerary!$F$4:$F$57,Itinerary!$A$4:$A$57,A4,Itinerary!$K$4:$K$57,"Flight")</f>
        <v>4.58</v>
      </c>
      <c r="H4" s="0" t="str">
        <f aca="false">IF(F4&gt;8,"CHECK: over 8h","OK")</f>
        <v>OK</v>
      </c>
      <c r="I4" s="4" t="s">
        <v>209</v>
      </c>
      <c r="J4" s="4" t="s">
        <v>210</v>
      </c>
    </row>
    <row r="5" customFormat="false" ht="15" hidden="false" customHeight="false" outlineLevel="0" collapsed="false">
      <c r="A5" s="0" t="n">
        <v>2</v>
      </c>
      <c r="B5" s="12" t="n">
        <v>46560</v>
      </c>
      <c r="C5" s="4" t="s">
        <v>211</v>
      </c>
      <c r="D5" s="4" t="s">
        <v>212</v>
      </c>
      <c r="E5" s="4" t="n">
        <f aca="false">SUMIFS(Itinerary!$L$4:$L$57,Itinerary!$A$4:$A$57,A5)</f>
        <v>55</v>
      </c>
      <c r="F5" s="4" t="n">
        <f aca="false">SUMIFS(Itinerary!$F$4:$F$57,Itinerary!$A$4:$A$57,A5,Itinerary!$K$4:$K$57,"Coach")</f>
        <v>2.33</v>
      </c>
      <c r="G5" s="4" t="n">
        <f aca="false">SUMIFS(Itinerary!$F$4:$F$57,Itinerary!$A$4:$A$57,A5,Itinerary!$K$4:$K$57,"Flight")</f>
        <v>3.25</v>
      </c>
      <c r="H5" s="0" t="str">
        <f aca="false">IF(F5&gt;8,"CHECK: over 8h","OK")</f>
        <v>OK</v>
      </c>
      <c r="I5" s="4" t="s">
        <v>213</v>
      </c>
      <c r="J5" s="4" t="s">
        <v>214</v>
      </c>
    </row>
    <row r="6" customFormat="false" ht="15" hidden="false" customHeight="false" outlineLevel="0" collapsed="false">
      <c r="A6" s="0" t="n">
        <v>3</v>
      </c>
      <c r="B6" s="12" t="n">
        <v>46561</v>
      </c>
      <c r="C6" s="4" t="s">
        <v>215</v>
      </c>
      <c r="D6" s="4" t="s">
        <v>212</v>
      </c>
      <c r="E6" s="4" t="n">
        <f aca="false">SUMIFS(Itinerary!$L$4:$L$57,Itinerary!$A$4:$A$57,A6)</f>
        <v>38</v>
      </c>
      <c r="F6" s="4" t="n">
        <f aca="false">SUMIFS(Itinerary!$F$4:$F$57,Itinerary!$A$4:$A$57,A6,Itinerary!$K$4:$K$57,"Coach")</f>
        <v>1.5</v>
      </c>
      <c r="G6" s="4" t="n">
        <f aca="false">SUMIFS(Itinerary!$F$4:$F$57,Itinerary!$A$4:$A$57,A6,Itinerary!$K$4:$K$57,"Flight")</f>
        <v>0</v>
      </c>
      <c r="H6" s="0" t="str">
        <f aca="false">IF(F6&gt;8,"CHECK: over 8h","OK")</f>
        <v>OK</v>
      </c>
      <c r="I6" s="4" t="s">
        <v>213</v>
      </c>
      <c r="J6" s="4" t="s">
        <v>214</v>
      </c>
    </row>
    <row r="7" customFormat="false" ht="15" hidden="false" customHeight="false" outlineLevel="0" collapsed="false">
      <c r="A7" s="0" t="n">
        <v>4</v>
      </c>
      <c r="B7" s="12" t="n">
        <v>46562</v>
      </c>
      <c r="C7" s="4" t="s">
        <v>216</v>
      </c>
      <c r="D7" s="4" t="s">
        <v>217</v>
      </c>
      <c r="E7" s="4" t="n">
        <f aca="false">SUMIFS(Itinerary!$L$4:$L$57,Itinerary!$A$4:$A$57,A7)</f>
        <v>150</v>
      </c>
      <c r="F7" s="4" t="n">
        <f aca="false">SUMIFS(Itinerary!$F$4:$F$57,Itinerary!$A$4:$A$57,A7,Itinerary!$K$4:$K$57,"Coach")</f>
        <v>5.75</v>
      </c>
      <c r="G7" s="4" t="n">
        <f aca="false">SUMIFS(Itinerary!$F$4:$F$57,Itinerary!$A$4:$A$57,A7,Itinerary!$K$4:$K$57,"Flight")</f>
        <v>0</v>
      </c>
      <c r="H7" s="0" t="str">
        <f aca="false">IF(F7&gt;8,"CHECK: over 8h","OK")</f>
        <v>OK</v>
      </c>
      <c r="I7" s="4" t="s">
        <v>213</v>
      </c>
      <c r="J7" s="4" t="s">
        <v>218</v>
      </c>
    </row>
    <row r="8" customFormat="false" ht="15" hidden="false" customHeight="false" outlineLevel="0" collapsed="false">
      <c r="A8" s="0" t="n">
        <v>5</v>
      </c>
      <c r="B8" s="12" t="n">
        <v>46563</v>
      </c>
      <c r="C8" s="4" t="s">
        <v>219</v>
      </c>
      <c r="D8" s="4" t="s">
        <v>217</v>
      </c>
      <c r="E8" s="4" t="n">
        <f aca="false">SUMIFS(Itinerary!$L$4:$L$57,Itinerary!$A$4:$A$57,A8)</f>
        <v>99</v>
      </c>
      <c r="F8" s="4" t="n">
        <f aca="false">SUMIFS(Itinerary!$F$4:$F$57,Itinerary!$A$4:$A$57,A8,Itinerary!$K$4:$K$57,"Coach")</f>
        <v>3.58</v>
      </c>
      <c r="G8" s="4" t="n">
        <f aca="false">SUMIFS(Itinerary!$F$4:$F$57,Itinerary!$A$4:$A$57,A8,Itinerary!$K$4:$K$57,"Flight")</f>
        <v>0</v>
      </c>
      <c r="H8" s="0" t="str">
        <f aca="false">IF(F8&gt;8,"CHECK: over 8h","OK")</f>
        <v>OK</v>
      </c>
      <c r="I8" s="4" t="s">
        <v>220</v>
      </c>
      <c r="J8" s="4" t="s">
        <v>218</v>
      </c>
    </row>
    <row r="9" customFormat="false" ht="15" hidden="false" customHeight="false" outlineLevel="0" collapsed="false">
      <c r="A9" s="0" t="n">
        <v>6</v>
      </c>
      <c r="B9" s="12" t="n">
        <v>46564</v>
      </c>
      <c r="C9" s="4" t="s">
        <v>221</v>
      </c>
      <c r="D9" s="4" t="s">
        <v>222</v>
      </c>
      <c r="E9" s="4" t="n">
        <f aca="false">SUMIFS(Itinerary!$L$4:$L$57,Itinerary!$A$4:$A$57,A9)</f>
        <v>17</v>
      </c>
      <c r="F9" s="4" t="n">
        <f aca="false">SUMIFS(Itinerary!$F$4:$F$57,Itinerary!$A$4:$A$57,A9,Itinerary!$K$4:$K$57,"Coach")</f>
        <v>1.5</v>
      </c>
      <c r="G9" s="4" t="n">
        <f aca="false">SUMIFS(Itinerary!$F$4:$F$57,Itinerary!$A$4:$A$57,A9,Itinerary!$K$4:$K$57,"Flight")</f>
        <v>7.59</v>
      </c>
      <c r="H9" s="0" t="str">
        <f aca="false">IF(F9&gt;8,"CHECK: over 8h","OK")</f>
        <v>OK</v>
      </c>
      <c r="I9" s="4" t="s">
        <v>220</v>
      </c>
      <c r="J9" s="4" t="s">
        <v>218</v>
      </c>
    </row>
    <row r="10" customFormat="false" ht="15" hidden="false" customHeight="false" outlineLevel="0" collapsed="false">
      <c r="A10" s="0" t="s">
        <v>223</v>
      </c>
      <c r="E10" s="0" t="n">
        <f aca="false">SUM(E4:E9)</f>
        <v>389</v>
      </c>
      <c r="F10" s="0" t="n">
        <f aca="false">SUM(F4:F9)</f>
        <v>15.91</v>
      </c>
      <c r="G10" s="0" t="n">
        <f aca="false">SUM(G4:G9)</f>
        <v>15.42</v>
      </c>
    </row>
    <row r="12" customFormat="false" ht="15" hidden="false" customHeight="false" outlineLevel="0" collapsed="false">
      <c r="A12" s="0" t="s">
        <v>224</v>
      </c>
    </row>
    <row r="13" customFormat="false" ht="15" hidden="false" customHeight="false" outlineLevel="0" collapsed="false">
      <c r="A13" s="0" t="s">
        <v>225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28"/>
    <col collapsed="false" customWidth="true" hidden="false" outlineLevel="0" max="4" min="4" style="0" width="40"/>
    <col collapsed="false" customWidth="true" hidden="false" outlineLevel="0" max="5" min="5" style="0" width="50"/>
    <col collapsed="false" customWidth="true" hidden="false" outlineLevel="0" max="6" min="6" style="0" width="60"/>
  </cols>
  <sheetData>
    <row r="1" customFormat="false" ht="16.15" hidden="false" customHeight="false" outlineLevel="0" collapsed="false">
      <c r="A1" s="1" t="s">
        <v>226</v>
      </c>
    </row>
    <row r="3" customFormat="false" ht="15" hidden="false" customHeight="false" outlineLevel="0" collapsed="false">
      <c r="A3" s="2" t="s">
        <v>58</v>
      </c>
      <c r="B3" s="2" t="s">
        <v>59</v>
      </c>
      <c r="C3" s="2" t="s">
        <v>119</v>
      </c>
      <c r="D3" s="2" t="s">
        <v>104</v>
      </c>
      <c r="E3" s="2" t="s">
        <v>144</v>
      </c>
      <c r="F3" s="2" t="s">
        <v>227</v>
      </c>
    </row>
    <row r="4" customFormat="false" ht="15" hidden="false" customHeight="false" outlineLevel="0" collapsed="false">
      <c r="A4" s="0" t="n">
        <v>1</v>
      </c>
      <c r="B4" s="13" t="n">
        <v>46559</v>
      </c>
      <c r="C4" s="4" t="s">
        <v>228</v>
      </c>
      <c r="D4" s="4" t="s">
        <v>228</v>
      </c>
      <c r="E4" s="4" t="s">
        <v>229</v>
      </c>
      <c r="F4" s="4" t="s">
        <v>230</v>
      </c>
    </row>
    <row r="5" customFormat="false" ht="15" hidden="false" customHeight="false" outlineLevel="0" collapsed="false">
      <c r="A5" s="0" t="n">
        <v>2</v>
      </c>
      <c r="B5" s="13" t="n">
        <v>46560</v>
      </c>
      <c r="C5" s="4" t="s">
        <v>231</v>
      </c>
      <c r="D5" s="4" t="s">
        <v>232</v>
      </c>
      <c r="E5" s="4" t="s">
        <v>233</v>
      </c>
      <c r="F5" s="4" t="s">
        <v>234</v>
      </c>
    </row>
    <row r="6" customFormat="false" ht="15" hidden="false" customHeight="false" outlineLevel="0" collapsed="false">
      <c r="A6" s="0" t="n">
        <v>3</v>
      </c>
      <c r="B6" s="13" t="n">
        <v>46561</v>
      </c>
      <c r="C6" s="4" t="s">
        <v>235</v>
      </c>
      <c r="D6" s="4" t="s">
        <v>236</v>
      </c>
      <c r="E6" s="4" t="s">
        <v>235</v>
      </c>
      <c r="F6" s="4" t="s">
        <v>237</v>
      </c>
    </row>
    <row r="7" customFormat="false" ht="15" hidden="false" customHeight="false" outlineLevel="0" collapsed="false">
      <c r="A7" s="0" t="n">
        <v>4</v>
      </c>
      <c r="B7" s="13" t="n">
        <v>46562</v>
      </c>
      <c r="C7" s="4" t="s">
        <v>235</v>
      </c>
      <c r="D7" s="4" t="s">
        <v>238</v>
      </c>
      <c r="E7" s="4" t="s">
        <v>239</v>
      </c>
      <c r="F7" s="4" t="s">
        <v>240</v>
      </c>
    </row>
    <row r="8" customFormat="false" ht="15" hidden="false" customHeight="false" outlineLevel="0" collapsed="false">
      <c r="A8" s="0" t="n">
        <v>5</v>
      </c>
      <c r="B8" s="13" t="n">
        <v>46563</v>
      </c>
      <c r="C8" s="4" t="s">
        <v>241</v>
      </c>
      <c r="D8" s="4" t="s">
        <v>242</v>
      </c>
      <c r="E8" s="4" t="s">
        <v>241</v>
      </c>
      <c r="F8" s="4" t="s">
        <v>243</v>
      </c>
    </row>
    <row r="9" customFormat="false" ht="15" hidden="false" customHeight="false" outlineLevel="0" collapsed="false">
      <c r="A9" s="0" t="n">
        <v>6</v>
      </c>
      <c r="B9" s="13" t="n">
        <v>46564</v>
      </c>
      <c r="C9" s="4" t="s">
        <v>241</v>
      </c>
      <c r="D9" s="4" t="s">
        <v>232</v>
      </c>
      <c r="E9" s="4" t="s">
        <v>231</v>
      </c>
      <c r="F9" s="4" t="s">
        <v>244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3" min="3" style="0" width="12"/>
    <col collapsed="false" customWidth="true" hidden="false" outlineLevel="0" max="4" min="4" style="0" width="10"/>
    <col collapsed="false" customWidth="true" hidden="false" outlineLevel="0" max="5" min="5" style="0" width="12"/>
    <col collapsed="false" customWidth="true" hidden="false" outlineLevel="0" max="6" min="6" style="0" width="14"/>
    <col collapsed="false" customWidth="true" hidden="false" outlineLevel="0" max="7" min="7" style="0" width="12"/>
    <col collapsed="false" customWidth="true" hidden="false" outlineLevel="0" max="8" min="8" style="0" width="70"/>
  </cols>
  <sheetData>
    <row r="1" customFormat="false" ht="16.15" hidden="false" customHeight="false" outlineLevel="0" collapsed="false">
      <c r="A1" s="1" t="s">
        <v>245</v>
      </c>
    </row>
    <row r="3" customFormat="false" ht="15" hidden="false" customHeight="false" outlineLevel="0" collapsed="false">
      <c r="A3" s="2" t="s">
        <v>246</v>
      </c>
      <c r="B3" s="2" t="s">
        <v>247</v>
      </c>
      <c r="C3" s="2" t="s">
        <v>248</v>
      </c>
      <c r="D3" s="2" t="s">
        <v>249</v>
      </c>
      <c r="E3" s="2" t="s">
        <v>250</v>
      </c>
      <c r="F3" s="2" t="s">
        <v>251</v>
      </c>
      <c r="G3" s="2" t="s">
        <v>252</v>
      </c>
      <c r="H3" s="2" t="s">
        <v>253</v>
      </c>
    </row>
    <row r="4" customFormat="false" ht="15" hidden="false" customHeight="false" outlineLevel="0" collapsed="false">
      <c r="A4" s="0" t="s">
        <v>254</v>
      </c>
      <c r="B4" s="0" t="s">
        <v>255</v>
      </c>
      <c r="C4" s="14" t="n">
        <v>130000</v>
      </c>
      <c r="D4" s="4" t="n">
        <f aca="false">ROUND(C4/Inputs!$E$4,0)</f>
        <v>682</v>
      </c>
      <c r="E4" s="4" t="n">
        <f aca="false">Inputs!$E$6</f>
        <v>35</v>
      </c>
      <c r="F4" s="15" t="n">
        <f aca="false">C4*E4</f>
        <v>4550000</v>
      </c>
      <c r="G4" s="15" t="n">
        <f aca="false">ROUND(F4/Inputs!$E$4,0)</f>
        <v>23866</v>
      </c>
      <c r="H4" s="4" t="s">
        <v>256</v>
      </c>
    </row>
    <row r="5" customFormat="false" ht="15" hidden="false" customHeight="false" outlineLevel="0" collapsed="false">
      <c r="A5" s="0" t="s">
        <v>257</v>
      </c>
      <c r="B5" s="0" t="s">
        <v>255</v>
      </c>
      <c r="C5" s="14" t="n">
        <v>75000</v>
      </c>
      <c r="D5" s="4" t="n">
        <f aca="false">ROUND(C5/Inputs!$E$4,0)</f>
        <v>393</v>
      </c>
      <c r="E5" s="4" t="n">
        <f aca="false">Inputs!$E$6</f>
        <v>35</v>
      </c>
      <c r="F5" s="15" t="n">
        <f aca="false">C5*E5</f>
        <v>2625000</v>
      </c>
      <c r="G5" s="15" t="n">
        <f aca="false">ROUND(F5/Inputs!$E$4,0)</f>
        <v>13769</v>
      </c>
      <c r="H5" s="4" t="s">
        <v>258</v>
      </c>
    </row>
    <row r="6" customFormat="false" ht="15" hidden="false" customHeight="false" outlineLevel="0" collapsed="false">
      <c r="A6" s="0" t="s">
        <v>259</v>
      </c>
      <c r="B6" s="0" t="s">
        <v>255</v>
      </c>
      <c r="C6" s="14" t="n">
        <v>100000</v>
      </c>
      <c r="D6" s="4" t="n">
        <f aca="false">ROUND(C6/Inputs!$E$4,0)</f>
        <v>525</v>
      </c>
      <c r="E6" s="4" t="n">
        <f aca="false">Inputs!$E$6</f>
        <v>35</v>
      </c>
      <c r="F6" s="15" t="n">
        <f aca="false">C6*E6</f>
        <v>3500000</v>
      </c>
      <c r="G6" s="15" t="n">
        <f aca="false">ROUND(F6/Inputs!$E$4,0)</f>
        <v>18359</v>
      </c>
      <c r="H6" s="4" t="s">
        <v>260</v>
      </c>
    </row>
    <row r="7" customFormat="false" ht="15" hidden="false" customHeight="false" outlineLevel="0" collapsed="false">
      <c r="A7" s="0" t="s">
        <v>261</v>
      </c>
      <c r="B7" s="0" t="s">
        <v>255</v>
      </c>
      <c r="C7" s="14" t="n">
        <v>60000</v>
      </c>
      <c r="D7" s="4" t="n">
        <f aca="false">ROUND(C7/Inputs!$E$4,0)</f>
        <v>315</v>
      </c>
      <c r="E7" s="4" t="n">
        <f aca="false">Inputs!$E$6</f>
        <v>35</v>
      </c>
      <c r="F7" s="15" t="n">
        <f aca="false">C7*E7</f>
        <v>2100000</v>
      </c>
      <c r="G7" s="15" t="n">
        <f aca="false">ROUND(F7/Inputs!$E$4,0)</f>
        <v>11015</v>
      </c>
      <c r="H7" s="4" t="s">
        <v>262</v>
      </c>
    </row>
    <row r="8" customFormat="false" ht="15" hidden="false" customHeight="false" outlineLevel="0" collapsed="false">
      <c r="A8" s="0" t="s">
        <v>263</v>
      </c>
      <c r="B8" s="0" t="s">
        <v>255</v>
      </c>
      <c r="C8" s="14" t="n">
        <v>75000</v>
      </c>
      <c r="D8" s="4" t="n">
        <f aca="false">ROUND(C8/Inputs!$E$4,0)</f>
        <v>393</v>
      </c>
      <c r="E8" s="4" t="n">
        <f aca="false">Inputs!$E$6</f>
        <v>35</v>
      </c>
      <c r="F8" s="15" t="n">
        <f aca="false">C8*E8</f>
        <v>2625000</v>
      </c>
      <c r="G8" s="15" t="n">
        <f aca="false">ROUND(F8/Inputs!$E$4,0)</f>
        <v>13769</v>
      </c>
      <c r="H8" s="4" t="s">
        <v>264</v>
      </c>
    </row>
    <row r="9" customFormat="false" ht="15" hidden="false" customHeight="false" outlineLevel="0" collapsed="false">
      <c r="A9" s="0" t="s">
        <v>265</v>
      </c>
      <c r="B9" s="0" t="s">
        <v>255</v>
      </c>
      <c r="C9" s="14" t="n">
        <v>150000</v>
      </c>
      <c r="D9" s="4" t="n">
        <f aca="false">ROUND(C9/Inputs!$E$4,0)</f>
        <v>787</v>
      </c>
      <c r="E9" s="4" t="n">
        <f aca="false">Inputs!$E$6</f>
        <v>35</v>
      </c>
      <c r="F9" s="15" t="n">
        <f aca="false">C9*E9</f>
        <v>5250000</v>
      </c>
      <c r="G9" s="15" t="n">
        <f aca="false">ROUND(F9/Inputs!$E$4,0)</f>
        <v>27538</v>
      </c>
      <c r="H9" s="4" t="s">
        <v>266</v>
      </c>
    </row>
    <row r="10" customFormat="false" ht="15" hidden="false" customHeight="false" outlineLevel="0" collapsed="false">
      <c r="A10" s="0" t="s">
        <v>267</v>
      </c>
      <c r="B10" s="0" t="s">
        <v>255</v>
      </c>
      <c r="C10" s="14" t="n">
        <v>60000</v>
      </c>
      <c r="D10" s="4" t="n">
        <f aca="false">ROUND(C10/Inputs!$E$4,0)</f>
        <v>315</v>
      </c>
      <c r="E10" s="4" t="n">
        <f aca="false">Inputs!$E$6</f>
        <v>35</v>
      </c>
      <c r="F10" s="15" t="n">
        <f aca="false">C10*E10</f>
        <v>2100000</v>
      </c>
      <c r="G10" s="15" t="n">
        <f aca="false">ROUND(F10/Inputs!$E$4,0)</f>
        <v>11015</v>
      </c>
      <c r="H10" s="4" t="s">
        <v>268</v>
      </c>
    </row>
    <row r="11" customFormat="false" ht="15" hidden="false" customHeight="false" outlineLevel="0" collapsed="false">
      <c r="A11" s="0" t="s">
        <v>269</v>
      </c>
      <c r="B11" s="0" t="s">
        <v>270</v>
      </c>
      <c r="C11" s="14" t="n">
        <v>150000</v>
      </c>
      <c r="D11" s="4" t="n">
        <f aca="false">ROUND(C11/Inputs!$E$4,0)</f>
        <v>787</v>
      </c>
      <c r="E11" s="4" t="n">
        <f aca="false">Inputs!$E$6</f>
        <v>35</v>
      </c>
      <c r="F11" s="15" t="n">
        <f aca="false">C11*E11</f>
        <v>5250000</v>
      </c>
      <c r="G11" s="15" t="n">
        <f aca="false">ROUND(F11/Inputs!$E$4,0)</f>
        <v>27538</v>
      </c>
      <c r="H11" s="4" t="s">
        <v>271</v>
      </c>
    </row>
    <row r="12" customFormat="false" ht="15" hidden="false" customHeight="false" outlineLevel="0" collapsed="false">
      <c r="A12" s="0" t="s">
        <v>272</v>
      </c>
      <c r="B12" s="0" t="s">
        <v>270</v>
      </c>
      <c r="C12" s="14" t="n">
        <v>50000</v>
      </c>
      <c r="D12" s="4" t="n">
        <f aca="false">ROUND(C12/Inputs!$E$4,0)</f>
        <v>262</v>
      </c>
      <c r="E12" s="4" t="n">
        <f aca="false">Inputs!$E$6</f>
        <v>35</v>
      </c>
      <c r="F12" s="15" t="n">
        <f aca="false">C12*E12</f>
        <v>1750000</v>
      </c>
      <c r="G12" s="15" t="n">
        <f aca="false">ROUND(F12/Inputs!$E$4,0)</f>
        <v>9179</v>
      </c>
      <c r="H12" s="4" t="s">
        <v>273</v>
      </c>
    </row>
    <row r="13" customFormat="false" ht="15" hidden="false" customHeight="false" outlineLevel="0" collapsed="false">
      <c r="A13" s="0" t="s">
        <v>274</v>
      </c>
      <c r="B13" s="0" t="s">
        <v>270</v>
      </c>
      <c r="C13" s="14" t="n">
        <v>50000</v>
      </c>
      <c r="D13" s="4" t="n">
        <f aca="false">ROUND(C13/Inputs!$E$4,0)</f>
        <v>262</v>
      </c>
      <c r="E13" s="4" t="n">
        <f aca="false">Inputs!$E$6</f>
        <v>35</v>
      </c>
      <c r="F13" s="15" t="n">
        <f aca="false">C13*E13</f>
        <v>1750000</v>
      </c>
      <c r="G13" s="15" t="n">
        <f aca="false">ROUND(F13/Inputs!$E$4,0)</f>
        <v>9179</v>
      </c>
      <c r="H13" s="4" t="s">
        <v>275</v>
      </c>
    </row>
    <row r="14" customFormat="false" ht="15" hidden="false" customHeight="false" outlineLevel="0" collapsed="false">
      <c r="A14" s="0" t="s">
        <v>276</v>
      </c>
      <c r="B14" s="0" t="s">
        <v>270</v>
      </c>
      <c r="C14" s="14" t="n">
        <v>0</v>
      </c>
      <c r="D14" s="4" t="n">
        <f aca="false">ROUND(C14/Inputs!$E$4,0)</f>
        <v>0</v>
      </c>
      <c r="E14" s="4" t="n">
        <f aca="false">Inputs!$E$6</f>
        <v>35</v>
      </c>
      <c r="F14" s="15" t="n">
        <f aca="false">C14*E14</f>
        <v>0</v>
      </c>
      <c r="G14" s="15" t="n">
        <f aca="false">ROUND(F14/Inputs!$E$4,0)</f>
        <v>0</v>
      </c>
      <c r="H14" s="4" t="s">
        <v>277</v>
      </c>
    </row>
    <row r="15" customFormat="false" ht="15" hidden="false" customHeight="false" outlineLevel="0" collapsed="false">
      <c r="A15" s="0" t="s">
        <v>278</v>
      </c>
      <c r="B15" s="0" t="s">
        <v>255</v>
      </c>
      <c r="C15" s="14" t="n">
        <v>0</v>
      </c>
      <c r="D15" s="4" t="n">
        <f aca="false">ROUND(C15/Inputs!$E$4,0)</f>
        <v>0</v>
      </c>
      <c r="E15" s="4" t="n">
        <f aca="false">Inputs!$E$6</f>
        <v>35</v>
      </c>
      <c r="F15" s="15" t="n">
        <f aca="false">C15*E15</f>
        <v>0</v>
      </c>
      <c r="G15" s="15" t="n">
        <f aca="false">ROUND(F15/Inputs!$E$4,0)</f>
        <v>0</v>
      </c>
      <c r="H15" s="4" t="s">
        <v>279</v>
      </c>
    </row>
    <row r="17" customFormat="false" ht="15" hidden="false" customHeight="false" outlineLevel="0" collapsed="false">
      <c r="A17" s="0" t="s">
        <v>280</v>
      </c>
      <c r="C17" s="15" t="n">
        <f aca="false">SUMIFS(C4:C15,B4:B15,"Planned")</f>
        <v>650000</v>
      </c>
      <c r="D17" s="15" t="n">
        <f aca="false">ROUND(C17/Inputs!$E$4,0)</f>
        <v>3409</v>
      </c>
      <c r="F17" s="15" t="n">
        <f aca="false">SUMIFS(F4:F15,B4:B15,"Planned")</f>
        <v>22750000</v>
      </c>
      <c r="G17" s="15" t="n">
        <f aca="false">ROUND(F17/Inputs!$E$4,0)</f>
        <v>119332</v>
      </c>
    </row>
    <row r="18" customFormat="false" ht="15" hidden="false" customHeight="false" outlineLevel="0" collapsed="false">
      <c r="A18" s="0" t="s">
        <v>281</v>
      </c>
      <c r="C18" s="15" t="n">
        <f aca="false">SUMIFS(C4:C15,B4:B15,"Optional")</f>
        <v>250000</v>
      </c>
      <c r="D18" s="15" t="n">
        <f aca="false">ROUND(C18/Inputs!$E$4,0)</f>
        <v>1311</v>
      </c>
    </row>
    <row r="20" customFormat="false" ht="15" hidden="false" customHeight="false" outlineLevel="0" collapsed="false">
      <c r="A20" s="0" t="s">
        <v>282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8"/>
    <col collapsed="false" customWidth="true" hidden="false" outlineLevel="0" max="3" min="2" style="0" width="18"/>
    <col collapsed="false" customWidth="true" hidden="false" outlineLevel="0" max="4" min="4" style="0" width="16"/>
    <col collapsed="false" customWidth="true" hidden="false" outlineLevel="0" max="5" min="5" style="0" width="11"/>
    <col collapsed="false" customWidth="true" hidden="false" outlineLevel="0" max="6" min="6" style="0" width="52"/>
  </cols>
  <sheetData>
    <row r="1" customFormat="false" ht="16.15" hidden="false" customHeight="false" outlineLevel="0" collapsed="false">
      <c r="A1" s="1" t="s">
        <v>283</v>
      </c>
    </row>
    <row r="3" customFormat="false" ht="15" hidden="false" customHeight="false" outlineLevel="0" collapsed="false">
      <c r="A3" s="2" t="s">
        <v>284</v>
      </c>
      <c r="B3" s="2" t="s">
        <v>285</v>
      </c>
      <c r="C3" s="2" t="s">
        <v>286</v>
      </c>
      <c r="D3" s="2" t="s">
        <v>287</v>
      </c>
      <c r="E3" s="2" t="s">
        <v>288</v>
      </c>
      <c r="F3" s="2" t="s">
        <v>247</v>
      </c>
    </row>
    <row r="4" customFormat="false" ht="15" hidden="false" customHeight="false" outlineLevel="0" collapsed="false">
      <c r="A4" s="0" t="s">
        <v>289</v>
      </c>
      <c r="B4" s="15" t="n">
        <f aca="false">Inputs!$E$17</f>
        <v>48000</v>
      </c>
      <c r="C4" s="15" t="n">
        <f aca="false">Inputs!$E$17</f>
        <v>48000</v>
      </c>
      <c r="D4" s="15" t="n">
        <f aca="false">C4-B4</f>
        <v>0</v>
      </c>
      <c r="E4" s="6" t="n">
        <f aca="false">IF(B4=0,0,D4/B4)</f>
        <v>0</v>
      </c>
      <c r="F4" s="4" t="s">
        <v>290</v>
      </c>
    </row>
    <row r="5" customFormat="false" ht="15" hidden="false" customHeight="false" outlineLevel="0" collapsed="false">
      <c r="A5" s="0" t="s">
        <v>291</v>
      </c>
      <c r="B5" s="15" t="n">
        <f aca="false">Inputs!$E$18</f>
        <v>35000</v>
      </c>
      <c r="C5" s="15" t="n">
        <f aca="false">Inputs!$E$18</f>
        <v>35000</v>
      </c>
      <c r="D5" s="15" t="n">
        <f aca="false">C5-B5</f>
        <v>0</v>
      </c>
      <c r="E5" s="6" t="n">
        <f aca="false">IF(B5=0,0,D5/B5)</f>
        <v>0</v>
      </c>
      <c r="F5" s="4" t="s">
        <v>292</v>
      </c>
    </row>
    <row r="6" customFormat="false" ht="15" hidden="false" customHeight="false" outlineLevel="0" collapsed="false">
      <c r="A6" s="0" t="s">
        <v>293</v>
      </c>
      <c r="B6" s="15" t="n">
        <f aca="false">IF(Inputs!$E$6&gt;Inputs!$E$14,(ROUNDUP(Inputs!$E$6/Inputs!$E$14,0)-1)*Inputs!$E$16*Inputs!$E$15/Inputs!$E$5/Inputs!$E$6,0)</f>
        <v>0</v>
      </c>
      <c r="C6" s="15" t="n">
        <f aca="false">IF(Inputs!$E$6&gt;Inputs!$E$14,(ROUNDUP(Inputs!$E$6/Inputs!$E$14,0)-1)*Inputs!$E$16*Inputs!$E$15/Inputs!$E$4/Inputs!$E$6,0)</f>
        <v>0</v>
      </c>
      <c r="D6" s="15" t="n">
        <f aca="false">C6-B6</f>
        <v>0</v>
      </c>
      <c r="E6" s="6" t="n">
        <f aca="false">IF(B6=0,0,D6/B6)</f>
        <v>0</v>
      </c>
      <c r="F6" s="4" t="s">
        <v>294</v>
      </c>
    </row>
    <row r="7" customFormat="false" ht="15" hidden="false" customHeight="false" outlineLevel="0" collapsed="false">
      <c r="A7" s="0" t="s">
        <v>295</v>
      </c>
      <c r="B7" s="15" t="n">
        <f aca="false">Inputs!$E$20/Inputs!$E$5</f>
        <v>2702.7027027027</v>
      </c>
      <c r="C7" s="15" t="n">
        <f aca="false">Inputs!$E$19/Inputs!$E$4</f>
        <v>3934.02173468328</v>
      </c>
      <c r="D7" s="15" t="n">
        <f aca="false">C7-B7</f>
        <v>1231.31903198058</v>
      </c>
      <c r="E7" s="6" t="n">
        <f aca="false">IF(B7=0,0,D7/B7)</f>
        <v>0.455588041832814</v>
      </c>
      <c r="F7" s="4" t="s">
        <v>296</v>
      </c>
    </row>
    <row r="8" customFormat="false" ht="15" hidden="false" customHeight="false" outlineLevel="0" collapsed="false">
      <c r="A8" s="0" t="s">
        <v>297</v>
      </c>
      <c r="B8" s="15" t="n">
        <f aca="false">Inputs!$E$21/Inputs!$E$5</f>
        <v>810.810810810811</v>
      </c>
      <c r="C8" s="15" t="n">
        <f aca="false">Inputs!$E$21/Inputs!$E$4</f>
        <v>786.804346936656</v>
      </c>
      <c r="D8" s="15" t="n">
        <f aca="false">C8-B8</f>
        <v>-24.0064638741549</v>
      </c>
      <c r="E8" s="6" t="n">
        <f aca="false">IF(B8=0,0,D8/B8)</f>
        <v>-0.0296079721114577</v>
      </c>
      <c r="F8" s="4" t="s">
        <v>298</v>
      </c>
    </row>
    <row r="9" customFormat="false" ht="15" hidden="false" customHeight="false" outlineLevel="0" collapsed="false">
      <c r="A9" s="0" t="s">
        <v>299</v>
      </c>
      <c r="B9" s="15" t="n">
        <f aca="false">Inputs!$E$22</f>
        <v>0</v>
      </c>
      <c r="C9" s="15" t="n">
        <f aca="false">Inputs!$E$22</f>
        <v>0</v>
      </c>
      <c r="D9" s="15" t="n">
        <f aca="false">C9-B9</f>
        <v>0</v>
      </c>
      <c r="E9" s="6" t="n">
        <f aca="false">IF(B9=0,0,D9/B9)</f>
        <v>0</v>
      </c>
      <c r="F9" s="4" t="s">
        <v>300</v>
      </c>
    </row>
    <row r="10" customFormat="false" ht="15" hidden="false" customHeight="false" outlineLevel="0" collapsed="false">
      <c r="A10" s="0" t="s">
        <v>301</v>
      </c>
      <c r="B10" s="15" t="n">
        <f aca="false">Inputs!$E$23</f>
        <v>0</v>
      </c>
      <c r="C10" s="15" t="n">
        <f aca="false">Inputs!$E$23</f>
        <v>0</v>
      </c>
      <c r="D10" s="15" t="n">
        <f aca="false">C10-B10</f>
        <v>0</v>
      </c>
      <c r="E10" s="6" t="n">
        <f aca="false">IF(B10=0,0,D10/B10)</f>
        <v>0</v>
      </c>
      <c r="F10" s="4" t="s">
        <v>300</v>
      </c>
    </row>
    <row r="11" customFormat="false" ht="15" hidden="false" customHeight="false" outlineLevel="0" collapsed="false">
      <c r="A11" s="0" t="s">
        <v>302</v>
      </c>
      <c r="B11" s="15" t="n">
        <f aca="false">Inputs!$E$24</f>
        <v>0</v>
      </c>
      <c r="C11" s="15" t="n">
        <f aca="false">Inputs!$E$24</f>
        <v>0</v>
      </c>
      <c r="D11" s="15" t="n">
        <f aca="false">C11-B11</f>
        <v>0</v>
      </c>
      <c r="E11" s="6" t="n">
        <f aca="false">IF(B11=0,0,D11/B11)</f>
        <v>0</v>
      </c>
      <c r="F11" s="4" t="s">
        <v>300</v>
      </c>
    </row>
    <row r="12" customFormat="false" ht="15" hidden="false" customHeight="false" outlineLevel="0" collapsed="false">
      <c r="A12" s="0" t="s">
        <v>303</v>
      </c>
      <c r="B12" s="15" t="n">
        <f aca="false">Inputs!$E$25</f>
        <v>0</v>
      </c>
      <c r="C12" s="15" t="n">
        <f aca="false">Inputs!$E$25</f>
        <v>0</v>
      </c>
      <c r="D12" s="15" t="n">
        <f aca="false">C12-B12</f>
        <v>0</v>
      </c>
      <c r="E12" s="6" t="n">
        <f aca="false">IF(B12=0,0,D12/B12)</f>
        <v>0</v>
      </c>
      <c r="F12" s="4" t="s">
        <v>300</v>
      </c>
    </row>
    <row r="13" customFormat="false" ht="15" hidden="false" customHeight="false" outlineLevel="0" collapsed="false">
      <c r="A13" s="0" t="s">
        <v>304</v>
      </c>
      <c r="B13" s="15" t="n">
        <f aca="false">(Inputs!$E$7+Inputs!$E$8)*(Inputs!$E$17+Inputs!$E$18+Inputs!$E$20/Inputs!$E$5+Inputs!$E$21/Inputs!$E$5)/Inputs!$E$6</f>
        <v>7415.44401544402</v>
      </c>
      <c r="C13" s="15" t="n">
        <f aca="false">(Inputs!$E$7+Inputs!$E$8)*(Inputs!$E$17+Inputs!$E$18+Inputs!$E$19/Inputs!$E$4+Inputs!$E$21/Inputs!$E$4)/Inputs!$E$6</f>
        <v>7518.92794985314</v>
      </c>
      <c r="D13" s="15" t="n">
        <f aca="false">C13-B13</f>
        <v>103.483934409121</v>
      </c>
      <c r="E13" s="6" t="n">
        <f aca="false">IF(B13=0,0,D13/B13)</f>
        <v>0.0139551905716767</v>
      </c>
      <c r="F13" s="4" t="s">
        <v>305</v>
      </c>
    </row>
    <row r="14" customFormat="false" ht="15" hidden="false" customHeight="false" outlineLevel="0" collapsed="false">
      <c r="A14" s="16" t="s">
        <v>306</v>
      </c>
      <c r="B14" s="17" t="n">
        <f aca="false">SUM(B4:B13)</f>
        <v>93928.9575289575</v>
      </c>
      <c r="C14" s="17" t="n">
        <f aca="false">SUM(C4:C13)</f>
        <v>95239.7540314731</v>
      </c>
      <c r="D14" s="17" t="n">
        <f aca="false">C14-B14</f>
        <v>1310.79650251553</v>
      </c>
      <c r="E14" s="18" t="n">
        <f aca="false">IF(B14=0,0,D14/B14)</f>
        <v>0.0139551905716767</v>
      </c>
    </row>
    <row r="15" customFormat="false" ht="15" hidden="false" customHeight="false" outlineLevel="0" collapsed="false">
      <c r="A15" s="0" t="s">
        <v>307</v>
      </c>
      <c r="B15" s="15" t="n">
        <f aca="false">B14*Inputs!$E$12</f>
        <v>2817.86872586873</v>
      </c>
      <c r="C15" s="15" t="n">
        <f aca="false">C14*Inputs!$E$12</f>
        <v>2857.19262094419</v>
      </c>
      <c r="D15" s="15" t="n">
        <f aca="false">C15-B15</f>
        <v>39.3238950754658</v>
      </c>
      <c r="E15" s="6" t="n">
        <f aca="false">IF(B15=0,0,D15/B15)</f>
        <v>0.0139551905716767</v>
      </c>
    </row>
    <row r="16" customFormat="false" ht="15" hidden="false" customHeight="false" outlineLevel="0" collapsed="false">
      <c r="A16" s="16" t="s">
        <v>308</v>
      </c>
      <c r="B16" s="17" t="n">
        <f aca="false">B14+B15</f>
        <v>96746.8262548263</v>
      </c>
      <c r="C16" s="17" t="n">
        <f aca="false">C14+C15</f>
        <v>98096.9466524173</v>
      </c>
      <c r="D16" s="17" t="n">
        <f aca="false">C16-B16</f>
        <v>1350.12039759099</v>
      </c>
      <c r="E16" s="18" t="n">
        <f aca="false">IF(B16=0,0,D16/B16)</f>
        <v>0.0139551905716766</v>
      </c>
    </row>
    <row r="17" customFormat="false" ht="15" hidden="false" customHeight="false" outlineLevel="0" collapsed="false">
      <c r="A17" s="16" t="s">
        <v>309</v>
      </c>
      <c r="B17" s="17" t="n">
        <f aca="false">B16/(1-Inputs!$E$9-Inputs!$E$13)</f>
        <v>109318.447745566</v>
      </c>
      <c r="C17" s="17" t="n">
        <f aca="false">C16/(1-Inputs!$E$9-Inputs!$E$13)</f>
        <v>110844.007516856</v>
      </c>
      <c r="D17" s="17" t="n">
        <f aca="false">C17-B17</f>
        <v>1525.55977128926</v>
      </c>
      <c r="E17" s="18" t="n">
        <f aca="false">IF(B17=0,0,D17/B17)</f>
        <v>0.0139551905716767</v>
      </c>
    </row>
    <row r="18" customFormat="false" ht="15" hidden="false" customHeight="false" outlineLevel="0" collapsed="false">
      <c r="A18" s="0" t="s">
        <v>310</v>
      </c>
      <c r="B18" s="15" t="n">
        <f aca="false">B17*Inputs!$E$10</f>
        <v>5465.92238727832</v>
      </c>
      <c r="C18" s="15" t="n">
        <f aca="false">C17*Inputs!$E$10</f>
        <v>5542.20037584278</v>
      </c>
      <c r="D18" s="15" t="n">
        <f aca="false">C18-B18</f>
        <v>76.2779885644632</v>
      </c>
      <c r="E18" s="6" t="n">
        <f aca="false">IF(B18=0,0,D18/B18)</f>
        <v>0.0139551905716767</v>
      </c>
    </row>
    <row r="19" customFormat="false" ht="15" hidden="false" customHeight="false" outlineLevel="0" collapsed="false">
      <c r="A19" s="0" t="s">
        <v>311</v>
      </c>
      <c r="B19" s="15" t="n">
        <f aca="false">B17*(1+Inputs!$E$10)</f>
        <v>114784.370132845</v>
      </c>
      <c r="C19" s="15" t="n">
        <f aca="false">C17*(1+Inputs!$E$10)</f>
        <v>116386.207892698</v>
      </c>
      <c r="D19" s="15" t="n">
        <f aca="false">C19-B19</f>
        <v>1601.83775985373</v>
      </c>
      <c r="E19" s="6" t="n">
        <f aca="false">IF(B19=0,0,D19/B19)</f>
        <v>0.0139551905716768</v>
      </c>
    </row>
    <row r="20" customFormat="false" ht="15" hidden="false" customHeight="false" outlineLevel="0" collapsed="false">
      <c r="A20" s="0" t="s">
        <v>312</v>
      </c>
      <c r="B20" s="15" t="n">
        <f aca="false">B19*Inputs!$E$11</f>
        <v>2295.68740265689</v>
      </c>
      <c r="C20" s="15" t="n">
        <f aca="false">C19*Inputs!$E$11</f>
        <v>2327.72415785397</v>
      </c>
      <c r="D20" s="15" t="n">
        <f aca="false">C20-B20</f>
        <v>32.0367551970749</v>
      </c>
      <c r="E20" s="6" t="n">
        <f aca="false">IF(B20=0,0,D20/B20)</f>
        <v>0.0139551905716769</v>
      </c>
    </row>
    <row r="21" customFormat="false" ht="15" hidden="false" customHeight="false" outlineLevel="0" collapsed="false">
      <c r="A21" s="16" t="s">
        <v>313</v>
      </c>
      <c r="B21" s="17" t="n">
        <f aca="false">B19*(1+Inputs!$E$11)</f>
        <v>117080.057535502</v>
      </c>
      <c r="C21" s="17" t="n">
        <f aca="false">C19*(1+Inputs!$E$11)</f>
        <v>118713.932050552</v>
      </c>
      <c r="D21" s="17" t="n">
        <f aca="false">C21-B21</f>
        <v>1633.8745150508</v>
      </c>
      <c r="E21" s="18" t="n">
        <f aca="false">IF(B21=0,0,D21/B21)</f>
        <v>0.0139551905716768</v>
      </c>
    </row>
    <row r="23" customFormat="false" ht="15" hidden="false" customHeight="false" outlineLevel="0" collapsed="false">
      <c r="A23" s="0" t="s">
        <v>314</v>
      </c>
      <c r="C23" s="6" t="str">
        <f aca="false">IF(Inputs!$E$26="","enter a price in Inputs",(Inputs!$E$26*(1-Inputs!$E$13)-C16)/Inputs!$E$26)</f>
        <v>enter a price in Inputs</v>
      </c>
    </row>
    <row r="24" customFormat="false" ht="15" hidden="false" customHeight="false" outlineLevel="0" collapsed="false">
      <c r="A24" s="0" t="s">
        <v>315</v>
      </c>
      <c r="C24" s="15" t="str">
        <f aca="false">IF(Inputs!$E$26="","",C17-Inputs!$E$26)</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10"/>
    <col collapsed="false" customWidth="true" hidden="false" outlineLevel="0" max="5" min="4" style="0" width="12"/>
    <col collapsed="false" customWidth="true" hidden="false" outlineLevel="0" max="7" min="6" style="0" width="10"/>
    <col collapsed="false" customWidth="true" hidden="false" outlineLevel="0" max="9" min="8" style="0" width="16"/>
    <col collapsed="false" customWidth="true" hidden="false" outlineLevel="0" max="10" min="10" style="0" width="12"/>
    <col collapsed="false" customWidth="true" hidden="false" outlineLevel="0" max="11" min="11" style="0" width="13"/>
    <col collapsed="false" customWidth="true" hidden="false" outlineLevel="0" max="12" min="12" style="0" width="16"/>
    <col collapsed="false" customWidth="true" hidden="false" outlineLevel="0" max="13" min="13" style="0" width="12"/>
    <col collapsed="false" customWidth="true" hidden="false" outlineLevel="0" max="14" min="14" style="0" width="14"/>
    <col collapsed="false" customWidth="true" hidden="false" outlineLevel="0" max="18" min="15" style="0" width="12"/>
  </cols>
  <sheetData>
    <row r="1" customFormat="false" ht="16.15" hidden="false" customHeight="false" outlineLevel="0" collapsed="false">
      <c r="A1" s="1" t="s">
        <v>316</v>
      </c>
    </row>
    <row r="3" customFormat="false" ht="55.2" hidden="false" customHeight="false" outlineLevel="0" collapsed="false">
      <c r="A3" s="2" t="s">
        <v>317</v>
      </c>
      <c r="B3" s="2" t="s">
        <v>318</v>
      </c>
      <c r="C3" s="2" t="s">
        <v>319</v>
      </c>
      <c r="D3" s="2" t="s">
        <v>320</v>
      </c>
      <c r="E3" s="2" t="s">
        <v>321</v>
      </c>
      <c r="F3" s="2" t="s">
        <v>322</v>
      </c>
      <c r="G3" s="2" t="s">
        <v>323</v>
      </c>
      <c r="H3" s="2" t="s">
        <v>324</v>
      </c>
      <c r="I3" s="2" t="s">
        <v>325</v>
      </c>
      <c r="J3" s="2" t="s">
        <v>307</v>
      </c>
      <c r="K3" s="2" t="s">
        <v>326</v>
      </c>
      <c r="L3" s="2" t="s">
        <v>327</v>
      </c>
      <c r="M3" s="2" t="s">
        <v>328</v>
      </c>
      <c r="N3" s="2" t="s">
        <v>329</v>
      </c>
      <c r="O3" s="2" t="s">
        <v>330</v>
      </c>
      <c r="P3" s="2" t="s">
        <v>331</v>
      </c>
      <c r="Q3" s="2" t="s">
        <v>332</v>
      </c>
      <c r="R3" s="2" t="s">
        <v>333</v>
      </c>
    </row>
    <row r="4" customFormat="false" ht="15" hidden="false" customHeight="false" outlineLevel="0" collapsed="false">
      <c r="A4" s="0" t="n">
        <v>30</v>
      </c>
      <c r="B4" s="0" t="n">
        <f aca="false">ROUNDUP(A4/Inputs!$E$14,0)-1</f>
        <v>0</v>
      </c>
      <c r="C4" s="15" t="n">
        <f aca="false">Inputs!$E$17</f>
        <v>48000</v>
      </c>
      <c r="D4" s="15" t="n">
        <f aca="false">Inputs!$E$18</f>
        <v>35000</v>
      </c>
      <c r="E4" s="15" t="n">
        <f aca="false">B4*Inputs!$E$16*Inputs!$E$15/Inputs!$E$4/A4</f>
        <v>0</v>
      </c>
      <c r="F4" s="15" t="n">
        <f aca="false">Inputs!$E$19/Inputs!$E$4</f>
        <v>3934.02173468328</v>
      </c>
      <c r="G4" s="15" t="n">
        <f aca="false">Inputs!$E$21/Inputs!$E$4</f>
        <v>786.804346936656</v>
      </c>
      <c r="H4" s="15" t="n">
        <f aca="false">Inputs!$E$22+Inputs!$E$23+Inputs!$E$24+Inputs!$E$25</f>
        <v>0</v>
      </c>
      <c r="I4" s="15" t="n">
        <f aca="false">(Inputs!$E$7+Inputs!$E$8)*(C4+D4+F4+G4)/A4</f>
        <v>8772.08260816199</v>
      </c>
      <c r="J4" s="15" t="n">
        <f aca="false">SUM(C4:I4)*Inputs!$E$12</f>
        <v>2894.78726069346</v>
      </c>
      <c r="K4" s="15" t="n">
        <f aca="false">SUM(C4:J4)</f>
        <v>99387.6959504754</v>
      </c>
      <c r="L4" s="15" t="n">
        <f aca="false">K4/(1-Inputs!$E$9-Inputs!$E$13)</f>
        <v>112302.481299972</v>
      </c>
      <c r="M4" s="15" t="n">
        <f aca="false">L4*(1+Inputs!$E$10)</f>
        <v>117917.605364971</v>
      </c>
      <c r="N4" s="15" t="n">
        <f aca="false">M4*(1+Inputs!$E$11)</f>
        <v>120275.95747227</v>
      </c>
      <c r="O4" s="15" t="n">
        <f aca="false">K4/(1-0.05-Inputs!$E$13)</f>
        <v>106297.001016551</v>
      </c>
      <c r="P4" s="15" t="n">
        <f aca="false">K4/(1-0.1-Inputs!$E$13)</f>
        <v>112302.481299972</v>
      </c>
      <c r="Q4" s="15" t="n">
        <f aca="false">K4/(1-0.15-Inputs!$E$13)</f>
        <v>119027.180779012</v>
      </c>
      <c r="R4" s="15" t="n">
        <f aca="false">K4/(1-0.2-Inputs!$E$13)</f>
        <v>126608.529873217</v>
      </c>
    </row>
    <row r="5" customFormat="false" ht="15" hidden="false" customHeight="false" outlineLevel="0" collapsed="false">
      <c r="A5" s="0" t="n">
        <v>35</v>
      </c>
      <c r="B5" s="0" t="n">
        <f aca="false">ROUNDUP(A5/Inputs!$E$14,0)-1</f>
        <v>0</v>
      </c>
      <c r="C5" s="15" t="n">
        <f aca="false">Inputs!$E$17</f>
        <v>48000</v>
      </c>
      <c r="D5" s="15" t="n">
        <f aca="false">Inputs!$E$18</f>
        <v>35000</v>
      </c>
      <c r="E5" s="15" t="n">
        <f aca="false">B5*Inputs!$E$16*Inputs!$E$15/Inputs!$E$4/A5</f>
        <v>0</v>
      </c>
      <c r="F5" s="15" t="n">
        <f aca="false">Inputs!$E$19/Inputs!$E$4</f>
        <v>3934.02173468328</v>
      </c>
      <c r="G5" s="15" t="n">
        <f aca="false">Inputs!$E$21/Inputs!$E$4</f>
        <v>786.804346936656</v>
      </c>
      <c r="H5" s="15" t="n">
        <f aca="false">Inputs!$E$22+Inputs!$E$23+Inputs!$E$24+Inputs!$E$25</f>
        <v>0</v>
      </c>
      <c r="I5" s="15" t="n">
        <f aca="false">(Inputs!$E$7+Inputs!$E$8)*(C5+D5+F5+G5)/A5</f>
        <v>7518.92794985314</v>
      </c>
      <c r="J5" s="15" t="n">
        <f aca="false">SUM(C5:I5)*Inputs!$E$12</f>
        <v>2857.19262094419</v>
      </c>
      <c r="K5" s="15" t="n">
        <f aca="false">SUM(C5:J5)</f>
        <v>98096.9466524173</v>
      </c>
      <c r="L5" s="15" t="n">
        <f aca="false">K5/(1-Inputs!$E$9-Inputs!$E$13)</f>
        <v>110844.007516856</v>
      </c>
      <c r="M5" s="15" t="n">
        <f aca="false">L5*(1+Inputs!$E$10)</f>
        <v>116386.207892698</v>
      </c>
      <c r="N5" s="15" t="n">
        <f aca="false">M5*(1+Inputs!$E$11)</f>
        <v>118713.932050552</v>
      </c>
      <c r="O5" s="15" t="n">
        <f aca="false">K5/(1-0.05-Inputs!$E$13)</f>
        <v>104916.520483869</v>
      </c>
      <c r="P5" s="15" t="n">
        <f aca="false">K5/(1-0.1-Inputs!$E$13)</f>
        <v>110844.007516856</v>
      </c>
      <c r="Q5" s="15" t="n">
        <f aca="false">K5/(1-0.15-Inputs!$E$13)</f>
        <v>117481.373236428</v>
      </c>
      <c r="R5" s="15" t="n">
        <f aca="false">K5/(1-0.2-Inputs!$E$13)</f>
        <v>124964.263251487</v>
      </c>
    </row>
    <row r="6" customFormat="false" ht="15" hidden="false" customHeight="false" outlineLevel="0" collapsed="false">
      <c r="A6" s="0" t="n">
        <v>40</v>
      </c>
      <c r="B6" s="0" t="n">
        <f aca="false">ROUNDUP(A6/Inputs!$E$14,0)-1</f>
        <v>1</v>
      </c>
      <c r="C6" s="15" t="n">
        <f aca="false">Inputs!$E$17</f>
        <v>48000</v>
      </c>
      <c r="D6" s="15" t="n">
        <f aca="false">Inputs!$E$18</f>
        <v>35000</v>
      </c>
      <c r="E6" s="15" t="n">
        <f aca="false">B6*Inputs!$E$16*Inputs!$E$15/Inputs!$E$4/A6</f>
        <v>996.618839453098</v>
      </c>
      <c r="F6" s="15" t="n">
        <f aca="false">Inputs!$E$19/Inputs!$E$4</f>
        <v>3934.02173468328</v>
      </c>
      <c r="G6" s="15" t="n">
        <f aca="false">Inputs!$E$21/Inputs!$E$4</f>
        <v>786.804346936656</v>
      </c>
      <c r="H6" s="15" t="n">
        <f aca="false">Inputs!$E$22+Inputs!$E$23+Inputs!$E$24+Inputs!$E$25</f>
        <v>0</v>
      </c>
      <c r="I6" s="15" t="n">
        <f aca="false">(Inputs!$E$7+Inputs!$E$8)*(C6+D6+F6+G6)/A6</f>
        <v>6579.06195612149</v>
      </c>
      <c r="J6" s="15" t="n">
        <f aca="false">SUM(C6:I6)*Inputs!$E$12</f>
        <v>2858.89520631584</v>
      </c>
      <c r="K6" s="15" t="n">
        <f aca="false">SUM(C6:J6)</f>
        <v>98155.4020835104</v>
      </c>
      <c r="L6" s="15" t="n">
        <f aca="false">K6/(1-Inputs!$E$9-Inputs!$E$13)</f>
        <v>110910.058851424</v>
      </c>
      <c r="M6" s="15" t="n">
        <f aca="false">L6*(1+Inputs!$E$10)</f>
        <v>116455.561793995</v>
      </c>
      <c r="N6" s="15" t="n">
        <f aca="false">M6*(1+Inputs!$E$11)</f>
        <v>118784.673029875</v>
      </c>
      <c r="O6" s="15" t="n">
        <f aca="false">K6/(1-0.05-Inputs!$E$13)</f>
        <v>104979.039661508</v>
      </c>
      <c r="P6" s="15" t="n">
        <f aca="false">K6/(1-0.1-Inputs!$E$13)</f>
        <v>110910.058851424</v>
      </c>
      <c r="Q6" s="15" t="n">
        <f aca="false">K6/(1-0.15-Inputs!$E$13)</f>
        <v>117551.379740731</v>
      </c>
      <c r="R6" s="15" t="n">
        <f aca="false">K6/(1-0.2-Inputs!$E$13)</f>
        <v>125038.728768803</v>
      </c>
    </row>
    <row r="7" customFormat="false" ht="15" hidden="false" customHeight="false" outlineLevel="0" collapsed="false">
      <c r="A7" s="0" t="n">
        <v>45</v>
      </c>
      <c r="B7" s="0" t="n">
        <f aca="false">ROUNDUP(A7/Inputs!$E$14,0)-1</f>
        <v>1</v>
      </c>
      <c r="C7" s="15" t="n">
        <f aca="false">Inputs!$E$17</f>
        <v>48000</v>
      </c>
      <c r="D7" s="15" t="n">
        <f aca="false">Inputs!$E$18</f>
        <v>35000</v>
      </c>
      <c r="E7" s="15" t="n">
        <f aca="false">B7*Inputs!$E$16*Inputs!$E$15/Inputs!$E$4/A7</f>
        <v>885.883412847198</v>
      </c>
      <c r="F7" s="15" t="n">
        <f aca="false">Inputs!$E$19/Inputs!$E$4</f>
        <v>3934.02173468328</v>
      </c>
      <c r="G7" s="15" t="n">
        <f aca="false">Inputs!$E$21/Inputs!$E$4</f>
        <v>786.804346936656</v>
      </c>
      <c r="H7" s="15" t="n">
        <f aca="false">Inputs!$E$22+Inputs!$E$23+Inputs!$E$24+Inputs!$E$25</f>
        <v>0</v>
      </c>
      <c r="I7" s="15" t="n">
        <f aca="false">(Inputs!$E$7+Inputs!$E$8)*(C7+D7+F7+G7)/A7</f>
        <v>5848.055072108</v>
      </c>
      <c r="J7" s="15" t="n">
        <f aca="false">SUM(C7:I7)*Inputs!$E$12</f>
        <v>2833.64293699725</v>
      </c>
      <c r="K7" s="15" t="n">
        <f aca="false">SUM(C7:J7)</f>
        <v>97288.4075035724</v>
      </c>
      <c r="L7" s="15" t="n">
        <f aca="false">K7/(1-Inputs!$E$9-Inputs!$E$13)</f>
        <v>109930.403958839</v>
      </c>
      <c r="M7" s="15" t="n">
        <f aca="false">L7*(1+Inputs!$E$10)</f>
        <v>115426.924156781</v>
      </c>
      <c r="N7" s="15" t="n">
        <f aca="false">M7*(1+Inputs!$E$11)</f>
        <v>117735.462639916</v>
      </c>
      <c r="O7" s="15" t="n">
        <f aca="false">K7/(1-0.05-Inputs!$E$13)</f>
        <v>104051.772731093</v>
      </c>
      <c r="P7" s="15" t="n">
        <f aca="false">K7/(1-0.1-Inputs!$E$13)</f>
        <v>109930.403958839</v>
      </c>
      <c r="Q7" s="15" t="n">
        <f aca="false">K7/(1-0.15-Inputs!$E$13)</f>
        <v>116513.06287853</v>
      </c>
      <c r="R7" s="15" t="n">
        <f aca="false">K7/(1-0.2-Inputs!$E$13)</f>
        <v>123934.277074615</v>
      </c>
    </row>
    <row r="8" customFormat="false" ht="15" hidden="false" customHeight="false" outlineLevel="0" collapsed="false">
      <c r="A8" s="0" t="n">
        <v>49</v>
      </c>
      <c r="B8" s="0" t="n">
        <f aca="false">ROUNDUP(A8/Inputs!$E$14,0)-1</f>
        <v>1</v>
      </c>
      <c r="C8" s="15" t="n">
        <f aca="false">Inputs!$E$17</f>
        <v>48000</v>
      </c>
      <c r="D8" s="15" t="n">
        <f aca="false">Inputs!$E$18</f>
        <v>35000</v>
      </c>
      <c r="E8" s="15" t="n">
        <f aca="false">B8*Inputs!$E$16*Inputs!$E$15/Inputs!$E$4/A8</f>
        <v>813.566399553549</v>
      </c>
      <c r="F8" s="15" t="n">
        <f aca="false">Inputs!$E$19/Inputs!$E$4</f>
        <v>3934.02173468328</v>
      </c>
      <c r="G8" s="15" t="n">
        <f aca="false">Inputs!$E$21/Inputs!$E$4</f>
        <v>786.804346936656</v>
      </c>
      <c r="H8" s="15" t="n">
        <f aca="false">Inputs!$E$22+Inputs!$E$23+Inputs!$E$24+Inputs!$E$25</f>
        <v>0</v>
      </c>
      <c r="I8" s="15" t="n">
        <f aca="false">(Inputs!$E$7+Inputs!$E$8)*(C8+D8+F8+G8)/A8</f>
        <v>5370.66282132367</v>
      </c>
      <c r="J8" s="15" t="n">
        <f aca="false">SUM(C8:I8)*Inputs!$E$12</f>
        <v>2817.15165907491</v>
      </c>
      <c r="K8" s="15" t="n">
        <f aca="false">SUM(C8:J8)</f>
        <v>96722.2069615721</v>
      </c>
      <c r="L8" s="15" t="n">
        <f aca="false">K8/(1-Inputs!$E$9-Inputs!$E$13)</f>
        <v>109290.62933511</v>
      </c>
      <c r="M8" s="15" t="n">
        <f aca="false">L8*(1+Inputs!$E$10)</f>
        <v>114755.160801865</v>
      </c>
      <c r="N8" s="15" t="n">
        <f aca="false">M8*(1+Inputs!$E$11)</f>
        <v>117050.264017902</v>
      </c>
      <c r="O8" s="15" t="n">
        <f aca="false">K8/(1-0.05-Inputs!$E$13)</f>
        <v>103446.210654088</v>
      </c>
      <c r="P8" s="15" t="n">
        <f aca="false">K8/(1-0.1-Inputs!$E$13)</f>
        <v>109290.62933511</v>
      </c>
      <c r="Q8" s="15" t="n">
        <f aca="false">K8/(1-0.15-Inputs!$E$13)</f>
        <v>115834.978397092</v>
      </c>
      <c r="R8" s="15" t="n">
        <f aca="false">K8/(1-0.2-Inputs!$E$13)</f>
        <v>123213.002498818</v>
      </c>
    </row>
    <row r="11" customFormat="false" ht="15" hidden="false" customHeight="false" outlineLevel="0" collapsed="false">
      <c r="A11"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20"/>
    <col collapsed="false" customWidth="true" hidden="false" outlineLevel="0" max="3" min="3" style="0" width="12"/>
  </cols>
  <sheetData>
    <row r="1" customFormat="false" ht="15" hidden="false" customHeight="false" outlineLevel="0" collapsed="false">
      <c r="A1" s="2" t="s">
        <v>335</v>
      </c>
      <c r="B1" s="2" t="s">
        <v>336</v>
      </c>
      <c r="C1" s="2" t="s">
        <v>337</v>
      </c>
    </row>
    <row r="2" customFormat="false" ht="15" hidden="false" customHeight="false" outlineLevel="0" collapsed="false">
      <c r="A2" s="0" t="n">
        <v>1</v>
      </c>
      <c r="B2" s="0" t="s">
        <v>338</v>
      </c>
      <c r="C2" s="0" t="s">
        <v>300</v>
      </c>
    </row>
    <row r="3" customFormat="false" ht="15" hidden="false" customHeight="false" outlineLevel="0" collapsed="false">
      <c r="A3" s="0" t="n">
        <v>2</v>
      </c>
      <c r="B3" s="0" t="s">
        <v>339</v>
      </c>
      <c r="C3" s="0" t="s">
        <v>300</v>
      </c>
    </row>
    <row r="4" customFormat="false" ht="15" hidden="false" customHeight="false" outlineLevel="0" collapsed="false">
      <c r="A4" s="0" t="n">
        <v>3</v>
      </c>
      <c r="B4" s="0" t="s">
        <v>340</v>
      </c>
      <c r="C4" s="0" t="s">
        <v>300</v>
      </c>
    </row>
    <row r="5" customFormat="false" ht="15" hidden="false" customHeight="false" outlineLevel="0" collapsed="false">
      <c r="A5" s="0" t="n">
        <v>4</v>
      </c>
      <c r="B5" s="0" t="s">
        <v>341</v>
      </c>
      <c r="C5" s="0" t="s">
        <v>300</v>
      </c>
    </row>
    <row r="6" customFormat="false" ht="15" hidden="false" customHeight="false" outlineLevel="0" collapsed="false">
      <c r="A6" s="0" t="n">
        <v>5</v>
      </c>
      <c r="B6" s="0" t="s">
        <v>342</v>
      </c>
      <c r="C6" s="0" t="s">
        <v>300</v>
      </c>
    </row>
    <row r="7" customFormat="false" ht="15" hidden="false" customHeight="false" outlineLevel="0" collapsed="false">
      <c r="A7" s="0" t="n">
        <v>6</v>
      </c>
      <c r="B7" s="0" t="s">
        <v>343</v>
      </c>
      <c r="C7" s="0" t="s">
        <v>300</v>
      </c>
    </row>
    <row r="8" customFormat="false" ht="15" hidden="false" customHeight="false" outlineLevel="0" collapsed="false">
      <c r="A8" s="0" t="n">
        <v>7</v>
      </c>
      <c r="B8" s="0" t="s">
        <v>344</v>
      </c>
      <c r="C8" s="0" t="s">
        <v>300</v>
      </c>
    </row>
    <row r="9" customFormat="false" ht="15" hidden="false" customHeight="false" outlineLevel="0" collapsed="false">
      <c r="A9" s="0" t="n">
        <v>8</v>
      </c>
      <c r="B9" s="0" t="s">
        <v>345</v>
      </c>
      <c r="C9" s="0" t="s">
        <v>300</v>
      </c>
    </row>
    <row r="10" customFormat="false" ht="15" hidden="false" customHeight="false" outlineLevel="0" collapsed="false">
      <c r="A10" s="0" t="n">
        <v>9</v>
      </c>
      <c r="B10" s="0" t="s">
        <v>346</v>
      </c>
      <c r="C10" s="0" t="s">
        <v>300</v>
      </c>
    </row>
    <row r="11" customFormat="false" ht="15" hidden="false" customHeight="false" outlineLevel="0" collapsed="false">
      <c r="A11" s="0" t="n">
        <v>10</v>
      </c>
      <c r="B11" s="0" t="s">
        <v>347</v>
      </c>
      <c r="C11" s="0" t="s">
        <v>300</v>
      </c>
    </row>
    <row r="12" customFormat="false" ht="15" hidden="false" customHeight="false" outlineLevel="0" collapsed="false">
      <c r="A12" s="0" t="n">
        <v>11</v>
      </c>
      <c r="B12" s="0" t="s">
        <v>348</v>
      </c>
      <c r="C12" s="0" t="s">
        <v>300</v>
      </c>
    </row>
    <row r="13" customFormat="false" ht="15" hidden="false" customHeight="false" outlineLevel="0" collapsed="false">
      <c r="A13" s="0" t="n">
        <v>12</v>
      </c>
      <c r="B13" s="0" t="s">
        <v>349</v>
      </c>
      <c r="C13" s="0" t="s">
        <v>300</v>
      </c>
    </row>
    <row r="14" customFormat="false" ht="15" hidden="false" customHeight="false" outlineLevel="0" collapsed="false">
      <c r="A14" s="0" t="n">
        <v>13</v>
      </c>
      <c r="B14" s="0" t="s">
        <v>350</v>
      </c>
      <c r="C14" s="0" t="s">
        <v>300</v>
      </c>
    </row>
    <row r="15" customFormat="false" ht="15" hidden="false" customHeight="false" outlineLevel="0" collapsed="false">
      <c r="A15" s="0" t="n">
        <v>14</v>
      </c>
      <c r="B15" s="0" t="s">
        <v>351</v>
      </c>
      <c r="C15" s="0" t="s">
        <v>300</v>
      </c>
    </row>
    <row r="16" customFormat="false" ht="15" hidden="false" customHeight="false" outlineLevel="0" collapsed="false">
      <c r="A16" s="0" t="n">
        <v>15</v>
      </c>
      <c r="B16" s="0" t="s">
        <v>352</v>
      </c>
      <c r="C16" s="0" t="s">
        <v>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2026-10-23T11:30:19Z</dcterms:created>
  <dc:creator>openpyxl</dc:creator>
  <dc:description/>
  <dc:language>en-US</dc:language>
  <cp:lastModifiedBy/>
  <dcterms:modified xsi:type="dcterms:W3CDTF">2026-10-23T11:30:19Z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
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y summary" sheetId="2" state="visible" r:id="rId4"/>
    <sheet name="Minute-by-minute" sheetId="3" state="visible" r:id="rId5"/>
    <sheet name="Meal plan" sheetId="4" state="visible" r:id="rId6"/>
    <sheet name="Places &amp; maps" sheetId="5" state="visible" r:id="rId7"/>
    <sheet name="Pros &amp; cons" sheetId="6" state="visible" r:id="rId8"/>
    <sheet name="Challenges" sheetId="7" state="visible" r:id="rId9"/>
    <sheet name="Do's &amp; don'ts" sheetId="8" state="visible" r:id="rId10"/>
    <sheet name="Visa documents" sheetId="9" state="visible" r:id="rId11"/>
    <sheet name="Inclusions" sheetId="10" state="visible" r:id="rId12"/>
    <sheet name="Practical info" sheetId="11" state="visible" r:id="rId13"/>
  </sheets>
  <definedNames>
    <definedName function="false" hidden="true" localSheetId="2" name="_xlnm._FilterDatabase" vbProcedure="false">'Minute-by-minute'!$A$2:$P$224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<sst xmlns="http://schemas.openxmlformats.org/spreadsheetml/2006/main" count="2509" uniqueCount="707">
  <si>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</si>
  <si>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</si>
  <si>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</si>
  <si>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</si>
  <si>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</si>
  <si>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12 July – 27 July (15 nights / 16 days) – dates follow the 2024 poster; shift them for a new batch and check weekday closures.</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</si>
  <si>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</si>
  <si>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</si>
  <si>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</si>
  <si>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</si>
  <si>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</si>
  <si>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</si>
  <si>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</si>
  <si>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</si>
  <si>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</si>
  <si>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</si>
  <si>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</si>
  <si>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</si>
  <si>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</si>
  <si>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</si>
  <si>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</si>
  <si>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Flight and ferry rows show local clock times; their Duration is the real elapsed time.</t>
  </si>
  <si>
    <t xml:space="preserve">Status column</t>
  </si>
  <si>
    <t xml:space="preserve">Use the dropdown: Draft → To verify → Booked → Confirmed. Filter on it to see what is still open.</t>
  </si>
  <si>
    <t xml:space="preserve">Sheets</t>
  </si>
  <si>
    <t xml:space="preserve">Day summary · Minute-by-minute · Meal plan · Places &amp; maps · Pros &amp; cons · Challenges · Do's &amp; don'ts · Visa documents · Inclusions · Practical info</t>
  </si>
  <si>
    <t xml:space="preserve">Source</t>
  </si>
  <si>
    <t xml:space="preserve">2024 posters (15N/16D, 8 countries), brochure PDF (12N/13D day plan), inclusions/exclusions sheet, Schengen biometric guidelines document.</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</si>
  <si>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</si>
  <si>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</si>
  <si>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</si>
  <si>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</si>
  <si>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</si>
  <si>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</si>
  <si>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</si>
  <si>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</si>
  <si>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</si>
  <si>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Hyderabad → London · Bhaktivedanta Manor</t>
  </si>
  <si>
    <t xml:space="preserve">London (Wembley)</t>
  </si>
  <si>
    <t xml:space="preserve">Oxford University · Cotswolds · West End</t>
  </si>
  <si>
    <t xml:space="preserve">London city: Westminster · London Eye · Thames · Tower · Tussauds · Soho temple</t>
  </si>
  <si>
    <t xml:space="preserve">London → Dover → ferry → Calais → Paris · Seine cruise</t>
  </si>
  <si>
    <t xml:space="preserve">Paris</t>
  </si>
  <si>
    <t xml:space="preserve">Paris: Arc de Triomphe · Eiffel Tower · Notre-Dame · ISKCON Paris</t>
  </si>
  <si>
    <t xml:space="preserve">Day trip to ISKCON New Mayapur (Option B: Disneyland Paris)</t>
  </si>
  <si>
    <t xml:space="preserve">Louvre → Brussels: Atomium · Grand Place · Manneken Pis</t>
  </si>
  <si>
    <t xml:space="preserve">Brussels</t>
  </si>
  <si>
    <t xml:space="preserve">ISKCON Radhadesh (Durbuy) → Amsterdam · canal cruise</t>
  </si>
  <si>
    <t xml:space="preserve">Amsterdam</t>
  </si>
  <si>
    <t xml:space="preserve">Windmills · Volendam · Amsterdam orientation → Cologne</t>
  </si>
  <si>
    <t xml:space="preserve">Cologne</t>
  </si>
  <si>
    <t xml:space="preserve">Cologne Cathedral · ISKCON Cologne → Goloka Dham → Black Forest</t>
  </si>
  <si>
    <t xml:space="preserve">Titisee (Black Forest)</t>
  </si>
  <si>
    <t xml:space="preserve">Lake Titisee · cuckoo clocks → Rhine Falls → Zurich · ISKCON Zurich</t>
  </si>
  <si>
    <t xml:space="preserve">Zurich</t>
  </si>
  <si>
    <t xml:space="preserve">Mount Titlis (Ice Flyer) · Lucerne · Lion Monument · lake cruise → train to Interlaken</t>
  </si>
  <si>
    <t xml:space="preserve">Interlaken</t>
  </si>
  <si>
    <t xml:space="preserve">Interlaken → Gotthard → Lake Como → Villaggio Hare Krishna → Milan</t>
  </si>
  <si>
    <t xml:space="preserve">Milan</t>
  </si>
  <si>
    <t xml:space="preserve">Milan Duomo → Prabhupada Desh → Padova → Venice (gondola)</t>
  </si>
  <si>
    <t xml:space="preserve">Venice-Mestre</t>
  </si>
  <si>
    <t xml:space="preserve">Leaning Tower of Pisa → ISKCON Villa Vrindavan → Florence</t>
  </si>
  <si>
    <t xml:space="preserve">Florence</t>
  </si>
  <si>
    <t xml:space="preserve">Rome: Vatican City · St Peter's · Colosseum · Trevi → fly to India</t>
  </si>
  <si>
    <t xml:space="preserve">On flight</t>
  </si>
  <si>
    <t xml:space="preserve">TOTAL by coach</t>
  </si>
  <si>
    <t xml:space="preserve">Day 1 and Day 16 flights, the ferry, boats, cable cars and the train are excluded from coach km and hours.</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</si>
  <si>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</si>
  <si>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</si>
  <si>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</si>
  <si>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</si>
  <si>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</si>
  <si>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</si>
  <si>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</si>
  <si>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</si>
  <si>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</si>
  <si>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</si>
  <si>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</si>
  <si>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</si>
  <si>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</si>
  <si>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</si>
  <si>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</si>
  <si>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Fri</t>
  </si>
  <si>
    <t xml:space="preserve">Overnight: London (Wembley)</t>
  </si>
  <si>
    <t xml:space="preserve">IST</t>
  </si>
  <si>
    <t xml:space="preserve">Reporting</t>
  </si>
  <si>
    <t xml:space="preserve">Rajiv Gandhi International Airport (HYD)</t>
  </si>
  <si>
    <t xml:space="preserve">Walk</t>
  </si>
  <si>
    <t xml:space="preserve">Report at RGIA departures, Gate 4 (TBC). Tour manager hands over tickets, insurance, kit (cap, bag, ID card, name badge). Check-in and bag drop. Max 23 kg check-in + 7 kg cabin (confirm with airline).</t>
  </si>
  <si>
    <t xml:space="preserve">Location</t>
  </si>
  <si>
    <t xml:space="preserve">Draft</t>
  </si>
  <si>
    <t xml:space="preserve">Airport formalities</t>
  </si>
  <si>
    <t xml:space="preserve">Emigration, security, boarding. Light breakfast at the airport if needed (own expense).</t>
  </si>
  <si>
    <t xml:space="preserve">IST→BST</t>
  </si>
  <si>
    <t xml:space="preserve">Flight transfer</t>
  </si>
  <si>
    <t xml:space="preserve">London Heathrow Airport (LHR)</t>
  </si>
  <si>
    <t xml:space="preserve">Flight</t>
  </si>
  <si>
    <t xml:space="preserve">Flight Hyderabad → London Heathrow (~10 h 10 m; clocks go back 4 h 30 m). Meals on board (pre-book vegetarian/Jain meal code VJML or AVML). Ex-Chennai/Bangalore yatris join at Heathrow.</t>
  </si>
  <si>
    <t xml:space="preserve">Flight number and times TBC. Duration here is real flying time, not clock difference.</t>
  </si>
  <si>
    <t xml:space="preserve">Arrival</t>
  </si>
  <si>
    <t xml:space="preserve">UK Border (biometric e-gates for some; keep hotel letter and return ticket handy), baggage claim. Meet tour manager and coach at the coach park. Headcount.</t>
  </si>
  <si>
    <t xml:space="preserve">Coach transfer</t>
  </si>
  <si>
    <t xml:space="preserve">Bhaktivedanta Manor, ISKCON (Watford)</t>
  </si>
  <si>
    <t xml:space="preserve">Coach</t>
  </si>
  <si>
    <t xml:space="preserve">Coach via M25. Welcome talk, group rules, WhatsApp group check, SIM/eSIM help.</t>
  </si>
  <si>
    <t xml:space="preserve">Lunch</t>
  </si>
  <si>
    <t xml:space="preserve">—</t>
  </si>
  <si>
    <t xml:space="preserve">Late lunch prasadam.</t>
  </si>
  <si>
    <t xml:space="preserve">Bhaktivedanta Manor – prasadam (pre-arranged with temple; donation)</t>
  </si>
  <si>
    <t xml:space="preserve">Temple darshan</t>
  </si>
  <si>
    <t xml:space="preserve">Darshan of Sri Sri Radha-Gokulananda and Sita-Rama-Lakshmana-Hanuman. Srila Prabhupada's rooms, the gardens, lake, goshala (cows and oxen). Story of George Harrison's gift of the Manor. Sthala purana narration (Telugu/Hindi/English).</t>
  </si>
  <si>
    <t xml:space="preserve">Shopping/buffer</t>
  </si>
  <si>
    <t xml:space="preserve">Temple shop: books, japa beads, deity pictures. Toilet break before coach.</t>
  </si>
  <si>
    <t xml:space="preserve">Hotel, Wembley area (TBC)</t>
  </si>
  <si>
    <t xml:space="preserve">Coach Bhaktivedanta Manor, ISKCON (Watford) → Hotel, Wembley area (TBC). Bhajans, japa and sthala-purana narration on board.</t>
  </si>
  <si>
    <t xml:space="preserve">Hotel check-in</t>
  </si>
  <si>
    <t xml:space="preserve">Check-in, room keys, luggage to rooms. Rest and freshen up.</t>
  </si>
  <si>
    <t xml:space="preserve">Dinner</t>
  </si>
  <si>
    <t xml:space="preserve">Hotel – Satvik menu pre-agreed (or Indian caterer delivering to the hotel)</t>
  </si>
  <si>
    <t xml:space="preserve">Briefing</t>
  </si>
  <si>
    <t xml:space="preserve">Next-day briefing: wake-up 06:00, breakfast 07:00, coach 08:00. Jet-lag tips: stay up till 21:30, drink water.</t>
  </si>
  <si>
    <t xml:space="preserve">DAY 2 · Sat</t>
  </si>
  <si>
    <t xml:space="preserve">Morning programme</t>
  </si>
  <si>
    <t xml:space="preserve">Japa (16 rounds at own pace), short kirtan and Bhagavatam reading in the hotel hall or lobby.</t>
  </si>
  <si>
    <t xml:space="preserve">Breakfast</t>
  </si>
  <si>
    <t xml:space="preserve">Hotel – complimentary buffet</t>
  </si>
  <si>
    <t xml:space="preserve">Oxford University – Radcliffe Camera</t>
  </si>
  <si>
    <t xml:space="preserve">Coach via A40/M40. Narration: Oxford's link with Sanskrit studies (Boden chair, Monier-Williams).</t>
  </si>
  <si>
    <t xml:space="preserve">Sightseeing</t>
  </si>
  <si>
    <t xml:space="preserve">Guided walk: Radcliffe Camera, Bodleian Library courtyard, Bridge of Sighs, Sheldonian Theatre, Christ Church exterior, Broad Street. Group photo at Radcliffe Square.</t>
  </si>
  <si>
    <t xml:space="preserve">Indian vegetarian restaurant, Oxford (TBC)</t>
  </si>
  <si>
    <t xml:space="preserve">Satvik thali, no onion/garlic requested in advance.</t>
  </si>
  <si>
    <t xml:space="preserve">Indian vegetarian restaurant, Oxford (to be booked by tour manager)</t>
  </si>
  <si>
    <t xml:space="preserve">Bourton-on-the-Water, Cotswolds</t>
  </si>
  <si>
    <t xml:space="preserve">Coach through the Cotswold hills (A40/A429).</t>
  </si>
  <si>
    <t xml:space="preserve">'Venice of the Cotswolds': River Windrush footbridges, honey-coloured stone cottages, Model Village (optional, ticket), riverside walk. Flat and senior friendly.</t>
  </si>
  <si>
    <t xml:space="preserve">Radha-Krishna Temple, ISKCON Soho (10 Soho Street)</t>
  </si>
  <si>
    <t xml:space="preserve">Coach to central London. Rest on board. Coach drops at Soho Square (central London coach parking is limited).</t>
  </si>
  <si>
    <t xml:space="preserve">Govinda's Pure Vegetarian Restaurant, Soho</t>
  </si>
  <si>
    <t xml:space="preserve">Early dinner before the show.</t>
  </si>
  <si>
    <t xml:space="preserve">Govinda's (ISKCON) restaurant, Soho – group booking</t>
  </si>
  <si>
    <t xml:space="preserve">Show (optional)</t>
  </si>
  <si>
    <t xml:space="preserve">Lyceum Theatre – The Lion King (optional)</t>
  </si>
  <si>
    <t xml:space="preserve">The Lion King at the Lyceum Theatre (10 min walk). Optional; tickets extra unless included. Non-takers: kirtan at ISKCON Soho, then coach to hotel at 20:30.</t>
  </si>
  <si>
    <t xml:space="preserve">Check show day/time and whether Frozen is still running for your dates.</t>
  </si>
  <si>
    <t xml:space="preserve">Coach back to hotel.</t>
  </si>
  <si>
    <t xml:space="preserve">DAY 3 · Sun</t>
  </si>
  <si>
    <t xml:space="preserve">Westminster – Big Ben &amp; Houses of Parliament</t>
  </si>
  <si>
    <t xml:space="preserve">Coach into central London; drop at Westminster Bridge.</t>
  </si>
  <si>
    <t xml:space="preserve">Big Ben, Houses of Parliament, Westminster Abbey (exterior; Sunday services), Parliament Square. Walk over Westminster Bridge.</t>
  </si>
  <si>
    <t xml:space="preserve">London Eye</t>
  </si>
  <si>
    <t xml:space="preserve">London Eye – 30-minute rotation in a capsule (pre-booked group slot, fast-track). Views of St Paul's, Buckingham Palace, the Shard.</t>
  </si>
  <si>
    <t xml:space="preserve">Boat transfer</t>
  </si>
  <si>
    <t xml:space="preserve">London Eye Pier (Thames cruise)</t>
  </si>
  <si>
    <t xml:space="preserve">Tower Millennium Pier</t>
  </si>
  <si>
    <t xml:space="preserve">Boat</t>
  </si>
  <si>
    <t xml:space="preserve">Thames River Cruise, London Eye Pier → Tower Pier, with commentary: Somerset House, St Paul's, Shakespeare's Globe, HMS Belfast.</t>
  </si>
  <si>
    <t xml:space="preserve">Tower of London – Crown Jewels (Kohinoor)</t>
  </si>
  <si>
    <t xml:space="preserve">Tower of London: Crown Jewels including the Koh-i-Noor in the Queen Mother's crown, White Tower, Beefeater (Yeoman Warder) tour, ravens. Tower Bridge photo stop from the wharf.</t>
  </si>
  <si>
    <t xml:space="preserve">Tower opens 10:00 on Sun/Mon, 09:00 Tue–Sat. Book timed tickets.</t>
  </si>
  <si>
    <t xml:space="preserve">Indian vegetarian restaurant near Tower Hill (TBC)</t>
  </si>
  <si>
    <t xml:space="preserve">Backup: packed Satvik lunch from the London caterer.</t>
  </si>
  <si>
    <t xml:space="preserve">Indian vegetarian restaurant near Tower Hill (to be booked)</t>
  </si>
  <si>
    <t xml:space="preserve">Madame Tussauds London</t>
  </si>
  <si>
    <t xml:space="preserve">Coach across the City to Marylebone Road.</t>
  </si>
  <si>
    <t xml:space="preserve">Madame Tussauds: Bollywood zone, royals, world leaders, Marvel. Timed group entry.</t>
  </si>
  <si>
    <t xml:space="preserve">Coach Madame Tussauds London → Radha-Krishna Temple, ISKCON Soho (10 Soho Street). Bhajans, japa and sthala-purana narration on board.</t>
  </si>
  <si>
    <t xml:space="preserve">ISKCON Soho – Sri Sri Radha-Londonishvara, the first ISKCON deities in the UK, installed by Srila Prabhupada in 1969. Evening arati, kirtan, history talk. Govinda's shop.</t>
  </si>
  <si>
    <t xml:space="preserve">Coach Radha-Krishna Temple, ISKCON Soho (10 Soho Street) → Hotel, Wembley area (TBC). Bhajans, japa and sthala-purana narration on board.</t>
  </si>
  <si>
    <t xml:space="preserve">Packing</t>
  </si>
  <si>
    <t xml:space="preserve">Pack for an early start. Suitcases outside rooms by 05:30. Passports in hand luggage for the ferry.</t>
  </si>
  <si>
    <t xml:space="preserve">BST→CEST</t>
  </si>
  <si>
    <t xml:space="preserve">DAY 4 · Mon</t>
  </si>
  <si>
    <t xml:space="preserve">Overnight: Paris</t>
  </si>
  <si>
    <t xml:space="preserve">Hotel – early breakfast or breakfast boxes (request the night before)</t>
  </si>
  <si>
    <t xml:space="preserve">Check-out</t>
  </si>
  <si>
    <t xml:space="preserve">Check-out, luggage loading, headcount. Settle room extras (own expense).</t>
  </si>
  <si>
    <t xml:space="preserve">Port of Dover – P&amp;O / DFDS ferry</t>
  </si>
  <si>
    <t xml:space="preserve">Coach via M25/M20 to Port of Dover. Morning japa on board.</t>
  </si>
  <si>
    <t xml:space="preserve">Border check</t>
  </si>
  <si>
    <t xml:space="preserve">UK exit and French entry (Schengen stamp) at Dover, done before boarding. Coach and passengers checked together; everybody stays with the coach.</t>
  </si>
  <si>
    <t xml:space="preserve">Juxtaposed controls: allow 60–90 min in July peak; queues can be long on Saturdays.</t>
  </si>
  <si>
    <t xml:space="preserve">Ferry transfer</t>
  </si>
  <si>
    <t xml:space="preserve">Port of Calais</t>
  </si>
  <si>
    <t xml:space="preserve">Ferry</t>
  </si>
  <si>
    <t xml:space="preserve">P&amp;O / DFDS ferry, 1 h 30 m crossing; clocks go forward 1 h. Coach goes on board. Lounge seats, sea views, the White Cliffs of Dover.</t>
  </si>
  <si>
    <t xml:space="preserve">Book coach space on a specific sailing.</t>
  </si>
  <si>
    <t xml:space="preserve">Early lunch on the ferry: the next stop is a 3.5 h drive.</t>
  </si>
  <si>
    <t xml:space="preserve">Packed Satvik lunch from London Indian caterer (eaten on board)</t>
  </si>
  <si>
    <t xml:space="preserve">CEST</t>
  </si>
  <si>
    <t xml:space="preserve">Hotel, Gare du Nord / La Chapelle area (TBC)</t>
  </si>
  <si>
    <t xml:space="preserve">Coach via A16/A26/A1 to Paris (3 h 30 m + 30 min break at a motorway aire). Video talk on Srila Prabhupada's visits to Paris.</t>
  </si>
  <si>
    <t xml:space="preserve">Check-in, rest.</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</si>
  <si>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</si>
  <si>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</si>
  <si>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</si>
  <si>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at sunset (~21:55). Eiffel Tower sparkles on the hour.</t>
  </si>
  <si>
    <t xml:space="preserve">Coach Seine River Cruise – Bateaux Parisiens (Port de la Bourdonnais) → Hotel, Gare du Nord / La Chapelle area (TBC). Bhajans, japa and sthala-purana narration on board.</t>
  </si>
  <si>
    <t xml:space="preserve">DAY 5 · Tue</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</si>
  <si>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</si>
  <si>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</si>
  <si>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</si>
  <si>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</si>
  <si>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</si>
  <si>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Views over the Trocadéro and Champ de Mars. Group photo at the Trocadéro.</t>
  </si>
  <si>
    <t xml:space="preserve">Security queue 30–45 min even with tickets; bags are screened.</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</si>
  <si>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</si>
  <si>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</si>
  <si>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 dosa, curd rice.</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</si>
  <si>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</si>
  <si>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</si>
  <si>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</si>
  <si>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(exterior; check whether entry is open on your dates), Île de la Cité, Seine banks, Latin Quarter. Short break.</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</si>
  <si>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</si>
  <si>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</si>
  <si>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the history of the mission in France.</t>
  </si>
  <si>
    <t xml:space="preserve">Coach ISKCON Paris temple (Sevran) → Hotel, Gare du Nord / La Chapelle area (TBC). Bhajans, japa and sthala-purana narration on board.</t>
  </si>
  <si>
    <t xml:space="preserve">DAY 6 · Wed</t>
  </si>
  <si>
    <t xml:space="preserve">ISKCON New Mayapur – Château d'Oublaisse</t>
  </si>
  <si>
    <t xml:space="preserve">Coach via A10/A71 through the Loire countryside: 3 h 15 m + 20 min break. Kirtan and Bhagavatam class on board.</t>
  </si>
  <si>
    <t xml:space="preserve">New Mayapur, Château d'Oublaisse: Srila Prabhupada visited in 1976. Darshan, château, Prabhupada's room, gardens, farm and goshala, kirtan with the community.</t>
  </si>
  <si>
    <t xml:space="preserve">New Mayapur temple – prasadam (pre-arranged; donation)</t>
  </si>
  <si>
    <t xml:space="preserve">Spiritual programme</t>
  </si>
  <si>
    <t xml:space="preserve">Harinama around the estate, talk by a resident devotee, temple shop. Rest under the trees.</t>
  </si>
  <si>
    <t xml:space="preserve">Return to Paris; 20 min break midway.</t>
  </si>
  <si>
    <t xml:space="preserve">Check-out tomorrow 08:00. Option B (Disneyland, 45 km each way, 09:00–20:00) needs a second coach; decide by group vote before departure.</t>
  </si>
  <si>
    <t xml:space="preserve">DAY 7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</si>
  <si>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</si>
  <si>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</si>
  <si>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</si>
  <si>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</si>
  <si>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</si>
  <si>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Closed on Tuesdays, so it is on Thursday. Timed group entry at 09:00; the Mona Lisa room is crowded, so keep the group together.</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</si>
  <si>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</si>
  <si>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</si>
  <si>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</si>
  <si>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</si>
  <si>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</si>
  <si>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</si>
  <si>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</si>
  <si>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</si>
  <si>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</si>
  <si>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</si>
  <si>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</si>
  <si>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</si>
  <si>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</si>
  <si>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</si>
  <si>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8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</si>
  <si>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</si>
  <si>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</si>
  <si>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</si>
  <si>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</si>
  <si>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European neo-gothic château that houses ISKCON's Benelux temple. Darshan of Sri Sri Radha-Gopinatha (confirm), the château, the Museum of Sacred Art, bookshop. Morning kirtan with the community. Walk through the gardens and the Ourthe valley.</t>
  </si>
  <si>
    <t xml:space="preserve">Radhadesh temple – prasadam (pre-arranged; donation)</t>
  </si>
  <si>
    <t xml:space="preserve">Hotel, Amsterdam (TBC)</t>
  </si>
  <si>
    <t xml:space="preserve">Coach via Liège–Eindhoven–Utrecht (3 h 30 m + 30 min break).</t>
  </si>
  <si>
    <t xml:space="preserve">Amsterdam canal cruise (Centraal Station piers)</t>
  </si>
  <si>
    <t xml:space="preserve">Coach Hotel, Amsterdam (TBC) → Amsterdam canal cruise (Centraal Station piers). Bhajans, japa and sthala-purana narration on board.</t>
  </si>
  <si>
    <t xml:space="preserve">Amsterdam canal cruise, 75 min, covered glass boat: the UNESCO canal ring, Anne Frank House, the Skinny Bridge, houseboats.</t>
  </si>
  <si>
    <t xml:space="preserve">Coach Amsterdam canal cruise (Centraal Station piers) → Hotel, Amsterdam (TBC). Bhajans, japa and sthala-purana narration on board.</t>
  </si>
  <si>
    <t xml:space="preserve">DAY 9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</si>
  <si>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</si>
  <si>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</si>
  <si>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</si>
  <si>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(paint and spice mills), clog-making workshop, cheese farm (vegetarian rennet? check labels), green wooden houses.</t>
  </si>
  <si>
    <t xml:space="preserve">Volendam harbour &amp; fishing village</t>
  </si>
  <si>
    <t xml:space="preserve">Coach Zaanse Schans windmills → Volendam harbour &amp; fishing village. Bhajans, japa and sthala-purana narration on board.</t>
  </si>
  <si>
    <t xml:space="preserve">Volendam harbour and dyke walk, traditional Dutch costume photo studio (optional), view of the IJsselmeer. Tulip and souvenir shops.</t>
  </si>
  <si>
    <t xml:space="preserve">Indian restaurant, Volendam / Edam (TBC)</t>
  </si>
  <si>
    <t xml:space="preserve">Indian restaurant, Volendam/Edam (to be booked) – backup: packed lunch from Amsterdam caterer</t>
  </si>
  <si>
    <t xml:space="preserve">Dam Square &amp; Royal Palace – Amsterdam orientation</t>
  </si>
  <si>
    <t xml:space="preserve">Coach Volendam harbour &amp; fishing village → Dam Square &amp; Royal Palace – Amsterdam orientation. Bhajans, japa and sthala-purana narration on board.</t>
  </si>
  <si>
    <t xml:space="preserve">Amsterdam orientation walk: Dam Square, Royal Palace (exterior), Nieuwe Kerk, Bloemenmarkt (floating flower market), Kalverstraat.</t>
  </si>
  <si>
    <t xml:space="preserve">Hotel, Cologne centre (TBC)</t>
  </si>
  <si>
    <t xml:space="preserve">Coach via A2/A12 to Cologne (3 h + 15 min break).</t>
  </si>
  <si>
    <t xml:space="preserve">Optional walk</t>
  </si>
  <si>
    <t xml:space="preserve">Cologne Cathedral &amp; Hohenzollern Bridge</t>
  </si>
  <si>
    <t xml:space="preserve">Optional 10-minute walk to see Cologne Cathedral lit up at night.</t>
  </si>
  <si>
    <t xml:space="preserve">DAY 10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</si>
  <si>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</si>
  <si>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</si>
  <si>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</si>
  <si>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square, Hohenzollern Bridge 'love locks'. Interior only between services on Sundays.</t>
  </si>
  <si>
    <t xml:space="preserve">Sunday-morning masses restrict tourist entry; plan for the exterior only.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</si>
  <si>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</si>
  <si>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</si>
  <si>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</si>
  <si>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</si>
  <si>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</si>
  <si>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 (2 h 30 m incl. short stop).</t>
  </si>
  <si>
    <t xml:space="preserve">Goloka Dham temple – prasadam (pre-arranged; donation)</t>
  </si>
  <si>
    <t xml:space="preserve">Goloka Dham, ISKCON's rural centre in Germany: darshan of Sri Sri Radha-Madana-mohana (confirm), goshala, farm community, Sunday programme.</t>
  </si>
  <si>
    <t xml:space="preserve">Hotel, Titisee-Neustadt (TBC)</t>
  </si>
  <si>
    <t xml:space="preserve">Coach via A61/A5 (3 h 45 m + 45 min statutory driver break). Rest, film on board.</t>
  </si>
  <si>
    <t xml:space="preserve">Joint-longest coach day with Day 6 (~7 h 30 m on the coach incl. breaks, ~6 h 15 m at the wheel). Within the EU 9-hour limit; confirm the driver's weekly hours.</t>
  </si>
  <si>
    <t xml:space="preserve">DAY 11 · Mon</t>
  </si>
  <si>
    <t xml:space="preserve">Overnight: Zurich</t>
  </si>
  <si>
    <t xml:space="preserve">Japa (16 rounds at own pace), short kirtan and Bhagavatam reading in the hotel hall or lobby. Lakeside japa walk if weather allows.</t>
  </si>
  <si>
    <t xml:space="preserve">Lake Titisee &amp; Black Forest cuckoo-clock shops</t>
  </si>
  <si>
    <t xml:space="preserve">Lake Titisee promenade, Black Forest cuckoo-clock shops and live demonstration, optional pedal/rowing boat. Shopping time (VAT refund forms for big purchases).</t>
  </si>
  <si>
    <t xml:space="preserve">Rhine Falls (Rheinfall), Neuhausen</t>
  </si>
  <si>
    <t xml:space="preserve">Coach into Switzerland (border check possible; passports handy).</t>
  </si>
  <si>
    <t xml:space="preserve">Rhine Falls, the largest waterfall in Europe by volume: Schloss Laufen platforms (lift available), optional boat to the middle rock (seniors: platforms only).</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</si>
  <si>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</si>
  <si>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</si>
  <si>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</si>
  <si>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</si>
  <si>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</si>
  <si>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</si>
  <si>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</si>
  <si>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</si>
  <si>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</si>
  <si>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</si>
  <si>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12 · Tue</t>
  </si>
  <si>
    <t xml:space="preserve">Overnight: Interlaken</t>
  </si>
  <si>
    <t xml:space="preserve">Warm layers on: Titlis summit is 0–5 °C even in July.</t>
  </si>
  <si>
    <t xml:space="preserve">Mount Titlis – Engelberg valley station</t>
  </si>
  <si>
    <t xml:space="preserve">Coach via A4/A2 to Engelberg. Morning japa on board.</t>
  </si>
  <si>
    <t xml:space="preserve">Cable car &amp; snow</t>
  </si>
  <si>
    <t xml:space="preserve">Cable car</t>
  </si>
  <si>
    <t xml:space="preserve">Titlis Xpress gondola + Rotair (revolving cable car) to 3,020 m: Glacier Cave, Cliff Walk (Europe's highest suspension bridge, optional), Ice Flyer chairlift over the glacier, snow play. Group photo at the summit.</t>
  </si>
  <si>
    <t xml:space="preserve">Altitude: seniors and those with heart/BP issues go slowly and stay hydrated. Check the weather the evening before; low cloud means no views.</t>
  </si>
  <si>
    <t xml:space="preserve">Indian restaurant at Titlis summit station (verify it is open)</t>
  </si>
  <si>
    <t xml:space="preserve">Indian restaurant at Titlis summit station (pre-book; verify it is open) – backup: Engelberg Indian restaurant</t>
  </si>
  <si>
    <t xml:space="preserve">Descent</t>
  </si>
  <si>
    <t xml:space="preserve">Rotair and gondola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</si>
  <si>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</si>
  <si>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</si>
  <si>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</si>
  <si>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</si>
  <si>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Walk to Chapel Bridge (Kapellbrücke) and the Water Tower, old town squares, Swiss shopping.</t>
  </si>
  <si>
    <t xml:space="preserve">Lake Lucerne cruise pier (Bahnhofquai)</t>
  </si>
  <si>
    <t xml:space="preserve">Lake Lucerne 1-hour round cruise: Mount Pilatus and Rigi views.</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</si>
  <si>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</si>
  <si>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</si>
  <si>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</si>
  <si>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</si>
  <si>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 The coach goes empty with the luggage (70 km, 1 h 15 m).</t>
  </si>
  <si>
    <t xml:space="preserve">Reserve group seats; check the timetable.</t>
  </si>
  <si>
    <t xml:space="preserve">Hotel, Interlaken (TBC)</t>
  </si>
  <si>
    <t xml:space="preserve">Walk or coach from Interlaken Ost to the hotel; luggage arrives with the coach.</t>
  </si>
  <si>
    <t xml:space="preserve">DAY 13 · Wed</t>
  </si>
  <si>
    <t xml:space="preserve">Overnight: Milan</t>
  </si>
  <si>
    <t xml:space="preserve">Höhematte park – view of the Jungfrau</t>
  </si>
  <si>
    <t xml:space="preserve">Höhematte park: early-morning view of the Jungfrau, paragliders landing, Höheweg promenade.</t>
  </si>
  <si>
    <t xml:space="preserve">Lake Como – Como town waterfront</t>
  </si>
  <si>
    <t xml:space="preserve">Coach via Brünig–Lucerne–Gotthard road tunnel–Lugano (3 h 45 m + 45 min break). Alpine scenery. Italy border check possible.</t>
  </si>
  <si>
    <t xml:space="preserve">Gotthard tunnel queues can add 1–2 h in July. Leave on time; check TCS traffic info.</t>
  </si>
  <si>
    <t xml:space="preserve">Indian restaurant, Como (TBC)</t>
  </si>
  <si>
    <t xml:space="preserve">Indian restaurant, Como (to be booked) – backup: packed lunch</t>
  </si>
  <si>
    <t xml:space="preserve">Lake Como: waterfront promenade, Duomo di Como (exterior), 45-minute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</si>
  <si>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</si>
  <si>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</si>
  <si>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 prasadam sweets.</t>
  </si>
  <si>
    <t xml:space="preserve">Hotel, Milan (TBC)</t>
  </si>
  <si>
    <t xml:space="preserve">Coach Villaggio Hare Krishna (near Bergamo) → Hotel, Milan (TBC). Bhajans, japa and sthala-purana narration on board.</t>
  </si>
  <si>
    <t xml:space="preserve">DAY 14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</si>
  <si>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</si>
  <si>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</si>
  <si>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</si>
  <si>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opens 09:00), Piazza del Duomo, Galleria Vittorio Emanuele II, La Scala (exterior). Milan city orientation.</t>
  </si>
  <si>
    <t xml:space="preserve">ISKCON Prabhupada Desh (Albettone, Vicenza)</t>
  </si>
  <si>
    <t xml:space="preserve">Coach via A4 past Bergamo, Brescia, Verona (2 h 30 m + 15 min break).</t>
  </si>
  <si>
    <t xml:space="preserve">Prabhupada Desh: darshan, kirtan, Srila Prabhupada murti, Vaishnava community in the Berici hills.</t>
  </si>
  <si>
    <t xml:space="preserve">Prabhupada Desh temple – prasadam (pre-arranged; donation)</t>
  </si>
  <si>
    <t xml:space="preserve">Basilica of St Anthony, Padova</t>
  </si>
  <si>
    <t xml:space="preserve">Coach ISKCON Prabhupada Desh (Albettone, Vicenza) → Basilica of St Anthony, Padova. Bhajans, japa and sthala-purana narration on board.</t>
  </si>
  <si>
    <t xml:space="preserve">Padova: Basilica of St Anthony and Prato della Valle (one of Europe's largest squares).</t>
  </si>
  <si>
    <t xml:space="preserve">Venice Tronchetto coach terminal</t>
  </si>
  <si>
    <t xml:space="preserve">Coach Basilica of St Anthony, Padova → Venice Tronchetto coach terminal. Bhajans, japa and sthala-purana narration on board.</t>
  </si>
  <si>
    <t xml:space="preserve">St Mark's Square, Doge's Palace &amp; gondola ride</t>
  </si>
  <si>
    <t xml:space="preserve">Vaporetto (water bus) from Tronchetto to San Marco (~25 min each way). St Mark's Square and Basilica (exterior), Doge's Palace, Bridge of Sighs, Rialto Bridge. Gondola ride: 30 min, 5–6 people per gondola.</t>
  </si>
  <si>
    <t xml:space="preserve">Venice access fee may apply on peak days for day visitors; check. A lot of walking and bridge steps, so wheelchair users need a plan.</t>
  </si>
  <si>
    <t xml:space="preserve">Hotel, Venice-Mestre (TBC)</t>
  </si>
  <si>
    <t xml:space="preserve">Coach Venice Tronchetto coach terminal → Hotel, Venice-Mestre (TBC). Bhajans, japa and sthala-purana narration on board.</t>
  </si>
  <si>
    <t xml:space="preserve">DAY 15 · Fri</t>
  </si>
  <si>
    <t xml:space="preserve">Overnight: Florence</t>
  </si>
  <si>
    <t xml:space="preserve">Square of Miracles – Leaning Tower of Pisa</t>
  </si>
  <si>
    <t xml:space="preserve">Coach via A13/A1/A11 (3 h 15 m + 15 min break). Morning programme on board: japa, kirtan, class.</t>
  </si>
  <si>
    <t xml:space="preserve">Square of Miracles (UNESCO): Leaning Tower (climb optional; not for seniors, 294 steps), Cathedral, Baptistery. The classic 'holding the tower' photos.</t>
  </si>
  <si>
    <t xml:space="preserve">Coach park is ~10 min walk or a short shuttle from the square.</t>
  </si>
  <si>
    <t xml:space="preserve">ISKCON Villa Vrindavan, Florence (Via Scopeti 108)</t>
  </si>
  <si>
    <t xml:space="preserve">Coach Square of Miracles – Leaning Tower of Pisa → ISKCON Villa Vrindavan, Florence (Via Scopeti 108). Bhajans, japa and sthala-purana narration on board.</t>
  </si>
  <si>
    <t xml:space="preserve">Villa Vrindavan (ISKCON Florence) – prasadam (pre-arranged; donation)</t>
  </si>
  <si>
    <t xml:space="preserve">Villa Vrindavan: 16th-century Tuscan villa among vineyards. Darshan, kirtan, goshala, gardens.</t>
  </si>
  <si>
    <t xml:space="preserve">Florence – Duomo, Piazza della Signoria, Ponte Vecchio</t>
  </si>
  <si>
    <t xml:space="preserve">Coach ISKCON Villa Vrindavan, Florence (Via Scopeti 108) → Florence – Duomo, Piazza della Signoria, Ponte Vecchio. Bhajans, japa and sthala-purana narration on board.</t>
  </si>
  <si>
    <t xml:space="preserve">Florence orientation (UNESCO): Duomo with Brunelleschi's dome, Baptistery doors, Piazza della Signoria, copy of David, Ponte Vecchio jewellers.</t>
  </si>
  <si>
    <t xml:space="preserve">Coaches cannot enter the ZTL (limited traffic zone); use the drop point at Lungarno or the coach terminal.</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</si>
  <si>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</si>
  <si>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</si>
  <si>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</si>
  <si>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and the Arno; group photo.</t>
  </si>
  <si>
    <t xml:space="preserve">Hotel, Florence (TBC)</t>
  </si>
  <si>
    <t xml:space="preserve">Coach Piazzale Michelangelo viewpoint → Hotel, Florence (TBC). Bhajans, japa and sthala-purana narration on board.</t>
  </si>
  <si>
    <t xml:space="preserve">Final packing: big bags locked and weighed (23 kg). Breakfast boxes ordered for 05:15.</t>
  </si>
  <si>
    <t xml:space="preserve">DAY 16 · Sat</t>
  </si>
  <si>
    <t xml:space="preserve">Overnight: On flight</t>
  </si>
  <si>
    <t xml:space="preserve">Hotel – breakfast boxes (ordered the evening before)</t>
  </si>
  <si>
    <t xml:space="preserve">Check-out; all luggage on the coach for the airport.</t>
  </si>
  <si>
    <t xml:space="preserve">Vatican Museums, Sistine Chapel &amp; St Peter's Basilica</t>
  </si>
  <si>
    <t xml:space="preserve">Coach via A1 to Rome (3 h + 15 min break). Arezzo is on this road; a 1-hour stop is possible only if the Vatican slot is moved to 10:00.</t>
  </si>
  <si>
    <t xml:space="preserve">Arezzo (poster) is optional for this reason.</t>
  </si>
  <si>
    <t xml:space="preserve">Vatican Museums with a licensed guide: Raphael Rooms, Gallery of Maps, Sistine Chapel (silence, no photos). Then St Peter's Basilica: Michelangelo's Pietà, the dome, St Peter's Square.</t>
  </si>
  <si>
    <t xml:space="preserve">Dress code: knees and shoulders covered. Vatican Museums are closed on Sundays except the last Sunday of the month.</t>
  </si>
  <si>
    <t xml:space="preserve">Indian restaurant near the Vatican (TBC)</t>
  </si>
  <si>
    <t xml:space="preserve">Indian restaurant near the Vatican (to be booked)</t>
  </si>
  <si>
    <t xml:space="preserve">Colosseum (inside) &amp; Roman Forum view</t>
  </si>
  <si>
    <t xml:space="preserve">Coach Indian restaurant near the Vatican (TBC) → Colosseum (inside) &amp; Roman Forum view. Bhajans, japa and sthala-purana narration on board.</t>
  </si>
  <si>
    <t xml:space="preserve">Colosseum inside (timed group ticket with a guide): arena floor view, the tiers, Arch of Constantine, Roman Forum overlook.</t>
  </si>
  <si>
    <t xml:space="preserve">Name-based tickets; carry passports.</t>
  </si>
  <si>
    <t xml:space="preserve">Trevi Fountain</t>
  </si>
  <si>
    <t xml:space="preserve">Coach Colosseum (inside) &amp; Roman Forum view → Trevi Fountain. Bhajans, japa and sthala-purana narration on board.</t>
  </si>
  <si>
    <t xml:space="preserve">Trevi Fountain (coin toss), walk to the Pantheon (exterior). Last shopping.</t>
  </si>
  <si>
    <t xml:space="preserve">Eaten at the airport; the flight meal is a backup.</t>
  </si>
  <si>
    <t xml:space="preserve">Packed Satvik dinner from the Rome Indian restaurant, handed over on the coach</t>
  </si>
  <si>
    <t xml:space="preserve">Rome Fiumicino Airport (FCO)</t>
  </si>
  <si>
    <t xml:space="preserve">Coach Trevi Fountain → Rome Fiumicino Airport (FCO). Bhajans, japa and sthala-purana narration on board.</t>
  </si>
  <si>
    <t xml:space="preserve">Group check-in, VAT refund desk (before check-in for goods in checked bags), Schengen exit stamp, security. Tour manager's farewell and feedback forms.</t>
  </si>
  <si>
    <t xml:space="preserve">CEST→IST</t>
  </si>
  <si>
    <t xml:space="preserve">Flight Rome → Hyderabad via a Gulf hub (overnight, including the connection); arrives the next day (28 July) early afternoon. Ex-Chennai/Bangalore yatris on matching connections.</t>
  </si>
  <si>
    <t xml:space="preserve">Flight TBC. Ends: 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</si>
  <si>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</si>
  <si>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</si>
  <si>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</si>
  <si>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</si>
  <si>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</si>
  <si>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</si>
  <si>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</si>
  <si>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</si>
  <si>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</si>
  <si>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</si>
  <si>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</si>
  <si>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</si>
  <si>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</si>
  <si>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</si>
  <si>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</si>
  <si>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</si>
  <si>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</si>
  <si>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</si>
  <si>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t>
  </si>
  <si>
    <t xml:space="preserve">United Kingdom</t>
  </si>
  <si>
    <t xml:space="preserve">Heathrow Airport London</t>
  </si>
  <si>
    <t xml:space="preserve">Watford</t>
  </si>
  <si>
    <t xml:space="preserve">Bhaktivedanta Manor, Hilfield Lane, Watford WD25 8EZ</t>
  </si>
  <si>
    <t xml:space="preserve">Wembley, London</t>
  </si>
  <si>
    <t xml:space="preserve">Oxford</t>
  </si>
  <si>
    <t xml:space="preserve">Radcliffe Camera, Oxford</t>
  </si>
  <si>
    <t xml:space="preserve">Indian vegetarian restaurant Oxford</t>
  </si>
  <si>
    <t xml:space="preserve">Bourton-on-the-Water</t>
  </si>
  <si>
    <t xml:space="preserve">Radha Krishna Temple ISKCON, 10 Soho Street, London</t>
  </si>
  <si>
    <t xml:space="preserve">Govinda's Restaurant, 9-10 Soho Street, London</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</si>
  <si>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</si>
  <si>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</si>
  <si>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</si>
  <si>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</si>
  <si>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</si>
  <si>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</si>
  <si>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</si>
  <si>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</si>
  <si>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</si>
  <si>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</si>
  <si>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</si>
  <si>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</si>
  <si>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</si>
  <si>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</si>
  <si>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</si>
  <si>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</si>
  <si>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</si>
  <si>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</si>
  <si>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</si>
  <si>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</si>
  <si>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Luçay-le-Mâle</t>
  </si>
  <si>
    <t xml:space="preserve">New Mayapur, Château d'Oublaisse, Luçay-le-Mâle</t>
  </si>
  <si>
    <t xml:space="preserve">Disneyland Paris (Option B)</t>
  </si>
  <si>
    <t xml:space="preserve">Chessy</t>
  </si>
  <si>
    <t xml:space="preserve">Disneyland Paris</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</si>
  <si>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</si>
  <si>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</si>
  <si>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</si>
  <si>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</si>
  <si>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</si>
  <si>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</si>
  <si>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</si>
  <si>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</si>
  <si>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Netherlands</t>
  </si>
  <si>
    <t xml:space="preserve">Amsterdam Centraal</t>
  </si>
  <si>
    <t xml:space="preserve">Canal cruise Amsterdam Centraal</t>
  </si>
  <si>
    <t xml:space="preserve">Zaandam</t>
  </si>
  <si>
    <t xml:space="preserve">Zaanse Schans</t>
  </si>
  <si>
    <t xml:space="preserve">Volendam</t>
  </si>
  <si>
    <t xml:space="preserve">Volendam harbour</t>
  </si>
  <si>
    <t xml:space="preserve">Indian restaurant Volendam</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</si>
  <si>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</si>
  <si>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</si>
  <si>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</si>
  <si>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</si>
  <si>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</si>
  <si>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</si>
  <si>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</si>
  <si>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</si>
  <si>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</si>
  <si>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</si>
  <si>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</si>
  <si>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</si>
  <si>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</si>
  <si>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</si>
  <si>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</si>
  <si>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</si>
  <si>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</si>
  <si>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</si>
  <si>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</si>
  <si>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Titlis Bergstation Restaurant</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</si>
  <si>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</si>
  <si>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</si>
  <si>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</si>
  <si>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</si>
  <si>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</si>
  <si>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</si>
  <si>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</si>
  <si>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</si>
  <si>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</si>
  <si>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Italy</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</si>
  <si>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</si>
  <si>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</si>
  <si>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</si>
  <si>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</si>
  <si>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</si>
  <si>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</si>
  <si>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</si>
  <si>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</si>
  <si>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</si>
  <si>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</si>
  <si>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</si>
  <si>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</si>
  <si>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</si>
  <si>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</si>
  <si>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</si>
  <si>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</si>
  <si>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</si>
  <si>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</si>
  <si>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</si>
  <si>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</si>
  <si>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</si>
  <si>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Firenze Santa Maria Novella</t>
  </si>
  <si>
    <t xml:space="preserve">Vatican City</t>
  </si>
  <si>
    <t xml:space="preserve">Vatican Museums, Vatican City</t>
  </si>
  <si>
    <t xml:space="preserve">Rome</t>
  </si>
  <si>
    <t xml:space="preserve">Indian restaurant near Vatican Rome</t>
  </si>
  <si>
    <t xml:space="preserve">Colosseum, Rome</t>
  </si>
  <si>
    <t xml:space="preserve">Trevi Fountain, Rome</t>
  </si>
  <si>
    <t xml:space="preserve">Rome Fiumicino Airport</t>
  </si>
  <si>
    <t xml:space="preserve">Pros</t>
  </si>
  <si>
    <t xml:space="preserve">Cons / watch-outs</t>
  </si>
  <si>
    <t xml:space="preserve">Manor on arrival day keeps the first day devotional and easy; near Heathrow.</t>
  </si>
  <si>
    <t xml:space="preserve">Jet lag; very early airport reporting (03:30).</t>
  </si>
  <si>
    <t xml:space="preserve">Oxford and Cotswolds are calm, flat and photogenic, which suits seniors.</t>
  </si>
  <si>
    <t xml:space="preserve">Long day if the West End show is taken (back ~23:15).</t>
  </si>
  <si>
    <t xml:space="preserve">All the big London sights in one loop; Soho temple at aarti time.</t>
  </si>
  <si>
    <t xml:space="preserve">Sunday crowds; Tower opens only at 10:00 on Sundays.</t>
  </si>
  <si>
    <t xml:space="preserve">The ferry lets the coach and luggage cross with the group, with no repacking.</t>
  </si>
  <si>
    <t xml:space="preserve">05:00 start; border queues at Dover in July can be 1–2 h.</t>
  </si>
  <si>
    <t xml:space="preserve">Eiffel 2nd floor, Paris highlights and ISKCON Paris; Indian lunch.</t>
  </si>
  <si>
    <t xml:space="preserve">Eiffel security lines; Paris traffic around the Périphérique.</t>
  </si>
  <si>
    <t xml:space="preserve">New Mayapur is where Srila Prabhupada stayed: a deep spiritual day.</t>
  </si>
  <si>
    <t xml:space="preserve">About 7.5 h on the coach incl. breaks; Disneyland seekers need a split group.</t>
  </si>
  <si>
    <t xml:space="preserve">Louvre plus Brussels on one day avoids an extra night.</t>
  </si>
  <si>
    <t xml:space="preserve">Louvre walking is tiring; 4 h of driving afterwards.</t>
  </si>
  <si>
    <t xml:space="preserve">Radhadesh is a highlight; evening canal cruise in Amsterdam.</t>
  </si>
  <si>
    <t xml:space="preserve">Two cities in one day; late finish (~22:00).</t>
  </si>
  <si>
    <t xml:space="preserve">Classic Dutch countryside; travel on to Cologne saves a day.</t>
  </si>
  <si>
    <t xml:space="preserve">Arrival at the Cologne hotel at ~19:30 after a full day.</t>
  </si>
  <si>
    <t xml:space="preserve">Two ISKCON temples plus Goloka Dham on Sunday (feast atmosphere).</t>
  </si>
  <si>
    <t xml:space="preserve">Joint-longest coach day (~7.5 h incl. breaks); late dinner.</t>
  </si>
  <si>
    <t xml:space="preserve">Black Forest, Rhine Falls and Zurich are compact and scenic.</t>
  </si>
  <si>
    <t xml:space="preserve">Many short stops: keep strict headcounts.</t>
  </si>
  <si>
    <t xml:space="preserve">Titlis snow and glacier are a big highlight; scenic train to Interlaken.</t>
  </si>
  <si>
    <t xml:space="preserve">Altitude and cold; the weather can close the views.</t>
  </si>
  <si>
    <t xml:space="preserve">Alps to Italian lakes on one road; Villaggio at aarti time.</t>
  </si>
  <si>
    <t xml:space="preserve">Gotthard traffic risk; 4.5 h on the road.</t>
  </si>
  <si>
    <t xml:space="preserve">Venice in the afternoon with gondolas; temple lunch.</t>
  </si>
  <si>
    <t xml:space="preserve">Very busy day; Venice has many bridge steps.</t>
  </si>
  <si>
    <t xml:space="preserve">Pisa and Florence with a temple lunch at a Tuscan villa.</t>
  </si>
  <si>
    <t xml:space="preserve">Florence ZTL restricts coach drop-offs; heat in July (30–35 °C).</t>
  </si>
  <si>
    <t xml:space="preserve">Vatican and Colosseum from the inside on the last day.</t>
  </si>
  <si>
    <t xml:space="preserve">05:30 start, a full day of walking, then an overnight flight.</t>
  </si>
  <si>
    <t xml:space="preserve">Challenge</t>
  </si>
  <si>
    <t xml:space="preserve">What happens</t>
  </si>
  <si>
    <t xml:space="preserve">Mitigation</t>
  </si>
  <si>
    <t xml:space="preserve">Coach driver hours (EU rules)</t>
  </si>
  <si>
    <t xml:space="preserve">Max 9 h driving a day (10 h twice a week), a 45-min break after 4.5 h, 11 h daily rest, max 56 h a week. Days 6 and 10 are the longest (~7 h 30 m on the coach incl. breaks).</t>
  </si>
  <si>
    <t xml:space="preserve">Book a coach company with a 2-driver option for Days 9–10 and 13–16. Never ask the driver to exceed the limits; fines and tachograph checks are real.</t>
  </si>
  <si>
    <t xml:space="preserve">Traffic and border queues</t>
  </si>
  <si>
    <t xml:space="preserve">Dover/Calais in July, Paris Périphérique, Gotthard tunnel, Milan ring road.</t>
  </si>
  <si>
    <t xml:space="preserve">30–60 min buffers before timed tickets. Leave on time. Check live traffic the evening before. Have a Plan B order of visits.</t>
  </si>
  <si>
    <t xml:space="preserve">Timed tickets and closures</t>
  </si>
  <si>
    <t xml:space="preserve">Louvre closed Tue; Vatican Museums closed Sun; Tower opens 10:00 Sun/Mon; Notre-Dame entry; London Eye slots.</t>
  </si>
  <si>
    <t xml:space="preserve">The plan already avoids the closures. Book every timed ticket 60–90 days ahead with passport names. Reconfirm 7 days before.</t>
  </si>
  <si>
    <t xml:space="preserve">Heat in Italy, cold on Titlis</t>
  </si>
  <si>
    <t xml:space="preserve">Rome/Florence 30–35 °C in late July; Titlis summit 0–5 °C.</t>
  </si>
  <si>
    <t xml:space="preserve">Water bottles, caps, ORS sachets; a fleece or jacket for Titlis; schedule outdoor walks before 12:00 or after 16:00 where possible.</t>
  </si>
  <si>
    <t xml:space="preserve">Pickpockets</t>
  </si>
  <si>
    <t xml:space="preserve">Paris (Eiffel, Louvre, Métro), Rome (Trevi, Colosseum); petition and bracelet scams.</t>
  </si>
  <si>
    <t xml:space="preserve">Neck pouches, zipped bags worn in front, passports in the hotel safe on city days (except where tickets need them), and a buddy system.</t>
  </si>
  <si>
    <t xml:space="preserve">Satvik food availability</t>
  </si>
  <si>
    <t xml:space="preserve">Most restaurants use onion and garlic; few Indian restaurants in small towns.</t>
  </si>
  <si>
    <t xml:space="preserve">Pre-order a no-onion/no-garlic menu in writing; use temple prasadam on 6 days; carry MTR/ready meals, khakhra, dry fruits; a group cook or kit option for hotel dinners.</t>
  </si>
  <si>
    <t xml:space="preserve">Senior citizens' stamina</t>
  </si>
  <si>
    <t xml:space="preserve">Long walks (Louvre, Vatican, Venice), steps (Pisa, Venice bridges), altitude (Titlis).</t>
  </si>
  <si>
    <t xml:space="preserve">Wheelchair hire at museums, a rest-on-coach option, a slow group with an assistant, pre-departure medical check, a list of medicines.</t>
  </si>
  <si>
    <t xml:space="preserve">Visas and biometrics</t>
  </si>
  <si>
    <t xml:space="preserve">Schengen and UK visas need separate appointments; slots fill up early in summer.</t>
  </si>
  <si>
    <t xml:space="preserve">Start 4–5 months before. Follow the documents checklist. Keep scans of everything for the UK application.</t>
  </si>
  <si>
    <t xml:space="preserve">Weather disruption</t>
  </si>
  <si>
    <t xml:space="preserve">Titlis cloud or wind closures; summer thunderstorms in the Alps.</t>
  </si>
  <si>
    <t xml:space="preserve">Check webcams the evening before. Swap Titlis with Lucerne if needed; a lake cruise is always possible.</t>
  </si>
  <si>
    <t xml:space="preserve">Lost passport or luggage</t>
  </si>
  <si>
    <t xml:space="preserve">Changes of hotel almost daily (11 hotels).</t>
  </si>
  <si>
    <t xml:space="preserve">Colour luggage tags with the group logo; a daily luggage count; photocopies and phone scans of passports and visas; Indian embassy contacts.</t>
  </si>
  <si>
    <t xml:space="preserve">Group discipline and timekeeping</t>
  </si>
  <si>
    <t xml:space="preserve">40+ people, many stops a day.</t>
  </si>
  <si>
    <t xml:space="preserve">Fixed bus seats rotated daily, a 5-minute call, numbered headcounts, 'meet at the coach door' rule, buddy pairs.</t>
  </si>
  <si>
    <t xml:space="preserve">Health emergencies</t>
  </si>
  <si>
    <t xml:space="preserve">Falls, BP or sugar issues, dehydration, food reactions.</t>
  </si>
  <si>
    <t xml:space="preserve">Travel insurance with a 24×7 helpline, a first-aid kit, 112 (EU) / 999 (UK), the nearest hospital noted for every overnight.</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</si>
  <si>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</si>
  <si>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</si>
  <si>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</si>
  <si>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</si>
  <si>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</si>
  <si>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</si>
  <si>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</si>
  <si>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</si>
  <si>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</si>
  <si>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</si>
  <si>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</si>
  <si>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</si>
  <si>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</si>
  <si>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</si>
  <si>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</si>
  <si>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</si>
  <si>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</si>
  <si>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</si>
  <si>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</si>
  <si>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</si>
  <si>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</si>
  <si>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</si>
  <si>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</si>
  <si>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</si>
  <si>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</si>
  <si>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</si>
  <si>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</si>
  <si>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</si>
  <si>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Passport</t>
  </si>
  <si>
    <t xml:space="preserve">Current passport + previous passports if any. Print the first and last pages, plus pages with travel history (black &amp; white is fine). Valid 3+ months beyond return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</si>
  <si>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</si>
  <si>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</si>
  <si>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</si>
  <si>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</si>
  <si>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</si>
  <si>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</si>
  <si>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</si>
  <si>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</si>
  <si>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</si>
  <si>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</si>
  <si>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</si>
  <si>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</si>
  <si>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</si>
  <si>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</si>
  <si>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</si>
  <si>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hotel confirmations, flight tickets, the filled visa application form.</t>
  </si>
  <si>
    <t xml:space="preserve">UK visa</t>
  </si>
  <si>
    <t xml:space="preserve">Separate application and biometrics (in 2024, held in the 1st week of June).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</si>
  <si>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</si>
  <si>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</si>
  <si>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</si>
  <si>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</si>
  <si>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</si>
  <si>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</si>
  <si>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</si>
  <si>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West End show if not bundled, Leaning Tower climb, Disneyland (Option B), city tourist taxes if charged at the hotel (confirm)</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</si>
  <si>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</si>
  <si>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</si>
  <si>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</si>
  <si>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</si>
  <si>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</si>
  <si>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</si>
  <si>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July</t>
  </si>
  <si>
    <t xml:space="preserve">London 14–23 °C, showers possible; Paris/Brussels/Amsterdam 15–25 °C; Black Forest/Zurich 14–25 °C; Titlis summit 0–5 °C; Milan/Venice/Florence/Rome 22–35 °C. Sunset ~21:15 (London) to ~20:40 (Rome).</t>
  </si>
  <si>
    <t xml:space="preserve">Currency</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</si>
  <si>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</si>
  <si>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</si>
  <si>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</si>
  <si>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</si>
  <si>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</si>
  <si>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</si>
  <si>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</si>
  <si>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</si>
  <si>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</si>
  <si>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</si>
  <si>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</si>
  <si>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</si>
  <si>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4 sets of comfortable clothes + 1 dhoti/saree set for temples, a light jacket + a warm fleece (Titlis),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</si>
  <si>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</si>
  <si>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</si>
  <si>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</si>
  <si>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Rome airport before check-in.</t>
  </si>
</sst>
</file>

<file path=xl/styles.xml><?xml version="1.0" encoding="utf-8"?>
<styleSheet xmlns="http://schemas.openxmlformats.org/spreadsheetml/2006/main">
  <numFmts count="5">
    <numFmt numFmtId="164" formatCode="General"/>
    <numFmt numFmtId="165" formatCode="dd\-mmm\-yy"/>
    <numFmt numFmtId="166" formatCode="#,##0"/>
    <numFmt numFmtId="167" formatCode="[h]:mm"/>
    <numFmt numFmtId="168" formatCode="hh:mm"/>
  </numFmts>
  <fonts count="12">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b val="true"/>
      <sz val="10"/>
      <color rgb="FFFFFFFF"/>
      <name val="Arial"/>
      <family val="0"/>
      <charset val="1"/>
    </font>
    <font>
      <sz val="9"/>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8" fontId="9" fillId="5" borderId="1" xfId="0" applyFont="true" applyBorder="true" applyAlignment="true" applyProtection="false">
      <alignment horizontal="general" vertical="top" textRotation="0" wrapText="true" indent="0" shrinkToFit="false"/>
      <protection locked="true" hidden="false"/>
    </xf>
    <xf numFmtId="166" fontId="9" fillId="5"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Rajiv+Gandhi+International+Airport+Hyderabad" TargetMode="External"/><Relationship Id="rId3" Type="http://schemas.openxmlformats.org/officeDocument/2006/relationships/hyperlink" Target="https://www.google.com/maps/search/?api=1&amp;query=Heathrow+Airport+London" TargetMode="External"/><Relationship Id="rId4" Type="http://schemas.openxmlformats.org/officeDocument/2006/relationships/hyperlink" Target="https://www.google.com/maps/search/?api=1&amp;query=Heathrow+Airport+London" TargetMode="External"/><Relationship Id="rId5" Type="http://schemas.openxmlformats.org/officeDocument/2006/relationships/hyperlink" Target="https://www.google.com/maps/dir/?api=1&amp;origin=Heathrow+Airport+London&amp;destination=Bhaktivedanta+Manor%2C+Hilfield+Lane%2C+Watford+WD25+8EZ&amp;travelmode=driving" TargetMode="External"/><Relationship Id="rId6" Type="http://schemas.openxmlformats.org/officeDocument/2006/relationships/hyperlink" Target="https://www.google.com/maps/search/?api=1&amp;query=Bhaktivedanta+Manor%2C+Hilfield+Lane%2C+Watford+WD25+8EZ" TargetMode="External"/><Relationship Id="rId7" Type="http://schemas.openxmlformats.org/officeDocument/2006/relationships/hyperlink" Target="https://www.google.com/maps/search/?api=1&amp;query=Bhaktivedanta+Manor%2C+Hilfield+Lane%2C+Watford+WD25+8EZ" TargetMode="External"/><Relationship Id="rId8" Type="http://schemas.openxmlformats.org/officeDocument/2006/relationships/hyperlink" Target="https://www.google.com/maps/search/?api=1&amp;query=Bhaktivedanta+Manor%2C+Hilfield+Lane%2C+Watford+WD25+8EZ" TargetMode="External"/><Relationship Id="rId9" Type="http://schemas.openxmlformats.org/officeDocument/2006/relationships/hyperlink" Target="https://www.google.com/maps/dir/?api=1&amp;origin=Bhaktivedanta+Manor%2C+Hilfield+Lane%2C+Watford+WD25+8EZ&amp;destination=Wembley%2C+London&amp;travelmode=driving" TargetMode="External"/><Relationship Id="rId10" Type="http://schemas.openxmlformats.org/officeDocument/2006/relationships/hyperlink" Target="https://www.google.com/maps/search/?api=1&amp;query=Wembley%2C+London" TargetMode="External"/><Relationship Id="rId11" Type="http://schemas.openxmlformats.org/officeDocument/2006/relationships/hyperlink" Target="https://www.google.com/maps/search/?api=1&amp;query=Wembley%2C+London"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dir/?api=1&amp;origin=Wembley%2C+London&amp;destination=Radcliffe+Camera%2C+Oxford&amp;travelmode=driving" TargetMode="External"/><Relationship Id="rId16" Type="http://schemas.openxmlformats.org/officeDocument/2006/relationships/hyperlink" Target="https://www.google.com/maps/search/?api=1&amp;query=Radcliffe+Camera%2C+Oxford" TargetMode="External"/><Relationship Id="rId17" Type="http://schemas.openxmlformats.org/officeDocument/2006/relationships/hyperlink" Target="https://www.google.com/maps/search/?api=1&amp;query=Indian+vegetarian+restaurant+Oxford" TargetMode="External"/><Relationship Id="rId18" Type="http://schemas.openxmlformats.org/officeDocument/2006/relationships/hyperlink" Target="https://www.google.com/maps/dir/?api=1&amp;origin=Radcliffe+Camera%2C+Oxford&amp;destination=Bourton-on-the-Water&amp;travelmode=driving" TargetMode="External"/><Relationship Id="rId19" Type="http://schemas.openxmlformats.org/officeDocument/2006/relationships/hyperlink" Target="https://www.google.com/maps/search/?api=1&amp;query=Bourton-on-the-Water" TargetMode="External"/><Relationship Id="rId20" Type="http://schemas.openxmlformats.org/officeDocument/2006/relationships/hyperlink" Target="https://www.google.com/maps/dir/?api=1&amp;origin=Bourton-on-the-Water&amp;destination=Radha+Krishna+Temple+ISKCON%2C+10+Soho+Street%2C+London&amp;travelmode=driving" TargetMode="External"/><Relationship Id="rId21" Type="http://schemas.openxmlformats.org/officeDocument/2006/relationships/hyperlink" Target="https://www.google.com/maps/search/?api=1&amp;query=Govinda%27s+Restaurant%2C+9-10+Soho+Street%2C+London" TargetMode="External"/><Relationship Id="rId22" Type="http://schemas.openxmlformats.org/officeDocument/2006/relationships/hyperlink" Target="https://www.google.com/maps/search/?api=1&amp;query=Lyceum+Theatre%2C+Wellington+Street%2C+London" TargetMode="External"/><Relationship Id="rId23" Type="http://schemas.openxmlformats.org/officeDocument/2006/relationships/hyperlink" Target="https://www.google.com/maps/dir/?api=1&amp;origin=Lyceum+Theatre%2C+Wellington+Street%2C+London&amp;destination=Wembley%2C+London&amp;travelmode=driving" TargetMode="External"/><Relationship Id="rId24" Type="http://schemas.openxmlformats.org/officeDocument/2006/relationships/hyperlink" Target="https://www.google.com/maps/search/?api=1&amp;query=Wembley%2C+London" TargetMode="External"/><Relationship Id="rId25" Type="http://schemas.openxmlformats.org/officeDocument/2006/relationships/hyperlink" Target="https://www.google.com/maps/search/?api=1&amp;query=Wembley%2C+London" TargetMode="External"/><Relationship Id="rId26" Type="http://schemas.openxmlformats.org/officeDocument/2006/relationships/hyperlink" Target="https://www.google.com/maps/dir/?api=1&amp;origin=Wembley%2C+London&amp;destination=Parliament+Square%2C+London&amp;travelmode=driving" TargetMode="External"/><Relationship Id="rId27" Type="http://schemas.openxmlformats.org/officeDocument/2006/relationships/hyperlink" Target="https://www.google.com/maps/search/?api=1&amp;query=Parliament+Square%2C+London" TargetMode="External"/><Relationship Id="rId28" Type="http://schemas.openxmlformats.org/officeDocument/2006/relationships/hyperlink" Target="https://www.google.com/maps/search/?api=1&amp;query=London+Eye%2C+London" TargetMode="External"/><Relationship Id="rId29" Type="http://schemas.openxmlformats.org/officeDocument/2006/relationships/hyperlink" Target="https://www.google.com/maps/dir/?api=1&amp;origin=London+Eye+Pier%2C+London&amp;destination=Tower+Millennium+Pier%2C+London&amp;travelmode=transit" TargetMode="External"/><Relationship Id="rId30" Type="http://schemas.openxmlformats.org/officeDocument/2006/relationships/hyperlink" Target="https://www.google.com/maps/search/?api=1&amp;query=Tower+of+London" TargetMode="External"/><Relationship Id="rId31" Type="http://schemas.openxmlformats.org/officeDocument/2006/relationships/hyperlink" Target="https://www.google.com/maps/search/?api=1&amp;query=Indian+vegetarian+restaurant+near+Tower+Hill+London" TargetMode="External"/><Relationship Id="rId32" Type="http://schemas.openxmlformats.org/officeDocument/2006/relationships/hyperlink" Target="https://www.google.com/maps/dir/?api=1&amp;origin=Tower+of+London&amp;destination=Madame+Tussauds+London%2C+Marylebone+Road&amp;travelmode=driving" TargetMode="External"/><Relationship Id="rId33" Type="http://schemas.openxmlformats.org/officeDocument/2006/relationships/hyperlink" Target="https://www.google.com/maps/search/?api=1&amp;query=Madame+Tussauds+London%2C+Marylebone+Road" TargetMode="External"/><Relationship Id="rId34" Type="http://schemas.openxmlformats.org/officeDocument/2006/relationships/hyperlink" Target="https://www.google.com/maps/dir/?api=1&amp;origin=Madame+Tussauds+London%2C+Marylebone+Road&amp;destination=Radha+Krishna+Temple+ISKCON%2C+10+Soho+Street%2C+London&amp;travelmode=driving" TargetMode="External"/><Relationship Id="rId35" Type="http://schemas.openxmlformats.org/officeDocument/2006/relationships/hyperlink" Target="https://www.google.com/maps/search/?api=1&amp;query=Radha+Krishna+Temple+ISKCON%2C+10+Soho+Street%2C+London" TargetMode="External"/><Relationship Id="rId36" Type="http://schemas.openxmlformats.org/officeDocument/2006/relationships/hyperlink" Target="https://www.google.com/maps/dir/?api=1&amp;origin=Radha+Krishna+Temple+ISKCON%2C+10+Soho+Street%2C+London&amp;destination=Wembley%2C+London&amp;travelmode=driving" TargetMode="External"/><Relationship Id="rId37" Type="http://schemas.openxmlformats.org/officeDocument/2006/relationships/hyperlink" Target="https://www.google.com/maps/search/?api=1&amp;query=Wembley%2C+London" TargetMode="External"/><Relationship Id="rId38" Type="http://schemas.openxmlformats.org/officeDocument/2006/relationships/hyperlink" Target="https://www.google.com/maps/search/?api=1&amp;query=Wembley%2C+London" TargetMode="External"/><Relationship Id="rId39" Type="http://schemas.openxmlformats.org/officeDocument/2006/relationships/hyperlink" Target="https://www.google.com/maps/search/?api=1&amp;query=Wembley%2C+London" TargetMode="External"/><Relationship Id="rId40" Type="http://schemas.openxmlformats.org/officeDocument/2006/relationships/hyperlink" Target="https://www.google.com/maps/search/?api=1&amp;query=Wembley%2C+London" TargetMode="External"/><Relationship Id="rId41" Type="http://schemas.openxmlformats.org/officeDocument/2006/relationships/hyperlink" Target="https://www.google.com/maps/dir/?api=1&amp;origin=Wembley%2C+London&amp;destination=Port+of+Dover+Eastern+Docks&amp;travelmode=driving" TargetMode="External"/><Relationship Id="rId42" Type="http://schemas.openxmlformats.org/officeDocument/2006/relationships/hyperlink" Target="https://www.google.com/maps/search/?api=1&amp;query=Port+of+Dover+Eastern+Docks" TargetMode="External"/><Relationship Id="rId43" Type="http://schemas.openxmlformats.org/officeDocument/2006/relationships/hyperlink" Target="https://www.google.com/maps/dir/?api=1&amp;origin=Port+of+Dover+Eastern+Docks&amp;destination=Port+of+Calais&amp;travelmode=transit" TargetMode="External"/><Relationship Id="rId44" Type="http://schemas.openxmlformats.org/officeDocument/2006/relationships/hyperlink" Target="https://www.google.com/maps/search/?api=1&amp;query=Port+of+Dover+Eastern+Docks" TargetMode="External"/><Relationship Id="rId45" Type="http://schemas.openxmlformats.org/officeDocument/2006/relationships/hyperlink" Target="https://www.google.com/maps/dir/?api=1&amp;origin=Port+of+Calais&amp;destination=Gare+du+Nord%2C+Paris&amp;travelmode=driving" TargetMode="External"/><Relationship Id="rId46" Type="http://schemas.openxmlformats.org/officeDocument/2006/relationships/hyperlink" Target="https://www.google.com/maps/search/?api=1&amp;query=Gare+du+Nord%2C+Paris" TargetMode="External"/><Relationship Id="rId47" Type="http://schemas.openxmlformats.org/officeDocument/2006/relationships/hyperlink" Target="https://www.google.com/maps/search/?api=1&amp;query=Gare+du+Nord%2C+Paris" TargetMode="External"/><Relationship Id="rId48" Type="http://schemas.openxmlformats.org/officeDocument/2006/relationships/hyperlink" Target="https://www.google.com/maps/dir/?api=1&amp;origin=Gare+du+Nord%2C+Paris&amp;destination=Bateaux+Parisiens%2C+Port+de+la+Bourdonnais%2C+Paris&amp;travelmode=driving" TargetMode="External"/><Relationship Id="rId49" Type="http://schemas.openxmlformats.org/officeDocument/2006/relationships/hyperlink" Target="https://www.google.com/maps/search/?api=1&amp;query=Bateaux+Parisiens%2C+Port+de+la+Bourdonnais%2C+Paris" TargetMode="External"/><Relationship Id="rId50" Type="http://schemas.openxmlformats.org/officeDocument/2006/relationships/hyperlink" Target="https://www.google.com/maps/dir/?api=1&amp;origin=Bateaux+Parisiens%2C+Port+de+la+Bourdonnais%2C+Paris&amp;destination=Gare+du+Nord%2C+Paris&amp;travelmode=driving" TargetMode="External"/><Relationship Id="rId51" Type="http://schemas.openxmlformats.org/officeDocument/2006/relationships/hyperlink" Target="https://www.google.com/maps/search/?api=1&amp;query=Gare+du+Nord%2C+Paris" TargetMode="External"/><Relationship Id="rId52" Type="http://schemas.openxmlformats.org/officeDocument/2006/relationships/hyperlink" Target="https://www.google.com/maps/search/?api=1&amp;query=Gare+du+Nord%2C+Paris" TargetMode="External"/><Relationship Id="rId53" Type="http://schemas.openxmlformats.org/officeDocument/2006/relationships/hyperlink" Target="https://www.google.com/maps/dir/?api=1&amp;origin=Gare+du+Nord%2C+Paris&amp;destination=Arc+de+Triomphe%2C+Paris&amp;travelmode=driving" TargetMode="External"/><Relationship Id="rId54" Type="http://schemas.openxmlformats.org/officeDocument/2006/relationships/hyperlink" Target="https://www.google.com/maps/search/?api=1&amp;query=Arc+de+Triomphe%2C+Paris" TargetMode="External"/><Relationship Id="rId55" Type="http://schemas.openxmlformats.org/officeDocument/2006/relationships/hyperlink" Target="https://www.google.com/maps/dir/?api=1&amp;origin=Arc+de+Triomphe%2C+Paris&amp;destination=Eiffel+Tower%2C+Paris&amp;travelmode=driving" TargetMode="External"/><Relationship Id="rId56" Type="http://schemas.openxmlformats.org/officeDocument/2006/relationships/hyperlink" Target="https://www.google.com/maps/search/?api=1&amp;query=Eiffel+Tower%2C+Paris" TargetMode="External"/><Relationship Id="rId57" Type="http://schemas.openxmlformats.org/officeDocument/2006/relationships/hyperlink" Target="https://www.google.com/maps/dir/?api=1&amp;origin=Eiffel+Tower%2C+Paris&amp;destination=Saravanaa+Bhavan%2C+170+Rue+du+Faubourg+Saint-Denis%2C+Paris&amp;travelmode=driving" TargetMode="External"/><Relationship Id="rId58" Type="http://schemas.openxmlformats.org/officeDocument/2006/relationships/hyperlink" Target="https://www.google.com/maps/search/?api=1&amp;query=Saravanaa+Bhavan%2C+170+Rue+du+Faubourg+Saint-Denis%2C+Paris" TargetMode="External"/><Relationship Id="rId59" Type="http://schemas.openxmlformats.org/officeDocument/2006/relationships/hyperlink" Target="https://www.google.com/maps/dir/?api=1&amp;origin=Saravanaa+Bhavan%2C+170+Rue+du+Faubourg+Saint-Denis%2C+Paris&amp;destination=Notre-Dame+de+Paris&amp;travelmode=driving" TargetMode="External"/><Relationship Id="rId60" Type="http://schemas.openxmlformats.org/officeDocument/2006/relationships/hyperlink" Target="https://www.google.com/maps/search/?api=1&amp;query=Notre-Dame+de+Paris" TargetMode="External"/><Relationship Id="rId61" Type="http://schemas.openxmlformats.org/officeDocument/2006/relationships/hyperlink" Target="https://www.google.com/maps/dir/?api=1&amp;origin=Notre-Dame+de+Paris&amp;destination=ISKCON+Paris%2C+230+Avenue+de+la+Division+Leclerc%2C+Sevran&amp;travelmode=driving" TargetMode="External"/><Relationship Id="rId62" Type="http://schemas.openxmlformats.org/officeDocument/2006/relationships/hyperlink" Target="https://www.google.com/maps/search/?api=1&amp;query=ISKCON+Paris%2C+230+Avenue+de+la+Division+Leclerc%2C+Sevran" TargetMode="External"/><Relationship Id="rId63" Type="http://schemas.openxmlformats.org/officeDocument/2006/relationships/hyperlink" Target="https://www.google.com/maps/dir/?api=1&amp;origin=ISKCON+Paris%2C+230+Avenue+de+la+Division+Leclerc%2C+Sevran&amp;destination=Gare+du+Nord%2C+Paris&amp;travelmode=driving" TargetMode="External"/><Relationship Id="rId64" Type="http://schemas.openxmlformats.org/officeDocument/2006/relationships/hyperlink" Target="https://www.google.com/maps/search/?api=1&amp;query=Gare+du+Nord%2C+Paris" TargetMode="External"/><Relationship Id="rId65" Type="http://schemas.openxmlformats.org/officeDocument/2006/relationships/hyperlink" Target="https://www.google.com/maps/search/?api=1&amp;query=Gare+du+Nord%2C+Paris" TargetMode="External"/><Relationship Id="rId66" Type="http://schemas.openxmlformats.org/officeDocument/2006/relationships/hyperlink" Target="https://www.google.com/maps/search/?api=1&amp;query=Gare+du+Nord%2C+Paris" TargetMode="External"/><Relationship Id="rId67" Type="http://schemas.openxmlformats.org/officeDocument/2006/relationships/hyperlink" Target="https://www.google.com/maps/dir/?api=1&amp;origin=Gare+du+Nord%2C+Paris&amp;destination=New+Mayapur%2C+Ch&#226;teau+d%27Oublaisse%2C+Lu&#231;ay-le-M&#226;le&amp;travelmode=driving" TargetMode="External"/><Relationship Id="rId68" Type="http://schemas.openxmlformats.org/officeDocument/2006/relationships/hyperlink" Target="https://www.google.com/maps/search/?api=1&amp;query=New+Mayapur%2C+Ch&#226;teau+d%27Oublaisse%2C+Lu&#231;ay-le-M&#226;le" TargetMode="External"/><Relationship Id="rId69" Type="http://schemas.openxmlformats.org/officeDocument/2006/relationships/hyperlink" Target="https://www.google.com/maps/search/?api=1&amp;query=New+Mayapur%2C+Ch&#226;teau+d%27Oublaisse%2C+Lu&#231;ay-le-M&#226;le" TargetMode="External"/><Relationship Id="rId70" Type="http://schemas.openxmlformats.org/officeDocument/2006/relationships/hyperlink" Target="https://www.google.com/maps/search/?api=1&amp;query=New+Mayapur%2C+Ch&#226;teau+d%27Oublaisse%2C+Lu&#231;ay-le-M&#226;le" TargetMode="External"/><Relationship Id="rId71" Type="http://schemas.openxmlformats.org/officeDocument/2006/relationships/hyperlink" Target="https://www.google.com/maps/dir/?api=1&amp;origin=New+Mayapur%2C+Ch&#226;teau+d%27Oublaisse%2C+Lu&#231;ay-le-M&#226;le&amp;destination=Gare+du+Nord%2C+Paris&amp;travelmode=driving" TargetMode="External"/><Relationship Id="rId72" Type="http://schemas.openxmlformats.org/officeDocument/2006/relationships/hyperlink" Target="https://www.google.com/maps/search/?api=1&amp;query=Gare+du+Nord%2C+Paris" TargetMode="External"/><Relationship Id="rId73" Type="http://schemas.openxmlformats.org/officeDocument/2006/relationships/hyperlink" Target="https://www.google.com/maps/search/?api=1&amp;query=Gare+du+Nord%2C+Paris" TargetMode="External"/><Relationship Id="rId74" Type="http://schemas.openxmlformats.org/officeDocument/2006/relationships/hyperlink" Target="https://www.google.com/maps/search/?api=1&amp;query=Gare+du+Nord%2C+Paris" TargetMode="External"/><Relationship Id="rId75" Type="http://schemas.openxmlformats.org/officeDocument/2006/relationships/hyperlink" Target="https://www.google.com/maps/search/?api=1&amp;query=Gare+du+Nord%2C+Paris" TargetMode="External"/><Relationship Id="rId76" Type="http://schemas.openxmlformats.org/officeDocument/2006/relationships/hyperlink" Target="https://www.google.com/maps/search/?api=1&amp;query=Gare+du+Nord%2C+Paris" TargetMode="External"/><Relationship Id="rId77" Type="http://schemas.openxmlformats.org/officeDocument/2006/relationships/hyperlink" Target="https://www.google.com/maps/dir/?api=1&amp;origin=Gare+du+Nord%2C+Paris&amp;destination=Louvre+Museum%2C+Paris&amp;travelmode=driving" TargetMode="External"/><Relationship Id="rId78" Type="http://schemas.openxmlformats.org/officeDocument/2006/relationships/hyperlink" Target="https://www.google.com/maps/search/?api=1&amp;query=Louvre+Museum%2C+Paris" TargetMode="External"/><Relationship Id="rId79" Type="http://schemas.openxmlformats.org/officeDocument/2006/relationships/hyperlink" Target="https://www.google.com/maps/dir/?api=1&amp;origin=Louvre+Museum%2C+Paris&amp;destination=Krishna+Bhavan%2C+24+Rue+Cail%2C+Paris&amp;travelmode=driving" TargetMode="External"/><Relationship Id="rId80" Type="http://schemas.openxmlformats.org/officeDocument/2006/relationships/hyperlink" Target="https://www.google.com/maps/search/?api=1&amp;query=Krishna+Bhavan%2C+24+Rue+Cail%2C+Paris" TargetMode="External"/><Relationship Id="rId81" Type="http://schemas.openxmlformats.org/officeDocument/2006/relationships/hyperlink" Target="https://www.google.com/maps/dir/?api=1&amp;origin=Krishna+Bhavan%2C+24+Rue+Cail%2C+Paris&amp;destination=Atomium%2C+Brussels&amp;travelmode=driving" TargetMode="External"/><Relationship Id="rId82" Type="http://schemas.openxmlformats.org/officeDocument/2006/relationships/hyperlink" Target="https://www.google.com/maps/search/?api=1&amp;query=Atomium%2C+Brussels" TargetMode="External"/><Relationship Id="rId83" Type="http://schemas.openxmlformats.org/officeDocument/2006/relationships/hyperlink" Target="https://www.google.com/maps/dir/?api=1&amp;origin=Atomium%2C+Brussels&amp;destination=Grand+Place%2C+Brussels&amp;travelmode=driving" TargetMode="External"/><Relationship Id="rId84" Type="http://schemas.openxmlformats.org/officeDocument/2006/relationships/hyperlink" Target="https://www.google.com/maps/search/?api=1&amp;query=Grand+Place%2C+Brussels" TargetMode="External"/><Relationship Id="rId85" Type="http://schemas.openxmlformats.org/officeDocument/2006/relationships/hyperlink" Target="https://www.google.com/maps/dir/?api=1&amp;origin=Grand+Place%2C+Brussels&amp;destination=Brussels+Central+Station&amp;travelmode=driving" TargetMode="External"/><Relationship Id="rId86" Type="http://schemas.openxmlformats.org/officeDocument/2006/relationships/hyperlink" Target="https://www.google.com/maps/search/?api=1&amp;query=Brussels+Central+Station" TargetMode="External"/><Relationship Id="rId87" Type="http://schemas.openxmlformats.org/officeDocument/2006/relationships/hyperlink" Target="https://www.google.com/maps/search/?api=1&amp;query=Brussels+Central+Station" TargetMode="External"/><Relationship Id="rId88" Type="http://schemas.openxmlformats.org/officeDocument/2006/relationships/hyperlink" Target="https://www.google.com/maps/search/?api=1&amp;query=Brussels+Central+Station" TargetMode="External"/><Relationship Id="rId89" Type="http://schemas.openxmlformats.org/officeDocument/2006/relationships/hyperlink" Target="https://www.google.com/maps/search/?api=1&amp;query=Brussels+Central+Station" TargetMode="External"/><Relationship Id="rId90" Type="http://schemas.openxmlformats.org/officeDocument/2006/relationships/hyperlink" Target="https://www.google.com/maps/search/?api=1&amp;query=Brussels+Central+Station" TargetMode="External"/><Relationship Id="rId91" Type="http://schemas.openxmlformats.org/officeDocument/2006/relationships/hyperlink" Target="https://www.google.com/maps/dir/?api=1&amp;origin=Brussels+Central+Station&amp;destination=Radhadesh%2C+Petite+Somme+5%2C+6940+Durbuy&amp;travelmode=driving" TargetMode="External"/><Relationship Id="rId92" Type="http://schemas.openxmlformats.org/officeDocument/2006/relationships/hyperlink" Target="https://www.google.com/maps/search/?api=1&amp;query=Radhadesh%2C+Petite+Somme+5%2C+6940+Durbuy" TargetMode="External"/><Relationship Id="rId93" Type="http://schemas.openxmlformats.org/officeDocument/2006/relationships/hyperlink" Target="https://www.google.com/maps/search/?api=1&amp;query=Radhadesh%2C+Petite+Somme+5%2C+6940+Durbuy" TargetMode="External"/><Relationship Id="rId94" Type="http://schemas.openxmlformats.org/officeDocument/2006/relationships/hyperlink" Target="https://www.google.com/maps/dir/?api=1&amp;origin=Radhadesh%2C+Petite+Somme+5%2C+6940+Durbuy&amp;destination=Amsterdam+Centraal&amp;travelmode=driving" TargetMode="External"/><Relationship Id="rId95" Type="http://schemas.openxmlformats.org/officeDocument/2006/relationships/hyperlink" Target="https://www.google.com/maps/search/?api=1&amp;query=Amsterdam+Centraal" TargetMode="External"/><Relationship Id="rId96" Type="http://schemas.openxmlformats.org/officeDocument/2006/relationships/hyperlink" Target="https://www.google.com/maps/search/?api=1&amp;query=Amsterdam+Centraal" TargetMode="External"/><Relationship Id="rId97" Type="http://schemas.openxmlformats.org/officeDocument/2006/relationships/hyperlink" Target="https://www.google.com/maps/dir/?api=1&amp;origin=Amsterdam+Centraal&amp;destination=Canal+cruise+Amsterdam+Centraal&amp;travelmode=driving" TargetMode="External"/><Relationship Id="rId98" Type="http://schemas.openxmlformats.org/officeDocument/2006/relationships/hyperlink" Target="https://www.google.com/maps/search/?api=1&amp;query=Canal+cruise+Amsterdam+Centraal" TargetMode="External"/><Relationship Id="rId99" Type="http://schemas.openxmlformats.org/officeDocument/2006/relationships/hyperlink" Target="https://www.google.com/maps/dir/?api=1&amp;origin=Canal+cruise+Amsterdam+Centraal&amp;destination=Amsterdam+Centraal&amp;travelmode=driving" TargetMode="External"/><Relationship Id="rId100" Type="http://schemas.openxmlformats.org/officeDocument/2006/relationships/hyperlink" Target="https://www.google.com/maps/search/?api=1&amp;query=Amsterdam+Centraal" TargetMode="External"/><Relationship Id="rId101" Type="http://schemas.openxmlformats.org/officeDocument/2006/relationships/hyperlink" Target="https://www.google.com/maps/search/?api=1&amp;query=Amsterdam+Centraal" TargetMode="External"/><Relationship Id="rId102" Type="http://schemas.openxmlformats.org/officeDocument/2006/relationships/hyperlink" Target="https://www.google.com/maps/search/?api=1&amp;query=Amsterdam+Centraal" TargetMode="External"/><Relationship Id="rId103" Type="http://schemas.openxmlformats.org/officeDocument/2006/relationships/hyperlink" Target="https://www.google.com/maps/dir/?api=1&amp;origin=Amsterdam+Centraal&amp;destination=Zaanse+Schans&amp;travelmode=driving" TargetMode="External"/><Relationship Id="rId104" Type="http://schemas.openxmlformats.org/officeDocument/2006/relationships/hyperlink" Target="https://www.google.com/maps/search/?api=1&amp;query=Zaanse+Schans" TargetMode="External"/><Relationship Id="rId105" Type="http://schemas.openxmlformats.org/officeDocument/2006/relationships/hyperlink" Target="https://www.google.com/maps/dir/?api=1&amp;origin=Zaanse+Schans&amp;destination=Volendam+harbour&amp;travelmode=driving" TargetMode="External"/><Relationship Id="rId106" Type="http://schemas.openxmlformats.org/officeDocument/2006/relationships/hyperlink" Target="https://www.google.com/maps/search/?api=1&amp;query=Volendam+harbour" TargetMode="External"/><Relationship Id="rId107" Type="http://schemas.openxmlformats.org/officeDocument/2006/relationships/hyperlink" Target="https://www.google.com/maps/search/?api=1&amp;query=Indian+restaurant+Volendam" TargetMode="External"/><Relationship Id="rId108" Type="http://schemas.openxmlformats.org/officeDocument/2006/relationships/hyperlink" Target="https://www.google.com/maps/dir/?api=1&amp;origin=Volendam+harbour&amp;destination=Dam+Square%2C+Amsterdam&amp;travelmode=driving" TargetMode="External"/><Relationship Id="rId109" Type="http://schemas.openxmlformats.org/officeDocument/2006/relationships/hyperlink" Target="https://www.google.com/maps/search/?api=1&amp;query=Dam+Square%2C+Amsterdam" TargetMode="External"/><Relationship Id="rId110" Type="http://schemas.openxmlformats.org/officeDocument/2006/relationships/hyperlink" Target="https://www.google.com/maps/dir/?api=1&amp;origin=Dam+Square%2C+Amsterdam&amp;destination=K&#246;ln+Hauptbahnhof&amp;travelmode=driving" TargetMode="External"/><Relationship Id="rId111" Type="http://schemas.openxmlformats.org/officeDocument/2006/relationships/hyperlink" Target="https://www.google.com/maps/search/?api=1&amp;query=K&#246;ln+Hauptbahnhof" TargetMode="External"/><Relationship Id="rId112" Type="http://schemas.openxmlformats.org/officeDocument/2006/relationships/hyperlink" Target="https://www.google.com/maps/search/?api=1&amp;query=K&#246;ln+Hauptbahnhof" TargetMode="External"/><Relationship Id="rId113" Type="http://schemas.openxmlformats.org/officeDocument/2006/relationships/hyperlink" Target="https://www.google.com/maps/search/?api=1&amp;query=Cologne+Cathedral" TargetMode="External"/><Relationship Id="rId114" Type="http://schemas.openxmlformats.org/officeDocument/2006/relationships/hyperlink" Target="https://www.google.com/maps/search/?api=1&amp;query=K&#246;ln+Hauptbahnhof" TargetMode="External"/><Relationship Id="rId115" Type="http://schemas.openxmlformats.org/officeDocument/2006/relationships/hyperlink" Target="https://www.google.com/maps/search/?api=1&amp;query=K&#246;ln+Hauptbahnhof" TargetMode="External"/><Relationship Id="rId116" Type="http://schemas.openxmlformats.org/officeDocument/2006/relationships/hyperlink" Target="https://www.google.com/maps/search/?api=1&amp;query=K&#246;ln+Hauptbahnhof" TargetMode="External"/><Relationship Id="rId117" Type="http://schemas.openxmlformats.org/officeDocument/2006/relationships/hyperlink" Target="https://www.google.com/maps/dir/?api=1&amp;origin=K&#246;ln+Hauptbahnhof&amp;destination=Cologne+Cathedral&amp;travelmode=driving" TargetMode="External"/><Relationship Id="rId118" Type="http://schemas.openxmlformats.org/officeDocument/2006/relationships/hyperlink" Target="https://www.google.com/maps/search/?api=1&amp;query=Cologne+Cathedral" TargetMode="External"/><Relationship Id="rId119" Type="http://schemas.openxmlformats.org/officeDocument/2006/relationships/hyperlink" Target="https://www.google.com/maps/dir/?api=1&amp;origin=Cologne+Cathedral&amp;destination=ISKCON+Hare+Krishna+Tempel+K&#246;ln&amp;travelmode=driving" TargetMode="External"/><Relationship Id="rId120" Type="http://schemas.openxmlformats.org/officeDocument/2006/relationships/hyperlink" Target="https://www.google.com/maps/search/?api=1&amp;query=ISKCON+Hare+Krishna+Tempel+K&#246;ln" TargetMode="External"/><Relationship Id="rId121" Type="http://schemas.openxmlformats.org/officeDocument/2006/relationships/hyperlink" Target="https://www.google.com/maps/dir/?api=1&amp;origin=ISKCON+Hare+Krishna+Tempel+K&#246;ln&amp;destination=Goloka+Dham%2C+Abentheuer%2C+Germany&amp;travelmode=driving" TargetMode="External"/><Relationship Id="rId122" Type="http://schemas.openxmlformats.org/officeDocument/2006/relationships/hyperlink" Target="https://www.google.com/maps/search/?api=1&amp;query=Goloka+Dham%2C+Abentheuer%2C+Germany" TargetMode="External"/><Relationship Id="rId123" Type="http://schemas.openxmlformats.org/officeDocument/2006/relationships/hyperlink" Target="https://www.google.com/maps/search/?api=1&amp;query=Goloka+Dham%2C+Abentheuer%2C+Germany" TargetMode="External"/><Relationship Id="rId124" Type="http://schemas.openxmlformats.org/officeDocument/2006/relationships/hyperlink" Target="https://www.google.com/maps/dir/?api=1&amp;origin=Goloka+Dham%2C+Abentheuer%2C+Germany&amp;destination=Titisee-Neustadt&amp;travelmode=driving" TargetMode="External"/><Relationship Id="rId125" Type="http://schemas.openxmlformats.org/officeDocument/2006/relationships/hyperlink" Target="https://www.google.com/maps/search/?api=1&amp;query=Titisee-Neustadt" TargetMode="External"/><Relationship Id="rId126" Type="http://schemas.openxmlformats.org/officeDocument/2006/relationships/hyperlink" Target="https://www.google.com/maps/search/?api=1&amp;query=Titisee-Neustadt" TargetMode="External"/><Relationship Id="rId127" Type="http://schemas.openxmlformats.org/officeDocument/2006/relationships/hyperlink" Target="https://www.google.com/maps/search/?api=1&amp;query=Titisee-Neustadt" TargetMode="External"/><Relationship Id="rId128" Type="http://schemas.openxmlformats.org/officeDocument/2006/relationships/hyperlink" Target="https://www.google.com/maps/search/?api=1&amp;query=Titisee-Neustadt" TargetMode="External"/><Relationship Id="rId129" Type="http://schemas.openxmlformats.org/officeDocument/2006/relationships/hyperlink" Target="https://www.google.com/maps/search/?api=1&amp;query=Titisee-Neustadt" TargetMode="External"/><Relationship Id="rId130" Type="http://schemas.openxmlformats.org/officeDocument/2006/relationships/hyperlink" Target="https://www.google.com/maps/search/?api=1&amp;query=Seestra&#223;e%2C+Titisee-Neustadt" TargetMode="External"/><Relationship Id="rId131" Type="http://schemas.openxmlformats.org/officeDocument/2006/relationships/hyperlink" Target="https://www.google.com/maps/dir/?api=1&amp;origin=Seestra&#223;e%2C+Titisee-Neustadt&amp;destination=Rheinfall%2C+Neuhausen+am+Rheinfall&amp;travelmode=driving" TargetMode="External"/><Relationship Id="rId132" Type="http://schemas.openxmlformats.org/officeDocument/2006/relationships/hyperlink" Target="https://www.google.com/maps/search/?api=1&amp;query=Rheinfall%2C+Neuhausen+am+Rheinfall" TargetMode="External"/><Relationship Id="rId133" Type="http://schemas.openxmlformats.org/officeDocument/2006/relationships/hyperlink" Target="https://www.google.com/maps/search/?api=1&amp;query=Indian+restaurant+Schaffhausen" TargetMode="External"/><Relationship Id="rId134" Type="http://schemas.openxmlformats.org/officeDocument/2006/relationships/hyperlink" Target="https://www.google.com/maps/dir/?api=1&amp;origin=Rheinfall%2C+Neuhausen+am+Rheinfall&amp;destination=B&#252;rkliplatz%2C+Z&#252;rich&amp;travelmode=driving" TargetMode="External"/><Relationship Id="rId135" Type="http://schemas.openxmlformats.org/officeDocument/2006/relationships/hyperlink" Target="https://www.google.com/maps/search/?api=1&amp;query=B&#252;rkliplatz%2C+Z&#252;rich" TargetMode="External"/><Relationship Id="rId136" Type="http://schemas.openxmlformats.org/officeDocument/2006/relationships/hyperlink" Target="https://www.google.com/maps/dir/?api=1&amp;origin=B&#252;rkliplatz%2C+Z&#252;rich&amp;destination=Krishna+Tempel%2C+Bergstrasse+54%2C+8032+Z&#252;rich&amp;travelmode=driving" TargetMode="External"/><Relationship Id="rId137" Type="http://schemas.openxmlformats.org/officeDocument/2006/relationships/hyperlink" Target="https://www.google.com/maps/search/?api=1&amp;query=Krishna+Tempel%2C+Bergstrasse+54%2C+8032+Z&#252;rich" TargetMode="External"/><Relationship Id="rId138" Type="http://schemas.openxmlformats.org/officeDocument/2006/relationships/hyperlink" Target="https://www.google.com/maps/dir/?api=1&amp;origin=Krishna+Tempel%2C+Bergstrasse+54%2C+8032+Z&#252;rich&amp;destination=Z&#252;rich+Hauptbahnhof&amp;travelmode=driving" TargetMode="External"/><Relationship Id="rId139" Type="http://schemas.openxmlformats.org/officeDocument/2006/relationships/hyperlink" Target="https://www.google.com/maps/search/?api=1&amp;query=Z&#252;rich+Hauptbahnhof" TargetMode="External"/><Relationship Id="rId140" Type="http://schemas.openxmlformats.org/officeDocument/2006/relationships/hyperlink" Target="https://www.google.com/maps/search/?api=1&amp;query=Z&#252;rich+Hauptbahnhof" TargetMode="External"/><Relationship Id="rId141" Type="http://schemas.openxmlformats.org/officeDocument/2006/relationships/hyperlink" Target="https://www.google.com/maps/search/?api=1&amp;query=Z&#252;rich+Hauptbahnhof" TargetMode="External"/><Relationship Id="rId142" Type="http://schemas.openxmlformats.org/officeDocument/2006/relationships/hyperlink" Target="https://www.google.com/maps/search/?api=1&amp;query=Z&#252;rich+Hauptbahnhof" TargetMode="External"/><Relationship Id="rId143" Type="http://schemas.openxmlformats.org/officeDocument/2006/relationships/hyperlink" Target="https://www.google.com/maps/dir/?api=1&amp;origin=Z&#252;rich+Hauptbahnhof&amp;destination=Titlis+Talstation%2C+Engelberg&amp;travelmode=driving" TargetMode="External"/><Relationship Id="rId144" Type="http://schemas.openxmlformats.org/officeDocument/2006/relationships/hyperlink" Target="https://www.google.com/maps/search/?api=1&amp;query=Titlis+Talstation%2C+Engelberg" TargetMode="External"/><Relationship Id="rId145" Type="http://schemas.openxmlformats.org/officeDocument/2006/relationships/hyperlink" Target="https://www.google.com/maps/search/?api=1&amp;query=Titlis+Bergstation+Restaurant" TargetMode="External"/><Relationship Id="rId146" Type="http://schemas.openxmlformats.org/officeDocument/2006/relationships/hyperlink" Target="https://www.google.com/maps/search/?api=1&amp;query=Titlis+Talstation%2C+Engelberg" TargetMode="External"/><Relationship Id="rId147" Type="http://schemas.openxmlformats.org/officeDocument/2006/relationships/hyperlink" Target="https://www.google.com/maps/dir/?api=1&amp;origin=Titlis+Talstation%2C+Engelberg&amp;destination=Lion+Monument%2C+Lucerne&amp;travelmode=driving" TargetMode="External"/><Relationship Id="rId148" Type="http://schemas.openxmlformats.org/officeDocument/2006/relationships/hyperlink" Target="https://www.google.com/maps/search/?api=1&amp;query=Lion+Monument%2C+Lucerne" TargetMode="External"/><Relationship Id="rId149" Type="http://schemas.openxmlformats.org/officeDocument/2006/relationships/hyperlink" Target="https://www.google.com/maps/search/?api=1&amp;query=Chapel+Bridge%2C+Lucerne" TargetMode="External"/><Relationship Id="rId150" Type="http://schemas.openxmlformats.org/officeDocument/2006/relationships/hyperlink" Target="https://www.google.com/maps/search/?api=1&amp;query=Lake+Lucerne+Navigation+Company%2C+Lucerne" TargetMode="External"/><Relationship Id="rId151" Type="http://schemas.openxmlformats.org/officeDocument/2006/relationships/hyperlink" Target="https://www.google.com/maps/dir/?api=1&amp;origin=Luzern+Bahnhof&amp;destination=Interlaken+Ost&amp;travelmode=transit" TargetMode="External"/><Relationship Id="rId152" Type="http://schemas.openxmlformats.org/officeDocument/2006/relationships/hyperlink" Target="https://www.google.com/maps/search/?api=1&amp;query=H&#246;heweg%2C+Interlaken" TargetMode="External"/><Relationship Id="rId153" Type="http://schemas.openxmlformats.org/officeDocument/2006/relationships/hyperlink" Target="https://www.google.com/maps/search/?api=1&amp;query=H&#246;heweg%2C+Interlaken" TargetMode="External"/><Relationship Id="rId154" Type="http://schemas.openxmlformats.org/officeDocument/2006/relationships/hyperlink" Target="https://www.google.com/maps/search/?api=1&amp;query=H&#246;heweg%2C+Interlaken" TargetMode="External"/><Relationship Id="rId155" Type="http://schemas.openxmlformats.org/officeDocument/2006/relationships/hyperlink" Target="https://www.google.com/maps/search/?api=1&amp;query=H&#246;heweg%2C+Interlaken" TargetMode="External"/><Relationship Id="rId156" Type="http://schemas.openxmlformats.org/officeDocument/2006/relationships/hyperlink" Target="https://www.google.com/maps/search/?api=1&amp;query=H&#246;hematte%2C+Interlaken" TargetMode="External"/><Relationship Id="rId157" Type="http://schemas.openxmlformats.org/officeDocument/2006/relationships/hyperlink" Target="https://www.google.com/maps/search/?api=1&amp;query=H&#246;heweg%2C+Interlaken" TargetMode="External"/><Relationship Id="rId158" Type="http://schemas.openxmlformats.org/officeDocument/2006/relationships/hyperlink" Target="https://www.google.com/maps/dir/?api=1&amp;origin=H&#246;heweg%2C+Interlaken&amp;destination=Piazza+Cavour%2C+Como&amp;travelmode=driving" TargetMode="External"/><Relationship Id="rId159" Type="http://schemas.openxmlformats.org/officeDocument/2006/relationships/hyperlink" Target="https://www.google.com/maps/search/?api=1&amp;query=Indian+restaurant+Como" TargetMode="External"/><Relationship Id="rId160" Type="http://schemas.openxmlformats.org/officeDocument/2006/relationships/hyperlink" Target="https://www.google.com/maps/search/?api=1&amp;query=Piazza+Cavour%2C+Como" TargetMode="External"/><Relationship Id="rId161" Type="http://schemas.openxmlformats.org/officeDocument/2006/relationships/hyperlink" Target="https://www.google.com/maps/dir/?api=1&amp;origin=Piazza+Cavour%2C+Como&amp;destination=Villaggio+Hare+Krishna%2C+Bergamo&amp;travelmode=driving" TargetMode="External"/><Relationship Id="rId162" Type="http://schemas.openxmlformats.org/officeDocument/2006/relationships/hyperlink" Target="https://www.google.com/maps/search/?api=1&amp;query=Villaggio+Hare+Krishna%2C+Bergamo" TargetMode="External"/><Relationship Id="rId163" Type="http://schemas.openxmlformats.org/officeDocument/2006/relationships/hyperlink" Target="https://www.google.com/maps/dir/?api=1&amp;origin=Villaggio+Hare+Krishna%2C+Bergamo&amp;destination=Milano+Centrale&amp;travelmode=driving" TargetMode="External"/><Relationship Id="rId164" Type="http://schemas.openxmlformats.org/officeDocument/2006/relationships/hyperlink" Target="https://www.google.com/maps/search/?api=1&amp;query=Milano+Centrale" TargetMode="External"/><Relationship Id="rId165" Type="http://schemas.openxmlformats.org/officeDocument/2006/relationships/hyperlink" Target="https://www.google.com/maps/search/?api=1&amp;query=Milano+Centrale" TargetMode="External"/><Relationship Id="rId166" Type="http://schemas.openxmlformats.org/officeDocument/2006/relationships/hyperlink" Target="https://www.google.com/maps/search/?api=1&amp;query=Milano+Centrale" TargetMode="External"/><Relationship Id="rId167" Type="http://schemas.openxmlformats.org/officeDocument/2006/relationships/hyperlink" Target="https://www.google.com/maps/search/?api=1&amp;query=Milano+Centrale" TargetMode="External"/><Relationship Id="rId168" Type="http://schemas.openxmlformats.org/officeDocument/2006/relationships/hyperlink" Target="https://www.google.com/maps/dir/?api=1&amp;origin=Milano+Centrale&amp;destination=Duomo+di+Milano&amp;travelmode=driving" TargetMode="External"/><Relationship Id="rId169" Type="http://schemas.openxmlformats.org/officeDocument/2006/relationships/hyperlink" Target="https://www.google.com/maps/search/?api=1&amp;query=Duomo+di+Milano" TargetMode="External"/><Relationship Id="rId170" Type="http://schemas.openxmlformats.org/officeDocument/2006/relationships/hyperlink" Target="https://www.google.com/maps/dir/?api=1&amp;origin=Duomo+di+Milano&amp;destination=Prabhupada+Desh%2C+Albettone&amp;travelmode=driving" TargetMode="External"/><Relationship Id="rId171" Type="http://schemas.openxmlformats.org/officeDocument/2006/relationships/hyperlink" Target="https://www.google.com/maps/search/?api=1&amp;query=Prabhupada+Desh%2C+Albettone" TargetMode="External"/><Relationship Id="rId172" Type="http://schemas.openxmlformats.org/officeDocument/2006/relationships/hyperlink" Target="https://www.google.com/maps/search/?api=1&amp;query=Prabhupada+Desh%2C+Albettone" TargetMode="External"/><Relationship Id="rId173" Type="http://schemas.openxmlformats.org/officeDocument/2006/relationships/hyperlink" Target="https://www.google.com/maps/dir/?api=1&amp;origin=Prabhupada+Desh%2C+Albettone&amp;destination=Basilica+di+Sant%27Antonio%2C+Padova&amp;travelmode=driving" TargetMode="External"/><Relationship Id="rId174" Type="http://schemas.openxmlformats.org/officeDocument/2006/relationships/hyperlink" Target="https://www.google.com/maps/search/?api=1&amp;query=Basilica+di+Sant%27Antonio%2C+Padova" TargetMode="External"/><Relationship Id="rId175" Type="http://schemas.openxmlformats.org/officeDocument/2006/relationships/hyperlink" Target="https://www.google.com/maps/dir/?api=1&amp;origin=Basilica+di+Sant%27Antonio%2C+Padova&amp;destination=Tronchetto%2C+Venezia&amp;travelmode=driving" TargetMode="External"/><Relationship Id="rId176" Type="http://schemas.openxmlformats.org/officeDocument/2006/relationships/hyperlink" Target="https://www.google.com/maps/search/?api=1&amp;query=Piazza+San+Marco%2C+Venezia" TargetMode="External"/><Relationship Id="rId177" Type="http://schemas.openxmlformats.org/officeDocument/2006/relationships/hyperlink" Target="https://www.google.com/maps/dir/?api=1&amp;origin=Tronchetto%2C+Venezia&amp;destination=Mestre%2C+Venezia&amp;travelmode=driving" TargetMode="External"/><Relationship Id="rId178" Type="http://schemas.openxmlformats.org/officeDocument/2006/relationships/hyperlink" Target="https://www.google.com/maps/search/?api=1&amp;query=Mestre%2C+Venezia" TargetMode="External"/><Relationship Id="rId179" Type="http://schemas.openxmlformats.org/officeDocument/2006/relationships/hyperlink" Target="https://www.google.com/maps/search/?api=1&amp;query=Mestre%2C+Venezia" TargetMode="External"/><Relationship Id="rId180" Type="http://schemas.openxmlformats.org/officeDocument/2006/relationships/hyperlink" Target="https://www.google.com/maps/search/?api=1&amp;query=Mestre%2C+Venezia" TargetMode="External"/><Relationship Id="rId181" Type="http://schemas.openxmlformats.org/officeDocument/2006/relationships/hyperlink" Target="https://www.google.com/maps/search/?api=1&amp;query=Mestre%2C+Venezia" TargetMode="External"/><Relationship Id="rId182" Type="http://schemas.openxmlformats.org/officeDocument/2006/relationships/hyperlink" Target="https://www.google.com/maps/dir/?api=1&amp;origin=Mestre%2C+Venezia&amp;destination=Piazza+dei+Miracoli%2C+Pisa&amp;travelmode=driving" TargetMode="External"/><Relationship Id="rId183" Type="http://schemas.openxmlformats.org/officeDocument/2006/relationships/hyperlink" Target="https://www.google.com/maps/search/?api=1&amp;query=Piazza+dei+Miracoli%2C+Pisa" TargetMode="External"/><Relationship Id="rId184" Type="http://schemas.openxmlformats.org/officeDocument/2006/relationships/hyperlink" Target="https://www.google.com/maps/dir/?api=1&amp;origin=Piazza+dei+Miracoli%2C+Pisa&amp;destination=Villa+Vrindavan%2C+Via+Scopeti+108%2C+San+Casciano+in+Val+di+Pesa&amp;travelmode=driving" TargetMode="External"/><Relationship Id="rId185" Type="http://schemas.openxmlformats.org/officeDocument/2006/relationships/hyperlink" Target="https://www.google.com/maps/search/?api=1&amp;query=Villa+Vrindavan%2C+Via+Scopeti+108%2C+San+Casciano+in+Val+di+Pesa" TargetMode="External"/><Relationship Id="rId186" Type="http://schemas.openxmlformats.org/officeDocument/2006/relationships/hyperlink" Target="https://www.google.com/maps/search/?api=1&amp;query=Villa+Vrindavan%2C+Via+Scopeti+108%2C+San+Casciano+in+Val+di+Pesa" TargetMode="External"/><Relationship Id="rId187" Type="http://schemas.openxmlformats.org/officeDocument/2006/relationships/hyperlink" Target="https://www.google.com/maps/dir/?api=1&amp;origin=Villa+Vrindavan%2C+Via+Scopeti+108%2C+San+Casciano+in+Val+di+Pesa&amp;destination=Piazza+della+Signoria%2C+Firenze&amp;travelmode=driving" TargetMode="External"/><Relationship Id="rId188" Type="http://schemas.openxmlformats.org/officeDocument/2006/relationships/hyperlink" Target="https://www.google.com/maps/search/?api=1&amp;query=Piazza+della+Signoria%2C+Firenze" TargetMode="External"/><Relationship Id="rId189" Type="http://schemas.openxmlformats.org/officeDocument/2006/relationships/hyperlink" Target="https://www.google.com/maps/dir/?api=1&amp;origin=Piazza+della+Signoria%2C+Firenze&amp;destination=Piazzale+Michelangelo%2C+Firenze&amp;travelmode=driving" TargetMode="External"/><Relationship Id="rId190" Type="http://schemas.openxmlformats.org/officeDocument/2006/relationships/hyperlink" Target="https://www.google.com/maps/search/?api=1&amp;query=Piazzale+Michelangelo%2C+Firenze" TargetMode="External"/><Relationship Id="rId191" Type="http://schemas.openxmlformats.org/officeDocument/2006/relationships/hyperlink" Target="https://www.google.com/maps/dir/?api=1&amp;origin=Piazzale+Michelangelo%2C+Firenze&amp;destination=Firenze+Santa+Maria+Novella&amp;travelmode=driving" TargetMode="External"/><Relationship Id="rId192" Type="http://schemas.openxmlformats.org/officeDocument/2006/relationships/hyperlink" Target="https://www.google.com/maps/search/?api=1&amp;query=Firenze+Santa+Maria+Novella" TargetMode="External"/><Relationship Id="rId193" Type="http://schemas.openxmlformats.org/officeDocument/2006/relationships/hyperlink" Target="https://www.google.com/maps/search/?api=1&amp;query=Firenze+Santa+Maria+Novella" TargetMode="External"/><Relationship Id="rId194" Type="http://schemas.openxmlformats.org/officeDocument/2006/relationships/hyperlink" Target="https://www.google.com/maps/search/?api=1&amp;query=Firenze+Santa+Maria+Novella" TargetMode="External"/><Relationship Id="rId195" Type="http://schemas.openxmlformats.org/officeDocument/2006/relationships/hyperlink" Target="https://www.google.com/maps/search/?api=1&amp;query=Firenze+Santa+Maria+Novella" TargetMode="External"/><Relationship Id="rId196" Type="http://schemas.openxmlformats.org/officeDocument/2006/relationships/hyperlink" Target="https://www.google.com/maps/dir/?api=1&amp;origin=Firenze+Santa+Maria+Novella&amp;destination=Vatican+Museums%2C+Vatican+City&amp;travelmode=driving" TargetMode="External"/><Relationship Id="rId197" Type="http://schemas.openxmlformats.org/officeDocument/2006/relationships/hyperlink" Target="https://www.google.com/maps/search/?api=1&amp;query=Vatican+Museums%2C+Vatican+City" TargetMode="External"/><Relationship Id="rId198" Type="http://schemas.openxmlformats.org/officeDocument/2006/relationships/hyperlink" Target="https://www.google.com/maps/search/?api=1&amp;query=Indian+restaurant+near+Vatican+Rome" TargetMode="External"/><Relationship Id="rId199" Type="http://schemas.openxmlformats.org/officeDocument/2006/relationships/hyperlink" Target="https://www.google.com/maps/dir/?api=1&amp;origin=Indian+restaurant+near+Vatican+Rome&amp;destination=Colosseum%2C+Rome&amp;travelmode=driving" TargetMode="External"/><Relationship Id="rId200" Type="http://schemas.openxmlformats.org/officeDocument/2006/relationships/hyperlink" Target="https://www.google.com/maps/search/?api=1&amp;query=Colosseum%2C+Rome" TargetMode="External"/><Relationship Id="rId201" Type="http://schemas.openxmlformats.org/officeDocument/2006/relationships/hyperlink" Target="https://www.google.com/maps/dir/?api=1&amp;origin=Colosseum%2C+Rome&amp;destination=Trevi+Fountain%2C+Rome&amp;travelmode=driving" TargetMode="External"/><Relationship Id="rId202" Type="http://schemas.openxmlformats.org/officeDocument/2006/relationships/hyperlink" Target="https://www.google.com/maps/search/?api=1&amp;query=Trevi+Fountain%2C+Rome" TargetMode="External"/><Relationship Id="rId203" Type="http://schemas.openxmlformats.org/officeDocument/2006/relationships/hyperlink" Target="https://www.google.com/maps/search/?api=1&amp;query=Trevi+Fountain%2C+Rome" TargetMode="External"/><Relationship Id="rId204" Type="http://schemas.openxmlformats.org/officeDocument/2006/relationships/hyperlink" Target="https://www.google.com/maps/dir/?api=1&amp;origin=Trevi+Fountain%2C+Rome&amp;destination=Rome+Fiumicino+Airport&amp;travelmode=driving" TargetMode="External"/><Relationship Id="rId205" Type="http://schemas.openxmlformats.org/officeDocument/2006/relationships/hyperlink" Target="https://www.google.com/maps/search/?api=1&amp;query=Rome+Fiumicino+Airport" TargetMode="External"/><Relationship Id="rId206" Type="http://schemas.openxmlformats.org/officeDocument/2006/relationships/hyperlink" Target="https://www.google.com/maps/search/?api=1&amp;query=Rajiv+Gandhi+International+Airport+Hyderabad" TargetMode="External"/><Relationship Id="rId207"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Bhaktivedanta+Manor%2C+Hilfield+Lane%2C+Watford+WD25+8EZ"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Indian+vegetarian+restaurant+Oxford" TargetMode="External"/><Relationship Id="rId5" Type="http://schemas.openxmlformats.org/officeDocument/2006/relationships/hyperlink" Target="https://www.google.com/maps/search/?api=1&amp;query=Govinda%27s+Restaurant%2C+9-10+Soho+Street%2C+London"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New+Mayapur%2C+Ch&#226;teau+d%27Oublaisse%2C+Lu&#231;ay-le-M&#226;le" TargetMode="External"/><Relationship Id="rId17" Type="http://schemas.openxmlformats.org/officeDocument/2006/relationships/hyperlink" Target="https://www.google.com/maps/search/?api=1&amp;query=Gare+du+Nord%2C+Paris" TargetMode="External"/><Relationship Id="rId18" Type="http://schemas.openxmlformats.org/officeDocument/2006/relationships/hyperlink" Target="https://www.google.com/maps/search/?api=1&amp;query=Gare+du+Nord%2C+Paris" TargetMode="External"/><Relationship Id="rId19" Type="http://schemas.openxmlformats.org/officeDocument/2006/relationships/hyperlink" Target="https://www.google.com/maps/search/?api=1&amp;query=Krishna+Bhavan%2C+24+Rue+Cail%2C+Paris" TargetMode="External"/><Relationship Id="rId20" Type="http://schemas.openxmlformats.org/officeDocument/2006/relationships/hyperlink" Target="https://www.google.com/maps/search/?api=1&amp;query=Brussels+Central+Station" TargetMode="External"/><Relationship Id="rId21" Type="http://schemas.openxmlformats.org/officeDocument/2006/relationships/hyperlink" Target="https://www.google.com/maps/search/?api=1&amp;query=Brussels+Central+Station" TargetMode="External"/><Relationship Id="rId22" Type="http://schemas.openxmlformats.org/officeDocument/2006/relationships/hyperlink" Target="https://www.google.com/maps/search/?api=1&amp;query=Radhadesh%2C+Petite+Somme+5%2C+6940+Durbuy" TargetMode="External"/><Relationship Id="rId23" Type="http://schemas.openxmlformats.org/officeDocument/2006/relationships/hyperlink" Target="https://www.google.com/maps/search/?api=1&amp;query=Amsterdam+Centraal" TargetMode="External"/><Relationship Id="rId24" Type="http://schemas.openxmlformats.org/officeDocument/2006/relationships/hyperlink" Target="https://www.google.com/maps/search/?api=1&amp;query=Amsterdam+Centraal" TargetMode="External"/><Relationship Id="rId25" Type="http://schemas.openxmlformats.org/officeDocument/2006/relationships/hyperlink" Target="https://www.google.com/maps/search/?api=1&amp;query=Indian+restaurant+Volendam" TargetMode="External"/><Relationship Id="rId26" Type="http://schemas.openxmlformats.org/officeDocument/2006/relationships/hyperlink" Target="https://www.google.com/maps/search/?api=1&amp;query=K&#246;ln+Hauptbahnhof" TargetMode="External"/><Relationship Id="rId27" Type="http://schemas.openxmlformats.org/officeDocument/2006/relationships/hyperlink" Target="https://www.google.com/maps/search/?api=1&amp;query=K&#246;ln+Hauptbahnhof" TargetMode="External"/><Relationship Id="rId28" Type="http://schemas.openxmlformats.org/officeDocument/2006/relationships/hyperlink" Target="https://www.google.com/maps/search/?api=1&amp;query=Goloka+Dham%2C+Abentheuer%2C+Germany" TargetMode="External"/><Relationship Id="rId29" Type="http://schemas.openxmlformats.org/officeDocument/2006/relationships/hyperlink" Target="https://www.google.com/maps/search/?api=1&amp;query=Titisee-Neustadt" TargetMode="External"/><Relationship Id="rId30" Type="http://schemas.openxmlformats.org/officeDocument/2006/relationships/hyperlink" Target="https://www.google.com/maps/search/?api=1&amp;query=Titisee-Neustadt" TargetMode="External"/><Relationship Id="rId31" Type="http://schemas.openxmlformats.org/officeDocument/2006/relationships/hyperlink" Target="https://www.google.com/maps/search/?api=1&amp;query=Indian+restaurant+Schaffhausen" TargetMode="External"/><Relationship Id="rId32" Type="http://schemas.openxmlformats.org/officeDocument/2006/relationships/hyperlink" Target="https://www.google.com/maps/search/?api=1&amp;query=Z&#252;rich+Hauptbahnhof" TargetMode="External"/><Relationship Id="rId33" Type="http://schemas.openxmlformats.org/officeDocument/2006/relationships/hyperlink" Target="https://www.google.com/maps/search/?api=1&amp;query=Z&#252;rich+Hauptbahnhof" TargetMode="External"/><Relationship Id="rId34" Type="http://schemas.openxmlformats.org/officeDocument/2006/relationships/hyperlink" Target="https://www.google.com/maps/search/?api=1&amp;query=Titlis+Bergstation+Restaurant" TargetMode="External"/><Relationship Id="rId35" Type="http://schemas.openxmlformats.org/officeDocument/2006/relationships/hyperlink" Target="https://www.google.com/maps/search/?api=1&amp;query=H&#246;heweg%2C+Interlaken" TargetMode="External"/><Relationship Id="rId36" Type="http://schemas.openxmlformats.org/officeDocument/2006/relationships/hyperlink" Target="https://www.google.com/maps/search/?api=1&amp;query=H&#246;heweg%2C+Interlaken" TargetMode="External"/><Relationship Id="rId37" Type="http://schemas.openxmlformats.org/officeDocument/2006/relationships/hyperlink" Target="https://www.google.com/maps/search/?api=1&amp;query=Indian+restaurant+Como" TargetMode="External"/><Relationship Id="rId38" Type="http://schemas.openxmlformats.org/officeDocument/2006/relationships/hyperlink" Target="https://www.google.com/maps/search/?api=1&amp;query=Milano+Centrale" TargetMode="External"/><Relationship Id="rId39" Type="http://schemas.openxmlformats.org/officeDocument/2006/relationships/hyperlink" Target="https://www.google.com/maps/search/?api=1&amp;query=Milano+Centrale" TargetMode="External"/><Relationship Id="rId40" Type="http://schemas.openxmlformats.org/officeDocument/2006/relationships/hyperlink" Target="https://www.google.com/maps/search/?api=1&amp;query=Prabhupada+Desh%2C+Albettone" TargetMode="External"/><Relationship Id="rId41" Type="http://schemas.openxmlformats.org/officeDocument/2006/relationships/hyperlink" Target="https://www.google.com/maps/search/?api=1&amp;query=Mestre%2C+Venezia" TargetMode="External"/><Relationship Id="rId42" Type="http://schemas.openxmlformats.org/officeDocument/2006/relationships/hyperlink" Target="https://www.google.com/maps/search/?api=1&amp;query=Mestre%2C+Venezi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Firenze+Santa+Maria+Novella" TargetMode="External"/><Relationship Id="rId45" Type="http://schemas.openxmlformats.org/officeDocument/2006/relationships/hyperlink" Target="https://www.google.com/maps/search/?api=1&amp;query=Firenze+Santa+Maria+Novella" TargetMode="External"/><Relationship Id="rId46" Type="http://schemas.openxmlformats.org/officeDocument/2006/relationships/hyperlink" Target="https://www.google.com/maps/search/?api=1&amp;query=Indian+restaurant+near+Vatican+Rome" TargetMode="External"/><Relationship Id="rId47" Type="http://schemas.openxmlformats.org/officeDocument/2006/relationships/hyperlink" Target="https://www.google.com/maps/search/?api=1&amp;query=Trevi+Fountain%2C+Rome"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Bhaktivedanta+Manor%2C+Hilfield+Lane%2C+Watford+WD25+8EZ" TargetMode="External"/><Relationship Id="rId4" Type="http://schemas.openxmlformats.org/officeDocument/2006/relationships/hyperlink" Target="https://www.google.com/maps/search/?api=1&amp;query=Wembley%2C+London" TargetMode="External"/><Relationship Id="rId5" Type="http://schemas.openxmlformats.org/officeDocument/2006/relationships/hyperlink" Target="https://www.google.com/maps/search/?api=1&amp;query=Radcliffe+Camera%2C+Oxford" TargetMode="External"/><Relationship Id="rId6" Type="http://schemas.openxmlformats.org/officeDocument/2006/relationships/hyperlink" Target="https://www.google.com/maps/search/?api=1&amp;query=Indian+vegetarian+restaurant+Oxford" TargetMode="External"/><Relationship Id="rId7" Type="http://schemas.openxmlformats.org/officeDocument/2006/relationships/hyperlink" Target="https://www.google.com/maps/search/?api=1&amp;query=Bourton-on-the-Water" TargetMode="External"/><Relationship Id="rId8" Type="http://schemas.openxmlformats.org/officeDocument/2006/relationships/hyperlink" Target="https://www.google.com/maps/search/?api=1&amp;query=Radha+Krishna+Temple+ISKCON%2C+10+Soho+Street%2C+London" TargetMode="External"/><Relationship Id="rId9" Type="http://schemas.openxmlformats.org/officeDocument/2006/relationships/hyperlink" Target="https://www.google.com/maps/search/?api=1&amp;query=Govinda%27s+Restaurant%2C+9-10+Soho+Street%2C+London" TargetMode="External"/><Relationship Id="rId10" Type="http://schemas.openxmlformats.org/officeDocument/2006/relationships/hyperlink" Target="https://www.google.com/maps/search/?api=1&amp;query=Lyceum+Theatre%2C+Wellington+Street%2C+London" TargetMode="External"/><Relationship Id="rId11" Type="http://schemas.openxmlformats.org/officeDocument/2006/relationships/hyperlink" Target="https://www.google.com/maps/search/?api=1&amp;query=Parliament+Square%2C+London" TargetMode="External"/><Relationship Id="rId12" Type="http://schemas.openxmlformats.org/officeDocument/2006/relationships/hyperlink" Target="https://www.google.com/maps/search/?api=1&amp;query=London+Eye%2C+London" TargetMode="External"/><Relationship Id="rId13" Type="http://schemas.openxmlformats.org/officeDocument/2006/relationships/hyperlink" Target="https://www.google.com/maps/search/?api=1&amp;query=London+Eye+Pier%2C+London" TargetMode="External"/><Relationship Id="rId14" Type="http://schemas.openxmlformats.org/officeDocument/2006/relationships/hyperlink" Target="https://www.google.com/maps/search/?api=1&amp;query=Tower+Millennium+Pier%2C+London" TargetMode="External"/><Relationship Id="rId15" Type="http://schemas.openxmlformats.org/officeDocument/2006/relationships/hyperlink" Target="https://www.google.com/maps/search/?api=1&amp;query=Tower+of+London" TargetMode="External"/><Relationship Id="rId16" Type="http://schemas.openxmlformats.org/officeDocument/2006/relationships/hyperlink" Target="https://www.google.com/maps/search/?api=1&amp;query=Indian+vegetarian+restaurant+near+Tower+Hill+London" TargetMode="External"/><Relationship Id="rId17" Type="http://schemas.openxmlformats.org/officeDocument/2006/relationships/hyperlink" Target="https://www.google.com/maps/search/?api=1&amp;query=Madame+Tussauds+London%2C+Marylebone+Road" TargetMode="External"/><Relationship Id="rId18" Type="http://schemas.openxmlformats.org/officeDocument/2006/relationships/hyperlink" Target="https://www.google.com/maps/search/?api=1&amp;query=Port+of+Dover+Eastern+Docks" TargetMode="External"/><Relationship Id="rId19" Type="http://schemas.openxmlformats.org/officeDocument/2006/relationships/hyperlink" Target="https://www.google.com/maps/search/?api=1&amp;query=Port+of+Calais" TargetMode="External"/><Relationship Id="rId20" Type="http://schemas.openxmlformats.org/officeDocument/2006/relationships/hyperlink" Target="https://www.google.com/maps/search/?api=1&amp;query=Gare+du+Nord%2C+Paris" TargetMode="External"/><Relationship Id="rId21" Type="http://schemas.openxmlformats.org/officeDocument/2006/relationships/hyperlink" Target="https://www.google.com/maps/search/?api=1&amp;query=Bateaux+Parisiens%2C+Port+de+la+Bourdonnais%2C+Paris" TargetMode="External"/><Relationship Id="rId22" Type="http://schemas.openxmlformats.org/officeDocument/2006/relationships/hyperlink" Target="https://www.google.com/maps/search/?api=1&amp;query=Arc+de+Triomphe%2C+Paris" TargetMode="External"/><Relationship Id="rId23" Type="http://schemas.openxmlformats.org/officeDocument/2006/relationships/hyperlink" Target="https://www.google.com/maps/search/?api=1&amp;query=Eiffel+Tower%2C+Paris" TargetMode="External"/><Relationship Id="rId24" Type="http://schemas.openxmlformats.org/officeDocument/2006/relationships/hyperlink" Target="https://www.google.com/maps/search/?api=1&amp;query=Saravanaa+Bhavan%2C+170+Rue+du+Faubourg+Saint-Denis%2C+Paris" TargetMode="External"/><Relationship Id="rId25" Type="http://schemas.openxmlformats.org/officeDocument/2006/relationships/hyperlink" Target="https://www.google.com/maps/search/?api=1&amp;query=Notre-Dame+de+Paris" TargetMode="External"/><Relationship Id="rId26" Type="http://schemas.openxmlformats.org/officeDocument/2006/relationships/hyperlink" Target="https://www.google.com/maps/search/?api=1&amp;query=ISKCON+Paris%2C+230+Avenue+de+la+Division+Leclerc%2C+Sevran" TargetMode="External"/><Relationship Id="rId27" Type="http://schemas.openxmlformats.org/officeDocument/2006/relationships/hyperlink" Target="https://www.google.com/maps/search/?api=1&amp;query=New+Mayapur%2C+Ch&#226;teau+d%27Oublaisse%2C+Lu&#231;ay-le-M&#226;le" TargetMode="External"/><Relationship Id="rId28" Type="http://schemas.openxmlformats.org/officeDocument/2006/relationships/hyperlink" Target="https://www.google.com/maps/search/?api=1&amp;query=Disneyland+Paris" TargetMode="External"/><Relationship Id="rId29" Type="http://schemas.openxmlformats.org/officeDocument/2006/relationships/hyperlink" Target="https://www.google.com/maps/search/?api=1&amp;query=Louvre+Museum%2C+Paris" TargetMode="External"/><Relationship Id="rId30" Type="http://schemas.openxmlformats.org/officeDocument/2006/relationships/hyperlink" Target="https://www.google.com/maps/search/?api=1&amp;query=Krishna+Bhavan%2C+24+Rue+Cail%2C+Paris" TargetMode="External"/><Relationship Id="rId31" Type="http://schemas.openxmlformats.org/officeDocument/2006/relationships/hyperlink" Target="https://www.google.com/maps/search/?api=1&amp;query=Atomium%2C+Brussels" TargetMode="External"/><Relationship Id="rId32" Type="http://schemas.openxmlformats.org/officeDocument/2006/relationships/hyperlink" Target="https://www.google.com/maps/search/?api=1&amp;query=Grand+Place%2C+Brussels" TargetMode="External"/><Relationship Id="rId33" Type="http://schemas.openxmlformats.org/officeDocument/2006/relationships/hyperlink" Target="https://www.google.com/maps/search/?api=1&amp;query=Brussels+Central+Station" TargetMode="External"/><Relationship Id="rId34" Type="http://schemas.openxmlformats.org/officeDocument/2006/relationships/hyperlink" Target="https://www.google.com/maps/search/?api=1&amp;query=Radhadesh%2C+Petite+Somme+5%2C+6940+Durbuy" TargetMode="External"/><Relationship Id="rId35" Type="http://schemas.openxmlformats.org/officeDocument/2006/relationships/hyperlink" Target="https://www.google.com/maps/search/?api=1&amp;query=Amsterdam+Centraal" TargetMode="External"/><Relationship Id="rId36" Type="http://schemas.openxmlformats.org/officeDocument/2006/relationships/hyperlink" Target="https://www.google.com/maps/search/?api=1&amp;query=Canal+cruise+Amsterdam+Centraal" TargetMode="External"/><Relationship Id="rId37" Type="http://schemas.openxmlformats.org/officeDocument/2006/relationships/hyperlink" Target="https://www.google.com/maps/search/?api=1&amp;query=Zaanse+Schans" TargetMode="External"/><Relationship Id="rId38" Type="http://schemas.openxmlformats.org/officeDocument/2006/relationships/hyperlink" Target="https://www.google.com/maps/search/?api=1&amp;query=Volendam+harbour" TargetMode="External"/><Relationship Id="rId39" Type="http://schemas.openxmlformats.org/officeDocument/2006/relationships/hyperlink" Target="https://www.google.com/maps/search/?api=1&amp;query=Indian+restaurant+Volendam" TargetMode="External"/><Relationship Id="rId40" Type="http://schemas.openxmlformats.org/officeDocument/2006/relationships/hyperlink" Target="https://www.google.com/maps/search/?api=1&amp;query=Dam+Square%2C+Amsterdam" TargetMode="External"/><Relationship Id="rId41" Type="http://schemas.openxmlformats.org/officeDocument/2006/relationships/hyperlink" Target="https://www.google.com/maps/search/?api=1&amp;query=K&#246;ln+Hauptbahnhof" TargetMode="External"/><Relationship Id="rId42" Type="http://schemas.openxmlformats.org/officeDocument/2006/relationships/hyperlink" Target="https://www.google.com/maps/search/?api=1&amp;query=Cologne+Cathedral" TargetMode="External"/><Relationship Id="rId43" Type="http://schemas.openxmlformats.org/officeDocument/2006/relationships/hyperlink" Target="https://www.google.com/maps/search/?api=1&amp;query=ISKCON+Hare+Krishna+Tempel+K&#246;ln" TargetMode="External"/><Relationship Id="rId44" Type="http://schemas.openxmlformats.org/officeDocument/2006/relationships/hyperlink" Target="https://www.google.com/maps/search/?api=1&amp;query=Goloka+Dham%2C+Abentheuer%2C+Germany" TargetMode="External"/><Relationship Id="rId45" Type="http://schemas.openxmlformats.org/officeDocument/2006/relationships/hyperlink" Target="https://www.google.com/maps/search/?api=1&amp;query=Titisee-Neustadt" TargetMode="External"/><Relationship Id="rId46" Type="http://schemas.openxmlformats.org/officeDocument/2006/relationships/hyperlink" Target="https://www.google.com/maps/search/?api=1&amp;query=Seestra&#223;e%2C+Titisee-Neustadt" TargetMode="External"/><Relationship Id="rId47" Type="http://schemas.openxmlformats.org/officeDocument/2006/relationships/hyperlink" Target="https://www.google.com/maps/search/?api=1&amp;query=Rheinfall%2C+Neuhausen+am+Rheinfall" TargetMode="External"/><Relationship Id="rId48" Type="http://schemas.openxmlformats.org/officeDocument/2006/relationships/hyperlink" Target="https://www.google.com/maps/search/?api=1&amp;query=Indian+restaurant+Schaffhausen" TargetMode="External"/><Relationship Id="rId49" Type="http://schemas.openxmlformats.org/officeDocument/2006/relationships/hyperlink" Target="https://www.google.com/maps/search/?api=1&amp;query=B&#252;rkliplatz%2C+Z&#252;rich" TargetMode="External"/><Relationship Id="rId50" Type="http://schemas.openxmlformats.org/officeDocument/2006/relationships/hyperlink" Target="https://www.google.com/maps/search/?api=1&amp;query=Krishna+Tempel%2C+Bergstrasse+54%2C+8032+Z&#252;rich" TargetMode="External"/><Relationship Id="rId51" Type="http://schemas.openxmlformats.org/officeDocument/2006/relationships/hyperlink" Target="https://www.google.com/maps/search/?api=1&amp;query=Z&#252;rich+Hauptbahnhof" TargetMode="External"/><Relationship Id="rId52" Type="http://schemas.openxmlformats.org/officeDocument/2006/relationships/hyperlink" Target="https://www.google.com/maps/search/?api=1&amp;query=Titlis+Talstation%2C+Engelberg" TargetMode="External"/><Relationship Id="rId53" Type="http://schemas.openxmlformats.org/officeDocument/2006/relationships/hyperlink" Target="https://www.google.com/maps/search/?api=1&amp;query=Titlis+Bergstation+Restaurant" TargetMode="External"/><Relationship Id="rId54" Type="http://schemas.openxmlformats.org/officeDocument/2006/relationships/hyperlink" Target="https://www.google.com/maps/search/?api=1&amp;query=Lion+Monument%2C+Lucerne" TargetMode="External"/><Relationship Id="rId55" Type="http://schemas.openxmlformats.org/officeDocument/2006/relationships/hyperlink" Target="https://www.google.com/maps/search/?api=1&amp;query=Chapel+Bridge%2C+Lucerne" TargetMode="External"/><Relationship Id="rId56" Type="http://schemas.openxmlformats.org/officeDocument/2006/relationships/hyperlink" Target="https://www.google.com/maps/search/?api=1&amp;query=Lake+Lucerne+Navigation+Company%2C+Lucerne" TargetMode="External"/><Relationship Id="rId57" Type="http://schemas.openxmlformats.org/officeDocument/2006/relationships/hyperlink" Target="https://www.google.com/maps/search/?api=1&amp;query=Luzern+Bahnhof" TargetMode="External"/><Relationship Id="rId58" Type="http://schemas.openxmlformats.org/officeDocument/2006/relationships/hyperlink" Target="https://www.google.com/maps/search/?api=1&amp;query=Interlaken+Ost" TargetMode="External"/><Relationship Id="rId59" Type="http://schemas.openxmlformats.org/officeDocument/2006/relationships/hyperlink" Target="https://www.google.com/maps/search/?api=1&amp;query=H&#246;heweg%2C+Interlaken" TargetMode="External"/><Relationship Id="rId60" Type="http://schemas.openxmlformats.org/officeDocument/2006/relationships/hyperlink" Target="https://www.google.com/maps/search/?api=1&amp;query=H&#246;hematte%2C+Interlaken" TargetMode="External"/><Relationship Id="rId61" Type="http://schemas.openxmlformats.org/officeDocument/2006/relationships/hyperlink" Target="https://www.google.com/maps/search/?api=1&amp;query=Piazza+Cavour%2C+Como" TargetMode="External"/><Relationship Id="rId62" Type="http://schemas.openxmlformats.org/officeDocument/2006/relationships/hyperlink" Target="https://www.google.com/maps/search/?api=1&amp;query=Indian+restaurant+Como" TargetMode="External"/><Relationship Id="rId63" Type="http://schemas.openxmlformats.org/officeDocument/2006/relationships/hyperlink" Target="https://www.google.com/maps/search/?api=1&amp;query=Villaggio+Hare+Krishna%2C+Bergamo" TargetMode="External"/><Relationship Id="rId64" Type="http://schemas.openxmlformats.org/officeDocument/2006/relationships/hyperlink" Target="https://www.google.com/maps/search/?api=1&amp;query=Milano+Centrale" TargetMode="External"/><Relationship Id="rId65" Type="http://schemas.openxmlformats.org/officeDocument/2006/relationships/hyperlink" Target="https://www.google.com/maps/search/?api=1&amp;query=Duomo+di+Milano" TargetMode="External"/><Relationship Id="rId66" Type="http://schemas.openxmlformats.org/officeDocument/2006/relationships/hyperlink" Target="https://www.google.com/maps/search/?api=1&amp;query=Prabhupada+Desh%2C+Albettone" TargetMode="External"/><Relationship Id="rId67" Type="http://schemas.openxmlformats.org/officeDocument/2006/relationships/hyperlink" Target="https://www.google.com/maps/search/?api=1&amp;query=Basilica+di+Sant%27Antonio%2C+Padova" TargetMode="External"/><Relationship Id="rId68" Type="http://schemas.openxmlformats.org/officeDocument/2006/relationships/hyperlink" Target="https://www.google.com/maps/search/?api=1&amp;query=Tronchetto%2C+Venezia" TargetMode="External"/><Relationship Id="rId69" Type="http://schemas.openxmlformats.org/officeDocument/2006/relationships/hyperlink" Target="https://www.google.com/maps/search/?api=1&amp;query=Piazza+San+Marco%2C+Venezia" TargetMode="External"/><Relationship Id="rId70" Type="http://schemas.openxmlformats.org/officeDocument/2006/relationships/hyperlink" Target="https://www.google.com/maps/search/?api=1&amp;query=Mestre%2C+Venezia" TargetMode="External"/><Relationship Id="rId71" Type="http://schemas.openxmlformats.org/officeDocument/2006/relationships/hyperlink" Target="https://www.google.com/maps/search/?api=1&amp;query=Piazza+dei+Miracoli%2C+Pisa" TargetMode="External"/><Relationship Id="rId72" Type="http://schemas.openxmlformats.org/officeDocument/2006/relationships/hyperlink" Target="https://www.google.com/maps/search/?api=1&amp;query=Villa+Vrindavan%2C+Via+Scopeti+108%2C+San+Casciano+in+Val+di+Pesa" TargetMode="External"/><Relationship Id="rId73" Type="http://schemas.openxmlformats.org/officeDocument/2006/relationships/hyperlink" Target="https://www.google.com/maps/search/?api=1&amp;query=Piazza+della+Signoria%2C+Firenze" TargetMode="External"/><Relationship Id="rId74" Type="http://schemas.openxmlformats.org/officeDocument/2006/relationships/hyperlink" Target="https://www.google.com/maps/search/?api=1&amp;query=Piazzale+Michelangelo%2C+Firenze" TargetMode="External"/><Relationship Id="rId75" Type="http://schemas.openxmlformats.org/officeDocument/2006/relationships/hyperlink" Target="https://www.google.com/maps/search/?api=1&amp;query=Firenze+Santa+Maria+Novella" TargetMode="External"/><Relationship Id="rId76" Type="http://schemas.openxmlformats.org/officeDocument/2006/relationships/hyperlink" Target="https://www.google.com/maps/search/?api=1&amp;query=Vatican+Museums%2C+Vatican+City" TargetMode="External"/><Relationship Id="rId77" Type="http://schemas.openxmlformats.org/officeDocument/2006/relationships/hyperlink" Target="https://www.google.com/maps/search/?api=1&amp;query=Indian+restaurant+near+Vatican+Rome" TargetMode="External"/><Relationship Id="rId78" Type="http://schemas.openxmlformats.org/officeDocument/2006/relationships/hyperlink" Target="https://www.google.com/maps/search/?api=1&amp;query=Colosseum%2C+Rome" TargetMode="External"/><Relationship Id="rId79" Type="http://schemas.openxmlformats.org/officeDocument/2006/relationships/hyperlink" Target="https://www.google.com/maps/search/?api=1&amp;query=Trevi+Fountain%2C+Rome" TargetMode="External"/><Relationship Id="rId80" Type="http://schemas.openxmlformats.org/officeDocument/2006/relationships/hyperlink" Target="https://www.google.com/maps/search/?api=1&amp;query=Rome+Fiumicino+Airpor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15" hidden="false" customHeight="false" outlineLevel="0" collapsed="false">
      <c r="A14" s="3" t="s">
        <v>22</v>
      </c>
      <c r="B14" s="4" t="s">
        <v>23</v>
      </c>
    </row>
    <row r="15" customFormat="false" ht="23.85" hidden="false" customHeight="false" outlineLevel="0" collapsed="false">
      <c r="A15" s="3" t="s">
        <v>24</v>
      </c>
      <c r="B15" s="4" t="s">
        <v>25</v>
      </c>
    </row>
    <row r="16" customFormat="false" ht="23.85" hidden="false" customHeight="false" outlineLevel="0" collapsed="false">
      <c r="A16" s="3" t="s">
        <v>26</v>
      </c>
      <c r="B16" s="4"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9" min="8" style="0" width="10"/>
  </cols>
  <sheetData>
    <row r="1" customFormat="false" ht="35.05" hidden="false" customHeight="false" outlineLevel="0" collapsed="false">
      <c r="A1" s="5" t="s">
        <v>28</v>
      </c>
      <c r="B1" s="5" t="s">
        <v>29</v>
      </c>
      <c r="C1" s="5" t="s">
        <v>30</v>
      </c>
      <c r="D1" s="5" t="s">
        <v>31</v>
      </c>
      <c r="E1" s="5" t="s">
        <v>32</v>
      </c>
      <c r="F1" s="5" t="s">
        <v>33</v>
      </c>
      <c r="G1" s="5" t="s">
        <v>34</v>
      </c>
      <c r="H1" s="5" t="s">
        <v>35</v>
      </c>
      <c r="I1" s="5" t="s">
        <v>36</v>
      </c>
    </row>
    <row r="3" customFormat="false" ht="15" hidden="false" customHeight="false" outlineLevel="0" collapsed="false">
      <c r="A3" s="6" t="n">
        <v>1</v>
      </c>
      <c r="B3" s="7" t="n">
        <v>45485</v>
      </c>
      <c r="C3" s="6" t="s">
        <v>37</v>
      </c>
      <c r="D3" s="6" t="s">
        <v>38</v>
      </c>
      <c r="E3" s="8" t="n">
        <f aca="false">SUMIFS('Minute-by-minute'!$K$3:$K$224,'Minute-by-minute'!$A$3:$A$224,A3,'Minute-by-minute'!$J$3:$J$224,"Coach")</f>
        <v>57</v>
      </c>
      <c r="F3" s="9" t="n">
        <f aca="false">SUMIFS('Minute-by-minute'!$F$3:$F$224,'Minute-by-minute'!$A$3:$A$224,A3,'Minute-by-minute'!$J$3:$J$224,"Coach")/1440</f>
        <v>0.0590277777777778</v>
      </c>
      <c r="G3" s="6" t="str">
        <f aca="false">IF(F3*24&gt;9,"OVER 9 h – revise",IF(F3*24&gt;6,"Long day – 45 min break + rest stops",IF(F3*24&gt;4.5,"45 min break needed","OK")))</f>
        <v>OK</v>
      </c>
      <c r="H3" s="10" t="n">
        <f aca="false">_xlfn.MINIFS('Minute-by-minute'!$D$3:$D$224,'Minute-by-minute'!$A$3:$A$224,A3)</f>
        <v>0.145833333333333</v>
      </c>
      <c r="I3" s="10" t="n">
        <f aca="false">_xlfn.MAXIFS('Minute-by-minute'!$E$3:$E$224,'Minute-by-minute'!$A$3:$A$224,A3)</f>
        <v>0.875</v>
      </c>
    </row>
    <row r="4" customFormat="false" ht="15" hidden="false" customHeight="false" outlineLevel="0" collapsed="false">
      <c r="A4" s="6" t="n">
        <v>2</v>
      </c>
      <c r="B4" s="7" t="n">
        <v>45486</v>
      </c>
      <c r="C4" s="6" t="s">
        <v>39</v>
      </c>
      <c r="D4" s="6" t="s">
        <v>38</v>
      </c>
      <c r="E4" s="8" t="n">
        <f aca="false">SUMIFS('Minute-by-minute'!$K$3:$K$224,'Minute-by-minute'!$A$3:$A$224,A4,'Minute-by-minute'!$J$3:$J$224,"Coach")</f>
        <v>295</v>
      </c>
      <c r="F4" s="9" t="n">
        <f aca="false">SUMIFS('Minute-by-minute'!$F$3:$F$224,'Minute-by-minute'!$A$3:$A$224,A4,'Minute-by-minute'!$J$3:$J$224,"Coach")/1440</f>
        <v>0.243055555555556</v>
      </c>
      <c r="G4" s="6" t="str">
        <f aca="false">IF(F4*24&gt;9,"OVER 9 h – revise",IF(F4*24&gt;6,"Long day – 45 min break + rest stops",IF(F4*24&gt;4.5,"45 min break needed","OK")))</f>
        <v>45 min break needed</v>
      </c>
      <c r="H4" s="10" t="n">
        <f aca="false">_xlfn.MINIFS('Minute-by-minute'!$D$3:$D$224,'Minute-by-minute'!$A$3:$A$224,A4)</f>
        <v>0.25</v>
      </c>
      <c r="I4" s="10" t="n">
        <f aca="false">_xlfn.MAXIFS('Minute-by-minute'!$E$3:$E$224,'Minute-by-minute'!$A$3:$A$224,A4)</f>
        <v>0.96875</v>
      </c>
    </row>
    <row r="5" customFormat="false" ht="22.35" hidden="false" customHeight="false" outlineLevel="0" collapsed="false">
      <c r="A5" s="6" t="n">
        <v>3</v>
      </c>
      <c r="B5" s="7" t="n">
        <v>45487</v>
      </c>
      <c r="C5" s="6" t="s">
        <v>40</v>
      </c>
      <c r="D5" s="6" t="s">
        <v>38</v>
      </c>
      <c r="E5" s="8" t="n">
        <f aca="false">SUMIFS('Minute-by-minute'!$K$3:$K$224,'Minute-by-minute'!$A$3:$A$224,A5,'Minute-by-minute'!$J$3:$J$224,"Coach")</f>
        <v>46</v>
      </c>
      <c r="F5" s="9" t="n">
        <f aca="false">SUMIFS('Minute-by-minute'!$F$3:$F$224,'Minute-by-minute'!$A$3:$A$224,A5,'Minute-by-minute'!$J$3:$J$224,"Coach")/1440</f>
        <v>0.128472222222222</v>
      </c>
      <c r="G5" s="6" t="str">
        <f aca="false">IF(F5*24&gt;9,"OVER 9 h – revise",IF(F5*24&gt;6,"Long day – 45 min break + rest stops",IF(F5*24&gt;4.5,"45 min break needed","OK")))</f>
        <v>OK</v>
      </c>
      <c r="H5" s="10" t="n">
        <f aca="false">_xlfn.MINIFS('Minute-by-minute'!$D$3:$D$224,'Minute-by-minute'!$A$3:$A$224,A5)</f>
        <v>0.270833333333333</v>
      </c>
      <c r="I5" s="10" t="n">
        <f aca="false">_xlfn.MAXIFS('Minute-by-minute'!$E$3:$E$224,'Minute-by-minute'!$A$3:$A$224,A5)</f>
        <v>0.895833333333333</v>
      </c>
    </row>
    <row r="6" customFormat="false" ht="22.35" hidden="false" customHeight="false" outlineLevel="0" collapsed="false">
      <c r="A6" s="6" t="n">
        <v>4</v>
      </c>
      <c r="B6" s="7" t="n">
        <v>45488</v>
      </c>
      <c r="C6" s="6" t="s">
        <v>41</v>
      </c>
      <c r="D6" s="6" t="s">
        <v>42</v>
      </c>
      <c r="E6" s="8" t="n">
        <f aca="false">SUMIFS('Minute-by-minute'!$K$3:$K$224,'Minute-by-minute'!$A$3:$A$224,A6,'Minute-by-minute'!$J$3:$J$224,"Coach")</f>
        <v>444</v>
      </c>
      <c r="F6" s="9" t="n">
        <f aca="false">SUMIFS('Minute-by-minute'!$F$3:$F$224,'Minute-by-minute'!$A$3:$A$224,A6,'Minute-by-minute'!$J$3:$J$224,"Coach")/1440</f>
        <v>0.302083333333333</v>
      </c>
      <c r="G6" s="6" t="str">
        <f aca="false">IF(F6*24&gt;9,"OVER 9 h – revise",IF(F6*24&gt;6,"Long day – 45 min break + rest stops",IF(F6*24&gt;4.5,"45 min break needed","OK")))</f>
        <v>Long day – 45 min break + rest stops</v>
      </c>
      <c r="H6" s="10" t="n">
        <f aca="false">_xlfn.MINIFS('Minute-by-minute'!$D$3:$D$224,'Minute-by-minute'!$A$3:$A$224,A6)</f>
        <v>0.208333333333333</v>
      </c>
      <c r="I6" s="10" t="n">
        <f aca="false">_xlfn.MAXIFS('Minute-by-minute'!$E$3:$E$224,'Minute-by-minute'!$A$3:$A$224,A6)</f>
        <v>0.940972222222222</v>
      </c>
    </row>
    <row r="7" customFormat="false" ht="15" hidden="false" customHeight="false" outlineLevel="0" collapsed="false">
      <c r="A7" s="6" t="n">
        <v>5</v>
      </c>
      <c r="B7" s="7" t="n">
        <v>45489</v>
      </c>
      <c r="C7" s="6" t="s">
        <v>43</v>
      </c>
      <c r="D7" s="6" t="s">
        <v>42</v>
      </c>
      <c r="E7" s="8" t="n">
        <f aca="false">SUMIFS('Minute-by-minute'!$K$3:$K$224,'Minute-by-minute'!$A$3:$A$224,A7,'Minute-by-minute'!$J$3:$J$224,"Coach")</f>
        <v>57</v>
      </c>
      <c r="F7" s="9" t="n">
        <f aca="false">SUMIFS('Minute-by-minute'!$F$3:$F$224,'Minute-by-minute'!$A$3:$A$224,A7,'Minute-by-minute'!$J$3:$J$224,"Coach")/1440</f>
        <v>0.128472222222222</v>
      </c>
      <c r="G7" s="6" t="str">
        <f aca="false">IF(F7*24&gt;9,"OVER 9 h – revise",IF(F7*24&gt;6,"Long day – 45 min break + rest stops",IF(F7*24&gt;4.5,"45 min break needed","OK")))</f>
        <v>OK</v>
      </c>
      <c r="H7" s="10" t="n">
        <f aca="false">_xlfn.MINIFS('Minute-by-minute'!$D$3:$D$224,'Minute-by-minute'!$A$3:$A$224,A7)</f>
        <v>0.270833333333333</v>
      </c>
      <c r="I7" s="10" t="n">
        <f aca="false">_xlfn.MAXIFS('Minute-by-minute'!$E$3:$E$224,'Minute-by-minute'!$A$3:$A$224,A7)</f>
        <v>0.854166666666667</v>
      </c>
    </row>
    <row r="8" customFormat="false" ht="22.35" hidden="false" customHeight="false" outlineLevel="0" collapsed="false">
      <c r="A8" s="6" t="n">
        <v>6</v>
      </c>
      <c r="B8" s="7" t="n">
        <v>45490</v>
      </c>
      <c r="C8" s="6" t="s">
        <v>44</v>
      </c>
      <c r="D8" s="6" t="s">
        <v>42</v>
      </c>
      <c r="E8" s="8" t="n">
        <f aca="false">SUMIFS('Minute-by-minute'!$K$3:$K$224,'Minute-by-minute'!$A$3:$A$224,A8,'Minute-by-minute'!$J$3:$J$224,"Coach")</f>
        <v>560</v>
      </c>
      <c r="F8" s="9" t="n">
        <f aca="false">SUMIFS('Minute-by-minute'!$F$3:$F$224,'Minute-by-minute'!$A$3:$A$224,A8,'Minute-by-minute'!$J$3:$J$224,"Coach")/1440</f>
        <v>0.3125</v>
      </c>
      <c r="G8" s="6" t="str">
        <f aca="false">IF(F8*24&gt;9,"OVER 9 h – revise",IF(F8*24&gt;6,"Long day – 45 min break + rest stops",IF(F8*24&gt;4.5,"45 min break needed","OK")))</f>
        <v>Long day – 45 min break + rest stops</v>
      </c>
      <c r="H8" s="10" t="n">
        <f aca="false">_xlfn.MINIFS('Minute-by-minute'!$D$3:$D$224,'Minute-by-minute'!$A$3:$A$224,A8)</f>
        <v>0.25</v>
      </c>
      <c r="I8" s="10" t="n">
        <f aca="false">_xlfn.MAXIFS('Minute-by-minute'!$E$3:$E$224,'Minute-by-minute'!$A$3:$A$224,A8)</f>
        <v>0.875</v>
      </c>
    </row>
    <row r="9" customFormat="false" ht="15" hidden="false" customHeight="false" outlineLevel="0" collapsed="false">
      <c r="A9" s="6" t="n">
        <v>7</v>
      </c>
      <c r="B9" s="7" t="n">
        <v>45491</v>
      </c>
      <c r="C9" s="6" t="s">
        <v>45</v>
      </c>
      <c r="D9" s="6" t="s">
        <v>46</v>
      </c>
      <c r="E9" s="8" t="n">
        <f aca="false">SUMIFS('Minute-by-minute'!$K$3:$K$224,'Minute-by-minute'!$A$3:$A$224,A9,'Minute-by-minute'!$J$3:$J$224,"Coach")</f>
        <v>333</v>
      </c>
      <c r="F9" s="9" t="n">
        <f aca="false">SUMIFS('Minute-by-minute'!$F$3:$F$224,'Minute-by-minute'!$A$3:$A$224,A9,'Minute-by-minute'!$J$3:$J$224,"Coach")/1440</f>
        <v>0.229166666666667</v>
      </c>
      <c r="G9" s="6" t="str">
        <f aca="false">IF(F9*24&gt;9,"OVER 9 h – revise",IF(F9*24&gt;6,"Long day – 45 min break + rest stops",IF(F9*24&gt;4.5,"45 min break needed","OK")))</f>
        <v>45 min break needed</v>
      </c>
      <c r="H9" s="10" t="n">
        <f aca="false">_xlfn.MINIFS('Minute-by-minute'!$D$3:$D$224,'Minute-by-minute'!$A$3:$A$224,A9)</f>
        <v>0.270833333333333</v>
      </c>
      <c r="I9" s="10" t="n">
        <f aca="false">_xlfn.MAXIFS('Minute-by-minute'!$E$3:$E$224,'Minute-by-minute'!$A$3:$A$224,A9)</f>
        <v>0.885416666666667</v>
      </c>
    </row>
    <row r="10" customFormat="false" ht="22.35" hidden="false" customHeight="false" outlineLevel="0" collapsed="false">
      <c r="A10" s="6" t="n">
        <v>8</v>
      </c>
      <c r="B10" s="7" t="n">
        <v>45492</v>
      </c>
      <c r="C10" s="6" t="s">
        <v>47</v>
      </c>
      <c r="D10" s="6" t="s">
        <v>48</v>
      </c>
      <c r="E10" s="8" t="n">
        <f aca="false">SUMIFS('Minute-by-minute'!$K$3:$K$224,'Minute-by-minute'!$A$3:$A$224,A10,'Minute-by-minute'!$J$3:$J$224,"Coach")</f>
        <v>435</v>
      </c>
      <c r="F10" s="9" t="n">
        <f aca="false">SUMIFS('Minute-by-minute'!$F$3:$F$224,'Minute-by-minute'!$A$3:$A$224,A10,'Minute-by-minute'!$J$3:$J$224,"Coach")/1440</f>
        <v>0.267361111111111</v>
      </c>
      <c r="G10" s="6" t="str">
        <f aca="false">IF(F10*24&gt;9,"OVER 9 h – revise",IF(F10*24&gt;6,"Long day – 45 min break + rest stops",IF(F10*24&gt;4.5,"45 min break needed","OK")))</f>
        <v>Long day – 45 min break + rest stops</v>
      </c>
      <c r="H10" s="10" t="n">
        <f aca="false">_xlfn.MINIFS('Minute-by-minute'!$D$3:$D$224,'Minute-by-minute'!$A$3:$A$224,A10)</f>
        <v>0.25</v>
      </c>
      <c r="I10" s="10" t="n">
        <f aca="false">_xlfn.MAXIFS('Minute-by-minute'!$E$3:$E$224,'Minute-by-minute'!$A$3:$A$224,A10)</f>
        <v>0.909722222222222</v>
      </c>
    </row>
    <row r="11" customFormat="false" ht="15" hidden="false" customHeight="false" outlineLevel="0" collapsed="false">
      <c r="A11" s="6" t="n">
        <v>9</v>
      </c>
      <c r="B11" s="7" t="n">
        <v>45493</v>
      </c>
      <c r="C11" s="6" t="s">
        <v>49</v>
      </c>
      <c r="D11" s="6" t="s">
        <v>50</v>
      </c>
      <c r="E11" s="8" t="n">
        <f aca="false">SUMIFS('Minute-by-minute'!$K$3:$K$224,'Minute-by-minute'!$A$3:$A$224,A11,'Minute-by-minute'!$J$3:$J$224,"Coach")</f>
        <v>330</v>
      </c>
      <c r="F11" s="9" t="n">
        <f aca="false">SUMIFS('Minute-by-minute'!$F$3:$F$224,'Minute-by-minute'!$A$3:$A$224,A11,'Minute-by-minute'!$J$3:$J$224,"Coach")/1440</f>
        <v>0.201388888888889</v>
      </c>
      <c r="G11" s="6" t="str">
        <f aca="false">IF(F11*24&gt;9,"OVER 9 h – revise",IF(F11*24&gt;6,"Long day – 45 min break + rest stops",IF(F11*24&gt;4.5,"45 min break needed","OK")))</f>
        <v>45 min break needed</v>
      </c>
      <c r="H11" s="10" t="n">
        <f aca="false">_xlfn.MINIFS('Minute-by-minute'!$D$3:$D$224,'Minute-by-minute'!$A$3:$A$224,A11)</f>
        <v>0.270833333333333</v>
      </c>
      <c r="I11" s="10" t="n">
        <f aca="false">_xlfn.MAXIFS('Minute-by-minute'!$E$3:$E$224,'Minute-by-minute'!$A$3:$A$224,A11)</f>
        <v>0.90625</v>
      </c>
    </row>
    <row r="12" customFormat="false" ht="22.35" hidden="false" customHeight="false" outlineLevel="0" collapsed="false">
      <c r="A12" s="6" t="n">
        <v>10</v>
      </c>
      <c r="B12" s="7" t="n">
        <v>45494</v>
      </c>
      <c r="C12" s="6" t="s">
        <v>51</v>
      </c>
      <c r="D12" s="6" t="s">
        <v>52</v>
      </c>
      <c r="E12" s="8" t="n">
        <f aca="false">SUMIFS('Minute-by-minute'!$K$3:$K$224,'Minute-by-minute'!$A$3:$A$224,A12,'Minute-by-minute'!$J$3:$J$224,"Coach")</f>
        <v>530</v>
      </c>
      <c r="F12" s="9" t="n">
        <f aca="false">SUMIFS('Minute-by-minute'!$F$3:$F$224,'Minute-by-minute'!$A$3:$A$224,A12,'Minute-by-minute'!$J$3:$J$224,"Coach")/1440</f>
        <v>0.3125</v>
      </c>
      <c r="G12" s="6" t="str">
        <f aca="false">IF(F12*24&gt;9,"OVER 9 h – revise",IF(F12*24&gt;6,"Long day – 45 min break + rest stops",IF(F12*24&gt;4.5,"45 min break needed","OK")))</f>
        <v>Long day – 45 min break + rest stops</v>
      </c>
      <c r="H12" s="10" t="n">
        <f aca="false">_xlfn.MINIFS('Minute-by-minute'!$D$3:$D$224,'Minute-by-minute'!$A$3:$A$224,A12)</f>
        <v>0.25</v>
      </c>
      <c r="I12" s="10" t="n">
        <f aca="false">_xlfn.MAXIFS('Minute-by-minute'!$E$3:$E$224,'Minute-by-minute'!$A$3:$A$224,A12)</f>
        <v>0.895833333333333</v>
      </c>
    </row>
    <row r="13" customFormat="false" ht="15" hidden="false" customHeight="false" outlineLevel="0" collapsed="false">
      <c r="A13" s="6" t="n">
        <v>11</v>
      </c>
      <c r="B13" s="7" t="n">
        <v>45495</v>
      </c>
      <c r="C13" s="6" t="s">
        <v>53</v>
      </c>
      <c r="D13" s="6" t="s">
        <v>54</v>
      </c>
      <c r="E13" s="8" t="n">
        <f aca="false">SUMIFS('Minute-by-minute'!$K$3:$K$224,'Minute-by-minute'!$A$3:$A$224,A13,'Minute-by-minute'!$J$3:$J$224,"Coach")</f>
        <v>127</v>
      </c>
      <c r="F13" s="9" t="n">
        <f aca="false">SUMIFS('Minute-by-minute'!$F$3:$F$224,'Minute-by-minute'!$A$3:$A$224,A13,'Minute-by-minute'!$J$3:$J$224,"Coach")/1440</f>
        <v>0.114583333333333</v>
      </c>
      <c r="G13" s="6" t="str">
        <f aca="false">IF(F13*24&gt;9,"OVER 9 h – revise",IF(F13*24&gt;6,"Long day – 45 min break + rest stops",IF(F13*24&gt;4.5,"45 min break needed","OK")))</f>
        <v>OK</v>
      </c>
      <c r="H13" s="10" t="n">
        <f aca="false">_xlfn.MINIFS('Minute-by-minute'!$D$3:$D$224,'Minute-by-minute'!$A$3:$A$224,A13)</f>
        <v>0.270833333333333</v>
      </c>
      <c r="I13" s="10" t="n">
        <f aca="false">_xlfn.MAXIFS('Minute-by-minute'!$E$3:$E$224,'Minute-by-minute'!$A$3:$A$224,A13)</f>
        <v>0.854166666666667</v>
      </c>
    </row>
    <row r="14" customFormat="false" ht="22.35" hidden="false" customHeight="false" outlineLevel="0" collapsed="false">
      <c r="A14" s="6" t="n">
        <v>12</v>
      </c>
      <c r="B14" s="7" t="n">
        <v>45496</v>
      </c>
      <c r="C14" s="6" t="s">
        <v>55</v>
      </c>
      <c r="D14" s="6" t="s">
        <v>56</v>
      </c>
      <c r="E14" s="8" t="n">
        <f aca="false">SUMIFS('Minute-by-minute'!$K$3:$K$224,'Minute-by-minute'!$A$3:$A$224,A14,'Minute-by-minute'!$J$3:$J$224,"Coach")</f>
        <v>120</v>
      </c>
      <c r="F14" s="9" t="n">
        <f aca="false">SUMIFS('Minute-by-minute'!$F$3:$F$224,'Minute-by-minute'!$A$3:$A$224,A14,'Minute-by-minute'!$J$3:$J$224,"Coach")/1440</f>
        <v>0.0868055555555556</v>
      </c>
      <c r="G14" s="6" t="str">
        <f aca="false">IF(F14*24&gt;9,"OVER 9 h – revise",IF(F14*24&gt;6,"Long day – 45 min break + rest stops",IF(F14*24&gt;4.5,"45 min break needed","OK")))</f>
        <v>OK</v>
      </c>
      <c r="H14" s="10" t="n">
        <f aca="false">_xlfn.MINIFS('Minute-by-minute'!$D$3:$D$224,'Minute-by-minute'!$A$3:$A$224,A14)</f>
        <v>0.260416666666667</v>
      </c>
      <c r="I14" s="10" t="n">
        <f aca="false">_xlfn.MAXIFS('Minute-by-minute'!$E$3:$E$224,'Minute-by-minute'!$A$3:$A$224,A14)</f>
        <v>0.875</v>
      </c>
    </row>
    <row r="15" customFormat="false" ht="22.35" hidden="false" customHeight="false" outlineLevel="0" collapsed="false">
      <c r="A15" s="6" t="n">
        <v>13</v>
      </c>
      <c r="B15" s="7" t="n">
        <v>45497</v>
      </c>
      <c r="C15" s="6" t="s">
        <v>57</v>
      </c>
      <c r="D15" s="6" t="s">
        <v>58</v>
      </c>
      <c r="E15" s="8" t="n">
        <f aca="false">SUMIFS('Minute-by-minute'!$K$3:$K$224,'Minute-by-minute'!$A$3:$A$224,A15,'Minute-by-minute'!$J$3:$J$224,"Coach")</f>
        <v>380</v>
      </c>
      <c r="F15" s="9" t="n">
        <f aca="false">SUMIFS('Minute-by-minute'!$F$3:$F$224,'Minute-by-minute'!$A$3:$A$224,A15,'Minute-by-minute'!$J$3:$J$224,"Coach")/1440</f>
        <v>0.270833333333333</v>
      </c>
      <c r="G15" s="6" t="str">
        <f aca="false">IF(F15*24&gt;9,"OVER 9 h – revise",IF(F15*24&gt;6,"Long day – 45 min break + rest stops",IF(F15*24&gt;4.5,"45 min break needed","OK")))</f>
        <v>Long day – 45 min break + rest stops</v>
      </c>
      <c r="H15" s="10" t="n">
        <f aca="false">_xlfn.MINIFS('Minute-by-minute'!$D$3:$D$224,'Minute-by-minute'!$A$3:$A$224,A15)</f>
        <v>0.25</v>
      </c>
      <c r="I15" s="10" t="n">
        <f aca="false">_xlfn.MAXIFS('Minute-by-minute'!$E$3:$E$224,'Minute-by-minute'!$A$3:$A$224,A15)</f>
        <v>0.875</v>
      </c>
    </row>
    <row r="16" customFormat="false" ht="15" hidden="false" customHeight="false" outlineLevel="0" collapsed="false">
      <c r="A16" s="6" t="n">
        <v>14</v>
      </c>
      <c r="B16" s="7" t="n">
        <v>45498</v>
      </c>
      <c r="C16" s="6" t="s">
        <v>59</v>
      </c>
      <c r="D16" s="6" t="s">
        <v>60</v>
      </c>
      <c r="E16" s="8" t="n">
        <f aca="false">SUMIFS('Minute-by-minute'!$K$3:$K$224,'Minute-by-minute'!$A$3:$A$224,A16,'Minute-by-minute'!$J$3:$J$224,"Coach")</f>
        <v>298</v>
      </c>
      <c r="F16" s="9" t="n">
        <f aca="false">SUMIFS('Minute-by-minute'!$F$3:$F$224,'Minute-by-minute'!$A$3:$A$224,A16,'Minute-by-minute'!$J$3:$J$224,"Coach")/1440</f>
        <v>0.208333333333333</v>
      </c>
      <c r="G16" s="6" t="str">
        <f aca="false">IF(F16*24&gt;9,"OVER 9 h – revise",IF(F16*24&gt;6,"Long day – 45 min break + rest stops",IF(F16*24&gt;4.5,"45 min break needed","OK")))</f>
        <v>45 min break needed</v>
      </c>
      <c r="H16" s="10" t="n">
        <f aca="false">_xlfn.MINIFS('Minute-by-minute'!$D$3:$D$224,'Minute-by-minute'!$A$3:$A$224,A16)</f>
        <v>0.260416666666667</v>
      </c>
      <c r="I16" s="10" t="n">
        <f aca="false">_xlfn.MAXIFS('Minute-by-minute'!$E$3:$E$224,'Minute-by-minute'!$A$3:$A$224,A16)</f>
        <v>0.875</v>
      </c>
    </row>
    <row r="17" customFormat="false" ht="15" hidden="false" customHeight="false" outlineLevel="0" collapsed="false">
      <c r="A17" s="6" t="n">
        <v>15</v>
      </c>
      <c r="B17" s="7" t="n">
        <v>45499</v>
      </c>
      <c r="C17" s="6" t="s">
        <v>61</v>
      </c>
      <c r="D17" s="6" t="s">
        <v>62</v>
      </c>
      <c r="E17" s="8" t="n">
        <f aca="false">SUMIFS('Minute-by-minute'!$K$3:$K$224,'Minute-by-minute'!$A$3:$A$224,A17,'Minute-by-minute'!$J$3:$J$224,"Coach")</f>
        <v>413</v>
      </c>
      <c r="F17" s="9" t="n">
        <f aca="false">SUMIFS('Minute-by-minute'!$F$3:$F$224,'Minute-by-minute'!$A$3:$A$224,A17,'Minute-by-minute'!$J$3:$J$224,"Coach")/1440</f>
        <v>0.25</v>
      </c>
      <c r="G17" s="6" t="str">
        <f aca="false">IF(F17*24&gt;9,"OVER 9 h – revise",IF(F17*24&gt;6,"Long day – 45 min break + rest stops",IF(F17*24&gt;4.5,"45 min break needed","OK")))</f>
        <v>45 min break needed</v>
      </c>
      <c r="H17" s="10" t="n">
        <f aca="false">_xlfn.MINIFS('Minute-by-minute'!$D$3:$D$224,'Minute-by-minute'!$A$3:$A$224,A17)</f>
        <v>0.25</v>
      </c>
      <c r="I17" s="10" t="n">
        <f aca="false">_xlfn.MAXIFS('Minute-by-minute'!$E$3:$E$224,'Minute-by-minute'!$A$3:$A$224,A17)</f>
        <v>0.885416666666667</v>
      </c>
    </row>
    <row r="18" customFormat="false" ht="15" hidden="false" customHeight="false" outlineLevel="0" collapsed="false">
      <c r="A18" s="6" t="n">
        <v>16</v>
      </c>
      <c r="B18" s="7" t="n">
        <v>45500</v>
      </c>
      <c r="C18" s="6" t="s">
        <v>63</v>
      </c>
      <c r="D18" s="6" t="s">
        <v>64</v>
      </c>
      <c r="E18" s="8" t="n">
        <f aca="false">SUMIFS('Minute-by-minute'!$K$3:$K$224,'Minute-by-minute'!$A$3:$A$224,A18,'Minute-by-minute'!$J$3:$J$224,"Coach")</f>
        <v>319</v>
      </c>
      <c r="F18" s="9" t="n">
        <f aca="false">SUMIFS('Minute-by-minute'!$F$3:$F$224,'Minute-by-minute'!$A$3:$A$224,A18,'Minute-by-minute'!$J$3:$J$224,"Coach")/1440</f>
        <v>0.211805555555556</v>
      </c>
      <c r="G18" s="6" t="str">
        <f aca="false">IF(F18*24&gt;9,"OVER 9 h – revise",IF(F18*24&gt;6,"Long day – 45 min break + rest stops",IF(F18*24&gt;4.5,"45 min break needed","OK")))</f>
        <v>45 min break needed</v>
      </c>
      <c r="H18" s="10" t="n">
        <f aca="false">_xlfn.MINIFS('Minute-by-minute'!$D$3:$D$224,'Minute-by-minute'!$A$3:$A$224,A18)</f>
        <v>0.208333333333333</v>
      </c>
      <c r="I18" s="10" t="n">
        <f aca="false">_xlfn.MAXIFS('Minute-by-minute'!$E$3:$E$224,'Minute-by-minute'!$A$3:$A$224,A18)</f>
        <v>0.895833333333333</v>
      </c>
    </row>
    <row r="19" customFormat="false" ht="15" hidden="false" customHeight="false" outlineLevel="0" collapsed="false">
      <c r="A19" s="11"/>
      <c r="B19" s="11"/>
      <c r="C19" s="11" t="s">
        <v>65</v>
      </c>
      <c r="D19" s="11"/>
      <c r="E19" s="12" t="n">
        <f aca="false">SUM(E3:E18)</f>
        <v>4744</v>
      </c>
      <c r="F19" s="13" t="n">
        <f aca="false">SUM(F3:F18)</f>
        <v>3.32638888888889</v>
      </c>
      <c r="G19" s="11"/>
      <c r="H19" s="11"/>
      <c r="I19" s="11"/>
    </row>
    <row r="21" customFormat="false" ht="15" hidden="false" customHeight="false" outlineLevel="0" collapsed="false">
      <c r="C21" s="14" t="s">
        <v>66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5" t="s">
        <v>28</v>
      </c>
      <c r="B1" s="5" t="s">
        <v>29</v>
      </c>
      <c r="C1" s="5" t="s">
        <v>67</v>
      </c>
      <c r="D1" s="5" t="s">
        <v>68</v>
      </c>
      <c r="E1" s="5" t="s">
        <v>69</v>
      </c>
      <c r="F1" s="5" t="s">
        <v>70</v>
      </c>
      <c r="G1" s="5" t="s">
        <v>71</v>
      </c>
      <c r="H1" s="5" t="s">
        <v>72</v>
      </c>
      <c r="I1" s="5" t="s">
        <v>73</v>
      </c>
      <c r="J1" s="5" t="s">
        <v>74</v>
      </c>
      <c r="K1" s="5" t="s">
        <v>75</v>
      </c>
      <c r="L1" s="5" t="s">
        <v>76</v>
      </c>
      <c r="M1" s="5" t="s">
        <v>77</v>
      </c>
      <c r="N1" s="5" t="s">
        <v>78</v>
      </c>
      <c r="O1" s="5" t="s">
        <v>79</v>
      </c>
      <c r="P1" s="5" t="s">
        <v>80</v>
      </c>
    </row>
    <row r="3" customFormat="false" ht="23.85" hidden="false" customHeight="false" outlineLevel="0" collapsed="false">
      <c r="A3" s="15" t="n">
        <v>1</v>
      </c>
      <c r="B3" s="16" t="n">
        <v>45485</v>
      </c>
      <c r="C3" s="15" t="s">
        <v>81</v>
      </c>
      <c r="D3" s="15"/>
      <c r="E3" s="15"/>
      <c r="F3" s="15"/>
      <c r="G3" s="15" t="s">
        <v>82</v>
      </c>
      <c r="H3" s="15"/>
      <c r="I3" s="15" t="s">
        <v>37</v>
      </c>
      <c r="J3" s="15"/>
      <c r="K3" s="15"/>
      <c r="L3" s="15" t="s">
        <v>83</v>
      </c>
      <c r="M3" s="15"/>
      <c r="N3" s="15"/>
      <c r="O3" s="15"/>
      <c r="P3" s="15"/>
    </row>
    <row r="4" customFormat="false" ht="32.8" hidden="false" customHeight="false" outlineLevel="0" collapsed="false">
      <c r="A4" s="6" t="n">
        <v>1</v>
      </c>
      <c r="B4" s="7" t="n">
        <v>45485</v>
      </c>
      <c r="C4" s="6" t="s">
        <v>84</v>
      </c>
      <c r="D4" s="10" t="n">
        <v>0.145833333333333</v>
      </c>
      <c r="E4" s="10" t="n">
        <v>0.1875</v>
      </c>
      <c r="F4" s="6" t="n">
        <f aca="false">ROUND(MOD(E4-D4,1)*1440,0)</f>
        <v>60</v>
      </c>
      <c r="G4" s="6" t="s">
        <v>85</v>
      </c>
      <c r="H4" s="6"/>
      <c r="I4" s="6" t="s">
        <v>86</v>
      </c>
      <c r="J4" s="6" t="s">
        <v>87</v>
      </c>
      <c r="K4" s="8"/>
      <c r="L4" s="6" t="s">
        <v>88</v>
      </c>
      <c r="M4" s="6"/>
      <c r="N4" s="17" t="s">
        <v>89</v>
      </c>
      <c r="O4" s="6"/>
      <c r="P4" s="6" t="s">
        <v>90</v>
      </c>
    </row>
    <row r="5" customFormat="false" ht="22.35" hidden="false" customHeight="false" outlineLevel="0" collapsed="false">
      <c r="A5" s="6" t="n">
        <v>1</v>
      </c>
      <c r="B5" s="7" t="n">
        <v>45485</v>
      </c>
      <c r="C5" s="6" t="s">
        <v>84</v>
      </c>
      <c r="D5" s="10" t="n">
        <v>0.1875</v>
      </c>
      <c r="E5" s="10" t="n">
        <v>0.270833333333333</v>
      </c>
      <c r="F5" s="6" t="n">
        <f aca="false">ROUND(MOD(E5-D5,1)*1440,0)</f>
        <v>120</v>
      </c>
      <c r="G5" s="6" t="s">
        <v>91</v>
      </c>
      <c r="H5" s="6"/>
      <c r="I5" s="6" t="s">
        <v>86</v>
      </c>
      <c r="J5" s="6" t="s">
        <v>87</v>
      </c>
      <c r="K5" s="8"/>
      <c r="L5" s="6" t="s">
        <v>92</v>
      </c>
      <c r="M5" s="6"/>
      <c r="N5" s="17" t="s">
        <v>89</v>
      </c>
      <c r="O5" s="6"/>
      <c r="P5" s="6" t="s">
        <v>90</v>
      </c>
    </row>
    <row r="6" customFormat="false" ht="32.8" hidden="false" customHeight="false" outlineLevel="0" collapsed="false">
      <c r="A6" s="18" t="n">
        <v>1</v>
      </c>
      <c r="B6" s="19" t="n">
        <v>45485</v>
      </c>
      <c r="C6" s="18" t="s">
        <v>93</v>
      </c>
      <c r="D6" s="20" t="n">
        <v>0.291666666666667</v>
      </c>
      <c r="E6" s="20" t="n">
        <v>0.527777777777778</v>
      </c>
      <c r="F6" s="18" t="n">
        <v>610</v>
      </c>
      <c r="G6" s="18" t="s">
        <v>94</v>
      </c>
      <c r="H6" s="18" t="s">
        <v>86</v>
      </c>
      <c r="I6" s="18" t="s">
        <v>95</v>
      </c>
      <c r="J6" s="18" t="s">
        <v>96</v>
      </c>
      <c r="K6" s="21" t="n">
        <v>7750</v>
      </c>
      <c r="L6" s="18" t="s">
        <v>97</v>
      </c>
      <c r="M6" s="18"/>
      <c r="N6" s="22" t="s">
        <v>30</v>
      </c>
      <c r="O6" s="18" t="s">
        <v>98</v>
      </c>
      <c r="P6" s="18" t="s">
        <v>90</v>
      </c>
    </row>
    <row r="7" customFormat="false" ht="32.8" hidden="false" customHeight="false" outlineLevel="0" collapsed="false">
      <c r="A7" s="6" t="n">
        <v>1</v>
      </c>
      <c r="B7" s="7" t="n">
        <v>45485</v>
      </c>
      <c r="C7" s="6" t="s">
        <v>81</v>
      </c>
      <c r="D7" s="10" t="n">
        <v>0.527777777777778</v>
      </c>
      <c r="E7" s="10" t="n">
        <v>0.583333333333333</v>
      </c>
      <c r="F7" s="6" t="n">
        <f aca="false">ROUND(MOD(E7-D7,1)*1440,0)</f>
        <v>80</v>
      </c>
      <c r="G7" s="6" t="s">
        <v>99</v>
      </c>
      <c r="H7" s="6"/>
      <c r="I7" s="6" t="s">
        <v>95</v>
      </c>
      <c r="J7" s="6" t="s">
        <v>87</v>
      </c>
      <c r="K7" s="8"/>
      <c r="L7" s="6" t="s">
        <v>100</v>
      </c>
      <c r="M7" s="6"/>
      <c r="N7" s="17" t="s">
        <v>89</v>
      </c>
      <c r="O7" s="6"/>
      <c r="P7" s="6" t="s">
        <v>90</v>
      </c>
    </row>
    <row r="8" customFormat="false" ht="22.35" hidden="false" customHeight="false" outlineLevel="0" collapsed="false">
      <c r="A8" s="18" t="n">
        <v>1</v>
      </c>
      <c r="B8" s="19" t="n">
        <v>45485</v>
      </c>
      <c r="C8" s="18" t="s">
        <v>81</v>
      </c>
      <c r="D8" s="20" t="n">
        <v>0.583333333333333</v>
      </c>
      <c r="E8" s="20" t="n">
        <v>0.614583333333333</v>
      </c>
      <c r="F8" s="18" t="n">
        <f aca="false">ROUND(MOD(E8-D8,1)*1440,0)</f>
        <v>45</v>
      </c>
      <c r="G8" s="18" t="s">
        <v>101</v>
      </c>
      <c r="H8" s="18" t="s">
        <v>95</v>
      </c>
      <c r="I8" s="18" t="s">
        <v>102</v>
      </c>
      <c r="J8" s="18" t="s">
        <v>103</v>
      </c>
      <c r="K8" s="21" t="n">
        <v>35</v>
      </c>
      <c r="L8" s="18" t="s">
        <v>104</v>
      </c>
      <c r="M8" s="18"/>
      <c r="N8" s="22" t="s">
        <v>30</v>
      </c>
      <c r="O8" s="18"/>
      <c r="P8" s="18" t="s">
        <v>90</v>
      </c>
    </row>
    <row r="9" customFormat="false" ht="22.35" hidden="false" customHeight="false" outlineLevel="0" collapsed="false">
      <c r="A9" s="23" t="n">
        <v>1</v>
      </c>
      <c r="B9" s="24" t="n">
        <v>45485</v>
      </c>
      <c r="C9" s="23" t="s">
        <v>81</v>
      </c>
      <c r="D9" s="25" t="n">
        <v>0.614583333333333</v>
      </c>
      <c r="E9" s="25" t="n">
        <v>0.645833333333333</v>
      </c>
      <c r="F9" s="23" t="n">
        <f aca="false">ROUND(MOD(E9-D9,1)*1440,0)</f>
        <v>45</v>
      </c>
      <c r="G9" s="23" t="s">
        <v>105</v>
      </c>
      <c r="H9" s="23"/>
      <c r="I9" s="23" t="s">
        <v>102</v>
      </c>
      <c r="J9" s="23" t="s">
        <v>106</v>
      </c>
      <c r="K9" s="26"/>
      <c r="L9" s="23" t="s">
        <v>107</v>
      </c>
      <c r="M9" s="23" t="s">
        <v>108</v>
      </c>
      <c r="N9" s="27" t="s">
        <v>89</v>
      </c>
      <c r="O9" s="23"/>
      <c r="P9" s="23" t="s">
        <v>90</v>
      </c>
    </row>
    <row r="10" customFormat="false" ht="43.25" hidden="false" customHeight="false" outlineLevel="0" collapsed="false">
      <c r="A10" s="6" t="n">
        <v>1</v>
      </c>
      <c r="B10" s="7" t="n">
        <v>45485</v>
      </c>
      <c r="C10" s="6" t="s">
        <v>81</v>
      </c>
      <c r="D10" s="10" t="n">
        <v>0.645833333333333</v>
      </c>
      <c r="E10" s="10" t="n">
        <v>0.729166666666667</v>
      </c>
      <c r="F10" s="6" t="n">
        <f aca="false">ROUND(MOD(E10-D10,1)*1440,0)</f>
        <v>120</v>
      </c>
      <c r="G10" s="6" t="s">
        <v>109</v>
      </c>
      <c r="H10" s="6"/>
      <c r="I10" s="6" t="s">
        <v>102</v>
      </c>
      <c r="J10" s="6" t="s">
        <v>87</v>
      </c>
      <c r="K10" s="8"/>
      <c r="L10" s="6" t="s">
        <v>110</v>
      </c>
      <c r="M10" s="6"/>
      <c r="N10" s="17" t="s">
        <v>89</v>
      </c>
      <c r="O10" s="6"/>
      <c r="P10" s="6" t="s">
        <v>90</v>
      </c>
    </row>
    <row r="11" customFormat="false" ht="22.35" hidden="false" customHeight="false" outlineLevel="0" collapsed="false">
      <c r="A11" s="6" t="n">
        <v>1</v>
      </c>
      <c r="B11" s="7" t="n">
        <v>45485</v>
      </c>
      <c r="C11" s="6" t="s">
        <v>81</v>
      </c>
      <c r="D11" s="10" t="n">
        <v>0.729166666666667</v>
      </c>
      <c r="E11" s="10" t="n">
        <v>0.75</v>
      </c>
      <c r="F11" s="6" t="n">
        <f aca="false">ROUND(MOD(E11-D11,1)*1440,0)</f>
        <v>30</v>
      </c>
      <c r="G11" s="6" t="s">
        <v>111</v>
      </c>
      <c r="H11" s="6"/>
      <c r="I11" s="6" t="s">
        <v>102</v>
      </c>
      <c r="J11" s="6" t="s">
        <v>87</v>
      </c>
      <c r="K11" s="8"/>
      <c r="L11" s="6" t="s">
        <v>112</v>
      </c>
      <c r="M11" s="6"/>
      <c r="N11" s="17" t="s">
        <v>89</v>
      </c>
      <c r="O11" s="6"/>
      <c r="P11" s="6" t="s">
        <v>90</v>
      </c>
    </row>
    <row r="12" customFormat="false" ht="22.35" hidden="false" customHeight="false" outlineLevel="0" collapsed="false">
      <c r="A12" s="18" t="n">
        <v>1</v>
      </c>
      <c r="B12" s="19" t="n">
        <v>45485</v>
      </c>
      <c r="C12" s="18" t="s">
        <v>81</v>
      </c>
      <c r="D12" s="20" t="n">
        <v>0.75</v>
      </c>
      <c r="E12" s="20" t="n">
        <v>0.777777777777778</v>
      </c>
      <c r="F12" s="18" t="n">
        <f aca="false">ROUND(MOD(E12-D12,1)*1440,0)</f>
        <v>40</v>
      </c>
      <c r="G12" s="18" t="s">
        <v>101</v>
      </c>
      <c r="H12" s="18" t="s">
        <v>102</v>
      </c>
      <c r="I12" s="18" t="s">
        <v>113</v>
      </c>
      <c r="J12" s="18" t="s">
        <v>103</v>
      </c>
      <c r="K12" s="21" t="n">
        <v>22</v>
      </c>
      <c r="L12" s="18" t="s">
        <v>114</v>
      </c>
      <c r="M12" s="18"/>
      <c r="N12" s="22" t="s">
        <v>30</v>
      </c>
      <c r="O12" s="18"/>
      <c r="P12" s="18" t="s">
        <v>90</v>
      </c>
    </row>
    <row r="13" customFormat="false" ht="15" hidden="false" customHeight="false" outlineLevel="0" collapsed="false">
      <c r="A13" s="6" t="n">
        <v>1</v>
      </c>
      <c r="B13" s="7" t="n">
        <v>45485</v>
      </c>
      <c r="C13" s="6" t="s">
        <v>81</v>
      </c>
      <c r="D13" s="10" t="n">
        <v>0.777777777777778</v>
      </c>
      <c r="E13" s="10" t="n">
        <v>0.8125</v>
      </c>
      <c r="F13" s="6" t="n">
        <f aca="false">ROUND(MOD(E13-D13,1)*1440,0)</f>
        <v>50</v>
      </c>
      <c r="G13" s="6" t="s">
        <v>115</v>
      </c>
      <c r="H13" s="6"/>
      <c r="I13" s="6" t="s">
        <v>113</v>
      </c>
      <c r="J13" s="6" t="s">
        <v>87</v>
      </c>
      <c r="K13" s="8"/>
      <c r="L13" s="6" t="s">
        <v>116</v>
      </c>
      <c r="M13" s="6"/>
      <c r="N13" s="17" t="s">
        <v>89</v>
      </c>
      <c r="O13" s="6"/>
      <c r="P13" s="6" t="s">
        <v>90</v>
      </c>
    </row>
    <row r="14" customFormat="false" ht="22.35" hidden="false" customHeight="false" outlineLevel="0" collapsed="false">
      <c r="A14" s="23" t="n">
        <v>1</v>
      </c>
      <c r="B14" s="24" t="n">
        <v>45485</v>
      </c>
      <c r="C14" s="23" t="s">
        <v>81</v>
      </c>
      <c r="D14" s="25" t="n">
        <v>0.8125</v>
      </c>
      <c r="E14" s="25" t="n">
        <v>0.854166666666667</v>
      </c>
      <c r="F14" s="23" t="n">
        <f aca="false">ROUND(MOD(E14-D14,1)*1440,0)</f>
        <v>60</v>
      </c>
      <c r="G14" s="23" t="s">
        <v>117</v>
      </c>
      <c r="H14" s="23"/>
      <c r="I14" s="23" t="s">
        <v>113</v>
      </c>
      <c r="J14" s="23" t="s">
        <v>106</v>
      </c>
      <c r="K14" s="26"/>
      <c r="L14" s="23"/>
      <c r="M14" s="23" t="s">
        <v>118</v>
      </c>
      <c r="N14" s="27" t="s">
        <v>89</v>
      </c>
      <c r="O14" s="23"/>
      <c r="P14" s="23" t="s">
        <v>90</v>
      </c>
    </row>
    <row r="15" customFormat="false" ht="22.35" hidden="false" customHeight="false" outlineLevel="0" collapsed="false">
      <c r="A15" s="6" t="n">
        <v>1</v>
      </c>
      <c r="B15" s="7" t="n">
        <v>45485</v>
      </c>
      <c r="C15" s="6" t="s">
        <v>81</v>
      </c>
      <c r="D15" s="10" t="n">
        <v>0.854166666666667</v>
      </c>
      <c r="E15" s="10" t="n">
        <v>0.875</v>
      </c>
      <c r="F15" s="6" t="n">
        <f aca="false">ROUND(MOD(E15-D15,1)*1440,0)</f>
        <v>30</v>
      </c>
      <c r="G15" s="6" t="s">
        <v>119</v>
      </c>
      <c r="H15" s="6"/>
      <c r="I15" s="6" t="s">
        <v>113</v>
      </c>
      <c r="J15" s="6" t="s">
        <v>87</v>
      </c>
      <c r="K15" s="8"/>
      <c r="L15" s="6" t="s">
        <v>120</v>
      </c>
      <c r="M15" s="6"/>
      <c r="N15" s="17" t="s">
        <v>89</v>
      </c>
      <c r="O15" s="6"/>
      <c r="P15" s="6" t="s">
        <v>90</v>
      </c>
    </row>
    <row r="16" customFormat="false" ht="23.85" hidden="false" customHeight="false" outlineLevel="0" collapsed="false">
      <c r="A16" s="15" t="n">
        <v>2</v>
      </c>
      <c r="B16" s="16" t="n">
        <v>45486</v>
      </c>
      <c r="C16" s="15" t="s">
        <v>81</v>
      </c>
      <c r="D16" s="15"/>
      <c r="E16" s="15"/>
      <c r="F16" s="15"/>
      <c r="G16" s="15" t="s">
        <v>121</v>
      </c>
      <c r="H16" s="15"/>
      <c r="I16" s="15" t="s">
        <v>39</v>
      </c>
      <c r="J16" s="15"/>
      <c r="K16" s="15"/>
      <c r="L16" s="15" t="s">
        <v>83</v>
      </c>
      <c r="M16" s="15"/>
      <c r="N16" s="15"/>
      <c r="O16" s="15"/>
      <c r="P16" s="15"/>
    </row>
    <row r="17" customFormat="false" ht="22.35" hidden="false" customHeight="false" outlineLevel="0" collapsed="false">
      <c r="A17" s="6" t="n">
        <v>2</v>
      </c>
      <c r="B17" s="7" t="n">
        <v>45486</v>
      </c>
      <c r="C17" s="6" t="s">
        <v>81</v>
      </c>
      <c r="D17" s="10" t="n">
        <v>0.25</v>
      </c>
      <c r="E17" s="10" t="n">
        <v>0.291666666666667</v>
      </c>
      <c r="F17" s="6" t="n">
        <f aca="false">ROUND(MOD(E17-D17,1)*1440,0)</f>
        <v>60</v>
      </c>
      <c r="G17" s="6" t="s">
        <v>122</v>
      </c>
      <c r="H17" s="6"/>
      <c r="I17" s="6" t="s">
        <v>113</v>
      </c>
      <c r="J17" s="6" t="s">
        <v>87</v>
      </c>
      <c r="K17" s="8"/>
      <c r="L17" s="6" t="s">
        <v>123</v>
      </c>
      <c r="M17" s="6"/>
      <c r="N17" s="17" t="s">
        <v>89</v>
      </c>
      <c r="O17" s="6"/>
      <c r="P17" s="6" t="s">
        <v>90</v>
      </c>
    </row>
    <row r="18" customFormat="false" ht="15" hidden="false" customHeight="false" outlineLevel="0" collapsed="false">
      <c r="A18" s="23" t="n">
        <v>2</v>
      </c>
      <c r="B18" s="24" t="n">
        <v>45486</v>
      </c>
      <c r="C18" s="23" t="s">
        <v>81</v>
      </c>
      <c r="D18" s="25" t="n">
        <v>0.291666666666667</v>
      </c>
      <c r="E18" s="25" t="n">
        <v>0.322916666666667</v>
      </c>
      <c r="F18" s="23" t="n">
        <f aca="false">ROUND(MOD(E18-D18,1)*1440,0)</f>
        <v>45</v>
      </c>
      <c r="G18" s="23" t="s">
        <v>124</v>
      </c>
      <c r="H18" s="23"/>
      <c r="I18" s="23" t="s">
        <v>113</v>
      </c>
      <c r="J18" s="23" t="s">
        <v>106</v>
      </c>
      <c r="K18" s="26"/>
      <c r="L18" s="23"/>
      <c r="M18" s="23" t="s">
        <v>125</v>
      </c>
      <c r="N18" s="27" t="s">
        <v>89</v>
      </c>
      <c r="O18" s="23"/>
      <c r="P18" s="23" t="s">
        <v>90</v>
      </c>
    </row>
    <row r="19" customFormat="false" ht="22.35" hidden="false" customHeight="false" outlineLevel="0" collapsed="false">
      <c r="A19" s="18" t="n">
        <v>2</v>
      </c>
      <c r="B19" s="19" t="n">
        <v>45486</v>
      </c>
      <c r="C19" s="18" t="s">
        <v>81</v>
      </c>
      <c r="D19" s="20" t="n">
        <v>0.333333333333333</v>
      </c>
      <c r="E19" s="20" t="n">
        <v>0.395833333333333</v>
      </c>
      <c r="F19" s="18" t="n">
        <f aca="false">ROUND(MOD(E19-D19,1)*1440,0)</f>
        <v>90</v>
      </c>
      <c r="G19" s="18" t="s">
        <v>101</v>
      </c>
      <c r="H19" s="18" t="s">
        <v>113</v>
      </c>
      <c r="I19" s="18" t="s">
        <v>126</v>
      </c>
      <c r="J19" s="18" t="s">
        <v>103</v>
      </c>
      <c r="K19" s="21" t="n">
        <v>85</v>
      </c>
      <c r="L19" s="18" t="s">
        <v>127</v>
      </c>
      <c r="M19" s="18"/>
      <c r="N19" s="22" t="s">
        <v>30</v>
      </c>
      <c r="O19" s="18"/>
      <c r="P19" s="18" t="s">
        <v>90</v>
      </c>
    </row>
    <row r="20" customFormat="false" ht="32.8" hidden="false" customHeight="false" outlineLevel="0" collapsed="false">
      <c r="A20" s="6" t="n">
        <v>2</v>
      </c>
      <c r="B20" s="7" t="n">
        <v>45486</v>
      </c>
      <c r="C20" s="6" t="s">
        <v>81</v>
      </c>
      <c r="D20" s="10" t="n">
        <v>0.395833333333333</v>
      </c>
      <c r="E20" s="10" t="n">
        <v>0.489583333333333</v>
      </c>
      <c r="F20" s="6" t="n">
        <f aca="false">ROUND(MOD(E20-D20,1)*1440,0)</f>
        <v>135</v>
      </c>
      <c r="G20" s="6" t="s">
        <v>128</v>
      </c>
      <c r="H20" s="6"/>
      <c r="I20" s="6" t="s">
        <v>126</v>
      </c>
      <c r="J20" s="6" t="s">
        <v>87</v>
      </c>
      <c r="K20" s="8"/>
      <c r="L20" s="6" t="s">
        <v>129</v>
      </c>
      <c r="M20" s="6"/>
      <c r="N20" s="17" t="s">
        <v>89</v>
      </c>
      <c r="O20" s="6"/>
      <c r="P20" s="6" t="s">
        <v>90</v>
      </c>
    </row>
    <row r="21" customFormat="false" ht="22.35" hidden="false" customHeight="false" outlineLevel="0" collapsed="false">
      <c r="A21" s="23" t="n">
        <v>2</v>
      </c>
      <c r="B21" s="24" t="n">
        <v>45486</v>
      </c>
      <c r="C21" s="23" t="s">
        <v>81</v>
      </c>
      <c r="D21" s="25" t="n">
        <v>0.489583333333333</v>
      </c>
      <c r="E21" s="25" t="n">
        <v>0.53125</v>
      </c>
      <c r="F21" s="23" t="n">
        <f aca="false">ROUND(MOD(E21-D21,1)*1440,0)</f>
        <v>60</v>
      </c>
      <c r="G21" s="23" t="s">
        <v>105</v>
      </c>
      <c r="H21" s="23"/>
      <c r="I21" s="23" t="s">
        <v>130</v>
      </c>
      <c r="J21" s="23" t="s">
        <v>106</v>
      </c>
      <c r="K21" s="26"/>
      <c r="L21" s="23" t="s">
        <v>131</v>
      </c>
      <c r="M21" s="23" t="s">
        <v>132</v>
      </c>
      <c r="N21" s="27" t="s">
        <v>89</v>
      </c>
      <c r="O21" s="23"/>
      <c r="P21" s="23" t="s">
        <v>90</v>
      </c>
    </row>
    <row r="22" customFormat="false" ht="22.35" hidden="false" customHeight="false" outlineLevel="0" collapsed="false">
      <c r="A22" s="18" t="n">
        <v>2</v>
      </c>
      <c r="B22" s="19" t="n">
        <v>45486</v>
      </c>
      <c r="C22" s="18" t="s">
        <v>81</v>
      </c>
      <c r="D22" s="20" t="n">
        <v>0.53125</v>
      </c>
      <c r="E22" s="20" t="n">
        <v>0.576388888888889</v>
      </c>
      <c r="F22" s="18" t="n">
        <f aca="false">ROUND(MOD(E22-D22,1)*1440,0)</f>
        <v>65</v>
      </c>
      <c r="G22" s="18" t="s">
        <v>101</v>
      </c>
      <c r="H22" s="18" t="s">
        <v>126</v>
      </c>
      <c r="I22" s="18" t="s">
        <v>133</v>
      </c>
      <c r="J22" s="18" t="s">
        <v>103</v>
      </c>
      <c r="K22" s="21" t="n">
        <v>55</v>
      </c>
      <c r="L22" s="18" t="s">
        <v>134</v>
      </c>
      <c r="M22" s="18"/>
      <c r="N22" s="22" t="s">
        <v>30</v>
      </c>
      <c r="O22" s="18"/>
      <c r="P22" s="18" t="s">
        <v>90</v>
      </c>
    </row>
    <row r="23" customFormat="false" ht="22.35" hidden="false" customHeight="false" outlineLevel="0" collapsed="false">
      <c r="A23" s="6" t="n">
        <v>2</v>
      </c>
      <c r="B23" s="7" t="n">
        <v>45486</v>
      </c>
      <c r="C23" s="6" t="s">
        <v>81</v>
      </c>
      <c r="D23" s="10" t="n">
        <v>0.576388888888889</v>
      </c>
      <c r="E23" s="10" t="n">
        <v>0.645833333333333</v>
      </c>
      <c r="F23" s="6" t="n">
        <f aca="false">ROUND(MOD(E23-D23,1)*1440,0)</f>
        <v>100</v>
      </c>
      <c r="G23" s="6" t="s">
        <v>128</v>
      </c>
      <c r="H23" s="6"/>
      <c r="I23" s="6" t="s">
        <v>133</v>
      </c>
      <c r="J23" s="6" t="s">
        <v>87</v>
      </c>
      <c r="K23" s="8"/>
      <c r="L23" s="6" t="s">
        <v>135</v>
      </c>
      <c r="M23" s="6"/>
      <c r="N23" s="17" t="s">
        <v>89</v>
      </c>
      <c r="O23" s="6"/>
      <c r="P23" s="6" t="s">
        <v>90</v>
      </c>
    </row>
    <row r="24" customFormat="false" ht="22.35" hidden="false" customHeight="false" outlineLevel="0" collapsed="false">
      <c r="A24" s="18" t="n">
        <v>2</v>
      </c>
      <c r="B24" s="19" t="n">
        <v>45486</v>
      </c>
      <c r="C24" s="18" t="s">
        <v>81</v>
      </c>
      <c r="D24" s="20" t="n">
        <v>0.645833333333333</v>
      </c>
      <c r="E24" s="20" t="n">
        <v>0.75</v>
      </c>
      <c r="F24" s="18" t="n">
        <f aca="false">ROUND(MOD(E24-D24,1)*1440,0)</f>
        <v>150</v>
      </c>
      <c r="G24" s="18" t="s">
        <v>101</v>
      </c>
      <c r="H24" s="18" t="s">
        <v>133</v>
      </c>
      <c r="I24" s="18" t="s">
        <v>136</v>
      </c>
      <c r="J24" s="18" t="s">
        <v>103</v>
      </c>
      <c r="K24" s="21" t="n">
        <v>140</v>
      </c>
      <c r="L24" s="18" t="s">
        <v>137</v>
      </c>
      <c r="M24" s="18"/>
      <c r="N24" s="22" t="s">
        <v>30</v>
      </c>
      <c r="O24" s="18"/>
      <c r="P24" s="18" t="s">
        <v>90</v>
      </c>
    </row>
    <row r="25" customFormat="false" ht="22.35" hidden="false" customHeight="false" outlineLevel="0" collapsed="false">
      <c r="A25" s="23" t="n">
        <v>2</v>
      </c>
      <c r="B25" s="24" t="n">
        <v>45486</v>
      </c>
      <c r="C25" s="23" t="s">
        <v>81</v>
      </c>
      <c r="D25" s="25" t="n">
        <v>0.75</v>
      </c>
      <c r="E25" s="25" t="n">
        <v>0.791666666666667</v>
      </c>
      <c r="F25" s="23" t="n">
        <f aca="false">ROUND(MOD(E25-D25,1)*1440,0)</f>
        <v>60</v>
      </c>
      <c r="G25" s="23" t="s">
        <v>117</v>
      </c>
      <c r="H25" s="23"/>
      <c r="I25" s="23" t="s">
        <v>138</v>
      </c>
      <c r="J25" s="23" t="s">
        <v>106</v>
      </c>
      <c r="K25" s="26"/>
      <c r="L25" s="23" t="s">
        <v>139</v>
      </c>
      <c r="M25" s="23" t="s">
        <v>140</v>
      </c>
      <c r="N25" s="27" t="s">
        <v>89</v>
      </c>
      <c r="O25" s="23"/>
      <c r="P25" s="23" t="s">
        <v>90</v>
      </c>
    </row>
    <row r="26" customFormat="false" ht="32.8" hidden="false" customHeight="false" outlineLevel="0" collapsed="false">
      <c r="A26" s="6" t="n">
        <v>2</v>
      </c>
      <c r="B26" s="7" t="n">
        <v>45486</v>
      </c>
      <c r="C26" s="6" t="s">
        <v>81</v>
      </c>
      <c r="D26" s="10" t="n">
        <v>0.8125</v>
      </c>
      <c r="E26" s="10" t="n">
        <v>0.927083333333333</v>
      </c>
      <c r="F26" s="6" t="n">
        <f aca="false">ROUND(MOD(E26-D26,1)*1440,0)</f>
        <v>165</v>
      </c>
      <c r="G26" s="6" t="s">
        <v>141</v>
      </c>
      <c r="H26" s="6"/>
      <c r="I26" s="6" t="s">
        <v>142</v>
      </c>
      <c r="J26" s="6" t="s">
        <v>87</v>
      </c>
      <c r="K26" s="8"/>
      <c r="L26" s="6" t="s">
        <v>143</v>
      </c>
      <c r="M26" s="6"/>
      <c r="N26" s="17" t="s">
        <v>89</v>
      </c>
      <c r="O26" s="6" t="s">
        <v>144</v>
      </c>
      <c r="P26" s="6" t="s">
        <v>90</v>
      </c>
    </row>
    <row r="27" customFormat="false" ht="22.35" hidden="false" customHeight="false" outlineLevel="0" collapsed="false">
      <c r="A27" s="18" t="n">
        <v>2</v>
      </c>
      <c r="B27" s="19" t="n">
        <v>45486</v>
      </c>
      <c r="C27" s="18" t="s">
        <v>81</v>
      </c>
      <c r="D27" s="20" t="n">
        <v>0.9375</v>
      </c>
      <c r="E27" s="20" t="n">
        <v>0.96875</v>
      </c>
      <c r="F27" s="18" t="n">
        <f aca="false">ROUND(MOD(E27-D27,1)*1440,0)</f>
        <v>45</v>
      </c>
      <c r="G27" s="18" t="s">
        <v>101</v>
      </c>
      <c r="H27" s="18" t="s">
        <v>142</v>
      </c>
      <c r="I27" s="18" t="s">
        <v>113</v>
      </c>
      <c r="J27" s="18" t="s">
        <v>103</v>
      </c>
      <c r="K27" s="21" t="n">
        <v>15</v>
      </c>
      <c r="L27" s="18" t="s">
        <v>145</v>
      </c>
      <c r="M27" s="18"/>
      <c r="N27" s="22" t="s">
        <v>30</v>
      </c>
      <c r="O27" s="18"/>
      <c r="P27" s="18" t="s">
        <v>90</v>
      </c>
    </row>
    <row r="28" customFormat="false" ht="35.05" hidden="false" customHeight="false" outlineLevel="0" collapsed="false">
      <c r="A28" s="15" t="n">
        <v>3</v>
      </c>
      <c r="B28" s="16" t="n">
        <v>45487</v>
      </c>
      <c r="C28" s="15" t="s">
        <v>81</v>
      </c>
      <c r="D28" s="15"/>
      <c r="E28" s="15"/>
      <c r="F28" s="15"/>
      <c r="G28" s="15" t="s">
        <v>146</v>
      </c>
      <c r="H28" s="15"/>
      <c r="I28" s="15" t="s">
        <v>40</v>
      </c>
      <c r="J28" s="15"/>
      <c r="K28" s="15"/>
      <c r="L28" s="15" t="s">
        <v>83</v>
      </c>
      <c r="M28" s="15"/>
      <c r="N28" s="15"/>
      <c r="O28" s="15"/>
      <c r="P28" s="15"/>
    </row>
    <row r="29" customFormat="false" ht="22.35" hidden="false" customHeight="false" outlineLevel="0" collapsed="false">
      <c r="A29" s="6" t="n">
        <v>3</v>
      </c>
      <c r="B29" s="7" t="n">
        <v>45487</v>
      </c>
      <c r="C29" s="6" t="s">
        <v>81</v>
      </c>
      <c r="D29" s="10" t="n">
        <v>0.270833333333333</v>
      </c>
      <c r="E29" s="10" t="n">
        <v>0.302083333333333</v>
      </c>
      <c r="F29" s="6" t="n">
        <f aca="false">ROUND(MOD(E29-D29,1)*1440,0)</f>
        <v>45</v>
      </c>
      <c r="G29" s="6" t="s">
        <v>122</v>
      </c>
      <c r="H29" s="6"/>
      <c r="I29" s="6" t="s">
        <v>113</v>
      </c>
      <c r="J29" s="6" t="s">
        <v>87</v>
      </c>
      <c r="K29" s="8"/>
      <c r="L29" s="6" t="s">
        <v>123</v>
      </c>
      <c r="M29" s="6"/>
      <c r="N29" s="17" t="s">
        <v>89</v>
      </c>
      <c r="O29" s="6"/>
      <c r="P29" s="6" t="s">
        <v>90</v>
      </c>
    </row>
    <row r="30" customFormat="false" ht="15" hidden="false" customHeight="false" outlineLevel="0" collapsed="false">
      <c r="A30" s="23" t="n">
        <v>3</v>
      </c>
      <c r="B30" s="24" t="n">
        <v>45487</v>
      </c>
      <c r="C30" s="23" t="s">
        <v>81</v>
      </c>
      <c r="D30" s="25" t="n">
        <v>0.302083333333333</v>
      </c>
      <c r="E30" s="25" t="n">
        <v>0.333333333333333</v>
      </c>
      <c r="F30" s="23" t="n">
        <f aca="false">ROUND(MOD(E30-D30,1)*1440,0)</f>
        <v>45</v>
      </c>
      <c r="G30" s="23" t="s">
        <v>124</v>
      </c>
      <c r="H30" s="23"/>
      <c r="I30" s="23" t="s">
        <v>113</v>
      </c>
      <c r="J30" s="23" t="s">
        <v>106</v>
      </c>
      <c r="K30" s="26"/>
      <c r="L30" s="23"/>
      <c r="M30" s="23" t="s">
        <v>125</v>
      </c>
      <c r="N30" s="27" t="s">
        <v>89</v>
      </c>
      <c r="O30" s="23"/>
      <c r="P30" s="23" t="s">
        <v>90</v>
      </c>
    </row>
    <row r="31" customFormat="false" ht="22.35" hidden="false" customHeight="false" outlineLevel="0" collapsed="false">
      <c r="A31" s="18" t="n">
        <v>3</v>
      </c>
      <c r="B31" s="19" t="n">
        <v>45487</v>
      </c>
      <c r="C31" s="18" t="s">
        <v>81</v>
      </c>
      <c r="D31" s="20" t="n">
        <v>0.333333333333333</v>
      </c>
      <c r="E31" s="20" t="n">
        <v>0.375</v>
      </c>
      <c r="F31" s="18" t="n">
        <f aca="false">ROUND(MOD(E31-D31,1)*1440,0)</f>
        <v>60</v>
      </c>
      <c r="G31" s="18" t="s">
        <v>101</v>
      </c>
      <c r="H31" s="18" t="s">
        <v>113</v>
      </c>
      <c r="I31" s="18" t="s">
        <v>147</v>
      </c>
      <c r="J31" s="18" t="s">
        <v>103</v>
      </c>
      <c r="K31" s="21" t="n">
        <v>20</v>
      </c>
      <c r="L31" s="18" t="s">
        <v>148</v>
      </c>
      <c r="M31" s="18"/>
      <c r="N31" s="22" t="s">
        <v>30</v>
      </c>
      <c r="O31" s="18"/>
      <c r="P31" s="18" t="s">
        <v>90</v>
      </c>
    </row>
    <row r="32" customFormat="false" ht="22.35" hidden="false" customHeight="false" outlineLevel="0" collapsed="false">
      <c r="A32" s="6" t="n">
        <v>3</v>
      </c>
      <c r="B32" s="7" t="n">
        <v>45487</v>
      </c>
      <c r="C32" s="6" t="s">
        <v>81</v>
      </c>
      <c r="D32" s="10" t="n">
        <v>0.375</v>
      </c>
      <c r="E32" s="10" t="n">
        <v>0.409722222222222</v>
      </c>
      <c r="F32" s="6" t="n">
        <f aca="false">ROUND(MOD(E32-D32,1)*1440,0)</f>
        <v>50</v>
      </c>
      <c r="G32" s="6" t="s">
        <v>128</v>
      </c>
      <c r="H32" s="6"/>
      <c r="I32" s="6" t="s">
        <v>147</v>
      </c>
      <c r="J32" s="6" t="s">
        <v>87</v>
      </c>
      <c r="K32" s="8"/>
      <c r="L32" s="6" t="s">
        <v>149</v>
      </c>
      <c r="M32" s="6"/>
      <c r="N32" s="17" t="s">
        <v>89</v>
      </c>
      <c r="O32" s="6"/>
      <c r="P32" s="6" t="s">
        <v>90</v>
      </c>
    </row>
    <row r="33" customFormat="false" ht="22.35" hidden="false" customHeight="false" outlineLevel="0" collapsed="false">
      <c r="A33" s="6" t="n">
        <v>3</v>
      </c>
      <c r="B33" s="7" t="n">
        <v>45487</v>
      </c>
      <c r="C33" s="6" t="s">
        <v>81</v>
      </c>
      <c r="D33" s="10" t="n">
        <v>0.416666666666667</v>
      </c>
      <c r="E33" s="10" t="n">
        <v>0.458333333333333</v>
      </c>
      <c r="F33" s="6" t="n">
        <f aca="false">ROUND(MOD(E33-D33,1)*1440,0)</f>
        <v>60</v>
      </c>
      <c r="G33" s="6" t="s">
        <v>128</v>
      </c>
      <c r="H33" s="6"/>
      <c r="I33" s="6" t="s">
        <v>150</v>
      </c>
      <c r="J33" s="6" t="s">
        <v>87</v>
      </c>
      <c r="K33" s="8"/>
      <c r="L33" s="6" t="s">
        <v>151</v>
      </c>
      <c r="M33" s="6"/>
      <c r="N33" s="17" t="s">
        <v>89</v>
      </c>
      <c r="O33" s="6"/>
      <c r="P33" s="6" t="s">
        <v>90</v>
      </c>
    </row>
    <row r="34" customFormat="false" ht="22.35" hidden="false" customHeight="false" outlineLevel="0" collapsed="false">
      <c r="A34" s="18" t="n">
        <v>3</v>
      </c>
      <c r="B34" s="19" t="n">
        <v>45487</v>
      </c>
      <c r="C34" s="18" t="s">
        <v>81</v>
      </c>
      <c r="D34" s="20" t="n">
        <v>0.46875</v>
      </c>
      <c r="E34" s="20" t="n">
        <v>0.496527777777778</v>
      </c>
      <c r="F34" s="18" t="n">
        <f aca="false">ROUND(MOD(E34-D34,1)*1440,0)</f>
        <v>40</v>
      </c>
      <c r="G34" s="18" t="s">
        <v>152</v>
      </c>
      <c r="H34" s="18" t="s">
        <v>153</v>
      </c>
      <c r="I34" s="18" t="s">
        <v>154</v>
      </c>
      <c r="J34" s="18" t="s">
        <v>155</v>
      </c>
      <c r="K34" s="21" t="n">
        <v>5</v>
      </c>
      <c r="L34" s="18" t="s">
        <v>156</v>
      </c>
      <c r="M34" s="18"/>
      <c r="N34" s="22" t="s">
        <v>30</v>
      </c>
      <c r="O34" s="18"/>
      <c r="P34" s="18" t="s">
        <v>90</v>
      </c>
    </row>
    <row r="35" customFormat="false" ht="32.8" hidden="false" customHeight="false" outlineLevel="0" collapsed="false">
      <c r="A35" s="6" t="n">
        <v>3</v>
      </c>
      <c r="B35" s="7" t="n">
        <v>45487</v>
      </c>
      <c r="C35" s="6" t="s">
        <v>81</v>
      </c>
      <c r="D35" s="10" t="n">
        <v>0.5</v>
      </c>
      <c r="E35" s="10" t="n">
        <v>0.572916666666667</v>
      </c>
      <c r="F35" s="6" t="n">
        <f aca="false">ROUND(MOD(E35-D35,1)*1440,0)</f>
        <v>105</v>
      </c>
      <c r="G35" s="6" t="s">
        <v>128</v>
      </c>
      <c r="H35" s="6"/>
      <c r="I35" s="6" t="s">
        <v>157</v>
      </c>
      <c r="J35" s="6" t="s">
        <v>87</v>
      </c>
      <c r="K35" s="8"/>
      <c r="L35" s="6" t="s">
        <v>158</v>
      </c>
      <c r="M35" s="6"/>
      <c r="N35" s="17" t="s">
        <v>89</v>
      </c>
      <c r="O35" s="6" t="s">
        <v>159</v>
      </c>
      <c r="P35" s="6" t="s">
        <v>90</v>
      </c>
    </row>
    <row r="36" customFormat="false" ht="22.35" hidden="false" customHeight="false" outlineLevel="0" collapsed="false">
      <c r="A36" s="23" t="n">
        <v>3</v>
      </c>
      <c r="B36" s="24" t="n">
        <v>45487</v>
      </c>
      <c r="C36" s="23" t="s">
        <v>81</v>
      </c>
      <c r="D36" s="25" t="n">
        <v>0.572916666666667</v>
      </c>
      <c r="E36" s="25" t="n">
        <v>0.614583333333333</v>
      </c>
      <c r="F36" s="23" t="n">
        <f aca="false">ROUND(MOD(E36-D36,1)*1440,0)</f>
        <v>60</v>
      </c>
      <c r="G36" s="23" t="s">
        <v>105</v>
      </c>
      <c r="H36" s="23"/>
      <c r="I36" s="23" t="s">
        <v>160</v>
      </c>
      <c r="J36" s="23" t="s">
        <v>106</v>
      </c>
      <c r="K36" s="26"/>
      <c r="L36" s="23" t="s">
        <v>161</v>
      </c>
      <c r="M36" s="23" t="s">
        <v>162</v>
      </c>
      <c r="N36" s="27" t="s">
        <v>89</v>
      </c>
      <c r="O36" s="23"/>
      <c r="P36" s="23" t="s">
        <v>90</v>
      </c>
    </row>
    <row r="37" customFormat="false" ht="22.35" hidden="false" customHeight="false" outlineLevel="0" collapsed="false">
      <c r="A37" s="18" t="n">
        <v>3</v>
      </c>
      <c r="B37" s="19" t="n">
        <v>45487</v>
      </c>
      <c r="C37" s="18" t="s">
        <v>81</v>
      </c>
      <c r="D37" s="20" t="n">
        <v>0.614583333333333</v>
      </c>
      <c r="E37" s="20" t="n">
        <v>0.645833333333333</v>
      </c>
      <c r="F37" s="18" t="n">
        <f aca="false">ROUND(MOD(E37-D37,1)*1440,0)</f>
        <v>45</v>
      </c>
      <c r="G37" s="18" t="s">
        <v>101</v>
      </c>
      <c r="H37" s="18" t="s">
        <v>157</v>
      </c>
      <c r="I37" s="18" t="s">
        <v>163</v>
      </c>
      <c r="J37" s="18" t="s">
        <v>103</v>
      </c>
      <c r="K37" s="21" t="n">
        <v>8</v>
      </c>
      <c r="L37" s="18" t="s">
        <v>164</v>
      </c>
      <c r="M37" s="18"/>
      <c r="N37" s="22" t="s">
        <v>30</v>
      </c>
      <c r="O37" s="18"/>
      <c r="P37" s="18" t="s">
        <v>90</v>
      </c>
    </row>
    <row r="38" customFormat="false" ht="22.35" hidden="false" customHeight="false" outlineLevel="0" collapsed="false">
      <c r="A38" s="6" t="n">
        <v>3</v>
      </c>
      <c r="B38" s="7" t="n">
        <v>45487</v>
      </c>
      <c r="C38" s="6" t="s">
        <v>81</v>
      </c>
      <c r="D38" s="10" t="n">
        <v>0.645833333333333</v>
      </c>
      <c r="E38" s="10" t="n">
        <v>0.708333333333333</v>
      </c>
      <c r="F38" s="6" t="n">
        <f aca="false">ROUND(MOD(E38-D38,1)*1440,0)</f>
        <v>90</v>
      </c>
      <c r="G38" s="6" t="s">
        <v>128</v>
      </c>
      <c r="H38" s="6"/>
      <c r="I38" s="6" t="s">
        <v>163</v>
      </c>
      <c r="J38" s="6" t="s">
        <v>87</v>
      </c>
      <c r="K38" s="8"/>
      <c r="L38" s="6" t="s">
        <v>165</v>
      </c>
      <c r="M38" s="6"/>
      <c r="N38" s="17" t="s">
        <v>89</v>
      </c>
      <c r="O38" s="6"/>
      <c r="P38" s="6" t="s">
        <v>90</v>
      </c>
    </row>
    <row r="39" customFormat="false" ht="22.35" hidden="false" customHeight="false" outlineLevel="0" collapsed="false">
      <c r="A39" s="18" t="n">
        <v>3</v>
      </c>
      <c r="B39" s="19" t="n">
        <v>45487</v>
      </c>
      <c r="C39" s="18" t="s">
        <v>81</v>
      </c>
      <c r="D39" s="20" t="n">
        <v>0.708333333333333</v>
      </c>
      <c r="E39" s="20" t="n">
        <v>0.729166666666667</v>
      </c>
      <c r="F39" s="18" t="n">
        <f aca="false">ROUND(MOD(E39-D39,1)*1440,0)</f>
        <v>30</v>
      </c>
      <c r="G39" s="18" t="s">
        <v>101</v>
      </c>
      <c r="H39" s="18" t="s">
        <v>163</v>
      </c>
      <c r="I39" s="18" t="s">
        <v>136</v>
      </c>
      <c r="J39" s="18" t="s">
        <v>103</v>
      </c>
      <c r="K39" s="21" t="n">
        <v>3</v>
      </c>
      <c r="L39" s="18" t="s">
        <v>166</v>
      </c>
      <c r="M39" s="18"/>
      <c r="N39" s="22" t="s">
        <v>30</v>
      </c>
      <c r="O39" s="18"/>
      <c r="P39" s="18" t="s">
        <v>90</v>
      </c>
    </row>
    <row r="40" customFormat="false" ht="32.8" hidden="false" customHeight="false" outlineLevel="0" collapsed="false">
      <c r="A40" s="6" t="n">
        <v>3</v>
      </c>
      <c r="B40" s="7" t="n">
        <v>45487</v>
      </c>
      <c r="C40" s="6" t="s">
        <v>81</v>
      </c>
      <c r="D40" s="10" t="n">
        <v>0.729166666666667</v>
      </c>
      <c r="E40" s="10" t="n">
        <v>0.791666666666667</v>
      </c>
      <c r="F40" s="6" t="n">
        <f aca="false">ROUND(MOD(E40-D40,1)*1440,0)</f>
        <v>90</v>
      </c>
      <c r="G40" s="6" t="s">
        <v>109</v>
      </c>
      <c r="H40" s="6"/>
      <c r="I40" s="6" t="s">
        <v>136</v>
      </c>
      <c r="J40" s="6" t="s">
        <v>87</v>
      </c>
      <c r="K40" s="8"/>
      <c r="L40" s="6" t="s">
        <v>167</v>
      </c>
      <c r="M40" s="6"/>
      <c r="N40" s="17" t="s">
        <v>89</v>
      </c>
      <c r="O40" s="6"/>
      <c r="P40" s="6" t="s">
        <v>90</v>
      </c>
    </row>
    <row r="41" customFormat="false" ht="22.35" hidden="false" customHeight="false" outlineLevel="0" collapsed="false">
      <c r="A41" s="18" t="n">
        <v>3</v>
      </c>
      <c r="B41" s="19" t="n">
        <v>45487</v>
      </c>
      <c r="C41" s="18" t="s">
        <v>81</v>
      </c>
      <c r="D41" s="20" t="n">
        <v>0.791666666666667</v>
      </c>
      <c r="E41" s="20" t="n">
        <v>0.826388888888889</v>
      </c>
      <c r="F41" s="18" t="n">
        <f aca="false">ROUND(MOD(E41-D41,1)*1440,0)</f>
        <v>50</v>
      </c>
      <c r="G41" s="18" t="s">
        <v>101</v>
      </c>
      <c r="H41" s="18" t="s">
        <v>136</v>
      </c>
      <c r="I41" s="18" t="s">
        <v>113</v>
      </c>
      <c r="J41" s="18" t="s">
        <v>103</v>
      </c>
      <c r="K41" s="21" t="n">
        <v>15</v>
      </c>
      <c r="L41" s="18" t="s">
        <v>168</v>
      </c>
      <c r="M41" s="18"/>
      <c r="N41" s="22" t="s">
        <v>30</v>
      </c>
      <c r="O41" s="18"/>
      <c r="P41" s="18" t="s">
        <v>90</v>
      </c>
    </row>
    <row r="42" customFormat="false" ht="22.35" hidden="false" customHeight="false" outlineLevel="0" collapsed="false">
      <c r="A42" s="23" t="n">
        <v>3</v>
      </c>
      <c r="B42" s="24" t="n">
        <v>45487</v>
      </c>
      <c r="C42" s="23" t="s">
        <v>81</v>
      </c>
      <c r="D42" s="25" t="n">
        <v>0.833333333333333</v>
      </c>
      <c r="E42" s="25" t="n">
        <v>0.875</v>
      </c>
      <c r="F42" s="23" t="n">
        <f aca="false">ROUND(MOD(E42-D42,1)*1440,0)</f>
        <v>60</v>
      </c>
      <c r="G42" s="23" t="s">
        <v>117</v>
      </c>
      <c r="H42" s="23"/>
      <c r="I42" s="23" t="s">
        <v>113</v>
      </c>
      <c r="J42" s="23" t="s">
        <v>106</v>
      </c>
      <c r="K42" s="26"/>
      <c r="L42" s="23"/>
      <c r="M42" s="23" t="s">
        <v>118</v>
      </c>
      <c r="N42" s="27" t="s">
        <v>89</v>
      </c>
      <c r="O42" s="23"/>
      <c r="P42" s="23" t="s">
        <v>90</v>
      </c>
    </row>
    <row r="43" customFormat="false" ht="22.35" hidden="false" customHeight="false" outlineLevel="0" collapsed="false">
      <c r="A43" s="6" t="n">
        <v>3</v>
      </c>
      <c r="B43" s="7" t="n">
        <v>45487</v>
      </c>
      <c r="C43" s="6" t="s">
        <v>81</v>
      </c>
      <c r="D43" s="10" t="n">
        <v>0.875</v>
      </c>
      <c r="E43" s="10" t="n">
        <v>0.895833333333333</v>
      </c>
      <c r="F43" s="6" t="n">
        <f aca="false">ROUND(MOD(E43-D43,1)*1440,0)</f>
        <v>30</v>
      </c>
      <c r="G43" s="6" t="s">
        <v>169</v>
      </c>
      <c r="H43" s="6"/>
      <c r="I43" s="6" t="s">
        <v>113</v>
      </c>
      <c r="J43" s="6" t="s">
        <v>87</v>
      </c>
      <c r="K43" s="8"/>
      <c r="L43" s="6" t="s">
        <v>170</v>
      </c>
      <c r="M43" s="6"/>
      <c r="N43" s="17" t="s">
        <v>89</v>
      </c>
      <c r="O43" s="6"/>
      <c r="P43" s="6" t="s">
        <v>90</v>
      </c>
    </row>
    <row r="44" customFormat="false" ht="23.85" hidden="false" customHeight="false" outlineLevel="0" collapsed="false">
      <c r="A44" s="15" t="n">
        <v>4</v>
      </c>
      <c r="B44" s="16" t="n">
        <v>45488</v>
      </c>
      <c r="C44" s="15" t="s">
        <v>171</v>
      </c>
      <c r="D44" s="15"/>
      <c r="E44" s="15"/>
      <c r="F44" s="15"/>
      <c r="G44" s="15" t="s">
        <v>172</v>
      </c>
      <c r="H44" s="15"/>
      <c r="I44" s="15" t="s">
        <v>41</v>
      </c>
      <c r="J44" s="15"/>
      <c r="K44" s="15"/>
      <c r="L44" s="15" t="s">
        <v>173</v>
      </c>
      <c r="M44" s="15"/>
      <c r="N44" s="15"/>
      <c r="O44" s="15"/>
      <c r="P44" s="15"/>
    </row>
    <row r="45" customFormat="false" ht="22.35" hidden="false" customHeight="false" outlineLevel="0" collapsed="false">
      <c r="A45" s="23" t="n">
        <v>4</v>
      </c>
      <c r="B45" s="24" t="n">
        <v>45488</v>
      </c>
      <c r="C45" s="23" t="s">
        <v>81</v>
      </c>
      <c r="D45" s="25" t="n">
        <v>0.208333333333333</v>
      </c>
      <c r="E45" s="25" t="n">
        <v>0.236111111111111</v>
      </c>
      <c r="F45" s="23" t="n">
        <f aca="false">ROUND(MOD(E45-D45,1)*1440,0)</f>
        <v>40</v>
      </c>
      <c r="G45" s="23" t="s">
        <v>124</v>
      </c>
      <c r="H45" s="23"/>
      <c r="I45" s="23" t="s">
        <v>113</v>
      </c>
      <c r="J45" s="23" t="s">
        <v>106</v>
      </c>
      <c r="K45" s="26"/>
      <c r="L45" s="23"/>
      <c r="M45" s="23" t="s">
        <v>174</v>
      </c>
      <c r="N45" s="27" t="s">
        <v>89</v>
      </c>
      <c r="O45" s="23"/>
      <c r="P45" s="23" t="s">
        <v>90</v>
      </c>
    </row>
    <row r="46" customFormat="false" ht="15" hidden="false" customHeight="false" outlineLevel="0" collapsed="false">
      <c r="A46" s="6" t="n">
        <v>4</v>
      </c>
      <c r="B46" s="7" t="n">
        <v>45488</v>
      </c>
      <c r="C46" s="6" t="s">
        <v>81</v>
      </c>
      <c r="D46" s="10" t="n">
        <v>0.236111111111111</v>
      </c>
      <c r="E46" s="10" t="n">
        <v>0.25</v>
      </c>
      <c r="F46" s="6" t="n">
        <f aca="false">ROUND(MOD(E46-D46,1)*1440,0)</f>
        <v>20</v>
      </c>
      <c r="G46" s="6" t="s">
        <v>175</v>
      </c>
      <c r="H46" s="6"/>
      <c r="I46" s="6" t="s">
        <v>113</v>
      </c>
      <c r="J46" s="6" t="s">
        <v>87</v>
      </c>
      <c r="K46" s="8"/>
      <c r="L46" s="6" t="s">
        <v>176</v>
      </c>
      <c r="M46" s="6"/>
      <c r="N46" s="17" t="s">
        <v>89</v>
      </c>
      <c r="O46" s="6"/>
      <c r="P46" s="6" t="s">
        <v>90</v>
      </c>
    </row>
    <row r="47" customFormat="false" ht="15" hidden="false" customHeight="false" outlineLevel="0" collapsed="false">
      <c r="A47" s="18" t="n">
        <v>4</v>
      </c>
      <c r="B47" s="19" t="n">
        <v>45488</v>
      </c>
      <c r="C47" s="18" t="s">
        <v>81</v>
      </c>
      <c r="D47" s="20" t="n">
        <v>0.25</v>
      </c>
      <c r="E47" s="20" t="n">
        <v>0.34375</v>
      </c>
      <c r="F47" s="18" t="n">
        <f aca="false">ROUND(MOD(E47-D47,1)*1440,0)</f>
        <v>135</v>
      </c>
      <c r="G47" s="18" t="s">
        <v>101</v>
      </c>
      <c r="H47" s="18" t="s">
        <v>113</v>
      </c>
      <c r="I47" s="18" t="s">
        <v>177</v>
      </c>
      <c r="J47" s="18" t="s">
        <v>103</v>
      </c>
      <c r="K47" s="21" t="n">
        <v>135</v>
      </c>
      <c r="L47" s="18" t="s">
        <v>178</v>
      </c>
      <c r="M47" s="18"/>
      <c r="N47" s="22" t="s">
        <v>30</v>
      </c>
      <c r="O47" s="18"/>
      <c r="P47" s="18" t="s">
        <v>90</v>
      </c>
    </row>
    <row r="48" customFormat="false" ht="22.35" hidden="false" customHeight="false" outlineLevel="0" collapsed="false">
      <c r="A48" s="6" t="n">
        <v>4</v>
      </c>
      <c r="B48" s="7" t="n">
        <v>45488</v>
      </c>
      <c r="C48" s="6" t="s">
        <v>81</v>
      </c>
      <c r="D48" s="10" t="n">
        <v>0.34375</v>
      </c>
      <c r="E48" s="10" t="n">
        <v>0.385416666666667</v>
      </c>
      <c r="F48" s="6" t="n">
        <f aca="false">ROUND(MOD(E48-D48,1)*1440,0)</f>
        <v>60</v>
      </c>
      <c r="G48" s="6" t="s">
        <v>179</v>
      </c>
      <c r="H48" s="6"/>
      <c r="I48" s="6" t="s">
        <v>177</v>
      </c>
      <c r="J48" s="6" t="s">
        <v>87</v>
      </c>
      <c r="K48" s="8"/>
      <c r="L48" s="6" t="s">
        <v>180</v>
      </c>
      <c r="M48" s="6"/>
      <c r="N48" s="17" t="s">
        <v>89</v>
      </c>
      <c r="O48" s="6" t="s">
        <v>181</v>
      </c>
      <c r="P48" s="6" t="s">
        <v>90</v>
      </c>
    </row>
    <row r="49" customFormat="false" ht="22.35" hidden="false" customHeight="false" outlineLevel="0" collapsed="false">
      <c r="A49" s="18" t="n">
        <v>4</v>
      </c>
      <c r="B49" s="19" t="n">
        <v>45488</v>
      </c>
      <c r="C49" s="18" t="s">
        <v>171</v>
      </c>
      <c r="D49" s="20" t="n">
        <v>0.395833333333333</v>
      </c>
      <c r="E49" s="20" t="n">
        <v>0.5</v>
      </c>
      <c r="F49" s="18" t="n">
        <v>90</v>
      </c>
      <c r="G49" s="18" t="s">
        <v>182</v>
      </c>
      <c r="H49" s="18" t="s">
        <v>177</v>
      </c>
      <c r="I49" s="18" t="s">
        <v>183</v>
      </c>
      <c r="J49" s="18" t="s">
        <v>184</v>
      </c>
      <c r="K49" s="21" t="n">
        <v>42</v>
      </c>
      <c r="L49" s="18" t="s">
        <v>185</v>
      </c>
      <c r="M49" s="18"/>
      <c r="N49" s="22" t="s">
        <v>30</v>
      </c>
      <c r="O49" s="18" t="s">
        <v>186</v>
      </c>
      <c r="P49" s="18" t="s">
        <v>90</v>
      </c>
    </row>
    <row r="50" customFormat="false" ht="22.35" hidden="false" customHeight="false" outlineLevel="0" collapsed="false">
      <c r="A50" s="23" t="n">
        <v>4</v>
      </c>
      <c r="B50" s="24" t="n">
        <v>45488</v>
      </c>
      <c r="C50" s="23" t="s">
        <v>81</v>
      </c>
      <c r="D50" s="25" t="n">
        <v>0.427083333333333</v>
      </c>
      <c r="E50" s="25" t="n">
        <v>0.458333333333333</v>
      </c>
      <c r="F50" s="23" t="n">
        <f aca="false">ROUND(MOD(E50-D50,1)*1440,0)</f>
        <v>45</v>
      </c>
      <c r="G50" s="23" t="s">
        <v>105</v>
      </c>
      <c r="H50" s="23"/>
      <c r="I50" s="23" t="s">
        <v>177</v>
      </c>
      <c r="J50" s="23" t="s">
        <v>106</v>
      </c>
      <c r="K50" s="26"/>
      <c r="L50" s="23" t="s">
        <v>187</v>
      </c>
      <c r="M50" s="23" t="s">
        <v>188</v>
      </c>
      <c r="N50" s="27" t="s">
        <v>89</v>
      </c>
      <c r="O50" s="23"/>
      <c r="P50" s="23" t="s">
        <v>90</v>
      </c>
    </row>
    <row r="51" customFormat="false" ht="22.35" hidden="false" customHeight="false" outlineLevel="0" collapsed="false">
      <c r="A51" s="18" t="n">
        <v>4</v>
      </c>
      <c r="B51" s="19" t="n">
        <v>45488</v>
      </c>
      <c r="C51" s="18" t="s">
        <v>189</v>
      </c>
      <c r="D51" s="20" t="n">
        <v>0.510416666666667</v>
      </c>
      <c r="E51" s="20" t="n">
        <v>0.677083333333333</v>
      </c>
      <c r="F51" s="18" t="n">
        <f aca="false">ROUND(MOD(E51-D51,1)*1440,0)</f>
        <v>240</v>
      </c>
      <c r="G51" s="18" t="s">
        <v>101</v>
      </c>
      <c r="H51" s="18" t="s">
        <v>183</v>
      </c>
      <c r="I51" s="18" t="s">
        <v>190</v>
      </c>
      <c r="J51" s="18" t="s">
        <v>103</v>
      </c>
      <c r="K51" s="21" t="n">
        <v>295</v>
      </c>
      <c r="L51" s="18" t="s">
        <v>191</v>
      </c>
      <c r="M51" s="18"/>
      <c r="N51" s="22" t="s">
        <v>30</v>
      </c>
      <c r="O51" s="18"/>
      <c r="P51" s="18" t="s">
        <v>90</v>
      </c>
    </row>
    <row r="52" customFormat="false" ht="22.35" hidden="false" customHeight="false" outlineLevel="0" collapsed="false">
      <c r="A52" s="6" t="n">
        <v>4</v>
      </c>
      <c r="B52" s="7" t="n">
        <v>45488</v>
      </c>
      <c r="C52" s="6" t="s">
        <v>189</v>
      </c>
      <c r="D52" s="10" t="n">
        <v>0.677083333333333</v>
      </c>
      <c r="E52" s="10" t="n">
        <v>0.708333333333333</v>
      </c>
      <c r="F52" s="6" t="n">
        <f aca="false">ROUND(MOD(E52-D52,1)*1440,0)</f>
        <v>45</v>
      </c>
      <c r="G52" s="6" t="s">
        <v>115</v>
      </c>
      <c r="H52" s="6"/>
      <c r="I52" s="6" t="s">
        <v>190</v>
      </c>
      <c r="J52" s="6" t="s">
        <v>87</v>
      </c>
      <c r="K52" s="8"/>
      <c r="L52" s="6" t="s">
        <v>192</v>
      </c>
      <c r="M52" s="6"/>
      <c r="N52" s="17" t="s">
        <v>89</v>
      </c>
      <c r="O52" s="6"/>
      <c r="P52" s="6" t="s">
        <v>90</v>
      </c>
    </row>
    <row r="53" customFormat="false" ht="22.35" hidden="false" customHeight="false" outlineLevel="0" collapsed="false">
      <c r="A53" s="23" t="n">
        <v>4</v>
      </c>
      <c r="B53" s="24" t="n">
        <v>45488</v>
      </c>
      <c r="C53" s="23" t="s">
        <v>189</v>
      </c>
      <c r="D53" s="25" t="n">
        <v>0.78125</v>
      </c>
      <c r="E53" s="25" t="n">
        <v>0.822916666666667</v>
      </c>
      <c r="F53" s="23" t="n">
        <f aca="false">ROUND(MOD(E53-D53,1)*1440,0)</f>
        <v>60</v>
      </c>
      <c r="G53" s="23" t="s">
        <v>117</v>
      </c>
      <c r="H53" s="23"/>
      <c r="I53" s="23" t="s">
        <v>190</v>
      </c>
      <c r="J53" s="23" t="s">
        <v>106</v>
      </c>
      <c r="K53" s="26"/>
      <c r="L53" s="23"/>
      <c r="M53" s="23" t="s">
        <v>118</v>
      </c>
      <c r="N53" s="27" t="s">
        <v>89</v>
      </c>
      <c r="O53" s="23"/>
      <c r="P53" s="23" t="s">
        <v>90</v>
      </c>
    </row>
    <row r="54" customFormat="false" ht="32.8" hidden="false" customHeight="false" outlineLevel="0" collapsed="false">
      <c r="A54" s="18" t="n">
        <v>4</v>
      </c>
      <c r="B54" s="19" t="n">
        <v>45488</v>
      </c>
      <c r="C54" s="18" t="s">
        <v>189</v>
      </c>
      <c r="D54" s="20" t="n">
        <v>0.84375</v>
      </c>
      <c r="E54" s="20" t="n">
        <v>0.864583333333333</v>
      </c>
      <c r="F54" s="18" t="n">
        <f aca="false">ROUND(MOD(E54-D54,1)*1440,0)</f>
        <v>30</v>
      </c>
      <c r="G54" s="18" t="s">
        <v>101</v>
      </c>
      <c r="H54" s="18" t="s">
        <v>190</v>
      </c>
      <c r="I54" s="18" t="s">
        <v>193</v>
      </c>
      <c r="J54" s="18" t="s">
        <v>103</v>
      </c>
      <c r="K54" s="21" t="n">
        <v>7</v>
      </c>
      <c r="L54" s="18" t="s">
        <v>194</v>
      </c>
      <c r="M54" s="18"/>
      <c r="N54" s="22" t="s">
        <v>30</v>
      </c>
      <c r="O54" s="18"/>
      <c r="P54" s="18" t="s">
        <v>90</v>
      </c>
    </row>
    <row r="55" customFormat="false" ht="32.8" hidden="false" customHeight="false" outlineLevel="0" collapsed="false">
      <c r="A55" s="6" t="n">
        <v>4</v>
      </c>
      <c r="B55" s="7" t="n">
        <v>45488</v>
      </c>
      <c r="C55" s="6" t="s">
        <v>189</v>
      </c>
      <c r="D55" s="10" t="n">
        <v>0.875</v>
      </c>
      <c r="E55" s="10" t="n">
        <v>0.916666666666667</v>
      </c>
      <c r="F55" s="6" t="n">
        <f aca="false">ROUND(MOD(E55-D55,1)*1440,0)</f>
        <v>60</v>
      </c>
      <c r="G55" s="6" t="s">
        <v>195</v>
      </c>
      <c r="H55" s="6"/>
      <c r="I55" s="6" t="s">
        <v>193</v>
      </c>
      <c r="J55" s="6" t="s">
        <v>155</v>
      </c>
      <c r="K55" s="8"/>
      <c r="L55" s="6" t="s">
        <v>196</v>
      </c>
      <c r="M55" s="6"/>
      <c r="N55" s="17" t="s">
        <v>89</v>
      </c>
      <c r="O55" s="6"/>
      <c r="P55" s="6" t="s">
        <v>90</v>
      </c>
    </row>
    <row r="56" customFormat="false" ht="32.8" hidden="false" customHeight="false" outlineLevel="0" collapsed="false">
      <c r="A56" s="18" t="n">
        <v>4</v>
      </c>
      <c r="B56" s="19" t="n">
        <v>45488</v>
      </c>
      <c r="C56" s="18" t="s">
        <v>189</v>
      </c>
      <c r="D56" s="20" t="n">
        <v>0.920138888888889</v>
      </c>
      <c r="E56" s="20" t="n">
        <v>0.940972222222222</v>
      </c>
      <c r="F56" s="18" t="n">
        <f aca="false">ROUND(MOD(E56-D56,1)*1440,0)</f>
        <v>30</v>
      </c>
      <c r="G56" s="18" t="s">
        <v>101</v>
      </c>
      <c r="H56" s="18" t="s">
        <v>193</v>
      </c>
      <c r="I56" s="18" t="s">
        <v>190</v>
      </c>
      <c r="J56" s="18" t="s">
        <v>103</v>
      </c>
      <c r="K56" s="21" t="n">
        <v>7</v>
      </c>
      <c r="L56" s="18" t="s">
        <v>197</v>
      </c>
      <c r="M56" s="18"/>
      <c r="N56" s="22" t="s">
        <v>30</v>
      </c>
      <c r="O56" s="18"/>
      <c r="P56" s="18" t="s">
        <v>90</v>
      </c>
    </row>
    <row r="57" customFormat="false" ht="35.05" hidden="false" customHeight="false" outlineLevel="0" collapsed="false">
      <c r="A57" s="15" t="n">
        <v>5</v>
      </c>
      <c r="B57" s="16" t="n">
        <v>45489</v>
      </c>
      <c r="C57" s="15" t="s">
        <v>189</v>
      </c>
      <c r="D57" s="15"/>
      <c r="E57" s="15"/>
      <c r="F57" s="15"/>
      <c r="G57" s="15" t="s">
        <v>198</v>
      </c>
      <c r="H57" s="15"/>
      <c r="I57" s="15" t="s">
        <v>43</v>
      </c>
      <c r="J57" s="15"/>
      <c r="K57" s="15"/>
      <c r="L57" s="15" t="s">
        <v>173</v>
      </c>
      <c r="M57" s="15"/>
      <c r="N57" s="15"/>
      <c r="O57" s="15"/>
      <c r="P57" s="15"/>
    </row>
    <row r="58" customFormat="false" ht="22.35" hidden="false" customHeight="false" outlineLevel="0" collapsed="false">
      <c r="A58" s="6" t="n">
        <v>5</v>
      </c>
      <c r="B58" s="7" t="n">
        <v>45489</v>
      </c>
      <c r="C58" s="6" t="s">
        <v>189</v>
      </c>
      <c r="D58" s="10" t="n">
        <v>0.270833333333333</v>
      </c>
      <c r="E58" s="10" t="n">
        <v>0.302083333333333</v>
      </c>
      <c r="F58" s="6" t="n">
        <f aca="false">ROUND(MOD(E58-D58,1)*1440,0)</f>
        <v>45</v>
      </c>
      <c r="G58" s="6" t="s">
        <v>122</v>
      </c>
      <c r="H58" s="6"/>
      <c r="I58" s="6" t="s">
        <v>190</v>
      </c>
      <c r="J58" s="6" t="s">
        <v>87</v>
      </c>
      <c r="K58" s="8"/>
      <c r="L58" s="6" t="s">
        <v>123</v>
      </c>
      <c r="M58" s="6"/>
      <c r="N58" s="17" t="s">
        <v>89</v>
      </c>
      <c r="O58" s="6"/>
      <c r="P58" s="6" t="s">
        <v>90</v>
      </c>
    </row>
    <row r="59" customFormat="false" ht="22.35" hidden="false" customHeight="false" outlineLevel="0" collapsed="false">
      <c r="A59" s="23" t="n">
        <v>5</v>
      </c>
      <c r="B59" s="24" t="n">
        <v>45489</v>
      </c>
      <c r="C59" s="23" t="s">
        <v>189</v>
      </c>
      <c r="D59" s="25" t="n">
        <v>0.302083333333333</v>
      </c>
      <c r="E59" s="25" t="n">
        <v>0.333333333333333</v>
      </c>
      <c r="F59" s="23" t="n">
        <f aca="false">ROUND(MOD(E59-D59,1)*1440,0)</f>
        <v>45</v>
      </c>
      <c r="G59" s="23" t="s">
        <v>124</v>
      </c>
      <c r="H59" s="23"/>
      <c r="I59" s="23" t="s">
        <v>190</v>
      </c>
      <c r="J59" s="23" t="s">
        <v>106</v>
      </c>
      <c r="K59" s="26"/>
      <c r="L59" s="23"/>
      <c r="M59" s="23" t="s">
        <v>125</v>
      </c>
      <c r="N59" s="27" t="s">
        <v>89</v>
      </c>
      <c r="O59" s="23"/>
      <c r="P59" s="23" t="s">
        <v>90</v>
      </c>
    </row>
    <row r="60" customFormat="false" ht="22.35" hidden="false" customHeight="false" outlineLevel="0" collapsed="false">
      <c r="A60" s="18" t="n">
        <v>5</v>
      </c>
      <c r="B60" s="19" t="n">
        <v>45489</v>
      </c>
      <c r="C60" s="18" t="s">
        <v>189</v>
      </c>
      <c r="D60" s="20" t="n">
        <v>0.34375</v>
      </c>
      <c r="E60" s="20" t="n">
        <v>0.361111111111111</v>
      </c>
      <c r="F60" s="18" t="n">
        <f aca="false">ROUND(MOD(E60-D60,1)*1440,0)</f>
        <v>25</v>
      </c>
      <c r="G60" s="18" t="s">
        <v>101</v>
      </c>
      <c r="H60" s="18" t="s">
        <v>190</v>
      </c>
      <c r="I60" s="18" t="s">
        <v>199</v>
      </c>
      <c r="J60" s="18" t="s">
        <v>103</v>
      </c>
      <c r="K60" s="21" t="n">
        <v>5</v>
      </c>
      <c r="L60" s="18" t="s">
        <v>200</v>
      </c>
      <c r="M60" s="18"/>
      <c r="N60" s="22" t="s">
        <v>30</v>
      </c>
      <c r="O60" s="18"/>
      <c r="P60" s="18" t="s">
        <v>90</v>
      </c>
    </row>
    <row r="61" customFormat="false" ht="22.35" hidden="false" customHeight="false" outlineLevel="0" collapsed="false">
      <c r="A61" s="6" t="n">
        <v>5</v>
      </c>
      <c r="B61" s="7" t="n">
        <v>45489</v>
      </c>
      <c r="C61" s="6" t="s">
        <v>189</v>
      </c>
      <c r="D61" s="10" t="n">
        <v>0.361111111111111</v>
      </c>
      <c r="E61" s="10" t="n">
        <v>0.395833333333333</v>
      </c>
      <c r="F61" s="6" t="n">
        <f aca="false">ROUND(MOD(E61-D61,1)*1440,0)</f>
        <v>50</v>
      </c>
      <c r="G61" s="6" t="s">
        <v>128</v>
      </c>
      <c r="H61" s="6"/>
      <c r="I61" s="6" t="s">
        <v>199</v>
      </c>
      <c r="J61" s="6" t="s">
        <v>87</v>
      </c>
      <c r="K61" s="8"/>
      <c r="L61" s="6" t="s">
        <v>201</v>
      </c>
      <c r="M61" s="6"/>
      <c r="N61" s="17" t="s">
        <v>89</v>
      </c>
      <c r="O61" s="6"/>
      <c r="P61" s="6" t="s">
        <v>90</v>
      </c>
    </row>
    <row r="62" customFormat="false" ht="22.35" hidden="false" customHeight="false" outlineLevel="0" collapsed="false">
      <c r="A62" s="18" t="n">
        <v>5</v>
      </c>
      <c r="B62" s="19" t="n">
        <v>45489</v>
      </c>
      <c r="C62" s="18" t="s">
        <v>189</v>
      </c>
      <c r="D62" s="20" t="n">
        <v>0.395833333333333</v>
      </c>
      <c r="E62" s="20" t="n">
        <v>0.409722222222222</v>
      </c>
      <c r="F62" s="18" t="n">
        <f aca="false">ROUND(MOD(E62-D62,1)*1440,0)</f>
        <v>20</v>
      </c>
      <c r="G62" s="18" t="s">
        <v>101</v>
      </c>
      <c r="H62" s="18" t="s">
        <v>199</v>
      </c>
      <c r="I62" s="18" t="s">
        <v>202</v>
      </c>
      <c r="J62" s="18" t="s">
        <v>103</v>
      </c>
      <c r="K62" s="21" t="n">
        <v>3</v>
      </c>
      <c r="L62" s="18" t="s">
        <v>203</v>
      </c>
      <c r="M62" s="18"/>
      <c r="N62" s="22" t="s">
        <v>30</v>
      </c>
      <c r="O62" s="18"/>
      <c r="P62" s="18" t="s">
        <v>90</v>
      </c>
    </row>
    <row r="63" customFormat="false" ht="22.35" hidden="false" customHeight="false" outlineLevel="0" collapsed="false">
      <c r="A63" s="6" t="n">
        <v>5</v>
      </c>
      <c r="B63" s="7" t="n">
        <v>45489</v>
      </c>
      <c r="C63" s="6" t="s">
        <v>189</v>
      </c>
      <c r="D63" s="10" t="n">
        <v>0.416666666666667</v>
      </c>
      <c r="E63" s="10" t="n">
        <v>0.520833333333333</v>
      </c>
      <c r="F63" s="6" t="n">
        <f aca="false">ROUND(MOD(E63-D63,1)*1440,0)</f>
        <v>150</v>
      </c>
      <c r="G63" s="6" t="s">
        <v>128</v>
      </c>
      <c r="H63" s="6"/>
      <c r="I63" s="6" t="s">
        <v>202</v>
      </c>
      <c r="J63" s="6" t="s">
        <v>87</v>
      </c>
      <c r="K63" s="8"/>
      <c r="L63" s="6" t="s">
        <v>204</v>
      </c>
      <c r="M63" s="6"/>
      <c r="N63" s="17" t="s">
        <v>89</v>
      </c>
      <c r="O63" s="6" t="s">
        <v>205</v>
      </c>
      <c r="P63" s="6" t="s">
        <v>90</v>
      </c>
    </row>
    <row r="64" customFormat="false" ht="22.35" hidden="false" customHeight="false" outlineLevel="0" collapsed="false">
      <c r="A64" s="18" t="n">
        <v>5</v>
      </c>
      <c r="B64" s="19" t="n">
        <v>45489</v>
      </c>
      <c r="C64" s="18" t="s">
        <v>189</v>
      </c>
      <c r="D64" s="20" t="n">
        <v>0.520833333333333</v>
      </c>
      <c r="E64" s="20" t="n">
        <v>0.545138888888889</v>
      </c>
      <c r="F64" s="18" t="n">
        <f aca="false">ROUND(MOD(E64-D64,1)*1440,0)</f>
        <v>35</v>
      </c>
      <c r="G64" s="18" t="s">
        <v>101</v>
      </c>
      <c r="H64" s="18" t="s">
        <v>202</v>
      </c>
      <c r="I64" s="18" t="s">
        <v>206</v>
      </c>
      <c r="J64" s="18" t="s">
        <v>103</v>
      </c>
      <c r="K64" s="21" t="n">
        <v>8</v>
      </c>
      <c r="L64" s="18" t="s">
        <v>207</v>
      </c>
      <c r="M64" s="18"/>
      <c r="N64" s="22" t="s">
        <v>30</v>
      </c>
      <c r="O64" s="18"/>
      <c r="P64" s="18" t="s">
        <v>90</v>
      </c>
    </row>
    <row r="65" customFormat="false" ht="22.35" hidden="false" customHeight="false" outlineLevel="0" collapsed="false">
      <c r="A65" s="23" t="n">
        <v>5</v>
      </c>
      <c r="B65" s="24" t="n">
        <v>45489</v>
      </c>
      <c r="C65" s="23" t="s">
        <v>189</v>
      </c>
      <c r="D65" s="25" t="n">
        <v>0.545138888888889</v>
      </c>
      <c r="E65" s="25" t="n">
        <v>0.586805555555556</v>
      </c>
      <c r="F65" s="23" t="n">
        <f aca="false">ROUND(MOD(E65-D65,1)*1440,0)</f>
        <v>60</v>
      </c>
      <c r="G65" s="23" t="s">
        <v>105</v>
      </c>
      <c r="H65" s="23"/>
      <c r="I65" s="23" t="s">
        <v>206</v>
      </c>
      <c r="J65" s="23" t="s">
        <v>106</v>
      </c>
      <c r="K65" s="26"/>
      <c r="L65" s="23" t="s">
        <v>208</v>
      </c>
      <c r="M65" s="23" t="s">
        <v>209</v>
      </c>
      <c r="N65" s="27" t="s">
        <v>89</v>
      </c>
      <c r="O65" s="23"/>
      <c r="P65" s="23" t="s">
        <v>90</v>
      </c>
    </row>
    <row r="66" customFormat="false" ht="22.35" hidden="false" customHeight="false" outlineLevel="0" collapsed="false">
      <c r="A66" s="18" t="n">
        <v>5</v>
      </c>
      <c r="B66" s="19" t="n">
        <v>45489</v>
      </c>
      <c r="C66" s="18" t="s">
        <v>189</v>
      </c>
      <c r="D66" s="20" t="n">
        <v>0.586805555555556</v>
      </c>
      <c r="E66" s="20" t="n">
        <v>0.600694444444444</v>
      </c>
      <c r="F66" s="18" t="n">
        <f aca="false">ROUND(MOD(E66-D66,1)*1440,0)</f>
        <v>20</v>
      </c>
      <c r="G66" s="18" t="s">
        <v>101</v>
      </c>
      <c r="H66" s="18" t="s">
        <v>206</v>
      </c>
      <c r="I66" s="18" t="s">
        <v>210</v>
      </c>
      <c r="J66" s="18" t="s">
        <v>103</v>
      </c>
      <c r="K66" s="21" t="n">
        <v>3</v>
      </c>
      <c r="L66" s="18" t="s">
        <v>211</v>
      </c>
      <c r="M66" s="18"/>
      <c r="N66" s="22" t="s">
        <v>30</v>
      </c>
      <c r="O66" s="18"/>
      <c r="P66" s="18" t="s">
        <v>90</v>
      </c>
    </row>
    <row r="67" customFormat="false" ht="22.35" hidden="false" customHeight="false" outlineLevel="0" collapsed="false">
      <c r="A67" s="6" t="n">
        <v>5</v>
      </c>
      <c r="B67" s="7" t="n">
        <v>45489</v>
      </c>
      <c r="C67" s="6" t="s">
        <v>189</v>
      </c>
      <c r="D67" s="10" t="n">
        <v>0.600694444444444</v>
      </c>
      <c r="E67" s="10" t="n">
        <v>0.645833333333333</v>
      </c>
      <c r="F67" s="6" t="n">
        <f aca="false">ROUND(MOD(E67-D67,1)*1440,0)</f>
        <v>65</v>
      </c>
      <c r="G67" s="6" t="s">
        <v>128</v>
      </c>
      <c r="H67" s="6"/>
      <c r="I67" s="6" t="s">
        <v>210</v>
      </c>
      <c r="J67" s="6" t="s">
        <v>87</v>
      </c>
      <c r="K67" s="8"/>
      <c r="L67" s="6" t="s">
        <v>212</v>
      </c>
      <c r="M67" s="6"/>
      <c r="N67" s="17" t="s">
        <v>89</v>
      </c>
      <c r="O67" s="6"/>
      <c r="P67" s="6" t="s">
        <v>90</v>
      </c>
    </row>
    <row r="68" customFormat="false" ht="22.35" hidden="false" customHeight="false" outlineLevel="0" collapsed="false">
      <c r="A68" s="18" t="n">
        <v>5</v>
      </c>
      <c r="B68" s="19" t="n">
        <v>45489</v>
      </c>
      <c r="C68" s="18" t="s">
        <v>189</v>
      </c>
      <c r="D68" s="20" t="n">
        <v>0.645833333333333</v>
      </c>
      <c r="E68" s="20" t="n">
        <v>0.677083333333333</v>
      </c>
      <c r="F68" s="18" t="n">
        <f aca="false">ROUND(MOD(E68-D68,1)*1440,0)</f>
        <v>45</v>
      </c>
      <c r="G68" s="18" t="s">
        <v>101</v>
      </c>
      <c r="H68" s="18" t="s">
        <v>210</v>
      </c>
      <c r="I68" s="18" t="s">
        <v>213</v>
      </c>
      <c r="J68" s="18" t="s">
        <v>103</v>
      </c>
      <c r="K68" s="21" t="n">
        <v>20</v>
      </c>
      <c r="L68" s="18" t="s">
        <v>214</v>
      </c>
      <c r="M68" s="18"/>
      <c r="N68" s="22" t="s">
        <v>30</v>
      </c>
      <c r="O68" s="18"/>
      <c r="P68" s="18" t="s">
        <v>90</v>
      </c>
    </row>
    <row r="69" customFormat="false" ht="22.35" hidden="false" customHeight="false" outlineLevel="0" collapsed="false">
      <c r="A69" s="6" t="n">
        <v>5</v>
      </c>
      <c r="B69" s="7" t="n">
        <v>45489</v>
      </c>
      <c r="C69" s="6" t="s">
        <v>189</v>
      </c>
      <c r="D69" s="10" t="n">
        <v>0.677083333333333</v>
      </c>
      <c r="E69" s="10" t="n">
        <v>0.770833333333333</v>
      </c>
      <c r="F69" s="6" t="n">
        <f aca="false">ROUND(MOD(E69-D69,1)*1440,0)</f>
        <v>135</v>
      </c>
      <c r="G69" s="6" t="s">
        <v>109</v>
      </c>
      <c r="H69" s="6"/>
      <c r="I69" s="6" t="s">
        <v>213</v>
      </c>
      <c r="J69" s="6" t="s">
        <v>87</v>
      </c>
      <c r="K69" s="8"/>
      <c r="L69" s="6" t="s">
        <v>215</v>
      </c>
      <c r="M69" s="6"/>
      <c r="N69" s="17" t="s">
        <v>89</v>
      </c>
      <c r="O69" s="6"/>
      <c r="P69" s="6" t="s">
        <v>90</v>
      </c>
    </row>
    <row r="70" customFormat="false" ht="22.35" hidden="false" customHeight="false" outlineLevel="0" collapsed="false">
      <c r="A70" s="18" t="n">
        <v>5</v>
      </c>
      <c r="B70" s="19" t="n">
        <v>45489</v>
      </c>
      <c r="C70" s="18" t="s">
        <v>189</v>
      </c>
      <c r="D70" s="20" t="n">
        <v>0.770833333333333</v>
      </c>
      <c r="E70" s="20" t="n">
        <v>0.798611111111111</v>
      </c>
      <c r="F70" s="18" t="n">
        <f aca="false">ROUND(MOD(E70-D70,1)*1440,0)</f>
        <v>40</v>
      </c>
      <c r="G70" s="18" t="s">
        <v>101</v>
      </c>
      <c r="H70" s="18" t="s">
        <v>213</v>
      </c>
      <c r="I70" s="18" t="s">
        <v>190</v>
      </c>
      <c r="J70" s="18" t="s">
        <v>103</v>
      </c>
      <c r="K70" s="21" t="n">
        <v>18</v>
      </c>
      <c r="L70" s="18" t="s">
        <v>216</v>
      </c>
      <c r="M70" s="18"/>
      <c r="N70" s="22" t="s">
        <v>30</v>
      </c>
      <c r="O70" s="18"/>
      <c r="P70" s="18" t="s">
        <v>90</v>
      </c>
    </row>
    <row r="71" customFormat="false" ht="22.35" hidden="false" customHeight="false" outlineLevel="0" collapsed="false">
      <c r="A71" s="23" t="n">
        <v>5</v>
      </c>
      <c r="B71" s="24" t="n">
        <v>45489</v>
      </c>
      <c r="C71" s="23" t="s">
        <v>189</v>
      </c>
      <c r="D71" s="25" t="n">
        <v>0.8125</v>
      </c>
      <c r="E71" s="25" t="n">
        <v>0.854166666666667</v>
      </c>
      <c r="F71" s="23" t="n">
        <f aca="false">ROUND(MOD(E71-D71,1)*1440,0)</f>
        <v>60</v>
      </c>
      <c r="G71" s="23" t="s">
        <v>117</v>
      </c>
      <c r="H71" s="23"/>
      <c r="I71" s="23" t="s">
        <v>190</v>
      </c>
      <c r="J71" s="23" t="s">
        <v>106</v>
      </c>
      <c r="K71" s="26"/>
      <c r="L71" s="23"/>
      <c r="M71" s="23" t="s">
        <v>118</v>
      </c>
      <c r="N71" s="27" t="s">
        <v>89</v>
      </c>
      <c r="O71" s="23"/>
      <c r="P71" s="23" t="s">
        <v>90</v>
      </c>
    </row>
    <row r="72" customFormat="false" ht="23.85" hidden="false" customHeight="false" outlineLevel="0" collapsed="false">
      <c r="A72" s="15" t="n">
        <v>6</v>
      </c>
      <c r="B72" s="16" t="n">
        <v>45490</v>
      </c>
      <c r="C72" s="15" t="s">
        <v>189</v>
      </c>
      <c r="D72" s="15"/>
      <c r="E72" s="15"/>
      <c r="F72" s="15"/>
      <c r="G72" s="15" t="s">
        <v>217</v>
      </c>
      <c r="H72" s="15"/>
      <c r="I72" s="15" t="s">
        <v>44</v>
      </c>
      <c r="J72" s="15"/>
      <c r="K72" s="15"/>
      <c r="L72" s="15" t="s">
        <v>173</v>
      </c>
      <c r="M72" s="15"/>
      <c r="N72" s="15"/>
      <c r="O72" s="15"/>
      <c r="P72" s="15"/>
    </row>
    <row r="73" customFormat="false" ht="22.35" hidden="false" customHeight="false" outlineLevel="0" collapsed="false">
      <c r="A73" s="6" t="n">
        <v>6</v>
      </c>
      <c r="B73" s="7" t="n">
        <v>45490</v>
      </c>
      <c r="C73" s="6" t="s">
        <v>189</v>
      </c>
      <c r="D73" s="10" t="n">
        <v>0.25</v>
      </c>
      <c r="E73" s="10" t="n">
        <v>0.277777777777778</v>
      </c>
      <c r="F73" s="6" t="n">
        <f aca="false">ROUND(MOD(E73-D73,1)*1440,0)</f>
        <v>40</v>
      </c>
      <c r="G73" s="6" t="s">
        <v>122</v>
      </c>
      <c r="H73" s="6"/>
      <c r="I73" s="6" t="s">
        <v>190</v>
      </c>
      <c r="J73" s="6" t="s">
        <v>87</v>
      </c>
      <c r="K73" s="8"/>
      <c r="L73" s="6" t="s">
        <v>123</v>
      </c>
      <c r="M73" s="6"/>
      <c r="N73" s="17" t="s">
        <v>89</v>
      </c>
      <c r="O73" s="6"/>
      <c r="P73" s="6" t="s">
        <v>90</v>
      </c>
    </row>
    <row r="74" customFormat="false" ht="22.35" hidden="false" customHeight="false" outlineLevel="0" collapsed="false">
      <c r="A74" s="23" t="n">
        <v>6</v>
      </c>
      <c r="B74" s="24" t="n">
        <v>45490</v>
      </c>
      <c r="C74" s="23" t="s">
        <v>189</v>
      </c>
      <c r="D74" s="25" t="n">
        <v>0.277777777777778</v>
      </c>
      <c r="E74" s="25" t="n">
        <v>0.305555555555556</v>
      </c>
      <c r="F74" s="23" t="n">
        <f aca="false">ROUND(MOD(E74-D74,1)*1440,0)</f>
        <v>40</v>
      </c>
      <c r="G74" s="23" t="s">
        <v>124</v>
      </c>
      <c r="H74" s="23"/>
      <c r="I74" s="23" t="s">
        <v>190</v>
      </c>
      <c r="J74" s="23" t="s">
        <v>106</v>
      </c>
      <c r="K74" s="26"/>
      <c r="L74" s="23"/>
      <c r="M74" s="23" t="s">
        <v>125</v>
      </c>
      <c r="N74" s="27" t="s">
        <v>89</v>
      </c>
      <c r="O74" s="23"/>
      <c r="P74" s="23" t="s">
        <v>90</v>
      </c>
    </row>
    <row r="75" customFormat="false" ht="22.35" hidden="false" customHeight="false" outlineLevel="0" collapsed="false">
      <c r="A75" s="18" t="n">
        <v>6</v>
      </c>
      <c r="B75" s="19" t="n">
        <v>45490</v>
      </c>
      <c r="C75" s="18" t="s">
        <v>189</v>
      </c>
      <c r="D75" s="20" t="n">
        <v>0.3125</v>
      </c>
      <c r="E75" s="20" t="n">
        <v>0.46875</v>
      </c>
      <c r="F75" s="18" t="n">
        <f aca="false">ROUND(MOD(E75-D75,1)*1440,0)</f>
        <v>225</v>
      </c>
      <c r="G75" s="18" t="s">
        <v>101</v>
      </c>
      <c r="H75" s="18" t="s">
        <v>190</v>
      </c>
      <c r="I75" s="18" t="s">
        <v>218</v>
      </c>
      <c r="J75" s="18" t="s">
        <v>103</v>
      </c>
      <c r="K75" s="21" t="n">
        <v>280</v>
      </c>
      <c r="L75" s="18" t="s">
        <v>219</v>
      </c>
      <c r="M75" s="18"/>
      <c r="N75" s="22" t="s">
        <v>30</v>
      </c>
      <c r="O75" s="18"/>
      <c r="P75" s="18" t="s">
        <v>90</v>
      </c>
    </row>
    <row r="76" customFormat="false" ht="32.8" hidden="false" customHeight="false" outlineLevel="0" collapsed="false">
      <c r="A76" s="6" t="n">
        <v>6</v>
      </c>
      <c r="B76" s="7" t="n">
        <v>45490</v>
      </c>
      <c r="C76" s="6" t="s">
        <v>189</v>
      </c>
      <c r="D76" s="10" t="n">
        <v>0.46875</v>
      </c>
      <c r="E76" s="10" t="n">
        <v>0.541666666666667</v>
      </c>
      <c r="F76" s="6" t="n">
        <f aca="false">ROUND(MOD(E76-D76,1)*1440,0)</f>
        <v>105</v>
      </c>
      <c r="G76" s="6" t="s">
        <v>109</v>
      </c>
      <c r="H76" s="6"/>
      <c r="I76" s="6" t="s">
        <v>218</v>
      </c>
      <c r="J76" s="6" t="s">
        <v>87</v>
      </c>
      <c r="K76" s="8"/>
      <c r="L76" s="6" t="s">
        <v>220</v>
      </c>
      <c r="M76" s="6"/>
      <c r="N76" s="17" t="s">
        <v>89</v>
      </c>
      <c r="O76" s="6"/>
      <c r="P76" s="6" t="s">
        <v>90</v>
      </c>
    </row>
    <row r="77" customFormat="false" ht="22.35" hidden="false" customHeight="false" outlineLevel="0" collapsed="false">
      <c r="A77" s="23" t="n">
        <v>6</v>
      </c>
      <c r="B77" s="24" t="n">
        <v>45490</v>
      </c>
      <c r="C77" s="23" t="s">
        <v>189</v>
      </c>
      <c r="D77" s="25" t="n">
        <v>0.541666666666667</v>
      </c>
      <c r="E77" s="25" t="n">
        <v>0.583333333333333</v>
      </c>
      <c r="F77" s="23" t="n">
        <f aca="false">ROUND(MOD(E77-D77,1)*1440,0)</f>
        <v>60</v>
      </c>
      <c r="G77" s="23" t="s">
        <v>105</v>
      </c>
      <c r="H77" s="23"/>
      <c r="I77" s="23" t="s">
        <v>218</v>
      </c>
      <c r="J77" s="23" t="s">
        <v>106</v>
      </c>
      <c r="K77" s="26"/>
      <c r="L77" s="23"/>
      <c r="M77" s="23" t="s">
        <v>221</v>
      </c>
      <c r="N77" s="27" t="s">
        <v>89</v>
      </c>
      <c r="O77" s="23"/>
      <c r="P77" s="23" t="s">
        <v>90</v>
      </c>
    </row>
    <row r="78" customFormat="false" ht="22.35" hidden="false" customHeight="false" outlineLevel="0" collapsed="false">
      <c r="A78" s="6" t="n">
        <v>6</v>
      </c>
      <c r="B78" s="7" t="n">
        <v>45490</v>
      </c>
      <c r="C78" s="6" t="s">
        <v>189</v>
      </c>
      <c r="D78" s="10" t="n">
        <v>0.583333333333333</v>
      </c>
      <c r="E78" s="10" t="n">
        <v>0.645833333333333</v>
      </c>
      <c r="F78" s="6" t="n">
        <f aca="false">ROUND(MOD(E78-D78,1)*1440,0)</f>
        <v>90</v>
      </c>
      <c r="G78" s="6" t="s">
        <v>222</v>
      </c>
      <c r="H78" s="6"/>
      <c r="I78" s="6" t="s">
        <v>218</v>
      </c>
      <c r="J78" s="6" t="s">
        <v>87</v>
      </c>
      <c r="K78" s="8"/>
      <c r="L78" s="6" t="s">
        <v>223</v>
      </c>
      <c r="M78" s="6"/>
      <c r="N78" s="17" t="s">
        <v>89</v>
      </c>
      <c r="O78" s="6"/>
      <c r="P78" s="6" t="s">
        <v>90</v>
      </c>
    </row>
    <row r="79" customFormat="false" ht="22.35" hidden="false" customHeight="false" outlineLevel="0" collapsed="false">
      <c r="A79" s="18" t="n">
        <v>6</v>
      </c>
      <c r="B79" s="19" t="n">
        <v>45490</v>
      </c>
      <c r="C79" s="18" t="s">
        <v>189</v>
      </c>
      <c r="D79" s="20" t="n">
        <v>0.645833333333333</v>
      </c>
      <c r="E79" s="20" t="n">
        <v>0.802083333333333</v>
      </c>
      <c r="F79" s="18" t="n">
        <f aca="false">ROUND(MOD(E79-D79,1)*1440,0)</f>
        <v>225</v>
      </c>
      <c r="G79" s="18" t="s">
        <v>101</v>
      </c>
      <c r="H79" s="18" t="s">
        <v>218</v>
      </c>
      <c r="I79" s="18" t="s">
        <v>190</v>
      </c>
      <c r="J79" s="18" t="s">
        <v>103</v>
      </c>
      <c r="K79" s="21" t="n">
        <v>280</v>
      </c>
      <c r="L79" s="18" t="s">
        <v>224</v>
      </c>
      <c r="M79" s="18"/>
      <c r="N79" s="22" t="s">
        <v>30</v>
      </c>
      <c r="O79" s="18"/>
      <c r="P79" s="18" t="s">
        <v>90</v>
      </c>
    </row>
    <row r="80" customFormat="false" ht="22.35" hidden="false" customHeight="false" outlineLevel="0" collapsed="false">
      <c r="A80" s="23" t="n">
        <v>6</v>
      </c>
      <c r="B80" s="24" t="n">
        <v>45490</v>
      </c>
      <c r="C80" s="23" t="s">
        <v>189</v>
      </c>
      <c r="D80" s="25" t="n">
        <v>0.8125</v>
      </c>
      <c r="E80" s="25" t="n">
        <v>0.854166666666667</v>
      </c>
      <c r="F80" s="23" t="n">
        <f aca="false">ROUND(MOD(E80-D80,1)*1440,0)</f>
        <v>60</v>
      </c>
      <c r="G80" s="23" t="s">
        <v>117</v>
      </c>
      <c r="H80" s="23"/>
      <c r="I80" s="23" t="s">
        <v>190</v>
      </c>
      <c r="J80" s="23" t="s">
        <v>106</v>
      </c>
      <c r="K80" s="26"/>
      <c r="L80" s="23"/>
      <c r="M80" s="23" t="s">
        <v>118</v>
      </c>
      <c r="N80" s="27" t="s">
        <v>89</v>
      </c>
      <c r="O80" s="23"/>
      <c r="P80" s="23" t="s">
        <v>90</v>
      </c>
    </row>
    <row r="81" customFormat="false" ht="22.35" hidden="false" customHeight="false" outlineLevel="0" collapsed="false">
      <c r="A81" s="6" t="n">
        <v>6</v>
      </c>
      <c r="B81" s="7" t="n">
        <v>45490</v>
      </c>
      <c r="C81" s="6" t="s">
        <v>189</v>
      </c>
      <c r="D81" s="10" t="n">
        <v>0.854166666666667</v>
      </c>
      <c r="E81" s="10" t="n">
        <v>0.875</v>
      </c>
      <c r="F81" s="6" t="n">
        <f aca="false">ROUND(MOD(E81-D81,1)*1440,0)</f>
        <v>30</v>
      </c>
      <c r="G81" s="6" t="s">
        <v>169</v>
      </c>
      <c r="H81" s="6"/>
      <c r="I81" s="6" t="s">
        <v>190</v>
      </c>
      <c r="J81" s="6" t="s">
        <v>87</v>
      </c>
      <c r="K81" s="8"/>
      <c r="L81" s="6" t="s">
        <v>225</v>
      </c>
      <c r="M81" s="6"/>
      <c r="N81" s="17" t="s">
        <v>89</v>
      </c>
      <c r="O81" s="6"/>
      <c r="P81" s="6" t="s">
        <v>90</v>
      </c>
    </row>
    <row r="82" customFormat="false" ht="23.85" hidden="false" customHeight="false" outlineLevel="0" collapsed="false">
      <c r="A82" s="15" t="n">
        <v>7</v>
      </c>
      <c r="B82" s="16" t="n">
        <v>45491</v>
      </c>
      <c r="C82" s="15" t="s">
        <v>189</v>
      </c>
      <c r="D82" s="15"/>
      <c r="E82" s="15"/>
      <c r="F82" s="15"/>
      <c r="G82" s="15" t="s">
        <v>226</v>
      </c>
      <c r="H82" s="15"/>
      <c r="I82" s="15" t="s">
        <v>45</v>
      </c>
      <c r="J82" s="15"/>
      <c r="K82" s="15"/>
      <c r="L82" s="15" t="s">
        <v>227</v>
      </c>
      <c r="M82" s="15"/>
      <c r="N82" s="15"/>
      <c r="O82" s="15"/>
      <c r="P82" s="15"/>
    </row>
    <row r="83" customFormat="false" ht="22.35" hidden="false" customHeight="false" outlineLevel="0" collapsed="false">
      <c r="A83" s="6" t="n">
        <v>7</v>
      </c>
      <c r="B83" s="7" t="n">
        <v>45491</v>
      </c>
      <c r="C83" s="6" t="s">
        <v>189</v>
      </c>
      <c r="D83" s="10" t="n">
        <v>0.270833333333333</v>
      </c>
      <c r="E83" s="10" t="n">
        <v>0.291666666666667</v>
      </c>
      <c r="F83" s="6" t="n">
        <f aca="false">ROUND(MOD(E83-D83,1)*1440,0)</f>
        <v>30</v>
      </c>
      <c r="G83" s="6" t="s">
        <v>122</v>
      </c>
      <c r="H83" s="6"/>
      <c r="I83" s="6" t="s">
        <v>190</v>
      </c>
      <c r="J83" s="6" t="s">
        <v>87</v>
      </c>
      <c r="K83" s="8"/>
      <c r="L83" s="6" t="s">
        <v>123</v>
      </c>
      <c r="M83" s="6"/>
      <c r="N83" s="17" t="s">
        <v>89</v>
      </c>
      <c r="O83" s="6"/>
      <c r="P83" s="6" t="s">
        <v>90</v>
      </c>
    </row>
    <row r="84" customFormat="false" ht="22.35" hidden="false" customHeight="false" outlineLevel="0" collapsed="false">
      <c r="A84" s="23" t="n">
        <v>7</v>
      </c>
      <c r="B84" s="24" t="n">
        <v>45491</v>
      </c>
      <c r="C84" s="23" t="s">
        <v>189</v>
      </c>
      <c r="D84" s="25" t="n">
        <v>0.291666666666667</v>
      </c>
      <c r="E84" s="25" t="n">
        <v>0.322916666666667</v>
      </c>
      <c r="F84" s="23" t="n">
        <f aca="false">ROUND(MOD(E84-D84,1)*1440,0)</f>
        <v>45</v>
      </c>
      <c r="G84" s="23" t="s">
        <v>124</v>
      </c>
      <c r="H84" s="23"/>
      <c r="I84" s="23" t="s">
        <v>190</v>
      </c>
      <c r="J84" s="23" t="s">
        <v>106</v>
      </c>
      <c r="K84" s="26"/>
      <c r="L84" s="23"/>
      <c r="M84" s="23" t="s">
        <v>125</v>
      </c>
      <c r="N84" s="27" t="s">
        <v>89</v>
      </c>
      <c r="O84" s="23"/>
      <c r="P84" s="23" t="s">
        <v>90</v>
      </c>
    </row>
    <row r="85" customFormat="false" ht="22.35" hidden="false" customHeight="false" outlineLevel="0" collapsed="false">
      <c r="A85" s="6" t="n">
        <v>7</v>
      </c>
      <c r="B85" s="7" t="n">
        <v>45491</v>
      </c>
      <c r="C85" s="6" t="s">
        <v>189</v>
      </c>
      <c r="D85" s="10" t="n">
        <v>0.322916666666667</v>
      </c>
      <c r="E85" s="10" t="n">
        <v>0.336805555555556</v>
      </c>
      <c r="F85" s="6" t="n">
        <f aca="false">ROUND(MOD(E85-D85,1)*1440,0)</f>
        <v>20</v>
      </c>
      <c r="G85" s="6" t="s">
        <v>175</v>
      </c>
      <c r="H85" s="6"/>
      <c r="I85" s="6" t="s">
        <v>190</v>
      </c>
      <c r="J85" s="6" t="s">
        <v>87</v>
      </c>
      <c r="K85" s="8"/>
      <c r="L85" s="6" t="s">
        <v>228</v>
      </c>
      <c r="M85" s="6"/>
      <c r="N85" s="17" t="s">
        <v>89</v>
      </c>
      <c r="O85" s="6"/>
      <c r="P85" s="6" t="s">
        <v>90</v>
      </c>
    </row>
    <row r="86" customFormat="false" ht="22.35" hidden="false" customHeight="false" outlineLevel="0" collapsed="false">
      <c r="A86" s="18" t="n">
        <v>7</v>
      </c>
      <c r="B86" s="19" t="n">
        <v>45491</v>
      </c>
      <c r="C86" s="18" t="s">
        <v>189</v>
      </c>
      <c r="D86" s="20" t="n">
        <v>0.336805555555556</v>
      </c>
      <c r="E86" s="20" t="n">
        <v>0.354166666666667</v>
      </c>
      <c r="F86" s="18" t="n">
        <f aca="false">ROUND(MOD(E86-D86,1)*1440,0)</f>
        <v>25</v>
      </c>
      <c r="G86" s="18" t="s">
        <v>101</v>
      </c>
      <c r="H86" s="18" t="s">
        <v>190</v>
      </c>
      <c r="I86" s="18" t="s">
        <v>229</v>
      </c>
      <c r="J86" s="18" t="s">
        <v>103</v>
      </c>
      <c r="K86" s="21" t="n">
        <v>4</v>
      </c>
      <c r="L86" s="18" t="s">
        <v>230</v>
      </c>
      <c r="M86" s="18"/>
      <c r="N86" s="22" t="s">
        <v>30</v>
      </c>
      <c r="O86" s="18"/>
      <c r="P86" s="18" t="s">
        <v>90</v>
      </c>
    </row>
    <row r="87" customFormat="false" ht="43.25" hidden="false" customHeight="false" outlineLevel="0" collapsed="false">
      <c r="A87" s="6" t="n">
        <v>7</v>
      </c>
      <c r="B87" s="7" t="n">
        <v>45491</v>
      </c>
      <c r="C87" s="6" t="s">
        <v>189</v>
      </c>
      <c r="D87" s="10" t="n">
        <v>0.375</v>
      </c>
      <c r="E87" s="10" t="n">
        <v>0.489583333333333</v>
      </c>
      <c r="F87" s="6" t="n">
        <f aca="false">ROUND(MOD(E87-D87,1)*1440,0)</f>
        <v>165</v>
      </c>
      <c r="G87" s="6" t="s">
        <v>128</v>
      </c>
      <c r="H87" s="6"/>
      <c r="I87" s="6" t="s">
        <v>229</v>
      </c>
      <c r="J87" s="6" t="s">
        <v>87</v>
      </c>
      <c r="K87" s="8"/>
      <c r="L87" s="6" t="s">
        <v>231</v>
      </c>
      <c r="M87" s="6"/>
      <c r="N87" s="17" t="s">
        <v>89</v>
      </c>
      <c r="O87" s="6" t="s">
        <v>232</v>
      </c>
      <c r="P87" s="6" t="s">
        <v>90</v>
      </c>
    </row>
    <row r="88" customFormat="false" ht="22.35" hidden="false" customHeight="false" outlineLevel="0" collapsed="false">
      <c r="A88" s="18" t="n">
        <v>7</v>
      </c>
      <c r="B88" s="19" t="n">
        <v>45491</v>
      </c>
      <c r="C88" s="18" t="s">
        <v>189</v>
      </c>
      <c r="D88" s="20" t="n">
        <v>0.489583333333333</v>
      </c>
      <c r="E88" s="20" t="n">
        <v>0.503472222222222</v>
      </c>
      <c r="F88" s="18" t="n">
        <f aca="false">ROUND(MOD(E88-D88,1)*1440,0)</f>
        <v>20</v>
      </c>
      <c r="G88" s="18" t="s">
        <v>101</v>
      </c>
      <c r="H88" s="18" t="s">
        <v>229</v>
      </c>
      <c r="I88" s="18" t="s">
        <v>233</v>
      </c>
      <c r="J88" s="18" t="s">
        <v>103</v>
      </c>
      <c r="K88" s="21" t="n">
        <v>4</v>
      </c>
      <c r="L88" s="18" t="s">
        <v>234</v>
      </c>
      <c r="M88" s="18"/>
      <c r="N88" s="22" t="s">
        <v>30</v>
      </c>
      <c r="O88" s="18"/>
      <c r="P88" s="18" t="s">
        <v>90</v>
      </c>
    </row>
    <row r="89" customFormat="false" ht="22.35" hidden="false" customHeight="false" outlineLevel="0" collapsed="false">
      <c r="A89" s="23" t="n">
        <v>7</v>
      </c>
      <c r="B89" s="24" t="n">
        <v>45491</v>
      </c>
      <c r="C89" s="23" t="s">
        <v>189</v>
      </c>
      <c r="D89" s="25" t="n">
        <v>0.503472222222222</v>
      </c>
      <c r="E89" s="25" t="n">
        <v>0.545138888888889</v>
      </c>
      <c r="F89" s="23" t="n">
        <f aca="false">ROUND(MOD(E89-D89,1)*1440,0)</f>
        <v>60</v>
      </c>
      <c r="G89" s="23" t="s">
        <v>105</v>
      </c>
      <c r="H89" s="23"/>
      <c r="I89" s="23" t="s">
        <v>233</v>
      </c>
      <c r="J89" s="23" t="s">
        <v>106</v>
      </c>
      <c r="K89" s="26"/>
      <c r="L89" s="23" t="s">
        <v>235</v>
      </c>
      <c r="M89" s="23" t="s">
        <v>236</v>
      </c>
      <c r="N89" s="27" t="s">
        <v>89</v>
      </c>
      <c r="O89" s="23"/>
      <c r="P89" s="23" t="s">
        <v>90</v>
      </c>
    </row>
    <row r="90" customFormat="false" ht="22.35" hidden="false" customHeight="false" outlineLevel="0" collapsed="false">
      <c r="A90" s="18" t="n">
        <v>7</v>
      </c>
      <c r="B90" s="19" t="n">
        <v>45491</v>
      </c>
      <c r="C90" s="18" t="s">
        <v>189</v>
      </c>
      <c r="D90" s="20" t="n">
        <v>0.552083333333333</v>
      </c>
      <c r="E90" s="20" t="n">
        <v>0.71875</v>
      </c>
      <c r="F90" s="18" t="n">
        <f aca="false">ROUND(MOD(E90-D90,1)*1440,0)</f>
        <v>240</v>
      </c>
      <c r="G90" s="18" t="s">
        <v>101</v>
      </c>
      <c r="H90" s="18" t="s">
        <v>233</v>
      </c>
      <c r="I90" s="18" t="s">
        <v>237</v>
      </c>
      <c r="J90" s="18" t="s">
        <v>103</v>
      </c>
      <c r="K90" s="21" t="n">
        <v>315</v>
      </c>
      <c r="L90" s="18" t="s">
        <v>238</v>
      </c>
      <c r="M90" s="18"/>
      <c r="N90" s="22" t="s">
        <v>30</v>
      </c>
      <c r="O90" s="18"/>
      <c r="P90" s="18" t="s">
        <v>90</v>
      </c>
    </row>
    <row r="91" customFormat="false" ht="15" hidden="false" customHeight="false" outlineLevel="0" collapsed="false">
      <c r="A91" s="6" t="n">
        <v>7</v>
      </c>
      <c r="B91" s="7" t="n">
        <v>45491</v>
      </c>
      <c r="C91" s="6" t="s">
        <v>189</v>
      </c>
      <c r="D91" s="10" t="n">
        <v>0.71875</v>
      </c>
      <c r="E91" s="10" t="n">
        <v>0.743055555555556</v>
      </c>
      <c r="F91" s="6" t="n">
        <f aca="false">ROUND(MOD(E91-D91,1)*1440,0)</f>
        <v>35</v>
      </c>
      <c r="G91" s="6" t="s">
        <v>239</v>
      </c>
      <c r="H91" s="6"/>
      <c r="I91" s="6" t="s">
        <v>237</v>
      </c>
      <c r="J91" s="6" t="s">
        <v>87</v>
      </c>
      <c r="K91" s="8"/>
      <c r="L91" s="6" t="s">
        <v>240</v>
      </c>
      <c r="M91" s="6"/>
      <c r="N91" s="17" t="s">
        <v>89</v>
      </c>
      <c r="O91" s="6"/>
      <c r="P91" s="6" t="s">
        <v>90</v>
      </c>
    </row>
    <row r="92" customFormat="false" ht="22.35" hidden="false" customHeight="false" outlineLevel="0" collapsed="false">
      <c r="A92" s="18" t="n">
        <v>7</v>
      </c>
      <c r="B92" s="19" t="n">
        <v>45491</v>
      </c>
      <c r="C92" s="18" t="s">
        <v>189</v>
      </c>
      <c r="D92" s="20" t="n">
        <v>0.743055555555556</v>
      </c>
      <c r="E92" s="20" t="n">
        <v>0.763888888888889</v>
      </c>
      <c r="F92" s="18" t="n">
        <f aca="false">ROUND(MOD(E92-D92,1)*1440,0)</f>
        <v>30</v>
      </c>
      <c r="G92" s="18" t="s">
        <v>101</v>
      </c>
      <c r="H92" s="18" t="s">
        <v>237</v>
      </c>
      <c r="I92" s="18" t="s">
        <v>241</v>
      </c>
      <c r="J92" s="18" t="s">
        <v>103</v>
      </c>
      <c r="K92" s="21" t="n">
        <v>8</v>
      </c>
      <c r="L92" s="18" t="s">
        <v>242</v>
      </c>
      <c r="M92" s="18"/>
      <c r="N92" s="22" t="s">
        <v>30</v>
      </c>
      <c r="O92" s="18"/>
      <c r="P92" s="18" t="s">
        <v>90</v>
      </c>
    </row>
    <row r="93" customFormat="false" ht="22.35" hidden="false" customHeight="false" outlineLevel="0" collapsed="false">
      <c r="A93" s="6" t="n">
        <v>7</v>
      </c>
      <c r="B93" s="7" t="n">
        <v>45491</v>
      </c>
      <c r="C93" s="6" t="s">
        <v>189</v>
      </c>
      <c r="D93" s="10" t="n">
        <v>0.763888888888889</v>
      </c>
      <c r="E93" s="10" t="n">
        <v>0.8125</v>
      </c>
      <c r="F93" s="6" t="n">
        <f aca="false">ROUND(MOD(E93-D93,1)*1440,0)</f>
        <v>70</v>
      </c>
      <c r="G93" s="6" t="s">
        <v>128</v>
      </c>
      <c r="H93" s="6"/>
      <c r="I93" s="6" t="s">
        <v>241</v>
      </c>
      <c r="J93" s="6" t="s">
        <v>87</v>
      </c>
      <c r="K93" s="8"/>
      <c r="L93" s="6" t="s">
        <v>243</v>
      </c>
      <c r="M93" s="6"/>
      <c r="N93" s="17" t="s">
        <v>89</v>
      </c>
      <c r="O93" s="6"/>
      <c r="P93" s="6" t="s">
        <v>90</v>
      </c>
    </row>
    <row r="94" customFormat="false" ht="22.35" hidden="false" customHeight="false" outlineLevel="0" collapsed="false">
      <c r="A94" s="18" t="n">
        <v>7</v>
      </c>
      <c r="B94" s="19" t="n">
        <v>45491</v>
      </c>
      <c r="C94" s="18" t="s">
        <v>189</v>
      </c>
      <c r="D94" s="20" t="n">
        <v>0.8125</v>
      </c>
      <c r="E94" s="20" t="n">
        <v>0.822916666666667</v>
      </c>
      <c r="F94" s="18" t="n">
        <f aca="false">ROUND(MOD(E94-D94,1)*1440,0)</f>
        <v>15</v>
      </c>
      <c r="G94" s="18" t="s">
        <v>101</v>
      </c>
      <c r="H94" s="18" t="s">
        <v>241</v>
      </c>
      <c r="I94" s="18" t="s">
        <v>244</v>
      </c>
      <c r="J94" s="18" t="s">
        <v>103</v>
      </c>
      <c r="K94" s="21" t="n">
        <v>2</v>
      </c>
      <c r="L94" s="18" t="s">
        <v>245</v>
      </c>
      <c r="M94" s="18"/>
      <c r="N94" s="22" t="s">
        <v>30</v>
      </c>
      <c r="O94" s="18"/>
      <c r="P94" s="18" t="s">
        <v>90</v>
      </c>
    </row>
    <row r="95" customFormat="false" ht="15" hidden="false" customHeight="false" outlineLevel="0" collapsed="false">
      <c r="A95" s="6" t="n">
        <v>7</v>
      </c>
      <c r="B95" s="7" t="n">
        <v>45491</v>
      </c>
      <c r="C95" s="6" t="s">
        <v>189</v>
      </c>
      <c r="D95" s="10" t="n">
        <v>0.822916666666667</v>
      </c>
      <c r="E95" s="10" t="n">
        <v>0.84375</v>
      </c>
      <c r="F95" s="6" t="n">
        <f aca="false">ROUND(MOD(E95-D95,1)*1440,0)</f>
        <v>30</v>
      </c>
      <c r="G95" s="6" t="s">
        <v>115</v>
      </c>
      <c r="H95" s="6"/>
      <c r="I95" s="6" t="s">
        <v>244</v>
      </c>
      <c r="J95" s="6" t="s">
        <v>87</v>
      </c>
      <c r="K95" s="8"/>
      <c r="L95" s="6" t="s">
        <v>246</v>
      </c>
      <c r="M95" s="6"/>
      <c r="N95" s="17" t="s">
        <v>89</v>
      </c>
      <c r="O95" s="6"/>
      <c r="P95" s="6" t="s">
        <v>90</v>
      </c>
    </row>
    <row r="96" customFormat="false" ht="22.35" hidden="false" customHeight="false" outlineLevel="0" collapsed="false">
      <c r="A96" s="23" t="n">
        <v>7</v>
      </c>
      <c r="B96" s="24" t="n">
        <v>45491</v>
      </c>
      <c r="C96" s="23" t="s">
        <v>189</v>
      </c>
      <c r="D96" s="25" t="n">
        <v>0.84375</v>
      </c>
      <c r="E96" s="25" t="n">
        <v>0.885416666666667</v>
      </c>
      <c r="F96" s="23" t="n">
        <f aca="false">ROUND(MOD(E96-D96,1)*1440,0)</f>
        <v>60</v>
      </c>
      <c r="G96" s="23" t="s">
        <v>117</v>
      </c>
      <c r="H96" s="23"/>
      <c r="I96" s="23" t="s">
        <v>244</v>
      </c>
      <c r="J96" s="23" t="s">
        <v>106</v>
      </c>
      <c r="K96" s="26"/>
      <c r="L96" s="23"/>
      <c r="M96" s="23" t="s">
        <v>118</v>
      </c>
      <c r="N96" s="27" t="s">
        <v>89</v>
      </c>
      <c r="O96" s="23"/>
      <c r="P96" s="23" t="s">
        <v>90</v>
      </c>
    </row>
    <row r="97" customFormat="false" ht="23.85" hidden="false" customHeight="false" outlineLevel="0" collapsed="false">
      <c r="A97" s="15" t="n">
        <v>8</v>
      </c>
      <c r="B97" s="16" t="n">
        <v>45492</v>
      </c>
      <c r="C97" s="15" t="s">
        <v>189</v>
      </c>
      <c r="D97" s="15"/>
      <c r="E97" s="15"/>
      <c r="F97" s="15"/>
      <c r="G97" s="15" t="s">
        <v>247</v>
      </c>
      <c r="H97" s="15"/>
      <c r="I97" s="15" t="s">
        <v>47</v>
      </c>
      <c r="J97" s="15"/>
      <c r="K97" s="15"/>
      <c r="L97" s="15" t="s">
        <v>248</v>
      </c>
      <c r="M97" s="15"/>
      <c r="N97" s="15"/>
      <c r="O97" s="15"/>
      <c r="P97" s="15"/>
    </row>
    <row r="98" customFormat="false" ht="22.35" hidden="false" customHeight="false" outlineLevel="0" collapsed="false">
      <c r="A98" s="6" t="n">
        <v>8</v>
      </c>
      <c r="B98" s="7" t="n">
        <v>45492</v>
      </c>
      <c r="C98" s="6" t="s">
        <v>189</v>
      </c>
      <c r="D98" s="10" t="n">
        <v>0.25</v>
      </c>
      <c r="E98" s="10" t="n">
        <v>0.277777777777778</v>
      </c>
      <c r="F98" s="6" t="n">
        <f aca="false">ROUND(MOD(E98-D98,1)*1440,0)</f>
        <v>40</v>
      </c>
      <c r="G98" s="6" t="s">
        <v>122</v>
      </c>
      <c r="H98" s="6"/>
      <c r="I98" s="6" t="s">
        <v>244</v>
      </c>
      <c r="J98" s="6" t="s">
        <v>87</v>
      </c>
      <c r="K98" s="8"/>
      <c r="L98" s="6" t="s">
        <v>123</v>
      </c>
      <c r="M98" s="6"/>
      <c r="N98" s="17" t="s">
        <v>89</v>
      </c>
      <c r="O98" s="6"/>
      <c r="P98" s="6" t="s">
        <v>90</v>
      </c>
    </row>
    <row r="99" customFormat="false" ht="15" hidden="false" customHeight="false" outlineLevel="0" collapsed="false">
      <c r="A99" s="23" t="n">
        <v>8</v>
      </c>
      <c r="B99" s="24" t="n">
        <v>45492</v>
      </c>
      <c r="C99" s="23" t="s">
        <v>189</v>
      </c>
      <c r="D99" s="25" t="n">
        <v>0.277777777777778</v>
      </c>
      <c r="E99" s="25" t="n">
        <v>0.305555555555556</v>
      </c>
      <c r="F99" s="23" t="n">
        <f aca="false">ROUND(MOD(E99-D99,1)*1440,0)</f>
        <v>40</v>
      </c>
      <c r="G99" s="23" t="s">
        <v>124</v>
      </c>
      <c r="H99" s="23"/>
      <c r="I99" s="23" t="s">
        <v>244</v>
      </c>
      <c r="J99" s="23" t="s">
        <v>106</v>
      </c>
      <c r="K99" s="26"/>
      <c r="L99" s="23"/>
      <c r="M99" s="23" t="s">
        <v>125</v>
      </c>
      <c r="N99" s="27" t="s">
        <v>89</v>
      </c>
      <c r="O99" s="23"/>
      <c r="P99" s="23" t="s">
        <v>90</v>
      </c>
    </row>
    <row r="100" customFormat="false" ht="15" hidden="false" customHeight="false" outlineLevel="0" collapsed="false">
      <c r="A100" s="6" t="n">
        <v>8</v>
      </c>
      <c r="B100" s="7" t="n">
        <v>45492</v>
      </c>
      <c r="C100" s="6" t="s">
        <v>189</v>
      </c>
      <c r="D100" s="10" t="n">
        <v>0.305555555555556</v>
      </c>
      <c r="E100" s="10" t="n">
        <v>0.319444444444444</v>
      </c>
      <c r="F100" s="6" t="n">
        <f aca="false">ROUND(MOD(E100-D100,1)*1440,0)</f>
        <v>20</v>
      </c>
      <c r="G100" s="6" t="s">
        <v>175</v>
      </c>
      <c r="H100" s="6"/>
      <c r="I100" s="6" t="s">
        <v>244</v>
      </c>
      <c r="J100" s="6" t="s">
        <v>87</v>
      </c>
      <c r="K100" s="8"/>
      <c r="L100" s="6" t="s">
        <v>249</v>
      </c>
      <c r="M100" s="6"/>
      <c r="N100" s="17" t="s">
        <v>89</v>
      </c>
      <c r="O100" s="6"/>
      <c r="P100" s="6" t="s">
        <v>90</v>
      </c>
    </row>
    <row r="101" customFormat="false" ht="22.35" hidden="false" customHeight="false" outlineLevel="0" collapsed="false">
      <c r="A101" s="18" t="n">
        <v>8</v>
      </c>
      <c r="B101" s="19" t="n">
        <v>45492</v>
      </c>
      <c r="C101" s="18" t="s">
        <v>189</v>
      </c>
      <c r="D101" s="20" t="n">
        <v>0.322916666666667</v>
      </c>
      <c r="E101" s="20" t="n">
        <v>0.395833333333333</v>
      </c>
      <c r="F101" s="18" t="n">
        <f aca="false">ROUND(MOD(E101-D101,1)*1440,0)</f>
        <v>105</v>
      </c>
      <c r="G101" s="18" t="s">
        <v>101</v>
      </c>
      <c r="H101" s="18" t="s">
        <v>244</v>
      </c>
      <c r="I101" s="18" t="s">
        <v>250</v>
      </c>
      <c r="J101" s="18" t="s">
        <v>103</v>
      </c>
      <c r="K101" s="21" t="n">
        <v>125</v>
      </c>
      <c r="L101" s="18" t="s">
        <v>251</v>
      </c>
      <c r="M101" s="18"/>
      <c r="N101" s="22" t="s">
        <v>30</v>
      </c>
      <c r="O101" s="18"/>
      <c r="P101" s="18" t="s">
        <v>90</v>
      </c>
    </row>
    <row r="102" customFormat="false" ht="43.25" hidden="false" customHeight="false" outlineLevel="0" collapsed="false">
      <c r="A102" s="6" t="n">
        <v>8</v>
      </c>
      <c r="B102" s="7" t="n">
        <v>45492</v>
      </c>
      <c r="C102" s="6" t="s">
        <v>189</v>
      </c>
      <c r="D102" s="10" t="n">
        <v>0.395833333333333</v>
      </c>
      <c r="E102" s="10" t="n">
        <v>0.520833333333333</v>
      </c>
      <c r="F102" s="6" t="n">
        <f aca="false">ROUND(MOD(E102-D102,1)*1440,0)</f>
        <v>180</v>
      </c>
      <c r="G102" s="6" t="s">
        <v>109</v>
      </c>
      <c r="H102" s="6"/>
      <c r="I102" s="6" t="s">
        <v>250</v>
      </c>
      <c r="J102" s="6" t="s">
        <v>87</v>
      </c>
      <c r="K102" s="8"/>
      <c r="L102" s="6" t="s">
        <v>252</v>
      </c>
      <c r="M102" s="6"/>
      <c r="N102" s="17" t="s">
        <v>89</v>
      </c>
      <c r="O102" s="6"/>
      <c r="P102" s="6" t="s">
        <v>90</v>
      </c>
    </row>
    <row r="103" customFormat="false" ht="22.35" hidden="false" customHeight="false" outlineLevel="0" collapsed="false">
      <c r="A103" s="23" t="n">
        <v>8</v>
      </c>
      <c r="B103" s="24" t="n">
        <v>45492</v>
      </c>
      <c r="C103" s="23" t="s">
        <v>189</v>
      </c>
      <c r="D103" s="25" t="n">
        <v>0.520833333333333</v>
      </c>
      <c r="E103" s="25" t="n">
        <v>0.5625</v>
      </c>
      <c r="F103" s="23" t="n">
        <f aca="false">ROUND(MOD(E103-D103,1)*1440,0)</f>
        <v>60</v>
      </c>
      <c r="G103" s="23" t="s">
        <v>105</v>
      </c>
      <c r="H103" s="23"/>
      <c r="I103" s="23" t="s">
        <v>250</v>
      </c>
      <c r="J103" s="23" t="s">
        <v>106</v>
      </c>
      <c r="K103" s="26"/>
      <c r="L103" s="23"/>
      <c r="M103" s="23" t="s">
        <v>253</v>
      </c>
      <c r="N103" s="27" t="s">
        <v>89</v>
      </c>
      <c r="O103" s="23"/>
      <c r="P103" s="23" t="s">
        <v>90</v>
      </c>
    </row>
    <row r="104" customFormat="false" ht="22.35" hidden="false" customHeight="false" outlineLevel="0" collapsed="false">
      <c r="A104" s="18" t="n">
        <v>8</v>
      </c>
      <c r="B104" s="19" t="n">
        <v>45492</v>
      </c>
      <c r="C104" s="18" t="s">
        <v>189</v>
      </c>
      <c r="D104" s="20" t="n">
        <v>0.572916666666667</v>
      </c>
      <c r="E104" s="20" t="n">
        <v>0.739583333333333</v>
      </c>
      <c r="F104" s="18" t="n">
        <f aca="false">ROUND(MOD(E104-D104,1)*1440,0)</f>
        <v>240</v>
      </c>
      <c r="G104" s="18" t="s">
        <v>101</v>
      </c>
      <c r="H104" s="18" t="s">
        <v>250</v>
      </c>
      <c r="I104" s="18" t="s">
        <v>254</v>
      </c>
      <c r="J104" s="18" t="s">
        <v>103</v>
      </c>
      <c r="K104" s="21" t="n">
        <v>300</v>
      </c>
      <c r="L104" s="18" t="s">
        <v>255</v>
      </c>
      <c r="M104" s="18"/>
      <c r="N104" s="22" t="s">
        <v>30</v>
      </c>
      <c r="O104" s="18"/>
      <c r="P104" s="18" t="s">
        <v>90</v>
      </c>
    </row>
    <row r="105" customFormat="false" ht="15" hidden="false" customHeight="false" outlineLevel="0" collapsed="false">
      <c r="A105" s="6" t="n">
        <v>8</v>
      </c>
      <c r="B105" s="7" t="n">
        <v>45492</v>
      </c>
      <c r="C105" s="6" t="s">
        <v>189</v>
      </c>
      <c r="D105" s="10" t="n">
        <v>0.739583333333333</v>
      </c>
      <c r="E105" s="10" t="n">
        <v>0.770833333333333</v>
      </c>
      <c r="F105" s="6" t="n">
        <f aca="false">ROUND(MOD(E105-D105,1)*1440,0)</f>
        <v>45</v>
      </c>
      <c r="G105" s="6" t="s">
        <v>115</v>
      </c>
      <c r="H105" s="6"/>
      <c r="I105" s="6" t="s">
        <v>254</v>
      </c>
      <c r="J105" s="6" t="s">
        <v>87</v>
      </c>
      <c r="K105" s="8"/>
      <c r="L105" s="6" t="s">
        <v>246</v>
      </c>
      <c r="M105" s="6"/>
      <c r="N105" s="17" t="s">
        <v>89</v>
      </c>
      <c r="O105" s="6"/>
      <c r="P105" s="6" t="s">
        <v>90</v>
      </c>
    </row>
    <row r="106" customFormat="false" ht="22.35" hidden="false" customHeight="false" outlineLevel="0" collapsed="false">
      <c r="A106" s="23" t="n">
        <v>8</v>
      </c>
      <c r="B106" s="24" t="n">
        <v>45492</v>
      </c>
      <c r="C106" s="23" t="s">
        <v>189</v>
      </c>
      <c r="D106" s="25" t="n">
        <v>0.770833333333333</v>
      </c>
      <c r="E106" s="25" t="n">
        <v>0.8125</v>
      </c>
      <c r="F106" s="23" t="n">
        <f aca="false">ROUND(MOD(E106-D106,1)*1440,0)</f>
        <v>60</v>
      </c>
      <c r="G106" s="23" t="s">
        <v>117</v>
      </c>
      <c r="H106" s="23"/>
      <c r="I106" s="23" t="s">
        <v>254</v>
      </c>
      <c r="J106" s="23" t="s">
        <v>106</v>
      </c>
      <c r="K106" s="26"/>
      <c r="L106" s="23"/>
      <c r="M106" s="23" t="s">
        <v>118</v>
      </c>
      <c r="N106" s="27" t="s">
        <v>89</v>
      </c>
      <c r="O106" s="23"/>
      <c r="P106" s="23" t="s">
        <v>90</v>
      </c>
    </row>
    <row r="107" customFormat="false" ht="22.35" hidden="false" customHeight="false" outlineLevel="0" collapsed="false">
      <c r="A107" s="18" t="n">
        <v>8</v>
      </c>
      <c r="B107" s="19" t="n">
        <v>45492</v>
      </c>
      <c r="C107" s="18" t="s">
        <v>189</v>
      </c>
      <c r="D107" s="20" t="n">
        <v>0.822916666666667</v>
      </c>
      <c r="E107" s="20" t="n">
        <v>0.836805555555556</v>
      </c>
      <c r="F107" s="18" t="n">
        <f aca="false">ROUND(MOD(E107-D107,1)*1440,0)</f>
        <v>20</v>
      </c>
      <c r="G107" s="18" t="s">
        <v>101</v>
      </c>
      <c r="H107" s="18" t="s">
        <v>254</v>
      </c>
      <c r="I107" s="18" t="s">
        <v>256</v>
      </c>
      <c r="J107" s="18" t="s">
        <v>103</v>
      </c>
      <c r="K107" s="21" t="n">
        <v>5</v>
      </c>
      <c r="L107" s="18" t="s">
        <v>257</v>
      </c>
      <c r="M107" s="18"/>
      <c r="N107" s="22" t="s">
        <v>30</v>
      </c>
      <c r="O107" s="18"/>
      <c r="P107" s="18" t="s">
        <v>90</v>
      </c>
    </row>
    <row r="108" customFormat="false" ht="22.35" hidden="false" customHeight="false" outlineLevel="0" collapsed="false">
      <c r="A108" s="6" t="n">
        <v>8</v>
      </c>
      <c r="B108" s="7" t="n">
        <v>45492</v>
      </c>
      <c r="C108" s="6" t="s">
        <v>189</v>
      </c>
      <c r="D108" s="10" t="n">
        <v>0.84375</v>
      </c>
      <c r="E108" s="10" t="n">
        <v>0.895833333333333</v>
      </c>
      <c r="F108" s="6" t="n">
        <f aca="false">ROUND(MOD(E108-D108,1)*1440,0)</f>
        <v>75</v>
      </c>
      <c r="G108" s="6" t="s">
        <v>195</v>
      </c>
      <c r="H108" s="6"/>
      <c r="I108" s="6" t="s">
        <v>256</v>
      </c>
      <c r="J108" s="6" t="s">
        <v>155</v>
      </c>
      <c r="K108" s="8"/>
      <c r="L108" s="6" t="s">
        <v>258</v>
      </c>
      <c r="M108" s="6"/>
      <c r="N108" s="17" t="s">
        <v>89</v>
      </c>
      <c r="O108" s="6"/>
      <c r="P108" s="6" t="s">
        <v>90</v>
      </c>
    </row>
    <row r="109" customFormat="false" ht="22.35" hidden="false" customHeight="false" outlineLevel="0" collapsed="false">
      <c r="A109" s="18" t="n">
        <v>8</v>
      </c>
      <c r="B109" s="19" t="n">
        <v>45492</v>
      </c>
      <c r="C109" s="18" t="s">
        <v>189</v>
      </c>
      <c r="D109" s="20" t="n">
        <v>0.895833333333333</v>
      </c>
      <c r="E109" s="20" t="n">
        <v>0.909722222222222</v>
      </c>
      <c r="F109" s="18" t="n">
        <f aca="false">ROUND(MOD(E109-D109,1)*1440,0)</f>
        <v>20</v>
      </c>
      <c r="G109" s="18" t="s">
        <v>101</v>
      </c>
      <c r="H109" s="18" t="s">
        <v>256</v>
      </c>
      <c r="I109" s="18" t="s">
        <v>254</v>
      </c>
      <c r="J109" s="18" t="s">
        <v>103</v>
      </c>
      <c r="K109" s="21" t="n">
        <v>5</v>
      </c>
      <c r="L109" s="18" t="s">
        <v>259</v>
      </c>
      <c r="M109" s="18"/>
      <c r="N109" s="22" t="s">
        <v>30</v>
      </c>
      <c r="O109" s="18"/>
      <c r="P109" s="18" t="s">
        <v>90</v>
      </c>
    </row>
    <row r="110" customFormat="false" ht="35.05" hidden="false" customHeight="false" outlineLevel="0" collapsed="false">
      <c r="A110" s="15" t="n">
        <v>9</v>
      </c>
      <c r="B110" s="16" t="n">
        <v>45493</v>
      </c>
      <c r="C110" s="15" t="s">
        <v>189</v>
      </c>
      <c r="D110" s="15"/>
      <c r="E110" s="15"/>
      <c r="F110" s="15"/>
      <c r="G110" s="15" t="s">
        <v>260</v>
      </c>
      <c r="H110" s="15"/>
      <c r="I110" s="15" t="s">
        <v>49</v>
      </c>
      <c r="J110" s="15"/>
      <c r="K110" s="15"/>
      <c r="L110" s="15" t="s">
        <v>261</v>
      </c>
      <c r="M110" s="15"/>
      <c r="N110" s="15"/>
      <c r="O110" s="15"/>
      <c r="P110" s="15"/>
    </row>
    <row r="111" customFormat="false" ht="22.35" hidden="false" customHeight="false" outlineLevel="0" collapsed="false">
      <c r="A111" s="6" t="n">
        <v>9</v>
      </c>
      <c r="B111" s="7" t="n">
        <v>45493</v>
      </c>
      <c r="C111" s="6" t="s">
        <v>189</v>
      </c>
      <c r="D111" s="10" t="n">
        <v>0.270833333333333</v>
      </c>
      <c r="E111" s="10" t="n">
        <v>0.298611111111111</v>
      </c>
      <c r="F111" s="6" t="n">
        <f aca="false">ROUND(MOD(E111-D111,1)*1440,0)</f>
        <v>40</v>
      </c>
      <c r="G111" s="6" t="s">
        <v>122</v>
      </c>
      <c r="H111" s="6"/>
      <c r="I111" s="6" t="s">
        <v>254</v>
      </c>
      <c r="J111" s="6" t="s">
        <v>87</v>
      </c>
      <c r="K111" s="8"/>
      <c r="L111" s="6" t="s">
        <v>123</v>
      </c>
      <c r="M111" s="6"/>
      <c r="N111" s="17" t="s">
        <v>89</v>
      </c>
      <c r="O111" s="6"/>
      <c r="P111" s="6" t="s">
        <v>90</v>
      </c>
    </row>
    <row r="112" customFormat="false" ht="15" hidden="false" customHeight="false" outlineLevel="0" collapsed="false">
      <c r="A112" s="23" t="n">
        <v>9</v>
      </c>
      <c r="B112" s="24" t="n">
        <v>45493</v>
      </c>
      <c r="C112" s="23" t="s">
        <v>189</v>
      </c>
      <c r="D112" s="25" t="n">
        <v>0.298611111111111</v>
      </c>
      <c r="E112" s="25" t="n">
        <v>0.326388888888889</v>
      </c>
      <c r="F112" s="23" t="n">
        <f aca="false">ROUND(MOD(E112-D112,1)*1440,0)</f>
        <v>40</v>
      </c>
      <c r="G112" s="23" t="s">
        <v>124</v>
      </c>
      <c r="H112" s="23"/>
      <c r="I112" s="23" t="s">
        <v>254</v>
      </c>
      <c r="J112" s="23" t="s">
        <v>106</v>
      </c>
      <c r="K112" s="26"/>
      <c r="L112" s="23"/>
      <c r="M112" s="23" t="s">
        <v>125</v>
      </c>
      <c r="N112" s="27" t="s">
        <v>89</v>
      </c>
      <c r="O112" s="23"/>
      <c r="P112" s="23" t="s">
        <v>90</v>
      </c>
    </row>
    <row r="113" customFormat="false" ht="15" hidden="false" customHeight="false" outlineLevel="0" collapsed="false">
      <c r="A113" s="6" t="n">
        <v>9</v>
      </c>
      <c r="B113" s="7" t="n">
        <v>45493</v>
      </c>
      <c r="C113" s="6" t="s">
        <v>189</v>
      </c>
      <c r="D113" s="10" t="n">
        <v>0.326388888888889</v>
      </c>
      <c r="E113" s="10" t="n">
        <v>0.336805555555556</v>
      </c>
      <c r="F113" s="6" t="n">
        <f aca="false">ROUND(MOD(E113-D113,1)*1440,0)</f>
        <v>15</v>
      </c>
      <c r="G113" s="6" t="s">
        <v>175</v>
      </c>
      <c r="H113" s="6"/>
      <c r="I113" s="6" t="s">
        <v>254</v>
      </c>
      <c r="J113" s="6" t="s">
        <v>87</v>
      </c>
      <c r="K113" s="8"/>
      <c r="L113" s="6" t="s">
        <v>249</v>
      </c>
      <c r="M113" s="6"/>
      <c r="N113" s="17" t="s">
        <v>89</v>
      </c>
      <c r="O113" s="6"/>
      <c r="P113" s="6" t="s">
        <v>90</v>
      </c>
    </row>
    <row r="114" customFormat="false" ht="22.35" hidden="false" customHeight="false" outlineLevel="0" collapsed="false">
      <c r="A114" s="18" t="n">
        <v>9</v>
      </c>
      <c r="B114" s="19" t="n">
        <v>45493</v>
      </c>
      <c r="C114" s="18" t="s">
        <v>189</v>
      </c>
      <c r="D114" s="20" t="n">
        <v>0.336805555555556</v>
      </c>
      <c r="E114" s="20" t="n">
        <v>0.357638888888889</v>
      </c>
      <c r="F114" s="18" t="n">
        <f aca="false">ROUND(MOD(E114-D114,1)*1440,0)</f>
        <v>30</v>
      </c>
      <c r="G114" s="18" t="s">
        <v>101</v>
      </c>
      <c r="H114" s="18" t="s">
        <v>254</v>
      </c>
      <c r="I114" s="18" t="s">
        <v>262</v>
      </c>
      <c r="J114" s="18" t="s">
        <v>103</v>
      </c>
      <c r="K114" s="21" t="n">
        <v>20</v>
      </c>
      <c r="L114" s="18" t="s">
        <v>263</v>
      </c>
      <c r="M114" s="18"/>
      <c r="N114" s="22" t="s">
        <v>30</v>
      </c>
      <c r="O114" s="18"/>
      <c r="P114" s="18" t="s">
        <v>90</v>
      </c>
    </row>
    <row r="115" customFormat="false" ht="32.8" hidden="false" customHeight="false" outlineLevel="0" collapsed="false">
      <c r="A115" s="6" t="n">
        <v>9</v>
      </c>
      <c r="B115" s="7" t="n">
        <v>45493</v>
      </c>
      <c r="C115" s="6" t="s">
        <v>189</v>
      </c>
      <c r="D115" s="10" t="n">
        <v>0.357638888888889</v>
      </c>
      <c r="E115" s="10" t="n">
        <v>0.440972222222222</v>
      </c>
      <c r="F115" s="6" t="n">
        <f aca="false">ROUND(MOD(E115-D115,1)*1440,0)</f>
        <v>120</v>
      </c>
      <c r="G115" s="6" t="s">
        <v>128</v>
      </c>
      <c r="H115" s="6"/>
      <c r="I115" s="6" t="s">
        <v>262</v>
      </c>
      <c r="J115" s="6" t="s">
        <v>87</v>
      </c>
      <c r="K115" s="8"/>
      <c r="L115" s="6" t="s">
        <v>264</v>
      </c>
      <c r="M115" s="6"/>
      <c r="N115" s="17" t="s">
        <v>89</v>
      </c>
      <c r="O115" s="6"/>
      <c r="P115" s="6" t="s">
        <v>90</v>
      </c>
    </row>
    <row r="116" customFormat="false" ht="22.35" hidden="false" customHeight="false" outlineLevel="0" collapsed="false">
      <c r="A116" s="18" t="n">
        <v>9</v>
      </c>
      <c r="B116" s="19" t="n">
        <v>45493</v>
      </c>
      <c r="C116" s="18" t="s">
        <v>189</v>
      </c>
      <c r="D116" s="20" t="n">
        <v>0.440972222222222</v>
      </c>
      <c r="E116" s="20" t="n">
        <v>0.465277777777778</v>
      </c>
      <c r="F116" s="18" t="n">
        <f aca="false">ROUND(MOD(E116-D116,1)*1440,0)</f>
        <v>35</v>
      </c>
      <c r="G116" s="18" t="s">
        <v>101</v>
      </c>
      <c r="H116" s="18" t="s">
        <v>262</v>
      </c>
      <c r="I116" s="18" t="s">
        <v>265</v>
      </c>
      <c r="J116" s="18" t="s">
        <v>103</v>
      </c>
      <c r="K116" s="21" t="n">
        <v>25</v>
      </c>
      <c r="L116" s="18" t="s">
        <v>266</v>
      </c>
      <c r="M116" s="18"/>
      <c r="N116" s="22" t="s">
        <v>30</v>
      </c>
      <c r="O116" s="18"/>
      <c r="P116" s="18" t="s">
        <v>90</v>
      </c>
    </row>
    <row r="117" customFormat="false" ht="22.35" hidden="false" customHeight="false" outlineLevel="0" collapsed="false">
      <c r="A117" s="6" t="n">
        <v>9</v>
      </c>
      <c r="B117" s="7" t="n">
        <v>45493</v>
      </c>
      <c r="C117" s="6" t="s">
        <v>189</v>
      </c>
      <c r="D117" s="10" t="n">
        <v>0.465277777777778</v>
      </c>
      <c r="E117" s="10" t="n">
        <v>0.520833333333333</v>
      </c>
      <c r="F117" s="6" t="n">
        <f aca="false">ROUND(MOD(E117-D117,1)*1440,0)</f>
        <v>80</v>
      </c>
      <c r="G117" s="6" t="s">
        <v>128</v>
      </c>
      <c r="H117" s="6"/>
      <c r="I117" s="6" t="s">
        <v>265</v>
      </c>
      <c r="J117" s="6" t="s">
        <v>87</v>
      </c>
      <c r="K117" s="8"/>
      <c r="L117" s="6" t="s">
        <v>267</v>
      </c>
      <c r="M117" s="6"/>
      <c r="N117" s="17" t="s">
        <v>89</v>
      </c>
      <c r="O117" s="6"/>
      <c r="P117" s="6" t="s">
        <v>90</v>
      </c>
    </row>
    <row r="118" customFormat="false" ht="32.8" hidden="false" customHeight="false" outlineLevel="0" collapsed="false">
      <c r="A118" s="23" t="n">
        <v>9</v>
      </c>
      <c r="B118" s="24" t="n">
        <v>45493</v>
      </c>
      <c r="C118" s="23" t="s">
        <v>189</v>
      </c>
      <c r="D118" s="25" t="n">
        <v>0.520833333333333</v>
      </c>
      <c r="E118" s="25" t="n">
        <v>0.5625</v>
      </c>
      <c r="F118" s="23" t="n">
        <f aca="false">ROUND(MOD(E118-D118,1)*1440,0)</f>
        <v>60</v>
      </c>
      <c r="G118" s="23" t="s">
        <v>105</v>
      </c>
      <c r="H118" s="23"/>
      <c r="I118" s="23" t="s">
        <v>268</v>
      </c>
      <c r="J118" s="23" t="s">
        <v>106</v>
      </c>
      <c r="K118" s="26"/>
      <c r="L118" s="23"/>
      <c r="M118" s="23" t="s">
        <v>269</v>
      </c>
      <c r="N118" s="27" t="s">
        <v>89</v>
      </c>
      <c r="O118" s="23"/>
      <c r="P118" s="23" t="s">
        <v>90</v>
      </c>
    </row>
    <row r="119" customFormat="false" ht="22.35" hidden="false" customHeight="false" outlineLevel="0" collapsed="false">
      <c r="A119" s="18" t="n">
        <v>9</v>
      </c>
      <c r="B119" s="19" t="n">
        <v>45493</v>
      </c>
      <c r="C119" s="18" t="s">
        <v>189</v>
      </c>
      <c r="D119" s="20" t="n">
        <v>0.5625</v>
      </c>
      <c r="E119" s="20" t="n">
        <v>0.583333333333333</v>
      </c>
      <c r="F119" s="18" t="n">
        <f aca="false">ROUND(MOD(E119-D119,1)*1440,0)</f>
        <v>30</v>
      </c>
      <c r="G119" s="18" t="s">
        <v>101</v>
      </c>
      <c r="H119" s="18" t="s">
        <v>265</v>
      </c>
      <c r="I119" s="18" t="s">
        <v>270</v>
      </c>
      <c r="J119" s="18" t="s">
        <v>103</v>
      </c>
      <c r="K119" s="21" t="n">
        <v>20</v>
      </c>
      <c r="L119" s="18" t="s">
        <v>271</v>
      </c>
      <c r="M119" s="18"/>
      <c r="N119" s="22" t="s">
        <v>30</v>
      </c>
      <c r="O119" s="18"/>
      <c r="P119" s="18" t="s">
        <v>90</v>
      </c>
    </row>
    <row r="120" customFormat="false" ht="22.35" hidden="false" customHeight="false" outlineLevel="0" collapsed="false">
      <c r="A120" s="6" t="n">
        <v>9</v>
      </c>
      <c r="B120" s="7" t="n">
        <v>45493</v>
      </c>
      <c r="C120" s="6" t="s">
        <v>189</v>
      </c>
      <c r="D120" s="10" t="n">
        <v>0.583333333333333</v>
      </c>
      <c r="E120" s="10" t="n">
        <v>0.666666666666667</v>
      </c>
      <c r="F120" s="6" t="n">
        <f aca="false">ROUND(MOD(E120-D120,1)*1440,0)</f>
        <v>120</v>
      </c>
      <c r="G120" s="6" t="s">
        <v>128</v>
      </c>
      <c r="H120" s="6"/>
      <c r="I120" s="6" t="s">
        <v>270</v>
      </c>
      <c r="J120" s="6" t="s">
        <v>87</v>
      </c>
      <c r="K120" s="8"/>
      <c r="L120" s="6" t="s">
        <v>272</v>
      </c>
      <c r="M120" s="6"/>
      <c r="N120" s="17" t="s">
        <v>89</v>
      </c>
      <c r="O120" s="6"/>
      <c r="P120" s="6" t="s">
        <v>90</v>
      </c>
    </row>
    <row r="121" customFormat="false" ht="22.35" hidden="false" customHeight="false" outlineLevel="0" collapsed="false">
      <c r="A121" s="18" t="n">
        <v>9</v>
      </c>
      <c r="B121" s="19" t="n">
        <v>45493</v>
      </c>
      <c r="C121" s="18" t="s">
        <v>189</v>
      </c>
      <c r="D121" s="20" t="n">
        <v>0.677083333333333</v>
      </c>
      <c r="E121" s="20" t="n">
        <v>0.8125</v>
      </c>
      <c r="F121" s="18" t="n">
        <f aca="false">ROUND(MOD(E121-D121,1)*1440,0)</f>
        <v>195</v>
      </c>
      <c r="G121" s="18" t="s">
        <v>101</v>
      </c>
      <c r="H121" s="18" t="s">
        <v>270</v>
      </c>
      <c r="I121" s="18" t="s">
        <v>273</v>
      </c>
      <c r="J121" s="18" t="s">
        <v>103</v>
      </c>
      <c r="K121" s="21" t="n">
        <v>265</v>
      </c>
      <c r="L121" s="18" t="s">
        <v>274</v>
      </c>
      <c r="M121" s="18"/>
      <c r="N121" s="22" t="s">
        <v>30</v>
      </c>
      <c r="O121" s="18"/>
      <c r="P121" s="18" t="s">
        <v>90</v>
      </c>
    </row>
    <row r="122" customFormat="false" ht="15" hidden="false" customHeight="false" outlineLevel="0" collapsed="false">
      <c r="A122" s="6" t="n">
        <v>9</v>
      </c>
      <c r="B122" s="7" t="n">
        <v>45493</v>
      </c>
      <c r="C122" s="6" t="s">
        <v>189</v>
      </c>
      <c r="D122" s="10" t="n">
        <v>0.8125</v>
      </c>
      <c r="E122" s="10" t="n">
        <v>0.833333333333333</v>
      </c>
      <c r="F122" s="6" t="n">
        <f aca="false">ROUND(MOD(E122-D122,1)*1440,0)</f>
        <v>30</v>
      </c>
      <c r="G122" s="6" t="s">
        <v>115</v>
      </c>
      <c r="H122" s="6"/>
      <c r="I122" s="6" t="s">
        <v>273</v>
      </c>
      <c r="J122" s="6" t="s">
        <v>87</v>
      </c>
      <c r="K122" s="8"/>
      <c r="L122" s="6" t="s">
        <v>246</v>
      </c>
      <c r="M122" s="6"/>
      <c r="N122" s="17" t="s">
        <v>89</v>
      </c>
      <c r="O122" s="6"/>
      <c r="P122" s="6" t="s">
        <v>90</v>
      </c>
    </row>
    <row r="123" customFormat="false" ht="22.35" hidden="false" customHeight="false" outlineLevel="0" collapsed="false">
      <c r="A123" s="23" t="n">
        <v>9</v>
      </c>
      <c r="B123" s="24" t="n">
        <v>45493</v>
      </c>
      <c r="C123" s="23" t="s">
        <v>189</v>
      </c>
      <c r="D123" s="25" t="n">
        <v>0.833333333333333</v>
      </c>
      <c r="E123" s="25" t="n">
        <v>0.875</v>
      </c>
      <c r="F123" s="23" t="n">
        <f aca="false">ROUND(MOD(E123-D123,1)*1440,0)</f>
        <v>60</v>
      </c>
      <c r="G123" s="23" t="s">
        <v>117</v>
      </c>
      <c r="H123" s="23"/>
      <c r="I123" s="23" t="s">
        <v>273</v>
      </c>
      <c r="J123" s="23" t="s">
        <v>106</v>
      </c>
      <c r="K123" s="26"/>
      <c r="L123" s="23"/>
      <c r="M123" s="23" t="s">
        <v>118</v>
      </c>
      <c r="N123" s="27" t="s">
        <v>89</v>
      </c>
      <c r="O123" s="23"/>
      <c r="P123" s="23" t="s">
        <v>90</v>
      </c>
    </row>
    <row r="124" customFormat="false" ht="22.35" hidden="false" customHeight="false" outlineLevel="0" collapsed="false">
      <c r="A124" s="6" t="n">
        <v>9</v>
      </c>
      <c r="B124" s="7" t="n">
        <v>45493</v>
      </c>
      <c r="C124" s="6" t="s">
        <v>189</v>
      </c>
      <c r="D124" s="10" t="n">
        <v>0.885416666666667</v>
      </c>
      <c r="E124" s="10" t="n">
        <v>0.90625</v>
      </c>
      <c r="F124" s="6" t="n">
        <f aca="false">ROUND(MOD(E124-D124,1)*1440,0)</f>
        <v>30</v>
      </c>
      <c r="G124" s="6" t="s">
        <v>275</v>
      </c>
      <c r="H124" s="6"/>
      <c r="I124" s="6" t="s">
        <v>276</v>
      </c>
      <c r="J124" s="6" t="s">
        <v>87</v>
      </c>
      <c r="K124" s="8"/>
      <c r="L124" s="6" t="s">
        <v>277</v>
      </c>
      <c r="M124" s="6"/>
      <c r="N124" s="17" t="s">
        <v>89</v>
      </c>
      <c r="O124" s="6"/>
      <c r="P124" s="6" t="s">
        <v>90</v>
      </c>
    </row>
    <row r="125" customFormat="false" ht="35.05" hidden="false" customHeight="false" outlineLevel="0" collapsed="false">
      <c r="A125" s="15" t="n">
        <v>10</v>
      </c>
      <c r="B125" s="16" t="n">
        <v>45494</v>
      </c>
      <c r="C125" s="15" t="s">
        <v>189</v>
      </c>
      <c r="D125" s="15"/>
      <c r="E125" s="15"/>
      <c r="F125" s="15"/>
      <c r="G125" s="15" t="s">
        <v>278</v>
      </c>
      <c r="H125" s="15"/>
      <c r="I125" s="15" t="s">
        <v>51</v>
      </c>
      <c r="J125" s="15"/>
      <c r="K125" s="15"/>
      <c r="L125" s="15" t="s">
        <v>279</v>
      </c>
      <c r="M125" s="15"/>
      <c r="N125" s="15"/>
      <c r="O125" s="15"/>
      <c r="P125" s="15"/>
    </row>
    <row r="126" customFormat="false" ht="22.35" hidden="false" customHeight="false" outlineLevel="0" collapsed="false">
      <c r="A126" s="6" t="n">
        <v>10</v>
      </c>
      <c r="B126" s="7" t="n">
        <v>45494</v>
      </c>
      <c r="C126" s="6" t="s">
        <v>189</v>
      </c>
      <c r="D126" s="10" t="n">
        <v>0.25</v>
      </c>
      <c r="E126" s="10" t="n">
        <v>0.277777777777778</v>
      </c>
      <c r="F126" s="6" t="n">
        <f aca="false">ROUND(MOD(E126-D126,1)*1440,0)</f>
        <v>40</v>
      </c>
      <c r="G126" s="6" t="s">
        <v>122</v>
      </c>
      <c r="H126" s="6"/>
      <c r="I126" s="6" t="s">
        <v>273</v>
      </c>
      <c r="J126" s="6" t="s">
        <v>87</v>
      </c>
      <c r="K126" s="8"/>
      <c r="L126" s="6" t="s">
        <v>123</v>
      </c>
      <c r="M126" s="6"/>
      <c r="N126" s="17" t="s">
        <v>89</v>
      </c>
      <c r="O126" s="6"/>
      <c r="P126" s="6" t="s">
        <v>90</v>
      </c>
    </row>
    <row r="127" customFormat="false" ht="15" hidden="false" customHeight="false" outlineLevel="0" collapsed="false">
      <c r="A127" s="23" t="n">
        <v>10</v>
      </c>
      <c r="B127" s="24" t="n">
        <v>45494</v>
      </c>
      <c r="C127" s="23" t="s">
        <v>189</v>
      </c>
      <c r="D127" s="25" t="n">
        <v>0.277777777777778</v>
      </c>
      <c r="E127" s="25" t="n">
        <v>0.305555555555556</v>
      </c>
      <c r="F127" s="23" t="n">
        <f aca="false">ROUND(MOD(E127-D127,1)*1440,0)</f>
        <v>40</v>
      </c>
      <c r="G127" s="23" t="s">
        <v>124</v>
      </c>
      <c r="H127" s="23"/>
      <c r="I127" s="23" t="s">
        <v>273</v>
      </c>
      <c r="J127" s="23" t="s">
        <v>106</v>
      </c>
      <c r="K127" s="26"/>
      <c r="L127" s="23"/>
      <c r="M127" s="23" t="s">
        <v>125</v>
      </c>
      <c r="N127" s="27" t="s">
        <v>89</v>
      </c>
      <c r="O127" s="23"/>
      <c r="P127" s="23" t="s">
        <v>90</v>
      </c>
    </row>
    <row r="128" customFormat="false" ht="15" hidden="false" customHeight="false" outlineLevel="0" collapsed="false">
      <c r="A128" s="6" t="n">
        <v>10</v>
      </c>
      <c r="B128" s="7" t="n">
        <v>45494</v>
      </c>
      <c r="C128" s="6" t="s">
        <v>189</v>
      </c>
      <c r="D128" s="10" t="n">
        <v>0.305555555555556</v>
      </c>
      <c r="E128" s="10" t="n">
        <v>0.319444444444444</v>
      </c>
      <c r="F128" s="6" t="n">
        <f aca="false">ROUND(MOD(E128-D128,1)*1440,0)</f>
        <v>20</v>
      </c>
      <c r="G128" s="6" t="s">
        <v>175</v>
      </c>
      <c r="H128" s="6"/>
      <c r="I128" s="6" t="s">
        <v>273</v>
      </c>
      <c r="J128" s="6" t="s">
        <v>87</v>
      </c>
      <c r="K128" s="8"/>
      <c r="L128" s="6" t="s">
        <v>280</v>
      </c>
      <c r="M128" s="6"/>
      <c r="N128" s="17" t="s">
        <v>89</v>
      </c>
      <c r="O128" s="6"/>
      <c r="P128" s="6" t="s">
        <v>90</v>
      </c>
    </row>
    <row r="129" customFormat="false" ht="22.35" hidden="false" customHeight="false" outlineLevel="0" collapsed="false">
      <c r="A129" s="18" t="n">
        <v>10</v>
      </c>
      <c r="B129" s="19" t="n">
        <v>45494</v>
      </c>
      <c r="C129" s="18" t="s">
        <v>189</v>
      </c>
      <c r="D129" s="20" t="n">
        <v>0.319444444444444</v>
      </c>
      <c r="E129" s="20" t="n">
        <v>0.326388888888889</v>
      </c>
      <c r="F129" s="18" t="n">
        <f aca="false">ROUND(MOD(E129-D129,1)*1440,0)</f>
        <v>10</v>
      </c>
      <c r="G129" s="18" t="s">
        <v>101</v>
      </c>
      <c r="H129" s="18" t="s">
        <v>273</v>
      </c>
      <c r="I129" s="18" t="s">
        <v>276</v>
      </c>
      <c r="J129" s="18" t="s">
        <v>103</v>
      </c>
      <c r="K129" s="21" t="n">
        <v>2</v>
      </c>
      <c r="L129" s="18" t="s">
        <v>281</v>
      </c>
      <c r="M129" s="18"/>
      <c r="N129" s="22" t="s">
        <v>30</v>
      </c>
      <c r="O129" s="18"/>
      <c r="P129" s="18" t="s">
        <v>90</v>
      </c>
    </row>
    <row r="130" customFormat="false" ht="22.35" hidden="false" customHeight="false" outlineLevel="0" collapsed="false">
      <c r="A130" s="6" t="n">
        <v>10</v>
      </c>
      <c r="B130" s="7" t="n">
        <v>45494</v>
      </c>
      <c r="C130" s="6" t="s">
        <v>189</v>
      </c>
      <c r="D130" s="10" t="n">
        <v>0.326388888888889</v>
      </c>
      <c r="E130" s="10" t="n">
        <v>0.361111111111111</v>
      </c>
      <c r="F130" s="6" t="n">
        <f aca="false">ROUND(MOD(E130-D130,1)*1440,0)</f>
        <v>50</v>
      </c>
      <c r="G130" s="6" t="s">
        <v>128</v>
      </c>
      <c r="H130" s="6"/>
      <c r="I130" s="6" t="s">
        <v>276</v>
      </c>
      <c r="J130" s="6" t="s">
        <v>87</v>
      </c>
      <c r="K130" s="8"/>
      <c r="L130" s="6" t="s">
        <v>282</v>
      </c>
      <c r="M130" s="6"/>
      <c r="N130" s="17" t="s">
        <v>89</v>
      </c>
      <c r="O130" s="6" t="s">
        <v>283</v>
      </c>
      <c r="P130" s="6" t="s">
        <v>90</v>
      </c>
    </row>
    <row r="131" customFormat="false" ht="22.35" hidden="false" customHeight="false" outlineLevel="0" collapsed="false">
      <c r="A131" s="18" t="n">
        <v>10</v>
      </c>
      <c r="B131" s="19" t="n">
        <v>45494</v>
      </c>
      <c r="C131" s="18" t="s">
        <v>189</v>
      </c>
      <c r="D131" s="20" t="n">
        <v>0.364583333333333</v>
      </c>
      <c r="E131" s="20" t="n">
        <v>0.378472222222222</v>
      </c>
      <c r="F131" s="18" t="n">
        <f aca="false">ROUND(MOD(E131-D131,1)*1440,0)</f>
        <v>20</v>
      </c>
      <c r="G131" s="18" t="s">
        <v>101</v>
      </c>
      <c r="H131" s="18" t="s">
        <v>276</v>
      </c>
      <c r="I131" s="18" t="s">
        <v>284</v>
      </c>
      <c r="J131" s="18" t="s">
        <v>103</v>
      </c>
      <c r="K131" s="21" t="n">
        <v>8</v>
      </c>
      <c r="L131" s="18" t="s">
        <v>285</v>
      </c>
      <c r="M131" s="18"/>
      <c r="N131" s="22" t="s">
        <v>30</v>
      </c>
      <c r="O131" s="18"/>
      <c r="P131" s="18" t="s">
        <v>90</v>
      </c>
    </row>
    <row r="132" customFormat="false" ht="22.35" hidden="false" customHeight="false" outlineLevel="0" collapsed="false">
      <c r="A132" s="6" t="n">
        <v>10</v>
      </c>
      <c r="B132" s="7" t="n">
        <v>45494</v>
      </c>
      <c r="C132" s="6" t="s">
        <v>189</v>
      </c>
      <c r="D132" s="10" t="n">
        <v>0.378472222222222</v>
      </c>
      <c r="E132" s="10" t="n">
        <v>0.427083333333333</v>
      </c>
      <c r="F132" s="6" t="n">
        <f aca="false">ROUND(MOD(E132-D132,1)*1440,0)</f>
        <v>70</v>
      </c>
      <c r="G132" s="6" t="s">
        <v>109</v>
      </c>
      <c r="H132" s="6"/>
      <c r="I132" s="6" t="s">
        <v>284</v>
      </c>
      <c r="J132" s="6" t="s">
        <v>87</v>
      </c>
      <c r="K132" s="8"/>
      <c r="L132" s="6" t="s">
        <v>286</v>
      </c>
      <c r="M132" s="6"/>
      <c r="N132" s="17" t="s">
        <v>89</v>
      </c>
      <c r="O132" s="6" t="s">
        <v>287</v>
      </c>
      <c r="P132" s="6" t="s">
        <v>90</v>
      </c>
    </row>
    <row r="133" customFormat="false" ht="22.35" hidden="false" customHeight="false" outlineLevel="0" collapsed="false">
      <c r="A133" s="18" t="n">
        <v>10</v>
      </c>
      <c r="B133" s="19" t="n">
        <v>45494</v>
      </c>
      <c r="C133" s="18" t="s">
        <v>189</v>
      </c>
      <c r="D133" s="20" t="n">
        <v>0.427083333333333</v>
      </c>
      <c r="E133" s="20" t="n">
        <v>0.53125</v>
      </c>
      <c r="F133" s="18" t="n">
        <f aca="false">ROUND(MOD(E133-D133,1)*1440,0)</f>
        <v>150</v>
      </c>
      <c r="G133" s="18" t="s">
        <v>101</v>
      </c>
      <c r="H133" s="18" t="s">
        <v>284</v>
      </c>
      <c r="I133" s="18" t="s">
        <v>288</v>
      </c>
      <c r="J133" s="18" t="s">
        <v>103</v>
      </c>
      <c r="K133" s="21" t="n">
        <v>190</v>
      </c>
      <c r="L133" s="18" t="s">
        <v>289</v>
      </c>
      <c r="M133" s="18"/>
      <c r="N133" s="22" t="s">
        <v>30</v>
      </c>
      <c r="O133" s="18"/>
      <c r="P133" s="18" t="s">
        <v>90</v>
      </c>
    </row>
    <row r="134" customFormat="false" ht="22.35" hidden="false" customHeight="false" outlineLevel="0" collapsed="false">
      <c r="A134" s="23" t="n">
        <v>10</v>
      </c>
      <c r="B134" s="24" t="n">
        <v>45494</v>
      </c>
      <c r="C134" s="23" t="s">
        <v>189</v>
      </c>
      <c r="D134" s="25" t="n">
        <v>0.53125</v>
      </c>
      <c r="E134" s="25" t="n">
        <v>0.572916666666667</v>
      </c>
      <c r="F134" s="23" t="n">
        <f aca="false">ROUND(MOD(E134-D134,1)*1440,0)</f>
        <v>60</v>
      </c>
      <c r="G134" s="23" t="s">
        <v>105</v>
      </c>
      <c r="H134" s="23"/>
      <c r="I134" s="23" t="s">
        <v>288</v>
      </c>
      <c r="J134" s="23" t="s">
        <v>106</v>
      </c>
      <c r="K134" s="26"/>
      <c r="L134" s="23"/>
      <c r="M134" s="23" t="s">
        <v>290</v>
      </c>
      <c r="N134" s="27" t="s">
        <v>89</v>
      </c>
      <c r="O134" s="23"/>
      <c r="P134" s="23" t="s">
        <v>90</v>
      </c>
    </row>
    <row r="135" customFormat="false" ht="22.35" hidden="false" customHeight="false" outlineLevel="0" collapsed="false">
      <c r="A135" s="6" t="n">
        <v>10</v>
      </c>
      <c r="B135" s="7" t="n">
        <v>45494</v>
      </c>
      <c r="C135" s="6" t="s">
        <v>189</v>
      </c>
      <c r="D135" s="10" t="n">
        <v>0.572916666666667</v>
      </c>
      <c r="E135" s="10" t="n">
        <v>0.645833333333333</v>
      </c>
      <c r="F135" s="6" t="n">
        <f aca="false">ROUND(MOD(E135-D135,1)*1440,0)</f>
        <v>105</v>
      </c>
      <c r="G135" s="6" t="s">
        <v>109</v>
      </c>
      <c r="H135" s="6"/>
      <c r="I135" s="6" t="s">
        <v>288</v>
      </c>
      <c r="J135" s="6" t="s">
        <v>87</v>
      </c>
      <c r="K135" s="8"/>
      <c r="L135" s="6" t="s">
        <v>291</v>
      </c>
      <c r="M135" s="6"/>
      <c r="N135" s="17" t="s">
        <v>89</v>
      </c>
      <c r="O135" s="6"/>
      <c r="P135" s="6" t="s">
        <v>90</v>
      </c>
    </row>
    <row r="136" customFormat="false" ht="43.25" hidden="false" customHeight="false" outlineLevel="0" collapsed="false">
      <c r="A136" s="18" t="n">
        <v>10</v>
      </c>
      <c r="B136" s="19" t="n">
        <v>45494</v>
      </c>
      <c r="C136" s="18" t="s">
        <v>189</v>
      </c>
      <c r="D136" s="20" t="n">
        <v>0.645833333333333</v>
      </c>
      <c r="E136" s="20" t="n">
        <v>0.833333333333333</v>
      </c>
      <c r="F136" s="18" t="n">
        <f aca="false">ROUND(MOD(E136-D136,1)*1440,0)</f>
        <v>270</v>
      </c>
      <c r="G136" s="18" t="s">
        <v>101</v>
      </c>
      <c r="H136" s="18" t="s">
        <v>288</v>
      </c>
      <c r="I136" s="18" t="s">
        <v>292</v>
      </c>
      <c r="J136" s="18" t="s">
        <v>103</v>
      </c>
      <c r="K136" s="21" t="n">
        <v>330</v>
      </c>
      <c r="L136" s="18" t="s">
        <v>293</v>
      </c>
      <c r="M136" s="18"/>
      <c r="N136" s="22" t="s">
        <v>30</v>
      </c>
      <c r="O136" s="18" t="s">
        <v>294</v>
      </c>
      <c r="P136" s="18" t="s">
        <v>90</v>
      </c>
    </row>
    <row r="137" customFormat="false" ht="15" hidden="false" customHeight="false" outlineLevel="0" collapsed="false">
      <c r="A137" s="6" t="n">
        <v>10</v>
      </c>
      <c r="B137" s="7" t="n">
        <v>45494</v>
      </c>
      <c r="C137" s="6" t="s">
        <v>189</v>
      </c>
      <c r="D137" s="10" t="n">
        <v>0.833333333333333</v>
      </c>
      <c r="E137" s="10" t="n">
        <v>0.854166666666667</v>
      </c>
      <c r="F137" s="6" t="n">
        <f aca="false">ROUND(MOD(E137-D137,1)*1440,0)</f>
        <v>30</v>
      </c>
      <c r="G137" s="6" t="s">
        <v>115</v>
      </c>
      <c r="H137" s="6"/>
      <c r="I137" s="6" t="s">
        <v>292</v>
      </c>
      <c r="J137" s="6" t="s">
        <v>87</v>
      </c>
      <c r="K137" s="8"/>
      <c r="L137" s="6" t="s">
        <v>246</v>
      </c>
      <c r="M137" s="6"/>
      <c r="N137" s="17" t="s">
        <v>89</v>
      </c>
      <c r="O137" s="6"/>
      <c r="P137" s="6" t="s">
        <v>90</v>
      </c>
    </row>
    <row r="138" customFormat="false" ht="22.35" hidden="false" customHeight="false" outlineLevel="0" collapsed="false">
      <c r="A138" s="23" t="n">
        <v>10</v>
      </c>
      <c r="B138" s="24" t="n">
        <v>45494</v>
      </c>
      <c r="C138" s="23" t="s">
        <v>189</v>
      </c>
      <c r="D138" s="25" t="n">
        <v>0.854166666666667</v>
      </c>
      <c r="E138" s="25" t="n">
        <v>0.895833333333333</v>
      </c>
      <c r="F138" s="23" t="n">
        <f aca="false">ROUND(MOD(E138-D138,1)*1440,0)</f>
        <v>60</v>
      </c>
      <c r="G138" s="23" t="s">
        <v>117</v>
      </c>
      <c r="H138" s="23"/>
      <c r="I138" s="23" t="s">
        <v>292</v>
      </c>
      <c r="J138" s="23" t="s">
        <v>106</v>
      </c>
      <c r="K138" s="26"/>
      <c r="L138" s="23"/>
      <c r="M138" s="23" t="s">
        <v>118</v>
      </c>
      <c r="N138" s="27" t="s">
        <v>89</v>
      </c>
      <c r="O138" s="23"/>
      <c r="P138" s="23" t="s">
        <v>90</v>
      </c>
    </row>
    <row r="139" customFormat="false" ht="35.05" hidden="false" customHeight="false" outlineLevel="0" collapsed="false">
      <c r="A139" s="15" t="n">
        <v>11</v>
      </c>
      <c r="B139" s="16" t="n">
        <v>45495</v>
      </c>
      <c r="C139" s="15" t="s">
        <v>189</v>
      </c>
      <c r="D139" s="15"/>
      <c r="E139" s="15"/>
      <c r="F139" s="15"/>
      <c r="G139" s="15" t="s">
        <v>295</v>
      </c>
      <c r="H139" s="15"/>
      <c r="I139" s="15" t="s">
        <v>53</v>
      </c>
      <c r="J139" s="15"/>
      <c r="K139" s="15"/>
      <c r="L139" s="15" t="s">
        <v>296</v>
      </c>
      <c r="M139" s="15"/>
      <c r="N139" s="15"/>
      <c r="O139" s="15"/>
      <c r="P139" s="15"/>
    </row>
    <row r="140" customFormat="false" ht="22.35" hidden="false" customHeight="false" outlineLevel="0" collapsed="false">
      <c r="A140" s="6" t="n">
        <v>11</v>
      </c>
      <c r="B140" s="7" t="n">
        <v>45495</v>
      </c>
      <c r="C140" s="6" t="s">
        <v>189</v>
      </c>
      <c r="D140" s="10" t="n">
        <v>0.270833333333333</v>
      </c>
      <c r="E140" s="10" t="n">
        <v>0.302083333333333</v>
      </c>
      <c r="F140" s="6" t="n">
        <f aca="false">ROUND(MOD(E140-D140,1)*1440,0)</f>
        <v>45</v>
      </c>
      <c r="G140" s="6" t="s">
        <v>122</v>
      </c>
      <c r="H140" s="6"/>
      <c r="I140" s="6" t="s">
        <v>292</v>
      </c>
      <c r="J140" s="6" t="s">
        <v>87</v>
      </c>
      <c r="K140" s="8"/>
      <c r="L140" s="6" t="s">
        <v>297</v>
      </c>
      <c r="M140" s="6"/>
      <c r="N140" s="17" t="s">
        <v>89</v>
      </c>
      <c r="O140" s="6"/>
      <c r="P140" s="6" t="s">
        <v>90</v>
      </c>
    </row>
    <row r="141" customFormat="false" ht="15" hidden="false" customHeight="false" outlineLevel="0" collapsed="false">
      <c r="A141" s="23" t="n">
        <v>11</v>
      </c>
      <c r="B141" s="24" t="n">
        <v>45495</v>
      </c>
      <c r="C141" s="23" t="s">
        <v>189</v>
      </c>
      <c r="D141" s="25" t="n">
        <v>0.302083333333333</v>
      </c>
      <c r="E141" s="25" t="n">
        <v>0.333333333333333</v>
      </c>
      <c r="F141" s="23" t="n">
        <f aca="false">ROUND(MOD(E141-D141,1)*1440,0)</f>
        <v>45</v>
      </c>
      <c r="G141" s="23" t="s">
        <v>124</v>
      </c>
      <c r="H141" s="23"/>
      <c r="I141" s="23" t="s">
        <v>292</v>
      </c>
      <c r="J141" s="23" t="s">
        <v>106</v>
      </c>
      <c r="K141" s="26"/>
      <c r="L141" s="23"/>
      <c r="M141" s="23" t="s">
        <v>125</v>
      </c>
      <c r="N141" s="27" t="s">
        <v>89</v>
      </c>
      <c r="O141" s="23"/>
      <c r="P141" s="23" t="s">
        <v>90</v>
      </c>
    </row>
    <row r="142" customFormat="false" ht="15" hidden="false" customHeight="false" outlineLevel="0" collapsed="false">
      <c r="A142" s="6" t="n">
        <v>11</v>
      </c>
      <c r="B142" s="7" t="n">
        <v>45495</v>
      </c>
      <c r="C142" s="6" t="s">
        <v>189</v>
      </c>
      <c r="D142" s="10" t="n">
        <v>0.333333333333333</v>
      </c>
      <c r="E142" s="10" t="n">
        <v>0.347222222222222</v>
      </c>
      <c r="F142" s="6" t="n">
        <f aca="false">ROUND(MOD(E142-D142,1)*1440,0)</f>
        <v>20</v>
      </c>
      <c r="G142" s="6" t="s">
        <v>175</v>
      </c>
      <c r="H142" s="6"/>
      <c r="I142" s="6" t="s">
        <v>292</v>
      </c>
      <c r="J142" s="6" t="s">
        <v>87</v>
      </c>
      <c r="K142" s="8"/>
      <c r="L142" s="6" t="s">
        <v>280</v>
      </c>
      <c r="M142" s="6"/>
      <c r="N142" s="17" t="s">
        <v>89</v>
      </c>
      <c r="O142" s="6"/>
      <c r="P142" s="6" t="s">
        <v>90</v>
      </c>
    </row>
    <row r="143" customFormat="false" ht="32.8" hidden="false" customHeight="false" outlineLevel="0" collapsed="false">
      <c r="A143" s="6" t="n">
        <v>11</v>
      </c>
      <c r="B143" s="7" t="n">
        <v>45495</v>
      </c>
      <c r="C143" s="6" t="s">
        <v>189</v>
      </c>
      <c r="D143" s="10" t="n">
        <v>0.354166666666667</v>
      </c>
      <c r="E143" s="10" t="n">
        <v>0.427083333333333</v>
      </c>
      <c r="F143" s="6" t="n">
        <f aca="false">ROUND(MOD(E143-D143,1)*1440,0)</f>
        <v>105</v>
      </c>
      <c r="G143" s="6" t="s">
        <v>128</v>
      </c>
      <c r="H143" s="6"/>
      <c r="I143" s="6" t="s">
        <v>298</v>
      </c>
      <c r="J143" s="6" t="s">
        <v>87</v>
      </c>
      <c r="K143" s="8"/>
      <c r="L143" s="6" t="s">
        <v>299</v>
      </c>
      <c r="M143" s="6"/>
      <c r="N143" s="17" t="s">
        <v>89</v>
      </c>
      <c r="O143" s="6"/>
      <c r="P143" s="6" t="s">
        <v>90</v>
      </c>
    </row>
    <row r="144" customFormat="false" ht="22.35" hidden="false" customHeight="false" outlineLevel="0" collapsed="false">
      <c r="A144" s="18" t="n">
        <v>11</v>
      </c>
      <c r="B144" s="19" t="n">
        <v>45495</v>
      </c>
      <c r="C144" s="18" t="s">
        <v>189</v>
      </c>
      <c r="D144" s="20" t="n">
        <v>0.427083333333333</v>
      </c>
      <c r="E144" s="20" t="n">
        <v>0.479166666666667</v>
      </c>
      <c r="F144" s="18" t="n">
        <f aca="false">ROUND(MOD(E144-D144,1)*1440,0)</f>
        <v>75</v>
      </c>
      <c r="G144" s="18" t="s">
        <v>101</v>
      </c>
      <c r="H144" s="18" t="s">
        <v>298</v>
      </c>
      <c r="I144" s="18" t="s">
        <v>300</v>
      </c>
      <c r="J144" s="18" t="s">
        <v>103</v>
      </c>
      <c r="K144" s="21" t="n">
        <v>70</v>
      </c>
      <c r="L144" s="18" t="s">
        <v>301</v>
      </c>
      <c r="M144" s="18"/>
      <c r="N144" s="22" t="s">
        <v>30</v>
      </c>
      <c r="O144" s="18"/>
      <c r="P144" s="18" t="s">
        <v>90</v>
      </c>
    </row>
    <row r="145" customFormat="false" ht="22.35" hidden="false" customHeight="false" outlineLevel="0" collapsed="false">
      <c r="A145" s="6" t="n">
        <v>11</v>
      </c>
      <c r="B145" s="7" t="n">
        <v>45495</v>
      </c>
      <c r="C145" s="6" t="s">
        <v>189</v>
      </c>
      <c r="D145" s="10" t="n">
        <v>0.479166666666667</v>
      </c>
      <c r="E145" s="10" t="n">
        <v>0.53125</v>
      </c>
      <c r="F145" s="6" t="n">
        <f aca="false">ROUND(MOD(E145-D145,1)*1440,0)</f>
        <v>75</v>
      </c>
      <c r="G145" s="6" t="s">
        <v>128</v>
      </c>
      <c r="H145" s="6"/>
      <c r="I145" s="6" t="s">
        <v>300</v>
      </c>
      <c r="J145" s="6" t="s">
        <v>87</v>
      </c>
      <c r="K145" s="8"/>
      <c r="L145" s="6" t="s">
        <v>302</v>
      </c>
      <c r="M145" s="6"/>
      <c r="N145" s="17" t="s">
        <v>89</v>
      </c>
      <c r="O145" s="6"/>
      <c r="P145" s="6" t="s">
        <v>90</v>
      </c>
    </row>
    <row r="146" customFormat="false" ht="22.35" hidden="false" customHeight="false" outlineLevel="0" collapsed="false">
      <c r="A146" s="23" t="n">
        <v>11</v>
      </c>
      <c r="B146" s="24" t="n">
        <v>45495</v>
      </c>
      <c r="C146" s="23" t="s">
        <v>189</v>
      </c>
      <c r="D146" s="25" t="n">
        <v>0.53125</v>
      </c>
      <c r="E146" s="25" t="n">
        <v>0.572916666666667</v>
      </c>
      <c r="F146" s="23" t="n">
        <f aca="false">ROUND(MOD(E146-D146,1)*1440,0)</f>
        <v>60</v>
      </c>
      <c r="G146" s="23" t="s">
        <v>105</v>
      </c>
      <c r="H146" s="23"/>
      <c r="I146" s="23" t="s">
        <v>303</v>
      </c>
      <c r="J146" s="23" t="s">
        <v>106</v>
      </c>
      <c r="K146" s="26"/>
      <c r="L146" s="23"/>
      <c r="M146" s="23" t="s">
        <v>304</v>
      </c>
      <c r="N146" s="27" t="s">
        <v>89</v>
      </c>
      <c r="O146" s="23"/>
      <c r="P146" s="23" t="s">
        <v>90</v>
      </c>
    </row>
    <row r="147" customFormat="false" ht="22.35" hidden="false" customHeight="false" outlineLevel="0" collapsed="false">
      <c r="A147" s="18" t="n">
        <v>11</v>
      </c>
      <c r="B147" s="19" t="n">
        <v>45495</v>
      </c>
      <c r="C147" s="18" t="s">
        <v>189</v>
      </c>
      <c r="D147" s="20" t="n">
        <v>0.572916666666667</v>
      </c>
      <c r="E147" s="20" t="n">
        <v>0.611111111111111</v>
      </c>
      <c r="F147" s="18" t="n">
        <f aca="false">ROUND(MOD(E147-D147,1)*1440,0)</f>
        <v>55</v>
      </c>
      <c r="G147" s="18" t="s">
        <v>101</v>
      </c>
      <c r="H147" s="18" t="s">
        <v>300</v>
      </c>
      <c r="I147" s="18" t="s">
        <v>305</v>
      </c>
      <c r="J147" s="18" t="s">
        <v>103</v>
      </c>
      <c r="K147" s="21" t="n">
        <v>50</v>
      </c>
      <c r="L147" s="18" t="s">
        <v>306</v>
      </c>
      <c r="M147" s="18"/>
      <c r="N147" s="22" t="s">
        <v>30</v>
      </c>
      <c r="O147" s="18"/>
      <c r="P147" s="18" t="s">
        <v>90</v>
      </c>
    </row>
    <row r="148" customFormat="false" ht="22.35" hidden="false" customHeight="false" outlineLevel="0" collapsed="false">
      <c r="A148" s="6" t="n">
        <v>11</v>
      </c>
      <c r="B148" s="7" t="n">
        <v>45495</v>
      </c>
      <c r="C148" s="6" t="s">
        <v>189</v>
      </c>
      <c r="D148" s="10" t="n">
        <v>0.611111111111111</v>
      </c>
      <c r="E148" s="10" t="n">
        <v>0.677083333333333</v>
      </c>
      <c r="F148" s="6" t="n">
        <f aca="false">ROUND(MOD(E148-D148,1)*1440,0)</f>
        <v>95</v>
      </c>
      <c r="G148" s="6" t="s">
        <v>128</v>
      </c>
      <c r="H148" s="6"/>
      <c r="I148" s="6" t="s">
        <v>305</v>
      </c>
      <c r="J148" s="6" t="s">
        <v>87</v>
      </c>
      <c r="K148" s="8"/>
      <c r="L148" s="6" t="s">
        <v>307</v>
      </c>
      <c r="M148" s="6"/>
      <c r="N148" s="17" t="s">
        <v>89</v>
      </c>
      <c r="O148" s="6"/>
      <c r="P148" s="6" t="s">
        <v>90</v>
      </c>
    </row>
    <row r="149" customFormat="false" ht="32.8" hidden="false" customHeight="false" outlineLevel="0" collapsed="false">
      <c r="A149" s="18" t="n">
        <v>11</v>
      </c>
      <c r="B149" s="19" t="n">
        <v>45495</v>
      </c>
      <c r="C149" s="18" t="s">
        <v>189</v>
      </c>
      <c r="D149" s="20" t="n">
        <v>0.677083333333333</v>
      </c>
      <c r="E149" s="20" t="n">
        <v>0.690972222222222</v>
      </c>
      <c r="F149" s="18" t="n">
        <f aca="false">ROUND(MOD(E149-D149,1)*1440,0)</f>
        <v>20</v>
      </c>
      <c r="G149" s="18" t="s">
        <v>101</v>
      </c>
      <c r="H149" s="18" t="s">
        <v>305</v>
      </c>
      <c r="I149" s="18" t="s">
        <v>308</v>
      </c>
      <c r="J149" s="18" t="s">
        <v>103</v>
      </c>
      <c r="K149" s="21" t="n">
        <v>3</v>
      </c>
      <c r="L149" s="18" t="s">
        <v>309</v>
      </c>
      <c r="M149" s="18"/>
      <c r="N149" s="22" t="s">
        <v>30</v>
      </c>
      <c r="O149" s="18"/>
      <c r="P149" s="18" t="s">
        <v>90</v>
      </c>
    </row>
    <row r="150" customFormat="false" ht="22.35" hidden="false" customHeight="false" outlineLevel="0" collapsed="false">
      <c r="A150" s="6" t="n">
        <v>11</v>
      </c>
      <c r="B150" s="7" t="n">
        <v>45495</v>
      </c>
      <c r="C150" s="6" t="s">
        <v>189</v>
      </c>
      <c r="D150" s="10" t="n">
        <v>0.690972222222222</v>
      </c>
      <c r="E150" s="10" t="n">
        <v>0.770833333333333</v>
      </c>
      <c r="F150" s="6" t="n">
        <f aca="false">ROUND(MOD(E150-D150,1)*1440,0)</f>
        <v>115</v>
      </c>
      <c r="G150" s="6" t="s">
        <v>109</v>
      </c>
      <c r="H150" s="6"/>
      <c r="I150" s="6" t="s">
        <v>308</v>
      </c>
      <c r="J150" s="6" t="s">
        <v>87</v>
      </c>
      <c r="K150" s="8"/>
      <c r="L150" s="6" t="s">
        <v>310</v>
      </c>
      <c r="M150" s="6"/>
      <c r="N150" s="17" t="s">
        <v>89</v>
      </c>
      <c r="O150" s="6"/>
      <c r="P150" s="6" t="s">
        <v>90</v>
      </c>
    </row>
    <row r="151" customFormat="false" ht="22.35" hidden="false" customHeight="false" outlineLevel="0" collapsed="false">
      <c r="A151" s="18" t="n">
        <v>11</v>
      </c>
      <c r="B151" s="19" t="n">
        <v>45495</v>
      </c>
      <c r="C151" s="18" t="s">
        <v>189</v>
      </c>
      <c r="D151" s="20" t="n">
        <v>0.770833333333333</v>
      </c>
      <c r="E151" s="20" t="n">
        <v>0.78125</v>
      </c>
      <c r="F151" s="18" t="n">
        <f aca="false">ROUND(MOD(E151-D151,1)*1440,0)</f>
        <v>15</v>
      </c>
      <c r="G151" s="18" t="s">
        <v>101</v>
      </c>
      <c r="H151" s="18" t="s">
        <v>308</v>
      </c>
      <c r="I151" s="18" t="s">
        <v>311</v>
      </c>
      <c r="J151" s="18" t="s">
        <v>103</v>
      </c>
      <c r="K151" s="21" t="n">
        <v>4</v>
      </c>
      <c r="L151" s="18" t="s">
        <v>312</v>
      </c>
      <c r="M151" s="18"/>
      <c r="N151" s="22" t="s">
        <v>30</v>
      </c>
      <c r="O151" s="18"/>
      <c r="P151" s="18" t="s">
        <v>90</v>
      </c>
    </row>
    <row r="152" customFormat="false" ht="15" hidden="false" customHeight="false" outlineLevel="0" collapsed="false">
      <c r="A152" s="6" t="n">
        <v>11</v>
      </c>
      <c r="B152" s="7" t="n">
        <v>45495</v>
      </c>
      <c r="C152" s="6" t="s">
        <v>189</v>
      </c>
      <c r="D152" s="10" t="n">
        <v>0.78125</v>
      </c>
      <c r="E152" s="10" t="n">
        <v>0.802083333333333</v>
      </c>
      <c r="F152" s="6" t="n">
        <f aca="false">ROUND(MOD(E152-D152,1)*1440,0)</f>
        <v>30</v>
      </c>
      <c r="G152" s="6" t="s">
        <v>115</v>
      </c>
      <c r="H152" s="6"/>
      <c r="I152" s="6" t="s">
        <v>311</v>
      </c>
      <c r="J152" s="6" t="s">
        <v>87</v>
      </c>
      <c r="K152" s="8"/>
      <c r="L152" s="6" t="s">
        <v>246</v>
      </c>
      <c r="M152" s="6"/>
      <c r="N152" s="17" t="s">
        <v>89</v>
      </c>
      <c r="O152" s="6"/>
      <c r="P152" s="6" t="s">
        <v>90</v>
      </c>
    </row>
    <row r="153" customFormat="false" ht="22.35" hidden="false" customHeight="false" outlineLevel="0" collapsed="false">
      <c r="A153" s="23" t="n">
        <v>11</v>
      </c>
      <c r="B153" s="24" t="n">
        <v>45495</v>
      </c>
      <c r="C153" s="23" t="s">
        <v>189</v>
      </c>
      <c r="D153" s="25" t="n">
        <v>0.8125</v>
      </c>
      <c r="E153" s="25" t="n">
        <v>0.854166666666667</v>
      </c>
      <c r="F153" s="23" t="n">
        <f aca="false">ROUND(MOD(E153-D153,1)*1440,0)</f>
        <v>60</v>
      </c>
      <c r="G153" s="23" t="s">
        <v>117</v>
      </c>
      <c r="H153" s="23"/>
      <c r="I153" s="23" t="s">
        <v>311</v>
      </c>
      <c r="J153" s="23" t="s">
        <v>106</v>
      </c>
      <c r="K153" s="26"/>
      <c r="L153" s="23"/>
      <c r="M153" s="23" t="s">
        <v>118</v>
      </c>
      <c r="N153" s="27" t="s">
        <v>89</v>
      </c>
      <c r="O153" s="23"/>
      <c r="P153" s="23" t="s">
        <v>90</v>
      </c>
    </row>
    <row r="154" customFormat="false" ht="35.05" hidden="false" customHeight="false" outlineLevel="0" collapsed="false">
      <c r="A154" s="15" t="n">
        <v>12</v>
      </c>
      <c r="B154" s="16" t="n">
        <v>45496</v>
      </c>
      <c r="C154" s="15" t="s">
        <v>189</v>
      </c>
      <c r="D154" s="15"/>
      <c r="E154" s="15"/>
      <c r="F154" s="15"/>
      <c r="G154" s="15" t="s">
        <v>313</v>
      </c>
      <c r="H154" s="15"/>
      <c r="I154" s="15" t="s">
        <v>55</v>
      </c>
      <c r="J154" s="15"/>
      <c r="K154" s="15"/>
      <c r="L154" s="15" t="s">
        <v>314</v>
      </c>
      <c r="M154" s="15"/>
      <c r="N154" s="15"/>
      <c r="O154" s="15"/>
      <c r="P154" s="15"/>
    </row>
    <row r="155" customFormat="false" ht="15" hidden="false" customHeight="false" outlineLevel="0" collapsed="false">
      <c r="A155" s="23" t="n">
        <v>12</v>
      </c>
      <c r="B155" s="24" t="n">
        <v>45496</v>
      </c>
      <c r="C155" s="23" t="s">
        <v>189</v>
      </c>
      <c r="D155" s="25" t="n">
        <v>0.260416666666667</v>
      </c>
      <c r="E155" s="25" t="n">
        <v>0.291666666666667</v>
      </c>
      <c r="F155" s="23" t="n">
        <f aca="false">ROUND(MOD(E155-D155,1)*1440,0)</f>
        <v>45</v>
      </c>
      <c r="G155" s="23" t="s">
        <v>124</v>
      </c>
      <c r="H155" s="23"/>
      <c r="I155" s="23" t="s">
        <v>311</v>
      </c>
      <c r="J155" s="23" t="s">
        <v>106</v>
      </c>
      <c r="K155" s="26"/>
      <c r="L155" s="23" t="s">
        <v>315</v>
      </c>
      <c r="M155" s="23" t="s">
        <v>125</v>
      </c>
      <c r="N155" s="27" t="s">
        <v>89</v>
      </c>
      <c r="O155" s="23"/>
      <c r="P155" s="23" t="s">
        <v>90</v>
      </c>
    </row>
    <row r="156" customFormat="false" ht="15" hidden="false" customHeight="false" outlineLevel="0" collapsed="false">
      <c r="A156" s="6" t="n">
        <v>12</v>
      </c>
      <c r="B156" s="7" t="n">
        <v>45496</v>
      </c>
      <c r="C156" s="6" t="s">
        <v>189</v>
      </c>
      <c r="D156" s="10" t="n">
        <v>0.291666666666667</v>
      </c>
      <c r="E156" s="10" t="n">
        <v>0.305555555555556</v>
      </c>
      <c r="F156" s="6" t="n">
        <f aca="false">ROUND(MOD(E156-D156,1)*1440,0)</f>
        <v>20</v>
      </c>
      <c r="G156" s="6" t="s">
        <v>175</v>
      </c>
      <c r="H156" s="6"/>
      <c r="I156" s="6" t="s">
        <v>311</v>
      </c>
      <c r="J156" s="6" t="s">
        <v>87</v>
      </c>
      <c r="K156" s="8"/>
      <c r="L156" s="6" t="s">
        <v>280</v>
      </c>
      <c r="M156" s="6"/>
      <c r="N156" s="17" t="s">
        <v>89</v>
      </c>
      <c r="O156" s="6"/>
      <c r="P156" s="6" t="s">
        <v>90</v>
      </c>
    </row>
    <row r="157" customFormat="false" ht="15" hidden="false" customHeight="false" outlineLevel="0" collapsed="false">
      <c r="A157" s="18" t="n">
        <v>12</v>
      </c>
      <c r="B157" s="19" t="n">
        <v>45496</v>
      </c>
      <c r="C157" s="18" t="s">
        <v>189</v>
      </c>
      <c r="D157" s="20" t="n">
        <v>0.305555555555556</v>
      </c>
      <c r="E157" s="20" t="n">
        <v>0.361111111111111</v>
      </c>
      <c r="F157" s="18" t="n">
        <f aca="false">ROUND(MOD(E157-D157,1)*1440,0)</f>
        <v>80</v>
      </c>
      <c r="G157" s="18" t="s">
        <v>101</v>
      </c>
      <c r="H157" s="18" t="s">
        <v>311</v>
      </c>
      <c r="I157" s="18" t="s">
        <v>316</v>
      </c>
      <c r="J157" s="18" t="s">
        <v>103</v>
      </c>
      <c r="K157" s="21" t="n">
        <v>85</v>
      </c>
      <c r="L157" s="18" t="s">
        <v>317</v>
      </c>
      <c r="M157" s="18"/>
      <c r="N157" s="22" t="s">
        <v>30</v>
      </c>
      <c r="O157" s="18"/>
      <c r="P157" s="18" t="s">
        <v>90</v>
      </c>
    </row>
    <row r="158" customFormat="false" ht="43.25" hidden="false" customHeight="false" outlineLevel="0" collapsed="false">
      <c r="A158" s="6" t="n">
        <v>12</v>
      </c>
      <c r="B158" s="7" t="n">
        <v>45496</v>
      </c>
      <c r="C158" s="6" t="s">
        <v>189</v>
      </c>
      <c r="D158" s="10" t="n">
        <v>0.364583333333333</v>
      </c>
      <c r="E158" s="10" t="n">
        <v>0.5</v>
      </c>
      <c r="F158" s="6" t="n">
        <f aca="false">ROUND(MOD(E158-D158,1)*1440,0)</f>
        <v>195</v>
      </c>
      <c r="G158" s="6" t="s">
        <v>318</v>
      </c>
      <c r="H158" s="6"/>
      <c r="I158" s="6" t="s">
        <v>316</v>
      </c>
      <c r="J158" s="6" t="s">
        <v>319</v>
      </c>
      <c r="K158" s="8"/>
      <c r="L158" s="6" t="s">
        <v>320</v>
      </c>
      <c r="M158" s="6"/>
      <c r="N158" s="17" t="s">
        <v>89</v>
      </c>
      <c r="O158" s="6" t="s">
        <v>321</v>
      </c>
      <c r="P158" s="6" t="s">
        <v>90</v>
      </c>
    </row>
    <row r="159" customFormat="false" ht="32.8" hidden="false" customHeight="false" outlineLevel="0" collapsed="false">
      <c r="A159" s="23" t="n">
        <v>12</v>
      </c>
      <c r="B159" s="24" t="n">
        <v>45496</v>
      </c>
      <c r="C159" s="23" t="s">
        <v>189</v>
      </c>
      <c r="D159" s="25" t="n">
        <v>0.5</v>
      </c>
      <c r="E159" s="25" t="n">
        <v>0.541666666666667</v>
      </c>
      <c r="F159" s="23" t="n">
        <f aca="false">ROUND(MOD(E159-D159,1)*1440,0)</f>
        <v>60</v>
      </c>
      <c r="G159" s="23" t="s">
        <v>105</v>
      </c>
      <c r="H159" s="23"/>
      <c r="I159" s="23" t="s">
        <v>322</v>
      </c>
      <c r="J159" s="23" t="s">
        <v>106</v>
      </c>
      <c r="K159" s="26"/>
      <c r="L159" s="23"/>
      <c r="M159" s="23" t="s">
        <v>323</v>
      </c>
      <c r="N159" s="27" t="s">
        <v>89</v>
      </c>
      <c r="O159" s="23"/>
      <c r="P159" s="23" t="s">
        <v>90</v>
      </c>
    </row>
    <row r="160" customFormat="false" ht="15" hidden="false" customHeight="false" outlineLevel="0" collapsed="false">
      <c r="A160" s="6" t="n">
        <v>12</v>
      </c>
      <c r="B160" s="7" t="n">
        <v>45496</v>
      </c>
      <c r="C160" s="6" t="s">
        <v>189</v>
      </c>
      <c r="D160" s="10" t="n">
        <v>0.541666666666667</v>
      </c>
      <c r="E160" s="10" t="n">
        <v>0.572916666666667</v>
      </c>
      <c r="F160" s="6" t="n">
        <f aca="false">ROUND(MOD(E160-D160,1)*1440,0)</f>
        <v>45</v>
      </c>
      <c r="G160" s="6" t="s">
        <v>324</v>
      </c>
      <c r="H160" s="6"/>
      <c r="I160" s="6" t="s">
        <v>316</v>
      </c>
      <c r="J160" s="6" t="s">
        <v>319</v>
      </c>
      <c r="K160" s="8"/>
      <c r="L160" s="6" t="s">
        <v>325</v>
      </c>
      <c r="M160" s="6"/>
      <c r="N160" s="17" t="s">
        <v>89</v>
      </c>
      <c r="O160" s="6"/>
      <c r="P160" s="6" t="s">
        <v>90</v>
      </c>
    </row>
    <row r="161" customFormat="false" ht="22.35" hidden="false" customHeight="false" outlineLevel="0" collapsed="false">
      <c r="A161" s="18" t="n">
        <v>12</v>
      </c>
      <c r="B161" s="19" t="n">
        <v>45496</v>
      </c>
      <c r="C161" s="18" t="s">
        <v>189</v>
      </c>
      <c r="D161" s="20" t="n">
        <v>0.572916666666667</v>
      </c>
      <c r="E161" s="20" t="n">
        <v>0.604166666666667</v>
      </c>
      <c r="F161" s="18" t="n">
        <f aca="false">ROUND(MOD(E161-D161,1)*1440,0)</f>
        <v>45</v>
      </c>
      <c r="G161" s="18" t="s">
        <v>101</v>
      </c>
      <c r="H161" s="18" t="s">
        <v>316</v>
      </c>
      <c r="I161" s="18" t="s">
        <v>326</v>
      </c>
      <c r="J161" s="18" t="s">
        <v>103</v>
      </c>
      <c r="K161" s="21" t="n">
        <v>35</v>
      </c>
      <c r="L161" s="18" t="s">
        <v>327</v>
      </c>
      <c r="M161" s="18"/>
      <c r="N161" s="22" t="s">
        <v>30</v>
      </c>
      <c r="O161" s="18"/>
      <c r="P161" s="18" t="s">
        <v>90</v>
      </c>
    </row>
    <row r="162" customFormat="false" ht="22.35" hidden="false" customHeight="false" outlineLevel="0" collapsed="false">
      <c r="A162" s="6" t="n">
        <v>12</v>
      </c>
      <c r="B162" s="7" t="n">
        <v>45496</v>
      </c>
      <c r="C162" s="6" t="s">
        <v>189</v>
      </c>
      <c r="D162" s="10" t="n">
        <v>0.604166666666667</v>
      </c>
      <c r="E162" s="10" t="n">
        <v>0.625</v>
      </c>
      <c r="F162" s="6" t="n">
        <f aca="false">ROUND(MOD(E162-D162,1)*1440,0)</f>
        <v>30</v>
      </c>
      <c r="G162" s="6" t="s">
        <v>128</v>
      </c>
      <c r="H162" s="6"/>
      <c r="I162" s="6" t="s">
        <v>326</v>
      </c>
      <c r="J162" s="6" t="s">
        <v>87</v>
      </c>
      <c r="K162" s="8"/>
      <c r="L162" s="6" t="s">
        <v>328</v>
      </c>
      <c r="M162" s="6"/>
      <c r="N162" s="17" t="s">
        <v>89</v>
      </c>
      <c r="O162" s="6"/>
      <c r="P162" s="6" t="s">
        <v>90</v>
      </c>
    </row>
    <row r="163" customFormat="false" ht="22.35" hidden="false" customHeight="false" outlineLevel="0" collapsed="false">
      <c r="A163" s="6" t="n">
        <v>12</v>
      </c>
      <c r="B163" s="7" t="n">
        <v>45496</v>
      </c>
      <c r="C163" s="6" t="s">
        <v>189</v>
      </c>
      <c r="D163" s="10" t="n">
        <v>0.625</v>
      </c>
      <c r="E163" s="10" t="n">
        <v>0.65625</v>
      </c>
      <c r="F163" s="6" t="n">
        <f aca="false">ROUND(MOD(E163-D163,1)*1440,0)</f>
        <v>45</v>
      </c>
      <c r="G163" s="6" t="s">
        <v>128</v>
      </c>
      <c r="H163" s="6"/>
      <c r="I163" s="6" t="s">
        <v>329</v>
      </c>
      <c r="J163" s="6" t="s">
        <v>87</v>
      </c>
      <c r="K163" s="8"/>
      <c r="L163" s="6" t="s">
        <v>330</v>
      </c>
      <c r="M163" s="6"/>
      <c r="N163" s="17" t="s">
        <v>89</v>
      </c>
      <c r="O163" s="6"/>
      <c r="P163" s="6" t="s">
        <v>90</v>
      </c>
    </row>
    <row r="164" customFormat="false" ht="15" hidden="false" customHeight="false" outlineLevel="0" collapsed="false">
      <c r="A164" s="6" t="n">
        <v>12</v>
      </c>
      <c r="B164" s="7" t="n">
        <v>45496</v>
      </c>
      <c r="C164" s="6" t="s">
        <v>189</v>
      </c>
      <c r="D164" s="10" t="n">
        <v>0.666666666666667</v>
      </c>
      <c r="E164" s="10" t="n">
        <v>0.708333333333333</v>
      </c>
      <c r="F164" s="6" t="n">
        <f aca="false">ROUND(MOD(E164-D164,1)*1440,0)</f>
        <v>60</v>
      </c>
      <c r="G164" s="6" t="s">
        <v>195</v>
      </c>
      <c r="H164" s="6"/>
      <c r="I164" s="6" t="s">
        <v>331</v>
      </c>
      <c r="J164" s="6" t="s">
        <v>155</v>
      </c>
      <c r="K164" s="8"/>
      <c r="L164" s="6" t="s">
        <v>332</v>
      </c>
      <c r="M164" s="6"/>
      <c r="N164" s="17" t="s">
        <v>89</v>
      </c>
      <c r="O164" s="6"/>
      <c r="P164" s="6" t="s">
        <v>90</v>
      </c>
    </row>
    <row r="165" customFormat="false" ht="32.8" hidden="false" customHeight="false" outlineLevel="0" collapsed="false">
      <c r="A165" s="18" t="n">
        <v>12</v>
      </c>
      <c r="B165" s="19" t="n">
        <v>45496</v>
      </c>
      <c r="C165" s="18" t="s">
        <v>189</v>
      </c>
      <c r="D165" s="20" t="n">
        <v>0.732638888888889</v>
      </c>
      <c r="E165" s="20" t="n">
        <v>0.809027777777778</v>
      </c>
      <c r="F165" s="18" t="n">
        <f aca="false">ROUND(MOD(E165-D165,1)*1440,0)</f>
        <v>110</v>
      </c>
      <c r="G165" s="18" t="s">
        <v>333</v>
      </c>
      <c r="H165" s="18" t="s">
        <v>334</v>
      </c>
      <c r="I165" s="18" t="s">
        <v>335</v>
      </c>
      <c r="J165" s="18" t="s">
        <v>336</v>
      </c>
      <c r="K165" s="21" t="n">
        <v>75</v>
      </c>
      <c r="L165" s="18" t="s">
        <v>337</v>
      </c>
      <c r="M165" s="18"/>
      <c r="N165" s="22" t="s">
        <v>30</v>
      </c>
      <c r="O165" s="18" t="s">
        <v>338</v>
      </c>
      <c r="P165" s="18" t="s">
        <v>90</v>
      </c>
    </row>
    <row r="166" customFormat="false" ht="15" hidden="false" customHeight="false" outlineLevel="0" collapsed="false">
      <c r="A166" s="6" t="n">
        <v>12</v>
      </c>
      <c r="B166" s="7" t="n">
        <v>45496</v>
      </c>
      <c r="C166" s="6" t="s">
        <v>189</v>
      </c>
      <c r="D166" s="10" t="n">
        <v>0.809027777777778</v>
      </c>
      <c r="E166" s="10" t="n">
        <v>0.826388888888889</v>
      </c>
      <c r="F166" s="6" t="n">
        <f aca="false">ROUND(MOD(E166-D166,1)*1440,0)</f>
        <v>25</v>
      </c>
      <c r="G166" s="6" t="s">
        <v>115</v>
      </c>
      <c r="H166" s="6"/>
      <c r="I166" s="6" t="s">
        <v>339</v>
      </c>
      <c r="J166" s="6" t="s">
        <v>87</v>
      </c>
      <c r="K166" s="8"/>
      <c r="L166" s="6" t="s">
        <v>340</v>
      </c>
      <c r="M166" s="6"/>
      <c r="N166" s="17" t="s">
        <v>89</v>
      </c>
      <c r="O166" s="6"/>
      <c r="P166" s="6" t="s">
        <v>90</v>
      </c>
    </row>
    <row r="167" customFormat="false" ht="22.35" hidden="false" customHeight="false" outlineLevel="0" collapsed="false">
      <c r="A167" s="23" t="n">
        <v>12</v>
      </c>
      <c r="B167" s="24" t="n">
        <v>45496</v>
      </c>
      <c r="C167" s="23" t="s">
        <v>189</v>
      </c>
      <c r="D167" s="25" t="n">
        <v>0.833333333333333</v>
      </c>
      <c r="E167" s="25" t="n">
        <v>0.875</v>
      </c>
      <c r="F167" s="23" t="n">
        <f aca="false">ROUND(MOD(E167-D167,1)*1440,0)</f>
        <v>60</v>
      </c>
      <c r="G167" s="23" t="s">
        <v>117</v>
      </c>
      <c r="H167" s="23"/>
      <c r="I167" s="23" t="s">
        <v>339</v>
      </c>
      <c r="J167" s="23" t="s">
        <v>106</v>
      </c>
      <c r="K167" s="26"/>
      <c r="L167" s="23"/>
      <c r="M167" s="23" t="s">
        <v>118</v>
      </c>
      <c r="N167" s="27" t="s">
        <v>89</v>
      </c>
      <c r="O167" s="23"/>
      <c r="P167" s="23" t="s">
        <v>90</v>
      </c>
    </row>
    <row r="168" customFormat="false" ht="35.05" hidden="false" customHeight="false" outlineLevel="0" collapsed="false">
      <c r="A168" s="15" t="n">
        <v>13</v>
      </c>
      <c r="B168" s="16" t="n">
        <v>45497</v>
      </c>
      <c r="C168" s="15" t="s">
        <v>189</v>
      </c>
      <c r="D168" s="15"/>
      <c r="E168" s="15"/>
      <c r="F168" s="15"/>
      <c r="G168" s="15" t="s">
        <v>341</v>
      </c>
      <c r="H168" s="15"/>
      <c r="I168" s="15" t="s">
        <v>57</v>
      </c>
      <c r="J168" s="15"/>
      <c r="K168" s="15"/>
      <c r="L168" s="15" t="s">
        <v>342</v>
      </c>
      <c r="M168" s="15"/>
      <c r="N168" s="15"/>
      <c r="O168" s="15"/>
      <c r="P168" s="15"/>
    </row>
    <row r="169" customFormat="false" ht="22.35" hidden="false" customHeight="false" outlineLevel="0" collapsed="false">
      <c r="A169" s="6" t="n">
        <v>13</v>
      </c>
      <c r="B169" s="7" t="n">
        <v>45497</v>
      </c>
      <c r="C169" s="6" t="s">
        <v>189</v>
      </c>
      <c r="D169" s="10" t="n">
        <v>0.25</v>
      </c>
      <c r="E169" s="10" t="n">
        <v>0.277777777777778</v>
      </c>
      <c r="F169" s="6" t="n">
        <f aca="false">ROUND(MOD(E169-D169,1)*1440,0)</f>
        <v>40</v>
      </c>
      <c r="G169" s="6" t="s">
        <v>122</v>
      </c>
      <c r="H169" s="6"/>
      <c r="I169" s="6" t="s">
        <v>339</v>
      </c>
      <c r="J169" s="6" t="s">
        <v>87</v>
      </c>
      <c r="K169" s="8"/>
      <c r="L169" s="6" t="s">
        <v>123</v>
      </c>
      <c r="M169" s="6"/>
      <c r="N169" s="17" t="s">
        <v>89</v>
      </c>
      <c r="O169" s="6"/>
      <c r="P169" s="6" t="s">
        <v>90</v>
      </c>
    </row>
    <row r="170" customFormat="false" ht="15" hidden="false" customHeight="false" outlineLevel="0" collapsed="false">
      <c r="A170" s="23" t="n">
        <v>13</v>
      </c>
      <c r="B170" s="24" t="n">
        <v>45497</v>
      </c>
      <c r="C170" s="23" t="s">
        <v>189</v>
      </c>
      <c r="D170" s="25" t="n">
        <v>0.277777777777778</v>
      </c>
      <c r="E170" s="25" t="n">
        <v>0.305555555555556</v>
      </c>
      <c r="F170" s="23" t="n">
        <f aca="false">ROUND(MOD(E170-D170,1)*1440,0)</f>
        <v>40</v>
      </c>
      <c r="G170" s="23" t="s">
        <v>124</v>
      </c>
      <c r="H170" s="23"/>
      <c r="I170" s="23" t="s">
        <v>339</v>
      </c>
      <c r="J170" s="23" t="s">
        <v>106</v>
      </c>
      <c r="K170" s="26"/>
      <c r="L170" s="23"/>
      <c r="M170" s="23" t="s">
        <v>125</v>
      </c>
      <c r="N170" s="27" t="s">
        <v>89</v>
      </c>
      <c r="O170" s="23"/>
      <c r="P170" s="23" t="s">
        <v>90</v>
      </c>
    </row>
    <row r="171" customFormat="false" ht="22.35" hidden="false" customHeight="false" outlineLevel="0" collapsed="false">
      <c r="A171" s="6" t="n">
        <v>13</v>
      </c>
      <c r="B171" s="7" t="n">
        <v>45497</v>
      </c>
      <c r="C171" s="6" t="s">
        <v>189</v>
      </c>
      <c r="D171" s="10" t="n">
        <v>0.305555555555556</v>
      </c>
      <c r="E171" s="10" t="n">
        <v>0.326388888888889</v>
      </c>
      <c r="F171" s="6" t="n">
        <f aca="false">ROUND(MOD(E171-D171,1)*1440,0)</f>
        <v>30</v>
      </c>
      <c r="G171" s="6" t="s">
        <v>128</v>
      </c>
      <c r="H171" s="6"/>
      <c r="I171" s="6" t="s">
        <v>343</v>
      </c>
      <c r="J171" s="6" t="s">
        <v>87</v>
      </c>
      <c r="K171" s="8"/>
      <c r="L171" s="6" t="s">
        <v>344</v>
      </c>
      <c r="M171" s="6"/>
      <c r="N171" s="17" t="s">
        <v>89</v>
      </c>
      <c r="O171" s="6"/>
      <c r="P171" s="6" t="s">
        <v>90</v>
      </c>
    </row>
    <row r="172" customFormat="false" ht="15" hidden="false" customHeight="false" outlineLevel="0" collapsed="false">
      <c r="A172" s="6" t="n">
        <v>13</v>
      </c>
      <c r="B172" s="7" t="n">
        <v>45497</v>
      </c>
      <c r="C172" s="6" t="s">
        <v>189</v>
      </c>
      <c r="D172" s="10" t="n">
        <v>0.326388888888889</v>
      </c>
      <c r="E172" s="10" t="n">
        <v>0.336805555555556</v>
      </c>
      <c r="F172" s="6" t="n">
        <f aca="false">ROUND(MOD(E172-D172,1)*1440,0)</f>
        <v>15</v>
      </c>
      <c r="G172" s="6" t="s">
        <v>175</v>
      </c>
      <c r="H172" s="6"/>
      <c r="I172" s="6" t="s">
        <v>339</v>
      </c>
      <c r="J172" s="6" t="s">
        <v>87</v>
      </c>
      <c r="K172" s="8"/>
      <c r="L172" s="6" t="s">
        <v>280</v>
      </c>
      <c r="M172" s="6"/>
      <c r="N172" s="17" t="s">
        <v>89</v>
      </c>
      <c r="O172" s="6"/>
      <c r="P172" s="6" t="s">
        <v>90</v>
      </c>
    </row>
    <row r="173" customFormat="false" ht="22.35" hidden="false" customHeight="false" outlineLevel="0" collapsed="false">
      <c r="A173" s="18" t="n">
        <v>13</v>
      </c>
      <c r="B173" s="19" t="n">
        <v>45497</v>
      </c>
      <c r="C173" s="18" t="s">
        <v>189</v>
      </c>
      <c r="D173" s="20" t="n">
        <v>0.336805555555556</v>
      </c>
      <c r="E173" s="20" t="n">
        <v>0.524305555555556</v>
      </c>
      <c r="F173" s="18" t="n">
        <f aca="false">ROUND(MOD(E173-D173,1)*1440,0)</f>
        <v>270</v>
      </c>
      <c r="G173" s="18" t="s">
        <v>101</v>
      </c>
      <c r="H173" s="18" t="s">
        <v>339</v>
      </c>
      <c r="I173" s="18" t="s">
        <v>345</v>
      </c>
      <c r="J173" s="18" t="s">
        <v>103</v>
      </c>
      <c r="K173" s="21" t="n">
        <v>290</v>
      </c>
      <c r="L173" s="18" t="s">
        <v>346</v>
      </c>
      <c r="M173" s="18"/>
      <c r="N173" s="22" t="s">
        <v>30</v>
      </c>
      <c r="O173" s="18" t="s">
        <v>347</v>
      </c>
      <c r="P173" s="18" t="s">
        <v>90</v>
      </c>
    </row>
    <row r="174" customFormat="false" ht="22.35" hidden="false" customHeight="false" outlineLevel="0" collapsed="false">
      <c r="A174" s="23" t="n">
        <v>13</v>
      </c>
      <c r="B174" s="24" t="n">
        <v>45497</v>
      </c>
      <c r="C174" s="23" t="s">
        <v>189</v>
      </c>
      <c r="D174" s="25" t="n">
        <v>0.524305555555556</v>
      </c>
      <c r="E174" s="25" t="n">
        <v>0.565972222222222</v>
      </c>
      <c r="F174" s="23" t="n">
        <f aca="false">ROUND(MOD(E174-D174,1)*1440,0)</f>
        <v>60</v>
      </c>
      <c r="G174" s="23" t="s">
        <v>105</v>
      </c>
      <c r="H174" s="23"/>
      <c r="I174" s="23" t="s">
        <v>348</v>
      </c>
      <c r="J174" s="23" t="s">
        <v>106</v>
      </c>
      <c r="K174" s="26"/>
      <c r="L174" s="23"/>
      <c r="M174" s="23" t="s">
        <v>349</v>
      </c>
      <c r="N174" s="27" t="s">
        <v>89</v>
      </c>
      <c r="O174" s="23"/>
      <c r="P174" s="23" t="s">
        <v>90</v>
      </c>
    </row>
    <row r="175" customFormat="false" ht="22.35" hidden="false" customHeight="false" outlineLevel="0" collapsed="false">
      <c r="A175" s="6" t="n">
        <v>13</v>
      </c>
      <c r="B175" s="7" t="n">
        <v>45497</v>
      </c>
      <c r="C175" s="6" t="s">
        <v>189</v>
      </c>
      <c r="D175" s="10" t="n">
        <v>0.572916666666667</v>
      </c>
      <c r="E175" s="10" t="n">
        <v>0.635416666666667</v>
      </c>
      <c r="F175" s="6" t="n">
        <f aca="false">ROUND(MOD(E175-D175,1)*1440,0)</f>
        <v>90</v>
      </c>
      <c r="G175" s="6" t="s">
        <v>195</v>
      </c>
      <c r="H175" s="6"/>
      <c r="I175" s="6" t="s">
        <v>345</v>
      </c>
      <c r="J175" s="6" t="s">
        <v>155</v>
      </c>
      <c r="K175" s="8"/>
      <c r="L175" s="6" t="s">
        <v>350</v>
      </c>
      <c r="M175" s="6"/>
      <c r="N175" s="17" t="s">
        <v>89</v>
      </c>
      <c r="O175" s="6"/>
      <c r="P175" s="6" t="s">
        <v>90</v>
      </c>
    </row>
    <row r="176" customFormat="false" ht="22.35" hidden="false" customHeight="false" outlineLevel="0" collapsed="false">
      <c r="A176" s="18" t="n">
        <v>13</v>
      </c>
      <c r="B176" s="19" t="n">
        <v>45497</v>
      </c>
      <c r="C176" s="18" t="s">
        <v>189</v>
      </c>
      <c r="D176" s="20" t="n">
        <v>0.635416666666667</v>
      </c>
      <c r="E176" s="20" t="n">
        <v>0.677083333333333</v>
      </c>
      <c r="F176" s="18" t="n">
        <f aca="false">ROUND(MOD(E176-D176,1)*1440,0)</f>
        <v>60</v>
      </c>
      <c r="G176" s="18" t="s">
        <v>101</v>
      </c>
      <c r="H176" s="18" t="s">
        <v>345</v>
      </c>
      <c r="I176" s="18" t="s">
        <v>351</v>
      </c>
      <c r="J176" s="18" t="s">
        <v>103</v>
      </c>
      <c r="K176" s="21" t="n">
        <v>45</v>
      </c>
      <c r="L176" s="18" t="s">
        <v>352</v>
      </c>
      <c r="M176" s="18"/>
      <c r="N176" s="22" t="s">
        <v>30</v>
      </c>
      <c r="O176" s="18"/>
      <c r="P176" s="18" t="s">
        <v>90</v>
      </c>
    </row>
    <row r="177" customFormat="false" ht="22.35" hidden="false" customHeight="false" outlineLevel="0" collapsed="false">
      <c r="A177" s="6" t="n">
        <v>13</v>
      </c>
      <c r="B177" s="7" t="n">
        <v>45497</v>
      </c>
      <c r="C177" s="6" t="s">
        <v>189</v>
      </c>
      <c r="D177" s="10" t="n">
        <v>0.677083333333333</v>
      </c>
      <c r="E177" s="10" t="n">
        <v>0.770833333333333</v>
      </c>
      <c r="F177" s="6" t="n">
        <f aca="false">ROUND(MOD(E177-D177,1)*1440,0)</f>
        <v>135</v>
      </c>
      <c r="G177" s="6" t="s">
        <v>109</v>
      </c>
      <c r="H177" s="6"/>
      <c r="I177" s="6" t="s">
        <v>351</v>
      </c>
      <c r="J177" s="6" t="s">
        <v>87</v>
      </c>
      <c r="K177" s="8"/>
      <c r="L177" s="6" t="s">
        <v>353</v>
      </c>
      <c r="M177" s="6"/>
      <c r="N177" s="17" t="s">
        <v>89</v>
      </c>
      <c r="O177" s="6"/>
      <c r="P177" s="6" t="s">
        <v>90</v>
      </c>
    </row>
    <row r="178" customFormat="false" ht="22.35" hidden="false" customHeight="false" outlineLevel="0" collapsed="false">
      <c r="A178" s="18" t="n">
        <v>13</v>
      </c>
      <c r="B178" s="19" t="n">
        <v>45497</v>
      </c>
      <c r="C178" s="18" t="s">
        <v>189</v>
      </c>
      <c r="D178" s="20" t="n">
        <v>0.770833333333333</v>
      </c>
      <c r="E178" s="20" t="n">
        <v>0.8125</v>
      </c>
      <c r="F178" s="18" t="n">
        <f aca="false">ROUND(MOD(E178-D178,1)*1440,0)</f>
        <v>60</v>
      </c>
      <c r="G178" s="18" t="s">
        <v>101</v>
      </c>
      <c r="H178" s="18" t="s">
        <v>351</v>
      </c>
      <c r="I178" s="18" t="s">
        <v>354</v>
      </c>
      <c r="J178" s="18" t="s">
        <v>103</v>
      </c>
      <c r="K178" s="21" t="n">
        <v>45</v>
      </c>
      <c r="L178" s="18" t="s">
        <v>355</v>
      </c>
      <c r="M178" s="18"/>
      <c r="N178" s="22" t="s">
        <v>30</v>
      </c>
      <c r="O178" s="18"/>
      <c r="P178" s="18" t="s">
        <v>90</v>
      </c>
    </row>
    <row r="179" customFormat="false" ht="15" hidden="false" customHeight="false" outlineLevel="0" collapsed="false">
      <c r="A179" s="6" t="n">
        <v>13</v>
      </c>
      <c r="B179" s="7" t="n">
        <v>45497</v>
      </c>
      <c r="C179" s="6" t="s">
        <v>189</v>
      </c>
      <c r="D179" s="10" t="n">
        <v>0.8125</v>
      </c>
      <c r="E179" s="10" t="n">
        <v>0.833333333333333</v>
      </c>
      <c r="F179" s="6" t="n">
        <f aca="false">ROUND(MOD(E179-D179,1)*1440,0)</f>
        <v>30</v>
      </c>
      <c r="G179" s="6" t="s">
        <v>115</v>
      </c>
      <c r="H179" s="6"/>
      <c r="I179" s="6" t="s">
        <v>354</v>
      </c>
      <c r="J179" s="6" t="s">
        <v>87</v>
      </c>
      <c r="K179" s="8"/>
      <c r="L179" s="6" t="s">
        <v>246</v>
      </c>
      <c r="M179" s="6"/>
      <c r="N179" s="17" t="s">
        <v>89</v>
      </c>
      <c r="O179" s="6"/>
      <c r="P179" s="6" t="s">
        <v>90</v>
      </c>
    </row>
    <row r="180" customFormat="false" ht="22.35" hidden="false" customHeight="false" outlineLevel="0" collapsed="false">
      <c r="A180" s="23" t="n">
        <v>13</v>
      </c>
      <c r="B180" s="24" t="n">
        <v>45497</v>
      </c>
      <c r="C180" s="23" t="s">
        <v>189</v>
      </c>
      <c r="D180" s="25" t="n">
        <v>0.833333333333333</v>
      </c>
      <c r="E180" s="25" t="n">
        <v>0.875</v>
      </c>
      <c r="F180" s="23" t="n">
        <f aca="false">ROUND(MOD(E180-D180,1)*1440,0)</f>
        <v>60</v>
      </c>
      <c r="G180" s="23" t="s">
        <v>117</v>
      </c>
      <c r="H180" s="23"/>
      <c r="I180" s="23" t="s">
        <v>354</v>
      </c>
      <c r="J180" s="23" t="s">
        <v>106</v>
      </c>
      <c r="K180" s="26"/>
      <c r="L180" s="23"/>
      <c r="M180" s="23" t="s">
        <v>118</v>
      </c>
      <c r="N180" s="27" t="s">
        <v>89</v>
      </c>
      <c r="O180" s="23"/>
      <c r="P180" s="23" t="s">
        <v>90</v>
      </c>
    </row>
    <row r="181" customFormat="false" ht="35.05" hidden="false" customHeight="false" outlineLevel="0" collapsed="false">
      <c r="A181" s="15" t="n">
        <v>14</v>
      </c>
      <c r="B181" s="16" t="n">
        <v>45498</v>
      </c>
      <c r="C181" s="15" t="s">
        <v>189</v>
      </c>
      <c r="D181" s="15"/>
      <c r="E181" s="15"/>
      <c r="F181" s="15"/>
      <c r="G181" s="15" t="s">
        <v>356</v>
      </c>
      <c r="H181" s="15"/>
      <c r="I181" s="15" t="s">
        <v>59</v>
      </c>
      <c r="J181" s="15"/>
      <c r="K181" s="15"/>
      <c r="L181" s="15" t="s">
        <v>357</v>
      </c>
      <c r="M181" s="15"/>
      <c r="N181" s="15"/>
      <c r="O181" s="15"/>
      <c r="P181" s="15"/>
    </row>
    <row r="182" customFormat="false" ht="15" hidden="false" customHeight="false" outlineLevel="0" collapsed="false">
      <c r="A182" s="23" t="n">
        <v>14</v>
      </c>
      <c r="B182" s="24" t="n">
        <v>45498</v>
      </c>
      <c r="C182" s="23" t="s">
        <v>189</v>
      </c>
      <c r="D182" s="25" t="n">
        <v>0.260416666666667</v>
      </c>
      <c r="E182" s="25" t="n">
        <v>0.291666666666667</v>
      </c>
      <c r="F182" s="23" t="n">
        <f aca="false">ROUND(MOD(E182-D182,1)*1440,0)</f>
        <v>45</v>
      </c>
      <c r="G182" s="23" t="s">
        <v>124</v>
      </c>
      <c r="H182" s="23"/>
      <c r="I182" s="23" t="s">
        <v>354</v>
      </c>
      <c r="J182" s="23" t="s">
        <v>106</v>
      </c>
      <c r="K182" s="26"/>
      <c r="L182" s="23"/>
      <c r="M182" s="23" t="s">
        <v>125</v>
      </c>
      <c r="N182" s="27" t="s">
        <v>89</v>
      </c>
      <c r="O182" s="23"/>
      <c r="P182" s="23" t="s">
        <v>90</v>
      </c>
    </row>
    <row r="183" customFormat="false" ht="15" hidden="false" customHeight="false" outlineLevel="0" collapsed="false">
      <c r="A183" s="6" t="n">
        <v>14</v>
      </c>
      <c r="B183" s="7" t="n">
        <v>45498</v>
      </c>
      <c r="C183" s="6" t="s">
        <v>189</v>
      </c>
      <c r="D183" s="10" t="n">
        <v>0.291666666666667</v>
      </c>
      <c r="E183" s="10" t="n">
        <v>0.302083333333333</v>
      </c>
      <c r="F183" s="6" t="n">
        <f aca="false">ROUND(MOD(E183-D183,1)*1440,0)</f>
        <v>15</v>
      </c>
      <c r="G183" s="6" t="s">
        <v>175</v>
      </c>
      <c r="H183" s="6"/>
      <c r="I183" s="6" t="s">
        <v>354</v>
      </c>
      <c r="J183" s="6" t="s">
        <v>87</v>
      </c>
      <c r="K183" s="8"/>
      <c r="L183" s="6" t="s">
        <v>280</v>
      </c>
      <c r="M183" s="6"/>
      <c r="N183" s="17" t="s">
        <v>89</v>
      </c>
      <c r="O183" s="6"/>
      <c r="P183" s="6" t="s">
        <v>90</v>
      </c>
    </row>
    <row r="184" customFormat="false" ht="22.35" hidden="false" customHeight="false" outlineLevel="0" collapsed="false">
      <c r="A184" s="18" t="n">
        <v>14</v>
      </c>
      <c r="B184" s="19" t="n">
        <v>45498</v>
      </c>
      <c r="C184" s="18" t="s">
        <v>189</v>
      </c>
      <c r="D184" s="20" t="n">
        <v>0.302083333333333</v>
      </c>
      <c r="E184" s="20" t="n">
        <v>0.315972222222222</v>
      </c>
      <c r="F184" s="18" t="n">
        <f aca="false">ROUND(MOD(E184-D184,1)*1440,0)</f>
        <v>20</v>
      </c>
      <c r="G184" s="18" t="s">
        <v>101</v>
      </c>
      <c r="H184" s="18" t="s">
        <v>354</v>
      </c>
      <c r="I184" s="18" t="s">
        <v>358</v>
      </c>
      <c r="J184" s="18" t="s">
        <v>103</v>
      </c>
      <c r="K184" s="21" t="n">
        <v>3</v>
      </c>
      <c r="L184" s="18" t="s">
        <v>359</v>
      </c>
      <c r="M184" s="18"/>
      <c r="N184" s="22" t="s">
        <v>30</v>
      </c>
      <c r="O184" s="18"/>
      <c r="P184" s="18" t="s">
        <v>90</v>
      </c>
    </row>
    <row r="185" customFormat="false" ht="22.35" hidden="false" customHeight="false" outlineLevel="0" collapsed="false">
      <c r="A185" s="6" t="n">
        <v>14</v>
      </c>
      <c r="B185" s="7" t="n">
        <v>45498</v>
      </c>
      <c r="C185" s="6" t="s">
        <v>189</v>
      </c>
      <c r="D185" s="10" t="n">
        <v>0.315972222222222</v>
      </c>
      <c r="E185" s="10" t="n">
        <v>0.354166666666667</v>
      </c>
      <c r="F185" s="6" t="n">
        <f aca="false">ROUND(MOD(E185-D185,1)*1440,0)</f>
        <v>55</v>
      </c>
      <c r="G185" s="6" t="s">
        <v>239</v>
      </c>
      <c r="H185" s="6"/>
      <c r="I185" s="6" t="s">
        <v>358</v>
      </c>
      <c r="J185" s="6" t="s">
        <v>87</v>
      </c>
      <c r="K185" s="8"/>
      <c r="L185" s="6" t="s">
        <v>360</v>
      </c>
      <c r="M185" s="6"/>
      <c r="N185" s="17" t="s">
        <v>89</v>
      </c>
      <c r="O185" s="6"/>
      <c r="P185" s="6" t="s">
        <v>90</v>
      </c>
    </row>
    <row r="186" customFormat="false" ht="22.35" hidden="false" customHeight="false" outlineLevel="0" collapsed="false">
      <c r="A186" s="18" t="n">
        <v>14</v>
      </c>
      <c r="B186" s="19" t="n">
        <v>45498</v>
      </c>
      <c r="C186" s="18" t="s">
        <v>189</v>
      </c>
      <c r="D186" s="20" t="n">
        <v>0.354166666666667</v>
      </c>
      <c r="E186" s="20" t="n">
        <v>0.46875</v>
      </c>
      <c r="F186" s="18" t="n">
        <f aca="false">ROUND(MOD(E186-D186,1)*1440,0)</f>
        <v>165</v>
      </c>
      <c r="G186" s="18" t="s">
        <v>101</v>
      </c>
      <c r="H186" s="18" t="s">
        <v>358</v>
      </c>
      <c r="I186" s="18" t="s">
        <v>361</v>
      </c>
      <c r="J186" s="18" t="s">
        <v>103</v>
      </c>
      <c r="K186" s="21" t="n">
        <v>210</v>
      </c>
      <c r="L186" s="18" t="s">
        <v>362</v>
      </c>
      <c r="M186" s="18"/>
      <c r="N186" s="22" t="s">
        <v>30</v>
      </c>
      <c r="O186" s="18"/>
      <c r="P186" s="18" t="s">
        <v>90</v>
      </c>
    </row>
    <row r="187" customFormat="false" ht="22.35" hidden="false" customHeight="false" outlineLevel="0" collapsed="false">
      <c r="A187" s="6" t="n">
        <v>14</v>
      </c>
      <c r="B187" s="7" t="n">
        <v>45498</v>
      </c>
      <c r="C187" s="6" t="s">
        <v>189</v>
      </c>
      <c r="D187" s="10" t="n">
        <v>0.46875</v>
      </c>
      <c r="E187" s="10" t="n">
        <v>0.520833333333333</v>
      </c>
      <c r="F187" s="6" t="n">
        <f aca="false">ROUND(MOD(E187-D187,1)*1440,0)</f>
        <v>75</v>
      </c>
      <c r="G187" s="6" t="s">
        <v>109</v>
      </c>
      <c r="H187" s="6"/>
      <c r="I187" s="6" t="s">
        <v>361</v>
      </c>
      <c r="J187" s="6" t="s">
        <v>87</v>
      </c>
      <c r="K187" s="8"/>
      <c r="L187" s="6" t="s">
        <v>363</v>
      </c>
      <c r="M187" s="6"/>
      <c r="N187" s="17" t="s">
        <v>89</v>
      </c>
      <c r="O187" s="6"/>
      <c r="P187" s="6" t="s">
        <v>90</v>
      </c>
    </row>
    <row r="188" customFormat="false" ht="22.35" hidden="false" customHeight="false" outlineLevel="0" collapsed="false">
      <c r="A188" s="23" t="n">
        <v>14</v>
      </c>
      <c r="B188" s="24" t="n">
        <v>45498</v>
      </c>
      <c r="C188" s="23" t="s">
        <v>189</v>
      </c>
      <c r="D188" s="25" t="n">
        <v>0.520833333333333</v>
      </c>
      <c r="E188" s="25" t="n">
        <v>0.552083333333333</v>
      </c>
      <c r="F188" s="23" t="n">
        <f aca="false">ROUND(MOD(E188-D188,1)*1440,0)</f>
        <v>45</v>
      </c>
      <c r="G188" s="23" t="s">
        <v>105</v>
      </c>
      <c r="H188" s="23"/>
      <c r="I188" s="23" t="s">
        <v>361</v>
      </c>
      <c r="J188" s="23" t="s">
        <v>106</v>
      </c>
      <c r="K188" s="26"/>
      <c r="L188" s="23"/>
      <c r="M188" s="23" t="s">
        <v>364</v>
      </c>
      <c r="N188" s="27" t="s">
        <v>89</v>
      </c>
      <c r="O188" s="23"/>
      <c r="P188" s="23" t="s">
        <v>90</v>
      </c>
    </row>
    <row r="189" customFormat="false" ht="22.35" hidden="false" customHeight="false" outlineLevel="0" collapsed="false">
      <c r="A189" s="18" t="n">
        <v>14</v>
      </c>
      <c r="B189" s="19" t="n">
        <v>45498</v>
      </c>
      <c r="C189" s="18" t="s">
        <v>189</v>
      </c>
      <c r="D189" s="20" t="n">
        <v>0.552083333333333</v>
      </c>
      <c r="E189" s="20" t="n">
        <v>0.583333333333333</v>
      </c>
      <c r="F189" s="18" t="n">
        <f aca="false">ROUND(MOD(E189-D189,1)*1440,0)</f>
        <v>45</v>
      </c>
      <c r="G189" s="18" t="s">
        <v>101</v>
      </c>
      <c r="H189" s="18" t="s">
        <v>361</v>
      </c>
      <c r="I189" s="18" t="s">
        <v>365</v>
      </c>
      <c r="J189" s="18" t="s">
        <v>103</v>
      </c>
      <c r="K189" s="21" t="n">
        <v>35</v>
      </c>
      <c r="L189" s="18" t="s">
        <v>366</v>
      </c>
      <c r="M189" s="18"/>
      <c r="N189" s="22" t="s">
        <v>30</v>
      </c>
      <c r="O189" s="18"/>
      <c r="P189" s="18" t="s">
        <v>90</v>
      </c>
    </row>
    <row r="190" customFormat="false" ht="22.35" hidden="false" customHeight="false" outlineLevel="0" collapsed="false">
      <c r="A190" s="6" t="n">
        <v>14</v>
      </c>
      <c r="B190" s="7" t="n">
        <v>45498</v>
      </c>
      <c r="C190" s="6" t="s">
        <v>189</v>
      </c>
      <c r="D190" s="10" t="n">
        <v>0.583333333333333</v>
      </c>
      <c r="E190" s="10" t="n">
        <v>0.614583333333333</v>
      </c>
      <c r="F190" s="6" t="n">
        <f aca="false">ROUND(MOD(E190-D190,1)*1440,0)</f>
        <v>45</v>
      </c>
      <c r="G190" s="6" t="s">
        <v>128</v>
      </c>
      <c r="H190" s="6"/>
      <c r="I190" s="6" t="s">
        <v>365</v>
      </c>
      <c r="J190" s="6" t="s">
        <v>87</v>
      </c>
      <c r="K190" s="8"/>
      <c r="L190" s="6" t="s">
        <v>367</v>
      </c>
      <c r="M190" s="6"/>
      <c r="N190" s="17" t="s">
        <v>89</v>
      </c>
      <c r="O190" s="6"/>
      <c r="P190" s="6" t="s">
        <v>90</v>
      </c>
    </row>
    <row r="191" customFormat="false" ht="22.35" hidden="false" customHeight="false" outlineLevel="0" collapsed="false">
      <c r="A191" s="18" t="n">
        <v>14</v>
      </c>
      <c r="B191" s="19" t="n">
        <v>45498</v>
      </c>
      <c r="C191" s="18" t="s">
        <v>189</v>
      </c>
      <c r="D191" s="20" t="n">
        <v>0.614583333333333</v>
      </c>
      <c r="E191" s="20" t="n">
        <v>0.645833333333333</v>
      </c>
      <c r="F191" s="18" t="n">
        <f aca="false">ROUND(MOD(E191-D191,1)*1440,0)</f>
        <v>45</v>
      </c>
      <c r="G191" s="18" t="s">
        <v>101</v>
      </c>
      <c r="H191" s="18" t="s">
        <v>365</v>
      </c>
      <c r="I191" s="18" t="s">
        <v>368</v>
      </c>
      <c r="J191" s="18" t="s">
        <v>103</v>
      </c>
      <c r="K191" s="21" t="n">
        <v>40</v>
      </c>
      <c r="L191" s="18" t="s">
        <v>369</v>
      </c>
      <c r="M191" s="18"/>
      <c r="N191" s="22" t="s">
        <v>30</v>
      </c>
      <c r="O191" s="18"/>
      <c r="P191" s="18" t="s">
        <v>90</v>
      </c>
    </row>
    <row r="192" customFormat="false" ht="43.25" hidden="false" customHeight="false" outlineLevel="0" collapsed="false">
      <c r="A192" s="6" t="n">
        <v>14</v>
      </c>
      <c r="B192" s="7" t="n">
        <v>45498</v>
      </c>
      <c r="C192" s="6" t="s">
        <v>189</v>
      </c>
      <c r="D192" s="10" t="n">
        <v>0.645833333333333</v>
      </c>
      <c r="E192" s="10" t="n">
        <v>0.791666666666667</v>
      </c>
      <c r="F192" s="6" t="n">
        <f aca="false">ROUND(MOD(E192-D192,1)*1440,0)</f>
        <v>210</v>
      </c>
      <c r="G192" s="6" t="s">
        <v>128</v>
      </c>
      <c r="H192" s="6"/>
      <c r="I192" s="6" t="s">
        <v>370</v>
      </c>
      <c r="J192" s="6" t="s">
        <v>155</v>
      </c>
      <c r="K192" s="8"/>
      <c r="L192" s="6" t="s">
        <v>371</v>
      </c>
      <c r="M192" s="6"/>
      <c r="N192" s="17" t="s">
        <v>89</v>
      </c>
      <c r="O192" s="6" t="s">
        <v>372</v>
      </c>
      <c r="P192" s="6" t="s">
        <v>90</v>
      </c>
    </row>
    <row r="193" customFormat="false" ht="22.35" hidden="false" customHeight="false" outlineLevel="0" collapsed="false">
      <c r="A193" s="18" t="n">
        <v>14</v>
      </c>
      <c r="B193" s="19" t="n">
        <v>45498</v>
      </c>
      <c r="C193" s="18" t="s">
        <v>189</v>
      </c>
      <c r="D193" s="20" t="n">
        <v>0.795138888888889</v>
      </c>
      <c r="E193" s="20" t="n">
        <v>0.8125</v>
      </c>
      <c r="F193" s="18" t="n">
        <f aca="false">ROUND(MOD(E193-D193,1)*1440,0)</f>
        <v>25</v>
      </c>
      <c r="G193" s="18" t="s">
        <v>101</v>
      </c>
      <c r="H193" s="18" t="s">
        <v>368</v>
      </c>
      <c r="I193" s="18" t="s">
        <v>373</v>
      </c>
      <c r="J193" s="18" t="s">
        <v>103</v>
      </c>
      <c r="K193" s="21" t="n">
        <v>10</v>
      </c>
      <c r="L193" s="18" t="s">
        <v>374</v>
      </c>
      <c r="M193" s="18"/>
      <c r="N193" s="22" t="s">
        <v>30</v>
      </c>
      <c r="O193" s="18"/>
      <c r="P193" s="18" t="s">
        <v>90</v>
      </c>
    </row>
    <row r="194" customFormat="false" ht="15" hidden="false" customHeight="false" outlineLevel="0" collapsed="false">
      <c r="A194" s="6" t="n">
        <v>14</v>
      </c>
      <c r="B194" s="7" t="n">
        <v>45498</v>
      </c>
      <c r="C194" s="6" t="s">
        <v>189</v>
      </c>
      <c r="D194" s="10" t="n">
        <v>0.8125</v>
      </c>
      <c r="E194" s="10" t="n">
        <v>0.829861111111111</v>
      </c>
      <c r="F194" s="6" t="n">
        <f aca="false">ROUND(MOD(E194-D194,1)*1440,0)</f>
        <v>25</v>
      </c>
      <c r="G194" s="6" t="s">
        <v>115</v>
      </c>
      <c r="H194" s="6"/>
      <c r="I194" s="6" t="s">
        <v>373</v>
      </c>
      <c r="J194" s="6" t="s">
        <v>87</v>
      </c>
      <c r="K194" s="8"/>
      <c r="L194" s="6" t="s">
        <v>246</v>
      </c>
      <c r="M194" s="6"/>
      <c r="N194" s="17" t="s">
        <v>89</v>
      </c>
      <c r="O194" s="6"/>
      <c r="P194" s="6" t="s">
        <v>90</v>
      </c>
    </row>
    <row r="195" customFormat="false" ht="22.35" hidden="false" customHeight="false" outlineLevel="0" collapsed="false">
      <c r="A195" s="23" t="n">
        <v>14</v>
      </c>
      <c r="B195" s="24" t="n">
        <v>45498</v>
      </c>
      <c r="C195" s="23" t="s">
        <v>189</v>
      </c>
      <c r="D195" s="25" t="n">
        <v>0.833333333333333</v>
      </c>
      <c r="E195" s="25" t="n">
        <v>0.875</v>
      </c>
      <c r="F195" s="23" t="n">
        <f aca="false">ROUND(MOD(E195-D195,1)*1440,0)</f>
        <v>60</v>
      </c>
      <c r="G195" s="23" t="s">
        <v>117</v>
      </c>
      <c r="H195" s="23"/>
      <c r="I195" s="23" t="s">
        <v>373</v>
      </c>
      <c r="J195" s="23" t="s">
        <v>106</v>
      </c>
      <c r="K195" s="26"/>
      <c r="L195" s="23"/>
      <c r="M195" s="23" t="s">
        <v>118</v>
      </c>
      <c r="N195" s="27" t="s">
        <v>89</v>
      </c>
      <c r="O195" s="23"/>
      <c r="P195" s="23" t="s">
        <v>90</v>
      </c>
    </row>
    <row r="196" customFormat="false" ht="23.85" hidden="false" customHeight="false" outlineLevel="0" collapsed="false">
      <c r="A196" s="15" t="n">
        <v>15</v>
      </c>
      <c r="B196" s="16" t="n">
        <v>45499</v>
      </c>
      <c r="C196" s="15" t="s">
        <v>189</v>
      </c>
      <c r="D196" s="15"/>
      <c r="E196" s="15"/>
      <c r="F196" s="15"/>
      <c r="G196" s="15" t="s">
        <v>375</v>
      </c>
      <c r="H196" s="15"/>
      <c r="I196" s="15" t="s">
        <v>61</v>
      </c>
      <c r="J196" s="15"/>
      <c r="K196" s="15"/>
      <c r="L196" s="15" t="s">
        <v>376</v>
      </c>
      <c r="M196" s="15"/>
      <c r="N196" s="15"/>
      <c r="O196" s="15"/>
      <c r="P196" s="15"/>
    </row>
    <row r="197" customFormat="false" ht="15" hidden="false" customHeight="false" outlineLevel="0" collapsed="false">
      <c r="A197" s="23" t="n">
        <v>15</v>
      </c>
      <c r="B197" s="24" t="n">
        <v>45499</v>
      </c>
      <c r="C197" s="23" t="s">
        <v>189</v>
      </c>
      <c r="D197" s="25" t="n">
        <v>0.25</v>
      </c>
      <c r="E197" s="25" t="n">
        <v>0.277777777777778</v>
      </c>
      <c r="F197" s="23" t="n">
        <f aca="false">ROUND(MOD(E197-D197,1)*1440,0)</f>
        <v>40</v>
      </c>
      <c r="G197" s="23" t="s">
        <v>124</v>
      </c>
      <c r="H197" s="23"/>
      <c r="I197" s="23" t="s">
        <v>373</v>
      </c>
      <c r="J197" s="23" t="s">
        <v>106</v>
      </c>
      <c r="K197" s="26"/>
      <c r="L197" s="23"/>
      <c r="M197" s="23" t="s">
        <v>125</v>
      </c>
      <c r="N197" s="27" t="s">
        <v>89</v>
      </c>
      <c r="O197" s="23"/>
      <c r="P197" s="23" t="s">
        <v>90</v>
      </c>
    </row>
    <row r="198" customFormat="false" ht="15" hidden="false" customHeight="false" outlineLevel="0" collapsed="false">
      <c r="A198" s="6" t="n">
        <v>15</v>
      </c>
      <c r="B198" s="7" t="n">
        <v>45499</v>
      </c>
      <c r="C198" s="6" t="s">
        <v>189</v>
      </c>
      <c r="D198" s="10" t="n">
        <v>0.277777777777778</v>
      </c>
      <c r="E198" s="10" t="n">
        <v>0.291666666666667</v>
      </c>
      <c r="F198" s="6" t="n">
        <f aca="false">ROUND(MOD(E198-D198,1)*1440,0)</f>
        <v>20</v>
      </c>
      <c r="G198" s="6" t="s">
        <v>175</v>
      </c>
      <c r="H198" s="6"/>
      <c r="I198" s="6" t="s">
        <v>373</v>
      </c>
      <c r="J198" s="6" t="s">
        <v>87</v>
      </c>
      <c r="K198" s="8"/>
      <c r="L198" s="6" t="s">
        <v>280</v>
      </c>
      <c r="M198" s="6"/>
      <c r="N198" s="17" t="s">
        <v>89</v>
      </c>
      <c r="O198" s="6"/>
      <c r="P198" s="6" t="s">
        <v>90</v>
      </c>
    </row>
    <row r="199" customFormat="false" ht="22.35" hidden="false" customHeight="false" outlineLevel="0" collapsed="false">
      <c r="A199" s="18" t="n">
        <v>15</v>
      </c>
      <c r="B199" s="19" t="n">
        <v>45499</v>
      </c>
      <c r="C199" s="18" t="s">
        <v>189</v>
      </c>
      <c r="D199" s="20" t="n">
        <v>0.291666666666667</v>
      </c>
      <c r="E199" s="20" t="n">
        <v>0.4375</v>
      </c>
      <c r="F199" s="18" t="n">
        <f aca="false">ROUND(MOD(E199-D199,1)*1440,0)</f>
        <v>210</v>
      </c>
      <c r="G199" s="18" t="s">
        <v>101</v>
      </c>
      <c r="H199" s="18" t="s">
        <v>373</v>
      </c>
      <c r="I199" s="18" t="s">
        <v>377</v>
      </c>
      <c r="J199" s="18" t="s">
        <v>103</v>
      </c>
      <c r="K199" s="21" t="n">
        <v>300</v>
      </c>
      <c r="L199" s="18" t="s">
        <v>378</v>
      </c>
      <c r="M199" s="18"/>
      <c r="N199" s="22" t="s">
        <v>30</v>
      </c>
      <c r="O199" s="18"/>
      <c r="P199" s="18" t="s">
        <v>90</v>
      </c>
    </row>
    <row r="200" customFormat="false" ht="22.35" hidden="false" customHeight="false" outlineLevel="0" collapsed="false">
      <c r="A200" s="6" t="n">
        <v>15</v>
      </c>
      <c r="B200" s="7" t="n">
        <v>45499</v>
      </c>
      <c r="C200" s="6" t="s">
        <v>189</v>
      </c>
      <c r="D200" s="10" t="n">
        <v>0.4375</v>
      </c>
      <c r="E200" s="10" t="n">
        <v>0.5</v>
      </c>
      <c r="F200" s="6" t="n">
        <f aca="false">ROUND(MOD(E200-D200,1)*1440,0)</f>
        <v>90</v>
      </c>
      <c r="G200" s="6" t="s">
        <v>128</v>
      </c>
      <c r="H200" s="6"/>
      <c r="I200" s="6" t="s">
        <v>377</v>
      </c>
      <c r="J200" s="6" t="s">
        <v>87</v>
      </c>
      <c r="K200" s="8"/>
      <c r="L200" s="6" t="s">
        <v>379</v>
      </c>
      <c r="M200" s="6"/>
      <c r="N200" s="17" t="s">
        <v>89</v>
      </c>
      <c r="O200" s="6" t="s">
        <v>380</v>
      </c>
      <c r="P200" s="6" t="s">
        <v>90</v>
      </c>
    </row>
    <row r="201" customFormat="false" ht="22.35" hidden="false" customHeight="false" outlineLevel="0" collapsed="false">
      <c r="A201" s="18" t="n">
        <v>15</v>
      </c>
      <c r="B201" s="19" t="n">
        <v>45499</v>
      </c>
      <c r="C201" s="18" t="s">
        <v>189</v>
      </c>
      <c r="D201" s="20" t="n">
        <v>0.5</v>
      </c>
      <c r="E201" s="20" t="n">
        <v>0.552083333333333</v>
      </c>
      <c r="F201" s="18" t="n">
        <f aca="false">ROUND(MOD(E201-D201,1)*1440,0)</f>
        <v>75</v>
      </c>
      <c r="G201" s="18" t="s">
        <v>101</v>
      </c>
      <c r="H201" s="18" t="s">
        <v>377</v>
      </c>
      <c r="I201" s="18" t="s">
        <v>381</v>
      </c>
      <c r="J201" s="18" t="s">
        <v>103</v>
      </c>
      <c r="K201" s="21" t="n">
        <v>85</v>
      </c>
      <c r="L201" s="18" t="s">
        <v>382</v>
      </c>
      <c r="M201" s="18"/>
      <c r="N201" s="22" t="s">
        <v>30</v>
      </c>
      <c r="O201" s="18"/>
      <c r="P201" s="18" t="s">
        <v>90</v>
      </c>
    </row>
    <row r="202" customFormat="false" ht="22.35" hidden="false" customHeight="false" outlineLevel="0" collapsed="false">
      <c r="A202" s="23" t="n">
        <v>15</v>
      </c>
      <c r="B202" s="24" t="n">
        <v>45499</v>
      </c>
      <c r="C202" s="23" t="s">
        <v>189</v>
      </c>
      <c r="D202" s="25" t="n">
        <v>0.552083333333333</v>
      </c>
      <c r="E202" s="25" t="n">
        <v>0.59375</v>
      </c>
      <c r="F202" s="23" t="n">
        <f aca="false">ROUND(MOD(E202-D202,1)*1440,0)</f>
        <v>60</v>
      </c>
      <c r="G202" s="23" t="s">
        <v>105</v>
      </c>
      <c r="H202" s="23"/>
      <c r="I202" s="23" t="s">
        <v>381</v>
      </c>
      <c r="J202" s="23" t="s">
        <v>106</v>
      </c>
      <c r="K202" s="26"/>
      <c r="L202" s="23"/>
      <c r="M202" s="23" t="s">
        <v>383</v>
      </c>
      <c r="N202" s="27" t="s">
        <v>89</v>
      </c>
      <c r="O202" s="23"/>
      <c r="P202" s="23" t="s">
        <v>90</v>
      </c>
    </row>
    <row r="203" customFormat="false" ht="22.35" hidden="false" customHeight="false" outlineLevel="0" collapsed="false">
      <c r="A203" s="6" t="n">
        <v>15</v>
      </c>
      <c r="B203" s="7" t="n">
        <v>45499</v>
      </c>
      <c r="C203" s="6" t="s">
        <v>189</v>
      </c>
      <c r="D203" s="10" t="n">
        <v>0.59375</v>
      </c>
      <c r="E203" s="10" t="n">
        <v>0.645833333333333</v>
      </c>
      <c r="F203" s="6" t="n">
        <f aca="false">ROUND(MOD(E203-D203,1)*1440,0)</f>
        <v>75</v>
      </c>
      <c r="G203" s="6" t="s">
        <v>109</v>
      </c>
      <c r="H203" s="6"/>
      <c r="I203" s="6" t="s">
        <v>381</v>
      </c>
      <c r="J203" s="6" t="s">
        <v>87</v>
      </c>
      <c r="K203" s="8"/>
      <c r="L203" s="6" t="s">
        <v>384</v>
      </c>
      <c r="M203" s="6"/>
      <c r="N203" s="17" t="s">
        <v>89</v>
      </c>
      <c r="O203" s="6"/>
      <c r="P203" s="6" t="s">
        <v>90</v>
      </c>
    </row>
    <row r="204" customFormat="false" ht="32.8" hidden="false" customHeight="false" outlineLevel="0" collapsed="false">
      <c r="A204" s="18" t="n">
        <v>15</v>
      </c>
      <c r="B204" s="19" t="n">
        <v>45499</v>
      </c>
      <c r="C204" s="18" t="s">
        <v>189</v>
      </c>
      <c r="D204" s="20" t="n">
        <v>0.645833333333333</v>
      </c>
      <c r="E204" s="20" t="n">
        <v>0.670138888888889</v>
      </c>
      <c r="F204" s="18" t="n">
        <f aca="false">ROUND(MOD(E204-D204,1)*1440,0)</f>
        <v>35</v>
      </c>
      <c r="G204" s="18" t="s">
        <v>101</v>
      </c>
      <c r="H204" s="18" t="s">
        <v>381</v>
      </c>
      <c r="I204" s="18" t="s">
        <v>385</v>
      </c>
      <c r="J204" s="18" t="s">
        <v>103</v>
      </c>
      <c r="K204" s="21" t="n">
        <v>20</v>
      </c>
      <c r="L204" s="18" t="s">
        <v>386</v>
      </c>
      <c r="M204" s="18"/>
      <c r="N204" s="22" t="s">
        <v>30</v>
      </c>
      <c r="O204" s="18"/>
      <c r="P204" s="18" t="s">
        <v>90</v>
      </c>
    </row>
    <row r="205" customFormat="false" ht="32.8" hidden="false" customHeight="false" outlineLevel="0" collapsed="false">
      <c r="A205" s="6" t="n">
        <v>15</v>
      </c>
      <c r="B205" s="7" t="n">
        <v>45499</v>
      </c>
      <c r="C205" s="6" t="s">
        <v>189</v>
      </c>
      <c r="D205" s="10" t="n">
        <v>0.673611111111111</v>
      </c>
      <c r="E205" s="10" t="n">
        <v>0.760416666666667</v>
      </c>
      <c r="F205" s="6" t="n">
        <f aca="false">ROUND(MOD(E205-D205,1)*1440,0)</f>
        <v>125</v>
      </c>
      <c r="G205" s="6" t="s">
        <v>128</v>
      </c>
      <c r="H205" s="6"/>
      <c r="I205" s="6" t="s">
        <v>385</v>
      </c>
      <c r="J205" s="6" t="s">
        <v>87</v>
      </c>
      <c r="K205" s="8"/>
      <c r="L205" s="6" t="s">
        <v>387</v>
      </c>
      <c r="M205" s="6"/>
      <c r="N205" s="17" t="s">
        <v>89</v>
      </c>
      <c r="O205" s="6" t="s">
        <v>388</v>
      </c>
      <c r="P205" s="6" t="s">
        <v>90</v>
      </c>
    </row>
    <row r="206" customFormat="false" ht="22.35" hidden="false" customHeight="false" outlineLevel="0" collapsed="false">
      <c r="A206" s="18" t="n">
        <v>15</v>
      </c>
      <c r="B206" s="19" t="n">
        <v>45499</v>
      </c>
      <c r="C206" s="18" t="s">
        <v>189</v>
      </c>
      <c r="D206" s="20" t="n">
        <v>0.763888888888889</v>
      </c>
      <c r="E206" s="20" t="n">
        <v>0.777777777777778</v>
      </c>
      <c r="F206" s="18" t="n">
        <f aca="false">ROUND(MOD(E206-D206,1)*1440,0)</f>
        <v>20</v>
      </c>
      <c r="G206" s="18" t="s">
        <v>101</v>
      </c>
      <c r="H206" s="18" t="s">
        <v>385</v>
      </c>
      <c r="I206" s="18" t="s">
        <v>389</v>
      </c>
      <c r="J206" s="18" t="s">
        <v>103</v>
      </c>
      <c r="K206" s="21" t="n">
        <v>4</v>
      </c>
      <c r="L206" s="18" t="s">
        <v>390</v>
      </c>
      <c r="M206" s="18"/>
      <c r="N206" s="22" t="s">
        <v>30</v>
      </c>
      <c r="O206" s="18"/>
      <c r="P206" s="18" t="s">
        <v>90</v>
      </c>
    </row>
    <row r="207" customFormat="false" ht="15" hidden="false" customHeight="false" outlineLevel="0" collapsed="false">
      <c r="A207" s="6" t="n">
        <v>15</v>
      </c>
      <c r="B207" s="7" t="n">
        <v>45499</v>
      </c>
      <c r="C207" s="6" t="s">
        <v>189</v>
      </c>
      <c r="D207" s="10" t="n">
        <v>0.777777777777778</v>
      </c>
      <c r="E207" s="10" t="n">
        <v>0.802083333333333</v>
      </c>
      <c r="F207" s="6" t="n">
        <f aca="false">ROUND(MOD(E207-D207,1)*1440,0)</f>
        <v>35</v>
      </c>
      <c r="G207" s="6" t="s">
        <v>391</v>
      </c>
      <c r="H207" s="6"/>
      <c r="I207" s="6" t="s">
        <v>389</v>
      </c>
      <c r="J207" s="6" t="s">
        <v>87</v>
      </c>
      <c r="K207" s="8"/>
      <c r="L207" s="6" t="s">
        <v>392</v>
      </c>
      <c r="M207" s="6"/>
      <c r="N207" s="17" t="s">
        <v>89</v>
      </c>
      <c r="O207" s="6"/>
      <c r="P207" s="6" t="s">
        <v>90</v>
      </c>
    </row>
    <row r="208" customFormat="false" ht="22.35" hidden="false" customHeight="false" outlineLevel="0" collapsed="false">
      <c r="A208" s="18" t="n">
        <v>15</v>
      </c>
      <c r="B208" s="19" t="n">
        <v>45499</v>
      </c>
      <c r="C208" s="18" t="s">
        <v>189</v>
      </c>
      <c r="D208" s="20" t="n">
        <v>0.802083333333333</v>
      </c>
      <c r="E208" s="20" t="n">
        <v>0.815972222222222</v>
      </c>
      <c r="F208" s="18" t="n">
        <f aca="false">ROUND(MOD(E208-D208,1)*1440,0)</f>
        <v>20</v>
      </c>
      <c r="G208" s="18" t="s">
        <v>101</v>
      </c>
      <c r="H208" s="18" t="s">
        <v>389</v>
      </c>
      <c r="I208" s="18" t="s">
        <v>393</v>
      </c>
      <c r="J208" s="18" t="s">
        <v>103</v>
      </c>
      <c r="K208" s="21" t="n">
        <v>4</v>
      </c>
      <c r="L208" s="18" t="s">
        <v>394</v>
      </c>
      <c r="M208" s="18"/>
      <c r="N208" s="22" t="s">
        <v>30</v>
      </c>
      <c r="O208" s="18"/>
      <c r="P208" s="18" t="s">
        <v>90</v>
      </c>
    </row>
    <row r="209" customFormat="false" ht="22.35" hidden="false" customHeight="false" outlineLevel="0" collapsed="false">
      <c r="A209" s="23" t="n">
        <v>15</v>
      </c>
      <c r="B209" s="24" t="n">
        <v>45499</v>
      </c>
      <c r="C209" s="23" t="s">
        <v>189</v>
      </c>
      <c r="D209" s="25" t="n">
        <v>0.822916666666667</v>
      </c>
      <c r="E209" s="25" t="n">
        <v>0.864583333333333</v>
      </c>
      <c r="F209" s="23" t="n">
        <f aca="false">ROUND(MOD(E209-D209,1)*1440,0)</f>
        <v>60</v>
      </c>
      <c r="G209" s="23" t="s">
        <v>117</v>
      </c>
      <c r="H209" s="23"/>
      <c r="I209" s="23" t="s">
        <v>393</v>
      </c>
      <c r="J209" s="23" t="s">
        <v>106</v>
      </c>
      <c r="K209" s="26"/>
      <c r="L209" s="23"/>
      <c r="M209" s="23" t="s">
        <v>118</v>
      </c>
      <c r="N209" s="27" t="s">
        <v>89</v>
      </c>
      <c r="O209" s="23"/>
      <c r="P209" s="23" t="s">
        <v>90</v>
      </c>
    </row>
    <row r="210" customFormat="false" ht="22.35" hidden="false" customHeight="false" outlineLevel="0" collapsed="false">
      <c r="A210" s="6" t="n">
        <v>15</v>
      </c>
      <c r="B210" s="7" t="n">
        <v>45499</v>
      </c>
      <c r="C210" s="6" t="s">
        <v>189</v>
      </c>
      <c r="D210" s="10" t="n">
        <v>0.864583333333333</v>
      </c>
      <c r="E210" s="10" t="n">
        <v>0.885416666666667</v>
      </c>
      <c r="F210" s="6" t="n">
        <f aca="false">ROUND(MOD(E210-D210,1)*1440,0)</f>
        <v>30</v>
      </c>
      <c r="G210" s="6" t="s">
        <v>169</v>
      </c>
      <c r="H210" s="6"/>
      <c r="I210" s="6" t="s">
        <v>393</v>
      </c>
      <c r="J210" s="6" t="s">
        <v>87</v>
      </c>
      <c r="K210" s="8"/>
      <c r="L210" s="6" t="s">
        <v>395</v>
      </c>
      <c r="M210" s="6"/>
      <c r="N210" s="17" t="s">
        <v>89</v>
      </c>
      <c r="O210" s="6"/>
      <c r="P210" s="6" t="s">
        <v>90</v>
      </c>
    </row>
    <row r="211" customFormat="false" ht="23.85" hidden="false" customHeight="false" outlineLevel="0" collapsed="false">
      <c r="A211" s="15" t="n">
        <v>16</v>
      </c>
      <c r="B211" s="16" t="n">
        <v>45500</v>
      </c>
      <c r="C211" s="15" t="s">
        <v>189</v>
      </c>
      <c r="D211" s="15"/>
      <c r="E211" s="15"/>
      <c r="F211" s="15"/>
      <c r="G211" s="15" t="s">
        <v>396</v>
      </c>
      <c r="H211" s="15"/>
      <c r="I211" s="15" t="s">
        <v>63</v>
      </c>
      <c r="J211" s="15"/>
      <c r="K211" s="15"/>
      <c r="L211" s="15" t="s">
        <v>397</v>
      </c>
      <c r="M211" s="15"/>
      <c r="N211" s="15"/>
      <c r="O211" s="15"/>
      <c r="P211" s="15"/>
    </row>
    <row r="212" customFormat="false" ht="22.35" hidden="false" customHeight="false" outlineLevel="0" collapsed="false">
      <c r="A212" s="23" t="n">
        <v>16</v>
      </c>
      <c r="B212" s="24" t="n">
        <v>45500</v>
      </c>
      <c r="C212" s="23" t="s">
        <v>189</v>
      </c>
      <c r="D212" s="25" t="n">
        <v>0.208333333333333</v>
      </c>
      <c r="E212" s="25" t="n">
        <v>0.229166666666667</v>
      </c>
      <c r="F212" s="23" t="n">
        <f aca="false">ROUND(MOD(E212-D212,1)*1440,0)</f>
        <v>30</v>
      </c>
      <c r="G212" s="23" t="s">
        <v>124</v>
      </c>
      <c r="H212" s="23"/>
      <c r="I212" s="23" t="s">
        <v>393</v>
      </c>
      <c r="J212" s="23" t="s">
        <v>106</v>
      </c>
      <c r="K212" s="26"/>
      <c r="L212" s="23"/>
      <c r="M212" s="23" t="s">
        <v>398</v>
      </c>
      <c r="N212" s="27" t="s">
        <v>89</v>
      </c>
      <c r="O212" s="23"/>
      <c r="P212" s="23" t="s">
        <v>90</v>
      </c>
    </row>
    <row r="213" customFormat="false" ht="15" hidden="false" customHeight="false" outlineLevel="0" collapsed="false">
      <c r="A213" s="6" t="n">
        <v>16</v>
      </c>
      <c r="B213" s="7" t="n">
        <v>45500</v>
      </c>
      <c r="C213" s="6" t="s">
        <v>189</v>
      </c>
      <c r="D213" s="10" t="n">
        <v>0.229166666666667</v>
      </c>
      <c r="E213" s="10" t="n">
        <v>0.239583333333333</v>
      </c>
      <c r="F213" s="6" t="n">
        <f aca="false">ROUND(MOD(E213-D213,1)*1440,0)</f>
        <v>15</v>
      </c>
      <c r="G213" s="6" t="s">
        <v>175</v>
      </c>
      <c r="H213" s="6"/>
      <c r="I213" s="6" t="s">
        <v>393</v>
      </c>
      <c r="J213" s="6" t="s">
        <v>87</v>
      </c>
      <c r="K213" s="8"/>
      <c r="L213" s="6" t="s">
        <v>399</v>
      </c>
      <c r="M213" s="6"/>
      <c r="N213" s="17" t="s">
        <v>89</v>
      </c>
      <c r="O213" s="6"/>
      <c r="P213" s="6" t="s">
        <v>90</v>
      </c>
    </row>
    <row r="214" customFormat="false" ht="22.35" hidden="false" customHeight="false" outlineLevel="0" collapsed="false">
      <c r="A214" s="18" t="n">
        <v>16</v>
      </c>
      <c r="B214" s="19" t="n">
        <v>45500</v>
      </c>
      <c r="C214" s="18" t="s">
        <v>189</v>
      </c>
      <c r="D214" s="20" t="n">
        <v>0.239583333333333</v>
      </c>
      <c r="E214" s="20" t="n">
        <v>0.375</v>
      </c>
      <c r="F214" s="18" t="n">
        <f aca="false">ROUND(MOD(E214-D214,1)*1440,0)</f>
        <v>195</v>
      </c>
      <c r="G214" s="18" t="s">
        <v>101</v>
      </c>
      <c r="H214" s="18" t="s">
        <v>393</v>
      </c>
      <c r="I214" s="18" t="s">
        <v>400</v>
      </c>
      <c r="J214" s="18" t="s">
        <v>103</v>
      </c>
      <c r="K214" s="21" t="n">
        <v>280</v>
      </c>
      <c r="L214" s="18" t="s">
        <v>401</v>
      </c>
      <c r="M214" s="18"/>
      <c r="N214" s="22" t="s">
        <v>30</v>
      </c>
      <c r="O214" s="18" t="s">
        <v>402</v>
      </c>
      <c r="P214" s="18" t="s">
        <v>90</v>
      </c>
    </row>
    <row r="215" customFormat="false" ht="32.8" hidden="false" customHeight="false" outlineLevel="0" collapsed="false">
      <c r="A215" s="6" t="n">
        <v>16</v>
      </c>
      <c r="B215" s="7" t="n">
        <v>45500</v>
      </c>
      <c r="C215" s="6" t="s">
        <v>189</v>
      </c>
      <c r="D215" s="10" t="n">
        <v>0.375</v>
      </c>
      <c r="E215" s="10" t="n">
        <v>0.520833333333333</v>
      </c>
      <c r="F215" s="6" t="n">
        <f aca="false">ROUND(MOD(E215-D215,1)*1440,0)</f>
        <v>210</v>
      </c>
      <c r="G215" s="6" t="s">
        <v>128</v>
      </c>
      <c r="H215" s="6"/>
      <c r="I215" s="6" t="s">
        <v>400</v>
      </c>
      <c r="J215" s="6" t="s">
        <v>87</v>
      </c>
      <c r="K215" s="8"/>
      <c r="L215" s="6" t="s">
        <v>403</v>
      </c>
      <c r="M215" s="6"/>
      <c r="N215" s="17" t="s">
        <v>89</v>
      </c>
      <c r="O215" s="6" t="s">
        <v>404</v>
      </c>
      <c r="P215" s="6" t="s">
        <v>90</v>
      </c>
    </row>
    <row r="216" customFormat="false" ht="22.35" hidden="false" customHeight="false" outlineLevel="0" collapsed="false">
      <c r="A216" s="23" t="n">
        <v>16</v>
      </c>
      <c r="B216" s="24" t="n">
        <v>45500</v>
      </c>
      <c r="C216" s="23" t="s">
        <v>189</v>
      </c>
      <c r="D216" s="25" t="n">
        <v>0.53125</v>
      </c>
      <c r="E216" s="25" t="n">
        <v>0.572916666666667</v>
      </c>
      <c r="F216" s="23" t="n">
        <f aca="false">ROUND(MOD(E216-D216,1)*1440,0)</f>
        <v>60</v>
      </c>
      <c r="G216" s="23" t="s">
        <v>105</v>
      </c>
      <c r="H216" s="23"/>
      <c r="I216" s="23" t="s">
        <v>405</v>
      </c>
      <c r="J216" s="23" t="s">
        <v>106</v>
      </c>
      <c r="K216" s="26"/>
      <c r="L216" s="23"/>
      <c r="M216" s="23" t="s">
        <v>406</v>
      </c>
      <c r="N216" s="27" t="s">
        <v>89</v>
      </c>
      <c r="O216" s="23"/>
      <c r="P216" s="23" t="s">
        <v>90</v>
      </c>
    </row>
    <row r="217" customFormat="false" ht="22.35" hidden="false" customHeight="false" outlineLevel="0" collapsed="false">
      <c r="A217" s="18" t="n">
        <v>16</v>
      </c>
      <c r="B217" s="19" t="n">
        <v>45500</v>
      </c>
      <c r="C217" s="18" t="s">
        <v>189</v>
      </c>
      <c r="D217" s="20" t="n">
        <v>0.572916666666667</v>
      </c>
      <c r="E217" s="20" t="n">
        <v>0.59375</v>
      </c>
      <c r="F217" s="18" t="n">
        <f aca="false">ROUND(MOD(E217-D217,1)*1440,0)</f>
        <v>30</v>
      </c>
      <c r="G217" s="18" t="s">
        <v>101</v>
      </c>
      <c r="H217" s="18" t="s">
        <v>405</v>
      </c>
      <c r="I217" s="18" t="s">
        <v>407</v>
      </c>
      <c r="J217" s="18" t="s">
        <v>103</v>
      </c>
      <c r="K217" s="21" t="n">
        <v>5</v>
      </c>
      <c r="L217" s="18" t="s">
        <v>408</v>
      </c>
      <c r="M217" s="18"/>
      <c r="N217" s="22" t="s">
        <v>30</v>
      </c>
      <c r="O217" s="18"/>
      <c r="P217" s="18" t="s">
        <v>90</v>
      </c>
    </row>
    <row r="218" customFormat="false" ht="22.35" hidden="false" customHeight="false" outlineLevel="0" collapsed="false">
      <c r="A218" s="6" t="n">
        <v>16</v>
      </c>
      <c r="B218" s="7" t="n">
        <v>45500</v>
      </c>
      <c r="C218" s="6" t="s">
        <v>189</v>
      </c>
      <c r="D218" s="10" t="n">
        <v>0.604166666666667</v>
      </c>
      <c r="E218" s="10" t="n">
        <v>0.666666666666667</v>
      </c>
      <c r="F218" s="6" t="n">
        <f aca="false">ROUND(MOD(E218-D218,1)*1440,0)</f>
        <v>90</v>
      </c>
      <c r="G218" s="6" t="s">
        <v>128</v>
      </c>
      <c r="H218" s="6"/>
      <c r="I218" s="6" t="s">
        <v>407</v>
      </c>
      <c r="J218" s="6" t="s">
        <v>87</v>
      </c>
      <c r="K218" s="8"/>
      <c r="L218" s="6" t="s">
        <v>409</v>
      </c>
      <c r="M218" s="6"/>
      <c r="N218" s="17" t="s">
        <v>89</v>
      </c>
      <c r="O218" s="6" t="s">
        <v>410</v>
      </c>
      <c r="P218" s="6" t="s">
        <v>90</v>
      </c>
    </row>
    <row r="219" customFormat="false" ht="22.35" hidden="false" customHeight="false" outlineLevel="0" collapsed="false">
      <c r="A219" s="18" t="n">
        <v>16</v>
      </c>
      <c r="B219" s="19" t="n">
        <v>45500</v>
      </c>
      <c r="C219" s="18" t="s">
        <v>189</v>
      </c>
      <c r="D219" s="20" t="n">
        <v>0.666666666666667</v>
      </c>
      <c r="E219" s="20" t="n">
        <v>0.680555555555556</v>
      </c>
      <c r="F219" s="18" t="n">
        <f aca="false">ROUND(MOD(E219-D219,1)*1440,0)</f>
        <v>20</v>
      </c>
      <c r="G219" s="18" t="s">
        <v>101</v>
      </c>
      <c r="H219" s="18" t="s">
        <v>407</v>
      </c>
      <c r="I219" s="18" t="s">
        <v>411</v>
      </c>
      <c r="J219" s="18" t="s">
        <v>103</v>
      </c>
      <c r="K219" s="21" t="n">
        <v>2</v>
      </c>
      <c r="L219" s="18" t="s">
        <v>412</v>
      </c>
      <c r="M219" s="18"/>
      <c r="N219" s="22" t="s">
        <v>30</v>
      </c>
      <c r="O219" s="18"/>
      <c r="P219" s="18" t="s">
        <v>90</v>
      </c>
    </row>
    <row r="220" customFormat="false" ht="15" hidden="false" customHeight="false" outlineLevel="0" collapsed="false">
      <c r="A220" s="6" t="n">
        <v>16</v>
      </c>
      <c r="B220" s="7" t="n">
        <v>45500</v>
      </c>
      <c r="C220" s="6" t="s">
        <v>189</v>
      </c>
      <c r="D220" s="10" t="n">
        <v>0.680555555555556</v>
      </c>
      <c r="E220" s="10" t="n">
        <v>0.71875</v>
      </c>
      <c r="F220" s="6" t="n">
        <f aca="false">ROUND(MOD(E220-D220,1)*1440,0)</f>
        <v>55</v>
      </c>
      <c r="G220" s="6" t="s">
        <v>128</v>
      </c>
      <c r="H220" s="6"/>
      <c r="I220" s="6" t="s">
        <v>411</v>
      </c>
      <c r="J220" s="6" t="s">
        <v>87</v>
      </c>
      <c r="K220" s="8"/>
      <c r="L220" s="6" t="s">
        <v>413</v>
      </c>
      <c r="M220" s="6"/>
      <c r="N220" s="17" t="s">
        <v>89</v>
      </c>
      <c r="O220" s="6"/>
      <c r="P220" s="6" t="s">
        <v>90</v>
      </c>
    </row>
    <row r="221" customFormat="false" ht="32.8" hidden="false" customHeight="false" outlineLevel="0" collapsed="false">
      <c r="A221" s="23" t="n">
        <v>16</v>
      </c>
      <c r="B221" s="24" t="n">
        <v>45500</v>
      </c>
      <c r="C221" s="23" t="s">
        <v>189</v>
      </c>
      <c r="D221" s="25" t="n">
        <v>0.71875</v>
      </c>
      <c r="E221" s="25" t="n">
        <v>0.739583333333333</v>
      </c>
      <c r="F221" s="23" t="n">
        <f aca="false">ROUND(MOD(E221-D221,1)*1440,0)</f>
        <v>30</v>
      </c>
      <c r="G221" s="23" t="s">
        <v>117</v>
      </c>
      <c r="H221" s="23"/>
      <c r="I221" s="23" t="s">
        <v>411</v>
      </c>
      <c r="J221" s="23" t="s">
        <v>106</v>
      </c>
      <c r="K221" s="26"/>
      <c r="L221" s="23" t="s">
        <v>414</v>
      </c>
      <c r="M221" s="23" t="s">
        <v>415</v>
      </c>
      <c r="N221" s="27" t="s">
        <v>89</v>
      </c>
      <c r="O221" s="23"/>
      <c r="P221" s="23" t="s">
        <v>90</v>
      </c>
    </row>
    <row r="222" customFormat="false" ht="22.35" hidden="false" customHeight="false" outlineLevel="0" collapsed="false">
      <c r="A222" s="18" t="n">
        <v>16</v>
      </c>
      <c r="B222" s="19" t="n">
        <v>45500</v>
      </c>
      <c r="C222" s="18" t="s">
        <v>189</v>
      </c>
      <c r="D222" s="20" t="n">
        <v>0.739583333333333</v>
      </c>
      <c r="E222" s="20" t="n">
        <v>0.78125</v>
      </c>
      <c r="F222" s="18" t="n">
        <f aca="false">ROUND(MOD(E222-D222,1)*1440,0)</f>
        <v>60</v>
      </c>
      <c r="G222" s="18" t="s">
        <v>101</v>
      </c>
      <c r="H222" s="18" t="s">
        <v>411</v>
      </c>
      <c r="I222" s="18" t="s">
        <v>416</v>
      </c>
      <c r="J222" s="18" t="s">
        <v>103</v>
      </c>
      <c r="K222" s="21" t="n">
        <v>32</v>
      </c>
      <c r="L222" s="18" t="s">
        <v>417</v>
      </c>
      <c r="M222" s="18"/>
      <c r="N222" s="22" t="s">
        <v>30</v>
      </c>
      <c r="O222" s="18"/>
      <c r="P222" s="18" t="s">
        <v>90</v>
      </c>
    </row>
    <row r="223" customFormat="false" ht="22.35" hidden="false" customHeight="false" outlineLevel="0" collapsed="false">
      <c r="A223" s="6" t="n">
        <v>16</v>
      </c>
      <c r="B223" s="7" t="n">
        <v>45500</v>
      </c>
      <c r="C223" s="6" t="s">
        <v>189</v>
      </c>
      <c r="D223" s="10" t="n">
        <v>0.78125</v>
      </c>
      <c r="E223" s="10" t="n">
        <v>0.895833333333333</v>
      </c>
      <c r="F223" s="6" t="n">
        <f aca="false">ROUND(MOD(E223-D223,1)*1440,0)</f>
        <v>165</v>
      </c>
      <c r="G223" s="6" t="s">
        <v>91</v>
      </c>
      <c r="H223" s="6"/>
      <c r="I223" s="6" t="s">
        <v>416</v>
      </c>
      <c r="J223" s="6" t="s">
        <v>87</v>
      </c>
      <c r="K223" s="8"/>
      <c r="L223" s="6" t="s">
        <v>418</v>
      </c>
      <c r="M223" s="6"/>
      <c r="N223" s="17" t="s">
        <v>89</v>
      </c>
      <c r="O223" s="6"/>
      <c r="P223" s="6" t="s">
        <v>90</v>
      </c>
    </row>
    <row r="224" customFormat="false" ht="32.8" hidden="false" customHeight="false" outlineLevel="0" collapsed="false">
      <c r="A224" s="18" t="n">
        <v>16</v>
      </c>
      <c r="B224" s="19" t="n">
        <v>45500</v>
      </c>
      <c r="C224" s="18" t="s">
        <v>419</v>
      </c>
      <c r="D224" s="20" t="n">
        <v>0.90625</v>
      </c>
      <c r="E224" s="20" t="n">
        <v>0.604166666666667</v>
      </c>
      <c r="F224" s="18" t="n">
        <v>795</v>
      </c>
      <c r="G224" s="18" t="s">
        <v>94</v>
      </c>
      <c r="H224" s="18" t="s">
        <v>416</v>
      </c>
      <c r="I224" s="18" t="s">
        <v>86</v>
      </c>
      <c r="J224" s="18" t="s">
        <v>96</v>
      </c>
      <c r="K224" s="21" t="n">
        <v>7200</v>
      </c>
      <c r="L224" s="18" t="s">
        <v>420</v>
      </c>
      <c r="M224" s="18"/>
      <c r="N224" s="22" t="s">
        <v>30</v>
      </c>
      <c r="O224" s="18" t="s">
        <v>421</v>
      </c>
      <c r="P224" s="18" t="s">
        <v>90</v>
      </c>
    </row>
  </sheetData>
  <autoFilter ref="A2:P224"/>
  <dataValidations count="1">
    <dataValidation allowBlank="true" errorStyle="stop" operator="between" showDropDown="false" showErrorMessage="false" showInputMessage="false" sqref="P4:P15 P17:P27 P29:P43 P45:P56 P58:P71 P73:P81 P83:P96 P98:P109 P111:P124 P126:P138 P140:P153 P155:P167 P169:P180 P182:P195 P197:P210 P212:P224" type="list">
      <formula1>"Draft,To verify,Booked,Confirmed"</formula1>
      <formula2>0</formula2>
    </dataValidation>
  </dataValidations>
  <hyperlinks>
    <hyperlink ref="N4" r:id="rId1" display="Location"/>
    <hyperlink ref="N5" r:id="rId2" display="Location"/>
    <hyperlink ref="N6" r:id="rId3" display="Route"/>
    <hyperlink ref="N7" r:id="rId4" display="Location"/>
    <hyperlink ref="N8" r:id="rId5" display="Route"/>
    <hyperlink ref="N9" r:id="rId6" display="Location"/>
    <hyperlink ref="N10" r:id="rId7" display="Location"/>
    <hyperlink ref="N11" r:id="rId8" display="Location"/>
    <hyperlink ref="N12" r:id="rId9" display="Route"/>
    <hyperlink ref="N13" r:id="rId10" display="Location"/>
    <hyperlink ref="N14" r:id="rId11" display="Location"/>
    <hyperlink ref="N15" r:id="rId12" display="Location"/>
    <hyperlink ref="N17" r:id="rId13" display="Location"/>
    <hyperlink ref="N18" r:id="rId14" display="Location"/>
    <hyperlink ref="N19" r:id="rId15" display="Route"/>
    <hyperlink ref="N20" r:id="rId16" display="Location"/>
    <hyperlink ref="N21" r:id="rId17" display="Location"/>
    <hyperlink ref="N22" r:id="rId18" display="Route"/>
    <hyperlink ref="N23" r:id="rId19" display="Location"/>
    <hyperlink ref="N24" r:id="rId20" display="Route"/>
    <hyperlink ref="N25" r:id="rId21" display="Location"/>
    <hyperlink ref="N26" r:id="rId22" display="Location"/>
    <hyperlink ref="N27" r:id="rId23" display="Route"/>
    <hyperlink ref="N29" r:id="rId24" display="Location"/>
    <hyperlink ref="N30" r:id="rId25" display="Location"/>
    <hyperlink ref="N31" r:id="rId26" display="Route"/>
    <hyperlink ref="N32" r:id="rId27" display="Location"/>
    <hyperlink ref="N33" r:id="rId28" display="Location"/>
    <hyperlink ref="N34" r:id="rId29" display="Route"/>
    <hyperlink ref="N35" r:id="rId30" display="Location"/>
    <hyperlink ref="N36" r:id="rId31" display="Location"/>
    <hyperlink ref="N37" r:id="rId32" display="Route"/>
    <hyperlink ref="N38" r:id="rId33" display="Location"/>
    <hyperlink ref="N39" r:id="rId34" display="Route"/>
    <hyperlink ref="N40" r:id="rId35" display="Location"/>
    <hyperlink ref="N41" r:id="rId36" display="Route"/>
    <hyperlink ref="N42" r:id="rId37" display="Location"/>
    <hyperlink ref="N43" r:id="rId38" display="Location"/>
    <hyperlink ref="N45" r:id="rId39" display="Location"/>
    <hyperlink ref="N46" r:id="rId40" display="Location"/>
    <hyperlink ref="N47" r:id="rId41" display="Route"/>
    <hyperlink ref="N48" r:id="rId42" display="Location"/>
    <hyperlink ref="N49" r:id="rId43" display="Route"/>
    <hyperlink ref="N50" r:id="rId44" display="Location"/>
    <hyperlink ref="N51" r:id="rId45" display="Route"/>
    <hyperlink ref="N52" r:id="rId46" display="Location"/>
    <hyperlink ref="N53" r:id="rId47" display="Location"/>
    <hyperlink ref="N54" r:id="rId48" display="Route"/>
    <hyperlink ref="N55" r:id="rId49" display="Location"/>
    <hyperlink ref="N56" r:id="rId50" display="Route"/>
    <hyperlink ref="N58" r:id="rId51" display="Location"/>
    <hyperlink ref="N59" r:id="rId52" display="Location"/>
    <hyperlink ref="N60" r:id="rId53" display="Route"/>
    <hyperlink ref="N61" r:id="rId54" display="Location"/>
    <hyperlink ref="N62" r:id="rId55" display="Route"/>
    <hyperlink ref="N63" r:id="rId56" display="Location"/>
    <hyperlink ref="N64" r:id="rId57" display="Route"/>
    <hyperlink ref="N65" r:id="rId58" display="Location"/>
    <hyperlink ref="N66" r:id="rId59" display="Route"/>
    <hyperlink ref="N67" r:id="rId60" display="Location"/>
    <hyperlink ref="N68" r:id="rId61" display="Route"/>
    <hyperlink ref="N69" r:id="rId62" display="Location"/>
    <hyperlink ref="N70" r:id="rId63" display="Route"/>
    <hyperlink ref="N71" r:id="rId64" display="Location"/>
    <hyperlink ref="N73" r:id="rId65" display="Location"/>
    <hyperlink ref="N74" r:id="rId66" display="Location"/>
    <hyperlink ref="N75" r:id="rId67" display="Route"/>
    <hyperlink ref="N76" r:id="rId68" display="Location"/>
    <hyperlink ref="N77" r:id="rId69" display="Location"/>
    <hyperlink ref="N78" r:id="rId70" display="Location"/>
    <hyperlink ref="N79" r:id="rId71" display="Route"/>
    <hyperlink ref="N80" r:id="rId72" display="Location"/>
    <hyperlink ref="N81" r:id="rId73" display="Location"/>
    <hyperlink ref="N83" r:id="rId74" display="Location"/>
    <hyperlink ref="N84" r:id="rId75" display="Location"/>
    <hyperlink ref="N85" r:id="rId76" display="Location"/>
    <hyperlink ref="N86" r:id="rId77" display="Route"/>
    <hyperlink ref="N87" r:id="rId78" display="Location"/>
    <hyperlink ref="N88" r:id="rId79" display="Route"/>
    <hyperlink ref="N89" r:id="rId80" display="Location"/>
    <hyperlink ref="N90" r:id="rId81" display="Route"/>
    <hyperlink ref="N91" r:id="rId82" display="Location"/>
    <hyperlink ref="N92" r:id="rId83" display="Route"/>
    <hyperlink ref="N93" r:id="rId84" display="Location"/>
    <hyperlink ref="N94" r:id="rId85" display="Route"/>
    <hyperlink ref="N95" r:id="rId86" display="Location"/>
    <hyperlink ref="N96" r:id="rId87" display="Location"/>
    <hyperlink ref="N98" r:id="rId88" display="Location"/>
    <hyperlink ref="N99" r:id="rId89" display="Location"/>
    <hyperlink ref="N100" r:id="rId90" display="Location"/>
    <hyperlink ref="N101" r:id="rId91" display="Route"/>
    <hyperlink ref="N102" r:id="rId92" display="Location"/>
    <hyperlink ref="N103" r:id="rId93" display="Location"/>
    <hyperlink ref="N104" r:id="rId94" display="Route"/>
    <hyperlink ref="N105" r:id="rId95" display="Location"/>
    <hyperlink ref="N106" r:id="rId96" display="Location"/>
    <hyperlink ref="N107" r:id="rId97" display="Route"/>
    <hyperlink ref="N108" r:id="rId98" display="Location"/>
    <hyperlink ref="N109" r:id="rId99" display="Route"/>
    <hyperlink ref="N111" r:id="rId100" display="Location"/>
    <hyperlink ref="N112" r:id="rId101" display="Location"/>
    <hyperlink ref="N113" r:id="rId102" display="Location"/>
    <hyperlink ref="N114" r:id="rId103" display="Route"/>
    <hyperlink ref="N115" r:id="rId104" display="Location"/>
    <hyperlink ref="N116" r:id="rId105" display="Route"/>
    <hyperlink ref="N117" r:id="rId106" display="Location"/>
    <hyperlink ref="N118" r:id="rId107" display="Location"/>
    <hyperlink ref="N119" r:id="rId108" display="Route"/>
    <hyperlink ref="N120" r:id="rId109" display="Location"/>
    <hyperlink ref="N121" r:id="rId110" display="Route"/>
    <hyperlink ref="N122" r:id="rId111" display="Location"/>
    <hyperlink ref="N123" r:id="rId112" display="Location"/>
    <hyperlink ref="N124" r:id="rId113" display="Location"/>
    <hyperlink ref="N126" r:id="rId114" display="Location"/>
    <hyperlink ref="N127" r:id="rId115" display="Location"/>
    <hyperlink ref="N128" r:id="rId116" display="Location"/>
    <hyperlink ref="N129" r:id="rId117" display="Route"/>
    <hyperlink ref="N130" r:id="rId118" display="Location"/>
    <hyperlink ref="N131" r:id="rId119" display="Route"/>
    <hyperlink ref="N132" r:id="rId120" display="Location"/>
    <hyperlink ref="N133" r:id="rId121" display="Route"/>
    <hyperlink ref="N134" r:id="rId122" display="Location"/>
    <hyperlink ref="N135" r:id="rId123" display="Location"/>
    <hyperlink ref="N136" r:id="rId124" display="Route"/>
    <hyperlink ref="N137" r:id="rId125" display="Location"/>
    <hyperlink ref="N138" r:id="rId126" display="Location"/>
    <hyperlink ref="N140" r:id="rId127" display="Location"/>
    <hyperlink ref="N141" r:id="rId128" display="Location"/>
    <hyperlink ref="N142" r:id="rId129" display="Location"/>
    <hyperlink ref="N143" r:id="rId130" display="Location"/>
    <hyperlink ref="N144" r:id="rId131" display="Route"/>
    <hyperlink ref="N145" r:id="rId132" display="Location"/>
    <hyperlink ref="N146" r:id="rId133" display="Location"/>
    <hyperlink ref="N147" r:id="rId134" display="Route"/>
    <hyperlink ref="N148" r:id="rId135" display="Location"/>
    <hyperlink ref="N149" r:id="rId136" display="Route"/>
    <hyperlink ref="N150" r:id="rId137" display="Location"/>
    <hyperlink ref="N151" r:id="rId138" display="Route"/>
    <hyperlink ref="N152" r:id="rId139" display="Location"/>
    <hyperlink ref="N153" r:id="rId140" display="Location"/>
    <hyperlink ref="N155" r:id="rId141" display="Location"/>
    <hyperlink ref="N156" r:id="rId142" display="Location"/>
    <hyperlink ref="N157" r:id="rId143" display="Route"/>
    <hyperlink ref="N158" r:id="rId144" display="Location"/>
    <hyperlink ref="N159" r:id="rId145" display="Location"/>
    <hyperlink ref="N160" r:id="rId146" display="Location"/>
    <hyperlink ref="N161" r:id="rId147" display="Route"/>
    <hyperlink ref="N162" r:id="rId148" display="Location"/>
    <hyperlink ref="N163" r:id="rId149" display="Location"/>
    <hyperlink ref="N164" r:id="rId150" display="Location"/>
    <hyperlink ref="N165" r:id="rId151" display="Route"/>
    <hyperlink ref="N166" r:id="rId152" display="Location"/>
    <hyperlink ref="N167" r:id="rId153" display="Location"/>
    <hyperlink ref="N169" r:id="rId154" display="Location"/>
    <hyperlink ref="N170" r:id="rId155" display="Location"/>
    <hyperlink ref="N171" r:id="rId156" display="Location"/>
    <hyperlink ref="N172" r:id="rId157" display="Location"/>
    <hyperlink ref="N173" r:id="rId158" display="Route"/>
    <hyperlink ref="N174" r:id="rId159" display="Location"/>
    <hyperlink ref="N175" r:id="rId160" display="Location"/>
    <hyperlink ref="N176" r:id="rId161" display="Route"/>
    <hyperlink ref="N177" r:id="rId162" display="Location"/>
    <hyperlink ref="N178" r:id="rId163" display="Route"/>
    <hyperlink ref="N179" r:id="rId164" display="Location"/>
    <hyperlink ref="N180" r:id="rId165" display="Location"/>
    <hyperlink ref="N182" r:id="rId166" display="Location"/>
    <hyperlink ref="N183" r:id="rId167" display="Location"/>
    <hyperlink ref="N184" r:id="rId168" display="Route"/>
    <hyperlink ref="N185" r:id="rId169" display="Location"/>
    <hyperlink ref="N186" r:id="rId170" display="Route"/>
    <hyperlink ref="N187" r:id="rId171" display="Location"/>
    <hyperlink ref="N188" r:id="rId172" display="Location"/>
    <hyperlink ref="N189" r:id="rId173" display="Route"/>
    <hyperlink ref="N190" r:id="rId174" display="Location"/>
    <hyperlink ref="N191" r:id="rId175" display="Route"/>
    <hyperlink ref="N192" r:id="rId176" display="Location"/>
    <hyperlink ref="N193" r:id="rId177" display="Route"/>
    <hyperlink ref="N194" r:id="rId178" display="Location"/>
    <hyperlink ref="N195" r:id="rId179" display="Location"/>
    <hyperlink ref="N197" r:id="rId180" display="Location"/>
    <hyperlink ref="N198" r:id="rId181" display="Location"/>
    <hyperlink ref="N199" r:id="rId182" display="Route"/>
    <hyperlink ref="N200" r:id="rId183" display="Location"/>
    <hyperlink ref="N201" r:id="rId184" display="Route"/>
    <hyperlink ref="N202" r:id="rId185" display="Location"/>
    <hyperlink ref="N203" r:id="rId186" display="Location"/>
    <hyperlink ref="N204" r:id="rId187" display="Route"/>
    <hyperlink ref="N205" r:id="rId188" display="Location"/>
    <hyperlink ref="N206" r:id="rId189" display="Route"/>
    <hyperlink ref="N207" r:id="rId190" display="Location"/>
    <hyperlink ref="N208" r:id="rId191" display="Route"/>
    <hyperlink ref="N209" r:id="rId192" display="Location"/>
    <hyperlink ref="N210" r:id="rId193" display="Location"/>
    <hyperlink ref="N212" r:id="rId194" display="Location"/>
    <hyperlink ref="N213" r:id="rId195" display="Location"/>
    <hyperlink ref="N214" r:id="rId196" display="Route"/>
    <hyperlink ref="N215" r:id="rId197" display="Location"/>
    <hyperlink ref="N216" r:id="rId198" display="Location"/>
    <hyperlink ref="N217" r:id="rId199" display="Route"/>
    <hyperlink ref="N218" r:id="rId200" display="Location"/>
    <hyperlink ref="N219" r:id="rId201" display="Route"/>
    <hyperlink ref="N220" r:id="rId202" display="Location"/>
    <hyperlink ref="N221" r:id="rId203" display="Location"/>
    <hyperlink ref="N222" r:id="rId204" display="Route"/>
    <hyperlink ref="N223" r:id="rId205" display="Location"/>
    <hyperlink ref="N224" r:id="rId206"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0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5" t="s">
        <v>28</v>
      </c>
      <c r="B1" s="5" t="s">
        <v>29</v>
      </c>
      <c r="C1" s="5" t="s">
        <v>422</v>
      </c>
      <c r="D1" s="5" t="s">
        <v>68</v>
      </c>
      <c r="E1" s="5" t="s">
        <v>69</v>
      </c>
      <c r="F1" s="5" t="s">
        <v>423</v>
      </c>
      <c r="G1" s="5" t="s">
        <v>424</v>
      </c>
      <c r="H1" s="5" t="s">
        <v>425</v>
      </c>
      <c r="I1" s="5" t="s">
        <v>78</v>
      </c>
      <c r="J1" s="5" t="s">
        <v>426</v>
      </c>
    </row>
    <row r="3" customFormat="false" ht="22.35" hidden="false" customHeight="false" outlineLevel="0" collapsed="false">
      <c r="A3" s="23" t="n">
        <v>1</v>
      </c>
      <c r="B3" s="24" t="n">
        <v>45485</v>
      </c>
      <c r="C3" s="23" t="s">
        <v>105</v>
      </c>
      <c r="D3" s="25" t="n">
        <v>0.614583333333333</v>
      </c>
      <c r="E3" s="25" t="n">
        <v>0.645833333333333</v>
      </c>
      <c r="F3" s="23" t="s">
        <v>102</v>
      </c>
      <c r="G3" s="23" t="s">
        <v>108</v>
      </c>
      <c r="H3" s="23" t="s">
        <v>107</v>
      </c>
      <c r="I3" s="27" t="s">
        <v>89</v>
      </c>
      <c r="J3" s="23" t="s">
        <v>427</v>
      </c>
    </row>
    <row r="4" customFormat="false" ht="22.35" hidden="false" customHeight="false" outlineLevel="0" collapsed="false">
      <c r="A4" s="6" t="n">
        <v>1</v>
      </c>
      <c r="B4" s="7" t="n">
        <v>45485</v>
      </c>
      <c r="C4" s="6" t="s">
        <v>117</v>
      </c>
      <c r="D4" s="10" t="n">
        <v>0.8125</v>
      </c>
      <c r="E4" s="10" t="n">
        <v>0.854166666666667</v>
      </c>
      <c r="F4" s="6" t="s">
        <v>113</v>
      </c>
      <c r="G4" s="6" t="s">
        <v>118</v>
      </c>
      <c r="H4" s="6"/>
      <c r="I4" s="17" t="s">
        <v>89</v>
      </c>
      <c r="J4" s="6" t="s">
        <v>427</v>
      </c>
    </row>
    <row r="5" customFormat="false" ht="15" hidden="false" customHeight="false" outlineLevel="0" collapsed="false">
      <c r="A5" s="6" t="n">
        <v>2</v>
      </c>
      <c r="B5" s="7" t="n">
        <v>45486</v>
      </c>
      <c r="C5" s="6" t="s">
        <v>124</v>
      </c>
      <c r="D5" s="10" t="n">
        <v>0.291666666666667</v>
      </c>
      <c r="E5" s="10" t="n">
        <v>0.322916666666667</v>
      </c>
      <c r="F5" s="6" t="s">
        <v>113</v>
      </c>
      <c r="G5" s="6" t="s">
        <v>125</v>
      </c>
      <c r="H5" s="6"/>
      <c r="I5" s="17" t="s">
        <v>89</v>
      </c>
      <c r="J5" s="6" t="s">
        <v>427</v>
      </c>
    </row>
    <row r="6" customFormat="false" ht="22.35" hidden="false" customHeight="false" outlineLevel="0" collapsed="false">
      <c r="A6" s="23" t="n">
        <v>2</v>
      </c>
      <c r="B6" s="24" t="n">
        <v>45486</v>
      </c>
      <c r="C6" s="23" t="s">
        <v>105</v>
      </c>
      <c r="D6" s="25" t="n">
        <v>0.489583333333333</v>
      </c>
      <c r="E6" s="25" t="n">
        <v>0.53125</v>
      </c>
      <c r="F6" s="23" t="s">
        <v>130</v>
      </c>
      <c r="G6" s="23" t="s">
        <v>132</v>
      </c>
      <c r="H6" s="23" t="s">
        <v>131</v>
      </c>
      <c r="I6" s="27" t="s">
        <v>89</v>
      </c>
      <c r="J6" s="23" t="s">
        <v>427</v>
      </c>
    </row>
    <row r="7" customFormat="false" ht="15" hidden="false" customHeight="false" outlineLevel="0" collapsed="false">
      <c r="A7" s="6" t="n">
        <v>2</v>
      </c>
      <c r="B7" s="7" t="n">
        <v>45486</v>
      </c>
      <c r="C7" s="6" t="s">
        <v>117</v>
      </c>
      <c r="D7" s="10" t="n">
        <v>0.75</v>
      </c>
      <c r="E7" s="10" t="n">
        <v>0.791666666666667</v>
      </c>
      <c r="F7" s="6" t="s">
        <v>138</v>
      </c>
      <c r="G7" s="6" t="s">
        <v>140</v>
      </c>
      <c r="H7" s="6" t="s">
        <v>139</v>
      </c>
      <c r="I7" s="17" t="s">
        <v>89</v>
      </c>
      <c r="J7" s="6" t="s">
        <v>427</v>
      </c>
    </row>
    <row r="8" customFormat="false" ht="15" hidden="false" customHeight="false" outlineLevel="0" collapsed="false">
      <c r="A8" s="6" t="n">
        <v>3</v>
      </c>
      <c r="B8" s="7" t="n">
        <v>45487</v>
      </c>
      <c r="C8" s="6" t="s">
        <v>124</v>
      </c>
      <c r="D8" s="10" t="n">
        <v>0.302083333333333</v>
      </c>
      <c r="E8" s="10" t="n">
        <v>0.333333333333333</v>
      </c>
      <c r="F8" s="6" t="s">
        <v>113</v>
      </c>
      <c r="G8" s="6" t="s">
        <v>125</v>
      </c>
      <c r="H8" s="6"/>
      <c r="I8" s="17" t="s">
        <v>89</v>
      </c>
      <c r="J8" s="6" t="s">
        <v>427</v>
      </c>
    </row>
    <row r="9" customFormat="false" ht="22.35" hidden="false" customHeight="false" outlineLevel="0" collapsed="false">
      <c r="A9" s="23" t="n">
        <v>3</v>
      </c>
      <c r="B9" s="24" t="n">
        <v>45487</v>
      </c>
      <c r="C9" s="23" t="s">
        <v>105</v>
      </c>
      <c r="D9" s="25" t="n">
        <v>0.572916666666667</v>
      </c>
      <c r="E9" s="25" t="n">
        <v>0.614583333333333</v>
      </c>
      <c r="F9" s="23" t="s">
        <v>160</v>
      </c>
      <c r="G9" s="23" t="s">
        <v>162</v>
      </c>
      <c r="H9" s="23" t="s">
        <v>161</v>
      </c>
      <c r="I9" s="27" t="s">
        <v>89</v>
      </c>
      <c r="J9" s="23" t="s">
        <v>427</v>
      </c>
    </row>
    <row r="10" customFormat="false" ht="22.35" hidden="false" customHeight="false" outlineLevel="0" collapsed="false">
      <c r="A10" s="6" t="n">
        <v>3</v>
      </c>
      <c r="B10" s="7" t="n">
        <v>45487</v>
      </c>
      <c r="C10" s="6" t="s">
        <v>117</v>
      </c>
      <c r="D10" s="10" t="n">
        <v>0.833333333333333</v>
      </c>
      <c r="E10" s="10" t="n">
        <v>0.875</v>
      </c>
      <c r="F10" s="6" t="s">
        <v>113</v>
      </c>
      <c r="G10" s="6" t="s">
        <v>118</v>
      </c>
      <c r="H10" s="6"/>
      <c r="I10" s="17" t="s">
        <v>89</v>
      </c>
      <c r="J10" s="6" t="s">
        <v>427</v>
      </c>
    </row>
    <row r="11" customFormat="false" ht="22.35" hidden="false" customHeight="false" outlineLevel="0" collapsed="false">
      <c r="A11" s="6" t="n">
        <v>4</v>
      </c>
      <c r="B11" s="7" t="n">
        <v>45488</v>
      </c>
      <c r="C11" s="6" t="s">
        <v>124</v>
      </c>
      <c r="D11" s="10" t="n">
        <v>0.208333333333333</v>
      </c>
      <c r="E11" s="10" t="n">
        <v>0.236111111111111</v>
      </c>
      <c r="F11" s="6" t="s">
        <v>113</v>
      </c>
      <c r="G11" s="6" t="s">
        <v>174</v>
      </c>
      <c r="H11" s="6"/>
      <c r="I11" s="17" t="s">
        <v>89</v>
      </c>
      <c r="J11" s="6" t="s">
        <v>427</v>
      </c>
    </row>
    <row r="12" customFormat="false" ht="22.35" hidden="false" customHeight="false" outlineLevel="0" collapsed="false">
      <c r="A12" s="23" t="n">
        <v>4</v>
      </c>
      <c r="B12" s="24" t="n">
        <v>45488</v>
      </c>
      <c r="C12" s="23" t="s">
        <v>105</v>
      </c>
      <c r="D12" s="25" t="n">
        <v>0.427083333333333</v>
      </c>
      <c r="E12" s="25" t="n">
        <v>0.458333333333333</v>
      </c>
      <c r="F12" s="23" t="s">
        <v>177</v>
      </c>
      <c r="G12" s="23" t="s">
        <v>188</v>
      </c>
      <c r="H12" s="23" t="s">
        <v>187</v>
      </c>
      <c r="I12" s="27" t="s">
        <v>89</v>
      </c>
      <c r="J12" s="23" t="s">
        <v>427</v>
      </c>
    </row>
    <row r="13" customFormat="false" ht="22.35" hidden="false" customHeight="false" outlineLevel="0" collapsed="false">
      <c r="A13" s="6" t="n">
        <v>4</v>
      </c>
      <c r="B13" s="7" t="n">
        <v>45488</v>
      </c>
      <c r="C13" s="6" t="s">
        <v>117</v>
      </c>
      <c r="D13" s="10" t="n">
        <v>0.78125</v>
      </c>
      <c r="E13" s="10" t="n">
        <v>0.822916666666667</v>
      </c>
      <c r="F13" s="6" t="s">
        <v>190</v>
      </c>
      <c r="G13" s="6" t="s">
        <v>118</v>
      </c>
      <c r="H13" s="6"/>
      <c r="I13" s="17" t="s">
        <v>89</v>
      </c>
      <c r="J13" s="6" t="s">
        <v>427</v>
      </c>
    </row>
    <row r="14" customFormat="false" ht="15" hidden="false" customHeight="false" outlineLevel="0" collapsed="false">
      <c r="A14" s="6" t="n">
        <v>5</v>
      </c>
      <c r="B14" s="7" t="n">
        <v>45489</v>
      </c>
      <c r="C14" s="6" t="s">
        <v>124</v>
      </c>
      <c r="D14" s="10" t="n">
        <v>0.302083333333333</v>
      </c>
      <c r="E14" s="10" t="n">
        <v>0.333333333333333</v>
      </c>
      <c r="F14" s="6" t="s">
        <v>190</v>
      </c>
      <c r="G14" s="6" t="s">
        <v>125</v>
      </c>
      <c r="H14" s="6"/>
      <c r="I14" s="17" t="s">
        <v>89</v>
      </c>
      <c r="J14" s="6" t="s">
        <v>427</v>
      </c>
    </row>
    <row r="15" customFormat="false" ht="22.35" hidden="false" customHeight="false" outlineLevel="0" collapsed="false">
      <c r="A15" s="23" t="n">
        <v>5</v>
      </c>
      <c r="B15" s="24" t="n">
        <v>45489</v>
      </c>
      <c r="C15" s="23" t="s">
        <v>105</v>
      </c>
      <c r="D15" s="25" t="n">
        <v>0.545138888888889</v>
      </c>
      <c r="E15" s="25" t="n">
        <v>0.586805555555556</v>
      </c>
      <c r="F15" s="23" t="s">
        <v>206</v>
      </c>
      <c r="G15" s="23" t="s">
        <v>209</v>
      </c>
      <c r="H15" s="23" t="s">
        <v>208</v>
      </c>
      <c r="I15" s="27" t="s">
        <v>89</v>
      </c>
      <c r="J15" s="23" t="s">
        <v>427</v>
      </c>
    </row>
    <row r="16" customFormat="false" ht="22.35" hidden="false" customHeight="false" outlineLevel="0" collapsed="false">
      <c r="A16" s="6" t="n">
        <v>5</v>
      </c>
      <c r="B16" s="7" t="n">
        <v>45489</v>
      </c>
      <c r="C16" s="6" t="s">
        <v>117</v>
      </c>
      <c r="D16" s="10" t="n">
        <v>0.8125</v>
      </c>
      <c r="E16" s="10" t="n">
        <v>0.854166666666667</v>
      </c>
      <c r="F16" s="6" t="s">
        <v>190</v>
      </c>
      <c r="G16" s="6" t="s">
        <v>118</v>
      </c>
      <c r="H16" s="6"/>
      <c r="I16" s="17" t="s">
        <v>89</v>
      </c>
      <c r="J16" s="6" t="s">
        <v>427</v>
      </c>
    </row>
    <row r="17" customFormat="false" ht="15" hidden="false" customHeight="false" outlineLevel="0" collapsed="false">
      <c r="A17" s="6" t="n">
        <v>6</v>
      </c>
      <c r="B17" s="7" t="n">
        <v>45490</v>
      </c>
      <c r="C17" s="6" t="s">
        <v>124</v>
      </c>
      <c r="D17" s="10" t="n">
        <v>0.277777777777778</v>
      </c>
      <c r="E17" s="10" t="n">
        <v>0.305555555555556</v>
      </c>
      <c r="F17" s="6" t="s">
        <v>190</v>
      </c>
      <c r="G17" s="6" t="s">
        <v>125</v>
      </c>
      <c r="H17" s="6"/>
      <c r="I17" s="17" t="s">
        <v>89</v>
      </c>
      <c r="J17" s="6" t="s">
        <v>427</v>
      </c>
    </row>
    <row r="18" customFormat="false" ht="15" hidden="false" customHeight="false" outlineLevel="0" collapsed="false">
      <c r="A18" s="23" t="n">
        <v>6</v>
      </c>
      <c r="B18" s="24" t="n">
        <v>45490</v>
      </c>
      <c r="C18" s="23" t="s">
        <v>105</v>
      </c>
      <c r="D18" s="25" t="n">
        <v>0.541666666666667</v>
      </c>
      <c r="E18" s="25" t="n">
        <v>0.583333333333333</v>
      </c>
      <c r="F18" s="23" t="s">
        <v>218</v>
      </c>
      <c r="G18" s="23" t="s">
        <v>221</v>
      </c>
      <c r="H18" s="23"/>
      <c r="I18" s="27" t="s">
        <v>89</v>
      </c>
      <c r="J18" s="23" t="s">
        <v>427</v>
      </c>
    </row>
    <row r="19" customFormat="false" ht="22.35" hidden="false" customHeight="false" outlineLevel="0" collapsed="false">
      <c r="A19" s="6" t="n">
        <v>6</v>
      </c>
      <c r="B19" s="7" t="n">
        <v>45490</v>
      </c>
      <c r="C19" s="6" t="s">
        <v>117</v>
      </c>
      <c r="D19" s="10" t="n">
        <v>0.8125</v>
      </c>
      <c r="E19" s="10" t="n">
        <v>0.854166666666667</v>
      </c>
      <c r="F19" s="6" t="s">
        <v>190</v>
      </c>
      <c r="G19" s="6" t="s">
        <v>118</v>
      </c>
      <c r="H19" s="6"/>
      <c r="I19" s="17" t="s">
        <v>89</v>
      </c>
      <c r="J19" s="6" t="s">
        <v>427</v>
      </c>
    </row>
    <row r="20" customFormat="false" ht="15" hidden="false" customHeight="false" outlineLevel="0" collapsed="false">
      <c r="A20" s="6" t="n">
        <v>7</v>
      </c>
      <c r="B20" s="7" t="n">
        <v>45491</v>
      </c>
      <c r="C20" s="6" t="s">
        <v>124</v>
      </c>
      <c r="D20" s="10" t="n">
        <v>0.291666666666667</v>
      </c>
      <c r="E20" s="10" t="n">
        <v>0.322916666666667</v>
      </c>
      <c r="F20" s="6" t="s">
        <v>190</v>
      </c>
      <c r="G20" s="6" t="s">
        <v>125</v>
      </c>
      <c r="H20" s="6"/>
      <c r="I20" s="17" t="s">
        <v>89</v>
      </c>
      <c r="J20" s="6" t="s">
        <v>427</v>
      </c>
    </row>
    <row r="21" customFormat="false" ht="15" hidden="false" customHeight="false" outlineLevel="0" collapsed="false">
      <c r="A21" s="23" t="n">
        <v>7</v>
      </c>
      <c r="B21" s="24" t="n">
        <v>45491</v>
      </c>
      <c r="C21" s="23" t="s">
        <v>105</v>
      </c>
      <c r="D21" s="25" t="n">
        <v>0.503472222222222</v>
      </c>
      <c r="E21" s="25" t="n">
        <v>0.545138888888889</v>
      </c>
      <c r="F21" s="23" t="s">
        <v>233</v>
      </c>
      <c r="G21" s="23" t="s">
        <v>236</v>
      </c>
      <c r="H21" s="23" t="s">
        <v>235</v>
      </c>
      <c r="I21" s="27" t="s">
        <v>89</v>
      </c>
      <c r="J21" s="23" t="s">
        <v>427</v>
      </c>
    </row>
    <row r="22" customFormat="false" ht="22.35" hidden="false" customHeight="false" outlineLevel="0" collapsed="false">
      <c r="A22" s="6" t="n">
        <v>7</v>
      </c>
      <c r="B22" s="7" t="n">
        <v>45491</v>
      </c>
      <c r="C22" s="6" t="s">
        <v>117</v>
      </c>
      <c r="D22" s="10" t="n">
        <v>0.84375</v>
      </c>
      <c r="E22" s="10" t="n">
        <v>0.885416666666667</v>
      </c>
      <c r="F22" s="6" t="s">
        <v>244</v>
      </c>
      <c r="G22" s="6" t="s">
        <v>118</v>
      </c>
      <c r="H22" s="6"/>
      <c r="I22" s="17" t="s">
        <v>89</v>
      </c>
      <c r="J22" s="6" t="s">
        <v>427</v>
      </c>
    </row>
    <row r="23" customFormat="false" ht="15" hidden="false" customHeight="false" outlineLevel="0" collapsed="false">
      <c r="A23" s="6" t="n">
        <v>8</v>
      </c>
      <c r="B23" s="7" t="n">
        <v>45492</v>
      </c>
      <c r="C23" s="6" t="s">
        <v>124</v>
      </c>
      <c r="D23" s="10" t="n">
        <v>0.277777777777778</v>
      </c>
      <c r="E23" s="10" t="n">
        <v>0.305555555555556</v>
      </c>
      <c r="F23" s="6" t="s">
        <v>244</v>
      </c>
      <c r="G23" s="6" t="s">
        <v>125</v>
      </c>
      <c r="H23" s="6"/>
      <c r="I23" s="17" t="s">
        <v>89</v>
      </c>
      <c r="J23" s="6" t="s">
        <v>427</v>
      </c>
    </row>
    <row r="24" customFormat="false" ht="15" hidden="false" customHeight="false" outlineLevel="0" collapsed="false">
      <c r="A24" s="23" t="n">
        <v>8</v>
      </c>
      <c r="B24" s="24" t="n">
        <v>45492</v>
      </c>
      <c r="C24" s="23" t="s">
        <v>105</v>
      </c>
      <c r="D24" s="25" t="n">
        <v>0.520833333333333</v>
      </c>
      <c r="E24" s="25" t="n">
        <v>0.5625</v>
      </c>
      <c r="F24" s="23" t="s">
        <v>250</v>
      </c>
      <c r="G24" s="23" t="s">
        <v>253</v>
      </c>
      <c r="H24" s="23"/>
      <c r="I24" s="27" t="s">
        <v>89</v>
      </c>
      <c r="J24" s="23" t="s">
        <v>427</v>
      </c>
    </row>
    <row r="25" customFormat="false" ht="22.35" hidden="false" customHeight="false" outlineLevel="0" collapsed="false">
      <c r="A25" s="6" t="n">
        <v>8</v>
      </c>
      <c r="B25" s="7" t="n">
        <v>45492</v>
      </c>
      <c r="C25" s="6" t="s">
        <v>117</v>
      </c>
      <c r="D25" s="10" t="n">
        <v>0.770833333333333</v>
      </c>
      <c r="E25" s="10" t="n">
        <v>0.8125</v>
      </c>
      <c r="F25" s="6" t="s">
        <v>254</v>
      </c>
      <c r="G25" s="6" t="s">
        <v>118</v>
      </c>
      <c r="H25" s="6"/>
      <c r="I25" s="17" t="s">
        <v>89</v>
      </c>
      <c r="J25" s="6" t="s">
        <v>427</v>
      </c>
    </row>
    <row r="26" customFormat="false" ht="15" hidden="false" customHeight="false" outlineLevel="0" collapsed="false">
      <c r="A26" s="6" t="n">
        <v>9</v>
      </c>
      <c r="B26" s="7" t="n">
        <v>45493</v>
      </c>
      <c r="C26" s="6" t="s">
        <v>124</v>
      </c>
      <c r="D26" s="10" t="n">
        <v>0.298611111111111</v>
      </c>
      <c r="E26" s="10" t="n">
        <v>0.326388888888889</v>
      </c>
      <c r="F26" s="6" t="s">
        <v>254</v>
      </c>
      <c r="G26" s="6" t="s">
        <v>125</v>
      </c>
      <c r="H26" s="6"/>
      <c r="I26" s="17" t="s">
        <v>89</v>
      </c>
      <c r="J26" s="6" t="s">
        <v>427</v>
      </c>
    </row>
    <row r="27" customFormat="false" ht="22.35" hidden="false" customHeight="false" outlineLevel="0" collapsed="false">
      <c r="A27" s="23" t="n">
        <v>9</v>
      </c>
      <c r="B27" s="24" t="n">
        <v>45493</v>
      </c>
      <c r="C27" s="23" t="s">
        <v>105</v>
      </c>
      <c r="D27" s="25" t="n">
        <v>0.520833333333333</v>
      </c>
      <c r="E27" s="25" t="n">
        <v>0.5625</v>
      </c>
      <c r="F27" s="23" t="s">
        <v>268</v>
      </c>
      <c r="G27" s="23" t="s">
        <v>269</v>
      </c>
      <c r="H27" s="23"/>
      <c r="I27" s="27" t="s">
        <v>89</v>
      </c>
      <c r="J27" s="23" t="s">
        <v>427</v>
      </c>
    </row>
    <row r="28" customFormat="false" ht="22.35" hidden="false" customHeight="false" outlineLevel="0" collapsed="false">
      <c r="A28" s="6" t="n">
        <v>9</v>
      </c>
      <c r="B28" s="7" t="n">
        <v>45493</v>
      </c>
      <c r="C28" s="6" t="s">
        <v>117</v>
      </c>
      <c r="D28" s="10" t="n">
        <v>0.833333333333333</v>
      </c>
      <c r="E28" s="10" t="n">
        <v>0.875</v>
      </c>
      <c r="F28" s="6" t="s">
        <v>273</v>
      </c>
      <c r="G28" s="6" t="s">
        <v>118</v>
      </c>
      <c r="H28" s="6"/>
      <c r="I28" s="17" t="s">
        <v>89</v>
      </c>
      <c r="J28" s="6" t="s">
        <v>427</v>
      </c>
    </row>
    <row r="29" customFormat="false" ht="15" hidden="false" customHeight="false" outlineLevel="0" collapsed="false">
      <c r="A29" s="6" t="n">
        <v>10</v>
      </c>
      <c r="B29" s="7" t="n">
        <v>45494</v>
      </c>
      <c r="C29" s="6" t="s">
        <v>124</v>
      </c>
      <c r="D29" s="10" t="n">
        <v>0.277777777777778</v>
      </c>
      <c r="E29" s="10" t="n">
        <v>0.305555555555556</v>
      </c>
      <c r="F29" s="6" t="s">
        <v>273</v>
      </c>
      <c r="G29" s="6" t="s">
        <v>125</v>
      </c>
      <c r="H29" s="6"/>
      <c r="I29" s="17" t="s">
        <v>89</v>
      </c>
      <c r="J29" s="6" t="s">
        <v>427</v>
      </c>
    </row>
    <row r="30" customFormat="false" ht="15" hidden="false" customHeight="false" outlineLevel="0" collapsed="false">
      <c r="A30" s="23" t="n">
        <v>10</v>
      </c>
      <c r="B30" s="24" t="n">
        <v>45494</v>
      </c>
      <c r="C30" s="23" t="s">
        <v>105</v>
      </c>
      <c r="D30" s="25" t="n">
        <v>0.53125</v>
      </c>
      <c r="E30" s="25" t="n">
        <v>0.572916666666667</v>
      </c>
      <c r="F30" s="23" t="s">
        <v>288</v>
      </c>
      <c r="G30" s="23" t="s">
        <v>290</v>
      </c>
      <c r="H30" s="23"/>
      <c r="I30" s="27" t="s">
        <v>89</v>
      </c>
      <c r="J30" s="23" t="s">
        <v>427</v>
      </c>
    </row>
    <row r="31" customFormat="false" ht="22.35" hidden="false" customHeight="false" outlineLevel="0" collapsed="false">
      <c r="A31" s="6" t="n">
        <v>10</v>
      </c>
      <c r="B31" s="7" t="n">
        <v>45494</v>
      </c>
      <c r="C31" s="6" t="s">
        <v>117</v>
      </c>
      <c r="D31" s="10" t="n">
        <v>0.854166666666667</v>
      </c>
      <c r="E31" s="10" t="n">
        <v>0.895833333333333</v>
      </c>
      <c r="F31" s="6" t="s">
        <v>292</v>
      </c>
      <c r="G31" s="6" t="s">
        <v>118</v>
      </c>
      <c r="H31" s="6"/>
      <c r="I31" s="17" t="s">
        <v>89</v>
      </c>
      <c r="J31" s="6" t="s">
        <v>427</v>
      </c>
    </row>
    <row r="32" customFormat="false" ht="15" hidden="false" customHeight="false" outlineLevel="0" collapsed="false">
      <c r="A32" s="6" t="n">
        <v>11</v>
      </c>
      <c r="B32" s="7" t="n">
        <v>45495</v>
      </c>
      <c r="C32" s="6" t="s">
        <v>124</v>
      </c>
      <c r="D32" s="10" t="n">
        <v>0.302083333333333</v>
      </c>
      <c r="E32" s="10" t="n">
        <v>0.333333333333333</v>
      </c>
      <c r="F32" s="6" t="s">
        <v>292</v>
      </c>
      <c r="G32" s="6" t="s">
        <v>125</v>
      </c>
      <c r="H32" s="6"/>
      <c r="I32" s="17" t="s">
        <v>89</v>
      </c>
      <c r="J32" s="6" t="s">
        <v>427</v>
      </c>
    </row>
    <row r="33" customFormat="false" ht="22.35" hidden="false" customHeight="false" outlineLevel="0" collapsed="false">
      <c r="A33" s="23" t="n">
        <v>11</v>
      </c>
      <c r="B33" s="24" t="n">
        <v>45495</v>
      </c>
      <c r="C33" s="23" t="s">
        <v>105</v>
      </c>
      <c r="D33" s="25" t="n">
        <v>0.53125</v>
      </c>
      <c r="E33" s="25" t="n">
        <v>0.572916666666667</v>
      </c>
      <c r="F33" s="23" t="s">
        <v>303</v>
      </c>
      <c r="G33" s="23" t="s">
        <v>304</v>
      </c>
      <c r="H33" s="23"/>
      <c r="I33" s="27" t="s">
        <v>89</v>
      </c>
      <c r="J33" s="23" t="s">
        <v>427</v>
      </c>
    </row>
    <row r="34" customFormat="false" ht="22.35" hidden="false" customHeight="false" outlineLevel="0" collapsed="false">
      <c r="A34" s="6" t="n">
        <v>11</v>
      </c>
      <c r="B34" s="7" t="n">
        <v>45495</v>
      </c>
      <c r="C34" s="6" t="s">
        <v>117</v>
      </c>
      <c r="D34" s="10" t="n">
        <v>0.8125</v>
      </c>
      <c r="E34" s="10" t="n">
        <v>0.854166666666667</v>
      </c>
      <c r="F34" s="6" t="s">
        <v>311</v>
      </c>
      <c r="G34" s="6" t="s">
        <v>118</v>
      </c>
      <c r="H34" s="6"/>
      <c r="I34" s="17" t="s">
        <v>89</v>
      </c>
      <c r="J34" s="6" t="s">
        <v>427</v>
      </c>
    </row>
    <row r="35" customFormat="false" ht="15" hidden="false" customHeight="false" outlineLevel="0" collapsed="false">
      <c r="A35" s="6" t="n">
        <v>12</v>
      </c>
      <c r="B35" s="7" t="n">
        <v>45496</v>
      </c>
      <c r="C35" s="6" t="s">
        <v>124</v>
      </c>
      <c r="D35" s="10" t="n">
        <v>0.260416666666667</v>
      </c>
      <c r="E35" s="10" t="n">
        <v>0.291666666666667</v>
      </c>
      <c r="F35" s="6" t="s">
        <v>311</v>
      </c>
      <c r="G35" s="6" t="s">
        <v>125</v>
      </c>
      <c r="H35" s="6" t="s">
        <v>315</v>
      </c>
      <c r="I35" s="17" t="s">
        <v>89</v>
      </c>
      <c r="J35" s="6" t="s">
        <v>427</v>
      </c>
    </row>
    <row r="36" customFormat="false" ht="22.35" hidden="false" customHeight="false" outlineLevel="0" collapsed="false">
      <c r="A36" s="23" t="n">
        <v>12</v>
      </c>
      <c r="B36" s="24" t="n">
        <v>45496</v>
      </c>
      <c r="C36" s="23" t="s">
        <v>105</v>
      </c>
      <c r="D36" s="25" t="n">
        <v>0.5</v>
      </c>
      <c r="E36" s="25" t="n">
        <v>0.541666666666667</v>
      </c>
      <c r="F36" s="23" t="s">
        <v>322</v>
      </c>
      <c r="G36" s="23" t="s">
        <v>323</v>
      </c>
      <c r="H36" s="23"/>
      <c r="I36" s="27" t="s">
        <v>89</v>
      </c>
      <c r="J36" s="23" t="s">
        <v>427</v>
      </c>
    </row>
    <row r="37" customFormat="false" ht="22.35" hidden="false" customHeight="false" outlineLevel="0" collapsed="false">
      <c r="A37" s="6" t="n">
        <v>12</v>
      </c>
      <c r="B37" s="7" t="n">
        <v>45496</v>
      </c>
      <c r="C37" s="6" t="s">
        <v>117</v>
      </c>
      <c r="D37" s="10" t="n">
        <v>0.833333333333333</v>
      </c>
      <c r="E37" s="10" t="n">
        <v>0.875</v>
      </c>
      <c r="F37" s="6" t="s">
        <v>339</v>
      </c>
      <c r="G37" s="6" t="s">
        <v>118</v>
      </c>
      <c r="H37" s="6"/>
      <c r="I37" s="17" t="s">
        <v>89</v>
      </c>
      <c r="J37" s="6" t="s">
        <v>427</v>
      </c>
    </row>
    <row r="38" customFormat="false" ht="15" hidden="false" customHeight="false" outlineLevel="0" collapsed="false">
      <c r="A38" s="6" t="n">
        <v>13</v>
      </c>
      <c r="B38" s="7" t="n">
        <v>45497</v>
      </c>
      <c r="C38" s="6" t="s">
        <v>124</v>
      </c>
      <c r="D38" s="10" t="n">
        <v>0.277777777777778</v>
      </c>
      <c r="E38" s="10" t="n">
        <v>0.305555555555556</v>
      </c>
      <c r="F38" s="6" t="s">
        <v>339</v>
      </c>
      <c r="G38" s="6" t="s">
        <v>125</v>
      </c>
      <c r="H38" s="6"/>
      <c r="I38" s="17" t="s">
        <v>89</v>
      </c>
      <c r="J38" s="6" t="s">
        <v>427</v>
      </c>
    </row>
    <row r="39" customFormat="false" ht="22.35" hidden="false" customHeight="false" outlineLevel="0" collapsed="false">
      <c r="A39" s="23" t="n">
        <v>13</v>
      </c>
      <c r="B39" s="24" t="n">
        <v>45497</v>
      </c>
      <c r="C39" s="23" t="s">
        <v>105</v>
      </c>
      <c r="D39" s="25" t="n">
        <v>0.524305555555556</v>
      </c>
      <c r="E39" s="25" t="n">
        <v>0.565972222222222</v>
      </c>
      <c r="F39" s="23" t="s">
        <v>348</v>
      </c>
      <c r="G39" s="23" t="s">
        <v>349</v>
      </c>
      <c r="H39" s="23"/>
      <c r="I39" s="27" t="s">
        <v>89</v>
      </c>
      <c r="J39" s="23" t="s">
        <v>427</v>
      </c>
    </row>
    <row r="40" customFormat="false" ht="22.35" hidden="false" customHeight="false" outlineLevel="0" collapsed="false">
      <c r="A40" s="6" t="n">
        <v>13</v>
      </c>
      <c r="B40" s="7" t="n">
        <v>45497</v>
      </c>
      <c r="C40" s="6" t="s">
        <v>117</v>
      </c>
      <c r="D40" s="10" t="n">
        <v>0.833333333333333</v>
      </c>
      <c r="E40" s="10" t="n">
        <v>0.875</v>
      </c>
      <c r="F40" s="6" t="s">
        <v>354</v>
      </c>
      <c r="G40" s="6" t="s">
        <v>118</v>
      </c>
      <c r="H40" s="6"/>
      <c r="I40" s="17" t="s">
        <v>89</v>
      </c>
      <c r="J40" s="6" t="s">
        <v>427</v>
      </c>
    </row>
    <row r="41" customFormat="false" ht="15" hidden="false" customHeight="false" outlineLevel="0" collapsed="false">
      <c r="A41" s="6" t="n">
        <v>14</v>
      </c>
      <c r="B41" s="7" t="n">
        <v>45498</v>
      </c>
      <c r="C41" s="6" t="s">
        <v>124</v>
      </c>
      <c r="D41" s="10" t="n">
        <v>0.260416666666667</v>
      </c>
      <c r="E41" s="10" t="n">
        <v>0.291666666666667</v>
      </c>
      <c r="F41" s="6" t="s">
        <v>354</v>
      </c>
      <c r="G41" s="6" t="s">
        <v>125</v>
      </c>
      <c r="H41" s="6"/>
      <c r="I41" s="17" t="s">
        <v>89</v>
      </c>
      <c r="J41" s="6" t="s">
        <v>427</v>
      </c>
    </row>
    <row r="42" customFormat="false" ht="22.35" hidden="false" customHeight="false" outlineLevel="0" collapsed="false">
      <c r="A42" s="23" t="n">
        <v>14</v>
      </c>
      <c r="B42" s="24" t="n">
        <v>45498</v>
      </c>
      <c r="C42" s="23" t="s">
        <v>105</v>
      </c>
      <c r="D42" s="25" t="n">
        <v>0.520833333333333</v>
      </c>
      <c r="E42" s="25" t="n">
        <v>0.552083333333333</v>
      </c>
      <c r="F42" s="23" t="s">
        <v>361</v>
      </c>
      <c r="G42" s="23" t="s">
        <v>364</v>
      </c>
      <c r="H42" s="23"/>
      <c r="I42" s="27" t="s">
        <v>89</v>
      </c>
      <c r="J42" s="23" t="s">
        <v>427</v>
      </c>
    </row>
    <row r="43" customFormat="false" ht="22.35" hidden="false" customHeight="false" outlineLevel="0" collapsed="false">
      <c r="A43" s="6" t="n">
        <v>14</v>
      </c>
      <c r="B43" s="7" t="n">
        <v>45498</v>
      </c>
      <c r="C43" s="6" t="s">
        <v>117</v>
      </c>
      <c r="D43" s="10" t="n">
        <v>0.833333333333333</v>
      </c>
      <c r="E43" s="10" t="n">
        <v>0.875</v>
      </c>
      <c r="F43" s="6" t="s">
        <v>373</v>
      </c>
      <c r="G43" s="6" t="s">
        <v>118</v>
      </c>
      <c r="H43" s="6"/>
      <c r="I43" s="17" t="s">
        <v>89</v>
      </c>
      <c r="J43" s="6" t="s">
        <v>427</v>
      </c>
    </row>
    <row r="44" customFormat="false" ht="15" hidden="false" customHeight="false" outlineLevel="0" collapsed="false">
      <c r="A44" s="6" t="n">
        <v>15</v>
      </c>
      <c r="B44" s="7" t="n">
        <v>45499</v>
      </c>
      <c r="C44" s="6" t="s">
        <v>124</v>
      </c>
      <c r="D44" s="10" t="n">
        <v>0.25</v>
      </c>
      <c r="E44" s="10" t="n">
        <v>0.277777777777778</v>
      </c>
      <c r="F44" s="6" t="s">
        <v>373</v>
      </c>
      <c r="G44" s="6" t="s">
        <v>125</v>
      </c>
      <c r="H44" s="6"/>
      <c r="I44" s="17" t="s">
        <v>89</v>
      </c>
      <c r="J44" s="6" t="s">
        <v>427</v>
      </c>
    </row>
    <row r="45" customFormat="false" ht="22.35" hidden="false" customHeight="false" outlineLevel="0" collapsed="false">
      <c r="A45" s="23" t="n">
        <v>15</v>
      </c>
      <c r="B45" s="24" t="n">
        <v>45499</v>
      </c>
      <c r="C45" s="23" t="s">
        <v>105</v>
      </c>
      <c r="D45" s="25" t="n">
        <v>0.552083333333333</v>
      </c>
      <c r="E45" s="25" t="n">
        <v>0.59375</v>
      </c>
      <c r="F45" s="23" t="s">
        <v>381</v>
      </c>
      <c r="G45" s="23" t="s">
        <v>383</v>
      </c>
      <c r="H45" s="23"/>
      <c r="I45" s="27" t="s">
        <v>89</v>
      </c>
      <c r="J45" s="23" t="s">
        <v>427</v>
      </c>
    </row>
    <row r="46" customFormat="false" ht="22.35" hidden="false" customHeight="false" outlineLevel="0" collapsed="false">
      <c r="A46" s="6" t="n">
        <v>15</v>
      </c>
      <c r="B46" s="7" t="n">
        <v>45499</v>
      </c>
      <c r="C46" s="6" t="s">
        <v>117</v>
      </c>
      <c r="D46" s="10" t="n">
        <v>0.822916666666667</v>
      </c>
      <c r="E46" s="10" t="n">
        <v>0.864583333333333</v>
      </c>
      <c r="F46" s="6" t="s">
        <v>393</v>
      </c>
      <c r="G46" s="6" t="s">
        <v>118</v>
      </c>
      <c r="H46" s="6"/>
      <c r="I46" s="17" t="s">
        <v>89</v>
      </c>
      <c r="J46" s="6" t="s">
        <v>427</v>
      </c>
    </row>
    <row r="47" customFormat="false" ht="15" hidden="false" customHeight="false" outlineLevel="0" collapsed="false">
      <c r="A47" s="6" t="n">
        <v>16</v>
      </c>
      <c r="B47" s="7" t="n">
        <v>45500</v>
      </c>
      <c r="C47" s="6" t="s">
        <v>124</v>
      </c>
      <c r="D47" s="10" t="n">
        <v>0.208333333333333</v>
      </c>
      <c r="E47" s="10" t="n">
        <v>0.229166666666667</v>
      </c>
      <c r="F47" s="6" t="s">
        <v>393</v>
      </c>
      <c r="G47" s="6" t="s">
        <v>398</v>
      </c>
      <c r="H47" s="6"/>
      <c r="I47" s="17" t="s">
        <v>89</v>
      </c>
      <c r="J47" s="6" t="s">
        <v>427</v>
      </c>
    </row>
    <row r="48" customFormat="false" ht="15" hidden="false" customHeight="false" outlineLevel="0" collapsed="false">
      <c r="A48" s="23" t="n">
        <v>16</v>
      </c>
      <c r="B48" s="24" t="n">
        <v>45500</v>
      </c>
      <c r="C48" s="23" t="s">
        <v>105</v>
      </c>
      <c r="D48" s="25" t="n">
        <v>0.53125</v>
      </c>
      <c r="E48" s="25" t="n">
        <v>0.572916666666667</v>
      </c>
      <c r="F48" s="23" t="s">
        <v>405</v>
      </c>
      <c r="G48" s="23" t="s">
        <v>406</v>
      </c>
      <c r="H48" s="23"/>
      <c r="I48" s="27" t="s">
        <v>89</v>
      </c>
      <c r="J48" s="23" t="s">
        <v>427</v>
      </c>
    </row>
    <row r="49" customFormat="false" ht="22.35" hidden="false" customHeight="false" outlineLevel="0" collapsed="false">
      <c r="A49" s="6" t="n">
        <v>16</v>
      </c>
      <c r="B49" s="7" t="n">
        <v>45500</v>
      </c>
      <c r="C49" s="6" t="s">
        <v>117</v>
      </c>
      <c r="D49" s="10" t="n">
        <v>0.71875</v>
      </c>
      <c r="E49" s="10" t="n">
        <v>0.739583333333333</v>
      </c>
      <c r="F49" s="6" t="s">
        <v>411</v>
      </c>
      <c r="G49" s="6" t="s">
        <v>415</v>
      </c>
      <c r="H49" s="6" t="s">
        <v>414</v>
      </c>
      <c r="I49" s="17" t="s">
        <v>89</v>
      </c>
      <c r="J49" s="6" t="s">
        <v>427</v>
      </c>
    </row>
    <row r="51" customFormat="false" ht="53.7" hidden="false" customHeight="false" outlineLevel="0" collapsed="false">
      <c r="C51" s="0" t="s">
        <v>428</v>
      </c>
      <c r="F51" s="28" t="s">
        <v>429</v>
      </c>
    </row>
  </sheetData>
  <dataValidations count="1">
    <dataValidation allowBlank="true" errorStyle="stop" operator="between" showDropDown="false" showErrorMessage="false" showInputMessage="false" sqref="J3:J49"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 ref="I48" r:id="rId46" display="Location"/>
    <hyperlink ref="I49" r:id="rId47"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5" t="s">
        <v>430</v>
      </c>
      <c r="B1" s="5" t="s">
        <v>431</v>
      </c>
      <c r="C1" s="5" t="s">
        <v>432</v>
      </c>
      <c r="D1" s="5" t="s">
        <v>433</v>
      </c>
      <c r="E1" s="5" t="s">
        <v>434</v>
      </c>
      <c r="F1" s="5" t="s">
        <v>435</v>
      </c>
    </row>
    <row r="3" customFormat="false" ht="15" hidden="false" customHeight="false" outlineLevel="0" collapsed="false">
      <c r="A3" s="6" t="n">
        <v>1</v>
      </c>
      <c r="B3" s="6" t="s">
        <v>86</v>
      </c>
      <c r="C3" s="6" t="s">
        <v>436</v>
      </c>
      <c r="D3" s="6" t="s">
        <v>437</v>
      </c>
      <c r="E3" s="6" t="s">
        <v>438</v>
      </c>
      <c r="F3" s="17" t="s">
        <v>439</v>
      </c>
    </row>
    <row r="4" customFormat="false" ht="15" hidden="false" customHeight="false" outlineLevel="0" collapsed="false">
      <c r="A4" s="6" t="n">
        <v>2</v>
      </c>
      <c r="B4" s="6" t="s">
        <v>95</v>
      </c>
      <c r="C4" s="6" t="s">
        <v>440</v>
      </c>
      <c r="D4" s="6" t="s">
        <v>441</v>
      </c>
      <c r="E4" s="6" t="s">
        <v>442</v>
      </c>
      <c r="F4" s="17" t="s">
        <v>439</v>
      </c>
    </row>
    <row r="5" customFormat="false" ht="15" hidden="false" customHeight="false" outlineLevel="0" collapsed="false">
      <c r="A5" s="6" t="n">
        <v>3</v>
      </c>
      <c r="B5" s="6" t="s">
        <v>102</v>
      </c>
      <c r="C5" s="6" t="s">
        <v>443</v>
      </c>
      <c r="D5" s="6" t="s">
        <v>441</v>
      </c>
      <c r="E5" s="6" t="s">
        <v>444</v>
      </c>
      <c r="F5" s="17" t="s">
        <v>439</v>
      </c>
    </row>
    <row r="6" customFormat="false" ht="15" hidden="false" customHeight="false" outlineLevel="0" collapsed="false">
      <c r="A6" s="6" t="n">
        <v>4</v>
      </c>
      <c r="B6" s="6" t="s">
        <v>113</v>
      </c>
      <c r="C6" s="6" t="s">
        <v>440</v>
      </c>
      <c r="D6" s="6" t="s">
        <v>441</v>
      </c>
      <c r="E6" s="6" t="s">
        <v>445</v>
      </c>
      <c r="F6" s="17" t="s">
        <v>439</v>
      </c>
    </row>
    <row r="7" customFormat="false" ht="15" hidden="false" customHeight="false" outlineLevel="0" collapsed="false">
      <c r="A7" s="6" t="n">
        <v>5</v>
      </c>
      <c r="B7" s="6" t="s">
        <v>126</v>
      </c>
      <c r="C7" s="6" t="s">
        <v>446</v>
      </c>
      <c r="D7" s="6" t="s">
        <v>441</v>
      </c>
      <c r="E7" s="6" t="s">
        <v>447</v>
      </c>
      <c r="F7" s="17" t="s">
        <v>439</v>
      </c>
    </row>
    <row r="8" customFormat="false" ht="15" hidden="false" customHeight="false" outlineLevel="0" collapsed="false">
      <c r="A8" s="6" t="n">
        <v>6</v>
      </c>
      <c r="B8" s="6" t="s">
        <v>130</v>
      </c>
      <c r="C8" s="6" t="s">
        <v>446</v>
      </c>
      <c r="D8" s="6" t="s">
        <v>441</v>
      </c>
      <c r="E8" s="6" t="s">
        <v>448</v>
      </c>
      <c r="F8" s="17" t="s">
        <v>439</v>
      </c>
    </row>
    <row r="9" customFormat="false" ht="22.35" hidden="false" customHeight="false" outlineLevel="0" collapsed="false">
      <c r="A9" s="6" t="n">
        <v>7</v>
      </c>
      <c r="B9" s="6" t="s">
        <v>133</v>
      </c>
      <c r="C9" s="6" t="s">
        <v>449</v>
      </c>
      <c r="D9" s="6" t="s">
        <v>441</v>
      </c>
      <c r="E9" s="6" t="s">
        <v>449</v>
      </c>
      <c r="F9" s="17" t="s">
        <v>439</v>
      </c>
    </row>
    <row r="10" customFormat="false" ht="15" hidden="false" customHeight="false" outlineLevel="0" collapsed="false">
      <c r="A10" s="6" t="n">
        <v>8</v>
      </c>
      <c r="B10" s="6" t="s">
        <v>136</v>
      </c>
      <c r="C10" s="6" t="s">
        <v>440</v>
      </c>
      <c r="D10" s="6" t="s">
        <v>441</v>
      </c>
      <c r="E10" s="6" t="s">
        <v>450</v>
      </c>
      <c r="F10" s="17" t="s">
        <v>439</v>
      </c>
    </row>
    <row r="11" customFormat="false" ht="15" hidden="false" customHeight="false" outlineLevel="0" collapsed="false">
      <c r="A11" s="6" t="n">
        <v>9</v>
      </c>
      <c r="B11" s="6" t="s">
        <v>138</v>
      </c>
      <c r="C11" s="6" t="s">
        <v>440</v>
      </c>
      <c r="D11" s="6" t="s">
        <v>441</v>
      </c>
      <c r="E11" s="6" t="s">
        <v>451</v>
      </c>
      <c r="F11" s="17" t="s">
        <v>439</v>
      </c>
    </row>
    <row r="12" customFormat="false" ht="15" hidden="false" customHeight="false" outlineLevel="0" collapsed="false">
      <c r="A12" s="6" t="n">
        <v>10</v>
      </c>
      <c r="B12" s="6" t="s">
        <v>142</v>
      </c>
      <c r="C12" s="6" t="s">
        <v>440</v>
      </c>
      <c r="D12" s="6" t="s">
        <v>441</v>
      </c>
      <c r="E12" s="6" t="s">
        <v>452</v>
      </c>
      <c r="F12" s="17" t="s">
        <v>439</v>
      </c>
    </row>
    <row r="13" customFormat="false" ht="15" hidden="false" customHeight="false" outlineLevel="0" collapsed="false">
      <c r="A13" s="6" t="n">
        <v>11</v>
      </c>
      <c r="B13" s="6" t="s">
        <v>147</v>
      </c>
      <c r="C13" s="6" t="s">
        <v>440</v>
      </c>
      <c r="D13" s="6" t="s">
        <v>441</v>
      </c>
      <c r="E13" s="6" t="s">
        <v>453</v>
      </c>
      <c r="F13" s="17" t="s">
        <v>439</v>
      </c>
    </row>
    <row r="14" customFormat="false" ht="15" hidden="false" customHeight="false" outlineLevel="0" collapsed="false">
      <c r="A14" s="6" t="n">
        <v>12</v>
      </c>
      <c r="B14" s="6" t="s">
        <v>150</v>
      </c>
      <c r="C14" s="6" t="s">
        <v>440</v>
      </c>
      <c r="D14" s="6" t="s">
        <v>441</v>
      </c>
      <c r="E14" s="6" t="s">
        <v>454</v>
      </c>
      <c r="F14" s="17" t="s">
        <v>439</v>
      </c>
    </row>
    <row r="15" customFormat="false" ht="15" hidden="false" customHeight="false" outlineLevel="0" collapsed="false">
      <c r="A15" s="6" t="n">
        <v>13</v>
      </c>
      <c r="B15" s="6" t="s">
        <v>153</v>
      </c>
      <c r="C15" s="6" t="s">
        <v>440</v>
      </c>
      <c r="D15" s="6" t="s">
        <v>441</v>
      </c>
      <c r="E15" s="6" t="s">
        <v>455</v>
      </c>
      <c r="F15" s="17" t="s">
        <v>439</v>
      </c>
    </row>
    <row r="16" customFormat="false" ht="15" hidden="false" customHeight="false" outlineLevel="0" collapsed="false">
      <c r="A16" s="6" t="n">
        <v>14</v>
      </c>
      <c r="B16" s="6" t="s">
        <v>154</v>
      </c>
      <c r="C16" s="6" t="s">
        <v>440</v>
      </c>
      <c r="D16" s="6" t="s">
        <v>441</v>
      </c>
      <c r="E16" s="6" t="s">
        <v>456</v>
      </c>
      <c r="F16" s="17" t="s">
        <v>439</v>
      </c>
    </row>
    <row r="17" customFormat="false" ht="15" hidden="false" customHeight="false" outlineLevel="0" collapsed="false">
      <c r="A17" s="6" t="n">
        <v>15</v>
      </c>
      <c r="B17" s="6" t="s">
        <v>157</v>
      </c>
      <c r="C17" s="6" t="s">
        <v>440</v>
      </c>
      <c r="D17" s="6" t="s">
        <v>441</v>
      </c>
      <c r="E17" s="6" t="s">
        <v>457</v>
      </c>
      <c r="F17" s="17" t="s">
        <v>439</v>
      </c>
    </row>
    <row r="18" customFormat="false" ht="15" hidden="false" customHeight="false" outlineLevel="0" collapsed="false">
      <c r="A18" s="6" t="n">
        <v>16</v>
      </c>
      <c r="B18" s="6" t="s">
        <v>160</v>
      </c>
      <c r="C18" s="6" t="s">
        <v>440</v>
      </c>
      <c r="D18" s="6" t="s">
        <v>441</v>
      </c>
      <c r="E18" s="6" t="s">
        <v>458</v>
      </c>
      <c r="F18" s="17" t="s">
        <v>439</v>
      </c>
    </row>
    <row r="19" customFormat="false" ht="15" hidden="false" customHeight="false" outlineLevel="0" collapsed="false">
      <c r="A19" s="6" t="n">
        <v>17</v>
      </c>
      <c r="B19" s="6" t="s">
        <v>163</v>
      </c>
      <c r="C19" s="6" t="s">
        <v>440</v>
      </c>
      <c r="D19" s="6" t="s">
        <v>441</v>
      </c>
      <c r="E19" s="6" t="s">
        <v>459</v>
      </c>
      <c r="F19" s="17" t="s">
        <v>439</v>
      </c>
    </row>
    <row r="20" customFormat="false" ht="15" hidden="false" customHeight="false" outlineLevel="0" collapsed="false">
      <c r="A20" s="6" t="n">
        <v>18</v>
      </c>
      <c r="B20" s="6" t="s">
        <v>177</v>
      </c>
      <c r="C20" s="6" t="s">
        <v>460</v>
      </c>
      <c r="D20" s="6" t="s">
        <v>441</v>
      </c>
      <c r="E20" s="6" t="s">
        <v>461</v>
      </c>
      <c r="F20" s="17" t="s">
        <v>439</v>
      </c>
    </row>
    <row r="21" customFormat="false" ht="15" hidden="false" customHeight="false" outlineLevel="0" collapsed="false">
      <c r="A21" s="6" t="n">
        <v>19</v>
      </c>
      <c r="B21" s="6" t="s">
        <v>183</v>
      </c>
      <c r="C21" s="6" t="s">
        <v>462</v>
      </c>
      <c r="D21" s="6" t="s">
        <v>463</v>
      </c>
      <c r="E21" s="6" t="s">
        <v>183</v>
      </c>
      <c r="F21" s="17" t="s">
        <v>439</v>
      </c>
    </row>
    <row r="22" customFormat="false" ht="15" hidden="false" customHeight="false" outlineLevel="0" collapsed="false">
      <c r="A22" s="6" t="n">
        <v>20</v>
      </c>
      <c r="B22" s="6" t="s">
        <v>190</v>
      </c>
      <c r="C22" s="6" t="s">
        <v>42</v>
      </c>
      <c r="D22" s="6" t="s">
        <v>463</v>
      </c>
      <c r="E22" s="6" t="s">
        <v>464</v>
      </c>
      <c r="F22" s="17" t="s">
        <v>439</v>
      </c>
    </row>
    <row r="23" customFormat="false" ht="15" hidden="false" customHeight="false" outlineLevel="0" collapsed="false">
      <c r="A23" s="6" t="n">
        <v>21</v>
      </c>
      <c r="B23" s="6" t="s">
        <v>193</v>
      </c>
      <c r="C23" s="6" t="s">
        <v>42</v>
      </c>
      <c r="D23" s="6" t="s">
        <v>463</v>
      </c>
      <c r="E23" s="6" t="s">
        <v>465</v>
      </c>
      <c r="F23" s="17" t="s">
        <v>439</v>
      </c>
    </row>
    <row r="24" customFormat="false" ht="15" hidden="false" customHeight="false" outlineLevel="0" collapsed="false">
      <c r="A24" s="6" t="n">
        <v>22</v>
      </c>
      <c r="B24" s="6" t="s">
        <v>199</v>
      </c>
      <c r="C24" s="6" t="s">
        <v>42</v>
      </c>
      <c r="D24" s="6" t="s">
        <v>463</v>
      </c>
      <c r="E24" s="6" t="s">
        <v>466</v>
      </c>
      <c r="F24" s="17" t="s">
        <v>439</v>
      </c>
    </row>
    <row r="25" customFormat="false" ht="15" hidden="false" customHeight="false" outlineLevel="0" collapsed="false">
      <c r="A25" s="6" t="n">
        <v>23</v>
      </c>
      <c r="B25" s="6" t="s">
        <v>202</v>
      </c>
      <c r="C25" s="6" t="s">
        <v>42</v>
      </c>
      <c r="D25" s="6" t="s">
        <v>463</v>
      </c>
      <c r="E25" s="6" t="s">
        <v>467</v>
      </c>
      <c r="F25" s="17" t="s">
        <v>439</v>
      </c>
    </row>
    <row r="26" customFormat="false" ht="15" hidden="false" customHeight="false" outlineLevel="0" collapsed="false">
      <c r="A26" s="6" t="n">
        <v>24</v>
      </c>
      <c r="B26" s="6" t="s">
        <v>206</v>
      </c>
      <c r="C26" s="6" t="s">
        <v>42</v>
      </c>
      <c r="D26" s="6" t="s">
        <v>463</v>
      </c>
      <c r="E26" s="6" t="s">
        <v>468</v>
      </c>
      <c r="F26" s="17" t="s">
        <v>439</v>
      </c>
    </row>
    <row r="27" customFormat="false" ht="15" hidden="false" customHeight="false" outlineLevel="0" collapsed="false">
      <c r="A27" s="6" t="n">
        <v>25</v>
      </c>
      <c r="B27" s="6" t="s">
        <v>210</v>
      </c>
      <c r="C27" s="6" t="s">
        <v>42</v>
      </c>
      <c r="D27" s="6" t="s">
        <v>463</v>
      </c>
      <c r="E27" s="6" t="s">
        <v>469</v>
      </c>
      <c r="F27" s="17" t="s">
        <v>439</v>
      </c>
    </row>
    <row r="28" customFormat="false" ht="15" hidden="false" customHeight="false" outlineLevel="0" collapsed="false">
      <c r="A28" s="6" t="n">
        <v>26</v>
      </c>
      <c r="B28" s="6" t="s">
        <v>213</v>
      </c>
      <c r="C28" s="6" t="s">
        <v>470</v>
      </c>
      <c r="D28" s="6" t="s">
        <v>463</v>
      </c>
      <c r="E28" s="6" t="s">
        <v>471</v>
      </c>
      <c r="F28" s="17" t="s">
        <v>439</v>
      </c>
    </row>
    <row r="29" customFormat="false" ht="15" hidden="false" customHeight="false" outlineLevel="0" collapsed="false">
      <c r="A29" s="6" t="n">
        <v>27</v>
      </c>
      <c r="B29" s="6" t="s">
        <v>218</v>
      </c>
      <c r="C29" s="6" t="s">
        <v>472</v>
      </c>
      <c r="D29" s="6" t="s">
        <v>463</v>
      </c>
      <c r="E29" s="6" t="s">
        <v>473</v>
      </c>
      <c r="F29" s="17" t="s">
        <v>439</v>
      </c>
    </row>
    <row r="30" customFormat="false" ht="15" hidden="false" customHeight="false" outlineLevel="0" collapsed="false">
      <c r="A30" s="6" t="n">
        <v>28</v>
      </c>
      <c r="B30" s="6" t="s">
        <v>474</v>
      </c>
      <c r="C30" s="6" t="s">
        <v>475</v>
      </c>
      <c r="D30" s="6" t="s">
        <v>463</v>
      </c>
      <c r="E30" s="6" t="s">
        <v>476</v>
      </c>
      <c r="F30" s="17" t="s">
        <v>439</v>
      </c>
    </row>
    <row r="31" customFormat="false" ht="15" hidden="false" customHeight="false" outlineLevel="0" collapsed="false">
      <c r="A31" s="6" t="n">
        <v>29</v>
      </c>
      <c r="B31" s="6" t="s">
        <v>229</v>
      </c>
      <c r="C31" s="6" t="s">
        <v>42</v>
      </c>
      <c r="D31" s="6" t="s">
        <v>463</v>
      </c>
      <c r="E31" s="6" t="s">
        <v>477</v>
      </c>
      <c r="F31" s="17" t="s">
        <v>439</v>
      </c>
    </row>
    <row r="32" customFormat="false" ht="15" hidden="false" customHeight="false" outlineLevel="0" collapsed="false">
      <c r="A32" s="6" t="n">
        <v>30</v>
      </c>
      <c r="B32" s="6" t="s">
        <v>233</v>
      </c>
      <c r="C32" s="6" t="s">
        <v>42</v>
      </c>
      <c r="D32" s="6" t="s">
        <v>463</v>
      </c>
      <c r="E32" s="6" t="s">
        <v>478</v>
      </c>
      <c r="F32" s="17" t="s">
        <v>439</v>
      </c>
    </row>
    <row r="33" customFormat="false" ht="15" hidden="false" customHeight="false" outlineLevel="0" collapsed="false">
      <c r="A33" s="6" t="n">
        <v>31</v>
      </c>
      <c r="B33" s="6" t="s">
        <v>237</v>
      </c>
      <c r="C33" s="6" t="s">
        <v>46</v>
      </c>
      <c r="D33" s="6" t="s">
        <v>479</v>
      </c>
      <c r="E33" s="6" t="s">
        <v>480</v>
      </c>
      <c r="F33" s="17" t="s">
        <v>439</v>
      </c>
    </row>
    <row r="34" customFormat="false" ht="15" hidden="false" customHeight="false" outlineLevel="0" collapsed="false">
      <c r="A34" s="6" t="n">
        <v>32</v>
      </c>
      <c r="B34" s="6" t="s">
        <v>241</v>
      </c>
      <c r="C34" s="6" t="s">
        <v>46</v>
      </c>
      <c r="D34" s="6" t="s">
        <v>479</v>
      </c>
      <c r="E34" s="6" t="s">
        <v>481</v>
      </c>
      <c r="F34" s="17" t="s">
        <v>439</v>
      </c>
    </row>
    <row r="35" customFormat="false" ht="15" hidden="false" customHeight="false" outlineLevel="0" collapsed="false">
      <c r="A35" s="6" t="n">
        <v>33</v>
      </c>
      <c r="B35" s="6" t="s">
        <v>244</v>
      </c>
      <c r="C35" s="6" t="s">
        <v>46</v>
      </c>
      <c r="D35" s="6" t="s">
        <v>479</v>
      </c>
      <c r="E35" s="6" t="s">
        <v>482</v>
      </c>
      <c r="F35" s="17" t="s">
        <v>439</v>
      </c>
    </row>
    <row r="36" customFormat="false" ht="15" hidden="false" customHeight="false" outlineLevel="0" collapsed="false">
      <c r="A36" s="6" t="n">
        <v>34</v>
      </c>
      <c r="B36" s="6" t="s">
        <v>250</v>
      </c>
      <c r="C36" s="6" t="s">
        <v>483</v>
      </c>
      <c r="D36" s="6" t="s">
        <v>479</v>
      </c>
      <c r="E36" s="6" t="s">
        <v>484</v>
      </c>
      <c r="F36" s="17" t="s">
        <v>439</v>
      </c>
    </row>
    <row r="37" customFormat="false" ht="15" hidden="false" customHeight="false" outlineLevel="0" collapsed="false">
      <c r="A37" s="6" t="n">
        <v>35</v>
      </c>
      <c r="B37" s="6" t="s">
        <v>254</v>
      </c>
      <c r="C37" s="6" t="s">
        <v>48</v>
      </c>
      <c r="D37" s="6" t="s">
        <v>485</v>
      </c>
      <c r="E37" s="6" t="s">
        <v>486</v>
      </c>
      <c r="F37" s="17" t="s">
        <v>439</v>
      </c>
    </row>
    <row r="38" customFormat="false" ht="15" hidden="false" customHeight="false" outlineLevel="0" collapsed="false">
      <c r="A38" s="6" t="n">
        <v>36</v>
      </c>
      <c r="B38" s="6" t="s">
        <v>256</v>
      </c>
      <c r="C38" s="6" t="s">
        <v>48</v>
      </c>
      <c r="D38" s="6" t="s">
        <v>485</v>
      </c>
      <c r="E38" s="6" t="s">
        <v>487</v>
      </c>
      <c r="F38" s="17" t="s">
        <v>439</v>
      </c>
    </row>
    <row r="39" customFormat="false" ht="15" hidden="false" customHeight="false" outlineLevel="0" collapsed="false">
      <c r="A39" s="6" t="n">
        <v>37</v>
      </c>
      <c r="B39" s="6" t="s">
        <v>262</v>
      </c>
      <c r="C39" s="6" t="s">
        <v>488</v>
      </c>
      <c r="D39" s="6" t="s">
        <v>485</v>
      </c>
      <c r="E39" s="6" t="s">
        <v>489</v>
      </c>
      <c r="F39" s="17" t="s">
        <v>439</v>
      </c>
    </row>
    <row r="40" customFormat="false" ht="15" hidden="false" customHeight="false" outlineLevel="0" collapsed="false">
      <c r="A40" s="6" t="n">
        <v>38</v>
      </c>
      <c r="B40" s="6" t="s">
        <v>265</v>
      </c>
      <c r="C40" s="6" t="s">
        <v>490</v>
      </c>
      <c r="D40" s="6" t="s">
        <v>485</v>
      </c>
      <c r="E40" s="6" t="s">
        <v>491</v>
      </c>
      <c r="F40" s="17" t="s">
        <v>439</v>
      </c>
    </row>
    <row r="41" customFormat="false" ht="15" hidden="false" customHeight="false" outlineLevel="0" collapsed="false">
      <c r="A41" s="6" t="n">
        <v>39</v>
      </c>
      <c r="B41" s="6" t="s">
        <v>268</v>
      </c>
      <c r="C41" s="6" t="s">
        <v>490</v>
      </c>
      <c r="D41" s="6" t="s">
        <v>485</v>
      </c>
      <c r="E41" s="6" t="s">
        <v>492</v>
      </c>
      <c r="F41" s="17" t="s">
        <v>439</v>
      </c>
    </row>
    <row r="42" customFormat="false" ht="15" hidden="false" customHeight="false" outlineLevel="0" collapsed="false">
      <c r="A42" s="6" t="n">
        <v>40</v>
      </c>
      <c r="B42" s="6" t="s">
        <v>270</v>
      </c>
      <c r="C42" s="6" t="s">
        <v>48</v>
      </c>
      <c r="D42" s="6" t="s">
        <v>485</v>
      </c>
      <c r="E42" s="6" t="s">
        <v>493</v>
      </c>
      <c r="F42" s="17" t="s">
        <v>439</v>
      </c>
    </row>
    <row r="43" customFormat="false" ht="15" hidden="false" customHeight="false" outlineLevel="0" collapsed="false">
      <c r="A43" s="6" t="n">
        <v>41</v>
      </c>
      <c r="B43" s="6" t="s">
        <v>273</v>
      </c>
      <c r="C43" s="6" t="s">
        <v>50</v>
      </c>
      <c r="D43" s="6" t="s">
        <v>494</v>
      </c>
      <c r="E43" s="6" t="s">
        <v>495</v>
      </c>
      <c r="F43" s="17" t="s">
        <v>439</v>
      </c>
    </row>
    <row r="44" customFormat="false" ht="15" hidden="false" customHeight="false" outlineLevel="0" collapsed="false">
      <c r="A44" s="6" t="n">
        <v>42</v>
      </c>
      <c r="B44" s="6" t="s">
        <v>276</v>
      </c>
      <c r="C44" s="6" t="s">
        <v>50</v>
      </c>
      <c r="D44" s="6" t="s">
        <v>494</v>
      </c>
      <c r="E44" s="6" t="s">
        <v>496</v>
      </c>
      <c r="F44" s="17" t="s">
        <v>439</v>
      </c>
    </row>
    <row r="45" customFormat="false" ht="15" hidden="false" customHeight="false" outlineLevel="0" collapsed="false">
      <c r="A45" s="6" t="n">
        <v>43</v>
      </c>
      <c r="B45" s="6" t="s">
        <v>284</v>
      </c>
      <c r="C45" s="6" t="s">
        <v>50</v>
      </c>
      <c r="D45" s="6" t="s">
        <v>494</v>
      </c>
      <c r="E45" s="6" t="s">
        <v>497</v>
      </c>
      <c r="F45" s="17" t="s">
        <v>439</v>
      </c>
    </row>
    <row r="46" customFormat="false" ht="15" hidden="false" customHeight="false" outlineLevel="0" collapsed="false">
      <c r="A46" s="6" t="n">
        <v>44</v>
      </c>
      <c r="B46" s="6" t="s">
        <v>288</v>
      </c>
      <c r="C46" s="6" t="s">
        <v>498</v>
      </c>
      <c r="D46" s="6" t="s">
        <v>494</v>
      </c>
      <c r="E46" s="6" t="s">
        <v>499</v>
      </c>
      <c r="F46" s="17" t="s">
        <v>439</v>
      </c>
    </row>
    <row r="47" customFormat="false" ht="15" hidden="false" customHeight="false" outlineLevel="0" collapsed="false">
      <c r="A47" s="6" t="n">
        <v>45</v>
      </c>
      <c r="B47" s="6" t="s">
        <v>292</v>
      </c>
      <c r="C47" s="6" t="s">
        <v>500</v>
      </c>
      <c r="D47" s="6" t="s">
        <v>494</v>
      </c>
      <c r="E47" s="6" t="s">
        <v>500</v>
      </c>
      <c r="F47" s="17" t="s">
        <v>439</v>
      </c>
    </row>
    <row r="48" customFormat="false" ht="15" hidden="false" customHeight="false" outlineLevel="0" collapsed="false">
      <c r="A48" s="6" t="n">
        <v>46</v>
      </c>
      <c r="B48" s="6" t="s">
        <v>298</v>
      </c>
      <c r="C48" s="6" t="s">
        <v>500</v>
      </c>
      <c r="D48" s="6" t="s">
        <v>494</v>
      </c>
      <c r="E48" s="6" t="s">
        <v>501</v>
      </c>
      <c r="F48" s="17" t="s">
        <v>439</v>
      </c>
    </row>
    <row r="49" customFormat="false" ht="15" hidden="false" customHeight="false" outlineLevel="0" collapsed="false">
      <c r="A49" s="6" t="n">
        <v>47</v>
      </c>
      <c r="B49" s="6" t="s">
        <v>300</v>
      </c>
      <c r="C49" s="6" t="s">
        <v>502</v>
      </c>
      <c r="D49" s="6" t="s">
        <v>503</v>
      </c>
      <c r="E49" s="6" t="s">
        <v>504</v>
      </c>
      <c r="F49" s="17" t="s">
        <v>439</v>
      </c>
    </row>
    <row r="50" customFormat="false" ht="15" hidden="false" customHeight="false" outlineLevel="0" collapsed="false">
      <c r="A50" s="6" t="n">
        <v>48</v>
      </c>
      <c r="B50" s="6" t="s">
        <v>303</v>
      </c>
      <c r="C50" s="6" t="s">
        <v>505</v>
      </c>
      <c r="D50" s="6" t="s">
        <v>503</v>
      </c>
      <c r="E50" s="6" t="s">
        <v>506</v>
      </c>
      <c r="F50" s="17" t="s">
        <v>439</v>
      </c>
    </row>
    <row r="51" customFormat="false" ht="15" hidden="false" customHeight="false" outlineLevel="0" collapsed="false">
      <c r="A51" s="6" t="n">
        <v>49</v>
      </c>
      <c r="B51" s="6" t="s">
        <v>305</v>
      </c>
      <c r="C51" s="6" t="s">
        <v>54</v>
      </c>
      <c r="D51" s="6" t="s">
        <v>503</v>
      </c>
      <c r="E51" s="6" t="s">
        <v>507</v>
      </c>
      <c r="F51" s="17" t="s">
        <v>439</v>
      </c>
    </row>
    <row r="52" customFormat="false" ht="15" hidden="false" customHeight="false" outlineLevel="0" collapsed="false">
      <c r="A52" s="6" t="n">
        <v>50</v>
      </c>
      <c r="B52" s="6" t="s">
        <v>308</v>
      </c>
      <c r="C52" s="6" t="s">
        <v>54</v>
      </c>
      <c r="D52" s="6" t="s">
        <v>503</v>
      </c>
      <c r="E52" s="6" t="s">
        <v>508</v>
      </c>
      <c r="F52" s="17" t="s">
        <v>439</v>
      </c>
    </row>
    <row r="53" customFormat="false" ht="15" hidden="false" customHeight="false" outlineLevel="0" collapsed="false">
      <c r="A53" s="6" t="n">
        <v>51</v>
      </c>
      <c r="B53" s="6" t="s">
        <v>311</v>
      </c>
      <c r="C53" s="6" t="s">
        <v>54</v>
      </c>
      <c r="D53" s="6" t="s">
        <v>503</v>
      </c>
      <c r="E53" s="6" t="s">
        <v>509</v>
      </c>
      <c r="F53" s="17" t="s">
        <v>439</v>
      </c>
    </row>
    <row r="54" customFormat="false" ht="15" hidden="false" customHeight="false" outlineLevel="0" collapsed="false">
      <c r="A54" s="6" t="n">
        <v>52</v>
      </c>
      <c r="B54" s="6" t="s">
        <v>316</v>
      </c>
      <c r="C54" s="6" t="s">
        <v>510</v>
      </c>
      <c r="D54" s="6" t="s">
        <v>503</v>
      </c>
      <c r="E54" s="6" t="s">
        <v>511</v>
      </c>
      <c r="F54" s="17" t="s">
        <v>439</v>
      </c>
    </row>
    <row r="55" customFormat="false" ht="15" hidden="false" customHeight="false" outlineLevel="0" collapsed="false">
      <c r="A55" s="6" t="n">
        <v>53</v>
      </c>
      <c r="B55" s="6" t="s">
        <v>322</v>
      </c>
      <c r="C55" s="6" t="s">
        <v>510</v>
      </c>
      <c r="D55" s="6" t="s">
        <v>503</v>
      </c>
      <c r="E55" s="6" t="s">
        <v>512</v>
      </c>
      <c r="F55" s="17" t="s">
        <v>439</v>
      </c>
    </row>
    <row r="56" customFormat="false" ht="15" hidden="false" customHeight="false" outlineLevel="0" collapsed="false">
      <c r="A56" s="6" t="n">
        <v>54</v>
      </c>
      <c r="B56" s="6" t="s">
        <v>326</v>
      </c>
      <c r="C56" s="6" t="s">
        <v>513</v>
      </c>
      <c r="D56" s="6" t="s">
        <v>503</v>
      </c>
      <c r="E56" s="6" t="s">
        <v>514</v>
      </c>
      <c r="F56" s="17" t="s">
        <v>439</v>
      </c>
    </row>
    <row r="57" customFormat="false" ht="15" hidden="false" customHeight="false" outlineLevel="0" collapsed="false">
      <c r="A57" s="6" t="n">
        <v>55</v>
      </c>
      <c r="B57" s="6" t="s">
        <v>329</v>
      </c>
      <c r="C57" s="6" t="s">
        <v>513</v>
      </c>
      <c r="D57" s="6" t="s">
        <v>503</v>
      </c>
      <c r="E57" s="6" t="s">
        <v>515</v>
      </c>
      <c r="F57" s="17" t="s">
        <v>439</v>
      </c>
    </row>
    <row r="58" customFormat="false" ht="15" hidden="false" customHeight="false" outlineLevel="0" collapsed="false">
      <c r="A58" s="6" t="n">
        <v>56</v>
      </c>
      <c r="B58" s="6" t="s">
        <v>331</v>
      </c>
      <c r="C58" s="6" t="s">
        <v>513</v>
      </c>
      <c r="D58" s="6" t="s">
        <v>503</v>
      </c>
      <c r="E58" s="6" t="s">
        <v>516</v>
      </c>
      <c r="F58" s="17" t="s">
        <v>439</v>
      </c>
    </row>
    <row r="59" customFormat="false" ht="15" hidden="false" customHeight="false" outlineLevel="0" collapsed="false">
      <c r="A59" s="6" t="n">
        <v>57</v>
      </c>
      <c r="B59" s="6" t="s">
        <v>334</v>
      </c>
      <c r="C59" s="6" t="s">
        <v>513</v>
      </c>
      <c r="D59" s="6" t="s">
        <v>503</v>
      </c>
      <c r="E59" s="6" t="s">
        <v>517</v>
      </c>
      <c r="F59" s="17" t="s">
        <v>439</v>
      </c>
    </row>
    <row r="60" customFormat="false" ht="15" hidden="false" customHeight="false" outlineLevel="0" collapsed="false">
      <c r="A60" s="6" t="n">
        <v>58</v>
      </c>
      <c r="B60" s="6" t="s">
        <v>335</v>
      </c>
      <c r="C60" s="6" t="s">
        <v>56</v>
      </c>
      <c r="D60" s="6" t="s">
        <v>503</v>
      </c>
      <c r="E60" s="6" t="s">
        <v>518</v>
      </c>
      <c r="F60" s="17" t="s">
        <v>439</v>
      </c>
    </row>
    <row r="61" customFormat="false" ht="15" hidden="false" customHeight="false" outlineLevel="0" collapsed="false">
      <c r="A61" s="6" t="n">
        <v>59</v>
      </c>
      <c r="B61" s="6" t="s">
        <v>339</v>
      </c>
      <c r="C61" s="6" t="s">
        <v>56</v>
      </c>
      <c r="D61" s="6" t="s">
        <v>503</v>
      </c>
      <c r="E61" s="6" t="s">
        <v>519</v>
      </c>
      <c r="F61" s="17" t="s">
        <v>439</v>
      </c>
    </row>
    <row r="62" customFormat="false" ht="15" hidden="false" customHeight="false" outlineLevel="0" collapsed="false">
      <c r="A62" s="6" t="n">
        <v>60</v>
      </c>
      <c r="B62" s="6" t="s">
        <v>343</v>
      </c>
      <c r="C62" s="6" t="s">
        <v>56</v>
      </c>
      <c r="D62" s="6" t="s">
        <v>503</v>
      </c>
      <c r="E62" s="6" t="s">
        <v>520</v>
      </c>
      <c r="F62" s="17" t="s">
        <v>439</v>
      </c>
    </row>
    <row r="63" customFormat="false" ht="15" hidden="false" customHeight="false" outlineLevel="0" collapsed="false">
      <c r="A63" s="6" t="n">
        <v>61</v>
      </c>
      <c r="B63" s="6" t="s">
        <v>345</v>
      </c>
      <c r="C63" s="6" t="s">
        <v>521</v>
      </c>
      <c r="D63" s="6" t="s">
        <v>522</v>
      </c>
      <c r="E63" s="6" t="s">
        <v>523</v>
      </c>
      <c r="F63" s="17" t="s">
        <v>439</v>
      </c>
    </row>
    <row r="64" customFormat="false" ht="15" hidden="false" customHeight="false" outlineLevel="0" collapsed="false">
      <c r="A64" s="6" t="n">
        <v>62</v>
      </c>
      <c r="B64" s="6" t="s">
        <v>348</v>
      </c>
      <c r="C64" s="6" t="s">
        <v>521</v>
      </c>
      <c r="D64" s="6" t="s">
        <v>522</v>
      </c>
      <c r="E64" s="6" t="s">
        <v>524</v>
      </c>
      <c r="F64" s="17" t="s">
        <v>439</v>
      </c>
    </row>
    <row r="65" customFormat="false" ht="15" hidden="false" customHeight="false" outlineLevel="0" collapsed="false">
      <c r="A65" s="6" t="n">
        <v>63</v>
      </c>
      <c r="B65" s="6" t="s">
        <v>351</v>
      </c>
      <c r="C65" s="6" t="s">
        <v>525</v>
      </c>
      <c r="D65" s="6" t="s">
        <v>522</v>
      </c>
      <c r="E65" s="6" t="s">
        <v>526</v>
      </c>
      <c r="F65" s="17" t="s">
        <v>439</v>
      </c>
    </row>
    <row r="66" customFormat="false" ht="15" hidden="false" customHeight="false" outlineLevel="0" collapsed="false">
      <c r="A66" s="6" t="n">
        <v>64</v>
      </c>
      <c r="B66" s="6" t="s">
        <v>354</v>
      </c>
      <c r="C66" s="6" t="s">
        <v>58</v>
      </c>
      <c r="D66" s="6" t="s">
        <v>522</v>
      </c>
      <c r="E66" s="6" t="s">
        <v>527</v>
      </c>
      <c r="F66" s="17" t="s">
        <v>439</v>
      </c>
    </row>
    <row r="67" customFormat="false" ht="15" hidden="false" customHeight="false" outlineLevel="0" collapsed="false">
      <c r="A67" s="6" t="n">
        <v>65</v>
      </c>
      <c r="B67" s="6" t="s">
        <v>358</v>
      </c>
      <c r="C67" s="6" t="s">
        <v>58</v>
      </c>
      <c r="D67" s="6" t="s">
        <v>522</v>
      </c>
      <c r="E67" s="6" t="s">
        <v>528</v>
      </c>
      <c r="F67" s="17" t="s">
        <v>439</v>
      </c>
    </row>
    <row r="68" customFormat="false" ht="15" hidden="false" customHeight="false" outlineLevel="0" collapsed="false">
      <c r="A68" s="6" t="n">
        <v>66</v>
      </c>
      <c r="B68" s="6" t="s">
        <v>361</v>
      </c>
      <c r="C68" s="6" t="s">
        <v>529</v>
      </c>
      <c r="D68" s="6" t="s">
        <v>522</v>
      </c>
      <c r="E68" s="6" t="s">
        <v>530</v>
      </c>
      <c r="F68" s="17" t="s">
        <v>439</v>
      </c>
    </row>
    <row r="69" customFormat="false" ht="15" hidden="false" customHeight="false" outlineLevel="0" collapsed="false">
      <c r="A69" s="6" t="n">
        <v>67</v>
      </c>
      <c r="B69" s="6" t="s">
        <v>365</v>
      </c>
      <c r="C69" s="6" t="s">
        <v>531</v>
      </c>
      <c r="D69" s="6" t="s">
        <v>522</v>
      </c>
      <c r="E69" s="6" t="s">
        <v>532</v>
      </c>
      <c r="F69" s="17" t="s">
        <v>439</v>
      </c>
    </row>
    <row r="70" customFormat="false" ht="15" hidden="false" customHeight="false" outlineLevel="0" collapsed="false">
      <c r="A70" s="6" t="n">
        <v>68</v>
      </c>
      <c r="B70" s="6" t="s">
        <v>368</v>
      </c>
      <c r="C70" s="6" t="s">
        <v>533</v>
      </c>
      <c r="D70" s="6" t="s">
        <v>522</v>
      </c>
      <c r="E70" s="6" t="s">
        <v>534</v>
      </c>
      <c r="F70" s="17" t="s">
        <v>439</v>
      </c>
    </row>
    <row r="71" customFormat="false" ht="15" hidden="false" customHeight="false" outlineLevel="0" collapsed="false">
      <c r="A71" s="6" t="n">
        <v>69</v>
      </c>
      <c r="B71" s="6" t="s">
        <v>370</v>
      </c>
      <c r="C71" s="6" t="s">
        <v>533</v>
      </c>
      <c r="D71" s="6" t="s">
        <v>522</v>
      </c>
      <c r="E71" s="6" t="s">
        <v>535</v>
      </c>
      <c r="F71" s="17" t="s">
        <v>439</v>
      </c>
    </row>
    <row r="72" customFormat="false" ht="15" hidden="false" customHeight="false" outlineLevel="0" collapsed="false">
      <c r="A72" s="6" t="n">
        <v>70</v>
      </c>
      <c r="B72" s="6" t="s">
        <v>373</v>
      </c>
      <c r="C72" s="6" t="s">
        <v>536</v>
      </c>
      <c r="D72" s="6" t="s">
        <v>522</v>
      </c>
      <c r="E72" s="6" t="s">
        <v>537</v>
      </c>
      <c r="F72" s="17" t="s">
        <v>439</v>
      </c>
    </row>
    <row r="73" customFormat="false" ht="15" hidden="false" customHeight="false" outlineLevel="0" collapsed="false">
      <c r="A73" s="6" t="n">
        <v>71</v>
      </c>
      <c r="B73" s="6" t="s">
        <v>377</v>
      </c>
      <c r="C73" s="6" t="s">
        <v>538</v>
      </c>
      <c r="D73" s="6" t="s">
        <v>522</v>
      </c>
      <c r="E73" s="6" t="s">
        <v>539</v>
      </c>
      <c r="F73" s="17" t="s">
        <v>439</v>
      </c>
    </row>
    <row r="74" customFormat="false" ht="15" hidden="false" customHeight="false" outlineLevel="0" collapsed="false">
      <c r="A74" s="6" t="n">
        <v>72</v>
      </c>
      <c r="B74" s="6" t="s">
        <v>381</v>
      </c>
      <c r="C74" s="6" t="s">
        <v>540</v>
      </c>
      <c r="D74" s="6" t="s">
        <v>522</v>
      </c>
      <c r="E74" s="6" t="s">
        <v>541</v>
      </c>
      <c r="F74" s="17" t="s">
        <v>439</v>
      </c>
    </row>
    <row r="75" customFormat="false" ht="15" hidden="false" customHeight="false" outlineLevel="0" collapsed="false">
      <c r="A75" s="6" t="n">
        <v>73</v>
      </c>
      <c r="B75" s="6" t="s">
        <v>385</v>
      </c>
      <c r="C75" s="6" t="s">
        <v>62</v>
      </c>
      <c r="D75" s="6" t="s">
        <v>522</v>
      </c>
      <c r="E75" s="6" t="s">
        <v>542</v>
      </c>
      <c r="F75" s="17" t="s">
        <v>439</v>
      </c>
    </row>
    <row r="76" customFormat="false" ht="15" hidden="false" customHeight="false" outlineLevel="0" collapsed="false">
      <c r="A76" s="6" t="n">
        <v>74</v>
      </c>
      <c r="B76" s="6" t="s">
        <v>389</v>
      </c>
      <c r="C76" s="6" t="s">
        <v>62</v>
      </c>
      <c r="D76" s="6" t="s">
        <v>522</v>
      </c>
      <c r="E76" s="6" t="s">
        <v>543</v>
      </c>
      <c r="F76" s="17" t="s">
        <v>439</v>
      </c>
    </row>
    <row r="77" customFormat="false" ht="15" hidden="false" customHeight="false" outlineLevel="0" collapsed="false">
      <c r="A77" s="6" t="n">
        <v>75</v>
      </c>
      <c r="B77" s="6" t="s">
        <v>393</v>
      </c>
      <c r="C77" s="6" t="s">
        <v>62</v>
      </c>
      <c r="D77" s="6" t="s">
        <v>522</v>
      </c>
      <c r="E77" s="6" t="s">
        <v>544</v>
      </c>
      <c r="F77" s="17" t="s">
        <v>439</v>
      </c>
    </row>
    <row r="78" customFormat="false" ht="15" hidden="false" customHeight="false" outlineLevel="0" collapsed="false">
      <c r="A78" s="6" t="n">
        <v>76</v>
      </c>
      <c r="B78" s="6" t="s">
        <v>400</v>
      </c>
      <c r="C78" s="6" t="s">
        <v>545</v>
      </c>
      <c r="D78" s="6" t="s">
        <v>545</v>
      </c>
      <c r="E78" s="6" t="s">
        <v>546</v>
      </c>
      <c r="F78" s="17" t="s">
        <v>439</v>
      </c>
    </row>
    <row r="79" customFormat="false" ht="15" hidden="false" customHeight="false" outlineLevel="0" collapsed="false">
      <c r="A79" s="6" t="n">
        <v>77</v>
      </c>
      <c r="B79" s="6" t="s">
        <v>405</v>
      </c>
      <c r="C79" s="6" t="s">
        <v>547</v>
      </c>
      <c r="D79" s="6" t="s">
        <v>522</v>
      </c>
      <c r="E79" s="6" t="s">
        <v>548</v>
      </c>
      <c r="F79" s="17" t="s">
        <v>439</v>
      </c>
    </row>
    <row r="80" customFormat="false" ht="15" hidden="false" customHeight="false" outlineLevel="0" collapsed="false">
      <c r="A80" s="6" t="n">
        <v>78</v>
      </c>
      <c r="B80" s="6" t="s">
        <v>407</v>
      </c>
      <c r="C80" s="6" t="s">
        <v>547</v>
      </c>
      <c r="D80" s="6" t="s">
        <v>522</v>
      </c>
      <c r="E80" s="6" t="s">
        <v>549</v>
      </c>
      <c r="F80" s="17" t="s">
        <v>439</v>
      </c>
    </row>
    <row r="81" customFormat="false" ht="15" hidden="false" customHeight="false" outlineLevel="0" collapsed="false">
      <c r="A81" s="6" t="n">
        <v>79</v>
      </c>
      <c r="B81" s="6" t="s">
        <v>411</v>
      </c>
      <c r="C81" s="6" t="s">
        <v>547</v>
      </c>
      <c r="D81" s="6" t="s">
        <v>522</v>
      </c>
      <c r="E81" s="6" t="s">
        <v>550</v>
      </c>
      <c r="F81" s="17" t="s">
        <v>439</v>
      </c>
    </row>
    <row r="82" customFormat="false" ht="15" hidden="false" customHeight="false" outlineLevel="0" collapsed="false">
      <c r="A82" s="6" t="n">
        <v>80</v>
      </c>
      <c r="B82" s="6" t="s">
        <v>416</v>
      </c>
      <c r="C82" s="6" t="s">
        <v>547</v>
      </c>
      <c r="D82" s="6" t="s">
        <v>522</v>
      </c>
      <c r="E82" s="6" t="s">
        <v>551</v>
      </c>
      <c r="F82" s="17" t="s">
        <v>439</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5" t="s">
        <v>28</v>
      </c>
      <c r="B1" s="5" t="s">
        <v>552</v>
      </c>
      <c r="C1" s="5" t="s">
        <v>553</v>
      </c>
    </row>
    <row r="3" customFormat="false" ht="15" hidden="false" customHeight="false" outlineLevel="0" collapsed="false">
      <c r="A3" s="6" t="n">
        <v>1</v>
      </c>
      <c r="B3" s="6" t="s">
        <v>554</v>
      </c>
      <c r="C3" s="6" t="s">
        <v>555</v>
      </c>
    </row>
    <row r="4" customFormat="false" ht="15" hidden="false" customHeight="false" outlineLevel="0" collapsed="false">
      <c r="A4" s="6" t="n">
        <v>2</v>
      </c>
      <c r="B4" s="6" t="s">
        <v>556</v>
      </c>
      <c r="C4" s="6" t="s">
        <v>557</v>
      </c>
    </row>
    <row r="5" customFormat="false" ht="15" hidden="false" customHeight="false" outlineLevel="0" collapsed="false">
      <c r="A5" s="6" t="n">
        <v>3</v>
      </c>
      <c r="B5" s="6" t="s">
        <v>558</v>
      </c>
      <c r="C5" s="6" t="s">
        <v>559</v>
      </c>
    </row>
    <row r="6" customFormat="false" ht="15" hidden="false" customHeight="false" outlineLevel="0" collapsed="false">
      <c r="A6" s="6" t="n">
        <v>4</v>
      </c>
      <c r="B6" s="6" t="s">
        <v>560</v>
      </c>
      <c r="C6" s="6" t="s">
        <v>561</v>
      </c>
    </row>
    <row r="7" customFormat="false" ht="15" hidden="false" customHeight="false" outlineLevel="0" collapsed="false">
      <c r="A7" s="6" t="n">
        <v>5</v>
      </c>
      <c r="B7" s="6" t="s">
        <v>562</v>
      </c>
      <c r="C7" s="6" t="s">
        <v>563</v>
      </c>
    </row>
    <row r="8" customFormat="false" ht="15" hidden="false" customHeight="false" outlineLevel="0" collapsed="false">
      <c r="A8" s="6" t="n">
        <v>6</v>
      </c>
      <c r="B8" s="6" t="s">
        <v>564</v>
      </c>
      <c r="C8" s="6" t="s">
        <v>565</v>
      </c>
    </row>
    <row r="9" customFormat="false" ht="15" hidden="false" customHeight="false" outlineLevel="0" collapsed="false">
      <c r="A9" s="6" t="n">
        <v>7</v>
      </c>
      <c r="B9" s="6" t="s">
        <v>566</v>
      </c>
      <c r="C9" s="6" t="s">
        <v>567</v>
      </c>
    </row>
    <row r="10" customFormat="false" ht="15" hidden="false" customHeight="false" outlineLevel="0" collapsed="false">
      <c r="A10" s="6" t="n">
        <v>8</v>
      </c>
      <c r="B10" s="6" t="s">
        <v>568</v>
      </c>
      <c r="C10" s="6" t="s">
        <v>569</v>
      </c>
    </row>
    <row r="11" customFormat="false" ht="15" hidden="false" customHeight="false" outlineLevel="0" collapsed="false">
      <c r="A11" s="6" t="n">
        <v>9</v>
      </c>
      <c r="B11" s="6" t="s">
        <v>570</v>
      </c>
      <c r="C11" s="6" t="s">
        <v>571</v>
      </c>
    </row>
    <row r="12" customFormat="false" ht="15" hidden="false" customHeight="false" outlineLevel="0" collapsed="false">
      <c r="A12" s="6" t="n">
        <v>10</v>
      </c>
      <c r="B12" s="6" t="s">
        <v>572</v>
      </c>
      <c r="C12" s="6" t="s">
        <v>573</v>
      </c>
    </row>
    <row r="13" customFormat="false" ht="15" hidden="false" customHeight="false" outlineLevel="0" collapsed="false">
      <c r="A13" s="6" t="n">
        <v>11</v>
      </c>
      <c r="B13" s="6" t="s">
        <v>574</v>
      </c>
      <c r="C13" s="6" t="s">
        <v>575</v>
      </c>
    </row>
    <row r="14" customFormat="false" ht="15" hidden="false" customHeight="false" outlineLevel="0" collapsed="false">
      <c r="A14" s="6" t="n">
        <v>12</v>
      </c>
      <c r="B14" s="6" t="s">
        <v>576</v>
      </c>
      <c r="C14" s="6" t="s">
        <v>577</v>
      </c>
    </row>
    <row r="15" customFormat="false" ht="15" hidden="false" customHeight="false" outlineLevel="0" collapsed="false">
      <c r="A15" s="6" t="n">
        <v>13</v>
      </c>
      <c r="B15" s="6" t="s">
        <v>578</v>
      </c>
      <c r="C15" s="6" t="s">
        <v>579</v>
      </c>
    </row>
    <row r="16" customFormat="false" ht="15" hidden="false" customHeight="false" outlineLevel="0" collapsed="false">
      <c r="A16" s="6" t="n">
        <v>14</v>
      </c>
      <c r="B16" s="6" t="s">
        <v>580</v>
      </c>
      <c r="C16" s="6" t="s">
        <v>581</v>
      </c>
    </row>
    <row r="17" customFormat="false" ht="15" hidden="false" customHeight="false" outlineLevel="0" collapsed="false">
      <c r="A17" s="6" t="n">
        <v>15</v>
      </c>
      <c r="B17" s="6" t="s">
        <v>582</v>
      </c>
      <c r="C17" s="6" t="s">
        <v>583</v>
      </c>
    </row>
    <row r="18" customFormat="false" ht="15" hidden="false" customHeight="false" outlineLevel="0" collapsed="false">
      <c r="A18" s="6" t="n">
        <v>16</v>
      </c>
      <c r="B18" s="6" t="s">
        <v>584</v>
      </c>
      <c r="C18" s="6" t="s">
        <v>585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5" t="s">
        <v>586</v>
      </c>
      <c r="B1" s="5" t="s">
        <v>587</v>
      </c>
      <c r="C1" s="5" t="s">
        <v>588</v>
      </c>
    </row>
    <row r="3" customFormat="false" ht="32.8" hidden="false" customHeight="false" outlineLevel="0" collapsed="false">
      <c r="A3" s="6" t="s">
        <v>589</v>
      </c>
      <c r="B3" s="6" t="s">
        <v>590</v>
      </c>
      <c r="C3" s="6" t="s">
        <v>591</v>
      </c>
    </row>
    <row r="4" customFormat="false" ht="22.35" hidden="false" customHeight="false" outlineLevel="0" collapsed="false">
      <c r="A4" s="6" t="s">
        <v>592</v>
      </c>
      <c r="B4" s="6" t="s">
        <v>593</v>
      </c>
      <c r="C4" s="6" t="s">
        <v>594</v>
      </c>
    </row>
    <row r="5" customFormat="false" ht="22.35" hidden="false" customHeight="false" outlineLevel="0" collapsed="false">
      <c r="A5" s="6" t="s">
        <v>595</v>
      </c>
      <c r="B5" s="6" t="s">
        <v>596</v>
      </c>
      <c r="C5" s="6" t="s">
        <v>597</v>
      </c>
    </row>
    <row r="6" customFormat="false" ht="22.35" hidden="false" customHeight="false" outlineLevel="0" collapsed="false">
      <c r="A6" s="6" t="s">
        <v>598</v>
      </c>
      <c r="B6" s="6" t="s">
        <v>599</v>
      </c>
      <c r="C6" s="6" t="s">
        <v>600</v>
      </c>
    </row>
    <row r="7" customFormat="false" ht="22.35" hidden="false" customHeight="false" outlineLevel="0" collapsed="false">
      <c r="A7" s="6" t="s">
        <v>601</v>
      </c>
      <c r="B7" s="6" t="s">
        <v>602</v>
      </c>
      <c r="C7" s="6" t="s">
        <v>603</v>
      </c>
    </row>
    <row r="8" customFormat="false" ht="22.35" hidden="false" customHeight="false" outlineLevel="0" collapsed="false">
      <c r="A8" s="6" t="s">
        <v>604</v>
      </c>
      <c r="B8" s="6" t="s">
        <v>605</v>
      </c>
      <c r="C8" s="6" t="s">
        <v>606</v>
      </c>
    </row>
    <row r="9" customFormat="false" ht="22.35" hidden="false" customHeight="false" outlineLevel="0" collapsed="false">
      <c r="A9" s="6" t="s">
        <v>607</v>
      </c>
      <c r="B9" s="6" t="s">
        <v>608</v>
      </c>
      <c r="C9" s="6" t="s">
        <v>609</v>
      </c>
    </row>
    <row r="10" customFormat="false" ht="22.35" hidden="false" customHeight="false" outlineLevel="0" collapsed="false">
      <c r="A10" s="6" t="s">
        <v>610</v>
      </c>
      <c r="B10" s="6" t="s">
        <v>611</v>
      </c>
      <c r="C10" s="6" t="s">
        <v>612</v>
      </c>
    </row>
    <row r="11" customFormat="false" ht="22.35" hidden="false" customHeight="false" outlineLevel="0" collapsed="false">
      <c r="A11" s="6" t="s">
        <v>613</v>
      </c>
      <c r="B11" s="6" t="s">
        <v>614</v>
      </c>
      <c r="C11" s="6" t="s">
        <v>615</v>
      </c>
    </row>
    <row r="12" customFormat="false" ht="22.35" hidden="false" customHeight="false" outlineLevel="0" collapsed="false">
      <c r="A12" s="6" t="s">
        <v>616</v>
      </c>
      <c r="B12" s="6" t="s">
        <v>617</v>
      </c>
      <c r="C12" s="6" t="s">
        <v>618</v>
      </c>
    </row>
    <row r="13" customFormat="false" ht="22.35" hidden="false" customHeight="false" outlineLevel="0" collapsed="false">
      <c r="A13" s="6" t="s">
        <v>619</v>
      </c>
      <c r="B13" s="6" t="s">
        <v>620</v>
      </c>
      <c r="C13" s="6" t="s">
        <v>621</v>
      </c>
    </row>
    <row r="14" customFormat="false" ht="22.35" hidden="false" customHeight="false" outlineLevel="0" collapsed="false">
      <c r="A14" s="6" t="s">
        <v>622</v>
      </c>
      <c r="B14" s="6" t="s">
        <v>623</v>
      </c>
      <c r="C14" s="6" t="s">
        <v>624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5" t="s">
        <v>625</v>
      </c>
      <c r="B1" s="5" t="s">
        <v>626</v>
      </c>
    </row>
    <row r="3" customFormat="false" ht="15" hidden="false" customHeight="false" outlineLevel="0" collapsed="false">
      <c r="A3" s="6" t="s">
        <v>627</v>
      </c>
      <c r="B3" s="6" t="s">
        <v>628</v>
      </c>
    </row>
    <row r="4" customFormat="false" ht="15" hidden="false" customHeight="false" outlineLevel="0" collapsed="false">
      <c r="A4" s="6" t="s">
        <v>629</v>
      </c>
      <c r="B4" s="6" t="s">
        <v>630</v>
      </c>
    </row>
    <row r="5" customFormat="false" ht="15" hidden="false" customHeight="false" outlineLevel="0" collapsed="false">
      <c r="A5" s="6" t="s">
        <v>631</v>
      </c>
      <c r="B5" s="6" t="s">
        <v>632</v>
      </c>
    </row>
    <row r="6" customFormat="false" ht="22.35" hidden="false" customHeight="false" outlineLevel="0" collapsed="false">
      <c r="A6" s="6" t="s">
        <v>633</v>
      </c>
      <c r="B6" s="6" t="s">
        <v>634</v>
      </c>
    </row>
    <row r="7" customFormat="false" ht="22.35" hidden="false" customHeight="false" outlineLevel="0" collapsed="false">
      <c r="A7" s="6" t="s">
        <v>635</v>
      </c>
      <c r="B7" s="6" t="s">
        <v>636</v>
      </c>
    </row>
    <row r="8" customFormat="false" ht="15" hidden="false" customHeight="false" outlineLevel="0" collapsed="false">
      <c r="A8" s="6" t="s">
        <v>637</v>
      </c>
      <c r="B8" s="6" t="s">
        <v>638</v>
      </c>
    </row>
    <row r="9" customFormat="false" ht="15" hidden="false" customHeight="false" outlineLevel="0" collapsed="false">
      <c r="A9" s="6" t="s">
        <v>639</v>
      </c>
      <c r="B9" s="6" t="s">
        <v>640</v>
      </c>
    </row>
    <row r="10" customFormat="false" ht="22.35" hidden="false" customHeight="false" outlineLevel="0" collapsed="false">
      <c r="A10" s="6" t="s">
        <v>641</v>
      </c>
      <c r="B10" s="6" t="s">
        <v>642</v>
      </c>
    </row>
    <row r="11" customFormat="false" ht="22.35" hidden="false" customHeight="false" outlineLevel="0" collapsed="false">
      <c r="A11" s="6" t="s">
        <v>643</v>
      </c>
      <c r="B11" s="6" t="s">
        <v>644</v>
      </c>
    </row>
    <row r="12" customFormat="false" ht="15" hidden="false" customHeight="false" outlineLevel="0" collapsed="false">
      <c r="A12" s="6" t="s">
        <v>645</v>
      </c>
      <c r="B12" s="6" t="s">
        <v>646</v>
      </c>
    </row>
    <row r="13" customFormat="false" ht="15" hidden="false" customHeight="false" outlineLevel="0" collapsed="false">
      <c r="A13" s="6" t="s">
        <v>647</v>
      </c>
      <c r="B13" s="6"/>
    </row>
    <row r="14" customFormat="false" ht="15" hidden="false" customHeight="false" outlineLevel="0" collapsed="false">
      <c r="A14" s="6" t="s">
        <v>648</v>
      </c>
      <c r="B14"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649</v>
      </c>
    </row>
    <row r="3" customFormat="false" ht="15" hidden="false" customHeight="false" outlineLevel="0" collapsed="false">
      <c r="A3" s="5" t="s">
        <v>650</v>
      </c>
      <c r="B3" s="5" t="s">
        <v>651</v>
      </c>
      <c r="C3" s="5" t="s">
        <v>652</v>
      </c>
    </row>
    <row r="5" customFormat="false" ht="22.35" hidden="false" customHeight="false" outlineLevel="0" collapsed="false">
      <c r="A5" s="6" t="s">
        <v>653</v>
      </c>
      <c r="B5" s="6" t="s">
        <v>654</v>
      </c>
      <c r="C5" s="6"/>
    </row>
    <row r="6" customFormat="false" ht="22.35" hidden="false" customHeight="false" outlineLevel="0" collapsed="false">
      <c r="A6" s="6" t="s">
        <v>655</v>
      </c>
      <c r="B6" s="6" t="s">
        <v>656</v>
      </c>
      <c r="C6" s="6"/>
    </row>
    <row r="7" customFormat="false" ht="15" hidden="false" customHeight="false" outlineLevel="0" collapsed="false">
      <c r="A7" s="6" t="s">
        <v>657</v>
      </c>
      <c r="B7" s="6" t="s">
        <v>658</v>
      </c>
      <c r="C7" s="6"/>
    </row>
    <row r="8" customFormat="false" ht="15" hidden="false" customHeight="false" outlineLevel="0" collapsed="false">
      <c r="A8" s="6" t="s">
        <v>659</v>
      </c>
      <c r="B8" s="6" t="s">
        <v>660</v>
      </c>
      <c r="C8" s="6"/>
    </row>
    <row r="9" customFormat="false" ht="15" hidden="false" customHeight="false" outlineLevel="0" collapsed="false">
      <c r="A9" s="6" t="s">
        <v>661</v>
      </c>
      <c r="B9" s="6" t="s">
        <v>662</v>
      </c>
      <c r="C9" s="6"/>
    </row>
    <row r="10" customFormat="false" ht="22.35" hidden="false" customHeight="false" outlineLevel="0" collapsed="false">
      <c r="A10" s="6" t="s">
        <v>663</v>
      </c>
      <c r="B10" s="6" t="s">
        <v>664</v>
      </c>
      <c r="C10" s="6"/>
    </row>
    <row r="11" customFormat="false" ht="15" hidden="false" customHeight="false" outlineLevel="0" collapsed="false">
      <c r="A11" s="6" t="s">
        <v>665</v>
      </c>
      <c r="B11" s="6" t="s">
        <v>666</v>
      </c>
      <c r="C11" s="6"/>
    </row>
    <row r="12" customFormat="false" ht="15" hidden="false" customHeight="false" outlineLevel="0" collapsed="false">
      <c r="A12" s="6" t="s">
        <v>667</v>
      </c>
      <c r="B12" s="6" t="s">
        <v>668</v>
      </c>
      <c r="C12" s="6"/>
    </row>
    <row r="13" customFormat="false" ht="22.35" hidden="false" customHeight="false" outlineLevel="0" collapsed="false">
      <c r="A13" s="6" t="s">
        <v>669</v>
      </c>
      <c r="B13" s="6" t="s">
        <v>670</v>
      </c>
      <c r="C13" s="6"/>
    </row>
    <row r="14" customFormat="false" ht="22.35" hidden="false" customHeight="false" outlineLevel="0" collapsed="false">
      <c r="A14" s="6" t="s">
        <v>671</v>
      </c>
      <c r="B14" s="6" t="s">
        <v>672</v>
      </c>
      <c r="C14"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5" t="s">
        <v>673</v>
      </c>
      <c r="B1" s="5" t="s">
        <v>674</v>
      </c>
    </row>
    <row r="3" customFormat="false" ht="15" hidden="false" customHeight="false" outlineLevel="0" collapsed="false">
      <c r="A3" s="6" t="s">
        <v>675</v>
      </c>
      <c r="B3" s="6" t="s">
        <v>676</v>
      </c>
    </row>
    <row r="4" customFormat="false" ht="15" hidden="false" customHeight="false" outlineLevel="0" collapsed="false">
      <c r="A4" s="6" t="s">
        <v>677</v>
      </c>
      <c r="B4" s="6" t="s">
        <v>678</v>
      </c>
    </row>
    <row r="5" customFormat="false" ht="22.35" hidden="false" customHeight="false" outlineLevel="0" collapsed="false">
      <c r="A5" s="6" t="s">
        <v>679</v>
      </c>
      <c r="B5" s="6" t="s">
        <v>680</v>
      </c>
    </row>
    <row r="6" customFormat="false" ht="15" hidden="false" customHeight="false" outlineLevel="0" collapsed="false">
      <c r="A6" s="6" t="s">
        <v>681</v>
      </c>
      <c r="B6" s="6"/>
    </row>
    <row r="7" customFormat="false" ht="15" hidden="false" customHeight="false" outlineLevel="0" collapsed="false">
      <c r="A7" s="6" t="s">
        <v>682</v>
      </c>
      <c r="B7" s="6"/>
    </row>
    <row r="8" customFormat="false" ht="15" hidden="false" customHeight="false" outlineLevel="0" collapsed="false">
      <c r="A8" s="6" t="s">
        <v>683</v>
      </c>
      <c r="B8" s="6"/>
    </row>
    <row r="9" customFormat="false" ht="15" hidden="false" customHeight="false" outlineLevel="0" collapsed="false">
      <c r="A9" s="6" t="s">
        <v>684</v>
      </c>
      <c r="B9"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5" t="s">
        <v>685</v>
      </c>
      <c r="B1" s="5" t="s">
        <v>686</v>
      </c>
    </row>
    <row r="3" customFormat="false" ht="22.35" hidden="false" customHeight="false" outlineLevel="0" collapsed="false">
      <c r="A3" s="6" t="s">
        <v>687</v>
      </c>
      <c r="B3" s="6" t="s">
        <v>688</v>
      </c>
    </row>
    <row r="4" customFormat="false" ht="22.35" hidden="false" customHeight="false" outlineLevel="0" collapsed="false">
      <c r="A4" s="6" t="s">
        <v>689</v>
      </c>
      <c r="B4" s="6" t="s">
        <v>690</v>
      </c>
    </row>
    <row r="5" customFormat="false" ht="15" hidden="false" customHeight="false" outlineLevel="0" collapsed="false">
      <c r="A5" s="6" t="s">
        <v>691</v>
      </c>
      <c r="B5" s="6" t="s">
        <v>692</v>
      </c>
    </row>
    <row r="6" customFormat="false" ht="15" hidden="false" customHeight="false" outlineLevel="0" collapsed="false">
      <c r="A6" s="6" t="s">
        <v>693</v>
      </c>
      <c r="B6" s="6" t="s">
        <v>694</v>
      </c>
    </row>
    <row r="7" customFormat="false" ht="15" hidden="false" customHeight="false" outlineLevel="0" collapsed="false">
      <c r="A7" s="6" t="s">
        <v>20</v>
      </c>
      <c r="B7" s="6" t="s">
        <v>695</v>
      </c>
    </row>
    <row r="8" customFormat="false" ht="15" hidden="false" customHeight="false" outlineLevel="0" collapsed="false">
      <c r="A8" s="6" t="s">
        <v>696</v>
      </c>
      <c r="B8" s="6" t="s">
        <v>697</v>
      </c>
    </row>
    <row r="9" customFormat="false" ht="22.35" hidden="false" customHeight="false" outlineLevel="0" collapsed="false">
      <c r="A9" s="6" t="s">
        <v>698</v>
      </c>
      <c r="B9" s="6" t="s">
        <v>699</v>
      </c>
    </row>
    <row r="10" customFormat="false" ht="22.35" hidden="false" customHeight="false" outlineLevel="0" collapsed="false">
      <c r="A10" s="6" t="s">
        <v>700</v>
      </c>
      <c r="B10" s="6" t="s">
        <v>701</v>
      </c>
    </row>
    <row r="11" customFormat="false" ht="22.35" hidden="false" customHeight="false" outlineLevel="0" collapsed="false">
      <c r="A11" s="6" t="s">
        <v>169</v>
      </c>
      <c r="B11" s="6" t="s">
        <v>702</v>
      </c>
    </row>
    <row r="12" customFormat="false" ht="15" hidden="false" customHeight="false" outlineLevel="0" collapsed="false">
      <c r="A12" s="6" t="s">
        <v>703</v>
      </c>
      <c r="B12" s="6" t="s">
        <v>704</v>
      </c>
    </row>
    <row r="13" customFormat="false" ht="22.35" hidden="false" customHeight="false" outlineLevel="0" collapsed="false">
      <c r="A13" s="6" t="s">
        <v>705</v>
      </c>
      <c r="B13" s="6" t="s">
        <v>706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2026-10-21T09:55:22Z</dcterms:created>
  <dc:creator>openpyxl</dc:creator>
  <dc:description/>
  <dc:language>en-US</dc:language>
  <cp:lastModifiedBy/>
  <dcterms:modified xsi:type="dcterms:W3CDTF">2026-10-21T09:55:22Z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
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WBS &amp; Gantt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Action items" sheetId="4" state="visible" r:id="rId4"/>
    <sheet xmlns:r="http://schemas.openxmlformats.org/officeDocument/2006/relationships" name="RACI" sheetId="5" state="visible" r:id="rId5"/>
    <sheet xmlns:r="http://schemas.openxmlformats.org/officeDocument/2006/relationships" name="Team &amp; roles" sheetId="6" state="visible" r:id="rId6"/>
    <sheet xmlns:r="http://schemas.openxmlformats.org/officeDocument/2006/relationships" name="Risk register" sheetId="7" state="visible" r:id="rId7"/>
    <sheet xmlns:r="http://schemas.openxmlformats.org/officeDocument/2006/relationships" name="Financial model" sheetId="8" state="visible" r:id="rId8"/>
    <sheet xmlns:r="http://schemas.openxmlformats.org/officeDocument/2006/relationships" name="Unit economics" sheetId="9" state="visible" r:id="rId9"/>
    <sheet xmlns:r="http://schemas.openxmlformats.org/officeDocument/2006/relationships" name="KPI tracker" sheetId="10" state="visible" r:id="rId10"/>
    <sheet xmlns:r="http://schemas.openxmlformats.org/officeDocument/2006/relationships" name="ROI &amp; hours log" sheetId="11" state="visible" r:id="rId11"/>
    <sheet xmlns:r="http://schemas.openxmlformats.org/officeDocument/2006/relationships" name="Revenue streams" sheetId="12" state="visible" r:id="rId12"/>
    <sheet xmlns:r="http://schemas.openxmlformats.org/officeDocument/2006/relationships" name="Audiences" sheetId="13" state="visible" r:id="rId13"/>
    <sheet xmlns:r="http://schemas.openxmlformats.org/officeDocument/2006/relationships" name="Products" sheetId="14" state="visible" r:id="rId14"/>
    <sheet xmlns:r="http://schemas.openxmlformats.org/officeDocument/2006/relationships" name="Gift tiers" sheetId="15" state="visible" r:id="rId15"/>
    <sheet xmlns:r="http://schemas.openxmlformats.org/officeDocument/2006/relationships" name="Festival calendar" sheetId="16" state="visible" r:id="rId16"/>
    <sheet xmlns:r="http://schemas.openxmlformats.org/officeDocument/2006/relationships" name="Business ideas" sheetId="17" state="visible" r:id="rId17"/>
    <sheet xmlns:r="http://schemas.openxmlformats.org/officeDocument/2006/relationships" name="Open questions" sheetId="18" state="visible" r:id="rId18"/>
    <sheet xmlns:r="http://schemas.openxmlformats.org/officeDocument/2006/relationships" name="Market research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"/>
    <numFmt numFmtId="166" formatCode="0.0%"/>
    <numFmt numFmtId="167" formatCode="#,##0.0"/>
  </numFmts>
  <fonts count="6">
    <font>
      <name val="Calibri"/>
      <family val="2"/>
      <color theme="1"/>
      <sz val="11"/>
      <scheme val="minor"/>
    </font>
    <font>
      <b val="1"/>
      <color rgb="007A1F2B"/>
      <sz val="16"/>
    </font>
    <font>
      <b val="1"/>
    </font>
    <font>
      <i val="1"/>
      <color rgb="006B5E55"/>
    </font>
    <font>
      <b val="1"/>
      <color rgb="00FFFFFF"/>
    </font>
    <font>
      <color rgb="001F4E9B"/>
    </font>
  </fonts>
  <fills count="10">
    <fill>
      <patternFill/>
    </fill>
    <fill>
      <patternFill patternType="gray125"/>
    </fill>
    <fill>
      <patternFill patternType="solid">
        <fgColor rgb="007A1F2B"/>
      </patternFill>
    </fill>
    <fill>
      <patternFill patternType="solid">
        <fgColor rgb="00FBEBD0"/>
      </patternFill>
    </fill>
    <fill>
      <patternFill patternType="solid">
        <fgColor rgb="00F8BBD0"/>
      </patternFill>
    </fill>
    <fill>
      <patternFill patternType="solid">
        <fgColor rgb="00FFE0B2"/>
      </patternFill>
    </fill>
    <fill>
      <patternFill patternType="solid">
        <fgColor rgb="00E3F2FD"/>
      </patternFill>
    </fill>
    <fill>
      <patternFill patternType="solid">
        <fgColor rgb="00F5F5F5"/>
      </patternFill>
    </fill>
    <fill>
      <patternFill patternType="solid">
        <fgColor rgb="00FFCC80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>
        <color rgb="00E0D6C8"/>
      </left>
      <right style="thin">
        <color rgb="00E0D6C8"/>
      </right>
      <top style="thin">
        <color rgb="00E0D6C8"/>
      </top>
      <bottom style="thin">
        <color rgb="00E0D6C8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textRotation="90" wrapText="1"/>
    </xf>
    <xf numFmtId="0" fontId="2" fillId="3" borderId="0" pivotButton="0" quotePrefix="0" xfId="0"/>
    <xf numFmtId="165" fontId="2" fillId="3" borderId="0" pivotButton="0" quotePrefix="0" xfId="0"/>
    <xf numFmtId="9" fontId="2" fillId="3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5" fillId="9" borderId="1" applyAlignment="1" pivotButton="0" quotePrefix="0" xfId="0">
      <alignment vertical="top" wrapText="1"/>
    </xf>
    <xf numFmtId="0" fontId="4" fillId="2" borderId="0" pivotButton="0" quotePrefix="0" xfId="0"/>
    <xf numFmtId="167" fontId="5" fillId="9" borderId="0" pivotButton="0" quotePrefix="0" xfId="0"/>
    <xf numFmtId="167" fontId="0" fillId="0" borderId="0" pivotButton="0" quotePrefix="0" xfId="0"/>
    <xf numFmtId="9" fontId="5" fillId="9" borderId="0" pivotButton="0" quotePrefix="0" xfId="0"/>
    <xf numFmtId="167" fontId="2" fillId="3" borderId="0" pivotButton="0" quotePrefix="0" xfId="0"/>
    <xf numFmtId="167" fontId="2" fillId="0" borderId="0" pivotButton="0" quotePrefix="0" xfId="0"/>
    <xf numFmtId="166" fontId="0" fillId="0" borderId="0" pivotButton="0" quotePrefix="0" xfId="0"/>
    <xf numFmtId="3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9" borderId="0" pivotButton="0" quotePrefix="0" xfId="0"/>
  </cellXfs>
  <cellStyles count="1">
    <cellStyle name="Normal" xfId="0" builtinId="0" hidden="0"/>
  </cellStyles>
  <dxfs count="7">
    <dxf>
      <font>
        <color rgb="007A1F2B"/>
      </font>
      <fill>
        <patternFill patternType="solid">
          <fgColor rgb="007A1F2B"/>
        </patternFill>
      </fill>
    </dxf>
    <dxf>
      <font>
        <color rgb="00E07B00"/>
      </font>
      <fill>
        <patternFill patternType="solid">
          <fgColor rgb="00E07B00"/>
        </patternFill>
      </fill>
    </dxf>
    <dxf>
      <fill>
        <patternFill patternType="solid">
          <fgColor rgb="00C8E6C9"/>
        </patternFill>
      </fill>
    </dxf>
    <dxf>
      <fill>
        <patternFill patternType="solid">
          <fgColor rgb="00FFCDD2"/>
        </patternFill>
      </fill>
    </dxf>
    <dxf>
      <fill>
        <patternFill patternType="solid">
          <fgColor rgb="00FFE0B2"/>
        </patternFill>
      </fill>
    </dxf>
    <dxf>
      <fill>
        <patternFill patternType="solid">
          <fgColor rgb="00EF9A9A"/>
        </patternFill>
      </fill>
    </dxf>
    <dxf>
      <fill>
        <patternFill patternType="solid">
          <fgColor rgb="00FFE08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Prasadam, Sweets &amp; Savories Vertical – Project Tracker</t>
        </is>
      </c>
    </row>
    <row r="2">
      <c r="A2" t="inlineStr">
        <is>
          <t>Hare Krishna Golden Temple (ISKCON), Banjara Hills, Hyderabad</t>
        </is>
      </c>
    </row>
    <row r="3">
      <c r="A3" t="inlineStr">
        <is>
          <t>v1.0 draft, 26 September 2026</t>
        </is>
      </c>
    </row>
    <row r="4">
      <c r="A4" t="inlineStr"/>
    </row>
    <row r="5">
      <c r="A5" s="2" t="inlineStr">
        <is>
          <t>How to use</t>
        </is>
      </c>
    </row>
    <row r="6">
      <c r="A6" t="inlineStr">
        <is>
          <t>• WBS &amp; Gantt: update Status and % done every week; the Gantt bars are drawn by formulas from Start/End.</t>
        </is>
      </c>
    </row>
    <row r="7">
      <c r="A7" t="inlineStr">
        <is>
          <t>• Risk register: Score = Likelihood × Impact (formula). 15+ is red, 8–14 amber.</t>
        </is>
      </c>
    </row>
    <row r="8">
      <c r="A8" t="inlineStr">
        <is>
          <t>• Financial model: yellow cells are inputs (blue text). Replace [ESTIMATE] numbers with the 6–12 month order data.</t>
        </is>
      </c>
    </row>
    <row r="9">
      <c r="A9" t="inlineStr">
        <is>
          <t>• KPI tracker and ROI log: fill monthly/weekly; ROI is calculated automatically.</t>
        </is>
      </c>
    </row>
    <row r="10">
      <c r="A10" t="inlineStr">
        <is>
          <t>• Action items: the 12 actions from the 26 Sep 2026 meeting.</t>
        </is>
      </c>
    </row>
    <row r="11">
      <c r="A11" t="inlineStr"/>
    </row>
    <row r="12">
      <c r="A12" s="3" t="inlineStr">
        <is>
          <t>Generated from src/content.py – edit there and run src/build_all.py to rebuild all documents.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22" customWidth="1" min="3" max="3"/>
    <col width="9" customWidth="1" min="4" max="4"/>
    <col width="10" customWidth="1" min="5" max="5"/>
    <col width="10" customWidth="1" min="6" max="6"/>
    <col width="6" customWidth="1" min="7" max="7"/>
    <col width="10" customWidth="1" min="8" max="8"/>
    <col width="20" customWidth="1" min="9" max="9"/>
    <col width="12" customWidth="1" min="10" max="10"/>
    <col width="7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</cols>
  <sheetData>
    <row r="1" ht="48" customHeight="1">
      <c r="A1" s="4" t="inlineStr">
        <is>
          <t>ID</t>
        </is>
      </c>
      <c r="B1" s="4" t="inlineStr">
        <is>
          <t>Task</t>
        </is>
      </c>
      <c r="C1" s="4" t="inlineStr">
        <is>
          <t>Owner</t>
        </is>
      </c>
      <c r="D1" s="4" t="inlineStr">
        <is>
          <t>Phase</t>
        </is>
      </c>
      <c r="E1" s="4" t="inlineStr">
        <is>
          <t>Start</t>
        </is>
      </c>
      <c r="F1" s="4" t="inlineStr">
        <is>
          <t>End</t>
        </is>
      </c>
      <c r="G1" s="4" t="inlineStr">
        <is>
          <t>Days</t>
        </is>
      </c>
      <c r="H1" s="4" t="inlineStr">
        <is>
          <t>Depends on</t>
        </is>
      </c>
      <c r="I1" s="4" t="inlineStr">
        <is>
          <t>Deliverable</t>
        </is>
      </c>
      <c r="J1" s="4" t="inlineStr">
        <is>
          <t>Status</t>
        </is>
      </c>
      <c r="K1" s="4" t="inlineStr">
        <is>
          <t>% done</t>
        </is>
      </c>
      <c r="L1" s="5" t="inlineStr">
        <is>
          <t>21-Sep</t>
        </is>
      </c>
      <c r="M1" s="5" t="inlineStr">
        <is>
          <t>28-Sep</t>
        </is>
      </c>
      <c r="N1" s="5" t="inlineStr">
        <is>
          <t>05-Oct</t>
        </is>
      </c>
      <c r="O1" s="5" t="inlineStr">
        <is>
          <t>12-Oct</t>
        </is>
      </c>
      <c r="P1" s="5" t="inlineStr">
        <is>
          <t>19-Oct</t>
        </is>
      </c>
      <c r="Q1" s="5" t="inlineStr">
        <is>
          <t>26-Oct</t>
        </is>
      </c>
      <c r="R1" s="5" t="inlineStr">
        <is>
          <t>02-Nov</t>
        </is>
      </c>
      <c r="S1" s="5" t="inlineStr">
        <is>
          <t>09-Nov</t>
        </is>
      </c>
      <c r="T1" s="5" t="inlineStr">
        <is>
          <t>16-Nov</t>
        </is>
      </c>
      <c r="U1" s="5" t="inlineStr">
        <is>
          <t>23-Nov</t>
        </is>
      </c>
      <c r="V1" s="5" t="inlineStr">
        <is>
          <t>30-Nov</t>
        </is>
      </c>
      <c r="W1" s="5" t="inlineStr">
        <is>
          <t>07-Dec</t>
        </is>
      </c>
      <c r="X1" s="5" t="inlineStr">
        <is>
          <t>14-Dec</t>
        </is>
      </c>
      <c r="Y1" s="5" t="inlineStr">
        <is>
          <t>21-Dec</t>
        </is>
      </c>
      <c r="Z1" s="5" t="inlineStr">
        <is>
          <t>28-Dec</t>
        </is>
      </c>
      <c r="AA1" s="5" t="inlineStr">
        <is>
          <t>04-Jan</t>
        </is>
      </c>
      <c r="AB1" s="5" t="inlineStr">
        <is>
          <t>11-Jan</t>
        </is>
      </c>
      <c r="AC1" s="5" t="inlineStr">
        <is>
          <t>18-Jan</t>
        </is>
      </c>
      <c r="AD1" s="5" t="inlineStr">
        <is>
          <t>25-Jan</t>
        </is>
      </c>
      <c r="AE1" s="5" t="inlineStr">
        <is>
          <t>01-Feb</t>
        </is>
      </c>
      <c r="AF1" s="5" t="inlineStr">
        <is>
          <t>08-Feb</t>
        </is>
      </c>
      <c r="AG1" s="5" t="inlineStr">
        <is>
          <t>15-Feb</t>
        </is>
      </c>
      <c r="AH1" s="5" t="inlineStr">
        <is>
          <t>22-Feb</t>
        </is>
      </c>
      <c r="AI1" s="5" t="inlineStr">
        <is>
          <t>01-Mar</t>
        </is>
      </c>
      <c r="AJ1" s="5" t="inlineStr">
        <is>
          <t>08-Mar</t>
        </is>
      </c>
      <c r="AK1" s="5" t="inlineStr">
        <is>
          <t>15-Mar</t>
        </is>
      </c>
      <c r="AL1" s="5" t="inlineStr">
        <is>
          <t>22-Mar</t>
        </is>
      </c>
      <c r="AM1" s="5" t="inlineStr">
        <is>
          <t>29-Mar</t>
        </is>
      </c>
      <c r="AN1" s="5" t="inlineStr">
        <is>
          <t>05-Apr</t>
        </is>
      </c>
      <c r="AO1" s="5" t="inlineStr">
        <is>
          <t>12-Apr</t>
        </is>
      </c>
      <c r="AP1" s="5" t="inlineStr">
        <is>
          <t>19-Apr</t>
        </is>
      </c>
      <c r="AQ1" s="5" t="inlineStr">
        <is>
          <t>26-Apr</t>
        </is>
      </c>
      <c r="AR1" s="5" t="inlineStr">
        <is>
          <t>03-May</t>
        </is>
      </c>
      <c r="AS1" s="5" t="inlineStr">
        <is>
          <t>10-May</t>
        </is>
      </c>
      <c r="AT1" s="5" t="inlineStr">
        <is>
          <t>17-May</t>
        </is>
      </c>
      <c r="AU1" s="5" t="inlineStr">
        <is>
          <t>24-May</t>
        </is>
      </c>
      <c r="AV1" s="5" t="inlineStr">
        <is>
          <t>31-May</t>
        </is>
      </c>
      <c r="AW1" s="5" t="inlineStr">
        <is>
          <t>07-Jun</t>
        </is>
      </c>
      <c r="AX1" s="5" t="inlineStr">
        <is>
          <t>14-Jun</t>
        </is>
      </c>
      <c r="AY1" s="5" t="inlineStr">
        <is>
          <t>21-Jun</t>
        </is>
      </c>
      <c r="AZ1" s="5" t="inlineStr">
        <is>
          <t>28-Jun</t>
        </is>
      </c>
      <c r="BA1" s="5" t="inlineStr">
        <is>
          <t>05-Jul</t>
        </is>
      </c>
      <c r="BB1" s="5" t="inlineStr">
        <is>
          <t>12-Jul</t>
        </is>
      </c>
      <c r="BC1" s="5" t="inlineStr">
        <is>
          <t>19-Jul</t>
        </is>
      </c>
      <c r="BD1" s="5" t="inlineStr">
        <is>
          <t>26-Jul</t>
        </is>
      </c>
      <c r="BE1" s="5" t="inlineStr">
        <is>
          <t>02-Aug</t>
        </is>
      </c>
      <c r="BF1" s="5" t="inlineStr">
        <is>
          <t>09-Aug</t>
        </is>
      </c>
      <c r="BG1" s="5" t="inlineStr">
        <is>
          <t>16-Aug</t>
        </is>
      </c>
      <c r="BH1" s="5" t="inlineStr">
        <is>
          <t>23-Aug</t>
        </is>
      </c>
      <c r="BI1" s="5" t="inlineStr">
        <is>
          <t>30-Aug</t>
        </is>
      </c>
      <c r="BJ1" s="5" t="inlineStr">
        <is>
          <t>06-Sep</t>
        </is>
      </c>
      <c r="BK1" s="5" t="inlineStr">
        <is>
          <t>13-Sep</t>
        </is>
      </c>
      <c r="BL1" s="5" t="inlineStr">
        <is>
          <t>20-Sep</t>
        </is>
      </c>
      <c r="BM1" s="5" t="inlineStr">
        <is>
          <t>27-Sep</t>
        </is>
      </c>
    </row>
    <row r="2">
      <c r="A2" s="6" t="inlineStr">
        <is>
          <t>1</t>
        </is>
      </c>
      <c r="B2" s="6" t="inlineStr">
        <is>
          <t>Initiation &amp; governance</t>
        </is>
      </c>
      <c r="C2" s="6" t="inlineStr"/>
      <c r="D2" s="6" t="inlineStr">
        <is>
          <t>Phase 0</t>
        </is>
      </c>
      <c r="E2" s="7" t="n">
        <v>46291</v>
      </c>
      <c r="F2" s="7" t="n">
        <v>46305</v>
      </c>
      <c r="G2" s="6">
        <f>F2-E2+1</f>
        <v/>
      </c>
      <c r="H2" s="6" t="inlineStr"/>
      <c r="I2" s="6" t="inlineStr"/>
      <c r="J2" s="6" t="inlineStr"/>
      <c r="K2" s="8" t="n"/>
      <c r="L2">
        <f>IF(AND($E2&lt;=DATE(2026,9,21)+6,$F2&gt;=DATE(2026,9,21)),1,"")</f>
        <v/>
      </c>
      <c r="M2">
        <f>IF(AND($E2&lt;=DATE(2026,9,28)+6,$F2&gt;=DATE(2026,9,28)),1,"")</f>
        <v/>
      </c>
      <c r="N2">
        <f>IF(AND($E2&lt;=DATE(2026,10,5)+6,$F2&gt;=DATE(2026,10,5)),1,"")</f>
        <v/>
      </c>
      <c r="O2">
        <f>IF(AND($E2&lt;=DATE(2026,10,12)+6,$F2&gt;=DATE(2026,10,12)),1,"")</f>
        <v/>
      </c>
      <c r="P2">
        <f>IF(AND($E2&lt;=DATE(2026,10,19)+6,$F2&gt;=DATE(2026,10,19)),1,"")</f>
        <v/>
      </c>
      <c r="Q2">
        <f>IF(AND($E2&lt;=DATE(2026,10,26)+6,$F2&gt;=DATE(2026,10,26)),1,"")</f>
        <v/>
      </c>
      <c r="R2">
        <f>IF(AND($E2&lt;=DATE(2026,11,2)+6,$F2&gt;=DATE(2026,11,2)),1,"")</f>
        <v/>
      </c>
      <c r="S2">
        <f>IF(AND($E2&lt;=DATE(2026,11,9)+6,$F2&gt;=DATE(2026,11,9)),1,"")</f>
        <v/>
      </c>
      <c r="T2">
        <f>IF(AND($E2&lt;=DATE(2026,11,16)+6,$F2&gt;=DATE(2026,11,16)),1,"")</f>
        <v/>
      </c>
      <c r="U2">
        <f>IF(AND($E2&lt;=DATE(2026,11,23)+6,$F2&gt;=DATE(2026,11,23)),1,"")</f>
        <v/>
      </c>
      <c r="V2">
        <f>IF(AND($E2&lt;=DATE(2026,11,30)+6,$F2&gt;=DATE(2026,11,30)),1,"")</f>
        <v/>
      </c>
      <c r="W2">
        <f>IF(AND($E2&lt;=DATE(2026,12,7)+6,$F2&gt;=DATE(2026,12,7)),1,"")</f>
        <v/>
      </c>
      <c r="X2">
        <f>IF(AND($E2&lt;=DATE(2026,12,14)+6,$F2&gt;=DATE(2026,12,14)),1,"")</f>
        <v/>
      </c>
      <c r="Y2">
        <f>IF(AND($E2&lt;=DATE(2026,12,21)+6,$F2&gt;=DATE(2026,12,21)),1,"")</f>
        <v/>
      </c>
      <c r="Z2">
        <f>IF(AND($E2&lt;=DATE(2026,12,28)+6,$F2&gt;=DATE(2026,12,28)),1,"")</f>
        <v/>
      </c>
      <c r="AA2">
        <f>IF(AND($E2&lt;=DATE(2027,1,4)+6,$F2&gt;=DATE(2027,1,4)),1,"")</f>
        <v/>
      </c>
      <c r="AB2">
        <f>IF(AND($E2&lt;=DATE(2027,1,11)+6,$F2&gt;=DATE(2027,1,11)),1,"")</f>
        <v/>
      </c>
      <c r="AC2">
        <f>IF(AND($E2&lt;=DATE(2027,1,18)+6,$F2&gt;=DATE(2027,1,18)),1,"")</f>
        <v/>
      </c>
      <c r="AD2">
        <f>IF(AND($E2&lt;=DATE(2027,1,25)+6,$F2&gt;=DATE(2027,1,25)),1,"")</f>
        <v/>
      </c>
      <c r="AE2">
        <f>IF(AND($E2&lt;=DATE(2027,2,1)+6,$F2&gt;=DATE(2027,2,1)),1,"")</f>
        <v/>
      </c>
      <c r="AF2">
        <f>IF(AND($E2&lt;=DATE(2027,2,8)+6,$F2&gt;=DATE(2027,2,8)),1,"")</f>
        <v/>
      </c>
      <c r="AG2">
        <f>IF(AND($E2&lt;=DATE(2027,2,15)+6,$F2&gt;=DATE(2027,2,15)),1,"")</f>
        <v/>
      </c>
      <c r="AH2">
        <f>IF(AND($E2&lt;=DATE(2027,2,22)+6,$F2&gt;=DATE(2027,2,22)),1,"")</f>
        <v/>
      </c>
      <c r="AI2">
        <f>IF(AND($E2&lt;=DATE(2027,3,1)+6,$F2&gt;=DATE(2027,3,1)),1,"")</f>
        <v/>
      </c>
      <c r="AJ2">
        <f>IF(AND($E2&lt;=DATE(2027,3,8)+6,$F2&gt;=DATE(2027,3,8)),1,"")</f>
        <v/>
      </c>
      <c r="AK2">
        <f>IF(AND($E2&lt;=DATE(2027,3,15)+6,$F2&gt;=DATE(2027,3,15)),1,"")</f>
        <v/>
      </c>
      <c r="AL2">
        <f>IF(AND($E2&lt;=DATE(2027,3,22)+6,$F2&gt;=DATE(2027,3,22)),1,"")</f>
        <v/>
      </c>
      <c r="AM2">
        <f>IF(AND($E2&lt;=DATE(2027,3,29)+6,$F2&gt;=DATE(2027,3,29)),1,"")</f>
        <v/>
      </c>
      <c r="AN2">
        <f>IF(AND($E2&lt;=DATE(2027,4,5)+6,$F2&gt;=DATE(2027,4,5)),1,"")</f>
        <v/>
      </c>
      <c r="AO2">
        <f>IF(AND($E2&lt;=DATE(2027,4,12)+6,$F2&gt;=DATE(2027,4,12)),1,"")</f>
        <v/>
      </c>
      <c r="AP2">
        <f>IF(AND($E2&lt;=DATE(2027,4,19)+6,$F2&gt;=DATE(2027,4,19)),1,"")</f>
        <v/>
      </c>
      <c r="AQ2">
        <f>IF(AND($E2&lt;=DATE(2027,4,26)+6,$F2&gt;=DATE(2027,4,26)),1,"")</f>
        <v/>
      </c>
      <c r="AR2">
        <f>IF(AND($E2&lt;=DATE(2027,5,3)+6,$F2&gt;=DATE(2027,5,3)),1,"")</f>
        <v/>
      </c>
      <c r="AS2">
        <f>IF(AND($E2&lt;=DATE(2027,5,10)+6,$F2&gt;=DATE(2027,5,10)),1,"")</f>
        <v/>
      </c>
      <c r="AT2">
        <f>IF(AND($E2&lt;=DATE(2027,5,17)+6,$F2&gt;=DATE(2027,5,17)),1,"")</f>
        <v/>
      </c>
      <c r="AU2">
        <f>IF(AND($E2&lt;=DATE(2027,5,24)+6,$F2&gt;=DATE(2027,5,24)),1,"")</f>
        <v/>
      </c>
      <c r="AV2">
        <f>IF(AND($E2&lt;=DATE(2027,5,31)+6,$F2&gt;=DATE(2027,5,31)),1,"")</f>
        <v/>
      </c>
      <c r="AW2">
        <f>IF(AND($E2&lt;=DATE(2027,6,7)+6,$F2&gt;=DATE(2027,6,7)),1,"")</f>
        <v/>
      </c>
      <c r="AX2">
        <f>IF(AND($E2&lt;=DATE(2027,6,14)+6,$F2&gt;=DATE(2027,6,14)),1,"")</f>
        <v/>
      </c>
      <c r="AY2">
        <f>IF(AND($E2&lt;=DATE(2027,6,21)+6,$F2&gt;=DATE(2027,6,21)),1,"")</f>
        <v/>
      </c>
      <c r="AZ2">
        <f>IF(AND($E2&lt;=DATE(2027,6,28)+6,$F2&gt;=DATE(2027,6,28)),1,"")</f>
        <v/>
      </c>
      <c r="BA2">
        <f>IF(AND($E2&lt;=DATE(2027,7,5)+6,$F2&gt;=DATE(2027,7,5)),1,"")</f>
        <v/>
      </c>
      <c r="BB2">
        <f>IF(AND($E2&lt;=DATE(2027,7,12)+6,$F2&gt;=DATE(2027,7,12)),1,"")</f>
        <v/>
      </c>
      <c r="BC2">
        <f>IF(AND($E2&lt;=DATE(2027,7,19)+6,$F2&gt;=DATE(2027,7,19)),1,"")</f>
        <v/>
      </c>
      <c r="BD2">
        <f>IF(AND($E2&lt;=DATE(2027,7,26)+6,$F2&gt;=DATE(2027,7,26)),1,"")</f>
        <v/>
      </c>
      <c r="BE2">
        <f>IF(AND($E2&lt;=DATE(2027,8,2)+6,$F2&gt;=DATE(2027,8,2)),1,"")</f>
        <v/>
      </c>
      <c r="BF2">
        <f>IF(AND($E2&lt;=DATE(2027,8,9)+6,$F2&gt;=DATE(2027,8,9)),1,"")</f>
        <v/>
      </c>
      <c r="BG2">
        <f>IF(AND($E2&lt;=DATE(2027,8,16)+6,$F2&gt;=DATE(2027,8,16)),1,"")</f>
        <v/>
      </c>
      <c r="BH2">
        <f>IF(AND($E2&lt;=DATE(2027,8,23)+6,$F2&gt;=DATE(2027,8,23)),1,"")</f>
        <v/>
      </c>
      <c r="BI2">
        <f>IF(AND($E2&lt;=DATE(2027,8,30)+6,$F2&gt;=DATE(2027,8,30)),1,"")</f>
        <v/>
      </c>
      <c r="BJ2">
        <f>IF(AND($E2&lt;=DATE(2027,9,6)+6,$F2&gt;=DATE(2027,9,6)),1,"")</f>
        <v/>
      </c>
      <c r="BK2">
        <f>IF(AND($E2&lt;=DATE(2027,9,13)+6,$F2&gt;=DATE(2027,9,13)),1,"")</f>
        <v/>
      </c>
      <c r="BL2">
        <f>IF(AND($E2&lt;=DATE(2027,9,20)+6,$F2&gt;=DATE(2027,9,20)),1,"")</f>
        <v/>
      </c>
      <c r="BM2">
        <f>IF(AND($E2&lt;=DATE(2027,9,27)+6,$F2&gt;=DATE(2027,9,27)),1,"")</f>
        <v/>
      </c>
    </row>
    <row r="3">
      <c r="A3" t="inlineStr">
        <is>
          <t>1.1</t>
        </is>
      </c>
      <c r="B3" t="inlineStr">
        <is>
          <t>Send detailed vertical plan to stakeholders</t>
        </is>
      </c>
      <c r="C3" t="inlineStr">
        <is>
          <t>Mukunda Dasa</t>
        </is>
      </c>
      <c r="D3" t="inlineStr">
        <is>
          <t>Phase 0</t>
        </is>
      </c>
      <c r="E3" s="9" t="n">
        <v>46291</v>
      </c>
      <c r="F3" s="9" t="n">
        <v>46295</v>
      </c>
      <c r="G3">
        <f>F3-E3+1</f>
        <v/>
      </c>
      <c r="H3" t="inlineStr"/>
      <c r="I3" t="inlineStr">
        <is>
          <t>This plan</t>
        </is>
      </c>
      <c r="J3" t="inlineStr">
        <is>
          <t>Not started</t>
        </is>
      </c>
      <c r="K3" s="10" t="n">
        <v>0</v>
      </c>
      <c r="L3">
        <f>IF(AND($E3&lt;=DATE(2026,9,21)+6,$F3&gt;=DATE(2026,9,21)),1,"")</f>
        <v/>
      </c>
      <c r="M3">
        <f>IF(AND($E3&lt;=DATE(2026,9,28)+6,$F3&gt;=DATE(2026,9,28)),1,"")</f>
        <v/>
      </c>
      <c r="N3">
        <f>IF(AND($E3&lt;=DATE(2026,10,5)+6,$F3&gt;=DATE(2026,10,5)),1,"")</f>
        <v/>
      </c>
      <c r="O3">
        <f>IF(AND($E3&lt;=DATE(2026,10,12)+6,$F3&gt;=DATE(2026,10,12)),1,"")</f>
        <v/>
      </c>
      <c r="P3">
        <f>IF(AND($E3&lt;=DATE(2026,10,19)+6,$F3&gt;=DATE(2026,10,19)),1,"")</f>
        <v/>
      </c>
      <c r="Q3">
        <f>IF(AND($E3&lt;=DATE(2026,10,26)+6,$F3&gt;=DATE(2026,10,26)),1,"")</f>
        <v/>
      </c>
      <c r="R3">
        <f>IF(AND($E3&lt;=DATE(2026,11,2)+6,$F3&gt;=DATE(2026,11,2)),1,"")</f>
        <v/>
      </c>
      <c r="S3">
        <f>IF(AND($E3&lt;=DATE(2026,11,9)+6,$F3&gt;=DATE(2026,11,9)),1,"")</f>
        <v/>
      </c>
      <c r="T3">
        <f>IF(AND($E3&lt;=DATE(2026,11,16)+6,$F3&gt;=DATE(2026,11,16)),1,"")</f>
        <v/>
      </c>
      <c r="U3">
        <f>IF(AND($E3&lt;=DATE(2026,11,23)+6,$F3&gt;=DATE(2026,11,23)),1,"")</f>
        <v/>
      </c>
      <c r="V3">
        <f>IF(AND($E3&lt;=DATE(2026,11,30)+6,$F3&gt;=DATE(2026,11,30)),1,"")</f>
        <v/>
      </c>
      <c r="W3">
        <f>IF(AND($E3&lt;=DATE(2026,12,7)+6,$F3&gt;=DATE(2026,12,7)),1,"")</f>
        <v/>
      </c>
      <c r="X3">
        <f>IF(AND($E3&lt;=DATE(2026,12,14)+6,$F3&gt;=DATE(2026,12,14)),1,"")</f>
        <v/>
      </c>
      <c r="Y3">
        <f>IF(AND($E3&lt;=DATE(2026,12,21)+6,$F3&gt;=DATE(2026,12,21)),1,"")</f>
        <v/>
      </c>
      <c r="Z3">
        <f>IF(AND($E3&lt;=DATE(2026,12,28)+6,$F3&gt;=DATE(2026,12,28)),1,"")</f>
        <v/>
      </c>
      <c r="AA3">
        <f>IF(AND($E3&lt;=DATE(2027,1,4)+6,$F3&gt;=DATE(2027,1,4)),1,"")</f>
        <v/>
      </c>
      <c r="AB3">
        <f>IF(AND($E3&lt;=DATE(2027,1,11)+6,$F3&gt;=DATE(2027,1,11)),1,"")</f>
        <v/>
      </c>
      <c r="AC3">
        <f>IF(AND($E3&lt;=DATE(2027,1,18)+6,$F3&gt;=DATE(2027,1,18)),1,"")</f>
        <v/>
      </c>
      <c r="AD3">
        <f>IF(AND($E3&lt;=DATE(2027,1,25)+6,$F3&gt;=DATE(2027,1,25)),1,"")</f>
        <v/>
      </c>
      <c r="AE3">
        <f>IF(AND($E3&lt;=DATE(2027,2,1)+6,$F3&gt;=DATE(2027,2,1)),1,"")</f>
        <v/>
      </c>
      <c r="AF3">
        <f>IF(AND($E3&lt;=DATE(2027,2,8)+6,$F3&gt;=DATE(2027,2,8)),1,"")</f>
        <v/>
      </c>
      <c r="AG3">
        <f>IF(AND($E3&lt;=DATE(2027,2,15)+6,$F3&gt;=DATE(2027,2,15)),1,"")</f>
        <v/>
      </c>
      <c r="AH3">
        <f>IF(AND($E3&lt;=DATE(2027,2,22)+6,$F3&gt;=DATE(2027,2,22)),1,"")</f>
        <v/>
      </c>
      <c r="AI3">
        <f>IF(AND($E3&lt;=DATE(2027,3,1)+6,$F3&gt;=DATE(2027,3,1)),1,"")</f>
        <v/>
      </c>
      <c r="AJ3">
        <f>IF(AND($E3&lt;=DATE(2027,3,8)+6,$F3&gt;=DATE(2027,3,8)),1,"")</f>
        <v/>
      </c>
      <c r="AK3">
        <f>IF(AND($E3&lt;=DATE(2027,3,15)+6,$F3&gt;=DATE(2027,3,15)),1,"")</f>
        <v/>
      </c>
      <c r="AL3">
        <f>IF(AND($E3&lt;=DATE(2027,3,22)+6,$F3&gt;=DATE(2027,3,22)),1,"")</f>
        <v/>
      </c>
      <c r="AM3">
        <f>IF(AND($E3&lt;=DATE(2027,3,29)+6,$F3&gt;=DATE(2027,3,29)),1,"")</f>
        <v/>
      </c>
      <c r="AN3">
        <f>IF(AND($E3&lt;=DATE(2027,4,5)+6,$F3&gt;=DATE(2027,4,5)),1,"")</f>
        <v/>
      </c>
      <c r="AO3">
        <f>IF(AND($E3&lt;=DATE(2027,4,12)+6,$F3&gt;=DATE(2027,4,12)),1,"")</f>
        <v/>
      </c>
      <c r="AP3">
        <f>IF(AND($E3&lt;=DATE(2027,4,19)+6,$F3&gt;=DATE(2027,4,19)),1,"")</f>
        <v/>
      </c>
      <c r="AQ3">
        <f>IF(AND($E3&lt;=DATE(2027,4,26)+6,$F3&gt;=DATE(2027,4,26)),1,"")</f>
        <v/>
      </c>
      <c r="AR3">
        <f>IF(AND($E3&lt;=DATE(2027,5,3)+6,$F3&gt;=DATE(2027,5,3)),1,"")</f>
        <v/>
      </c>
      <c r="AS3">
        <f>IF(AND($E3&lt;=DATE(2027,5,10)+6,$F3&gt;=DATE(2027,5,10)),1,"")</f>
        <v/>
      </c>
      <c r="AT3">
        <f>IF(AND($E3&lt;=DATE(2027,5,17)+6,$F3&gt;=DATE(2027,5,17)),1,"")</f>
        <v/>
      </c>
      <c r="AU3">
        <f>IF(AND($E3&lt;=DATE(2027,5,24)+6,$F3&gt;=DATE(2027,5,24)),1,"")</f>
        <v/>
      </c>
      <c r="AV3">
        <f>IF(AND($E3&lt;=DATE(2027,5,31)+6,$F3&gt;=DATE(2027,5,31)),1,"")</f>
        <v/>
      </c>
      <c r="AW3">
        <f>IF(AND($E3&lt;=DATE(2027,6,7)+6,$F3&gt;=DATE(2027,6,7)),1,"")</f>
        <v/>
      </c>
      <c r="AX3">
        <f>IF(AND($E3&lt;=DATE(2027,6,14)+6,$F3&gt;=DATE(2027,6,14)),1,"")</f>
        <v/>
      </c>
      <c r="AY3">
        <f>IF(AND($E3&lt;=DATE(2027,6,21)+6,$F3&gt;=DATE(2027,6,21)),1,"")</f>
        <v/>
      </c>
      <c r="AZ3">
        <f>IF(AND($E3&lt;=DATE(2027,6,28)+6,$F3&gt;=DATE(2027,6,28)),1,"")</f>
        <v/>
      </c>
      <c r="BA3">
        <f>IF(AND($E3&lt;=DATE(2027,7,5)+6,$F3&gt;=DATE(2027,7,5)),1,"")</f>
        <v/>
      </c>
      <c r="BB3">
        <f>IF(AND($E3&lt;=DATE(2027,7,12)+6,$F3&gt;=DATE(2027,7,12)),1,"")</f>
        <v/>
      </c>
      <c r="BC3">
        <f>IF(AND($E3&lt;=DATE(2027,7,19)+6,$F3&gt;=DATE(2027,7,19)),1,"")</f>
        <v/>
      </c>
      <c r="BD3">
        <f>IF(AND($E3&lt;=DATE(2027,7,26)+6,$F3&gt;=DATE(2027,7,26)),1,"")</f>
        <v/>
      </c>
      <c r="BE3">
        <f>IF(AND($E3&lt;=DATE(2027,8,2)+6,$F3&gt;=DATE(2027,8,2)),1,"")</f>
        <v/>
      </c>
      <c r="BF3">
        <f>IF(AND($E3&lt;=DATE(2027,8,9)+6,$F3&gt;=DATE(2027,8,9)),1,"")</f>
        <v/>
      </c>
      <c r="BG3">
        <f>IF(AND($E3&lt;=DATE(2027,8,16)+6,$F3&gt;=DATE(2027,8,16)),1,"")</f>
        <v/>
      </c>
      <c r="BH3">
        <f>IF(AND($E3&lt;=DATE(2027,8,23)+6,$F3&gt;=DATE(2027,8,23)),1,"")</f>
        <v/>
      </c>
      <c r="BI3">
        <f>IF(AND($E3&lt;=DATE(2027,8,30)+6,$F3&gt;=DATE(2027,8,30)),1,"")</f>
        <v/>
      </c>
      <c r="BJ3">
        <f>IF(AND($E3&lt;=DATE(2027,9,6)+6,$F3&gt;=DATE(2027,9,6)),1,"")</f>
        <v/>
      </c>
      <c r="BK3">
        <f>IF(AND($E3&lt;=DATE(2027,9,13)+6,$F3&gt;=DATE(2027,9,13)),1,"")</f>
        <v/>
      </c>
      <c r="BL3">
        <f>IF(AND($E3&lt;=DATE(2027,9,20)+6,$F3&gt;=DATE(2027,9,20)),1,"")</f>
        <v/>
      </c>
      <c r="BM3">
        <f>IF(AND($E3&lt;=DATE(2027,9,27)+6,$F3&gt;=DATE(2027,9,27)),1,"")</f>
        <v/>
      </c>
    </row>
    <row r="4">
      <c r="A4" t="inlineStr">
        <is>
          <t>1.2</t>
        </is>
      </c>
      <c r="B4" t="inlineStr">
        <is>
          <t>Production lead reviews plan with his manager</t>
        </is>
      </c>
      <c r="C4" t="inlineStr">
        <is>
          <t>Production lead</t>
        </is>
      </c>
      <c r="D4" t="inlineStr">
        <is>
          <t>Phase 0</t>
        </is>
      </c>
      <c r="E4" s="9" t="n">
        <v>46295</v>
      </c>
      <c r="F4" s="9" t="n">
        <v>46298</v>
      </c>
      <c r="G4">
        <f>F4-E4+1</f>
        <v/>
      </c>
      <c r="H4" t="inlineStr">
        <is>
          <t>1.1</t>
        </is>
      </c>
      <c r="I4" t="inlineStr">
        <is>
          <t>Feedback</t>
        </is>
      </c>
      <c r="J4" t="inlineStr">
        <is>
          <t>Not started</t>
        </is>
      </c>
      <c r="K4" s="10" t="n">
        <v>0</v>
      </c>
      <c r="L4">
        <f>IF(AND($E4&lt;=DATE(2026,9,21)+6,$F4&gt;=DATE(2026,9,21)),1,"")</f>
        <v/>
      </c>
      <c r="M4">
        <f>IF(AND($E4&lt;=DATE(2026,9,28)+6,$F4&gt;=DATE(2026,9,28)),1,"")</f>
        <v/>
      </c>
      <c r="N4">
        <f>IF(AND($E4&lt;=DATE(2026,10,5)+6,$F4&gt;=DATE(2026,10,5)),1,"")</f>
        <v/>
      </c>
      <c r="O4">
        <f>IF(AND($E4&lt;=DATE(2026,10,12)+6,$F4&gt;=DATE(2026,10,12)),1,"")</f>
        <v/>
      </c>
      <c r="P4">
        <f>IF(AND($E4&lt;=DATE(2026,10,19)+6,$F4&gt;=DATE(2026,10,19)),1,"")</f>
        <v/>
      </c>
      <c r="Q4">
        <f>IF(AND($E4&lt;=DATE(2026,10,26)+6,$F4&gt;=DATE(2026,10,26)),1,"")</f>
        <v/>
      </c>
      <c r="R4">
        <f>IF(AND($E4&lt;=DATE(2026,11,2)+6,$F4&gt;=DATE(2026,11,2)),1,"")</f>
        <v/>
      </c>
      <c r="S4">
        <f>IF(AND($E4&lt;=DATE(2026,11,9)+6,$F4&gt;=DATE(2026,11,9)),1,"")</f>
        <v/>
      </c>
      <c r="T4">
        <f>IF(AND($E4&lt;=DATE(2026,11,16)+6,$F4&gt;=DATE(2026,11,16)),1,"")</f>
        <v/>
      </c>
      <c r="U4">
        <f>IF(AND($E4&lt;=DATE(2026,11,23)+6,$F4&gt;=DATE(2026,11,23)),1,"")</f>
        <v/>
      </c>
      <c r="V4">
        <f>IF(AND($E4&lt;=DATE(2026,11,30)+6,$F4&gt;=DATE(2026,11,30)),1,"")</f>
        <v/>
      </c>
      <c r="W4">
        <f>IF(AND($E4&lt;=DATE(2026,12,7)+6,$F4&gt;=DATE(2026,12,7)),1,"")</f>
        <v/>
      </c>
      <c r="X4">
        <f>IF(AND($E4&lt;=DATE(2026,12,14)+6,$F4&gt;=DATE(2026,12,14)),1,"")</f>
        <v/>
      </c>
      <c r="Y4">
        <f>IF(AND($E4&lt;=DATE(2026,12,21)+6,$F4&gt;=DATE(2026,12,21)),1,"")</f>
        <v/>
      </c>
      <c r="Z4">
        <f>IF(AND($E4&lt;=DATE(2026,12,28)+6,$F4&gt;=DATE(2026,12,28)),1,"")</f>
        <v/>
      </c>
      <c r="AA4">
        <f>IF(AND($E4&lt;=DATE(2027,1,4)+6,$F4&gt;=DATE(2027,1,4)),1,"")</f>
        <v/>
      </c>
      <c r="AB4">
        <f>IF(AND($E4&lt;=DATE(2027,1,11)+6,$F4&gt;=DATE(2027,1,11)),1,"")</f>
        <v/>
      </c>
      <c r="AC4">
        <f>IF(AND($E4&lt;=DATE(2027,1,18)+6,$F4&gt;=DATE(2027,1,18)),1,"")</f>
        <v/>
      </c>
      <c r="AD4">
        <f>IF(AND($E4&lt;=DATE(2027,1,25)+6,$F4&gt;=DATE(2027,1,25)),1,"")</f>
        <v/>
      </c>
      <c r="AE4">
        <f>IF(AND($E4&lt;=DATE(2027,2,1)+6,$F4&gt;=DATE(2027,2,1)),1,"")</f>
        <v/>
      </c>
      <c r="AF4">
        <f>IF(AND($E4&lt;=DATE(2027,2,8)+6,$F4&gt;=DATE(2027,2,8)),1,"")</f>
        <v/>
      </c>
      <c r="AG4">
        <f>IF(AND($E4&lt;=DATE(2027,2,15)+6,$F4&gt;=DATE(2027,2,15)),1,"")</f>
        <v/>
      </c>
      <c r="AH4">
        <f>IF(AND($E4&lt;=DATE(2027,2,22)+6,$F4&gt;=DATE(2027,2,22)),1,"")</f>
        <v/>
      </c>
      <c r="AI4">
        <f>IF(AND($E4&lt;=DATE(2027,3,1)+6,$F4&gt;=DATE(2027,3,1)),1,"")</f>
        <v/>
      </c>
      <c r="AJ4">
        <f>IF(AND($E4&lt;=DATE(2027,3,8)+6,$F4&gt;=DATE(2027,3,8)),1,"")</f>
        <v/>
      </c>
      <c r="AK4">
        <f>IF(AND($E4&lt;=DATE(2027,3,15)+6,$F4&gt;=DATE(2027,3,15)),1,"")</f>
        <v/>
      </c>
      <c r="AL4">
        <f>IF(AND($E4&lt;=DATE(2027,3,22)+6,$F4&gt;=DATE(2027,3,22)),1,"")</f>
        <v/>
      </c>
      <c r="AM4">
        <f>IF(AND($E4&lt;=DATE(2027,3,29)+6,$F4&gt;=DATE(2027,3,29)),1,"")</f>
        <v/>
      </c>
      <c r="AN4">
        <f>IF(AND($E4&lt;=DATE(2027,4,5)+6,$F4&gt;=DATE(2027,4,5)),1,"")</f>
        <v/>
      </c>
      <c r="AO4">
        <f>IF(AND($E4&lt;=DATE(2027,4,12)+6,$F4&gt;=DATE(2027,4,12)),1,"")</f>
        <v/>
      </c>
      <c r="AP4">
        <f>IF(AND($E4&lt;=DATE(2027,4,19)+6,$F4&gt;=DATE(2027,4,19)),1,"")</f>
        <v/>
      </c>
      <c r="AQ4">
        <f>IF(AND($E4&lt;=DATE(2027,4,26)+6,$F4&gt;=DATE(2027,4,26)),1,"")</f>
        <v/>
      </c>
      <c r="AR4">
        <f>IF(AND($E4&lt;=DATE(2027,5,3)+6,$F4&gt;=DATE(2027,5,3)),1,"")</f>
        <v/>
      </c>
      <c r="AS4">
        <f>IF(AND($E4&lt;=DATE(2027,5,10)+6,$F4&gt;=DATE(2027,5,10)),1,"")</f>
        <v/>
      </c>
      <c r="AT4">
        <f>IF(AND($E4&lt;=DATE(2027,5,17)+6,$F4&gt;=DATE(2027,5,17)),1,"")</f>
        <v/>
      </c>
      <c r="AU4">
        <f>IF(AND($E4&lt;=DATE(2027,5,24)+6,$F4&gt;=DATE(2027,5,24)),1,"")</f>
        <v/>
      </c>
      <c r="AV4">
        <f>IF(AND($E4&lt;=DATE(2027,5,31)+6,$F4&gt;=DATE(2027,5,31)),1,"")</f>
        <v/>
      </c>
      <c r="AW4">
        <f>IF(AND($E4&lt;=DATE(2027,6,7)+6,$F4&gt;=DATE(2027,6,7)),1,"")</f>
        <v/>
      </c>
      <c r="AX4">
        <f>IF(AND($E4&lt;=DATE(2027,6,14)+6,$F4&gt;=DATE(2027,6,14)),1,"")</f>
        <v/>
      </c>
      <c r="AY4">
        <f>IF(AND($E4&lt;=DATE(2027,6,21)+6,$F4&gt;=DATE(2027,6,21)),1,"")</f>
        <v/>
      </c>
      <c r="AZ4">
        <f>IF(AND($E4&lt;=DATE(2027,6,28)+6,$F4&gt;=DATE(2027,6,28)),1,"")</f>
        <v/>
      </c>
      <c r="BA4">
        <f>IF(AND($E4&lt;=DATE(2027,7,5)+6,$F4&gt;=DATE(2027,7,5)),1,"")</f>
        <v/>
      </c>
      <c r="BB4">
        <f>IF(AND($E4&lt;=DATE(2027,7,12)+6,$F4&gt;=DATE(2027,7,12)),1,"")</f>
        <v/>
      </c>
      <c r="BC4">
        <f>IF(AND($E4&lt;=DATE(2027,7,19)+6,$F4&gt;=DATE(2027,7,19)),1,"")</f>
        <v/>
      </c>
      <c r="BD4">
        <f>IF(AND($E4&lt;=DATE(2027,7,26)+6,$F4&gt;=DATE(2027,7,26)),1,"")</f>
        <v/>
      </c>
      <c r="BE4">
        <f>IF(AND($E4&lt;=DATE(2027,8,2)+6,$F4&gt;=DATE(2027,8,2)),1,"")</f>
        <v/>
      </c>
      <c r="BF4">
        <f>IF(AND($E4&lt;=DATE(2027,8,9)+6,$F4&gt;=DATE(2027,8,9)),1,"")</f>
        <v/>
      </c>
      <c r="BG4">
        <f>IF(AND($E4&lt;=DATE(2027,8,16)+6,$F4&gt;=DATE(2027,8,16)),1,"")</f>
        <v/>
      </c>
      <c r="BH4">
        <f>IF(AND($E4&lt;=DATE(2027,8,23)+6,$F4&gt;=DATE(2027,8,23)),1,"")</f>
        <v/>
      </c>
      <c r="BI4">
        <f>IF(AND($E4&lt;=DATE(2027,8,30)+6,$F4&gt;=DATE(2027,8,30)),1,"")</f>
        <v/>
      </c>
      <c r="BJ4">
        <f>IF(AND($E4&lt;=DATE(2027,9,6)+6,$F4&gt;=DATE(2027,9,6)),1,"")</f>
        <v/>
      </c>
      <c r="BK4">
        <f>IF(AND($E4&lt;=DATE(2027,9,13)+6,$F4&gt;=DATE(2027,9,13)),1,"")</f>
        <v/>
      </c>
      <c r="BL4">
        <f>IF(AND($E4&lt;=DATE(2027,9,20)+6,$F4&gt;=DATE(2027,9,20)),1,"")</f>
        <v/>
      </c>
      <c r="BM4">
        <f>IF(AND($E4&lt;=DATE(2027,9,27)+6,$F4&gt;=DATE(2027,9,27)),1,"")</f>
        <v/>
      </c>
    </row>
    <row r="5">
      <c r="A5" t="inlineStr">
        <is>
          <t>1.3</t>
        </is>
      </c>
      <c r="B5" t="inlineStr">
        <is>
          <t>Decision meeting (Mukunda Dasa, production lead, manager)</t>
        </is>
      </c>
      <c r="C5" t="inlineStr">
        <is>
          <t>Mukunda Dasa</t>
        </is>
      </c>
      <c r="D5" t="inlineStr">
        <is>
          <t>Phase 0</t>
        </is>
      </c>
      <c r="E5" s="9" t="n">
        <v>46300</v>
      </c>
      <c r="F5" s="9" t="n">
        <v>46300</v>
      </c>
      <c r="G5">
        <f>F5-E5+1</f>
        <v/>
      </c>
      <c r="H5" t="inlineStr">
        <is>
          <t>1.2</t>
        </is>
      </c>
      <c r="I5" t="inlineStr">
        <is>
          <t>Signed-off charter</t>
        </is>
      </c>
      <c r="J5" t="inlineStr">
        <is>
          <t>Not started</t>
        </is>
      </c>
      <c r="K5" s="10" t="n">
        <v>0</v>
      </c>
      <c r="L5">
        <f>IF(AND($E5&lt;=DATE(2026,9,21)+6,$F5&gt;=DATE(2026,9,21)),1,"")</f>
        <v/>
      </c>
      <c r="M5">
        <f>IF(AND($E5&lt;=DATE(2026,9,28)+6,$F5&gt;=DATE(2026,9,28)),1,"")</f>
        <v/>
      </c>
      <c r="N5">
        <f>IF(AND($E5&lt;=DATE(2026,10,5)+6,$F5&gt;=DATE(2026,10,5)),1,"")</f>
        <v/>
      </c>
      <c r="O5">
        <f>IF(AND($E5&lt;=DATE(2026,10,12)+6,$F5&gt;=DATE(2026,10,12)),1,"")</f>
        <v/>
      </c>
      <c r="P5">
        <f>IF(AND($E5&lt;=DATE(2026,10,19)+6,$F5&gt;=DATE(2026,10,19)),1,"")</f>
        <v/>
      </c>
      <c r="Q5">
        <f>IF(AND($E5&lt;=DATE(2026,10,26)+6,$F5&gt;=DATE(2026,10,26)),1,"")</f>
        <v/>
      </c>
      <c r="R5">
        <f>IF(AND($E5&lt;=DATE(2026,11,2)+6,$F5&gt;=DATE(2026,11,2)),1,"")</f>
        <v/>
      </c>
      <c r="S5">
        <f>IF(AND($E5&lt;=DATE(2026,11,9)+6,$F5&gt;=DATE(2026,11,9)),1,"")</f>
        <v/>
      </c>
      <c r="T5">
        <f>IF(AND($E5&lt;=DATE(2026,11,16)+6,$F5&gt;=DATE(2026,11,16)),1,"")</f>
        <v/>
      </c>
      <c r="U5">
        <f>IF(AND($E5&lt;=DATE(2026,11,23)+6,$F5&gt;=DATE(2026,11,23)),1,"")</f>
        <v/>
      </c>
      <c r="V5">
        <f>IF(AND($E5&lt;=DATE(2026,11,30)+6,$F5&gt;=DATE(2026,11,30)),1,"")</f>
        <v/>
      </c>
      <c r="W5">
        <f>IF(AND($E5&lt;=DATE(2026,12,7)+6,$F5&gt;=DATE(2026,12,7)),1,"")</f>
        <v/>
      </c>
      <c r="X5">
        <f>IF(AND($E5&lt;=DATE(2026,12,14)+6,$F5&gt;=DATE(2026,12,14)),1,"")</f>
        <v/>
      </c>
      <c r="Y5">
        <f>IF(AND($E5&lt;=DATE(2026,12,21)+6,$F5&gt;=DATE(2026,12,21)),1,"")</f>
        <v/>
      </c>
      <c r="Z5">
        <f>IF(AND($E5&lt;=DATE(2026,12,28)+6,$F5&gt;=DATE(2026,12,28)),1,"")</f>
        <v/>
      </c>
      <c r="AA5">
        <f>IF(AND($E5&lt;=DATE(2027,1,4)+6,$F5&gt;=DATE(2027,1,4)),1,"")</f>
        <v/>
      </c>
      <c r="AB5">
        <f>IF(AND($E5&lt;=DATE(2027,1,11)+6,$F5&gt;=DATE(2027,1,11)),1,"")</f>
        <v/>
      </c>
      <c r="AC5">
        <f>IF(AND($E5&lt;=DATE(2027,1,18)+6,$F5&gt;=DATE(2027,1,18)),1,"")</f>
        <v/>
      </c>
      <c r="AD5">
        <f>IF(AND($E5&lt;=DATE(2027,1,25)+6,$F5&gt;=DATE(2027,1,25)),1,"")</f>
        <v/>
      </c>
      <c r="AE5">
        <f>IF(AND($E5&lt;=DATE(2027,2,1)+6,$F5&gt;=DATE(2027,2,1)),1,"")</f>
        <v/>
      </c>
      <c r="AF5">
        <f>IF(AND($E5&lt;=DATE(2027,2,8)+6,$F5&gt;=DATE(2027,2,8)),1,"")</f>
        <v/>
      </c>
      <c r="AG5">
        <f>IF(AND($E5&lt;=DATE(2027,2,15)+6,$F5&gt;=DATE(2027,2,15)),1,"")</f>
        <v/>
      </c>
      <c r="AH5">
        <f>IF(AND($E5&lt;=DATE(2027,2,22)+6,$F5&gt;=DATE(2027,2,22)),1,"")</f>
        <v/>
      </c>
      <c r="AI5">
        <f>IF(AND($E5&lt;=DATE(2027,3,1)+6,$F5&gt;=DATE(2027,3,1)),1,"")</f>
        <v/>
      </c>
      <c r="AJ5">
        <f>IF(AND($E5&lt;=DATE(2027,3,8)+6,$F5&gt;=DATE(2027,3,8)),1,"")</f>
        <v/>
      </c>
      <c r="AK5">
        <f>IF(AND($E5&lt;=DATE(2027,3,15)+6,$F5&gt;=DATE(2027,3,15)),1,"")</f>
        <v/>
      </c>
      <c r="AL5">
        <f>IF(AND($E5&lt;=DATE(2027,3,22)+6,$F5&gt;=DATE(2027,3,22)),1,"")</f>
        <v/>
      </c>
      <c r="AM5">
        <f>IF(AND($E5&lt;=DATE(2027,3,29)+6,$F5&gt;=DATE(2027,3,29)),1,"")</f>
        <v/>
      </c>
      <c r="AN5">
        <f>IF(AND($E5&lt;=DATE(2027,4,5)+6,$F5&gt;=DATE(2027,4,5)),1,"")</f>
        <v/>
      </c>
      <c r="AO5">
        <f>IF(AND($E5&lt;=DATE(2027,4,12)+6,$F5&gt;=DATE(2027,4,12)),1,"")</f>
        <v/>
      </c>
      <c r="AP5">
        <f>IF(AND($E5&lt;=DATE(2027,4,19)+6,$F5&gt;=DATE(2027,4,19)),1,"")</f>
        <v/>
      </c>
      <c r="AQ5">
        <f>IF(AND($E5&lt;=DATE(2027,4,26)+6,$F5&gt;=DATE(2027,4,26)),1,"")</f>
        <v/>
      </c>
      <c r="AR5">
        <f>IF(AND($E5&lt;=DATE(2027,5,3)+6,$F5&gt;=DATE(2027,5,3)),1,"")</f>
        <v/>
      </c>
      <c r="AS5">
        <f>IF(AND($E5&lt;=DATE(2027,5,10)+6,$F5&gt;=DATE(2027,5,10)),1,"")</f>
        <v/>
      </c>
      <c r="AT5">
        <f>IF(AND($E5&lt;=DATE(2027,5,17)+6,$F5&gt;=DATE(2027,5,17)),1,"")</f>
        <v/>
      </c>
      <c r="AU5">
        <f>IF(AND($E5&lt;=DATE(2027,5,24)+6,$F5&gt;=DATE(2027,5,24)),1,"")</f>
        <v/>
      </c>
      <c r="AV5">
        <f>IF(AND($E5&lt;=DATE(2027,5,31)+6,$F5&gt;=DATE(2027,5,31)),1,"")</f>
        <v/>
      </c>
      <c r="AW5">
        <f>IF(AND($E5&lt;=DATE(2027,6,7)+6,$F5&gt;=DATE(2027,6,7)),1,"")</f>
        <v/>
      </c>
      <c r="AX5">
        <f>IF(AND($E5&lt;=DATE(2027,6,14)+6,$F5&gt;=DATE(2027,6,14)),1,"")</f>
        <v/>
      </c>
      <c r="AY5">
        <f>IF(AND($E5&lt;=DATE(2027,6,21)+6,$F5&gt;=DATE(2027,6,21)),1,"")</f>
        <v/>
      </c>
      <c r="AZ5">
        <f>IF(AND($E5&lt;=DATE(2027,6,28)+6,$F5&gt;=DATE(2027,6,28)),1,"")</f>
        <v/>
      </c>
      <c r="BA5">
        <f>IF(AND($E5&lt;=DATE(2027,7,5)+6,$F5&gt;=DATE(2027,7,5)),1,"")</f>
        <v/>
      </c>
      <c r="BB5">
        <f>IF(AND($E5&lt;=DATE(2027,7,12)+6,$F5&gt;=DATE(2027,7,12)),1,"")</f>
        <v/>
      </c>
      <c r="BC5">
        <f>IF(AND($E5&lt;=DATE(2027,7,19)+6,$F5&gt;=DATE(2027,7,19)),1,"")</f>
        <v/>
      </c>
      <c r="BD5">
        <f>IF(AND($E5&lt;=DATE(2027,7,26)+6,$F5&gt;=DATE(2027,7,26)),1,"")</f>
        <v/>
      </c>
      <c r="BE5">
        <f>IF(AND($E5&lt;=DATE(2027,8,2)+6,$F5&gt;=DATE(2027,8,2)),1,"")</f>
        <v/>
      </c>
      <c r="BF5">
        <f>IF(AND($E5&lt;=DATE(2027,8,9)+6,$F5&gt;=DATE(2027,8,9)),1,"")</f>
        <v/>
      </c>
      <c r="BG5">
        <f>IF(AND($E5&lt;=DATE(2027,8,16)+6,$F5&gt;=DATE(2027,8,16)),1,"")</f>
        <v/>
      </c>
      <c r="BH5">
        <f>IF(AND($E5&lt;=DATE(2027,8,23)+6,$F5&gt;=DATE(2027,8,23)),1,"")</f>
        <v/>
      </c>
      <c r="BI5">
        <f>IF(AND($E5&lt;=DATE(2027,8,30)+6,$F5&gt;=DATE(2027,8,30)),1,"")</f>
        <v/>
      </c>
      <c r="BJ5">
        <f>IF(AND($E5&lt;=DATE(2027,9,6)+6,$F5&gt;=DATE(2027,9,6)),1,"")</f>
        <v/>
      </c>
      <c r="BK5">
        <f>IF(AND($E5&lt;=DATE(2027,9,13)+6,$F5&gt;=DATE(2027,9,13)),1,"")</f>
        <v/>
      </c>
      <c r="BL5">
        <f>IF(AND($E5&lt;=DATE(2027,9,20)+6,$F5&gt;=DATE(2027,9,20)),1,"")</f>
        <v/>
      </c>
      <c r="BM5">
        <f>IF(AND($E5&lt;=DATE(2027,9,27)+6,$F5&gt;=DATE(2027,9,27)),1,"")</f>
        <v/>
      </c>
    </row>
    <row r="6">
      <c r="A6" t="inlineStr">
        <is>
          <t>1.4</t>
        </is>
      </c>
      <c r="B6" t="inlineStr">
        <is>
          <t>Set up DMTT cost centre and ROI tracker</t>
        </is>
      </c>
      <c r="C6" t="inlineStr">
        <is>
          <t>DMTT / Finance</t>
        </is>
      </c>
      <c r="D6" t="inlineStr">
        <is>
          <t>Phase 0</t>
        </is>
      </c>
      <c r="E6" s="9" t="n">
        <v>46294</v>
      </c>
      <c r="F6" s="9" t="n">
        <v>46301</v>
      </c>
      <c r="G6">
        <f>F6-E6+1</f>
        <v/>
      </c>
      <c r="H6" t="inlineStr"/>
      <c r="I6" t="inlineStr">
        <is>
          <t>ROI dashboard v1</t>
        </is>
      </c>
      <c r="J6" t="inlineStr">
        <is>
          <t>Not started</t>
        </is>
      </c>
      <c r="K6" s="10" t="n">
        <v>0</v>
      </c>
      <c r="L6">
        <f>IF(AND($E6&lt;=DATE(2026,9,21)+6,$F6&gt;=DATE(2026,9,21)),1,"")</f>
        <v/>
      </c>
      <c r="M6">
        <f>IF(AND($E6&lt;=DATE(2026,9,28)+6,$F6&gt;=DATE(2026,9,28)),1,"")</f>
        <v/>
      </c>
      <c r="N6">
        <f>IF(AND($E6&lt;=DATE(2026,10,5)+6,$F6&gt;=DATE(2026,10,5)),1,"")</f>
        <v/>
      </c>
      <c r="O6">
        <f>IF(AND($E6&lt;=DATE(2026,10,12)+6,$F6&gt;=DATE(2026,10,12)),1,"")</f>
        <v/>
      </c>
      <c r="P6">
        <f>IF(AND($E6&lt;=DATE(2026,10,19)+6,$F6&gt;=DATE(2026,10,19)),1,"")</f>
        <v/>
      </c>
      <c r="Q6">
        <f>IF(AND($E6&lt;=DATE(2026,10,26)+6,$F6&gt;=DATE(2026,10,26)),1,"")</f>
        <v/>
      </c>
      <c r="R6">
        <f>IF(AND($E6&lt;=DATE(2026,11,2)+6,$F6&gt;=DATE(2026,11,2)),1,"")</f>
        <v/>
      </c>
      <c r="S6">
        <f>IF(AND($E6&lt;=DATE(2026,11,9)+6,$F6&gt;=DATE(2026,11,9)),1,"")</f>
        <v/>
      </c>
      <c r="T6">
        <f>IF(AND($E6&lt;=DATE(2026,11,16)+6,$F6&gt;=DATE(2026,11,16)),1,"")</f>
        <v/>
      </c>
      <c r="U6">
        <f>IF(AND($E6&lt;=DATE(2026,11,23)+6,$F6&gt;=DATE(2026,11,23)),1,"")</f>
        <v/>
      </c>
      <c r="V6">
        <f>IF(AND($E6&lt;=DATE(2026,11,30)+6,$F6&gt;=DATE(2026,11,30)),1,"")</f>
        <v/>
      </c>
      <c r="W6">
        <f>IF(AND($E6&lt;=DATE(2026,12,7)+6,$F6&gt;=DATE(2026,12,7)),1,"")</f>
        <v/>
      </c>
      <c r="X6">
        <f>IF(AND($E6&lt;=DATE(2026,12,14)+6,$F6&gt;=DATE(2026,12,14)),1,"")</f>
        <v/>
      </c>
      <c r="Y6">
        <f>IF(AND($E6&lt;=DATE(2026,12,21)+6,$F6&gt;=DATE(2026,12,21)),1,"")</f>
        <v/>
      </c>
      <c r="Z6">
        <f>IF(AND($E6&lt;=DATE(2026,12,28)+6,$F6&gt;=DATE(2026,12,28)),1,"")</f>
        <v/>
      </c>
      <c r="AA6">
        <f>IF(AND($E6&lt;=DATE(2027,1,4)+6,$F6&gt;=DATE(2027,1,4)),1,"")</f>
        <v/>
      </c>
      <c r="AB6">
        <f>IF(AND($E6&lt;=DATE(2027,1,11)+6,$F6&gt;=DATE(2027,1,11)),1,"")</f>
        <v/>
      </c>
      <c r="AC6">
        <f>IF(AND($E6&lt;=DATE(2027,1,18)+6,$F6&gt;=DATE(2027,1,18)),1,"")</f>
        <v/>
      </c>
      <c r="AD6">
        <f>IF(AND($E6&lt;=DATE(2027,1,25)+6,$F6&gt;=DATE(2027,1,25)),1,"")</f>
        <v/>
      </c>
      <c r="AE6">
        <f>IF(AND($E6&lt;=DATE(2027,2,1)+6,$F6&gt;=DATE(2027,2,1)),1,"")</f>
        <v/>
      </c>
      <c r="AF6">
        <f>IF(AND($E6&lt;=DATE(2027,2,8)+6,$F6&gt;=DATE(2027,2,8)),1,"")</f>
        <v/>
      </c>
      <c r="AG6">
        <f>IF(AND($E6&lt;=DATE(2027,2,15)+6,$F6&gt;=DATE(2027,2,15)),1,"")</f>
        <v/>
      </c>
      <c r="AH6">
        <f>IF(AND($E6&lt;=DATE(2027,2,22)+6,$F6&gt;=DATE(2027,2,22)),1,"")</f>
        <v/>
      </c>
      <c r="AI6">
        <f>IF(AND($E6&lt;=DATE(2027,3,1)+6,$F6&gt;=DATE(2027,3,1)),1,"")</f>
        <v/>
      </c>
      <c r="AJ6">
        <f>IF(AND($E6&lt;=DATE(2027,3,8)+6,$F6&gt;=DATE(2027,3,8)),1,"")</f>
        <v/>
      </c>
      <c r="AK6">
        <f>IF(AND($E6&lt;=DATE(2027,3,15)+6,$F6&gt;=DATE(2027,3,15)),1,"")</f>
        <v/>
      </c>
      <c r="AL6">
        <f>IF(AND($E6&lt;=DATE(2027,3,22)+6,$F6&gt;=DATE(2027,3,22)),1,"")</f>
        <v/>
      </c>
      <c r="AM6">
        <f>IF(AND($E6&lt;=DATE(2027,3,29)+6,$F6&gt;=DATE(2027,3,29)),1,"")</f>
        <v/>
      </c>
      <c r="AN6">
        <f>IF(AND($E6&lt;=DATE(2027,4,5)+6,$F6&gt;=DATE(2027,4,5)),1,"")</f>
        <v/>
      </c>
      <c r="AO6">
        <f>IF(AND($E6&lt;=DATE(2027,4,12)+6,$F6&gt;=DATE(2027,4,12)),1,"")</f>
        <v/>
      </c>
      <c r="AP6">
        <f>IF(AND($E6&lt;=DATE(2027,4,19)+6,$F6&gt;=DATE(2027,4,19)),1,"")</f>
        <v/>
      </c>
      <c r="AQ6">
        <f>IF(AND($E6&lt;=DATE(2027,4,26)+6,$F6&gt;=DATE(2027,4,26)),1,"")</f>
        <v/>
      </c>
      <c r="AR6">
        <f>IF(AND($E6&lt;=DATE(2027,5,3)+6,$F6&gt;=DATE(2027,5,3)),1,"")</f>
        <v/>
      </c>
      <c r="AS6">
        <f>IF(AND($E6&lt;=DATE(2027,5,10)+6,$F6&gt;=DATE(2027,5,10)),1,"")</f>
        <v/>
      </c>
      <c r="AT6">
        <f>IF(AND($E6&lt;=DATE(2027,5,17)+6,$F6&gt;=DATE(2027,5,17)),1,"")</f>
        <v/>
      </c>
      <c r="AU6">
        <f>IF(AND($E6&lt;=DATE(2027,5,24)+6,$F6&gt;=DATE(2027,5,24)),1,"")</f>
        <v/>
      </c>
      <c r="AV6">
        <f>IF(AND($E6&lt;=DATE(2027,5,31)+6,$F6&gt;=DATE(2027,5,31)),1,"")</f>
        <v/>
      </c>
      <c r="AW6">
        <f>IF(AND($E6&lt;=DATE(2027,6,7)+6,$F6&gt;=DATE(2027,6,7)),1,"")</f>
        <v/>
      </c>
      <c r="AX6">
        <f>IF(AND($E6&lt;=DATE(2027,6,14)+6,$F6&gt;=DATE(2027,6,14)),1,"")</f>
        <v/>
      </c>
      <c r="AY6">
        <f>IF(AND($E6&lt;=DATE(2027,6,21)+6,$F6&gt;=DATE(2027,6,21)),1,"")</f>
        <v/>
      </c>
      <c r="AZ6">
        <f>IF(AND($E6&lt;=DATE(2027,6,28)+6,$F6&gt;=DATE(2027,6,28)),1,"")</f>
        <v/>
      </c>
      <c r="BA6">
        <f>IF(AND($E6&lt;=DATE(2027,7,5)+6,$F6&gt;=DATE(2027,7,5)),1,"")</f>
        <v/>
      </c>
      <c r="BB6">
        <f>IF(AND($E6&lt;=DATE(2027,7,12)+6,$F6&gt;=DATE(2027,7,12)),1,"")</f>
        <v/>
      </c>
      <c r="BC6">
        <f>IF(AND($E6&lt;=DATE(2027,7,19)+6,$F6&gt;=DATE(2027,7,19)),1,"")</f>
        <v/>
      </c>
      <c r="BD6">
        <f>IF(AND($E6&lt;=DATE(2027,7,26)+6,$F6&gt;=DATE(2027,7,26)),1,"")</f>
        <v/>
      </c>
      <c r="BE6">
        <f>IF(AND($E6&lt;=DATE(2027,8,2)+6,$F6&gt;=DATE(2027,8,2)),1,"")</f>
        <v/>
      </c>
      <c r="BF6">
        <f>IF(AND($E6&lt;=DATE(2027,8,9)+6,$F6&gt;=DATE(2027,8,9)),1,"")</f>
        <v/>
      </c>
      <c r="BG6">
        <f>IF(AND($E6&lt;=DATE(2027,8,16)+6,$F6&gt;=DATE(2027,8,16)),1,"")</f>
        <v/>
      </c>
      <c r="BH6">
        <f>IF(AND($E6&lt;=DATE(2027,8,23)+6,$F6&gt;=DATE(2027,8,23)),1,"")</f>
        <v/>
      </c>
      <c r="BI6">
        <f>IF(AND($E6&lt;=DATE(2027,8,30)+6,$F6&gt;=DATE(2027,8,30)),1,"")</f>
        <v/>
      </c>
      <c r="BJ6">
        <f>IF(AND($E6&lt;=DATE(2027,9,6)+6,$F6&gt;=DATE(2027,9,6)),1,"")</f>
        <v/>
      </c>
      <c r="BK6">
        <f>IF(AND($E6&lt;=DATE(2027,9,13)+6,$F6&gt;=DATE(2027,9,13)),1,"")</f>
        <v/>
      </c>
      <c r="BL6">
        <f>IF(AND($E6&lt;=DATE(2027,9,20)+6,$F6&gt;=DATE(2027,9,20)),1,"")</f>
        <v/>
      </c>
      <c r="BM6">
        <f>IF(AND($E6&lt;=DATE(2027,9,27)+6,$F6&gt;=DATE(2027,9,27)),1,"")</f>
        <v/>
      </c>
    </row>
    <row r="7">
      <c r="A7" t="inlineStr">
        <is>
          <t>1.5</t>
        </is>
      </c>
      <c r="B7" t="inlineStr">
        <is>
          <t>Confirm brand-use approval and FSSAI scope</t>
        </is>
      </c>
      <c r="C7" t="inlineStr">
        <is>
          <t>Quality &amp; compliance</t>
        </is>
      </c>
      <c r="D7" t="inlineStr">
        <is>
          <t>Phase 0</t>
        </is>
      </c>
      <c r="E7" s="9" t="n">
        <v>46294</v>
      </c>
      <c r="F7" s="9" t="n">
        <v>46304</v>
      </c>
      <c r="G7">
        <f>F7-E7+1</f>
        <v/>
      </c>
      <c r="H7" t="inlineStr"/>
      <c r="I7" t="inlineStr">
        <is>
          <t>Compliance note</t>
        </is>
      </c>
      <c r="J7" t="inlineStr">
        <is>
          <t>Not started</t>
        </is>
      </c>
      <c r="K7" s="10" t="n">
        <v>0</v>
      </c>
      <c r="L7">
        <f>IF(AND($E7&lt;=DATE(2026,9,21)+6,$F7&gt;=DATE(2026,9,21)),1,"")</f>
        <v/>
      </c>
      <c r="M7">
        <f>IF(AND($E7&lt;=DATE(2026,9,28)+6,$F7&gt;=DATE(2026,9,28)),1,"")</f>
        <v/>
      </c>
      <c r="N7">
        <f>IF(AND($E7&lt;=DATE(2026,10,5)+6,$F7&gt;=DATE(2026,10,5)),1,"")</f>
        <v/>
      </c>
      <c r="O7">
        <f>IF(AND($E7&lt;=DATE(2026,10,12)+6,$F7&gt;=DATE(2026,10,12)),1,"")</f>
        <v/>
      </c>
      <c r="P7">
        <f>IF(AND($E7&lt;=DATE(2026,10,19)+6,$F7&gt;=DATE(2026,10,19)),1,"")</f>
        <v/>
      </c>
      <c r="Q7">
        <f>IF(AND($E7&lt;=DATE(2026,10,26)+6,$F7&gt;=DATE(2026,10,26)),1,"")</f>
        <v/>
      </c>
      <c r="R7">
        <f>IF(AND($E7&lt;=DATE(2026,11,2)+6,$F7&gt;=DATE(2026,11,2)),1,"")</f>
        <v/>
      </c>
      <c r="S7">
        <f>IF(AND($E7&lt;=DATE(2026,11,9)+6,$F7&gt;=DATE(2026,11,9)),1,"")</f>
        <v/>
      </c>
      <c r="T7">
        <f>IF(AND($E7&lt;=DATE(2026,11,16)+6,$F7&gt;=DATE(2026,11,16)),1,"")</f>
        <v/>
      </c>
      <c r="U7">
        <f>IF(AND($E7&lt;=DATE(2026,11,23)+6,$F7&gt;=DATE(2026,11,23)),1,"")</f>
        <v/>
      </c>
      <c r="V7">
        <f>IF(AND($E7&lt;=DATE(2026,11,30)+6,$F7&gt;=DATE(2026,11,30)),1,"")</f>
        <v/>
      </c>
      <c r="W7">
        <f>IF(AND($E7&lt;=DATE(2026,12,7)+6,$F7&gt;=DATE(2026,12,7)),1,"")</f>
        <v/>
      </c>
      <c r="X7">
        <f>IF(AND($E7&lt;=DATE(2026,12,14)+6,$F7&gt;=DATE(2026,12,14)),1,"")</f>
        <v/>
      </c>
      <c r="Y7">
        <f>IF(AND($E7&lt;=DATE(2026,12,21)+6,$F7&gt;=DATE(2026,12,21)),1,"")</f>
        <v/>
      </c>
      <c r="Z7">
        <f>IF(AND($E7&lt;=DATE(2026,12,28)+6,$F7&gt;=DATE(2026,12,28)),1,"")</f>
        <v/>
      </c>
      <c r="AA7">
        <f>IF(AND($E7&lt;=DATE(2027,1,4)+6,$F7&gt;=DATE(2027,1,4)),1,"")</f>
        <v/>
      </c>
      <c r="AB7">
        <f>IF(AND($E7&lt;=DATE(2027,1,11)+6,$F7&gt;=DATE(2027,1,11)),1,"")</f>
        <v/>
      </c>
      <c r="AC7">
        <f>IF(AND($E7&lt;=DATE(2027,1,18)+6,$F7&gt;=DATE(2027,1,18)),1,"")</f>
        <v/>
      </c>
      <c r="AD7">
        <f>IF(AND($E7&lt;=DATE(2027,1,25)+6,$F7&gt;=DATE(2027,1,25)),1,"")</f>
        <v/>
      </c>
      <c r="AE7">
        <f>IF(AND($E7&lt;=DATE(2027,2,1)+6,$F7&gt;=DATE(2027,2,1)),1,"")</f>
        <v/>
      </c>
      <c r="AF7">
        <f>IF(AND($E7&lt;=DATE(2027,2,8)+6,$F7&gt;=DATE(2027,2,8)),1,"")</f>
        <v/>
      </c>
      <c r="AG7">
        <f>IF(AND($E7&lt;=DATE(2027,2,15)+6,$F7&gt;=DATE(2027,2,15)),1,"")</f>
        <v/>
      </c>
      <c r="AH7">
        <f>IF(AND($E7&lt;=DATE(2027,2,22)+6,$F7&gt;=DATE(2027,2,22)),1,"")</f>
        <v/>
      </c>
      <c r="AI7">
        <f>IF(AND($E7&lt;=DATE(2027,3,1)+6,$F7&gt;=DATE(2027,3,1)),1,"")</f>
        <v/>
      </c>
      <c r="AJ7">
        <f>IF(AND($E7&lt;=DATE(2027,3,8)+6,$F7&gt;=DATE(2027,3,8)),1,"")</f>
        <v/>
      </c>
      <c r="AK7">
        <f>IF(AND($E7&lt;=DATE(2027,3,15)+6,$F7&gt;=DATE(2027,3,15)),1,"")</f>
        <v/>
      </c>
      <c r="AL7">
        <f>IF(AND($E7&lt;=DATE(2027,3,22)+6,$F7&gt;=DATE(2027,3,22)),1,"")</f>
        <v/>
      </c>
      <c r="AM7">
        <f>IF(AND($E7&lt;=DATE(2027,3,29)+6,$F7&gt;=DATE(2027,3,29)),1,"")</f>
        <v/>
      </c>
      <c r="AN7">
        <f>IF(AND($E7&lt;=DATE(2027,4,5)+6,$F7&gt;=DATE(2027,4,5)),1,"")</f>
        <v/>
      </c>
      <c r="AO7">
        <f>IF(AND($E7&lt;=DATE(2027,4,12)+6,$F7&gt;=DATE(2027,4,12)),1,"")</f>
        <v/>
      </c>
      <c r="AP7">
        <f>IF(AND($E7&lt;=DATE(2027,4,19)+6,$F7&gt;=DATE(2027,4,19)),1,"")</f>
        <v/>
      </c>
      <c r="AQ7">
        <f>IF(AND($E7&lt;=DATE(2027,4,26)+6,$F7&gt;=DATE(2027,4,26)),1,"")</f>
        <v/>
      </c>
      <c r="AR7">
        <f>IF(AND($E7&lt;=DATE(2027,5,3)+6,$F7&gt;=DATE(2027,5,3)),1,"")</f>
        <v/>
      </c>
      <c r="AS7">
        <f>IF(AND($E7&lt;=DATE(2027,5,10)+6,$F7&gt;=DATE(2027,5,10)),1,"")</f>
        <v/>
      </c>
      <c r="AT7">
        <f>IF(AND($E7&lt;=DATE(2027,5,17)+6,$F7&gt;=DATE(2027,5,17)),1,"")</f>
        <v/>
      </c>
      <c r="AU7">
        <f>IF(AND($E7&lt;=DATE(2027,5,24)+6,$F7&gt;=DATE(2027,5,24)),1,"")</f>
        <v/>
      </c>
      <c r="AV7">
        <f>IF(AND($E7&lt;=DATE(2027,5,31)+6,$F7&gt;=DATE(2027,5,31)),1,"")</f>
        <v/>
      </c>
      <c r="AW7">
        <f>IF(AND($E7&lt;=DATE(2027,6,7)+6,$F7&gt;=DATE(2027,6,7)),1,"")</f>
        <v/>
      </c>
      <c r="AX7">
        <f>IF(AND($E7&lt;=DATE(2027,6,14)+6,$F7&gt;=DATE(2027,6,14)),1,"")</f>
        <v/>
      </c>
      <c r="AY7">
        <f>IF(AND($E7&lt;=DATE(2027,6,21)+6,$F7&gt;=DATE(2027,6,21)),1,"")</f>
        <v/>
      </c>
      <c r="AZ7">
        <f>IF(AND($E7&lt;=DATE(2027,6,28)+6,$F7&gt;=DATE(2027,6,28)),1,"")</f>
        <v/>
      </c>
      <c r="BA7">
        <f>IF(AND($E7&lt;=DATE(2027,7,5)+6,$F7&gt;=DATE(2027,7,5)),1,"")</f>
        <v/>
      </c>
      <c r="BB7">
        <f>IF(AND($E7&lt;=DATE(2027,7,12)+6,$F7&gt;=DATE(2027,7,12)),1,"")</f>
        <v/>
      </c>
      <c r="BC7">
        <f>IF(AND($E7&lt;=DATE(2027,7,19)+6,$F7&gt;=DATE(2027,7,19)),1,"")</f>
        <v/>
      </c>
      <c r="BD7">
        <f>IF(AND($E7&lt;=DATE(2027,7,26)+6,$F7&gt;=DATE(2027,7,26)),1,"")</f>
        <v/>
      </c>
      <c r="BE7">
        <f>IF(AND($E7&lt;=DATE(2027,8,2)+6,$F7&gt;=DATE(2027,8,2)),1,"")</f>
        <v/>
      </c>
      <c r="BF7">
        <f>IF(AND($E7&lt;=DATE(2027,8,9)+6,$F7&gt;=DATE(2027,8,9)),1,"")</f>
        <v/>
      </c>
      <c r="BG7">
        <f>IF(AND($E7&lt;=DATE(2027,8,16)+6,$F7&gt;=DATE(2027,8,16)),1,"")</f>
        <v/>
      </c>
      <c r="BH7">
        <f>IF(AND($E7&lt;=DATE(2027,8,23)+6,$F7&gt;=DATE(2027,8,23)),1,"")</f>
        <v/>
      </c>
      <c r="BI7">
        <f>IF(AND($E7&lt;=DATE(2027,8,30)+6,$F7&gt;=DATE(2027,8,30)),1,"")</f>
        <v/>
      </c>
      <c r="BJ7">
        <f>IF(AND($E7&lt;=DATE(2027,9,6)+6,$F7&gt;=DATE(2027,9,6)),1,"")</f>
        <v/>
      </c>
      <c r="BK7">
        <f>IF(AND($E7&lt;=DATE(2027,9,13)+6,$F7&gt;=DATE(2027,9,13)),1,"")</f>
        <v/>
      </c>
      <c r="BL7">
        <f>IF(AND($E7&lt;=DATE(2027,9,20)+6,$F7&gt;=DATE(2027,9,20)),1,"")</f>
        <v/>
      </c>
      <c r="BM7">
        <f>IF(AND($E7&lt;=DATE(2027,9,27)+6,$F7&gt;=DATE(2027,9,27)),1,"")</f>
        <v/>
      </c>
    </row>
    <row r="8">
      <c r="A8" s="6" t="inlineStr">
        <is>
          <t>2</t>
        </is>
      </c>
      <c r="B8" s="6" t="inlineStr">
        <is>
          <t>Demand &amp; data</t>
        </is>
      </c>
      <c r="C8" s="6" t="inlineStr"/>
      <c r="D8" s="6" t="inlineStr">
        <is>
          <t>Phase 0</t>
        </is>
      </c>
      <c r="E8" s="7" t="n">
        <v>46291</v>
      </c>
      <c r="F8" s="7" t="n">
        <v>46301</v>
      </c>
      <c r="G8" s="6">
        <f>F8-E8+1</f>
        <v/>
      </c>
      <c r="H8" s="6" t="inlineStr"/>
      <c r="I8" s="6" t="inlineStr"/>
      <c r="J8" s="6" t="inlineStr"/>
      <c r="K8" s="8" t="n"/>
      <c r="L8">
        <f>IF(AND($E8&lt;=DATE(2026,9,21)+6,$F8&gt;=DATE(2026,9,21)),1,"")</f>
        <v/>
      </c>
      <c r="M8">
        <f>IF(AND($E8&lt;=DATE(2026,9,28)+6,$F8&gt;=DATE(2026,9,28)),1,"")</f>
        <v/>
      </c>
      <c r="N8">
        <f>IF(AND($E8&lt;=DATE(2026,10,5)+6,$F8&gt;=DATE(2026,10,5)),1,"")</f>
        <v/>
      </c>
      <c r="O8">
        <f>IF(AND($E8&lt;=DATE(2026,10,12)+6,$F8&gt;=DATE(2026,10,12)),1,"")</f>
        <v/>
      </c>
      <c r="P8">
        <f>IF(AND($E8&lt;=DATE(2026,10,19)+6,$F8&gt;=DATE(2026,10,19)),1,"")</f>
        <v/>
      </c>
      <c r="Q8">
        <f>IF(AND($E8&lt;=DATE(2026,10,26)+6,$F8&gt;=DATE(2026,10,26)),1,"")</f>
        <v/>
      </c>
      <c r="R8">
        <f>IF(AND($E8&lt;=DATE(2026,11,2)+6,$F8&gt;=DATE(2026,11,2)),1,"")</f>
        <v/>
      </c>
      <c r="S8">
        <f>IF(AND($E8&lt;=DATE(2026,11,9)+6,$F8&gt;=DATE(2026,11,9)),1,"")</f>
        <v/>
      </c>
      <c r="T8">
        <f>IF(AND($E8&lt;=DATE(2026,11,16)+6,$F8&gt;=DATE(2026,11,16)),1,"")</f>
        <v/>
      </c>
      <c r="U8">
        <f>IF(AND($E8&lt;=DATE(2026,11,23)+6,$F8&gt;=DATE(2026,11,23)),1,"")</f>
        <v/>
      </c>
      <c r="V8">
        <f>IF(AND($E8&lt;=DATE(2026,11,30)+6,$F8&gt;=DATE(2026,11,30)),1,"")</f>
        <v/>
      </c>
      <c r="W8">
        <f>IF(AND($E8&lt;=DATE(2026,12,7)+6,$F8&gt;=DATE(2026,12,7)),1,"")</f>
        <v/>
      </c>
      <c r="X8">
        <f>IF(AND($E8&lt;=DATE(2026,12,14)+6,$F8&gt;=DATE(2026,12,14)),1,"")</f>
        <v/>
      </c>
      <c r="Y8">
        <f>IF(AND($E8&lt;=DATE(2026,12,21)+6,$F8&gt;=DATE(2026,12,21)),1,"")</f>
        <v/>
      </c>
      <c r="Z8">
        <f>IF(AND($E8&lt;=DATE(2026,12,28)+6,$F8&gt;=DATE(2026,12,28)),1,"")</f>
        <v/>
      </c>
      <c r="AA8">
        <f>IF(AND($E8&lt;=DATE(2027,1,4)+6,$F8&gt;=DATE(2027,1,4)),1,"")</f>
        <v/>
      </c>
      <c r="AB8">
        <f>IF(AND($E8&lt;=DATE(2027,1,11)+6,$F8&gt;=DATE(2027,1,11)),1,"")</f>
        <v/>
      </c>
      <c r="AC8">
        <f>IF(AND($E8&lt;=DATE(2027,1,18)+6,$F8&gt;=DATE(2027,1,18)),1,"")</f>
        <v/>
      </c>
      <c r="AD8">
        <f>IF(AND($E8&lt;=DATE(2027,1,25)+6,$F8&gt;=DATE(2027,1,25)),1,"")</f>
        <v/>
      </c>
      <c r="AE8">
        <f>IF(AND($E8&lt;=DATE(2027,2,1)+6,$F8&gt;=DATE(2027,2,1)),1,"")</f>
        <v/>
      </c>
      <c r="AF8">
        <f>IF(AND($E8&lt;=DATE(2027,2,8)+6,$F8&gt;=DATE(2027,2,8)),1,"")</f>
        <v/>
      </c>
      <c r="AG8">
        <f>IF(AND($E8&lt;=DATE(2027,2,15)+6,$F8&gt;=DATE(2027,2,15)),1,"")</f>
        <v/>
      </c>
      <c r="AH8">
        <f>IF(AND($E8&lt;=DATE(2027,2,22)+6,$F8&gt;=DATE(2027,2,22)),1,"")</f>
        <v/>
      </c>
      <c r="AI8">
        <f>IF(AND($E8&lt;=DATE(2027,3,1)+6,$F8&gt;=DATE(2027,3,1)),1,"")</f>
        <v/>
      </c>
      <c r="AJ8">
        <f>IF(AND($E8&lt;=DATE(2027,3,8)+6,$F8&gt;=DATE(2027,3,8)),1,"")</f>
        <v/>
      </c>
      <c r="AK8">
        <f>IF(AND($E8&lt;=DATE(2027,3,15)+6,$F8&gt;=DATE(2027,3,15)),1,"")</f>
        <v/>
      </c>
      <c r="AL8">
        <f>IF(AND($E8&lt;=DATE(2027,3,22)+6,$F8&gt;=DATE(2027,3,22)),1,"")</f>
        <v/>
      </c>
      <c r="AM8">
        <f>IF(AND($E8&lt;=DATE(2027,3,29)+6,$F8&gt;=DATE(2027,3,29)),1,"")</f>
        <v/>
      </c>
      <c r="AN8">
        <f>IF(AND($E8&lt;=DATE(2027,4,5)+6,$F8&gt;=DATE(2027,4,5)),1,"")</f>
        <v/>
      </c>
      <c r="AO8">
        <f>IF(AND($E8&lt;=DATE(2027,4,12)+6,$F8&gt;=DATE(2027,4,12)),1,"")</f>
        <v/>
      </c>
      <c r="AP8">
        <f>IF(AND($E8&lt;=DATE(2027,4,19)+6,$F8&gt;=DATE(2027,4,19)),1,"")</f>
        <v/>
      </c>
      <c r="AQ8">
        <f>IF(AND($E8&lt;=DATE(2027,4,26)+6,$F8&gt;=DATE(2027,4,26)),1,"")</f>
        <v/>
      </c>
      <c r="AR8">
        <f>IF(AND($E8&lt;=DATE(2027,5,3)+6,$F8&gt;=DATE(2027,5,3)),1,"")</f>
        <v/>
      </c>
      <c r="AS8">
        <f>IF(AND($E8&lt;=DATE(2027,5,10)+6,$F8&gt;=DATE(2027,5,10)),1,"")</f>
        <v/>
      </c>
      <c r="AT8">
        <f>IF(AND($E8&lt;=DATE(2027,5,17)+6,$F8&gt;=DATE(2027,5,17)),1,"")</f>
        <v/>
      </c>
      <c r="AU8">
        <f>IF(AND($E8&lt;=DATE(2027,5,24)+6,$F8&gt;=DATE(2027,5,24)),1,"")</f>
        <v/>
      </c>
      <c r="AV8">
        <f>IF(AND($E8&lt;=DATE(2027,5,31)+6,$F8&gt;=DATE(2027,5,31)),1,"")</f>
        <v/>
      </c>
      <c r="AW8">
        <f>IF(AND($E8&lt;=DATE(2027,6,7)+6,$F8&gt;=DATE(2027,6,7)),1,"")</f>
        <v/>
      </c>
      <c r="AX8">
        <f>IF(AND($E8&lt;=DATE(2027,6,14)+6,$F8&gt;=DATE(2027,6,14)),1,"")</f>
        <v/>
      </c>
      <c r="AY8">
        <f>IF(AND($E8&lt;=DATE(2027,6,21)+6,$F8&gt;=DATE(2027,6,21)),1,"")</f>
        <v/>
      </c>
      <c r="AZ8">
        <f>IF(AND($E8&lt;=DATE(2027,6,28)+6,$F8&gt;=DATE(2027,6,28)),1,"")</f>
        <v/>
      </c>
      <c r="BA8">
        <f>IF(AND($E8&lt;=DATE(2027,7,5)+6,$F8&gt;=DATE(2027,7,5)),1,"")</f>
        <v/>
      </c>
      <c r="BB8">
        <f>IF(AND($E8&lt;=DATE(2027,7,12)+6,$F8&gt;=DATE(2027,7,12)),1,"")</f>
        <v/>
      </c>
      <c r="BC8">
        <f>IF(AND($E8&lt;=DATE(2027,7,19)+6,$F8&gt;=DATE(2027,7,19)),1,"")</f>
        <v/>
      </c>
      <c r="BD8">
        <f>IF(AND($E8&lt;=DATE(2027,7,26)+6,$F8&gt;=DATE(2027,7,26)),1,"")</f>
        <v/>
      </c>
      <c r="BE8">
        <f>IF(AND($E8&lt;=DATE(2027,8,2)+6,$F8&gt;=DATE(2027,8,2)),1,"")</f>
        <v/>
      </c>
      <c r="BF8">
        <f>IF(AND($E8&lt;=DATE(2027,8,9)+6,$F8&gt;=DATE(2027,8,9)),1,"")</f>
        <v/>
      </c>
      <c r="BG8">
        <f>IF(AND($E8&lt;=DATE(2027,8,16)+6,$F8&gt;=DATE(2027,8,16)),1,"")</f>
        <v/>
      </c>
      <c r="BH8">
        <f>IF(AND($E8&lt;=DATE(2027,8,23)+6,$F8&gt;=DATE(2027,8,23)),1,"")</f>
        <v/>
      </c>
      <c r="BI8">
        <f>IF(AND($E8&lt;=DATE(2027,8,30)+6,$F8&gt;=DATE(2027,8,30)),1,"")</f>
        <v/>
      </c>
      <c r="BJ8">
        <f>IF(AND($E8&lt;=DATE(2027,9,6)+6,$F8&gt;=DATE(2027,9,6)),1,"")</f>
        <v/>
      </c>
      <c r="BK8">
        <f>IF(AND($E8&lt;=DATE(2027,9,13)+6,$F8&gt;=DATE(2027,9,13)),1,"")</f>
        <v/>
      </c>
      <c r="BL8">
        <f>IF(AND($E8&lt;=DATE(2027,9,20)+6,$F8&gt;=DATE(2027,9,20)),1,"")</f>
        <v/>
      </c>
      <c r="BM8">
        <f>IF(AND($E8&lt;=DATE(2027,9,27)+6,$F8&gt;=DATE(2027,9,27)),1,"")</f>
        <v/>
      </c>
    </row>
    <row r="9">
      <c r="A9" t="inlineStr">
        <is>
          <t>2.1</t>
        </is>
      </c>
      <c r="B9" t="inlineStr">
        <is>
          <t>Provide order confirmation info to production</t>
        </is>
      </c>
      <c r="C9" t="inlineStr">
        <is>
          <t>Order coordinator</t>
        </is>
      </c>
      <c r="D9" t="inlineStr">
        <is>
          <t>Phase 0</t>
        </is>
      </c>
      <c r="E9" s="9" t="n">
        <v>46291</v>
      </c>
      <c r="F9" s="9" t="n">
        <v>46294</v>
      </c>
      <c r="G9">
        <f>F9-E9+1</f>
        <v/>
      </c>
      <c r="H9" t="inlineStr"/>
      <c r="I9" t="inlineStr">
        <is>
          <t>Order sheet</t>
        </is>
      </c>
      <c r="J9" t="inlineStr">
        <is>
          <t>Not started</t>
        </is>
      </c>
      <c r="K9" s="10" t="n">
        <v>0</v>
      </c>
      <c r="L9">
        <f>IF(AND($E9&lt;=DATE(2026,9,21)+6,$F9&gt;=DATE(2026,9,21)),1,"")</f>
        <v/>
      </c>
      <c r="M9">
        <f>IF(AND($E9&lt;=DATE(2026,9,28)+6,$F9&gt;=DATE(2026,9,28)),1,"")</f>
        <v/>
      </c>
      <c r="N9">
        <f>IF(AND($E9&lt;=DATE(2026,10,5)+6,$F9&gt;=DATE(2026,10,5)),1,"")</f>
        <v/>
      </c>
      <c r="O9">
        <f>IF(AND($E9&lt;=DATE(2026,10,12)+6,$F9&gt;=DATE(2026,10,12)),1,"")</f>
        <v/>
      </c>
      <c r="P9">
        <f>IF(AND($E9&lt;=DATE(2026,10,19)+6,$F9&gt;=DATE(2026,10,19)),1,"")</f>
        <v/>
      </c>
      <c r="Q9">
        <f>IF(AND($E9&lt;=DATE(2026,10,26)+6,$F9&gt;=DATE(2026,10,26)),1,"")</f>
        <v/>
      </c>
      <c r="R9">
        <f>IF(AND($E9&lt;=DATE(2026,11,2)+6,$F9&gt;=DATE(2026,11,2)),1,"")</f>
        <v/>
      </c>
      <c r="S9">
        <f>IF(AND($E9&lt;=DATE(2026,11,9)+6,$F9&gt;=DATE(2026,11,9)),1,"")</f>
        <v/>
      </c>
      <c r="T9">
        <f>IF(AND($E9&lt;=DATE(2026,11,16)+6,$F9&gt;=DATE(2026,11,16)),1,"")</f>
        <v/>
      </c>
      <c r="U9">
        <f>IF(AND($E9&lt;=DATE(2026,11,23)+6,$F9&gt;=DATE(2026,11,23)),1,"")</f>
        <v/>
      </c>
      <c r="V9">
        <f>IF(AND($E9&lt;=DATE(2026,11,30)+6,$F9&gt;=DATE(2026,11,30)),1,"")</f>
        <v/>
      </c>
      <c r="W9">
        <f>IF(AND($E9&lt;=DATE(2026,12,7)+6,$F9&gt;=DATE(2026,12,7)),1,"")</f>
        <v/>
      </c>
      <c r="X9">
        <f>IF(AND($E9&lt;=DATE(2026,12,14)+6,$F9&gt;=DATE(2026,12,14)),1,"")</f>
        <v/>
      </c>
      <c r="Y9">
        <f>IF(AND($E9&lt;=DATE(2026,12,21)+6,$F9&gt;=DATE(2026,12,21)),1,"")</f>
        <v/>
      </c>
      <c r="Z9">
        <f>IF(AND($E9&lt;=DATE(2026,12,28)+6,$F9&gt;=DATE(2026,12,28)),1,"")</f>
        <v/>
      </c>
      <c r="AA9">
        <f>IF(AND($E9&lt;=DATE(2027,1,4)+6,$F9&gt;=DATE(2027,1,4)),1,"")</f>
        <v/>
      </c>
      <c r="AB9">
        <f>IF(AND($E9&lt;=DATE(2027,1,11)+6,$F9&gt;=DATE(2027,1,11)),1,"")</f>
        <v/>
      </c>
      <c r="AC9">
        <f>IF(AND($E9&lt;=DATE(2027,1,18)+6,$F9&gt;=DATE(2027,1,18)),1,"")</f>
        <v/>
      </c>
      <c r="AD9">
        <f>IF(AND($E9&lt;=DATE(2027,1,25)+6,$F9&gt;=DATE(2027,1,25)),1,"")</f>
        <v/>
      </c>
      <c r="AE9">
        <f>IF(AND($E9&lt;=DATE(2027,2,1)+6,$F9&gt;=DATE(2027,2,1)),1,"")</f>
        <v/>
      </c>
      <c r="AF9">
        <f>IF(AND($E9&lt;=DATE(2027,2,8)+6,$F9&gt;=DATE(2027,2,8)),1,"")</f>
        <v/>
      </c>
      <c r="AG9">
        <f>IF(AND($E9&lt;=DATE(2027,2,15)+6,$F9&gt;=DATE(2027,2,15)),1,"")</f>
        <v/>
      </c>
      <c r="AH9">
        <f>IF(AND($E9&lt;=DATE(2027,2,22)+6,$F9&gt;=DATE(2027,2,22)),1,"")</f>
        <v/>
      </c>
      <c r="AI9">
        <f>IF(AND($E9&lt;=DATE(2027,3,1)+6,$F9&gt;=DATE(2027,3,1)),1,"")</f>
        <v/>
      </c>
      <c r="AJ9">
        <f>IF(AND($E9&lt;=DATE(2027,3,8)+6,$F9&gt;=DATE(2027,3,8)),1,"")</f>
        <v/>
      </c>
      <c r="AK9">
        <f>IF(AND($E9&lt;=DATE(2027,3,15)+6,$F9&gt;=DATE(2027,3,15)),1,"")</f>
        <v/>
      </c>
      <c r="AL9">
        <f>IF(AND($E9&lt;=DATE(2027,3,22)+6,$F9&gt;=DATE(2027,3,22)),1,"")</f>
        <v/>
      </c>
      <c r="AM9">
        <f>IF(AND($E9&lt;=DATE(2027,3,29)+6,$F9&gt;=DATE(2027,3,29)),1,"")</f>
        <v/>
      </c>
      <c r="AN9">
        <f>IF(AND($E9&lt;=DATE(2027,4,5)+6,$F9&gt;=DATE(2027,4,5)),1,"")</f>
        <v/>
      </c>
      <c r="AO9">
        <f>IF(AND($E9&lt;=DATE(2027,4,12)+6,$F9&gt;=DATE(2027,4,12)),1,"")</f>
        <v/>
      </c>
      <c r="AP9">
        <f>IF(AND($E9&lt;=DATE(2027,4,19)+6,$F9&gt;=DATE(2027,4,19)),1,"")</f>
        <v/>
      </c>
      <c r="AQ9">
        <f>IF(AND($E9&lt;=DATE(2027,4,26)+6,$F9&gt;=DATE(2027,4,26)),1,"")</f>
        <v/>
      </c>
      <c r="AR9">
        <f>IF(AND($E9&lt;=DATE(2027,5,3)+6,$F9&gt;=DATE(2027,5,3)),1,"")</f>
        <v/>
      </c>
      <c r="AS9">
        <f>IF(AND($E9&lt;=DATE(2027,5,10)+6,$F9&gt;=DATE(2027,5,10)),1,"")</f>
        <v/>
      </c>
      <c r="AT9">
        <f>IF(AND($E9&lt;=DATE(2027,5,17)+6,$F9&gt;=DATE(2027,5,17)),1,"")</f>
        <v/>
      </c>
      <c r="AU9">
        <f>IF(AND($E9&lt;=DATE(2027,5,24)+6,$F9&gt;=DATE(2027,5,24)),1,"")</f>
        <v/>
      </c>
      <c r="AV9">
        <f>IF(AND($E9&lt;=DATE(2027,5,31)+6,$F9&gt;=DATE(2027,5,31)),1,"")</f>
        <v/>
      </c>
      <c r="AW9">
        <f>IF(AND($E9&lt;=DATE(2027,6,7)+6,$F9&gt;=DATE(2027,6,7)),1,"")</f>
        <v/>
      </c>
      <c r="AX9">
        <f>IF(AND($E9&lt;=DATE(2027,6,14)+6,$F9&gt;=DATE(2027,6,14)),1,"")</f>
        <v/>
      </c>
      <c r="AY9">
        <f>IF(AND($E9&lt;=DATE(2027,6,21)+6,$F9&gt;=DATE(2027,6,21)),1,"")</f>
        <v/>
      </c>
      <c r="AZ9">
        <f>IF(AND($E9&lt;=DATE(2027,6,28)+6,$F9&gt;=DATE(2027,6,28)),1,"")</f>
        <v/>
      </c>
      <c r="BA9">
        <f>IF(AND($E9&lt;=DATE(2027,7,5)+6,$F9&gt;=DATE(2027,7,5)),1,"")</f>
        <v/>
      </c>
      <c r="BB9">
        <f>IF(AND($E9&lt;=DATE(2027,7,12)+6,$F9&gt;=DATE(2027,7,12)),1,"")</f>
        <v/>
      </c>
      <c r="BC9">
        <f>IF(AND($E9&lt;=DATE(2027,7,19)+6,$F9&gt;=DATE(2027,7,19)),1,"")</f>
        <v/>
      </c>
      <c r="BD9">
        <f>IF(AND($E9&lt;=DATE(2027,7,26)+6,$F9&gt;=DATE(2027,7,26)),1,"")</f>
        <v/>
      </c>
      <c r="BE9">
        <f>IF(AND($E9&lt;=DATE(2027,8,2)+6,$F9&gt;=DATE(2027,8,2)),1,"")</f>
        <v/>
      </c>
      <c r="BF9">
        <f>IF(AND($E9&lt;=DATE(2027,8,9)+6,$F9&gt;=DATE(2027,8,9)),1,"")</f>
        <v/>
      </c>
      <c r="BG9">
        <f>IF(AND($E9&lt;=DATE(2027,8,16)+6,$F9&gt;=DATE(2027,8,16)),1,"")</f>
        <v/>
      </c>
      <c r="BH9">
        <f>IF(AND($E9&lt;=DATE(2027,8,23)+6,$F9&gt;=DATE(2027,8,23)),1,"")</f>
        <v/>
      </c>
      <c r="BI9">
        <f>IF(AND($E9&lt;=DATE(2027,8,30)+6,$F9&gt;=DATE(2027,8,30)),1,"")</f>
        <v/>
      </c>
      <c r="BJ9">
        <f>IF(AND($E9&lt;=DATE(2027,9,6)+6,$F9&gt;=DATE(2027,9,6)),1,"")</f>
        <v/>
      </c>
      <c r="BK9">
        <f>IF(AND($E9&lt;=DATE(2027,9,13)+6,$F9&gt;=DATE(2027,9,13)),1,"")</f>
        <v/>
      </c>
      <c r="BL9">
        <f>IF(AND($E9&lt;=DATE(2027,9,20)+6,$F9&gt;=DATE(2027,9,20)),1,"")</f>
        <v/>
      </c>
      <c r="BM9">
        <f>IF(AND($E9&lt;=DATE(2027,9,27)+6,$F9&gt;=DATE(2027,9,27)),1,"")</f>
        <v/>
      </c>
    </row>
    <row r="10">
      <c r="A10" t="inlineStr">
        <is>
          <t>2.2</t>
        </is>
      </c>
      <c r="B10" t="inlineStr">
        <is>
          <t>Analyse 6–12 months prasadam purchases &amp; volumes</t>
        </is>
      </c>
      <c r="C10" t="inlineStr">
        <is>
          <t>DMTT data</t>
        </is>
      </c>
      <c r="D10" t="inlineStr">
        <is>
          <t>Phase 0</t>
        </is>
      </c>
      <c r="E10" s="9" t="n">
        <v>46292</v>
      </c>
      <c r="F10" s="9" t="n">
        <v>46298</v>
      </c>
      <c r="G10">
        <f>F10-E10+1</f>
        <v/>
      </c>
      <c r="H10" t="inlineStr"/>
      <c r="I10" t="inlineStr">
        <is>
          <t>Trend report</t>
        </is>
      </c>
      <c r="J10" t="inlineStr">
        <is>
          <t>Not started</t>
        </is>
      </c>
      <c r="K10" s="10" t="n">
        <v>0</v>
      </c>
      <c r="L10">
        <f>IF(AND($E10&lt;=DATE(2026,9,21)+6,$F10&gt;=DATE(2026,9,21)),1,"")</f>
        <v/>
      </c>
      <c r="M10">
        <f>IF(AND($E10&lt;=DATE(2026,9,28)+6,$F10&gt;=DATE(2026,9,28)),1,"")</f>
        <v/>
      </c>
      <c r="N10">
        <f>IF(AND($E10&lt;=DATE(2026,10,5)+6,$F10&gt;=DATE(2026,10,5)),1,"")</f>
        <v/>
      </c>
      <c r="O10">
        <f>IF(AND($E10&lt;=DATE(2026,10,12)+6,$F10&gt;=DATE(2026,10,12)),1,"")</f>
        <v/>
      </c>
      <c r="P10">
        <f>IF(AND($E10&lt;=DATE(2026,10,19)+6,$F10&gt;=DATE(2026,10,19)),1,"")</f>
        <v/>
      </c>
      <c r="Q10">
        <f>IF(AND($E10&lt;=DATE(2026,10,26)+6,$F10&gt;=DATE(2026,10,26)),1,"")</f>
        <v/>
      </c>
      <c r="R10">
        <f>IF(AND($E10&lt;=DATE(2026,11,2)+6,$F10&gt;=DATE(2026,11,2)),1,"")</f>
        <v/>
      </c>
      <c r="S10">
        <f>IF(AND($E10&lt;=DATE(2026,11,9)+6,$F10&gt;=DATE(2026,11,9)),1,"")</f>
        <v/>
      </c>
      <c r="T10">
        <f>IF(AND($E10&lt;=DATE(2026,11,16)+6,$F10&gt;=DATE(2026,11,16)),1,"")</f>
        <v/>
      </c>
      <c r="U10">
        <f>IF(AND($E10&lt;=DATE(2026,11,23)+6,$F10&gt;=DATE(2026,11,23)),1,"")</f>
        <v/>
      </c>
      <c r="V10">
        <f>IF(AND($E10&lt;=DATE(2026,11,30)+6,$F10&gt;=DATE(2026,11,30)),1,"")</f>
        <v/>
      </c>
      <c r="W10">
        <f>IF(AND($E10&lt;=DATE(2026,12,7)+6,$F10&gt;=DATE(2026,12,7)),1,"")</f>
        <v/>
      </c>
      <c r="X10">
        <f>IF(AND($E10&lt;=DATE(2026,12,14)+6,$F10&gt;=DATE(2026,12,14)),1,"")</f>
        <v/>
      </c>
      <c r="Y10">
        <f>IF(AND($E10&lt;=DATE(2026,12,21)+6,$F10&gt;=DATE(2026,12,21)),1,"")</f>
        <v/>
      </c>
      <c r="Z10">
        <f>IF(AND($E10&lt;=DATE(2026,12,28)+6,$F10&gt;=DATE(2026,12,28)),1,"")</f>
        <v/>
      </c>
      <c r="AA10">
        <f>IF(AND($E10&lt;=DATE(2027,1,4)+6,$F10&gt;=DATE(2027,1,4)),1,"")</f>
        <v/>
      </c>
      <c r="AB10">
        <f>IF(AND($E10&lt;=DATE(2027,1,11)+6,$F10&gt;=DATE(2027,1,11)),1,"")</f>
        <v/>
      </c>
      <c r="AC10">
        <f>IF(AND($E10&lt;=DATE(2027,1,18)+6,$F10&gt;=DATE(2027,1,18)),1,"")</f>
        <v/>
      </c>
      <c r="AD10">
        <f>IF(AND($E10&lt;=DATE(2027,1,25)+6,$F10&gt;=DATE(2027,1,25)),1,"")</f>
        <v/>
      </c>
      <c r="AE10">
        <f>IF(AND($E10&lt;=DATE(2027,2,1)+6,$F10&gt;=DATE(2027,2,1)),1,"")</f>
        <v/>
      </c>
      <c r="AF10">
        <f>IF(AND($E10&lt;=DATE(2027,2,8)+6,$F10&gt;=DATE(2027,2,8)),1,"")</f>
        <v/>
      </c>
      <c r="AG10">
        <f>IF(AND($E10&lt;=DATE(2027,2,15)+6,$F10&gt;=DATE(2027,2,15)),1,"")</f>
        <v/>
      </c>
      <c r="AH10">
        <f>IF(AND($E10&lt;=DATE(2027,2,22)+6,$F10&gt;=DATE(2027,2,22)),1,"")</f>
        <v/>
      </c>
      <c r="AI10">
        <f>IF(AND($E10&lt;=DATE(2027,3,1)+6,$F10&gt;=DATE(2027,3,1)),1,"")</f>
        <v/>
      </c>
      <c r="AJ10">
        <f>IF(AND($E10&lt;=DATE(2027,3,8)+6,$F10&gt;=DATE(2027,3,8)),1,"")</f>
        <v/>
      </c>
      <c r="AK10">
        <f>IF(AND($E10&lt;=DATE(2027,3,15)+6,$F10&gt;=DATE(2027,3,15)),1,"")</f>
        <v/>
      </c>
      <c r="AL10">
        <f>IF(AND($E10&lt;=DATE(2027,3,22)+6,$F10&gt;=DATE(2027,3,22)),1,"")</f>
        <v/>
      </c>
      <c r="AM10">
        <f>IF(AND($E10&lt;=DATE(2027,3,29)+6,$F10&gt;=DATE(2027,3,29)),1,"")</f>
        <v/>
      </c>
      <c r="AN10">
        <f>IF(AND($E10&lt;=DATE(2027,4,5)+6,$F10&gt;=DATE(2027,4,5)),1,"")</f>
        <v/>
      </c>
      <c r="AO10">
        <f>IF(AND($E10&lt;=DATE(2027,4,12)+6,$F10&gt;=DATE(2027,4,12)),1,"")</f>
        <v/>
      </c>
      <c r="AP10">
        <f>IF(AND($E10&lt;=DATE(2027,4,19)+6,$F10&gt;=DATE(2027,4,19)),1,"")</f>
        <v/>
      </c>
      <c r="AQ10">
        <f>IF(AND($E10&lt;=DATE(2027,4,26)+6,$F10&gt;=DATE(2027,4,26)),1,"")</f>
        <v/>
      </c>
      <c r="AR10">
        <f>IF(AND($E10&lt;=DATE(2027,5,3)+6,$F10&gt;=DATE(2027,5,3)),1,"")</f>
        <v/>
      </c>
      <c r="AS10">
        <f>IF(AND($E10&lt;=DATE(2027,5,10)+6,$F10&gt;=DATE(2027,5,10)),1,"")</f>
        <v/>
      </c>
      <c r="AT10">
        <f>IF(AND($E10&lt;=DATE(2027,5,17)+6,$F10&gt;=DATE(2027,5,17)),1,"")</f>
        <v/>
      </c>
      <c r="AU10">
        <f>IF(AND($E10&lt;=DATE(2027,5,24)+6,$F10&gt;=DATE(2027,5,24)),1,"")</f>
        <v/>
      </c>
      <c r="AV10">
        <f>IF(AND($E10&lt;=DATE(2027,5,31)+6,$F10&gt;=DATE(2027,5,31)),1,"")</f>
        <v/>
      </c>
      <c r="AW10">
        <f>IF(AND($E10&lt;=DATE(2027,6,7)+6,$F10&gt;=DATE(2027,6,7)),1,"")</f>
        <v/>
      </c>
      <c r="AX10">
        <f>IF(AND($E10&lt;=DATE(2027,6,14)+6,$F10&gt;=DATE(2027,6,14)),1,"")</f>
        <v/>
      </c>
      <c r="AY10">
        <f>IF(AND($E10&lt;=DATE(2027,6,21)+6,$F10&gt;=DATE(2027,6,21)),1,"")</f>
        <v/>
      </c>
      <c r="AZ10">
        <f>IF(AND($E10&lt;=DATE(2027,6,28)+6,$F10&gt;=DATE(2027,6,28)),1,"")</f>
        <v/>
      </c>
      <c r="BA10">
        <f>IF(AND($E10&lt;=DATE(2027,7,5)+6,$F10&gt;=DATE(2027,7,5)),1,"")</f>
        <v/>
      </c>
      <c r="BB10">
        <f>IF(AND($E10&lt;=DATE(2027,7,12)+6,$F10&gt;=DATE(2027,7,12)),1,"")</f>
        <v/>
      </c>
      <c r="BC10">
        <f>IF(AND($E10&lt;=DATE(2027,7,19)+6,$F10&gt;=DATE(2027,7,19)),1,"")</f>
        <v/>
      </c>
      <c r="BD10">
        <f>IF(AND($E10&lt;=DATE(2027,7,26)+6,$F10&gt;=DATE(2027,7,26)),1,"")</f>
        <v/>
      </c>
      <c r="BE10">
        <f>IF(AND($E10&lt;=DATE(2027,8,2)+6,$F10&gt;=DATE(2027,8,2)),1,"")</f>
        <v/>
      </c>
      <c r="BF10">
        <f>IF(AND($E10&lt;=DATE(2027,8,9)+6,$F10&gt;=DATE(2027,8,9)),1,"")</f>
        <v/>
      </c>
      <c r="BG10">
        <f>IF(AND($E10&lt;=DATE(2027,8,16)+6,$F10&gt;=DATE(2027,8,16)),1,"")</f>
        <v/>
      </c>
      <c r="BH10">
        <f>IF(AND($E10&lt;=DATE(2027,8,23)+6,$F10&gt;=DATE(2027,8,23)),1,"")</f>
        <v/>
      </c>
      <c r="BI10">
        <f>IF(AND($E10&lt;=DATE(2027,8,30)+6,$F10&gt;=DATE(2027,8,30)),1,"")</f>
        <v/>
      </c>
      <c r="BJ10">
        <f>IF(AND($E10&lt;=DATE(2027,9,6)+6,$F10&gt;=DATE(2027,9,6)),1,"")</f>
        <v/>
      </c>
      <c r="BK10">
        <f>IF(AND($E10&lt;=DATE(2027,9,13)+6,$F10&gt;=DATE(2027,9,13)),1,"")</f>
        <v/>
      </c>
      <c r="BL10">
        <f>IF(AND($E10&lt;=DATE(2027,9,20)+6,$F10&gt;=DATE(2027,9,20)),1,"")</f>
        <v/>
      </c>
      <c r="BM10">
        <f>IF(AND($E10&lt;=DATE(2027,9,27)+6,$F10&gt;=DATE(2027,9,27)),1,"")</f>
        <v/>
      </c>
    </row>
    <row r="11">
      <c r="A11" t="inlineStr">
        <is>
          <t>2.3</t>
        </is>
      </c>
      <c r="B11" t="inlineStr">
        <is>
          <t>Estimate weekly minimum &amp; festival peaks</t>
        </is>
      </c>
      <c r="C11" t="inlineStr">
        <is>
          <t>DMTT data</t>
        </is>
      </c>
      <c r="D11" t="inlineStr">
        <is>
          <t>Phase 0</t>
        </is>
      </c>
      <c r="E11" s="9" t="n">
        <v>46297</v>
      </c>
      <c r="F11" s="9" t="n">
        <v>46301</v>
      </c>
      <c r="G11">
        <f>F11-E11+1</f>
        <v/>
      </c>
      <c r="H11" t="inlineStr">
        <is>
          <t>2.2</t>
        </is>
      </c>
      <c r="I11" t="inlineStr">
        <is>
          <t>Demand forecast</t>
        </is>
      </c>
      <c r="J11" t="inlineStr">
        <is>
          <t>Not started</t>
        </is>
      </c>
      <c r="K11" s="10" t="n">
        <v>0</v>
      </c>
      <c r="L11">
        <f>IF(AND($E11&lt;=DATE(2026,9,21)+6,$F11&gt;=DATE(2026,9,21)),1,"")</f>
        <v/>
      </c>
      <c r="M11">
        <f>IF(AND($E11&lt;=DATE(2026,9,28)+6,$F11&gt;=DATE(2026,9,28)),1,"")</f>
        <v/>
      </c>
      <c r="N11">
        <f>IF(AND($E11&lt;=DATE(2026,10,5)+6,$F11&gt;=DATE(2026,10,5)),1,"")</f>
        <v/>
      </c>
      <c r="O11">
        <f>IF(AND($E11&lt;=DATE(2026,10,12)+6,$F11&gt;=DATE(2026,10,12)),1,"")</f>
        <v/>
      </c>
      <c r="P11">
        <f>IF(AND($E11&lt;=DATE(2026,10,19)+6,$F11&gt;=DATE(2026,10,19)),1,"")</f>
        <v/>
      </c>
      <c r="Q11">
        <f>IF(AND($E11&lt;=DATE(2026,10,26)+6,$F11&gt;=DATE(2026,10,26)),1,"")</f>
        <v/>
      </c>
      <c r="R11">
        <f>IF(AND($E11&lt;=DATE(2026,11,2)+6,$F11&gt;=DATE(2026,11,2)),1,"")</f>
        <v/>
      </c>
      <c r="S11">
        <f>IF(AND($E11&lt;=DATE(2026,11,9)+6,$F11&gt;=DATE(2026,11,9)),1,"")</f>
        <v/>
      </c>
      <c r="T11">
        <f>IF(AND($E11&lt;=DATE(2026,11,16)+6,$F11&gt;=DATE(2026,11,16)),1,"")</f>
        <v/>
      </c>
      <c r="U11">
        <f>IF(AND($E11&lt;=DATE(2026,11,23)+6,$F11&gt;=DATE(2026,11,23)),1,"")</f>
        <v/>
      </c>
      <c r="V11">
        <f>IF(AND($E11&lt;=DATE(2026,11,30)+6,$F11&gt;=DATE(2026,11,30)),1,"")</f>
        <v/>
      </c>
      <c r="W11">
        <f>IF(AND($E11&lt;=DATE(2026,12,7)+6,$F11&gt;=DATE(2026,12,7)),1,"")</f>
        <v/>
      </c>
      <c r="X11">
        <f>IF(AND($E11&lt;=DATE(2026,12,14)+6,$F11&gt;=DATE(2026,12,14)),1,"")</f>
        <v/>
      </c>
      <c r="Y11">
        <f>IF(AND($E11&lt;=DATE(2026,12,21)+6,$F11&gt;=DATE(2026,12,21)),1,"")</f>
        <v/>
      </c>
      <c r="Z11">
        <f>IF(AND($E11&lt;=DATE(2026,12,28)+6,$F11&gt;=DATE(2026,12,28)),1,"")</f>
        <v/>
      </c>
      <c r="AA11">
        <f>IF(AND($E11&lt;=DATE(2027,1,4)+6,$F11&gt;=DATE(2027,1,4)),1,"")</f>
        <v/>
      </c>
      <c r="AB11">
        <f>IF(AND($E11&lt;=DATE(2027,1,11)+6,$F11&gt;=DATE(2027,1,11)),1,"")</f>
        <v/>
      </c>
      <c r="AC11">
        <f>IF(AND($E11&lt;=DATE(2027,1,18)+6,$F11&gt;=DATE(2027,1,18)),1,"")</f>
        <v/>
      </c>
      <c r="AD11">
        <f>IF(AND($E11&lt;=DATE(2027,1,25)+6,$F11&gt;=DATE(2027,1,25)),1,"")</f>
        <v/>
      </c>
      <c r="AE11">
        <f>IF(AND($E11&lt;=DATE(2027,2,1)+6,$F11&gt;=DATE(2027,2,1)),1,"")</f>
        <v/>
      </c>
      <c r="AF11">
        <f>IF(AND($E11&lt;=DATE(2027,2,8)+6,$F11&gt;=DATE(2027,2,8)),1,"")</f>
        <v/>
      </c>
      <c r="AG11">
        <f>IF(AND($E11&lt;=DATE(2027,2,15)+6,$F11&gt;=DATE(2027,2,15)),1,"")</f>
        <v/>
      </c>
      <c r="AH11">
        <f>IF(AND($E11&lt;=DATE(2027,2,22)+6,$F11&gt;=DATE(2027,2,22)),1,"")</f>
        <v/>
      </c>
      <c r="AI11">
        <f>IF(AND($E11&lt;=DATE(2027,3,1)+6,$F11&gt;=DATE(2027,3,1)),1,"")</f>
        <v/>
      </c>
      <c r="AJ11">
        <f>IF(AND($E11&lt;=DATE(2027,3,8)+6,$F11&gt;=DATE(2027,3,8)),1,"")</f>
        <v/>
      </c>
      <c r="AK11">
        <f>IF(AND($E11&lt;=DATE(2027,3,15)+6,$F11&gt;=DATE(2027,3,15)),1,"")</f>
        <v/>
      </c>
      <c r="AL11">
        <f>IF(AND($E11&lt;=DATE(2027,3,22)+6,$F11&gt;=DATE(2027,3,22)),1,"")</f>
        <v/>
      </c>
      <c r="AM11">
        <f>IF(AND($E11&lt;=DATE(2027,3,29)+6,$F11&gt;=DATE(2027,3,29)),1,"")</f>
        <v/>
      </c>
      <c r="AN11">
        <f>IF(AND($E11&lt;=DATE(2027,4,5)+6,$F11&gt;=DATE(2027,4,5)),1,"")</f>
        <v/>
      </c>
      <c r="AO11">
        <f>IF(AND($E11&lt;=DATE(2027,4,12)+6,$F11&gt;=DATE(2027,4,12)),1,"")</f>
        <v/>
      </c>
      <c r="AP11">
        <f>IF(AND($E11&lt;=DATE(2027,4,19)+6,$F11&gt;=DATE(2027,4,19)),1,"")</f>
        <v/>
      </c>
      <c r="AQ11">
        <f>IF(AND($E11&lt;=DATE(2027,4,26)+6,$F11&gt;=DATE(2027,4,26)),1,"")</f>
        <v/>
      </c>
      <c r="AR11">
        <f>IF(AND($E11&lt;=DATE(2027,5,3)+6,$F11&gt;=DATE(2027,5,3)),1,"")</f>
        <v/>
      </c>
      <c r="AS11">
        <f>IF(AND($E11&lt;=DATE(2027,5,10)+6,$F11&gt;=DATE(2027,5,10)),1,"")</f>
        <v/>
      </c>
      <c r="AT11">
        <f>IF(AND($E11&lt;=DATE(2027,5,17)+6,$F11&gt;=DATE(2027,5,17)),1,"")</f>
        <v/>
      </c>
      <c r="AU11">
        <f>IF(AND($E11&lt;=DATE(2027,5,24)+6,$F11&gt;=DATE(2027,5,24)),1,"")</f>
        <v/>
      </c>
      <c r="AV11">
        <f>IF(AND($E11&lt;=DATE(2027,5,31)+6,$F11&gt;=DATE(2027,5,31)),1,"")</f>
        <v/>
      </c>
      <c r="AW11">
        <f>IF(AND($E11&lt;=DATE(2027,6,7)+6,$F11&gt;=DATE(2027,6,7)),1,"")</f>
        <v/>
      </c>
      <c r="AX11">
        <f>IF(AND($E11&lt;=DATE(2027,6,14)+6,$F11&gt;=DATE(2027,6,14)),1,"")</f>
        <v/>
      </c>
      <c r="AY11">
        <f>IF(AND($E11&lt;=DATE(2027,6,21)+6,$F11&gt;=DATE(2027,6,21)),1,"")</f>
        <v/>
      </c>
      <c r="AZ11">
        <f>IF(AND($E11&lt;=DATE(2027,6,28)+6,$F11&gt;=DATE(2027,6,28)),1,"")</f>
        <v/>
      </c>
      <c r="BA11">
        <f>IF(AND($E11&lt;=DATE(2027,7,5)+6,$F11&gt;=DATE(2027,7,5)),1,"")</f>
        <v/>
      </c>
      <c r="BB11">
        <f>IF(AND($E11&lt;=DATE(2027,7,12)+6,$F11&gt;=DATE(2027,7,12)),1,"")</f>
        <v/>
      </c>
      <c r="BC11">
        <f>IF(AND($E11&lt;=DATE(2027,7,19)+6,$F11&gt;=DATE(2027,7,19)),1,"")</f>
        <v/>
      </c>
      <c r="BD11">
        <f>IF(AND($E11&lt;=DATE(2027,7,26)+6,$F11&gt;=DATE(2027,7,26)),1,"")</f>
        <v/>
      </c>
      <c r="BE11">
        <f>IF(AND($E11&lt;=DATE(2027,8,2)+6,$F11&gt;=DATE(2027,8,2)),1,"")</f>
        <v/>
      </c>
      <c r="BF11">
        <f>IF(AND($E11&lt;=DATE(2027,8,9)+6,$F11&gt;=DATE(2027,8,9)),1,"")</f>
        <v/>
      </c>
      <c r="BG11">
        <f>IF(AND($E11&lt;=DATE(2027,8,16)+6,$F11&gt;=DATE(2027,8,16)),1,"")</f>
        <v/>
      </c>
      <c r="BH11">
        <f>IF(AND($E11&lt;=DATE(2027,8,23)+6,$F11&gt;=DATE(2027,8,23)),1,"")</f>
        <v/>
      </c>
      <c r="BI11">
        <f>IF(AND($E11&lt;=DATE(2027,8,30)+6,$F11&gt;=DATE(2027,8,30)),1,"")</f>
        <v/>
      </c>
      <c r="BJ11">
        <f>IF(AND($E11&lt;=DATE(2027,9,6)+6,$F11&gt;=DATE(2027,9,6)),1,"")</f>
        <v/>
      </c>
      <c r="BK11">
        <f>IF(AND($E11&lt;=DATE(2027,9,13)+6,$F11&gt;=DATE(2027,9,13)),1,"")</f>
        <v/>
      </c>
      <c r="BL11">
        <f>IF(AND($E11&lt;=DATE(2027,9,20)+6,$F11&gt;=DATE(2027,9,20)),1,"")</f>
        <v/>
      </c>
      <c r="BM11">
        <f>IF(AND($E11&lt;=DATE(2027,9,27)+6,$F11&gt;=DATE(2027,9,27)),1,"")</f>
        <v/>
      </c>
    </row>
    <row r="12">
      <c r="A12" t="inlineStr">
        <is>
          <t>2.4</t>
        </is>
      </c>
      <c r="B12" t="inlineStr">
        <is>
          <t>Department budgets (LLP, Culture Connect, online donors)</t>
        </is>
      </c>
      <c r="C12" t="inlineStr">
        <is>
          <t>Mukunda Dasa</t>
        </is>
      </c>
      <c r="D12" t="inlineStr">
        <is>
          <t>Phase 0</t>
        </is>
      </c>
      <c r="E12" s="9" t="n">
        <v>46294</v>
      </c>
      <c r="F12" s="9" t="n">
        <v>46299</v>
      </c>
      <c r="G12">
        <f>F12-E12+1</f>
        <v/>
      </c>
      <c r="H12" t="inlineStr"/>
      <c r="I12" t="inlineStr">
        <is>
          <t>Budget sheet</t>
        </is>
      </c>
      <c r="J12" t="inlineStr">
        <is>
          <t>Not started</t>
        </is>
      </c>
      <c r="K12" s="10" t="n">
        <v>0</v>
      </c>
      <c r="L12">
        <f>IF(AND($E12&lt;=DATE(2026,9,21)+6,$F12&gt;=DATE(2026,9,21)),1,"")</f>
        <v/>
      </c>
      <c r="M12">
        <f>IF(AND($E12&lt;=DATE(2026,9,28)+6,$F12&gt;=DATE(2026,9,28)),1,"")</f>
        <v/>
      </c>
      <c r="N12">
        <f>IF(AND($E12&lt;=DATE(2026,10,5)+6,$F12&gt;=DATE(2026,10,5)),1,"")</f>
        <v/>
      </c>
      <c r="O12">
        <f>IF(AND($E12&lt;=DATE(2026,10,12)+6,$F12&gt;=DATE(2026,10,12)),1,"")</f>
        <v/>
      </c>
      <c r="P12">
        <f>IF(AND($E12&lt;=DATE(2026,10,19)+6,$F12&gt;=DATE(2026,10,19)),1,"")</f>
        <v/>
      </c>
      <c r="Q12">
        <f>IF(AND($E12&lt;=DATE(2026,10,26)+6,$F12&gt;=DATE(2026,10,26)),1,"")</f>
        <v/>
      </c>
      <c r="R12">
        <f>IF(AND($E12&lt;=DATE(2026,11,2)+6,$F12&gt;=DATE(2026,11,2)),1,"")</f>
        <v/>
      </c>
      <c r="S12">
        <f>IF(AND($E12&lt;=DATE(2026,11,9)+6,$F12&gt;=DATE(2026,11,9)),1,"")</f>
        <v/>
      </c>
      <c r="T12">
        <f>IF(AND($E12&lt;=DATE(2026,11,16)+6,$F12&gt;=DATE(2026,11,16)),1,"")</f>
        <v/>
      </c>
      <c r="U12">
        <f>IF(AND($E12&lt;=DATE(2026,11,23)+6,$F12&gt;=DATE(2026,11,23)),1,"")</f>
        <v/>
      </c>
      <c r="V12">
        <f>IF(AND($E12&lt;=DATE(2026,11,30)+6,$F12&gt;=DATE(2026,11,30)),1,"")</f>
        <v/>
      </c>
      <c r="W12">
        <f>IF(AND($E12&lt;=DATE(2026,12,7)+6,$F12&gt;=DATE(2026,12,7)),1,"")</f>
        <v/>
      </c>
      <c r="X12">
        <f>IF(AND($E12&lt;=DATE(2026,12,14)+6,$F12&gt;=DATE(2026,12,14)),1,"")</f>
        <v/>
      </c>
      <c r="Y12">
        <f>IF(AND($E12&lt;=DATE(2026,12,21)+6,$F12&gt;=DATE(2026,12,21)),1,"")</f>
        <v/>
      </c>
      <c r="Z12">
        <f>IF(AND($E12&lt;=DATE(2026,12,28)+6,$F12&gt;=DATE(2026,12,28)),1,"")</f>
        <v/>
      </c>
      <c r="AA12">
        <f>IF(AND($E12&lt;=DATE(2027,1,4)+6,$F12&gt;=DATE(2027,1,4)),1,"")</f>
        <v/>
      </c>
      <c r="AB12">
        <f>IF(AND($E12&lt;=DATE(2027,1,11)+6,$F12&gt;=DATE(2027,1,11)),1,"")</f>
        <v/>
      </c>
      <c r="AC12">
        <f>IF(AND($E12&lt;=DATE(2027,1,18)+6,$F12&gt;=DATE(2027,1,18)),1,"")</f>
        <v/>
      </c>
      <c r="AD12">
        <f>IF(AND($E12&lt;=DATE(2027,1,25)+6,$F12&gt;=DATE(2027,1,25)),1,"")</f>
        <v/>
      </c>
      <c r="AE12">
        <f>IF(AND($E12&lt;=DATE(2027,2,1)+6,$F12&gt;=DATE(2027,2,1)),1,"")</f>
        <v/>
      </c>
      <c r="AF12">
        <f>IF(AND($E12&lt;=DATE(2027,2,8)+6,$F12&gt;=DATE(2027,2,8)),1,"")</f>
        <v/>
      </c>
      <c r="AG12">
        <f>IF(AND($E12&lt;=DATE(2027,2,15)+6,$F12&gt;=DATE(2027,2,15)),1,"")</f>
        <v/>
      </c>
      <c r="AH12">
        <f>IF(AND($E12&lt;=DATE(2027,2,22)+6,$F12&gt;=DATE(2027,2,22)),1,"")</f>
        <v/>
      </c>
      <c r="AI12">
        <f>IF(AND($E12&lt;=DATE(2027,3,1)+6,$F12&gt;=DATE(2027,3,1)),1,"")</f>
        <v/>
      </c>
      <c r="AJ12">
        <f>IF(AND($E12&lt;=DATE(2027,3,8)+6,$F12&gt;=DATE(2027,3,8)),1,"")</f>
        <v/>
      </c>
      <c r="AK12">
        <f>IF(AND($E12&lt;=DATE(2027,3,15)+6,$F12&gt;=DATE(2027,3,15)),1,"")</f>
        <v/>
      </c>
      <c r="AL12">
        <f>IF(AND($E12&lt;=DATE(2027,3,22)+6,$F12&gt;=DATE(2027,3,22)),1,"")</f>
        <v/>
      </c>
      <c r="AM12">
        <f>IF(AND($E12&lt;=DATE(2027,3,29)+6,$F12&gt;=DATE(2027,3,29)),1,"")</f>
        <v/>
      </c>
      <c r="AN12">
        <f>IF(AND($E12&lt;=DATE(2027,4,5)+6,$F12&gt;=DATE(2027,4,5)),1,"")</f>
        <v/>
      </c>
      <c r="AO12">
        <f>IF(AND($E12&lt;=DATE(2027,4,12)+6,$F12&gt;=DATE(2027,4,12)),1,"")</f>
        <v/>
      </c>
      <c r="AP12">
        <f>IF(AND($E12&lt;=DATE(2027,4,19)+6,$F12&gt;=DATE(2027,4,19)),1,"")</f>
        <v/>
      </c>
      <c r="AQ12">
        <f>IF(AND($E12&lt;=DATE(2027,4,26)+6,$F12&gt;=DATE(2027,4,26)),1,"")</f>
        <v/>
      </c>
      <c r="AR12">
        <f>IF(AND($E12&lt;=DATE(2027,5,3)+6,$F12&gt;=DATE(2027,5,3)),1,"")</f>
        <v/>
      </c>
      <c r="AS12">
        <f>IF(AND($E12&lt;=DATE(2027,5,10)+6,$F12&gt;=DATE(2027,5,10)),1,"")</f>
        <v/>
      </c>
      <c r="AT12">
        <f>IF(AND($E12&lt;=DATE(2027,5,17)+6,$F12&gt;=DATE(2027,5,17)),1,"")</f>
        <v/>
      </c>
      <c r="AU12">
        <f>IF(AND($E12&lt;=DATE(2027,5,24)+6,$F12&gt;=DATE(2027,5,24)),1,"")</f>
        <v/>
      </c>
      <c r="AV12">
        <f>IF(AND($E12&lt;=DATE(2027,5,31)+6,$F12&gt;=DATE(2027,5,31)),1,"")</f>
        <v/>
      </c>
      <c r="AW12">
        <f>IF(AND($E12&lt;=DATE(2027,6,7)+6,$F12&gt;=DATE(2027,6,7)),1,"")</f>
        <v/>
      </c>
      <c r="AX12">
        <f>IF(AND($E12&lt;=DATE(2027,6,14)+6,$F12&gt;=DATE(2027,6,14)),1,"")</f>
        <v/>
      </c>
      <c r="AY12">
        <f>IF(AND($E12&lt;=DATE(2027,6,21)+6,$F12&gt;=DATE(2027,6,21)),1,"")</f>
        <v/>
      </c>
      <c r="AZ12">
        <f>IF(AND($E12&lt;=DATE(2027,6,28)+6,$F12&gt;=DATE(2027,6,28)),1,"")</f>
        <v/>
      </c>
      <c r="BA12">
        <f>IF(AND($E12&lt;=DATE(2027,7,5)+6,$F12&gt;=DATE(2027,7,5)),1,"")</f>
        <v/>
      </c>
      <c r="BB12">
        <f>IF(AND($E12&lt;=DATE(2027,7,12)+6,$F12&gt;=DATE(2027,7,12)),1,"")</f>
        <v/>
      </c>
      <c r="BC12">
        <f>IF(AND($E12&lt;=DATE(2027,7,19)+6,$F12&gt;=DATE(2027,7,19)),1,"")</f>
        <v/>
      </c>
      <c r="BD12">
        <f>IF(AND($E12&lt;=DATE(2027,7,26)+6,$F12&gt;=DATE(2027,7,26)),1,"")</f>
        <v/>
      </c>
      <c r="BE12">
        <f>IF(AND($E12&lt;=DATE(2027,8,2)+6,$F12&gt;=DATE(2027,8,2)),1,"")</f>
        <v/>
      </c>
      <c r="BF12">
        <f>IF(AND($E12&lt;=DATE(2027,8,9)+6,$F12&gt;=DATE(2027,8,9)),1,"")</f>
        <v/>
      </c>
      <c r="BG12">
        <f>IF(AND($E12&lt;=DATE(2027,8,16)+6,$F12&gt;=DATE(2027,8,16)),1,"")</f>
        <v/>
      </c>
      <c r="BH12">
        <f>IF(AND($E12&lt;=DATE(2027,8,23)+6,$F12&gt;=DATE(2027,8,23)),1,"")</f>
        <v/>
      </c>
      <c r="BI12">
        <f>IF(AND($E12&lt;=DATE(2027,8,30)+6,$F12&gt;=DATE(2027,8,30)),1,"")</f>
        <v/>
      </c>
      <c r="BJ12">
        <f>IF(AND($E12&lt;=DATE(2027,9,6)+6,$F12&gt;=DATE(2027,9,6)),1,"")</f>
        <v/>
      </c>
      <c r="BK12">
        <f>IF(AND($E12&lt;=DATE(2027,9,13)+6,$F12&gt;=DATE(2027,9,13)),1,"")</f>
        <v/>
      </c>
      <c r="BL12">
        <f>IF(AND($E12&lt;=DATE(2027,9,20)+6,$F12&gt;=DATE(2027,9,20)),1,"")</f>
        <v/>
      </c>
      <c r="BM12">
        <f>IF(AND($E12&lt;=DATE(2027,9,27)+6,$F12&gt;=DATE(2027,9,27)),1,"")</f>
        <v/>
      </c>
    </row>
    <row r="13">
      <c r="A13" s="6" t="inlineStr">
        <is>
          <t>3</t>
        </is>
      </c>
      <c r="B13" s="6" t="inlineStr">
        <is>
          <t>Product, costing &amp; packaging</t>
        </is>
      </c>
      <c r="C13" s="6" t="inlineStr"/>
      <c r="D13" s="6" t="inlineStr">
        <is>
          <t>Phase 0</t>
        </is>
      </c>
      <c r="E13" s="7" t="n">
        <v>46293</v>
      </c>
      <c r="F13" s="7" t="n">
        <v>46307</v>
      </c>
      <c r="G13" s="6">
        <f>F13-E13+1</f>
        <v/>
      </c>
      <c r="H13" s="6" t="inlineStr"/>
      <c r="I13" s="6" t="inlineStr"/>
      <c r="J13" s="6" t="inlineStr"/>
      <c r="K13" s="8" t="n"/>
      <c r="L13">
        <f>IF(AND($E13&lt;=DATE(2026,9,21)+6,$F13&gt;=DATE(2026,9,21)),1,"")</f>
        <v/>
      </c>
      <c r="M13">
        <f>IF(AND($E13&lt;=DATE(2026,9,28)+6,$F13&gt;=DATE(2026,9,28)),1,"")</f>
        <v/>
      </c>
      <c r="N13">
        <f>IF(AND($E13&lt;=DATE(2026,10,5)+6,$F13&gt;=DATE(2026,10,5)),1,"")</f>
        <v/>
      </c>
      <c r="O13">
        <f>IF(AND($E13&lt;=DATE(2026,10,12)+6,$F13&gt;=DATE(2026,10,12)),1,"")</f>
        <v/>
      </c>
      <c r="P13">
        <f>IF(AND($E13&lt;=DATE(2026,10,19)+6,$F13&gt;=DATE(2026,10,19)),1,"")</f>
        <v/>
      </c>
      <c r="Q13">
        <f>IF(AND($E13&lt;=DATE(2026,10,26)+6,$F13&gt;=DATE(2026,10,26)),1,"")</f>
        <v/>
      </c>
      <c r="R13">
        <f>IF(AND($E13&lt;=DATE(2026,11,2)+6,$F13&gt;=DATE(2026,11,2)),1,"")</f>
        <v/>
      </c>
      <c r="S13">
        <f>IF(AND($E13&lt;=DATE(2026,11,9)+6,$F13&gt;=DATE(2026,11,9)),1,"")</f>
        <v/>
      </c>
      <c r="T13">
        <f>IF(AND($E13&lt;=DATE(2026,11,16)+6,$F13&gt;=DATE(2026,11,16)),1,"")</f>
        <v/>
      </c>
      <c r="U13">
        <f>IF(AND($E13&lt;=DATE(2026,11,23)+6,$F13&gt;=DATE(2026,11,23)),1,"")</f>
        <v/>
      </c>
      <c r="V13">
        <f>IF(AND($E13&lt;=DATE(2026,11,30)+6,$F13&gt;=DATE(2026,11,30)),1,"")</f>
        <v/>
      </c>
      <c r="W13">
        <f>IF(AND($E13&lt;=DATE(2026,12,7)+6,$F13&gt;=DATE(2026,12,7)),1,"")</f>
        <v/>
      </c>
      <c r="X13">
        <f>IF(AND($E13&lt;=DATE(2026,12,14)+6,$F13&gt;=DATE(2026,12,14)),1,"")</f>
        <v/>
      </c>
      <c r="Y13">
        <f>IF(AND($E13&lt;=DATE(2026,12,21)+6,$F13&gt;=DATE(2026,12,21)),1,"")</f>
        <v/>
      </c>
      <c r="Z13">
        <f>IF(AND($E13&lt;=DATE(2026,12,28)+6,$F13&gt;=DATE(2026,12,28)),1,"")</f>
        <v/>
      </c>
      <c r="AA13">
        <f>IF(AND($E13&lt;=DATE(2027,1,4)+6,$F13&gt;=DATE(2027,1,4)),1,"")</f>
        <v/>
      </c>
      <c r="AB13">
        <f>IF(AND($E13&lt;=DATE(2027,1,11)+6,$F13&gt;=DATE(2027,1,11)),1,"")</f>
        <v/>
      </c>
      <c r="AC13">
        <f>IF(AND($E13&lt;=DATE(2027,1,18)+6,$F13&gt;=DATE(2027,1,18)),1,"")</f>
        <v/>
      </c>
      <c r="AD13">
        <f>IF(AND($E13&lt;=DATE(2027,1,25)+6,$F13&gt;=DATE(2027,1,25)),1,"")</f>
        <v/>
      </c>
      <c r="AE13">
        <f>IF(AND($E13&lt;=DATE(2027,2,1)+6,$F13&gt;=DATE(2027,2,1)),1,"")</f>
        <v/>
      </c>
      <c r="AF13">
        <f>IF(AND($E13&lt;=DATE(2027,2,8)+6,$F13&gt;=DATE(2027,2,8)),1,"")</f>
        <v/>
      </c>
      <c r="AG13">
        <f>IF(AND($E13&lt;=DATE(2027,2,15)+6,$F13&gt;=DATE(2027,2,15)),1,"")</f>
        <v/>
      </c>
      <c r="AH13">
        <f>IF(AND($E13&lt;=DATE(2027,2,22)+6,$F13&gt;=DATE(2027,2,22)),1,"")</f>
        <v/>
      </c>
      <c r="AI13">
        <f>IF(AND($E13&lt;=DATE(2027,3,1)+6,$F13&gt;=DATE(2027,3,1)),1,"")</f>
        <v/>
      </c>
      <c r="AJ13">
        <f>IF(AND($E13&lt;=DATE(2027,3,8)+6,$F13&gt;=DATE(2027,3,8)),1,"")</f>
        <v/>
      </c>
      <c r="AK13">
        <f>IF(AND($E13&lt;=DATE(2027,3,15)+6,$F13&gt;=DATE(2027,3,15)),1,"")</f>
        <v/>
      </c>
      <c r="AL13">
        <f>IF(AND($E13&lt;=DATE(2027,3,22)+6,$F13&gt;=DATE(2027,3,22)),1,"")</f>
        <v/>
      </c>
      <c r="AM13">
        <f>IF(AND($E13&lt;=DATE(2027,3,29)+6,$F13&gt;=DATE(2027,3,29)),1,"")</f>
        <v/>
      </c>
      <c r="AN13">
        <f>IF(AND($E13&lt;=DATE(2027,4,5)+6,$F13&gt;=DATE(2027,4,5)),1,"")</f>
        <v/>
      </c>
      <c r="AO13">
        <f>IF(AND($E13&lt;=DATE(2027,4,12)+6,$F13&gt;=DATE(2027,4,12)),1,"")</f>
        <v/>
      </c>
      <c r="AP13">
        <f>IF(AND($E13&lt;=DATE(2027,4,19)+6,$F13&gt;=DATE(2027,4,19)),1,"")</f>
        <v/>
      </c>
      <c r="AQ13">
        <f>IF(AND($E13&lt;=DATE(2027,4,26)+6,$F13&gt;=DATE(2027,4,26)),1,"")</f>
        <v/>
      </c>
      <c r="AR13">
        <f>IF(AND($E13&lt;=DATE(2027,5,3)+6,$F13&gt;=DATE(2027,5,3)),1,"")</f>
        <v/>
      </c>
      <c r="AS13">
        <f>IF(AND($E13&lt;=DATE(2027,5,10)+6,$F13&gt;=DATE(2027,5,10)),1,"")</f>
        <v/>
      </c>
      <c r="AT13">
        <f>IF(AND($E13&lt;=DATE(2027,5,17)+6,$F13&gt;=DATE(2027,5,17)),1,"")</f>
        <v/>
      </c>
      <c r="AU13">
        <f>IF(AND($E13&lt;=DATE(2027,5,24)+6,$F13&gt;=DATE(2027,5,24)),1,"")</f>
        <v/>
      </c>
      <c r="AV13">
        <f>IF(AND($E13&lt;=DATE(2027,5,31)+6,$F13&gt;=DATE(2027,5,31)),1,"")</f>
        <v/>
      </c>
      <c r="AW13">
        <f>IF(AND($E13&lt;=DATE(2027,6,7)+6,$F13&gt;=DATE(2027,6,7)),1,"")</f>
        <v/>
      </c>
      <c r="AX13">
        <f>IF(AND($E13&lt;=DATE(2027,6,14)+6,$F13&gt;=DATE(2027,6,14)),1,"")</f>
        <v/>
      </c>
      <c r="AY13">
        <f>IF(AND($E13&lt;=DATE(2027,6,21)+6,$F13&gt;=DATE(2027,6,21)),1,"")</f>
        <v/>
      </c>
      <c r="AZ13">
        <f>IF(AND($E13&lt;=DATE(2027,6,28)+6,$F13&gt;=DATE(2027,6,28)),1,"")</f>
        <v/>
      </c>
      <c r="BA13">
        <f>IF(AND($E13&lt;=DATE(2027,7,5)+6,$F13&gt;=DATE(2027,7,5)),1,"")</f>
        <v/>
      </c>
      <c r="BB13">
        <f>IF(AND($E13&lt;=DATE(2027,7,12)+6,$F13&gt;=DATE(2027,7,12)),1,"")</f>
        <v/>
      </c>
      <c r="BC13">
        <f>IF(AND($E13&lt;=DATE(2027,7,19)+6,$F13&gt;=DATE(2027,7,19)),1,"")</f>
        <v/>
      </c>
      <c r="BD13">
        <f>IF(AND($E13&lt;=DATE(2027,7,26)+6,$F13&gt;=DATE(2027,7,26)),1,"")</f>
        <v/>
      </c>
      <c r="BE13">
        <f>IF(AND($E13&lt;=DATE(2027,8,2)+6,$F13&gt;=DATE(2027,8,2)),1,"")</f>
        <v/>
      </c>
      <c r="BF13">
        <f>IF(AND($E13&lt;=DATE(2027,8,9)+6,$F13&gt;=DATE(2027,8,9)),1,"")</f>
        <v/>
      </c>
      <c r="BG13">
        <f>IF(AND($E13&lt;=DATE(2027,8,16)+6,$F13&gt;=DATE(2027,8,16)),1,"")</f>
        <v/>
      </c>
      <c r="BH13">
        <f>IF(AND($E13&lt;=DATE(2027,8,23)+6,$F13&gt;=DATE(2027,8,23)),1,"")</f>
        <v/>
      </c>
      <c r="BI13">
        <f>IF(AND($E13&lt;=DATE(2027,8,30)+6,$F13&gt;=DATE(2027,8,30)),1,"")</f>
        <v/>
      </c>
      <c r="BJ13">
        <f>IF(AND($E13&lt;=DATE(2027,9,6)+6,$F13&gt;=DATE(2027,9,6)),1,"")</f>
        <v/>
      </c>
      <c r="BK13">
        <f>IF(AND($E13&lt;=DATE(2027,9,13)+6,$F13&gt;=DATE(2027,9,13)),1,"")</f>
        <v/>
      </c>
      <c r="BL13">
        <f>IF(AND($E13&lt;=DATE(2027,9,20)+6,$F13&gt;=DATE(2027,9,20)),1,"")</f>
        <v/>
      </c>
      <c r="BM13">
        <f>IF(AND($E13&lt;=DATE(2027,9,27)+6,$F13&gt;=DATE(2027,9,27)),1,"")</f>
        <v/>
      </c>
    </row>
    <row r="14">
      <c r="A14" t="inlineStr">
        <is>
          <t>3.1</t>
        </is>
      </c>
      <c r="B14" t="inlineStr">
        <is>
          <t>Propose budget &amp; item list to production for samples</t>
        </is>
      </c>
      <c r="C14" t="inlineStr">
        <is>
          <t>Mukunda Dasa</t>
        </is>
      </c>
      <c r="D14" t="inlineStr">
        <is>
          <t>Phase 0</t>
        </is>
      </c>
      <c r="E14" s="9" t="n">
        <v>46293</v>
      </c>
      <c r="F14" s="9" t="n">
        <v>46295</v>
      </c>
      <c r="G14">
        <f>F14-E14+1</f>
        <v/>
      </c>
      <c r="H14" t="inlineStr"/>
      <c r="I14" t="inlineStr">
        <is>
          <t>Sample request</t>
        </is>
      </c>
      <c r="J14" t="inlineStr">
        <is>
          <t>Not started</t>
        </is>
      </c>
      <c r="K14" s="10" t="n">
        <v>0</v>
      </c>
      <c r="L14">
        <f>IF(AND($E14&lt;=DATE(2026,9,21)+6,$F14&gt;=DATE(2026,9,21)),1,"")</f>
        <v/>
      </c>
      <c r="M14">
        <f>IF(AND($E14&lt;=DATE(2026,9,28)+6,$F14&gt;=DATE(2026,9,28)),1,"")</f>
        <v/>
      </c>
      <c r="N14">
        <f>IF(AND($E14&lt;=DATE(2026,10,5)+6,$F14&gt;=DATE(2026,10,5)),1,"")</f>
        <v/>
      </c>
      <c r="O14">
        <f>IF(AND($E14&lt;=DATE(2026,10,12)+6,$F14&gt;=DATE(2026,10,12)),1,"")</f>
        <v/>
      </c>
      <c r="P14">
        <f>IF(AND($E14&lt;=DATE(2026,10,19)+6,$F14&gt;=DATE(2026,10,19)),1,"")</f>
        <v/>
      </c>
      <c r="Q14">
        <f>IF(AND($E14&lt;=DATE(2026,10,26)+6,$F14&gt;=DATE(2026,10,26)),1,"")</f>
        <v/>
      </c>
      <c r="R14">
        <f>IF(AND($E14&lt;=DATE(2026,11,2)+6,$F14&gt;=DATE(2026,11,2)),1,"")</f>
        <v/>
      </c>
      <c r="S14">
        <f>IF(AND($E14&lt;=DATE(2026,11,9)+6,$F14&gt;=DATE(2026,11,9)),1,"")</f>
        <v/>
      </c>
      <c r="T14">
        <f>IF(AND($E14&lt;=DATE(2026,11,16)+6,$F14&gt;=DATE(2026,11,16)),1,"")</f>
        <v/>
      </c>
      <c r="U14">
        <f>IF(AND($E14&lt;=DATE(2026,11,23)+6,$F14&gt;=DATE(2026,11,23)),1,"")</f>
        <v/>
      </c>
      <c r="V14">
        <f>IF(AND($E14&lt;=DATE(2026,11,30)+6,$F14&gt;=DATE(2026,11,30)),1,"")</f>
        <v/>
      </c>
      <c r="W14">
        <f>IF(AND($E14&lt;=DATE(2026,12,7)+6,$F14&gt;=DATE(2026,12,7)),1,"")</f>
        <v/>
      </c>
      <c r="X14">
        <f>IF(AND($E14&lt;=DATE(2026,12,14)+6,$F14&gt;=DATE(2026,12,14)),1,"")</f>
        <v/>
      </c>
      <c r="Y14">
        <f>IF(AND($E14&lt;=DATE(2026,12,21)+6,$F14&gt;=DATE(2026,12,21)),1,"")</f>
        <v/>
      </c>
      <c r="Z14">
        <f>IF(AND($E14&lt;=DATE(2026,12,28)+6,$F14&gt;=DATE(2026,12,28)),1,"")</f>
        <v/>
      </c>
      <c r="AA14">
        <f>IF(AND($E14&lt;=DATE(2027,1,4)+6,$F14&gt;=DATE(2027,1,4)),1,"")</f>
        <v/>
      </c>
      <c r="AB14">
        <f>IF(AND($E14&lt;=DATE(2027,1,11)+6,$F14&gt;=DATE(2027,1,11)),1,"")</f>
        <v/>
      </c>
      <c r="AC14">
        <f>IF(AND($E14&lt;=DATE(2027,1,18)+6,$F14&gt;=DATE(2027,1,18)),1,"")</f>
        <v/>
      </c>
      <c r="AD14">
        <f>IF(AND($E14&lt;=DATE(2027,1,25)+6,$F14&gt;=DATE(2027,1,25)),1,"")</f>
        <v/>
      </c>
      <c r="AE14">
        <f>IF(AND($E14&lt;=DATE(2027,2,1)+6,$F14&gt;=DATE(2027,2,1)),1,"")</f>
        <v/>
      </c>
      <c r="AF14">
        <f>IF(AND($E14&lt;=DATE(2027,2,8)+6,$F14&gt;=DATE(2027,2,8)),1,"")</f>
        <v/>
      </c>
      <c r="AG14">
        <f>IF(AND($E14&lt;=DATE(2027,2,15)+6,$F14&gt;=DATE(2027,2,15)),1,"")</f>
        <v/>
      </c>
      <c r="AH14">
        <f>IF(AND($E14&lt;=DATE(2027,2,22)+6,$F14&gt;=DATE(2027,2,22)),1,"")</f>
        <v/>
      </c>
      <c r="AI14">
        <f>IF(AND($E14&lt;=DATE(2027,3,1)+6,$F14&gt;=DATE(2027,3,1)),1,"")</f>
        <v/>
      </c>
      <c r="AJ14">
        <f>IF(AND($E14&lt;=DATE(2027,3,8)+6,$F14&gt;=DATE(2027,3,8)),1,"")</f>
        <v/>
      </c>
      <c r="AK14">
        <f>IF(AND($E14&lt;=DATE(2027,3,15)+6,$F14&gt;=DATE(2027,3,15)),1,"")</f>
        <v/>
      </c>
      <c r="AL14">
        <f>IF(AND($E14&lt;=DATE(2027,3,22)+6,$F14&gt;=DATE(2027,3,22)),1,"")</f>
        <v/>
      </c>
      <c r="AM14">
        <f>IF(AND($E14&lt;=DATE(2027,3,29)+6,$F14&gt;=DATE(2027,3,29)),1,"")</f>
        <v/>
      </c>
      <c r="AN14">
        <f>IF(AND($E14&lt;=DATE(2027,4,5)+6,$F14&gt;=DATE(2027,4,5)),1,"")</f>
        <v/>
      </c>
      <c r="AO14">
        <f>IF(AND($E14&lt;=DATE(2027,4,12)+6,$F14&gt;=DATE(2027,4,12)),1,"")</f>
        <v/>
      </c>
      <c r="AP14">
        <f>IF(AND($E14&lt;=DATE(2027,4,19)+6,$F14&gt;=DATE(2027,4,19)),1,"")</f>
        <v/>
      </c>
      <c r="AQ14">
        <f>IF(AND($E14&lt;=DATE(2027,4,26)+6,$F14&gt;=DATE(2027,4,26)),1,"")</f>
        <v/>
      </c>
      <c r="AR14">
        <f>IF(AND($E14&lt;=DATE(2027,5,3)+6,$F14&gt;=DATE(2027,5,3)),1,"")</f>
        <v/>
      </c>
      <c r="AS14">
        <f>IF(AND($E14&lt;=DATE(2027,5,10)+6,$F14&gt;=DATE(2027,5,10)),1,"")</f>
        <v/>
      </c>
      <c r="AT14">
        <f>IF(AND($E14&lt;=DATE(2027,5,17)+6,$F14&gt;=DATE(2027,5,17)),1,"")</f>
        <v/>
      </c>
      <c r="AU14">
        <f>IF(AND($E14&lt;=DATE(2027,5,24)+6,$F14&gt;=DATE(2027,5,24)),1,"")</f>
        <v/>
      </c>
      <c r="AV14">
        <f>IF(AND($E14&lt;=DATE(2027,5,31)+6,$F14&gt;=DATE(2027,5,31)),1,"")</f>
        <v/>
      </c>
      <c r="AW14">
        <f>IF(AND($E14&lt;=DATE(2027,6,7)+6,$F14&gt;=DATE(2027,6,7)),1,"")</f>
        <v/>
      </c>
      <c r="AX14">
        <f>IF(AND($E14&lt;=DATE(2027,6,14)+6,$F14&gt;=DATE(2027,6,14)),1,"")</f>
        <v/>
      </c>
      <c r="AY14">
        <f>IF(AND($E14&lt;=DATE(2027,6,21)+6,$F14&gt;=DATE(2027,6,21)),1,"")</f>
        <v/>
      </c>
      <c r="AZ14">
        <f>IF(AND($E14&lt;=DATE(2027,6,28)+6,$F14&gt;=DATE(2027,6,28)),1,"")</f>
        <v/>
      </c>
      <c r="BA14">
        <f>IF(AND($E14&lt;=DATE(2027,7,5)+6,$F14&gt;=DATE(2027,7,5)),1,"")</f>
        <v/>
      </c>
      <c r="BB14">
        <f>IF(AND($E14&lt;=DATE(2027,7,12)+6,$F14&gt;=DATE(2027,7,12)),1,"")</f>
        <v/>
      </c>
      <c r="BC14">
        <f>IF(AND($E14&lt;=DATE(2027,7,19)+6,$F14&gt;=DATE(2027,7,19)),1,"")</f>
        <v/>
      </c>
      <c r="BD14">
        <f>IF(AND($E14&lt;=DATE(2027,7,26)+6,$F14&gt;=DATE(2027,7,26)),1,"")</f>
        <v/>
      </c>
      <c r="BE14">
        <f>IF(AND($E14&lt;=DATE(2027,8,2)+6,$F14&gt;=DATE(2027,8,2)),1,"")</f>
        <v/>
      </c>
      <c r="BF14">
        <f>IF(AND($E14&lt;=DATE(2027,8,9)+6,$F14&gt;=DATE(2027,8,9)),1,"")</f>
        <v/>
      </c>
      <c r="BG14">
        <f>IF(AND($E14&lt;=DATE(2027,8,16)+6,$F14&gt;=DATE(2027,8,16)),1,"")</f>
        <v/>
      </c>
      <c r="BH14">
        <f>IF(AND($E14&lt;=DATE(2027,8,23)+6,$F14&gt;=DATE(2027,8,23)),1,"")</f>
        <v/>
      </c>
      <c r="BI14">
        <f>IF(AND($E14&lt;=DATE(2027,8,30)+6,$F14&gt;=DATE(2027,8,30)),1,"")</f>
        <v/>
      </c>
      <c r="BJ14">
        <f>IF(AND($E14&lt;=DATE(2027,9,6)+6,$F14&gt;=DATE(2027,9,6)),1,"")</f>
        <v/>
      </c>
      <c r="BK14">
        <f>IF(AND($E14&lt;=DATE(2027,9,13)+6,$F14&gt;=DATE(2027,9,13)),1,"")</f>
        <v/>
      </c>
      <c r="BL14">
        <f>IF(AND($E14&lt;=DATE(2027,9,20)+6,$F14&gt;=DATE(2027,9,20)),1,"")</f>
        <v/>
      </c>
      <c r="BM14">
        <f>IF(AND($E14&lt;=DATE(2027,9,27)+6,$F14&gt;=DATE(2027,9,27)),1,"")</f>
        <v/>
      </c>
    </row>
    <row r="15">
      <c r="A15" t="inlineStr">
        <is>
          <t>3.2</t>
        </is>
      </c>
      <c r="B15" t="inlineStr">
        <is>
          <t>Identify more long-shelf-life products</t>
        </is>
      </c>
      <c r="C15" t="inlineStr">
        <is>
          <t>Production lead</t>
        </is>
      </c>
      <c r="D15" t="inlineStr">
        <is>
          <t>Phase 0</t>
        </is>
      </c>
      <c r="E15" s="9" t="n">
        <v>46293</v>
      </c>
      <c r="F15" s="9" t="n">
        <v>46299</v>
      </c>
      <c r="G15">
        <f>F15-E15+1</f>
        <v/>
      </c>
      <c r="H15" t="inlineStr"/>
      <c r="I15" t="inlineStr">
        <is>
          <t>Extended item list</t>
        </is>
      </c>
      <c r="J15" t="inlineStr">
        <is>
          <t>Not started</t>
        </is>
      </c>
      <c r="K15" s="10" t="n">
        <v>0</v>
      </c>
      <c r="L15">
        <f>IF(AND($E15&lt;=DATE(2026,9,21)+6,$F15&gt;=DATE(2026,9,21)),1,"")</f>
        <v/>
      </c>
      <c r="M15">
        <f>IF(AND($E15&lt;=DATE(2026,9,28)+6,$F15&gt;=DATE(2026,9,28)),1,"")</f>
        <v/>
      </c>
      <c r="N15">
        <f>IF(AND($E15&lt;=DATE(2026,10,5)+6,$F15&gt;=DATE(2026,10,5)),1,"")</f>
        <v/>
      </c>
      <c r="O15">
        <f>IF(AND($E15&lt;=DATE(2026,10,12)+6,$F15&gt;=DATE(2026,10,12)),1,"")</f>
        <v/>
      </c>
      <c r="P15">
        <f>IF(AND($E15&lt;=DATE(2026,10,19)+6,$F15&gt;=DATE(2026,10,19)),1,"")</f>
        <v/>
      </c>
      <c r="Q15">
        <f>IF(AND($E15&lt;=DATE(2026,10,26)+6,$F15&gt;=DATE(2026,10,26)),1,"")</f>
        <v/>
      </c>
      <c r="R15">
        <f>IF(AND($E15&lt;=DATE(2026,11,2)+6,$F15&gt;=DATE(2026,11,2)),1,"")</f>
        <v/>
      </c>
      <c r="S15">
        <f>IF(AND($E15&lt;=DATE(2026,11,9)+6,$F15&gt;=DATE(2026,11,9)),1,"")</f>
        <v/>
      </c>
      <c r="T15">
        <f>IF(AND($E15&lt;=DATE(2026,11,16)+6,$F15&gt;=DATE(2026,11,16)),1,"")</f>
        <v/>
      </c>
      <c r="U15">
        <f>IF(AND($E15&lt;=DATE(2026,11,23)+6,$F15&gt;=DATE(2026,11,23)),1,"")</f>
        <v/>
      </c>
      <c r="V15">
        <f>IF(AND($E15&lt;=DATE(2026,11,30)+6,$F15&gt;=DATE(2026,11,30)),1,"")</f>
        <v/>
      </c>
      <c r="W15">
        <f>IF(AND($E15&lt;=DATE(2026,12,7)+6,$F15&gt;=DATE(2026,12,7)),1,"")</f>
        <v/>
      </c>
      <c r="X15">
        <f>IF(AND($E15&lt;=DATE(2026,12,14)+6,$F15&gt;=DATE(2026,12,14)),1,"")</f>
        <v/>
      </c>
      <c r="Y15">
        <f>IF(AND($E15&lt;=DATE(2026,12,21)+6,$F15&gt;=DATE(2026,12,21)),1,"")</f>
        <v/>
      </c>
      <c r="Z15">
        <f>IF(AND($E15&lt;=DATE(2026,12,28)+6,$F15&gt;=DATE(2026,12,28)),1,"")</f>
        <v/>
      </c>
      <c r="AA15">
        <f>IF(AND($E15&lt;=DATE(2027,1,4)+6,$F15&gt;=DATE(2027,1,4)),1,"")</f>
        <v/>
      </c>
      <c r="AB15">
        <f>IF(AND($E15&lt;=DATE(2027,1,11)+6,$F15&gt;=DATE(2027,1,11)),1,"")</f>
        <v/>
      </c>
      <c r="AC15">
        <f>IF(AND($E15&lt;=DATE(2027,1,18)+6,$F15&gt;=DATE(2027,1,18)),1,"")</f>
        <v/>
      </c>
      <c r="AD15">
        <f>IF(AND($E15&lt;=DATE(2027,1,25)+6,$F15&gt;=DATE(2027,1,25)),1,"")</f>
        <v/>
      </c>
      <c r="AE15">
        <f>IF(AND($E15&lt;=DATE(2027,2,1)+6,$F15&gt;=DATE(2027,2,1)),1,"")</f>
        <v/>
      </c>
      <c r="AF15">
        <f>IF(AND($E15&lt;=DATE(2027,2,8)+6,$F15&gt;=DATE(2027,2,8)),1,"")</f>
        <v/>
      </c>
      <c r="AG15">
        <f>IF(AND($E15&lt;=DATE(2027,2,15)+6,$F15&gt;=DATE(2027,2,15)),1,"")</f>
        <v/>
      </c>
      <c r="AH15">
        <f>IF(AND($E15&lt;=DATE(2027,2,22)+6,$F15&gt;=DATE(2027,2,22)),1,"")</f>
        <v/>
      </c>
      <c r="AI15">
        <f>IF(AND($E15&lt;=DATE(2027,3,1)+6,$F15&gt;=DATE(2027,3,1)),1,"")</f>
        <v/>
      </c>
      <c r="AJ15">
        <f>IF(AND($E15&lt;=DATE(2027,3,8)+6,$F15&gt;=DATE(2027,3,8)),1,"")</f>
        <v/>
      </c>
      <c r="AK15">
        <f>IF(AND($E15&lt;=DATE(2027,3,15)+6,$F15&gt;=DATE(2027,3,15)),1,"")</f>
        <v/>
      </c>
      <c r="AL15">
        <f>IF(AND($E15&lt;=DATE(2027,3,22)+6,$F15&gt;=DATE(2027,3,22)),1,"")</f>
        <v/>
      </c>
      <c r="AM15">
        <f>IF(AND($E15&lt;=DATE(2027,3,29)+6,$F15&gt;=DATE(2027,3,29)),1,"")</f>
        <v/>
      </c>
      <c r="AN15">
        <f>IF(AND($E15&lt;=DATE(2027,4,5)+6,$F15&gt;=DATE(2027,4,5)),1,"")</f>
        <v/>
      </c>
      <c r="AO15">
        <f>IF(AND($E15&lt;=DATE(2027,4,12)+6,$F15&gt;=DATE(2027,4,12)),1,"")</f>
        <v/>
      </c>
      <c r="AP15">
        <f>IF(AND($E15&lt;=DATE(2027,4,19)+6,$F15&gt;=DATE(2027,4,19)),1,"")</f>
        <v/>
      </c>
      <c r="AQ15">
        <f>IF(AND($E15&lt;=DATE(2027,4,26)+6,$F15&gt;=DATE(2027,4,26)),1,"")</f>
        <v/>
      </c>
      <c r="AR15">
        <f>IF(AND($E15&lt;=DATE(2027,5,3)+6,$F15&gt;=DATE(2027,5,3)),1,"")</f>
        <v/>
      </c>
      <c r="AS15">
        <f>IF(AND($E15&lt;=DATE(2027,5,10)+6,$F15&gt;=DATE(2027,5,10)),1,"")</f>
        <v/>
      </c>
      <c r="AT15">
        <f>IF(AND($E15&lt;=DATE(2027,5,17)+6,$F15&gt;=DATE(2027,5,17)),1,"")</f>
        <v/>
      </c>
      <c r="AU15">
        <f>IF(AND($E15&lt;=DATE(2027,5,24)+6,$F15&gt;=DATE(2027,5,24)),1,"")</f>
        <v/>
      </c>
      <c r="AV15">
        <f>IF(AND($E15&lt;=DATE(2027,5,31)+6,$F15&gt;=DATE(2027,5,31)),1,"")</f>
        <v/>
      </c>
      <c r="AW15">
        <f>IF(AND($E15&lt;=DATE(2027,6,7)+6,$F15&gt;=DATE(2027,6,7)),1,"")</f>
        <v/>
      </c>
      <c r="AX15">
        <f>IF(AND($E15&lt;=DATE(2027,6,14)+6,$F15&gt;=DATE(2027,6,14)),1,"")</f>
        <v/>
      </c>
      <c r="AY15">
        <f>IF(AND($E15&lt;=DATE(2027,6,21)+6,$F15&gt;=DATE(2027,6,21)),1,"")</f>
        <v/>
      </c>
      <c r="AZ15">
        <f>IF(AND($E15&lt;=DATE(2027,6,28)+6,$F15&gt;=DATE(2027,6,28)),1,"")</f>
        <v/>
      </c>
      <c r="BA15">
        <f>IF(AND($E15&lt;=DATE(2027,7,5)+6,$F15&gt;=DATE(2027,7,5)),1,"")</f>
        <v/>
      </c>
      <c r="BB15">
        <f>IF(AND($E15&lt;=DATE(2027,7,12)+6,$F15&gt;=DATE(2027,7,12)),1,"")</f>
        <v/>
      </c>
      <c r="BC15">
        <f>IF(AND($E15&lt;=DATE(2027,7,19)+6,$F15&gt;=DATE(2027,7,19)),1,"")</f>
        <v/>
      </c>
      <c r="BD15">
        <f>IF(AND($E15&lt;=DATE(2027,7,26)+6,$F15&gt;=DATE(2027,7,26)),1,"")</f>
        <v/>
      </c>
      <c r="BE15">
        <f>IF(AND($E15&lt;=DATE(2027,8,2)+6,$F15&gt;=DATE(2027,8,2)),1,"")</f>
        <v/>
      </c>
      <c r="BF15">
        <f>IF(AND($E15&lt;=DATE(2027,8,9)+6,$F15&gt;=DATE(2027,8,9)),1,"")</f>
        <v/>
      </c>
      <c r="BG15">
        <f>IF(AND($E15&lt;=DATE(2027,8,16)+6,$F15&gt;=DATE(2027,8,16)),1,"")</f>
        <v/>
      </c>
      <c r="BH15">
        <f>IF(AND($E15&lt;=DATE(2027,8,23)+6,$F15&gt;=DATE(2027,8,23)),1,"")</f>
        <v/>
      </c>
      <c r="BI15">
        <f>IF(AND($E15&lt;=DATE(2027,8,30)+6,$F15&gt;=DATE(2027,8,30)),1,"")</f>
        <v/>
      </c>
      <c r="BJ15">
        <f>IF(AND($E15&lt;=DATE(2027,9,6)+6,$F15&gt;=DATE(2027,9,6)),1,"")</f>
        <v/>
      </c>
      <c r="BK15">
        <f>IF(AND($E15&lt;=DATE(2027,9,13)+6,$F15&gt;=DATE(2027,9,13)),1,"")</f>
        <v/>
      </c>
      <c r="BL15">
        <f>IF(AND($E15&lt;=DATE(2027,9,20)+6,$F15&gt;=DATE(2027,9,20)),1,"")</f>
        <v/>
      </c>
      <c r="BM15">
        <f>IF(AND($E15&lt;=DATE(2027,9,27)+6,$F15&gt;=DATE(2027,9,27)),1,"")</f>
        <v/>
      </c>
    </row>
    <row r="16">
      <c r="A16" t="inlineStr">
        <is>
          <t>3.3</t>
        </is>
      </c>
      <c r="B16" t="inlineStr">
        <is>
          <t>Samples &amp; costing sheets (mass &amp; premium)</t>
        </is>
      </c>
      <c r="C16" t="inlineStr">
        <is>
          <t>Production lead</t>
        </is>
      </c>
      <c r="D16" t="inlineStr">
        <is>
          <t>Phase 0</t>
        </is>
      </c>
      <c r="E16" s="9" t="n">
        <v>46296</v>
      </c>
      <c r="F16" s="9" t="n">
        <v>46303</v>
      </c>
      <c r="G16">
        <f>F16-E16+1</f>
        <v/>
      </c>
      <c r="H16" t="inlineStr">
        <is>
          <t>3.1</t>
        </is>
      </c>
      <c r="I16" t="inlineStr">
        <is>
          <t>Costing sheets</t>
        </is>
      </c>
      <c r="J16" t="inlineStr">
        <is>
          <t>Not started</t>
        </is>
      </c>
      <c r="K16" s="10" t="n">
        <v>0</v>
      </c>
      <c r="L16">
        <f>IF(AND($E16&lt;=DATE(2026,9,21)+6,$F16&gt;=DATE(2026,9,21)),1,"")</f>
        <v/>
      </c>
      <c r="M16">
        <f>IF(AND($E16&lt;=DATE(2026,9,28)+6,$F16&gt;=DATE(2026,9,28)),1,"")</f>
        <v/>
      </c>
      <c r="N16">
        <f>IF(AND($E16&lt;=DATE(2026,10,5)+6,$F16&gt;=DATE(2026,10,5)),1,"")</f>
        <v/>
      </c>
      <c r="O16">
        <f>IF(AND($E16&lt;=DATE(2026,10,12)+6,$F16&gt;=DATE(2026,10,12)),1,"")</f>
        <v/>
      </c>
      <c r="P16">
        <f>IF(AND($E16&lt;=DATE(2026,10,19)+6,$F16&gt;=DATE(2026,10,19)),1,"")</f>
        <v/>
      </c>
      <c r="Q16">
        <f>IF(AND($E16&lt;=DATE(2026,10,26)+6,$F16&gt;=DATE(2026,10,26)),1,"")</f>
        <v/>
      </c>
      <c r="R16">
        <f>IF(AND($E16&lt;=DATE(2026,11,2)+6,$F16&gt;=DATE(2026,11,2)),1,"")</f>
        <v/>
      </c>
      <c r="S16">
        <f>IF(AND($E16&lt;=DATE(2026,11,9)+6,$F16&gt;=DATE(2026,11,9)),1,"")</f>
        <v/>
      </c>
      <c r="T16">
        <f>IF(AND($E16&lt;=DATE(2026,11,16)+6,$F16&gt;=DATE(2026,11,16)),1,"")</f>
        <v/>
      </c>
      <c r="U16">
        <f>IF(AND($E16&lt;=DATE(2026,11,23)+6,$F16&gt;=DATE(2026,11,23)),1,"")</f>
        <v/>
      </c>
      <c r="V16">
        <f>IF(AND($E16&lt;=DATE(2026,11,30)+6,$F16&gt;=DATE(2026,11,30)),1,"")</f>
        <v/>
      </c>
      <c r="W16">
        <f>IF(AND($E16&lt;=DATE(2026,12,7)+6,$F16&gt;=DATE(2026,12,7)),1,"")</f>
        <v/>
      </c>
      <c r="X16">
        <f>IF(AND($E16&lt;=DATE(2026,12,14)+6,$F16&gt;=DATE(2026,12,14)),1,"")</f>
        <v/>
      </c>
      <c r="Y16">
        <f>IF(AND($E16&lt;=DATE(2026,12,21)+6,$F16&gt;=DATE(2026,12,21)),1,"")</f>
        <v/>
      </c>
      <c r="Z16">
        <f>IF(AND($E16&lt;=DATE(2026,12,28)+6,$F16&gt;=DATE(2026,12,28)),1,"")</f>
        <v/>
      </c>
      <c r="AA16">
        <f>IF(AND($E16&lt;=DATE(2027,1,4)+6,$F16&gt;=DATE(2027,1,4)),1,"")</f>
        <v/>
      </c>
      <c r="AB16">
        <f>IF(AND($E16&lt;=DATE(2027,1,11)+6,$F16&gt;=DATE(2027,1,11)),1,"")</f>
        <v/>
      </c>
      <c r="AC16">
        <f>IF(AND($E16&lt;=DATE(2027,1,18)+6,$F16&gt;=DATE(2027,1,18)),1,"")</f>
        <v/>
      </c>
      <c r="AD16">
        <f>IF(AND($E16&lt;=DATE(2027,1,25)+6,$F16&gt;=DATE(2027,1,25)),1,"")</f>
        <v/>
      </c>
      <c r="AE16">
        <f>IF(AND($E16&lt;=DATE(2027,2,1)+6,$F16&gt;=DATE(2027,2,1)),1,"")</f>
        <v/>
      </c>
      <c r="AF16">
        <f>IF(AND($E16&lt;=DATE(2027,2,8)+6,$F16&gt;=DATE(2027,2,8)),1,"")</f>
        <v/>
      </c>
      <c r="AG16">
        <f>IF(AND($E16&lt;=DATE(2027,2,15)+6,$F16&gt;=DATE(2027,2,15)),1,"")</f>
        <v/>
      </c>
      <c r="AH16">
        <f>IF(AND($E16&lt;=DATE(2027,2,22)+6,$F16&gt;=DATE(2027,2,22)),1,"")</f>
        <v/>
      </c>
      <c r="AI16">
        <f>IF(AND($E16&lt;=DATE(2027,3,1)+6,$F16&gt;=DATE(2027,3,1)),1,"")</f>
        <v/>
      </c>
      <c r="AJ16">
        <f>IF(AND($E16&lt;=DATE(2027,3,8)+6,$F16&gt;=DATE(2027,3,8)),1,"")</f>
        <v/>
      </c>
      <c r="AK16">
        <f>IF(AND($E16&lt;=DATE(2027,3,15)+6,$F16&gt;=DATE(2027,3,15)),1,"")</f>
        <v/>
      </c>
      <c r="AL16">
        <f>IF(AND($E16&lt;=DATE(2027,3,22)+6,$F16&gt;=DATE(2027,3,22)),1,"")</f>
        <v/>
      </c>
      <c r="AM16">
        <f>IF(AND($E16&lt;=DATE(2027,3,29)+6,$F16&gt;=DATE(2027,3,29)),1,"")</f>
        <v/>
      </c>
      <c r="AN16">
        <f>IF(AND($E16&lt;=DATE(2027,4,5)+6,$F16&gt;=DATE(2027,4,5)),1,"")</f>
        <v/>
      </c>
      <c r="AO16">
        <f>IF(AND($E16&lt;=DATE(2027,4,12)+6,$F16&gt;=DATE(2027,4,12)),1,"")</f>
        <v/>
      </c>
      <c r="AP16">
        <f>IF(AND($E16&lt;=DATE(2027,4,19)+6,$F16&gt;=DATE(2027,4,19)),1,"")</f>
        <v/>
      </c>
      <c r="AQ16">
        <f>IF(AND($E16&lt;=DATE(2027,4,26)+6,$F16&gt;=DATE(2027,4,26)),1,"")</f>
        <v/>
      </c>
      <c r="AR16">
        <f>IF(AND($E16&lt;=DATE(2027,5,3)+6,$F16&gt;=DATE(2027,5,3)),1,"")</f>
        <v/>
      </c>
      <c r="AS16">
        <f>IF(AND($E16&lt;=DATE(2027,5,10)+6,$F16&gt;=DATE(2027,5,10)),1,"")</f>
        <v/>
      </c>
      <c r="AT16">
        <f>IF(AND($E16&lt;=DATE(2027,5,17)+6,$F16&gt;=DATE(2027,5,17)),1,"")</f>
        <v/>
      </c>
      <c r="AU16">
        <f>IF(AND($E16&lt;=DATE(2027,5,24)+6,$F16&gt;=DATE(2027,5,24)),1,"")</f>
        <v/>
      </c>
      <c r="AV16">
        <f>IF(AND($E16&lt;=DATE(2027,5,31)+6,$F16&gt;=DATE(2027,5,31)),1,"")</f>
        <v/>
      </c>
      <c r="AW16">
        <f>IF(AND($E16&lt;=DATE(2027,6,7)+6,$F16&gt;=DATE(2027,6,7)),1,"")</f>
        <v/>
      </c>
      <c r="AX16">
        <f>IF(AND($E16&lt;=DATE(2027,6,14)+6,$F16&gt;=DATE(2027,6,14)),1,"")</f>
        <v/>
      </c>
      <c r="AY16">
        <f>IF(AND($E16&lt;=DATE(2027,6,21)+6,$F16&gt;=DATE(2027,6,21)),1,"")</f>
        <v/>
      </c>
      <c r="AZ16">
        <f>IF(AND($E16&lt;=DATE(2027,6,28)+6,$F16&gt;=DATE(2027,6,28)),1,"")</f>
        <v/>
      </c>
      <c r="BA16">
        <f>IF(AND($E16&lt;=DATE(2027,7,5)+6,$F16&gt;=DATE(2027,7,5)),1,"")</f>
        <v/>
      </c>
      <c r="BB16">
        <f>IF(AND($E16&lt;=DATE(2027,7,12)+6,$F16&gt;=DATE(2027,7,12)),1,"")</f>
        <v/>
      </c>
      <c r="BC16">
        <f>IF(AND($E16&lt;=DATE(2027,7,19)+6,$F16&gt;=DATE(2027,7,19)),1,"")</f>
        <v/>
      </c>
      <c r="BD16">
        <f>IF(AND($E16&lt;=DATE(2027,7,26)+6,$F16&gt;=DATE(2027,7,26)),1,"")</f>
        <v/>
      </c>
      <c r="BE16">
        <f>IF(AND($E16&lt;=DATE(2027,8,2)+6,$F16&gt;=DATE(2027,8,2)),1,"")</f>
        <v/>
      </c>
      <c r="BF16">
        <f>IF(AND($E16&lt;=DATE(2027,8,9)+6,$F16&gt;=DATE(2027,8,9)),1,"")</f>
        <v/>
      </c>
      <c r="BG16">
        <f>IF(AND($E16&lt;=DATE(2027,8,16)+6,$F16&gt;=DATE(2027,8,16)),1,"")</f>
        <v/>
      </c>
      <c r="BH16">
        <f>IF(AND($E16&lt;=DATE(2027,8,23)+6,$F16&gt;=DATE(2027,8,23)),1,"")</f>
        <v/>
      </c>
      <c r="BI16">
        <f>IF(AND($E16&lt;=DATE(2027,8,30)+6,$F16&gt;=DATE(2027,8,30)),1,"")</f>
        <v/>
      </c>
      <c r="BJ16">
        <f>IF(AND($E16&lt;=DATE(2027,9,6)+6,$F16&gt;=DATE(2027,9,6)),1,"")</f>
        <v/>
      </c>
      <c r="BK16">
        <f>IF(AND($E16&lt;=DATE(2027,9,13)+6,$F16&gt;=DATE(2027,9,13)),1,"")</f>
        <v/>
      </c>
      <c r="BL16">
        <f>IF(AND($E16&lt;=DATE(2027,9,20)+6,$F16&gt;=DATE(2027,9,20)),1,"")</f>
        <v/>
      </c>
      <c r="BM16">
        <f>IF(AND($E16&lt;=DATE(2027,9,27)+6,$F16&gt;=DATE(2027,9,27)),1,"")</f>
        <v/>
      </c>
    </row>
    <row r="17">
      <c r="A17" t="inlineStr">
        <is>
          <t>3.4</t>
        </is>
      </c>
      <c r="B17" t="inlineStr">
        <is>
          <t>Pricing &amp; gift tiers finalised</t>
        </is>
      </c>
      <c r="C17" t="inlineStr">
        <is>
          <t>Mukunda Dasa</t>
        </is>
      </c>
      <c r="D17" t="inlineStr">
        <is>
          <t>Phase 0</t>
        </is>
      </c>
      <c r="E17" s="9" t="n">
        <v>46301</v>
      </c>
      <c r="F17" s="9" t="n">
        <v>46304</v>
      </c>
      <c r="G17">
        <f>F17-E17+1</f>
        <v/>
      </c>
      <c r="H17" t="inlineStr">
        <is>
          <t>3.3</t>
        </is>
      </c>
      <c r="I17" t="inlineStr">
        <is>
          <t>Price list</t>
        </is>
      </c>
      <c r="J17" t="inlineStr">
        <is>
          <t>Not started</t>
        </is>
      </c>
      <c r="K17" s="10" t="n">
        <v>0</v>
      </c>
      <c r="L17">
        <f>IF(AND($E17&lt;=DATE(2026,9,21)+6,$F17&gt;=DATE(2026,9,21)),1,"")</f>
        <v/>
      </c>
      <c r="M17">
        <f>IF(AND($E17&lt;=DATE(2026,9,28)+6,$F17&gt;=DATE(2026,9,28)),1,"")</f>
        <v/>
      </c>
      <c r="N17">
        <f>IF(AND($E17&lt;=DATE(2026,10,5)+6,$F17&gt;=DATE(2026,10,5)),1,"")</f>
        <v/>
      </c>
      <c r="O17">
        <f>IF(AND($E17&lt;=DATE(2026,10,12)+6,$F17&gt;=DATE(2026,10,12)),1,"")</f>
        <v/>
      </c>
      <c r="P17">
        <f>IF(AND($E17&lt;=DATE(2026,10,19)+6,$F17&gt;=DATE(2026,10,19)),1,"")</f>
        <v/>
      </c>
      <c r="Q17">
        <f>IF(AND($E17&lt;=DATE(2026,10,26)+6,$F17&gt;=DATE(2026,10,26)),1,"")</f>
        <v/>
      </c>
      <c r="R17">
        <f>IF(AND($E17&lt;=DATE(2026,11,2)+6,$F17&gt;=DATE(2026,11,2)),1,"")</f>
        <v/>
      </c>
      <c r="S17">
        <f>IF(AND($E17&lt;=DATE(2026,11,9)+6,$F17&gt;=DATE(2026,11,9)),1,"")</f>
        <v/>
      </c>
      <c r="T17">
        <f>IF(AND($E17&lt;=DATE(2026,11,16)+6,$F17&gt;=DATE(2026,11,16)),1,"")</f>
        <v/>
      </c>
      <c r="U17">
        <f>IF(AND($E17&lt;=DATE(2026,11,23)+6,$F17&gt;=DATE(2026,11,23)),1,"")</f>
        <v/>
      </c>
      <c r="V17">
        <f>IF(AND($E17&lt;=DATE(2026,11,30)+6,$F17&gt;=DATE(2026,11,30)),1,"")</f>
        <v/>
      </c>
      <c r="W17">
        <f>IF(AND($E17&lt;=DATE(2026,12,7)+6,$F17&gt;=DATE(2026,12,7)),1,"")</f>
        <v/>
      </c>
      <c r="X17">
        <f>IF(AND($E17&lt;=DATE(2026,12,14)+6,$F17&gt;=DATE(2026,12,14)),1,"")</f>
        <v/>
      </c>
      <c r="Y17">
        <f>IF(AND($E17&lt;=DATE(2026,12,21)+6,$F17&gt;=DATE(2026,12,21)),1,"")</f>
        <v/>
      </c>
      <c r="Z17">
        <f>IF(AND($E17&lt;=DATE(2026,12,28)+6,$F17&gt;=DATE(2026,12,28)),1,"")</f>
        <v/>
      </c>
      <c r="AA17">
        <f>IF(AND($E17&lt;=DATE(2027,1,4)+6,$F17&gt;=DATE(2027,1,4)),1,"")</f>
        <v/>
      </c>
      <c r="AB17">
        <f>IF(AND($E17&lt;=DATE(2027,1,11)+6,$F17&gt;=DATE(2027,1,11)),1,"")</f>
        <v/>
      </c>
      <c r="AC17">
        <f>IF(AND($E17&lt;=DATE(2027,1,18)+6,$F17&gt;=DATE(2027,1,18)),1,"")</f>
        <v/>
      </c>
      <c r="AD17">
        <f>IF(AND($E17&lt;=DATE(2027,1,25)+6,$F17&gt;=DATE(2027,1,25)),1,"")</f>
        <v/>
      </c>
      <c r="AE17">
        <f>IF(AND($E17&lt;=DATE(2027,2,1)+6,$F17&gt;=DATE(2027,2,1)),1,"")</f>
        <v/>
      </c>
      <c r="AF17">
        <f>IF(AND($E17&lt;=DATE(2027,2,8)+6,$F17&gt;=DATE(2027,2,8)),1,"")</f>
        <v/>
      </c>
      <c r="AG17">
        <f>IF(AND($E17&lt;=DATE(2027,2,15)+6,$F17&gt;=DATE(2027,2,15)),1,"")</f>
        <v/>
      </c>
      <c r="AH17">
        <f>IF(AND($E17&lt;=DATE(2027,2,22)+6,$F17&gt;=DATE(2027,2,22)),1,"")</f>
        <v/>
      </c>
      <c r="AI17">
        <f>IF(AND($E17&lt;=DATE(2027,3,1)+6,$F17&gt;=DATE(2027,3,1)),1,"")</f>
        <v/>
      </c>
      <c r="AJ17">
        <f>IF(AND($E17&lt;=DATE(2027,3,8)+6,$F17&gt;=DATE(2027,3,8)),1,"")</f>
        <v/>
      </c>
      <c r="AK17">
        <f>IF(AND($E17&lt;=DATE(2027,3,15)+6,$F17&gt;=DATE(2027,3,15)),1,"")</f>
        <v/>
      </c>
      <c r="AL17">
        <f>IF(AND($E17&lt;=DATE(2027,3,22)+6,$F17&gt;=DATE(2027,3,22)),1,"")</f>
        <v/>
      </c>
      <c r="AM17">
        <f>IF(AND($E17&lt;=DATE(2027,3,29)+6,$F17&gt;=DATE(2027,3,29)),1,"")</f>
        <v/>
      </c>
      <c r="AN17">
        <f>IF(AND($E17&lt;=DATE(2027,4,5)+6,$F17&gt;=DATE(2027,4,5)),1,"")</f>
        <v/>
      </c>
      <c r="AO17">
        <f>IF(AND($E17&lt;=DATE(2027,4,12)+6,$F17&gt;=DATE(2027,4,12)),1,"")</f>
        <v/>
      </c>
      <c r="AP17">
        <f>IF(AND($E17&lt;=DATE(2027,4,19)+6,$F17&gt;=DATE(2027,4,19)),1,"")</f>
        <v/>
      </c>
      <c r="AQ17">
        <f>IF(AND($E17&lt;=DATE(2027,4,26)+6,$F17&gt;=DATE(2027,4,26)),1,"")</f>
        <v/>
      </c>
      <c r="AR17">
        <f>IF(AND($E17&lt;=DATE(2027,5,3)+6,$F17&gt;=DATE(2027,5,3)),1,"")</f>
        <v/>
      </c>
      <c r="AS17">
        <f>IF(AND($E17&lt;=DATE(2027,5,10)+6,$F17&gt;=DATE(2027,5,10)),1,"")</f>
        <v/>
      </c>
      <c r="AT17">
        <f>IF(AND($E17&lt;=DATE(2027,5,17)+6,$F17&gt;=DATE(2027,5,17)),1,"")</f>
        <v/>
      </c>
      <c r="AU17">
        <f>IF(AND($E17&lt;=DATE(2027,5,24)+6,$F17&gt;=DATE(2027,5,24)),1,"")</f>
        <v/>
      </c>
      <c r="AV17">
        <f>IF(AND($E17&lt;=DATE(2027,5,31)+6,$F17&gt;=DATE(2027,5,31)),1,"")</f>
        <v/>
      </c>
      <c r="AW17">
        <f>IF(AND($E17&lt;=DATE(2027,6,7)+6,$F17&gt;=DATE(2027,6,7)),1,"")</f>
        <v/>
      </c>
      <c r="AX17">
        <f>IF(AND($E17&lt;=DATE(2027,6,14)+6,$F17&gt;=DATE(2027,6,14)),1,"")</f>
        <v/>
      </c>
      <c r="AY17">
        <f>IF(AND($E17&lt;=DATE(2027,6,21)+6,$F17&gt;=DATE(2027,6,21)),1,"")</f>
        <v/>
      </c>
      <c r="AZ17">
        <f>IF(AND($E17&lt;=DATE(2027,6,28)+6,$F17&gt;=DATE(2027,6,28)),1,"")</f>
        <v/>
      </c>
      <c r="BA17">
        <f>IF(AND($E17&lt;=DATE(2027,7,5)+6,$F17&gt;=DATE(2027,7,5)),1,"")</f>
        <v/>
      </c>
      <c r="BB17">
        <f>IF(AND($E17&lt;=DATE(2027,7,12)+6,$F17&gt;=DATE(2027,7,12)),1,"")</f>
        <v/>
      </c>
      <c r="BC17">
        <f>IF(AND($E17&lt;=DATE(2027,7,19)+6,$F17&gt;=DATE(2027,7,19)),1,"")</f>
        <v/>
      </c>
      <c r="BD17">
        <f>IF(AND($E17&lt;=DATE(2027,7,26)+6,$F17&gt;=DATE(2027,7,26)),1,"")</f>
        <v/>
      </c>
      <c r="BE17">
        <f>IF(AND($E17&lt;=DATE(2027,8,2)+6,$F17&gt;=DATE(2027,8,2)),1,"")</f>
        <v/>
      </c>
      <c r="BF17">
        <f>IF(AND($E17&lt;=DATE(2027,8,9)+6,$F17&gt;=DATE(2027,8,9)),1,"")</f>
        <v/>
      </c>
      <c r="BG17">
        <f>IF(AND($E17&lt;=DATE(2027,8,16)+6,$F17&gt;=DATE(2027,8,16)),1,"")</f>
        <v/>
      </c>
      <c r="BH17">
        <f>IF(AND($E17&lt;=DATE(2027,8,23)+6,$F17&gt;=DATE(2027,8,23)),1,"")</f>
        <v/>
      </c>
      <c r="BI17">
        <f>IF(AND($E17&lt;=DATE(2027,8,30)+6,$F17&gt;=DATE(2027,8,30)),1,"")</f>
        <v/>
      </c>
      <c r="BJ17">
        <f>IF(AND($E17&lt;=DATE(2027,9,6)+6,$F17&gt;=DATE(2027,9,6)),1,"")</f>
        <v/>
      </c>
      <c r="BK17">
        <f>IF(AND($E17&lt;=DATE(2027,9,13)+6,$F17&gt;=DATE(2027,9,13)),1,"")</f>
        <v/>
      </c>
      <c r="BL17">
        <f>IF(AND($E17&lt;=DATE(2027,9,20)+6,$F17&gt;=DATE(2027,9,20)),1,"")</f>
        <v/>
      </c>
      <c r="BM17">
        <f>IF(AND($E17&lt;=DATE(2027,9,27)+6,$F17&gt;=DATE(2027,9,27)),1,"")</f>
        <v/>
      </c>
    </row>
    <row r="18">
      <c r="A18" t="inlineStr">
        <is>
          <t>3.5</t>
        </is>
      </c>
      <c r="B18" t="inlineStr">
        <is>
          <t>Packaging, stickers, catalogue, menu design</t>
        </is>
      </c>
      <c r="C18" t="inlineStr">
        <is>
          <t>DMTT designer</t>
        </is>
      </c>
      <c r="D18" t="inlineStr">
        <is>
          <t>Phase 0</t>
        </is>
      </c>
      <c r="E18" s="9" t="n">
        <v>46295</v>
      </c>
      <c r="F18" s="9" t="n">
        <v>46305</v>
      </c>
      <c r="G18">
        <f>F18-E18+1</f>
        <v/>
      </c>
      <c r="H18" t="inlineStr"/>
      <c r="I18" t="inlineStr">
        <is>
          <t>Sales kit</t>
        </is>
      </c>
      <c r="J18" t="inlineStr">
        <is>
          <t>Not started</t>
        </is>
      </c>
      <c r="K18" s="10" t="n">
        <v>0</v>
      </c>
      <c r="L18">
        <f>IF(AND($E18&lt;=DATE(2026,9,21)+6,$F18&gt;=DATE(2026,9,21)),1,"")</f>
        <v/>
      </c>
      <c r="M18">
        <f>IF(AND($E18&lt;=DATE(2026,9,28)+6,$F18&gt;=DATE(2026,9,28)),1,"")</f>
        <v/>
      </c>
      <c r="N18">
        <f>IF(AND($E18&lt;=DATE(2026,10,5)+6,$F18&gt;=DATE(2026,10,5)),1,"")</f>
        <v/>
      </c>
      <c r="O18">
        <f>IF(AND($E18&lt;=DATE(2026,10,12)+6,$F18&gt;=DATE(2026,10,12)),1,"")</f>
        <v/>
      </c>
      <c r="P18">
        <f>IF(AND($E18&lt;=DATE(2026,10,19)+6,$F18&gt;=DATE(2026,10,19)),1,"")</f>
        <v/>
      </c>
      <c r="Q18">
        <f>IF(AND($E18&lt;=DATE(2026,10,26)+6,$F18&gt;=DATE(2026,10,26)),1,"")</f>
        <v/>
      </c>
      <c r="R18">
        <f>IF(AND($E18&lt;=DATE(2026,11,2)+6,$F18&gt;=DATE(2026,11,2)),1,"")</f>
        <v/>
      </c>
      <c r="S18">
        <f>IF(AND($E18&lt;=DATE(2026,11,9)+6,$F18&gt;=DATE(2026,11,9)),1,"")</f>
        <v/>
      </c>
      <c r="T18">
        <f>IF(AND($E18&lt;=DATE(2026,11,16)+6,$F18&gt;=DATE(2026,11,16)),1,"")</f>
        <v/>
      </c>
      <c r="U18">
        <f>IF(AND($E18&lt;=DATE(2026,11,23)+6,$F18&gt;=DATE(2026,11,23)),1,"")</f>
        <v/>
      </c>
      <c r="V18">
        <f>IF(AND($E18&lt;=DATE(2026,11,30)+6,$F18&gt;=DATE(2026,11,30)),1,"")</f>
        <v/>
      </c>
      <c r="W18">
        <f>IF(AND($E18&lt;=DATE(2026,12,7)+6,$F18&gt;=DATE(2026,12,7)),1,"")</f>
        <v/>
      </c>
      <c r="X18">
        <f>IF(AND($E18&lt;=DATE(2026,12,14)+6,$F18&gt;=DATE(2026,12,14)),1,"")</f>
        <v/>
      </c>
      <c r="Y18">
        <f>IF(AND($E18&lt;=DATE(2026,12,21)+6,$F18&gt;=DATE(2026,12,21)),1,"")</f>
        <v/>
      </c>
      <c r="Z18">
        <f>IF(AND($E18&lt;=DATE(2026,12,28)+6,$F18&gt;=DATE(2026,12,28)),1,"")</f>
        <v/>
      </c>
      <c r="AA18">
        <f>IF(AND($E18&lt;=DATE(2027,1,4)+6,$F18&gt;=DATE(2027,1,4)),1,"")</f>
        <v/>
      </c>
      <c r="AB18">
        <f>IF(AND($E18&lt;=DATE(2027,1,11)+6,$F18&gt;=DATE(2027,1,11)),1,"")</f>
        <v/>
      </c>
      <c r="AC18">
        <f>IF(AND($E18&lt;=DATE(2027,1,18)+6,$F18&gt;=DATE(2027,1,18)),1,"")</f>
        <v/>
      </c>
      <c r="AD18">
        <f>IF(AND($E18&lt;=DATE(2027,1,25)+6,$F18&gt;=DATE(2027,1,25)),1,"")</f>
        <v/>
      </c>
      <c r="AE18">
        <f>IF(AND($E18&lt;=DATE(2027,2,1)+6,$F18&gt;=DATE(2027,2,1)),1,"")</f>
        <v/>
      </c>
      <c r="AF18">
        <f>IF(AND($E18&lt;=DATE(2027,2,8)+6,$F18&gt;=DATE(2027,2,8)),1,"")</f>
        <v/>
      </c>
      <c r="AG18">
        <f>IF(AND($E18&lt;=DATE(2027,2,15)+6,$F18&gt;=DATE(2027,2,15)),1,"")</f>
        <v/>
      </c>
      <c r="AH18">
        <f>IF(AND($E18&lt;=DATE(2027,2,22)+6,$F18&gt;=DATE(2027,2,22)),1,"")</f>
        <v/>
      </c>
      <c r="AI18">
        <f>IF(AND($E18&lt;=DATE(2027,3,1)+6,$F18&gt;=DATE(2027,3,1)),1,"")</f>
        <v/>
      </c>
      <c r="AJ18">
        <f>IF(AND($E18&lt;=DATE(2027,3,8)+6,$F18&gt;=DATE(2027,3,8)),1,"")</f>
        <v/>
      </c>
      <c r="AK18">
        <f>IF(AND($E18&lt;=DATE(2027,3,15)+6,$F18&gt;=DATE(2027,3,15)),1,"")</f>
        <v/>
      </c>
      <c r="AL18">
        <f>IF(AND($E18&lt;=DATE(2027,3,22)+6,$F18&gt;=DATE(2027,3,22)),1,"")</f>
        <v/>
      </c>
      <c r="AM18">
        <f>IF(AND($E18&lt;=DATE(2027,3,29)+6,$F18&gt;=DATE(2027,3,29)),1,"")</f>
        <v/>
      </c>
      <c r="AN18">
        <f>IF(AND($E18&lt;=DATE(2027,4,5)+6,$F18&gt;=DATE(2027,4,5)),1,"")</f>
        <v/>
      </c>
      <c r="AO18">
        <f>IF(AND($E18&lt;=DATE(2027,4,12)+6,$F18&gt;=DATE(2027,4,12)),1,"")</f>
        <v/>
      </c>
      <c r="AP18">
        <f>IF(AND($E18&lt;=DATE(2027,4,19)+6,$F18&gt;=DATE(2027,4,19)),1,"")</f>
        <v/>
      </c>
      <c r="AQ18">
        <f>IF(AND($E18&lt;=DATE(2027,4,26)+6,$F18&gt;=DATE(2027,4,26)),1,"")</f>
        <v/>
      </c>
      <c r="AR18">
        <f>IF(AND($E18&lt;=DATE(2027,5,3)+6,$F18&gt;=DATE(2027,5,3)),1,"")</f>
        <v/>
      </c>
      <c r="AS18">
        <f>IF(AND($E18&lt;=DATE(2027,5,10)+6,$F18&gt;=DATE(2027,5,10)),1,"")</f>
        <v/>
      </c>
      <c r="AT18">
        <f>IF(AND($E18&lt;=DATE(2027,5,17)+6,$F18&gt;=DATE(2027,5,17)),1,"")</f>
        <v/>
      </c>
      <c r="AU18">
        <f>IF(AND($E18&lt;=DATE(2027,5,24)+6,$F18&gt;=DATE(2027,5,24)),1,"")</f>
        <v/>
      </c>
      <c r="AV18">
        <f>IF(AND($E18&lt;=DATE(2027,5,31)+6,$F18&gt;=DATE(2027,5,31)),1,"")</f>
        <v/>
      </c>
      <c r="AW18">
        <f>IF(AND($E18&lt;=DATE(2027,6,7)+6,$F18&gt;=DATE(2027,6,7)),1,"")</f>
        <v/>
      </c>
      <c r="AX18">
        <f>IF(AND($E18&lt;=DATE(2027,6,14)+6,$F18&gt;=DATE(2027,6,14)),1,"")</f>
        <v/>
      </c>
      <c r="AY18">
        <f>IF(AND($E18&lt;=DATE(2027,6,21)+6,$F18&gt;=DATE(2027,6,21)),1,"")</f>
        <v/>
      </c>
      <c r="AZ18">
        <f>IF(AND($E18&lt;=DATE(2027,6,28)+6,$F18&gt;=DATE(2027,6,28)),1,"")</f>
        <v/>
      </c>
      <c r="BA18">
        <f>IF(AND($E18&lt;=DATE(2027,7,5)+6,$F18&gt;=DATE(2027,7,5)),1,"")</f>
        <v/>
      </c>
      <c r="BB18">
        <f>IF(AND($E18&lt;=DATE(2027,7,12)+6,$F18&gt;=DATE(2027,7,12)),1,"")</f>
        <v/>
      </c>
      <c r="BC18">
        <f>IF(AND($E18&lt;=DATE(2027,7,19)+6,$F18&gt;=DATE(2027,7,19)),1,"")</f>
        <v/>
      </c>
      <c r="BD18">
        <f>IF(AND($E18&lt;=DATE(2027,7,26)+6,$F18&gt;=DATE(2027,7,26)),1,"")</f>
        <v/>
      </c>
      <c r="BE18">
        <f>IF(AND($E18&lt;=DATE(2027,8,2)+6,$F18&gt;=DATE(2027,8,2)),1,"")</f>
        <v/>
      </c>
      <c r="BF18">
        <f>IF(AND($E18&lt;=DATE(2027,8,9)+6,$F18&gt;=DATE(2027,8,9)),1,"")</f>
        <v/>
      </c>
      <c r="BG18">
        <f>IF(AND($E18&lt;=DATE(2027,8,16)+6,$F18&gt;=DATE(2027,8,16)),1,"")</f>
        <v/>
      </c>
      <c r="BH18">
        <f>IF(AND($E18&lt;=DATE(2027,8,23)+6,$F18&gt;=DATE(2027,8,23)),1,"")</f>
        <v/>
      </c>
      <c r="BI18">
        <f>IF(AND($E18&lt;=DATE(2027,8,30)+6,$F18&gt;=DATE(2027,8,30)),1,"")</f>
        <v/>
      </c>
      <c r="BJ18">
        <f>IF(AND($E18&lt;=DATE(2027,9,6)+6,$F18&gt;=DATE(2027,9,6)),1,"")</f>
        <v/>
      </c>
      <c r="BK18">
        <f>IF(AND($E18&lt;=DATE(2027,9,13)+6,$F18&gt;=DATE(2027,9,13)),1,"")</f>
        <v/>
      </c>
      <c r="BL18">
        <f>IF(AND($E18&lt;=DATE(2027,9,20)+6,$F18&gt;=DATE(2027,9,20)),1,"")</f>
        <v/>
      </c>
      <c r="BM18">
        <f>IF(AND($E18&lt;=DATE(2027,9,27)+6,$F18&gt;=DATE(2027,9,27)),1,"")</f>
        <v/>
      </c>
    </row>
    <row r="19">
      <c r="A19" t="inlineStr">
        <is>
          <t>3.6</t>
        </is>
      </c>
      <c r="B19" t="inlineStr">
        <is>
          <t>Sample gift boxes assembled for pitching</t>
        </is>
      </c>
      <c r="C19" t="inlineStr">
        <is>
          <t>Production lead</t>
        </is>
      </c>
      <c r="D19" t="inlineStr">
        <is>
          <t>Phase 0</t>
        </is>
      </c>
      <c r="E19" s="9" t="n">
        <v>46303</v>
      </c>
      <c r="F19" s="9" t="n">
        <v>46307</v>
      </c>
      <c r="G19">
        <f>F19-E19+1</f>
        <v/>
      </c>
      <c r="H19" t="inlineStr">
        <is>
          <t>3.3,3.5</t>
        </is>
      </c>
      <c r="I19" t="inlineStr">
        <is>
          <t>10 sample boxes</t>
        </is>
      </c>
      <c r="J19" t="inlineStr">
        <is>
          <t>Not started</t>
        </is>
      </c>
      <c r="K19" s="10" t="n">
        <v>0</v>
      </c>
      <c r="L19">
        <f>IF(AND($E19&lt;=DATE(2026,9,21)+6,$F19&gt;=DATE(2026,9,21)),1,"")</f>
        <v/>
      </c>
      <c r="M19">
        <f>IF(AND($E19&lt;=DATE(2026,9,28)+6,$F19&gt;=DATE(2026,9,28)),1,"")</f>
        <v/>
      </c>
      <c r="N19">
        <f>IF(AND($E19&lt;=DATE(2026,10,5)+6,$F19&gt;=DATE(2026,10,5)),1,"")</f>
        <v/>
      </c>
      <c r="O19">
        <f>IF(AND($E19&lt;=DATE(2026,10,12)+6,$F19&gt;=DATE(2026,10,12)),1,"")</f>
        <v/>
      </c>
      <c r="P19">
        <f>IF(AND($E19&lt;=DATE(2026,10,19)+6,$F19&gt;=DATE(2026,10,19)),1,"")</f>
        <v/>
      </c>
      <c r="Q19">
        <f>IF(AND($E19&lt;=DATE(2026,10,26)+6,$F19&gt;=DATE(2026,10,26)),1,"")</f>
        <v/>
      </c>
      <c r="R19">
        <f>IF(AND($E19&lt;=DATE(2026,11,2)+6,$F19&gt;=DATE(2026,11,2)),1,"")</f>
        <v/>
      </c>
      <c r="S19">
        <f>IF(AND($E19&lt;=DATE(2026,11,9)+6,$F19&gt;=DATE(2026,11,9)),1,"")</f>
        <v/>
      </c>
      <c r="T19">
        <f>IF(AND($E19&lt;=DATE(2026,11,16)+6,$F19&gt;=DATE(2026,11,16)),1,"")</f>
        <v/>
      </c>
      <c r="U19">
        <f>IF(AND($E19&lt;=DATE(2026,11,23)+6,$F19&gt;=DATE(2026,11,23)),1,"")</f>
        <v/>
      </c>
      <c r="V19">
        <f>IF(AND($E19&lt;=DATE(2026,11,30)+6,$F19&gt;=DATE(2026,11,30)),1,"")</f>
        <v/>
      </c>
      <c r="W19">
        <f>IF(AND($E19&lt;=DATE(2026,12,7)+6,$F19&gt;=DATE(2026,12,7)),1,"")</f>
        <v/>
      </c>
      <c r="X19">
        <f>IF(AND($E19&lt;=DATE(2026,12,14)+6,$F19&gt;=DATE(2026,12,14)),1,"")</f>
        <v/>
      </c>
      <c r="Y19">
        <f>IF(AND($E19&lt;=DATE(2026,12,21)+6,$F19&gt;=DATE(2026,12,21)),1,"")</f>
        <v/>
      </c>
      <c r="Z19">
        <f>IF(AND($E19&lt;=DATE(2026,12,28)+6,$F19&gt;=DATE(2026,12,28)),1,"")</f>
        <v/>
      </c>
      <c r="AA19">
        <f>IF(AND($E19&lt;=DATE(2027,1,4)+6,$F19&gt;=DATE(2027,1,4)),1,"")</f>
        <v/>
      </c>
      <c r="AB19">
        <f>IF(AND($E19&lt;=DATE(2027,1,11)+6,$F19&gt;=DATE(2027,1,11)),1,"")</f>
        <v/>
      </c>
      <c r="AC19">
        <f>IF(AND($E19&lt;=DATE(2027,1,18)+6,$F19&gt;=DATE(2027,1,18)),1,"")</f>
        <v/>
      </c>
      <c r="AD19">
        <f>IF(AND($E19&lt;=DATE(2027,1,25)+6,$F19&gt;=DATE(2027,1,25)),1,"")</f>
        <v/>
      </c>
      <c r="AE19">
        <f>IF(AND($E19&lt;=DATE(2027,2,1)+6,$F19&gt;=DATE(2027,2,1)),1,"")</f>
        <v/>
      </c>
      <c r="AF19">
        <f>IF(AND($E19&lt;=DATE(2027,2,8)+6,$F19&gt;=DATE(2027,2,8)),1,"")</f>
        <v/>
      </c>
      <c r="AG19">
        <f>IF(AND($E19&lt;=DATE(2027,2,15)+6,$F19&gt;=DATE(2027,2,15)),1,"")</f>
        <v/>
      </c>
      <c r="AH19">
        <f>IF(AND($E19&lt;=DATE(2027,2,22)+6,$F19&gt;=DATE(2027,2,22)),1,"")</f>
        <v/>
      </c>
      <c r="AI19">
        <f>IF(AND($E19&lt;=DATE(2027,3,1)+6,$F19&gt;=DATE(2027,3,1)),1,"")</f>
        <v/>
      </c>
      <c r="AJ19">
        <f>IF(AND($E19&lt;=DATE(2027,3,8)+6,$F19&gt;=DATE(2027,3,8)),1,"")</f>
        <v/>
      </c>
      <c r="AK19">
        <f>IF(AND($E19&lt;=DATE(2027,3,15)+6,$F19&gt;=DATE(2027,3,15)),1,"")</f>
        <v/>
      </c>
      <c r="AL19">
        <f>IF(AND($E19&lt;=DATE(2027,3,22)+6,$F19&gt;=DATE(2027,3,22)),1,"")</f>
        <v/>
      </c>
      <c r="AM19">
        <f>IF(AND($E19&lt;=DATE(2027,3,29)+6,$F19&gt;=DATE(2027,3,29)),1,"")</f>
        <v/>
      </c>
      <c r="AN19">
        <f>IF(AND($E19&lt;=DATE(2027,4,5)+6,$F19&gt;=DATE(2027,4,5)),1,"")</f>
        <v/>
      </c>
      <c r="AO19">
        <f>IF(AND($E19&lt;=DATE(2027,4,12)+6,$F19&gt;=DATE(2027,4,12)),1,"")</f>
        <v/>
      </c>
      <c r="AP19">
        <f>IF(AND($E19&lt;=DATE(2027,4,19)+6,$F19&gt;=DATE(2027,4,19)),1,"")</f>
        <v/>
      </c>
      <c r="AQ19">
        <f>IF(AND($E19&lt;=DATE(2027,4,26)+6,$F19&gt;=DATE(2027,4,26)),1,"")</f>
        <v/>
      </c>
      <c r="AR19">
        <f>IF(AND($E19&lt;=DATE(2027,5,3)+6,$F19&gt;=DATE(2027,5,3)),1,"")</f>
        <v/>
      </c>
      <c r="AS19">
        <f>IF(AND($E19&lt;=DATE(2027,5,10)+6,$F19&gt;=DATE(2027,5,10)),1,"")</f>
        <v/>
      </c>
      <c r="AT19">
        <f>IF(AND($E19&lt;=DATE(2027,5,17)+6,$F19&gt;=DATE(2027,5,17)),1,"")</f>
        <v/>
      </c>
      <c r="AU19">
        <f>IF(AND($E19&lt;=DATE(2027,5,24)+6,$F19&gt;=DATE(2027,5,24)),1,"")</f>
        <v/>
      </c>
      <c r="AV19">
        <f>IF(AND($E19&lt;=DATE(2027,5,31)+6,$F19&gt;=DATE(2027,5,31)),1,"")</f>
        <v/>
      </c>
      <c r="AW19">
        <f>IF(AND($E19&lt;=DATE(2027,6,7)+6,$F19&gt;=DATE(2027,6,7)),1,"")</f>
        <v/>
      </c>
      <c r="AX19">
        <f>IF(AND($E19&lt;=DATE(2027,6,14)+6,$F19&gt;=DATE(2027,6,14)),1,"")</f>
        <v/>
      </c>
      <c r="AY19">
        <f>IF(AND($E19&lt;=DATE(2027,6,21)+6,$F19&gt;=DATE(2027,6,21)),1,"")</f>
        <v/>
      </c>
      <c r="AZ19">
        <f>IF(AND($E19&lt;=DATE(2027,6,28)+6,$F19&gt;=DATE(2027,6,28)),1,"")</f>
        <v/>
      </c>
      <c r="BA19">
        <f>IF(AND($E19&lt;=DATE(2027,7,5)+6,$F19&gt;=DATE(2027,7,5)),1,"")</f>
        <v/>
      </c>
      <c r="BB19">
        <f>IF(AND($E19&lt;=DATE(2027,7,12)+6,$F19&gt;=DATE(2027,7,12)),1,"")</f>
        <v/>
      </c>
      <c r="BC19">
        <f>IF(AND($E19&lt;=DATE(2027,7,19)+6,$F19&gt;=DATE(2027,7,19)),1,"")</f>
        <v/>
      </c>
      <c r="BD19">
        <f>IF(AND($E19&lt;=DATE(2027,7,26)+6,$F19&gt;=DATE(2027,7,26)),1,"")</f>
        <v/>
      </c>
      <c r="BE19">
        <f>IF(AND($E19&lt;=DATE(2027,8,2)+6,$F19&gt;=DATE(2027,8,2)),1,"")</f>
        <v/>
      </c>
      <c r="BF19">
        <f>IF(AND($E19&lt;=DATE(2027,8,9)+6,$F19&gt;=DATE(2027,8,9)),1,"")</f>
        <v/>
      </c>
      <c r="BG19">
        <f>IF(AND($E19&lt;=DATE(2027,8,16)+6,$F19&gt;=DATE(2027,8,16)),1,"")</f>
        <v/>
      </c>
      <c r="BH19">
        <f>IF(AND($E19&lt;=DATE(2027,8,23)+6,$F19&gt;=DATE(2027,8,23)),1,"")</f>
        <v/>
      </c>
      <c r="BI19">
        <f>IF(AND($E19&lt;=DATE(2027,8,30)+6,$F19&gt;=DATE(2027,8,30)),1,"")</f>
        <v/>
      </c>
      <c r="BJ19">
        <f>IF(AND($E19&lt;=DATE(2027,9,6)+6,$F19&gt;=DATE(2027,9,6)),1,"")</f>
        <v/>
      </c>
      <c r="BK19">
        <f>IF(AND($E19&lt;=DATE(2027,9,13)+6,$F19&gt;=DATE(2027,9,13)),1,"")</f>
        <v/>
      </c>
      <c r="BL19">
        <f>IF(AND($E19&lt;=DATE(2027,9,20)+6,$F19&gt;=DATE(2027,9,20)),1,"")</f>
        <v/>
      </c>
      <c r="BM19">
        <f>IF(AND($E19&lt;=DATE(2027,9,27)+6,$F19&gt;=DATE(2027,9,27)),1,"")</f>
        <v/>
      </c>
    </row>
    <row r="20">
      <c r="A20" s="6" t="inlineStr">
        <is>
          <t>4</t>
        </is>
      </c>
      <c r="B20" s="6" t="inlineStr">
        <is>
          <t>Resources</t>
        </is>
      </c>
      <c r="C20" s="6" t="inlineStr"/>
      <c r="D20" s="6" t="inlineStr">
        <is>
          <t>Phase 0</t>
        </is>
      </c>
      <c r="E20" s="7" t="n">
        <v>46291</v>
      </c>
      <c r="F20" s="7" t="n">
        <v>46310</v>
      </c>
      <c r="G20" s="6">
        <f>F20-E20+1</f>
        <v/>
      </c>
      <c r="H20" s="6" t="inlineStr"/>
      <c r="I20" s="6" t="inlineStr"/>
      <c r="J20" s="6" t="inlineStr"/>
      <c r="K20" s="8" t="n"/>
      <c r="L20">
        <f>IF(AND($E20&lt;=DATE(2026,9,21)+6,$F20&gt;=DATE(2026,9,21)),1,"")</f>
        <v/>
      </c>
      <c r="M20">
        <f>IF(AND($E20&lt;=DATE(2026,9,28)+6,$F20&gt;=DATE(2026,9,28)),1,"")</f>
        <v/>
      </c>
      <c r="N20">
        <f>IF(AND($E20&lt;=DATE(2026,10,5)+6,$F20&gt;=DATE(2026,10,5)),1,"")</f>
        <v/>
      </c>
      <c r="O20">
        <f>IF(AND($E20&lt;=DATE(2026,10,12)+6,$F20&gt;=DATE(2026,10,12)),1,"")</f>
        <v/>
      </c>
      <c r="P20">
        <f>IF(AND($E20&lt;=DATE(2026,10,19)+6,$F20&gt;=DATE(2026,10,19)),1,"")</f>
        <v/>
      </c>
      <c r="Q20">
        <f>IF(AND($E20&lt;=DATE(2026,10,26)+6,$F20&gt;=DATE(2026,10,26)),1,"")</f>
        <v/>
      </c>
      <c r="R20">
        <f>IF(AND($E20&lt;=DATE(2026,11,2)+6,$F20&gt;=DATE(2026,11,2)),1,"")</f>
        <v/>
      </c>
      <c r="S20">
        <f>IF(AND($E20&lt;=DATE(2026,11,9)+6,$F20&gt;=DATE(2026,11,9)),1,"")</f>
        <v/>
      </c>
      <c r="T20">
        <f>IF(AND($E20&lt;=DATE(2026,11,16)+6,$F20&gt;=DATE(2026,11,16)),1,"")</f>
        <v/>
      </c>
      <c r="U20">
        <f>IF(AND($E20&lt;=DATE(2026,11,23)+6,$F20&gt;=DATE(2026,11,23)),1,"")</f>
        <v/>
      </c>
      <c r="V20">
        <f>IF(AND($E20&lt;=DATE(2026,11,30)+6,$F20&gt;=DATE(2026,11,30)),1,"")</f>
        <v/>
      </c>
      <c r="W20">
        <f>IF(AND($E20&lt;=DATE(2026,12,7)+6,$F20&gt;=DATE(2026,12,7)),1,"")</f>
        <v/>
      </c>
      <c r="X20">
        <f>IF(AND($E20&lt;=DATE(2026,12,14)+6,$F20&gt;=DATE(2026,12,14)),1,"")</f>
        <v/>
      </c>
      <c r="Y20">
        <f>IF(AND($E20&lt;=DATE(2026,12,21)+6,$F20&gt;=DATE(2026,12,21)),1,"")</f>
        <v/>
      </c>
      <c r="Z20">
        <f>IF(AND($E20&lt;=DATE(2026,12,28)+6,$F20&gt;=DATE(2026,12,28)),1,"")</f>
        <v/>
      </c>
      <c r="AA20">
        <f>IF(AND($E20&lt;=DATE(2027,1,4)+6,$F20&gt;=DATE(2027,1,4)),1,"")</f>
        <v/>
      </c>
      <c r="AB20">
        <f>IF(AND($E20&lt;=DATE(2027,1,11)+6,$F20&gt;=DATE(2027,1,11)),1,"")</f>
        <v/>
      </c>
      <c r="AC20">
        <f>IF(AND($E20&lt;=DATE(2027,1,18)+6,$F20&gt;=DATE(2027,1,18)),1,"")</f>
        <v/>
      </c>
      <c r="AD20">
        <f>IF(AND($E20&lt;=DATE(2027,1,25)+6,$F20&gt;=DATE(2027,1,25)),1,"")</f>
        <v/>
      </c>
      <c r="AE20">
        <f>IF(AND($E20&lt;=DATE(2027,2,1)+6,$F20&gt;=DATE(2027,2,1)),1,"")</f>
        <v/>
      </c>
      <c r="AF20">
        <f>IF(AND($E20&lt;=DATE(2027,2,8)+6,$F20&gt;=DATE(2027,2,8)),1,"")</f>
        <v/>
      </c>
      <c r="AG20">
        <f>IF(AND($E20&lt;=DATE(2027,2,15)+6,$F20&gt;=DATE(2027,2,15)),1,"")</f>
        <v/>
      </c>
      <c r="AH20">
        <f>IF(AND($E20&lt;=DATE(2027,2,22)+6,$F20&gt;=DATE(2027,2,22)),1,"")</f>
        <v/>
      </c>
      <c r="AI20">
        <f>IF(AND($E20&lt;=DATE(2027,3,1)+6,$F20&gt;=DATE(2027,3,1)),1,"")</f>
        <v/>
      </c>
      <c r="AJ20">
        <f>IF(AND($E20&lt;=DATE(2027,3,8)+6,$F20&gt;=DATE(2027,3,8)),1,"")</f>
        <v/>
      </c>
      <c r="AK20">
        <f>IF(AND($E20&lt;=DATE(2027,3,15)+6,$F20&gt;=DATE(2027,3,15)),1,"")</f>
        <v/>
      </c>
      <c r="AL20">
        <f>IF(AND($E20&lt;=DATE(2027,3,22)+6,$F20&gt;=DATE(2027,3,22)),1,"")</f>
        <v/>
      </c>
      <c r="AM20">
        <f>IF(AND($E20&lt;=DATE(2027,3,29)+6,$F20&gt;=DATE(2027,3,29)),1,"")</f>
        <v/>
      </c>
      <c r="AN20">
        <f>IF(AND($E20&lt;=DATE(2027,4,5)+6,$F20&gt;=DATE(2027,4,5)),1,"")</f>
        <v/>
      </c>
      <c r="AO20">
        <f>IF(AND($E20&lt;=DATE(2027,4,12)+6,$F20&gt;=DATE(2027,4,12)),1,"")</f>
        <v/>
      </c>
      <c r="AP20">
        <f>IF(AND($E20&lt;=DATE(2027,4,19)+6,$F20&gt;=DATE(2027,4,19)),1,"")</f>
        <v/>
      </c>
      <c r="AQ20">
        <f>IF(AND($E20&lt;=DATE(2027,4,26)+6,$F20&gt;=DATE(2027,4,26)),1,"")</f>
        <v/>
      </c>
      <c r="AR20">
        <f>IF(AND($E20&lt;=DATE(2027,5,3)+6,$F20&gt;=DATE(2027,5,3)),1,"")</f>
        <v/>
      </c>
      <c r="AS20">
        <f>IF(AND($E20&lt;=DATE(2027,5,10)+6,$F20&gt;=DATE(2027,5,10)),1,"")</f>
        <v/>
      </c>
      <c r="AT20">
        <f>IF(AND($E20&lt;=DATE(2027,5,17)+6,$F20&gt;=DATE(2027,5,17)),1,"")</f>
        <v/>
      </c>
      <c r="AU20">
        <f>IF(AND($E20&lt;=DATE(2027,5,24)+6,$F20&gt;=DATE(2027,5,24)),1,"")</f>
        <v/>
      </c>
      <c r="AV20">
        <f>IF(AND($E20&lt;=DATE(2027,5,31)+6,$F20&gt;=DATE(2027,5,31)),1,"")</f>
        <v/>
      </c>
      <c r="AW20">
        <f>IF(AND($E20&lt;=DATE(2027,6,7)+6,$F20&gt;=DATE(2027,6,7)),1,"")</f>
        <v/>
      </c>
      <c r="AX20">
        <f>IF(AND($E20&lt;=DATE(2027,6,14)+6,$F20&gt;=DATE(2027,6,14)),1,"")</f>
        <v/>
      </c>
      <c r="AY20">
        <f>IF(AND($E20&lt;=DATE(2027,6,21)+6,$F20&gt;=DATE(2027,6,21)),1,"")</f>
        <v/>
      </c>
      <c r="AZ20">
        <f>IF(AND($E20&lt;=DATE(2027,6,28)+6,$F20&gt;=DATE(2027,6,28)),1,"")</f>
        <v/>
      </c>
      <c r="BA20">
        <f>IF(AND($E20&lt;=DATE(2027,7,5)+6,$F20&gt;=DATE(2027,7,5)),1,"")</f>
        <v/>
      </c>
      <c r="BB20">
        <f>IF(AND($E20&lt;=DATE(2027,7,12)+6,$F20&gt;=DATE(2027,7,12)),1,"")</f>
        <v/>
      </c>
      <c r="BC20">
        <f>IF(AND($E20&lt;=DATE(2027,7,19)+6,$F20&gt;=DATE(2027,7,19)),1,"")</f>
        <v/>
      </c>
      <c r="BD20">
        <f>IF(AND($E20&lt;=DATE(2027,7,26)+6,$F20&gt;=DATE(2027,7,26)),1,"")</f>
        <v/>
      </c>
      <c r="BE20">
        <f>IF(AND($E20&lt;=DATE(2027,8,2)+6,$F20&gt;=DATE(2027,8,2)),1,"")</f>
        <v/>
      </c>
      <c r="BF20">
        <f>IF(AND($E20&lt;=DATE(2027,8,9)+6,$F20&gt;=DATE(2027,8,9)),1,"")</f>
        <v/>
      </c>
      <c r="BG20">
        <f>IF(AND($E20&lt;=DATE(2027,8,16)+6,$F20&gt;=DATE(2027,8,16)),1,"")</f>
        <v/>
      </c>
      <c r="BH20">
        <f>IF(AND($E20&lt;=DATE(2027,8,23)+6,$F20&gt;=DATE(2027,8,23)),1,"")</f>
        <v/>
      </c>
      <c r="BI20">
        <f>IF(AND($E20&lt;=DATE(2027,8,30)+6,$F20&gt;=DATE(2027,8,30)),1,"")</f>
        <v/>
      </c>
      <c r="BJ20">
        <f>IF(AND($E20&lt;=DATE(2027,9,6)+6,$F20&gt;=DATE(2027,9,6)),1,"")</f>
        <v/>
      </c>
      <c r="BK20">
        <f>IF(AND($E20&lt;=DATE(2027,9,13)+6,$F20&gt;=DATE(2027,9,13)),1,"")</f>
        <v/>
      </c>
      <c r="BL20">
        <f>IF(AND($E20&lt;=DATE(2027,9,20)+6,$F20&gt;=DATE(2027,9,20)),1,"")</f>
        <v/>
      </c>
      <c r="BM20">
        <f>IF(AND($E20&lt;=DATE(2027,9,27)+6,$F20&gt;=DATE(2027,9,27)),1,"")</f>
        <v/>
      </c>
    </row>
    <row r="21">
      <c r="A21" t="inlineStr">
        <is>
          <t>4.1</t>
        </is>
      </c>
      <c r="B21" t="inlineStr">
        <is>
          <t>Hire additional production/order person</t>
        </is>
      </c>
      <c r="C21" t="inlineStr">
        <is>
          <t>Production lead</t>
        </is>
      </c>
      <c r="D21" t="inlineStr">
        <is>
          <t>Phase 0</t>
        </is>
      </c>
      <c r="E21" s="9" t="n">
        <v>46291</v>
      </c>
      <c r="F21" s="9" t="n">
        <v>46305</v>
      </c>
      <c r="G21">
        <f>F21-E21+1</f>
        <v/>
      </c>
      <c r="H21" t="inlineStr"/>
      <c r="I21" t="inlineStr">
        <is>
          <t>New hire</t>
        </is>
      </c>
      <c r="J21" t="inlineStr">
        <is>
          <t>Not started</t>
        </is>
      </c>
      <c r="K21" s="10" t="n">
        <v>0</v>
      </c>
      <c r="L21">
        <f>IF(AND($E21&lt;=DATE(2026,9,21)+6,$F21&gt;=DATE(2026,9,21)),1,"")</f>
        <v/>
      </c>
      <c r="M21">
        <f>IF(AND($E21&lt;=DATE(2026,9,28)+6,$F21&gt;=DATE(2026,9,28)),1,"")</f>
        <v/>
      </c>
      <c r="N21">
        <f>IF(AND($E21&lt;=DATE(2026,10,5)+6,$F21&gt;=DATE(2026,10,5)),1,"")</f>
        <v/>
      </c>
      <c r="O21">
        <f>IF(AND($E21&lt;=DATE(2026,10,12)+6,$F21&gt;=DATE(2026,10,12)),1,"")</f>
        <v/>
      </c>
      <c r="P21">
        <f>IF(AND($E21&lt;=DATE(2026,10,19)+6,$F21&gt;=DATE(2026,10,19)),1,"")</f>
        <v/>
      </c>
      <c r="Q21">
        <f>IF(AND($E21&lt;=DATE(2026,10,26)+6,$F21&gt;=DATE(2026,10,26)),1,"")</f>
        <v/>
      </c>
      <c r="R21">
        <f>IF(AND($E21&lt;=DATE(2026,11,2)+6,$F21&gt;=DATE(2026,11,2)),1,"")</f>
        <v/>
      </c>
      <c r="S21">
        <f>IF(AND($E21&lt;=DATE(2026,11,9)+6,$F21&gt;=DATE(2026,11,9)),1,"")</f>
        <v/>
      </c>
      <c r="T21">
        <f>IF(AND($E21&lt;=DATE(2026,11,16)+6,$F21&gt;=DATE(2026,11,16)),1,"")</f>
        <v/>
      </c>
      <c r="U21">
        <f>IF(AND($E21&lt;=DATE(2026,11,23)+6,$F21&gt;=DATE(2026,11,23)),1,"")</f>
        <v/>
      </c>
      <c r="V21">
        <f>IF(AND($E21&lt;=DATE(2026,11,30)+6,$F21&gt;=DATE(2026,11,30)),1,"")</f>
        <v/>
      </c>
      <c r="W21">
        <f>IF(AND($E21&lt;=DATE(2026,12,7)+6,$F21&gt;=DATE(2026,12,7)),1,"")</f>
        <v/>
      </c>
      <c r="X21">
        <f>IF(AND($E21&lt;=DATE(2026,12,14)+6,$F21&gt;=DATE(2026,12,14)),1,"")</f>
        <v/>
      </c>
      <c r="Y21">
        <f>IF(AND($E21&lt;=DATE(2026,12,21)+6,$F21&gt;=DATE(2026,12,21)),1,"")</f>
        <v/>
      </c>
      <c r="Z21">
        <f>IF(AND($E21&lt;=DATE(2026,12,28)+6,$F21&gt;=DATE(2026,12,28)),1,"")</f>
        <v/>
      </c>
      <c r="AA21">
        <f>IF(AND($E21&lt;=DATE(2027,1,4)+6,$F21&gt;=DATE(2027,1,4)),1,"")</f>
        <v/>
      </c>
      <c r="AB21">
        <f>IF(AND($E21&lt;=DATE(2027,1,11)+6,$F21&gt;=DATE(2027,1,11)),1,"")</f>
        <v/>
      </c>
      <c r="AC21">
        <f>IF(AND($E21&lt;=DATE(2027,1,18)+6,$F21&gt;=DATE(2027,1,18)),1,"")</f>
        <v/>
      </c>
      <c r="AD21">
        <f>IF(AND($E21&lt;=DATE(2027,1,25)+6,$F21&gt;=DATE(2027,1,25)),1,"")</f>
        <v/>
      </c>
      <c r="AE21">
        <f>IF(AND($E21&lt;=DATE(2027,2,1)+6,$F21&gt;=DATE(2027,2,1)),1,"")</f>
        <v/>
      </c>
      <c r="AF21">
        <f>IF(AND($E21&lt;=DATE(2027,2,8)+6,$F21&gt;=DATE(2027,2,8)),1,"")</f>
        <v/>
      </c>
      <c r="AG21">
        <f>IF(AND($E21&lt;=DATE(2027,2,15)+6,$F21&gt;=DATE(2027,2,15)),1,"")</f>
        <v/>
      </c>
      <c r="AH21">
        <f>IF(AND($E21&lt;=DATE(2027,2,22)+6,$F21&gt;=DATE(2027,2,22)),1,"")</f>
        <v/>
      </c>
      <c r="AI21">
        <f>IF(AND($E21&lt;=DATE(2027,3,1)+6,$F21&gt;=DATE(2027,3,1)),1,"")</f>
        <v/>
      </c>
      <c r="AJ21">
        <f>IF(AND($E21&lt;=DATE(2027,3,8)+6,$F21&gt;=DATE(2027,3,8)),1,"")</f>
        <v/>
      </c>
      <c r="AK21">
        <f>IF(AND($E21&lt;=DATE(2027,3,15)+6,$F21&gt;=DATE(2027,3,15)),1,"")</f>
        <v/>
      </c>
      <c r="AL21">
        <f>IF(AND($E21&lt;=DATE(2027,3,22)+6,$F21&gt;=DATE(2027,3,22)),1,"")</f>
        <v/>
      </c>
      <c r="AM21">
        <f>IF(AND($E21&lt;=DATE(2027,3,29)+6,$F21&gt;=DATE(2027,3,29)),1,"")</f>
        <v/>
      </c>
      <c r="AN21">
        <f>IF(AND($E21&lt;=DATE(2027,4,5)+6,$F21&gt;=DATE(2027,4,5)),1,"")</f>
        <v/>
      </c>
      <c r="AO21">
        <f>IF(AND($E21&lt;=DATE(2027,4,12)+6,$F21&gt;=DATE(2027,4,12)),1,"")</f>
        <v/>
      </c>
      <c r="AP21">
        <f>IF(AND($E21&lt;=DATE(2027,4,19)+6,$F21&gt;=DATE(2027,4,19)),1,"")</f>
        <v/>
      </c>
      <c r="AQ21">
        <f>IF(AND($E21&lt;=DATE(2027,4,26)+6,$F21&gt;=DATE(2027,4,26)),1,"")</f>
        <v/>
      </c>
      <c r="AR21">
        <f>IF(AND($E21&lt;=DATE(2027,5,3)+6,$F21&gt;=DATE(2027,5,3)),1,"")</f>
        <v/>
      </c>
      <c r="AS21">
        <f>IF(AND($E21&lt;=DATE(2027,5,10)+6,$F21&gt;=DATE(2027,5,10)),1,"")</f>
        <v/>
      </c>
      <c r="AT21">
        <f>IF(AND($E21&lt;=DATE(2027,5,17)+6,$F21&gt;=DATE(2027,5,17)),1,"")</f>
        <v/>
      </c>
      <c r="AU21">
        <f>IF(AND($E21&lt;=DATE(2027,5,24)+6,$F21&gt;=DATE(2027,5,24)),1,"")</f>
        <v/>
      </c>
      <c r="AV21">
        <f>IF(AND($E21&lt;=DATE(2027,5,31)+6,$F21&gt;=DATE(2027,5,31)),1,"")</f>
        <v/>
      </c>
      <c r="AW21">
        <f>IF(AND($E21&lt;=DATE(2027,6,7)+6,$F21&gt;=DATE(2027,6,7)),1,"")</f>
        <v/>
      </c>
      <c r="AX21">
        <f>IF(AND($E21&lt;=DATE(2027,6,14)+6,$F21&gt;=DATE(2027,6,14)),1,"")</f>
        <v/>
      </c>
      <c r="AY21">
        <f>IF(AND($E21&lt;=DATE(2027,6,21)+6,$F21&gt;=DATE(2027,6,21)),1,"")</f>
        <v/>
      </c>
      <c r="AZ21">
        <f>IF(AND($E21&lt;=DATE(2027,6,28)+6,$F21&gt;=DATE(2027,6,28)),1,"")</f>
        <v/>
      </c>
      <c r="BA21">
        <f>IF(AND($E21&lt;=DATE(2027,7,5)+6,$F21&gt;=DATE(2027,7,5)),1,"")</f>
        <v/>
      </c>
      <c r="BB21">
        <f>IF(AND($E21&lt;=DATE(2027,7,12)+6,$F21&gt;=DATE(2027,7,12)),1,"")</f>
        <v/>
      </c>
      <c r="BC21">
        <f>IF(AND($E21&lt;=DATE(2027,7,19)+6,$F21&gt;=DATE(2027,7,19)),1,"")</f>
        <v/>
      </c>
      <c r="BD21">
        <f>IF(AND($E21&lt;=DATE(2027,7,26)+6,$F21&gt;=DATE(2027,7,26)),1,"")</f>
        <v/>
      </c>
      <c r="BE21">
        <f>IF(AND($E21&lt;=DATE(2027,8,2)+6,$F21&gt;=DATE(2027,8,2)),1,"")</f>
        <v/>
      </c>
      <c r="BF21">
        <f>IF(AND($E21&lt;=DATE(2027,8,9)+6,$F21&gt;=DATE(2027,8,9)),1,"")</f>
        <v/>
      </c>
      <c r="BG21">
        <f>IF(AND($E21&lt;=DATE(2027,8,16)+6,$F21&gt;=DATE(2027,8,16)),1,"")</f>
        <v/>
      </c>
      <c r="BH21">
        <f>IF(AND($E21&lt;=DATE(2027,8,23)+6,$F21&gt;=DATE(2027,8,23)),1,"")</f>
        <v/>
      </c>
      <c r="BI21">
        <f>IF(AND($E21&lt;=DATE(2027,8,30)+6,$F21&gt;=DATE(2027,8,30)),1,"")</f>
        <v/>
      </c>
      <c r="BJ21">
        <f>IF(AND($E21&lt;=DATE(2027,9,6)+6,$F21&gt;=DATE(2027,9,6)),1,"")</f>
        <v/>
      </c>
      <c r="BK21">
        <f>IF(AND($E21&lt;=DATE(2027,9,13)+6,$F21&gt;=DATE(2027,9,13)),1,"")</f>
        <v/>
      </c>
      <c r="BL21">
        <f>IF(AND($E21&lt;=DATE(2027,9,20)+6,$F21&gt;=DATE(2027,9,20)),1,"")</f>
        <v/>
      </c>
      <c r="BM21">
        <f>IF(AND($E21&lt;=DATE(2027,9,27)+6,$F21&gt;=DATE(2027,9,27)),1,"")</f>
        <v/>
      </c>
    </row>
    <row r="22">
      <c r="A22" t="inlineStr">
        <is>
          <t>4.2</t>
        </is>
      </c>
      <c r="B22" t="inlineStr">
        <is>
          <t>Assign corporate sales representative</t>
        </is>
      </c>
      <c r="C22" t="inlineStr">
        <is>
          <t>Mukunda Dasa</t>
        </is>
      </c>
      <c r="D22" t="inlineStr">
        <is>
          <t>Phase 0</t>
        </is>
      </c>
      <c r="E22" s="9" t="n">
        <v>46294</v>
      </c>
      <c r="F22" s="9" t="n">
        <v>46298</v>
      </c>
      <c r="G22">
        <f>F22-E22+1</f>
        <v/>
      </c>
      <c r="H22" t="inlineStr"/>
      <c r="I22" t="inlineStr">
        <is>
          <t>Named rep</t>
        </is>
      </c>
      <c r="J22" t="inlineStr">
        <is>
          <t>Not started</t>
        </is>
      </c>
      <c r="K22" s="10" t="n">
        <v>0</v>
      </c>
      <c r="L22">
        <f>IF(AND($E22&lt;=DATE(2026,9,21)+6,$F22&gt;=DATE(2026,9,21)),1,"")</f>
        <v/>
      </c>
      <c r="M22">
        <f>IF(AND($E22&lt;=DATE(2026,9,28)+6,$F22&gt;=DATE(2026,9,28)),1,"")</f>
        <v/>
      </c>
      <c r="N22">
        <f>IF(AND($E22&lt;=DATE(2026,10,5)+6,$F22&gt;=DATE(2026,10,5)),1,"")</f>
        <v/>
      </c>
      <c r="O22">
        <f>IF(AND($E22&lt;=DATE(2026,10,12)+6,$F22&gt;=DATE(2026,10,12)),1,"")</f>
        <v/>
      </c>
      <c r="P22">
        <f>IF(AND($E22&lt;=DATE(2026,10,19)+6,$F22&gt;=DATE(2026,10,19)),1,"")</f>
        <v/>
      </c>
      <c r="Q22">
        <f>IF(AND($E22&lt;=DATE(2026,10,26)+6,$F22&gt;=DATE(2026,10,26)),1,"")</f>
        <v/>
      </c>
      <c r="R22">
        <f>IF(AND($E22&lt;=DATE(2026,11,2)+6,$F22&gt;=DATE(2026,11,2)),1,"")</f>
        <v/>
      </c>
      <c r="S22">
        <f>IF(AND($E22&lt;=DATE(2026,11,9)+6,$F22&gt;=DATE(2026,11,9)),1,"")</f>
        <v/>
      </c>
      <c r="T22">
        <f>IF(AND($E22&lt;=DATE(2026,11,16)+6,$F22&gt;=DATE(2026,11,16)),1,"")</f>
        <v/>
      </c>
      <c r="U22">
        <f>IF(AND($E22&lt;=DATE(2026,11,23)+6,$F22&gt;=DATE(2026,11,23)),1,"")</f>
        <v/>
      </c>
      <c r="V22">
        <f>IF(AND($E22&lt;=DATE(2026,11,30)+6,$F22&gt;=DATE(2026,11,30)),1,"")</f>
        <v/>
      </c>
      <c r="W22">
        <f>IF(AND($E22&lt;=DATE(2026,12,7)+6,$F22&gt;=DATE(2026,12,7)),1,"")</f>
        <v/>
      </c>
      <c r="X22">
        <f>IF(AND($E22&lt;=DATE(2026,12,14)+6,$F22&gt;=DATE(2026,12,14)),1,"")</f>
        <v/>
      </c>
      <c r="Y22">
        <f>IF(AND($E22&lt;=DATE(2026,12,21)+6,$F22&gt;=DATE(2026,12,21)),1,"")</f>
        <v/>
      </c>
      <c r="Z22">
        <f>IF(AND($E22&lt;=DATE(2026,12,28)+6,$F22&gt;=DATE(2026,12,28)),1,"")</f>
        <v/>
      </c>
      <c r="AA22">
        <f>IF(AND($E22&lt;=DATE(2027,1,4)+6,$F22&gt;=DATE(2027,1,4)),1,"")</f>
        <v/>
      </c>
      <c r="AB22">
        <f>IF(AND($E22&lt;=DATE(2027,1,11)+6,$F22&gt;=DATE(2027,1,11)),1,"")</f>
        <v/>
      </c>
      <c r="AC22">
        <f>IF(AND($E22&lt;=DATE(2027,1,18)+6,$F22&gt;=DATE(2027,1,18)),1,"")</f>
        <v/>
      </c>
      <c r="AD22">
        <f>IF(AND($E22&lt;=DATE(2027,1,25)+6,$F22&gt;=DATE(2027,1,25)),1,"")</f>
        <v/>
      </c>
      <c r="AE22">
        <f>IF(AND($E22&lt;=DATE(2027,2,1)+6,$F22&gt;=DATE(2027,2,1)),1,"")</f>
        <v/>
      </c>
      <c r="AF22">
        <f>IF(AND($E22&lt;=DATE(2027,2,8)+6,$F22&gt;=DATE(2027,2,8)),1,"")</f>
        <v/>
      </c>
      <c r="AG22">
        <f>IF(AND($E22&lt;=DATE(2027,2,15)+6,$F22&gt;=DATE(2027,2,15)),1,"")</f>
        <v/>
      </c>
      <c r="AH22">
        <f>IF(AND($E22&lt;=DATE(2027,2,22)+6,$F22&gt;=DATE(2027,2,22)),1,"")</f>
        <v/>
      </c>
      <c r="AI22">
        <f>IF(AND($E22&lt;=DATE(2027,3,1)+6,$F22&gt;=DATE(2027,3,1)),1,"")</f>
        <v/>
      </c>
      <c r="AJ22">
        <f>IF(AND($E22&lt;=DATE(2027,3,8)+6,$F22&gt;=DATE(2027,3,8)),1,"")</f>
        <v/>
      </c>
      <c r="AK22">
        <f>IF(AND($E22&lt;=DATE(2027,3,15)+6,$F22&gt;=DATE(2027,3,15)),1,"")</f>
        <v/>
      </c>
      <c r="AL22">
        <f>IF(AND($E22&lt;=DATE(2027,3,22)+6,$F22&gt;=DATE(2027,3,22)),1,"")</f>
        <v/>
      </c>
      <c r="AM22">
        <f>IF(AND($E22&lt;=DATE(2027,3,29)+6,$F22&gt;=DATE(2027,3,29)),1,"")</f>
        <v/>
      </c>
      <c r="AN22">
        <f>IF(AND($E22&lt;=DATE(2027,4,5)+6,$F22&gt;=DATE(2027,4,5)),1,"")</f>
        <v/>
      </c>
      <c r="AO22">
        <f>IF(AND($E22&lt;=DATE(2027,4,12)+6,$F22&gt;=DATE(2027,4,12)),1,"")</f>
        <v/>
      </c>
      <c r="AP22">
        <f>IF(AND($E22&lt;=DATE(2027,4,19)+6,$F22&gt;=DATE(2027,4,19)),1,"")</f>
        <v/>
      </c>
      <c r="AQ22">
        <f>IF(AND($E22&lt;=DATE(2027,4,26)+6,$F22&gt;=DATE(2027,4,26)),1,"")</f>
        <v/>
      </c>
      <c r="AR22">
        <f>IF(AND($E22&lt;=DATE(2027,5,3)+6,$F22&gt;=DATE(2027,5,3)),1,"")</f>
        <v/>
      </c>
      <c r="AS22">
        <f>IF(AND($E22&lt;=DATE(2027,5,10)+6,$F22&gt;=DATE(2027,5,10)),1,"")</f>
        <v/>
      </c>
      <c r="AT22">
        <f>IF(AND($E22&lt;=DATE(2027,5,17)+6,$F22&gt;=DATE(2027,5,17)),1,"")</f>
        <v/>
      </c>
      <c r="AU22">
        <f>IF(AND($E22&lt;=DATE(2027,5,24)+6,$F22&gt;=DATE(2027,5,24)),1,"")</f>
        <v/>
      </c>
      <c r="AV22">
        <f>IF(AND($E22&lt;=DATE(2027,5,31)+6,$F22&gt;=DATE(2027,5,31)),1,"")</f>
        <v/>
      </c>
      <c r="AW22">
        <f>IF(AND($E22&lt;=DATE(2027,6,7)+6,$F22&gt;=DATE(2027,6,7)),1,"")</f>
        <v/>
      </c>
      <c r="AX22">
        <f>IF(AND($E22&lt;=DATE(2027,6,14)+6,$F22&gt;=DATE(2027,6,14)),1,"")</f>
        <v/>
      </c>
      <c r="AY22">
        <f>IF(AND($E22&lt;=DATE(2027,6,21)+6,$F22&gt;=DATE(2027,6,21)),1,"")</f>
        <v/>
      </c>
      <c r="AZ22">
        <f>IF(AND($E22&lt;=DATE(2027,6,28)+6,$F22&gt;=DATE(2027,6,28)),1,"")</f>
        <v/>
      </c>
      <c r="BA22">
        <f>IF(AND($E22&lt;=DATE(2027,7,5)+6,$F22&gt;=DATE(2027,7,5)),1,"")</f>
        <v/>
      </c>
      <c r="BB22">
        <f>IF(AND($E22&lt;=DATE(2027,7,12)+6,$F22&gt;=DATE(2027,7,12)),1,"")</f>
        <v/>
      </c>
      <c r="BC22">
        <f>IF(AND($E22&lt;=DATE(2027,7,19)+6,$F22&gt;=DATE(2027,7,19)),1,"")</f>
        <v/>
      </c>
      <c r="BD22">
        <f>IF(AND($E22&lt;=DATE(2027,7,26)+6,$F22&gt;=DATE(2027,7,26)),1,"")</f>
        <v/>
      </c>
      <c r="BE22">
        <f>IF(AND($E22&lt;=DATE(2027,8,2)+6,$F22&gt;=DATE(2027,8,2)),1,"")</f>
        <v/>
      </c>
      <c r="BF22">
        <f>IF(AND($E22&lt;=DATE(2027,8,9)+6,$F22&gt;=DATE(2027,8,9)),1,"")</f>
        <v/>
      </c>
      <c r="BG22">
        <f>IF(AND($E22&lt;=DATE(2027,8,16)+6,$F22&gt;=DATE(2027,8,16)),1,"")</f>
        <v/>
      </c>
      <c r="BH22">
        <f>IF(AND($E22&lt;=DATE(2027,8,23)+6,$F22&gt;=DATE(2027,8,23)),1,"")</f>
        <v/>
      </c>
      <c r="BI22">
        <f>IF(AND($E22&lt;=DATE(2027,8,30)+6,$F22&gt;=DATE(2027,8,30)),1,"")</f>
        <v/>
      </c>
      <c r="BJ22">
        <f>IF(AND($E22&lt;=DATE(2027,9,6)+6,$F22&gt;=DATE(2027,9,6)),1,"")</f>
        <v/>
      </c>
      <c r="BK22">
        <f>IF(AND($E22&lt;=DATE(2027,9,13)+6,$F22&gt;=DATE(2027,9,13)),1,"")</f>
        <v/>
      </c>
      <c r="BL22">
        <f>IF(AND($E22&lt;=DATE(2027,9,20)+6,$F22&gt;=DATE(2027,9,20)),1,"")</f>
        <v/>
      </c>
      <c r="BM22">
        <f>IF(AND($E22&lt;=DATE(2027,9,27)+6,$F22&gt;=DATE(2027,9,27)),1,"")</f>
        <v/>
      </c>
    </row>
    <row r="23">
      <c r="A23" t="inlineStr">
        <is>
          <t>4.3</t>
        </is>
      </c>
      <c r="B23" t="inlineStr">
        <is>
          <t>Seasonal staff plan for Dasara/Diwali</t>
        </is>
      </c>
      <c r="C23" t="inlineStr">
        <is>
          <t>Production lead</t>
        </is>
      </c>
      <c r="D23" t="inlineStr">
        <is>
          <t>Phase 0</t>
        </is>
      </c>
      <c r="E23" s="9" t="n">
        <v>46300</v>
      </c>
      <c r="F23" s="9" t="n">
        <v>46310</v>
      </c>
      <c r="G23">
        <f>F23-E23+1</f>
        <v/>
      </c>
      <c r="H23" t="inlineStr">
        <is>
          <t>2.3</t>
        </is>
      </c>
      <c r="I23" t="inlineStr">
        <is>
          <t>Staff roster</t>
        </is>
      </c>
      <c r="J23" t="inlineStr">
        <is>
          <t>Not started</t>
        </is>
      </c>
      <c r="K23" s="10" t="n">
        <v>0</v>
      </c>
      <c r="L23">
        <f>IF(AND($E23&lt;=DATE(2026,9,21)+6,$F23&gt;=DATE(2026,9,21)),1,"")</f>
        <v/>
      </c>
      <c r="M23">
        <f>IF(AND($E23&lt;=DATE(2026,9,28)+6,$F23&gt;=DATE(2026,9,28)),1,"")</f>
        <v/>
      </c>
      <c r="N23">
        <f>IF(AND($E23&lt;=DATE(2026,10,5)+6,$F23&gt;=DATE(2026,10,5)),1,"")</f>
        <v/>
      </c>
      <c r="O23">
        <f>IF(AND($E23&lt;=DATE(2026,10,12)+6,$F23&gt;=DATE(2026,10,12)),1,"")</f>
        <v/>
      </c>
      <c r="P23">
        <f>IF(AND($E23&lt;=DATE(2026,10,19)+6,$F23&gt;=DATE(2026,10,19)),1,"")</f>
        <v/>
      </c>
      <c r="Q23">
        <f>IF(AND($E23&lt;=DATE(2026,10,26)+6,$F23&gt;=DATE(2026,10,26)),1,"")</f>
        <v/>
      </c>
      <c r="R23">
        <f>IF(AND($E23&lt;=DATE(2026,11,2)+6,$F23&gt;=DATE(2026,11,2)),1,"")</f>
        <v/>
      </c>
      <c r="S23">
        <f>IF(AND($E23&lt;=DATE(2026,11,9)+6,$F23&gt;=DATE(2026,11,9)),1,"")</f>
        <v/>
      </c>
      <c r="T23">
        <f>IF(AND($E23&lt;=DATE(2026,11,16)+6,$F23&gt;=DATE(2026,11,16)),1,"")</f>
        <v/>
      </c>
      <c r="U23">
        <f>IF(AND($E23&lt;=DATE(2026,11,23)+6,$F23&gt;=DATE(2026,11,23)),1,"")</f>
        <v/>
      </c>
      <c r="V23">
        <f>IF(AND($E23&lt;=DATE(2026,11,30)+6,$F23&gt;=DATE(2026,11,30)),1,"")</f>
        <v/>
      </c>
      <c r="W23">
        <f>IF(AND($E23&lt;=DATE(2026,12,7)+6,$F23&gt;=DATE(2026,12,7)),1,"")</f>
        <v/>
      </c>
      <c r="X23">
        <f>IF(AND($E23&lt;=DATE(2026,12,14)+6,$F23&gt;=DATE(2026,12,14)),1,"")</f>
        <v/>
      </c>
      <c r="Y23">
        <f>IF(AND($E23&lt;=DATE(2026,12,21)+6,$F23&gt;=DATE(2026,12,21)),1,"")</f>
        <v/>
      </c>
      <c r="Z23">
        <f>IF(AND($E23&lt;=DATE(2026,12,28)+6,$F23&gt;=DATE(2026,12,28)),1,"")</f>
        <v/>
      </c>
      <c r="AA23">
        <f>IF(AND($E23&lt;=DATE(2027,1,4)+6,$F23&gt;=DATE(2027,1,4)),1,"")</f>
        <v/>
      </c>
      <c r="AB23">
        <f>IF(AND($E23&lt;=DATE(2027,1,11)+6,$F23&gt;=DATE(2027,1,11)),1,"")</f>
        <v/>
      </c>
      <c r="AC23">
        <f>IF(AND($E23&lt;=DATE(2027,1,18)+6,$F23&gt;=DATE(2027,1,18)),1,"")</f>
        <v/>
      </c>
      <c r="AD23">
        <f>IF(AND($E23&lt;=DATE(2027,1,25)+6,$F23&gt;=DATE(2027,1,25)),1,"")</f>
        <v/>
      </c>
      <c r="AE23">
        <f>IF(AND($E23&lt;=DATE(2027,2,1)+6,$F23&gt;=DATE(2027,2,1)),1,"")</f>
        <v/>
      </c>
      <c r="AF23">
        <f>IF(AND($E23&lt;=DATE(2027,2,8)+6,$F23&gt;=DATE(2027,2,8)),1,"")</f>
        <v/>
      </c>
      <c r="AG23">
        <f>IF(AND($E23&lt;=DATE(2027,2,15)+6,$F23&gt;=DATE(2027,2,15)),1,"")</f>
        <v/>
      </c>
      <c r="AH23">
        <f>IF(AND($E23&lt;=DATE(2027,2,22)+6,$F23&gt;=DATE(2027,2,22)),1,"")</f>
        <v/>
      </c>
      <c r="AI23">
        <f>IF(AND($E23&lt;=DATE(2027,3,1)+6,$F23&gt;=DATE(2027,3,1)),1,"")</f>
        <v/>
      </c>
      <c r="AJ23">
        <f>IF(AND($E23&lt;=DATE(2027,3,8)+6,$F23&gt;=DATE(2027,3,8)),1,"")</f>
        <v/>
      </c>
      <c r="AK23">
        <f>IF(AND($E23&lt;=DATE(2027,3,15)+6,$F23&gt;=DATE(2027,3,15)),1,"")</f>
        <v/>
      </c>
      <c r="AL23">
        <f>IF(AND($E23&lt;=DATE(2027,3,22)+6,$F23&gt;=DATE(2027,3,22)),1,"")</f>
        <v/>
      </c>
      <c r="AM23">
        <f>IF(AND($E23&lt;=DATE(2027,3,29)+6,$F23&gt;=DATE(2027,3,29)),1,"")</f>
        <v/>
      </c>
      <c r="AN23">
        <f>IF(AND($E23&lt;=DATE(2027,4,5)+6,$F23&gt;=DATE(2027,4,5)),1,"")</f>
        <v/>
      </c>
      <c r="AO23">
        <f>IF(AND($E23&lt;=DATE(2027,4,12)+6,$F23&gt;=DATE(2027,4,12)),1,"")</f>
        <v/>
      </c>
      <c r="AP23">
        <f>IF(AND($E23&lt;=DATE(2027,4,19)+6,$F23&gt;=DATE(2027,4,19)),1,"")</f>
        <v/>
      </c>
      <c r="AQ23">
        <f>IF(AND($E23&lt;=DATE(2027,4,26)+6,$F23&gt;=DATE(2027,4,26)),1,"")</f>
        <v/>
      </c>
      <c r="AR23">
        <f>IF(AND($E23&lt;=DATE(2027,5,3)+6,$F23&gt;=DATE(2027,5,3)),1,"")</f>
        <v/>
      </c>
      <c r="AS23">
        <f>IF(AND($E23&lt;=DATE(2027,5,10)+6,$F23&gt;=DATE(2027,5,10)),1,"")</f>
        <v/>
      </c>
      <c r="AT23">
        <f>IF(AND($E23&lt;=DATE(2027,5,17)+6,$F23&gt;=DATE(2027,5,17)),1,"")</f>
        <v/>
      </c>
      <c r="AU23">
        <f>IF(AND($E23&lt;=DATE(2027,5,24)+6,$F23&gt;=DATE(2027,5,24)),1,"")</f>
        <v/>
      </c>
      <c r="AV23">
        <f>IF(AND($E23&lt;=DATE(2027,5,31)+6,$F23&gt;=DATE(2027,5,31)),1,"")</f>
        <v/>
      </c>
      <c r="AW23">
        <f>IF(AND($E23&lt;=DATE(2027,6,7)+6,$F23&gt;=DATE(2027,6,7)),1,"")</f>
        <v/>
      </c>
      <c r="AX23">
        <f>IF(AND($E23&lt;=DATE(2027,6,14)+6,$F23&gt;=DATE(2027,6,14)),1,"")</f>
        <v/>
      </c>
      <c r="AY23">
        <f>IF(AND($E23&lt;=DATE(2027,6,21)+6,$F23&gt;=DATE(2027,6,21)),1,"")</f>
        <v/>
      </c>
      <c r="AZ23">
        <f>IF(AND($E23&lt;=DATE(2027,6,28)+6,$F23&gt;=DATE(2027,6,28)),1,"")</f>
        <v/>
      </c>
      <c r="BA23">
        <f>IF(AND($E23&lt;=DATE(2027,7,5)+6,$F23&gt;=DATE(2027,7,5)),1,"")</f>
        <v/>
      </c>
      <c r="BB23">
        <f>IF(AND($E23&lt;=DATE(2027,7,12)+6,$F23&gt;=DATE(2027,7,12)),1,"")</f>
        <v/>
      </c>
      <c r="BC23">
        <f>IF(AND($E23&lt;=DATE(2027,7,19)+6,$F23&gt;=DATE(2027,7,19)),1,"")</f>
        <v/>
      </c>
      <c r="BD23">
        <f>IF(AND($E23&lt;=DATE(2027,7,26)+6,$F23&gt;=DATE(2027,7,26)),1,"")</f>
        <v/>
      </c>
      <c r="BE23">
        <f>IF(AND($E23&lt;=DATE(2027,8,2)+6,$F23&gt;=DATE(2027,8,2)),1,"")</f>
        <v/>
      </c>
      <c r="BF23">
        <f>IF(AND($E23&lt;=DATE(2027,8,9)+6,$F23&gt;=DATE(2027,8,9)),1,"")</f>
        <v/>
      </c>
      <c r="BG23">
        <f>IF(AND($E23&lt;=DATE(2027,8,16)+6,$F23&gt;=DATE(2027,8,16)),1,"")</f>
        <v/>
      </c>
      <c r="BH23">
        <f>IF(AND($E23&lt;=DATE(2027,8,23)+6,$F23&gt;=DATE(2027,8,23)),1,"")</f>
        <v/>
      </c>
      <c r="BI23">
        <f>IF(AND($E23&lt;=DATE(2027,8,30)+6,$F23&gt;=DATE(2027,8,30)),1,"")</f>
        <v/>
      </c>
      <c r="BJ23">
        <f>IF(AND($E23&lt;=DATE(2027,9,6)+6,$F23&gt;=DATE(2027,9,6)),1,"")</f>
        <v/>
      </c>
      <c r="BK23">
        <f>IF(AND($E23&lt;=DATE(2027,9,13)+6,$F23&gt;=DATE(2027,9,13)),1,"")</f>
        <v/>
      </c>
      <c r="BL23">
        <f>IF(AND($E23&lt;=DATE(2027,9,20)+6,$F23&gt;=DATE(2027,9,20)),1,"")</f>
        <v/>
      </c>
      <c r="BM23">
        <f>IF(AND($E23&lt;=DATE(2027,9,27)+6,$F23&gt;=DATE(2027,9,27)),1,"")</f>
        <v/>
      </c>
    </row>
    <row r="24">
      <c r="A24" s="6" t="inlineStr">
        <is>
          <t>5</t>
        </is>
      </c>
      <c r="B24" s="6" t="inlineStr">
        <is>
          <t>Pilot: Dasara &amp; Diwali</t>
        </is>
      </c>
      <c r="C24" s="6" t="inlineStr"/>
      <c r="D24" s="6" t="inlineStr">
        <is>
          <t>Phase 1</t>
        </is>
      </c>
      <c r="E24" s="7" t="n">
        <v>46305</v>
      </c>
      <c r="F24" s="7" t="n">
        <v>46356</v>
      </c>
      <c r="G24" s="6">
        <f>F24-E24+1</f>
        <v/>
      </c>
      <c r="H24" s="6" t="inlineStr"/>
      <c r="I24" s="6" t="inlineStr"/>
      <c r="J24" s="6" t="inlineStr"/>
      <c r="K24" s="8" t="n"/>
      <c r="L24">
        <f>IF(AND($E24&lt;=DATE(2026,9,21)+6,$F24&gt;=DATE(2026,9,21)),1,"")</f>
        <v/>
      </c>
      <c r="M24">
        <f>IF(AND($E24&lt;=DATE(2026,9,28)+6,$F24&gt;=DATE(2026,9,28)),1,"")</f>
        <v/>
      </c>
      <c r="N24">
        <f>IF(AND($E24&lt;=DATE(2026,10,5)+6,$F24&gt;=DATE(2026,10,5)),1,"")</f>
        <v/>
      </c>
      <c r="O24">
        <f>IF(AND($E24&lt;=DATE(2026,10,12)+6,$F24&gt;=DATE(2026,10,12)),1,"")</f>
        <v/>
      </c>
      <c r="P24">
        <f>IF(AND($E24&lt;=DATE(2026,10,19)+6,$F24&gt;=DATE(2026,10,19)),1,"")</f>
        <v/>
      </c>
      <c r="Q24">
        <f>IF(AND($E24&lt;=DATE(2026,10,26)+6,$F24&gt;=DATE(2026,10,26)),1,"")</f>
        <v/>
      </c>
      <c r="R24">
        <f>IF(AND($E24&lt;=DATE(2026,11,2)+6,$F24&gt;=DATE(2026,11,2)),1,"")</f>
        <v/>
      </c>
      <c r="S24">
        <f>IF(AND($E24&lt;=DATE(2026,11,9)+6,$F24&gt;=DATE(2026,11,9)),1,"")</f>
        <v/>
      </c>
      <c r="T24">
        <f>IF(AND($E24&lt;=DATE(2026,11,16)+6,$F24&gt;=DATE(2026,11,16)),1,"")</f>
        <v/>
      </c>
      <c r="U24">
        <f>IF(AND($E24&lt;=DATE(2026,11,23)+6,$F24&gt;=DATE(2026,11,23)),1,"")</f>
        <v/>
      </c>
      <c r="V24">
        <f>IF(AND($E24&lt;=DATE(2026,11,30)+6,$F24&gt;=DATE(2026,11,30)),1,"")</f>
        <v/>
      </c>
      <c r="W24">
        <f>IF(AND($E24&lt;=DATE(2026,12,7)+6,$F24&gt;=DATE(2026,12,7)),1,"")</f>
        <v/>
      </c>
      <c r="X24">
        <f>IF(AND($E24&lt;=DATE(2026,12,14)+6,$F24&gt;=DATE(2026,12,14)),1,"")</f>
        <v/>
      </c>
      <c r="Y24">
        <f>IF(AND($E24&lt;=DATE(2026,12,21)+6,$F24&gt;=DATE(2026,12,21)),1,"")</f>
        <v/>
      </c>
      <c r="Z24">
        <f>IF(AND($E24&lt;=DATE(2026,12,28)+6,$F24&gt;=DATE(2026,12,28)),1,"")</f>
        <v/>
      </c>
      <c r="AA24">
        <f>IF(AND($E24&lt;=DATE(2027,1,4)+6,$F24&gt;=DATE(2027,1,4)),1,"")</f>
        <v/>
      </c>
      <c r="AB24">
        <f>IF(AND($E24&lt;=DATE(2027,1,11)+6,$F24&gt;=DATE(2027,1,11)),1,"")</f>
        <v/>
      </c>
      <c r="AC24">
        <f>IF(AND($E24&lt;=DATE(2027,1,18)+6,$F24&gt;=DATE(2027,1,18)),1,"")</f>
        <v/>
      </c>
      <c r="AD24">
        <f>IF(AND($E24&lt;=DATE(2027,1,25)+6,$F24&gt;=DATE(2027,1,25)),1,"")</f>
        <v/>
      </c>
      <c r="AE24">
        <f>IF(AND($E24&lt;=DATE(2027,2,1)+6,$F24&gt;=DATE(2027,2,1)),1,"")</f>
        <v/>
      </c>
      <c r="AF24">
        <f>IF(AND($E24&lt;=DATE(2027,2,8)+6,$F24&gt;=DATE(2027,2,8)),1,"")</f>
        <v/>
      </c>
      <c r="AG24">
        <f>IF(AND($E24&lt;=DATE(2027,2,15)+6,$F24&gt;=DATE(2027,2,15)),1,"")</f>
        <v/>
      </c>
      <c r="AH24">
        <f>IF(AND($E24&lt;=DATE(2027,2,22)+6,$F24&gt;=DATE(2027,2,22)),1,"")</f>
        <v/>
      </c>
      <c r="AI24">
        <f>IF(AND($E24&lt;=DATE(2027,3,1)+6,$F24&gt;=DATE(2027,3,1)),1,"")</f>
        <v/>
      </c>
      <c r="AJ24">
        <f>IF(AND($E24&lt;=DATE(2027,3,8)+6,$F24&gt;=DATE(2027,3,8)),1,"")</f>
        <v/>
      </c>
      <c r="AK24">
        <f>IF(AND($E24&lt;=DATE(2027,3,15)+6,$F24&gt;=DATE(2027,3,15)),1,"")</f>
        <v/>
      </c>
      <c r="AL24">
        <f>IF(AND($E24&lt;=DATE(2027,3,22)+6,$F24&gt;=DATE(2027,3,22)),1,"")</f>
        <v/>
      </c>
      <c r="AM24">
        <f>IF(AND($E24&lt;=DATE(2027,3,29)+6,$F24&gt;=DATE(2027,3,29)),1,"")</f>
        <v/>
      </c>
      <c r="AN24">
        <f>IF(AND($E24&lt;=DATE(2027,4,5)+6,$F24&gt;=DATE(2027,4,5)),1,"")</f>
        <v/>
      </c>
      <c r="AO24">
        <f>IF(AND($E24&lt;=DATE(2027,4,12)+6,$F24&gt;=DATE(2027,4,12)),1,"")</f>
        <v/>
      </c>
      <c r="AP24">
        <f>IF(AND($E24&lt;=DATE(2027,4,19)+6,$F24&gt;=DATE(2027,4,19)),1,"")</f>
        <v/>
      </c>
      <c r="AQ24">
        <f>IF(AND($E24&lt;=DATE(2027,4,26)+6,$F24&gt;=DATE(2027,4,26)),1,"")</f>
        <v/>
      </c>
      <c r="AR24">
        <f>IF(AND($E24&lt;=DATE(2027,5,3)+6,$F24&gt;=DATE(2027,5,3)),1,"")</f>
        <v/>
      </c>
      <c r="AS24">
        <f>IF(AND($E24&lt;=DATE(2027,5,10)+6,$F24&gt;=DATE(2027,5,10)),1,"")</f>
        <v/>
      </c>
      <c r="AT24">
        <f>IF(AND($E24&lt;=DATE(2027,5,17)+6,$F24&gt;=DATE(2027,5,17)),1,"")</f>
        <v/>
      </c>
      <c r="AU24">
        <f>IF(AND($E24&lt;=DATE(2027,5,24)+6,$F24&gt;=DATE(2027,5,24)),1,"")</f>
        <v/>
      </c>
      <c r="AV24">
        <f>IF(AND($E24&lt;=DATE(2027,5,31)+6,$F24&gt;=DATE(2027,5,31)),1,"")</f>
        <v/>
      </c>
      <c r="AW24">
        <f>IF(AND($E24&lt;=DATE(2027,6,7)+6,$F24&gt;=DATE(2027,6,7)),1,"")</f>
        <v/>
      </c>
      <c r="AX24">
        <f>IF(AND($E24&lt;=DATE(2027,6,14)+6,$F24&gt;=DATE(2027,6,14)),1,"")</f>
        <v/>
      </c>
      <c r="AY24">
        <f>IF(AND($E24&lt;=DATE(2027,6,21)+6,$F24&gt;=DATE(2027,6,21)),1,"")</f>
        <v/>
      </c>
      <c r="AZ24">
        <f>IF(AND($E24&lt;=DATE(2027,6,28)+6,$F24&gt;=DATE(2027,6,28)),1,"")</f>
        <v/>
      </c>
      <c r="BA24">
        <f>IF(AND($E24&lt;=DATE(2027,7,5)+6,$F24&gt;=DATE(2027,7,5)),1,"")</f>
        <v/>
      </c>
      <c r="BB24">
        <f>IF(AND($E24&lt;=DATE(2027,7,12)+6,$F24&gt;=DATE(2027,7,12)),1,"")</f>
        <v/>
      </c>
      <c r="BC24">
        <f>IF(AND($E24&lt;=DATE(2027,7,19)+6,$F24&gt;=DATE(2027,7,19)),1,"")</f>
        <v/>
      </c>
      <c r="BD24">
        <f>IF(AND($E24&lt;=DATE(2027,7,26)+6,$F24&gt;=DATE(2027,7,26)),1,"")</f>
        <v/>
      </c>
      <c r="BE24">
        <f>IF(AND($E24&lt;=DATE(2027,8,2)+6,$F24&gt;=DATE(2027,8,2)),1,"")</f>
        <v/>
      </c>
      <c r="BF24">
        <f>IF(AND($E24&lt;=DATE(2027,8,9)+6,$F24&gt;=DATE(2027,8,9)),1,"")</f>
        <v/>
      </c>
      <c r="BG24">
        <f>IF(AND($E24&lt;=DATE(2027,8,16)+6,$F24&gt;=DATE(2027,8,16)),1,"")</f>
        <v/>
      </c>
      <c r="BH24">
        <f>IF(AND($E24&lt;=DATE(2027,8,23)+6,$F24&gt;=DATE(2027,8,23)),1,"")</f>
        <v/>
      </c>
      <c r="BI24">
        <f>IF(AND($E24&lt;=DATE(2027,8,30)+6,$F24&gt;=DATE(2027,8,30)),1,"")</f>
        <v/>
      </c>
      <c r="BJ24">
        <f>IF(AND($E24&lt;=DATE(2027,9,6)+6,$F24&gt;=DATE(2027,9,6)),1,"")</f>
        <v/>
      </c>
      <c r="BK24">
        <f>IF(AND($E24&lt;=DATE(2027,9,13)+6,$F24&gt;=DATE(2027,9,13)),1,"")</f>
        <v/>
      </c>
      <c r="BL24">
        <f>IF(AND($E24&lt;=DATE(2027,9,20)+6,$F24&gt;=DATE(2027,9,20)),1,"")</f>
        <v/>
      </c>
      <c r="BM24">
        <f>IF(AND($E24&lt;=DATE(2027,9,27)+6,$F24&gt;=DATE(2027,9,27)),1,"")</f>
        <v/>
      </c>
    </row>
    <row r="25">
      <c r="A25" t="inlineStr">
        <is>
          <t>5.1</t>
        </is>
      </c>
      <c r="B25" t="inlineStr">
        <is>
          <t>Owner meetings (companies, MNR, chambers, BNI)</t>
        </is>
      </c>
      <c r="C25" t="inlineStr">
        <is>
          <t>Mukunda Dasa + sales rep</t>
        </is>
      </c>
      <c r="D25" t="inlineStr">
        <is>
          <t>Phase 1</t>
        </is>
      </c>
      <c r="E25" s="9" t="n">
        <v>46305</v>
      </c>
      <c r="F25" s="9" t="n">
        <v>46326</v>
      </c>
      <c r="G25">
        <f>F25-E25+1</f>
        <v/>
      </c>
      <c r="H25" t="inlineStr">
        <is>
          <t>3.6</t>
        </is>
      </c>
      <c r="I25" t="inlineStr">
        <is>
          <t>Meeting log, POs</t>
        </is>
      </c>
      <c r="J25" t="inlineStr">
        <is>
          <t>Not started</t>
        </is>
      </c>
      <c r="K25" s="10" t="n">
        <v>0</v>
      </c>
      <c r="L25">
        <f>IF(AND($E25&lt;=DATE(2026,9,21)+6,$F25&gt;=DATE(2026,9,21)),1,"")</f>
        <v/>
      </c>
      <c r="M25">
        <f>IF(AND($E25&lt;=DATE(2026,9,28)+6,$F25&gt;=DATE(2026,9,28)),1,"")</f>
        <v/>
      </c>
      <c r="N25">
        <f>IF(AND($E25&lt;=DATE(2026,10,5)+6,$F25&gt;=DATE(2026,10,5)),1,"")</f>
        <v/>
      </c>
      <c r="O25">
        <f>IF(AND($E25&lt;=DATE(2026,10,12)+6,$F25&gt;=DATE(2026,10,12)),1,"")</f>
        <v/>
      </c>
      <c r="P25">
        <f>IF(AND($E25&lt;=DATE(2026,10,19)+6,$F25&gt;=DATE(2026,10,19)),1,"")</f>
        <v/>
      </c>
      <c r="Q25">
        <f>IF(AND($E25&lt;=DATE(2026,10,26)+6,$F25&gt;=DATE(2026,10,26)),1,"")</f>
        <v/>
      </c>
      <c r="R25">
        <f>IF(AND($E25&lt;=DATE(2026,11,2)+6,$F25&gt;=DATE(2026,11,2)),1,"")</f>
        <v/>
      </c>
      <c r="S25">
        <f>IF(AND($E25&lt;=DATE(2026,11,9)+6,$F25&gt;=DATE(2026,11,9)),1,"")</f>
        <v/>
      </c>
      <c r="T25">
        <f>IF(AND($E25&lt;=DATE(2026,11,16)+6,$F25&gt;=DATE(2026,11,16)),1,"")</f>
        <v/>
      </c>
      <c r="U25">
        <f>IF(AND($E25&lt;=DATE(2026,11,23)+6,$F25&gt;=DATE(2026,11,23)),1,"")</f>
        <v/>
      </c>
      <c r="V25">
        <f>IF(AND($E25&lt;=DATE(2026,11,30)+6,$F25&gt;=DATE(2026,11,30)),1,"")</f>
        <v/>
      </c>
      <c r="W25">
        <f>IF(AND($E25&lt;=DATE(2026,12,7)+6,$F25&gt;=DATE(2026,12,7)),1,"")</f>
        <v/>
      </c>
      <c r="X25">
        <f>IF(AND($E25&lt;=DATE(2026,12,14)+6,$F25&gt;=DATE(2026,12,14)),1,"")</f>
        <v/>
      </c>
      <c r="Y25">
        <f>IF(AND($E25&lt;=DATE(2026,12,21)+6,$F25&gt;=DATE(2026,12,21)),1,"")</f>
        <v/>
      </c>
      <c r="Z25">
        <f>IF(AND($E25&lt;=DATE(2026,12,28)+6,$F25&gt;=DATE(2026,12,28)),1,"")</f>
        <v/>
      </c>
      <c r="AA25">
        <f>IF(AND($E25&lt;=DATE(2027,1,4)+6,$F25&gt;=DATE(2027,1,4)),1,"")</f>
        <v/>
      </c>
      <c r="AB25">
        <f>IF(AND($E25&lt;=DATE(2027,1,11)+6,$F25&gt;=DATE(2027,1,11)),1,"")</f>
        <v/>
      </c>
      <c r="AC25">
        <f>IF(AND($E25&lt;=DATE(2027,1,18)+6,$F25&gt;=DATE(2027,1,18)),1,"")</f>
        <v/>
      </c>
      <c r="AD25">
        <f>IF(AND($E25&lt;=DATE(2027,1,25)+6,$F25&gt;=DATE(2027,1,25)),1,"")</f>
        <v/>
      </c>
      <c r="AE25">
        <f>IF(AND($E25&lt;=DATE(2027,2,1)+6,$F25&gt;=DATE(2027,2,1)),1,"")</f>
        <v/>
      </c>
      <c r="AF25">
        <f>IF(AND($E25&lt;=DATE(2027,2,8)+6,$F25&gt;=DATE(2027,2,8)),1,"")</f>
        <v/>
      </c>
      <c r="AG25">
        <f>IF(AND($E25&lt;=DATE(2027,2,15)+6,$F25&gt;=DATE(2027,2,15)),1,"")</f>
        <v/>
      </c>
      <c r="AH25">
        <f>IF(AND($E25&lt;=DATE(2027,2,22)+6,$F25&gt;=DATE(2027,2,22)),1,"")</f>
        <v/>
      </c>
      <c r="AI25">
        <f>IF(AND($E25&lt;=DATE(2027,3,1)+6,$F25&gt;=DATE(2027,3,1)),1,"")</f>
        <v/>
      </c>
      <c r="AJ25">
        <f>IF(AND($E25&lt;=DATE(2027,3,8)+6,$F25&gt;=DATE(2027,3,8)),1,"")</f>
        <v/>
      </c>
      <c r="AK25">
        <f>IF(AND($E25&lt;=DATE(2027,3,15)+6,$F25&gt;=DATE(2027,3,15)),1,"")</f>
        <v/>
      </c>
      <c r="AL25">
        <f>IF(AND($E25&lt;=DATE(2027,3,22)+6,$F25&gt;=DATE(2027,3,22)),1,"")</f>
        <v/>
      </c>
      <c r="AM25">
        <f>IF(AND($E25&lt;=DATE(2027,3,29)+6,$F25&gt;=DATE(2027,3,29)),1,"")</f>
        <v/>
      </c>
      <c r="AN25">
        <f>IF(AND($E25&lt;=DATE(2027,4,5)+6,$F25&gt;=DATE(2027,4,5)),1,"")</f>
        <v/>
      </c>
      <c r="AO25">
        <f>IF(AND($E25&lt;=DATE(2027,4,12)+6,$F25&gt;=DATE(2027,4,12)),1,"")</f>
        <v/>
      </c>
      <c r="AP25">
        <f>IF(AND($E25&lt;=DATE(2027,4,19)+6,$F25&gt;=DATE(2027,4,19)),1,"")</f>
        <v/>
      </c>
      <c r="AQ25">
        <f>IF(AND($E25&lt;=DATE(2027,4,26)+6,$F25&gt;=DATE(2027,4,26)),1,"")</f>
        <v/>
      </c>
      <c r="AR25">
        <f>IF(AND($E25&lt;=DATE(2027,5,3)+6,$F25&gt;=DATE(2027,5,3)),1,"")</f>
        <v/>
      </c>
      <c r="AS25">
        <f>IF(AND($E25&lt;=DATE(2027,5,10)+6,$F25&gt;=DATE(2027,5,10)),1,"")</f>
        <v/>
      </c>
      <c r="AT25">
        <f>IF(AND($E25&lt;=DATE(2027,5,17)+6,$F25&gt;=DATE(2027,5,17)),1,"")</f>
        <v/>
      </c>
      <c r="AU25">
        <f>IF(AND($E25&lt;=DATE(2027,5,24)+6,$F25&gt;=DATE(2027,5,24)),1,"")</f>
        <v/>
      </c>
      <c r="AV25">
        <f>IF(AND($E25&lt;=DATE(2027,5,31)+6,$F25&gt;=DATE(2027,5,31)),1,"")</f>
        <v/>
      </c>
      <c r="AW25">
        <f>IF(AND($E25&lt;=DATE(2027,6,7)+6,$F25&gt;=DATE(2027,6,7)),1,"")</f>
        <v/>
      </c>
      <c r="AX25">
        <f>IF(AND($E25&lt;=DATE(2027,6,14)+6,$F25&gt;=DATE(2027,6,14)),1,"")</f>
        <v/>
      </c>
      <c r="AY25">
        <f>IF(AND($E25&lt;=DATE(2027,6,21)+6,$F25&gt;=DATE(2027,6,21)),1,"")</f>
        <v/>
      </c>
      <c r="AZ25">
        <f>IF(AND($E25&lt;=DATE(2027,6,28)+6,$F25&gt;=DATE(2027,6,28)),1,"")</f>
        <v/>
      </c>
      <c r="BA25">
        <f>IF(AND($E25&lt;=DATE(2027,7,5)+6,$F25&gt;=DATE(2027,7,5)),1,"")</f>
        <v/>
      </c>
      <c r="BB25">
        <f>IF(AND($E25&lt;=DATE(2027,7,12)+6,$F25&gt;=DATE(2027,7,12)),1,"")</f>
        <v/>
      </c>
      <c r="BC25">
        <f>IF(AND($E25&lt;=DATE(2027,7,19)+6,$F25&gt;=DATE(2027,7,19)),1,"")</f>
        <v/>
      </c>
      <c r="BD25">
        <f>IF(AND($E25&lt;=DATE(2027,7,26)+6,$F25&gt;=DATE(2027,7,26)),1,"")</f>
        <v/>
      </c>
      <c r="BE25">
        <f>IF(AND($E25&lt;=DATE(2027,8,2)+6,$F25&gt;=DATE(2027,8,2)),1,"")</f>
        <v/>
      </c>
      <c r="BF25">
        <f>IF(AND($E25&lt;=DATE(2027,8,9)+6,$F25&gt;=DATE(2027,8,9)),1,"")</f>
        <v/>
      </c>
      <c r="BG25">
        <f>IF(AND($E25&lt;=DATE(2027,8,16)+6,$F25&gt;=DATE(2027,8,16)),1,"")</f>
        <v/>
      </c>
      <c r="BH25">
        <f>IF(AND($E25&lt;=DATE(2027,8,23)+6,$F25&gt;=DATE(2027,8,23)),1,"")</f>
        <v/>
      </c>
      <c r="BI25">
        <f>IF(AND($E25&lt;=DATE(2027,8,30)+6,$F25&gt;=DATE(2027,8,30)),1,"")</f>
        <v/>
      </c>
      <c r="BJ25">
        <f>IF(AND($E25&lt;=DATE(2027,9,6)+6,$F25&gt;=DATE(2027,9,6)),1,"")</f>
        <v/>
      </c>
      <c r="BK25">
        <f>IF(AND($E25&lt;=DATE(2027,9,13)+6,$F25&gt;=DATE(2027,9,13)),1,"")</f>
        <v/>
      </c>
      <c r="BL25">
        <f>IF(AND($E25&lt;=DATE(2027,9,20)+6,$F25&gt;=DATE(2027,9,20)),1,"")</f>
        <v/>
      </c>
      <c r="BM25">
        <f>IF(AND($E25&lt;=DATE(2027,9,27)+6,$F25&gt;=DATE(2027,9,27)),1,"")</f>
        <v/>
      </c>
    </row>
    <row r="26">
      <c r="A26" t="inlineStr">
        <is>
          <t>5.2</t>
        </is>
      </c>
      <c r="B26" t="inlineStr">
        <is>
          <t>Serve the three companies that already asked</t>
        </is>
      </c>
      <c r="C26" t="inlineStr">
        <is>
          <t>Sales rep</t>
        </is>
      </c>
      <c r="D26" t="inlineStr">
        <is>
          <t>Phase 1</t>
        </is>
      </c>
      <c r="E26" s="9" t="n">
        <v>46305</v>
      </c>
      <c r="F26" s="9" t="n">
        <v>46313</v>
      </c>
      <c r="G26">
        <f>F26-E26+1</f>
        <v/>
      </c>
      <c r="H26" t="inlineStr">
        <is>
          <t>3.6</t>
        </is>
      </c>
      <c r="I26" t="inlineStr">
        <is>
          <t>3 orders</t>
        </is>
      </c>
      <c r="J26" t="inlineStr">
        <is>
          <t>Not started</t>
        </is>
      </c>
      <c r="K26" s="10" t="n">
        <v>0</v>
      </c>
      <c r="L26">
        <f>IF(AND($E26&lt;=DATE(2026,9,21)+6,$F26&gt;=DATE(2026,9,21)),1,"")</f>
        <v/>
      </c>
      <c r="M26">
        <f>IF(AND($E26&lt;=DATE(2026,9,28)+6,$F26&gt;=DATE(2026,9,28)),1,"")</f>
        <v/>
      </c>
      <c r="N26">
        <f>IF(AND($E26&lt;=DATE(2026,10,5)+6,$F26&gt;=DATE(2026,10,5)),1,"")</f>
        <v/>
      </c>
      <c r="O26">
        <f>IF(AND($E26&lt;=DATE(2026,10,12)+6,$F26&gt;=DATE(2026,10,12)),1,"")</f>
        <v/>
      </c>
      <c r="P26">
        <f>IF(AND($E26&lt;=DATE(2026,10,19)+6,$F26&gt;=DATE(2026,10,19)),1,"")</f>
        <v/>
      </c>
      <c r="Q26">
        <f>IF(AND($E26&lt;=DATE(2026,10,26)+6,$F26&gt;=DATE(2026,10,26)),1,"")</f>
        <v/>
      </c>
      <c r="R26">
        <f>IF(AND($E26&lt;=DATE(2026,11,2)+6,$F26&gt;=DATE(2026,11,2)),1,"")</f>
        <v/>
      </c>
      <c r="S26">
        <f>IF(AND($E26&lt;=DATE(2026,11,9)+6,$F26&gt;=DATE(2026,11,9)),1,"")</f>
        <v/>
      </c>
      <c r="T26">
        <f>IF(AND($E26&lt;=DATE(2026,11,16)+6,$F26&gt;=DATE(2026,11,16)),1,"")</f>
        <v/>
      </c>
      <c r="U26">
        <f>IF(AND($E26&lt;=DATE(2026,11,23)+6,$F26&gt;=DATE(2026,11,23)),1,"")</f>
        <v/>
      </c>
      <c r="V26">
        <f>IF(AND($E26&lt;=DATE(2026,11,30)+6,$F26&gt;=DATE(2026,11,30)),1,"")</f>
        <v/>
      </c>
      <c r="W26">
        <f>IF(AND($E26&lt;=DATE(2026,12,7)+6,$F26&gt;=DATE(2026,12,7)),1,"")</f>
        <v/>
      </c>
      <c r="X26">
        <f>IF(AND($E26&lt;=DATE(2026,12,14)+6,$F26&gt;=DATE(2026,12,14)),1,"")</f>
        <v/>
      </c>
      <c r="Y26">
        <f>IF(AND($E26&lt;=DATE(2026,12,21)+6,$F26&gt;=DATE(2026,12,21)),1,"")</f>
        <v/>
      </c>
      <c r="Z26">
        <f>IF(AND($E26&lt;=DATE(2026,12,28)+6,$F26&gt;=DATE(2026,12,28)),1,"")</f>
        <v/>
      </c>
      <c r="AA26">
        <f>IF(AND($E26&lt;=DATE(2027,1,4)+6,$F26&gt;=DATE(2027,1,4)),1,"")</f>
        <v/>
      </c>
      <c r="AB26">
        <f>IF(AND($E26&lt;=DATE(2027,1,11)+6,$F26&gt;=DATE(2027,1,11)),1,"")</f>
        <v/>
      </c>
      <c r="AC26">
        <f>IF(AND($E26&lt;=DATE(2027,1,18)+6,$F26&gt;=DATE(2027,1,18)),1,"")</f>
        <v/>
      </c>
      <c r="AD26">
        <f>IF(AND($E26&lt;=DATE(2027,1,25)+6,$F26&gt;=DATE(2027,1,25)),1,"")</f>
        <v/>
      </c>
      <c r="AE26">
        <f>IF(AND($E26&lt;=DATE(2027,2,1)+6,$F26&gt;=DATE(2027,2,1)),1,"")</f>
        <v/>
      </c>
      <c r="AF26">
        <f>IF(AND($E26&lt;=DATE(2027,2,8)+6,$F26&gt;=DATE(2027,2,8)),1,"")</f>
        <v/>
      </c>
      <c r="AG26">
        <f>IF(AND($E26&lt;=DATE(2027,2,15)+6,$F26&gt;=DATE(2027,2,15)),1,"")</f>
        <v/>
      </c>
      <c r="AH26">
        <f>IF(AND($E26&lt;=DATE(2027,2,22)+6,$F26&gt;=DATE(2027,2,22)),1,"")</f>
        <v/>
      </c>
      <c r="AI26">
        <f>IF(AND($E26&lt;=DATE(2027,3,1)+6,$F26&gt;=DATE(2027,3,1)),1,"")</f>
        <v/>
      </c>
      <c r="AJ26">
        <f>IF(AND($E26&lt;=DATE(2027,3,8)+6,$F26&gt;=DATE(2027,3,8)),1,"")</f>
        <v/>
      </c>
      <c r="AK26">
        <f>IF(AND($E26&lt;=DATE(2027,3,15)+6,$F26&gt;=DATE(2027,3,15)),1,"")</f>
        <v/>
      </c>
      <c r="AL26">
        <f>IF(AND($E26&lt;=DATE(2027,3,22)+6,$F26&gt;=DATE(2027,3,22)),1,"")</f>
        <v/>
      </c>
      <c r="AM26">
        <f>IF(AND($E26&lt;=DATE(2027,3,29)+6,$F26&gt;=DATE(2027,3,29)),1,"")</f>
        <v/>
      </c>
      <c r="AN26">
        <f>IF(AND($E26&lt;=DATE(2027,4,5)+6,$F26&gt;=DATE(2027,4,5)),1,"")</f>
        <v/>
      </c>
      <c r="AO26">
        <f>IF(AND($E26&lt;=DATE(2027,4,12)+6,$F26&gt;=DATE(2027,4,12)),1,"")</f>
        <v/>
      </c>
      <c r="AP26">
        <f>IF(AND($E26&lt;=DATE(2027,4,19)+6,$F26&gt;=DATE(2027,4,19)),1,"")</f>
        <v/>
      </c>
      <c r="AQ26">
        <f>IF(AND($E26&lt;=DATE(2027,4,26)+6,$F26&gt;=DATE(2027,4,26)),1,"")</f>
        <v/>
      </c>
      <c r="AR26">
        <f>IF(AND($E26&lt;=DATE(2027,5,3)+6,$F26&gt;=DATE(2027,5,3)),1,"")</f>
        <v/>
      </c>
      <c r="AS26">
        <f>IF(AND($E26&lt;=DATE(2027,5,10)+6,$F26&gt;=DATE(2027,5,10)),1,"")</f>
        <v/>
      </c>
      <c r="AT26">
        <f>IF(AND($E26&lt;=DATE(2027,5,17)+6,$F26&gt;=DATE(2027,5,17)),1,"")</f>
        <v/>
      </c>
      <c r="AU26">
        <f>IF(AND($E26&lt;=DATE(2027,5,24)+6,$F26&gt;=DATE(2027,5,24)),1,"")</f>
        <v/>
      </c>
      <c r="AV26">
        <f>IF(AND($E26&lt;=DATE(2027,5,31)+6,$F26&gt;=DATE(2027,5,31)),1,"")</f>
        <v/>
      </c>
      <c r="AW26">
        <f>IF(AND($E26&lt;=DATE(2027,6,7)+6,$F26&gt;=DATE(2027,6,7)),1,"")</f>
        <v/>
      </c>
      <c r="AX26">
        <f>IF(AND($E26&lt;=DATE(2027,6,14)+6,$F26&gt;=DATE(2027,6,14)),1,"")</f>
        <v/>
      </c>
      <c r="AY26">
        <f>IF(AND($E26&lt;=DATE(2027,6,21)+6,$F26&gt;=DATE(2027,6,21)),1,"")</f>
        <v/>
      </c>
      <c r="AZ26">
        <f>IF(AND($E26&lt;=DATE(2027,6,28)+6,$F26&gt;=DATE(2027,6,28)),1,"")</f>
        <v/>
      </c>
      <c r="BA26">
        <f>IF(AND($E26&lt;=DATE(2027,7,5)+6,$F26&gt;=DATE(2027,7,5)),1,"")</f>
        <v/>
      </c>
      <c r="BB26">
        <f>IF(AND($E26&lt;=DATE(2027,7,12)+6,$F26&gt;=DATE(2027,7,12)),1,"")</f>
        <v/>
      </c>
      <c r="BC26">
        <f>IF(AND($E26&lt;=DATE(2027,7,19)+6,$F26&gt;=DATE(2027,7,19)),1,"")</f>
        <v/>
      </c>
      <c r="BD26">
        <f>IF(AND($E26&lt;=DATE(2027,7,26)+6,$F26&gt;=DATE(2027,7,26)),1,"")</f>
        <v/>
      </c>
      <c r="BE26">
        <f>IF(AND($E26&lt;=DATE(2027,8,2)+6,$F26&gt;=DATE(2027,8,2)),1,"")</f>
        <v/>
      </c>
      <c r="BF26">
        <f>IF(AND($E26&lt;=DATE(2027,8,9)+6,$F26&gt;=DATE(2027,8,9)),1,"")</f>
        <v/>
      </c>
      <c r="BG26">
        <f>IF(AND($E26&lt;=DATE(2027,8,16)+6,$F26&gt;=DATE(2027,8,16)),1,"")</f>
        <v/>
      </c>
      <c r="BH26">
        <f>IF(AND($E26&lt;=DATE(2027,8,23)+6,$F26&gt;=DATE(2027,8,23)),1,"")</f>
        <v/>
      </c>
      <c r="BI26">
        <f>IF(AND($E26&lt;=DATE(2027,8,30)+6,$F26&gt;=DATE(2027,8,30)),1,"")</f>
        <v/>
      </c>
      <c r="BJ26">
        <f>IF(AND($E26&lt;=DATE(2027,9,6)+6,$F26&gt;=DATE(2027,9,6)),1,"")</f>
        <v/>
      </c>
      <c r="BK26">
        <f>IF(AND($E26&lt;=DATE(2027,9,13)+6,$F26&gt;=DATE(2027,9,13)),1,"")</f>
        <v/>
      </c>
      <c r="BL26">
        <f>IF(AND($E26&lt;=DATE(2027,9,20)+6,$F26&gt;=DATE(2027,9,20)),1,"")</f>
        <v/>
      </c>
      <c r="BM26">
        <f>IF(AND($E26&lt;=DATE(2027,9,27)+6,$F26&gt;=DATE(2027,9,27)),1,"")</f>
        <v/>
      </c>
    </row>
    <row r="27">
      <c r="A27" t="inlineStr">
        <is>
          <t>5.3</t>
        </is>
      </c>
      <c r="B27" t="inlineStr">
        <is>
          <t>Mahalaya &amp; Dasara stall roll-out</t>
        </is>
      </c>
      <c r="C27" t="inlineStr">
        <is>
          <t>Production lead</t>
        </is>
      </c>
      <c r="D27" t="inlineStr">
        <is>
          <t>Phase 1</t>
        </is>
      </c>
      <c r="E27" s="9" t="n">
        <v>46303</v>
      </c>
      <c r="F27" s="9" t="n">
        <v>46315</v>
      </c>
      <c r="G27">
        <f>F27-E27+1</f>
        <v/>
      </c>
      <c r="H27" t="inlineStr">
        <is>
          <t>4.3</t>
        </is>
      </c>
      <c r="I27" t="inlineStr">
        <is>
          <t>Stall sales report</t>
        </is>
      </c>
      <c r="J27" t="inlineStr">
        <is>
          <t>Not started</t>
        </is>
      </c>
      <c r="K27" s="10" t="n">
        <v>0</v>
      </c>
      <c r="L27">
        <f>IF(AND($E27&lt;=DATE(2026,9,21)+6,$F27&gt;=DATE(2026,9,21)),1,"")</f>
        <v/>
      </c>
      <c r="M27">
        <f>IF(AND($E27&lt;=DATE(2026,9,28)+6,$F27&gt;=DATE(2026,9,28)),1,"")</f>
        <v/>
      </c>
      <c r="N27">
        <f>IF(AND($E27&lt;=DATE(2026,10,5)+6,$F27&gt;=DATE(2026,10,5)),1,"")</f>
        <v/>
      </c>
      <c r="O27">
        <f>IF(AND($E27&lt;=DATE(2026,10,12)+6,$F27&gt;=DATE(2026,10,12)),1,"")</f>
        <v/>
      </c>
      <c r="P27">
        <f>IF(AND($E27&lt;=DATE(2026,10,19)+6,$F27&gt;=DATE(2026,10,19)),1,"")</f>
        <v/>
      </c>
      <c r="Q27">
        <f>IF(AND($E27&lt;=DATE(2026,10,26)+6,$F27&gt;=DATE(2026,10,26)),1,"")</f>
        <v/>
      </c>
      <c r="R27">
        <f>IF(AND($E27&lt;=DATE(2026,11,2)+6,$F27&gt;=DATE(2026,11,2)),1,"")</f>
        <v/>
      </c>
      <c r="S27">
        <f>IF(AND($E27&lt;=DATE(2026,11,9)+6,$F27&gt;=DATE(2026,11,9)),1,"")</f>
        <v/>
      </c>
      <c r="T27">
        <f>IF(AND($E27&lt;=DATE(2026,11,16)+6,$F27&gt;=DATE(2026,11,16)),1,"")</f>
        <v/>
      </c>
      <c r="U27">
        <f>IF(AND($E27&lt;=DATE(2026,11,23)+6,$F27&gt;=DATE(2026,11,23)),1,"")</f>
        <v/>
      </c>
      <c r="V27">
        <f>IF(AND($E27&lt;=DATE(2026,11,30)+6,$F27&gt;=DATE(2026,11,30)),1,"")</f>
        <v/>
      </c>
      <c r="W27">
        <f>IF(AND($E27&lt;=DATE(2026,12,7)+6,$F27&gt;=DATE(2026,12,7)),1,"")</f>
        <v/>
      </c>
      <c r="X27">
        <f>IF(AND($E27&lt;=DATE(2026,12,14)+6,$F27&gt;=DATE(2026,12,14)),1,"")</f>
        <v/>
      </c>
      <c r="Y27">
        <f>IF(AND($E27&lt;=DATE(2026,12,21)+6,$F27&gt;=DATE(2026,12,21)),1,"")</f>
        <v/>
      </c>
      <c r="Z27">
        <f>IF(AND($E27&lt;=DATE(2026,12,28)+6,$F27&gt;=DATE(2026,12,28)),1,"")</f>
        <v/>
      </c>
      <c r="AA27">
        <f>IF(AND($E27&lt;=DATE(2027,1,4)+6,$F27&gt;=DATE(2027,1,4)),1,"")</f>
        <v/>
      </c>
      <c r="AB27">
        <f>IF(AND($E27&lt;=DATE(2027,1,11)+6,$F27&gt;=DATE(2027,1,11)),1,"")</f>
        <v/>
      </c>
      <c r="AC27">
        <f>IF(AND($E27&lt;=DATE(2027,1,18)+6,$F27&gt;=DATE(2027,1,18)),1,"")</f>
        <v/>
      </c>
      <c r="AD27">
        <f>IF(AND($E27&lt;=DATE(2027,1,25)+6,$F27&gt;=DATE(2027,1,25)),1,"")</f>
        <v/>
      </c>
      <c r="AE27">
        <f>IF(AND($E27&lt;=DATE(2027,2,1)+6,$F27&gt;=DATE(2027,2,1)),1,"")</f>
        <v/>
      </c>
      <c r="AF27">
        <f>IF(AND($E27&lt;=DATE(2027,2,8)+6,$F27&gt;=DATE(2027,2,8)),1,"")</f>
        <v/>
      </c>
      <c r="AG27">
        <f>IF(AND($E27&lt;=DATE(2027,2,15)+6,$F27&gt;=DATE(2027,2,15)),1,"")</f>
        <v/>
      </c>
      <c r="AH27">
        <f>IF(AND($E27&lt;=DATE(2027,2,22)+6,$F27&gt;=DATE(2027,2,22)),1,"")</f>
        <v/>
      </c>
      <c r="AI27">
        <f>IF(AND($E27&lt;=DATE(2027,3,1)+6,$F27&gt;=DATE(2027,3,1)),1,"")</f>
        <v/>
      </c>
      <c r="AJ27">
        <f>IF(AND($E27&lt;=DATE(2027,3,8)+6,$F27&gt;=DATE(2027,3,8)),1,"")</f>
        <v/>
      </c>
      <c r="AK27">
        <f>IF(AND($E27&lt;=DATE(2027,3,15)+6,$F27&gt;=DATE(2027,3,15)),1,"")</f>
        <v/>
      </c>
      <c r="AL27">
        <f>IF(AND($E27&lt;=DATE(2027,3,22)+6,$F27&gt;=DATE(2027,3,22)),1,"")</f>
        <v/>
      </c>
      <c r="AM27">
        <f>IF(AND($E27&lt;=DATE(2027,3,29)+6,$F27&gt;=DATE(2027,3,29)),1,"")</f>
        <v/>
      </c>
      <c r="AN27">
        <f>IF(AND($E27&lt;=DATE(2027,4,5)+6,$F27&gt;=DATE(2027,4,5)),1,"")</f>
        <v/>
      </c>
      <c r="AO27">
        <f>IF(AND($E27&lt;=DATE(2027,4,12)+6,$F27&gt;=DATE(2027,4,12)),1,"")</f>
        <v/>
      </c>
      <c r="AP27">
        <f>IF(AND($E27&lt;=DATE(2027,4,19)+6,$F27&gt;=DATE(2027,4,19)),1,"")</f>
        <v/>
      </c>
      <c r="AQ27">
        <f>IF(AND($E27&lt;=DATE(2027,4,26)+6,$F27&gt;=DATE(2027,4,26)),1,"")</f>
        <v/>
      </c>
      <c r="AR27">
        <f>IF(AND($E27&lt;=DATE(2027,5,3)+6,$F27&gt;=DATE(2027,5,3)),1,"")</f>
        <v/>
      </c>
      <c r="AS27">
        <f>IF(AND($E27&lt;=DATE(2027,5,10)+6,$F27&gt;=DATE(2027,5,10)),1,"")</f>
        <v/>
      </c>
      <c r="AT27">
        <f>IF(AND($E27&lt;=DATE(2027,5,17)+6,$F27&gt;=DATE(2027,5,17)),1,"")</f>
        <v/>
      </c>
      <c r="AU27">
        <f>IF(AND($E27&lt;=DATE(2027,5,24)+6,$F27&gt;=DATE(2027,5,24)),1,"")</f>
        <v/>
      </c>
      <c r="AV27">
        <f>IF(AND($E27&lt;=DATE(2027,5,31)+6,$F27&gt;=DATE(2027,5,31)),1,"")</f>
        <v/>
      </c>
      <c r="AW27">
        <f>IF(AND($E27&lt;=DATE(2027,6,7)+6,$F27&gt;=DATE(2027,6,7)),1,"")</f>
        <v/>
      </c>
      <c r="AX27">
        <f>IF(AND($E27&lt;=DATE(2027,6,14)+6,$F27&gt;=DATE(2027,6,14)),1,"")</f>
        <v/>
      </c>
      <c r="AY27">
        <f>IF(AND($E27&lt;=DATE(2027,6,21)+6,$F27&gt;=DATE(2027,6,21)),1,"")</f>
        <v/>
      </c>
      <c r="AZ27">
        <f>IF(AND($E27&lt;=DATE(2027,6,28)+6,$F27&gt;=DATE(2027,6,28)),1,"")</f>
        <v/>
      </c>
      <c r="BA27">
        <f>IF(AND($E27&lt;=DATE(2027,7,5)+6,$F27&gt;=DATE(2027,7,5)),1,"")</f>
        <v/>
      </c>
      <c r="BB27">
        <f>IF(AND($E27&lt;=DATE(2027,7,12)+6,$F27&gt;=DATE(2027,7,12)),1,"")</f>
        <v/>
      </c>
      <c r="BC27">
        <f>IF(AND($E27&lt;=DATE(2027,7,19)+6,$F27&gt;=DATE(2027,7,19)),1,"")</f>
        <v/>
      </c>
      <c r="BD27">
        <f>IF(AND($E27&lt;=DATE(2027,7,26)+6,$F27&gt;=DATE(2027,7,26)),1,"")</f>
        <v/>
      </c>
      <c r="BE27">
        <f>IF(AND($E27&lt;=DATE(2027,8,2)+6,$F27&gt;=DATE(2027,8,2)),1,"")</f>
        <v/>
      </c>
      <c r="BF27">
        <f>IF(AND($E27&lt;=DATE(2027,8,9)+6,$F27&gt;=DATE(2027,8,9)),1,"")</f>
        <v/>
      </c>
      <c r="BG27">
        <f>IF(AND($E27&lt;=DATE(2027,8,16)+6,$F27&gt;=DATE(2027,8,16)),1,"")</f>
        <v/>
      </c>
      <c r="BH27">
        <f>IF(AND($E27&lt;=DATE(2027,8,23)+6,$F27&gt;=DATE(2027,8,23)),1,"")</f>
        <v/>
      </c>
      <c r="BI27">
        <f>IF(AND($E27&lt;=DATE(2027,8,30)+6,$F27&gt;=DATE(2027,8,30)),1,"")</f>
        <v/>
      </c>
      <c r="BJ27">
        <f>IF(AND($E27&lt;=DATE(2027,9,6)+6,$F27&gt;=DATE(2027,9,6)),1,"")</f>
        <v/>
      </c>
      <c r="BK27">
        <f>IF(AND($E27&lt;=DATE(2027,9,13)+6,$F27&gt;=DATE(2027,9,13)),1,"")</f>
        <v/>
      </c>
      <c r="BL27">
        <f>IF(AND($E27&lt;=DATE(2027,9,20)+6,$F27&gt;=DATE(2027,9,20)),1,"")</f>
        <v/>
      </c>
      <c r="BM27">
        <f>IF(AND($E27&lt;=DATE(2027,9,27)+6,$F27&gt;=DATE(2027,9,27)),1,"")</f>
        <v/>
      </c>
    </row>
    <row r="28">
      <c r="A28" t="inlineStr">
        <is>
          <t>5.4</t>
        </is>
      </c>
      <c r="B28" t="inlineStr">
        <is>
          <t>Weekly internal standing orders live</t>
        </is>
      </c>
      <c r="C28" t="inlineStr">
        <is>
          <t>Order coordinator</t>
        </is>
      </c>
      <c r="D28" t="inlineStr">
        <is>
          <t>Phase 1</t>
        </is>
      </c>
      <c r="E28" s="9" t="n">
        <v>46307</v>
      </c>
      <c r="F28" s="9" t="n">
        <v>46314</v>
      </c>
      <c r="G28">
        <f>F28-E28+1</f>
        <v/>
      </c>
      <c r="H28" t="inlineStr">
        <is>
          <t>2.3</t>
        </is>
      </c>
      <c r="I28" t="inlineStr">
        <is>
          <t>Weekly schedule</t>
        </is>
      </c>
      <c r="J28" t="inlineStr">
        <is>
          <t>Not started</t>
        </is>
      </c>
      <c r="K28" s="10" t="n">
        <v>0</v>
      </c>
      <c r="L28">
        <f>IF(AND($E28&lt;=DATE(2026,9,21)+6,$F28&gt;=DATE(2026,9,21)),1,"")</f>
        <v/>
      </c>
      <c r="M28">
        <f>IF(AND($E28&lt;=DATE(2026,9,28)+6,$F28&gt;=DATE(2026,9,28)),1,"")</f>
        <v/>
      </c>
      <c r="N28">
        <f>IF(AND($E28&lt;=DATE(2026,10,5)+6,$F28&gt;=DATE(2026,10,5)),1,"")</f>
        <v/>
      </c>
      <c r="O28">
        <f>IF(AND($E28&lt;=DATE(2026,10,12)+6,$F28&gt;=DATE(2026,10,12)),1,"")</f>
        <v/>
      </c>
      <c r="P28">
        <f>IF(AND($E28&lt;=DATE(2026,10,19)+6,$F28&gt;=DATE(2026,10,19)),1,"")</f>
        <v/>
      </c>
      <c r="Q28">
        <f>IF(AND($E28&lt;=DATE(2026,10,26)+6,$F28&gt;=DATE(2026,10,26)),1,"")</f>
        <v/>
      </c>
      <c r="R28">
        <f>IF(AND($E28&lt;=DATE(2026,11,2)+6,$F28&gt;=DATE(2026,11,2)),1,"")</f>
        <v/>
      </c>
      <c r="S28">
        <f>IF(AND($E28&lt;=DATE(2026,11,9)+6,$F28&gt;=DATE(2026,11,9)),1,"")</f>
        <v/>
      </c>
      <c r="T28">
        <f>IF(AND($E28&lt;=DATE(2026,11,16)+6,$F28&gt;=DATE(2026,11,16)),1,"")</f>
        <v/>
      </c>
      <c r="U28">
        <f>IF(AND($E28&lt;=DATE(2026,11,23)+6,$F28&gt;=DATE(2026,11,23)),1,"")</f>
        <v/>
      </c>
      <c r="V28">
        <f>IF(AND($E28&lt;=DATE(2026,11,30)+6,$F28&gt;=DATE(2026,11,30)),1,"")</f>
        <v/>
      </c>
      <c r="W28">
        <f>IF(AND($E28&lt;=DATE(2026,12,7)+6,$F28&gt;=DATE(2026,12,7)),1,"")</f>
        <v/>
      </c>
      <c r="X28">
        <f>IF(AND($E28&lt;=DATE(2026,12,14)+6,$F28&gt;=DATE(2026,12,14)),1,"")</f>
        <v/>
      </c>
      <c r="Y28">
        <f>IF(AND($E28&lt;=DATE(2026,12,21)+6,$F28&gt;=DATE(2026,12,21)),1,"")</f>
        <v/>
      </c>
      <c r="Z28">
        <f>IF(AND($E28&lt;=DATE(2026,12,28)+6,$F28&gt;=DATE(2026,12,28)),1,"")</f>
        <v/>
      </c>
      <c r="AA28">
        <f>IF(AND($E28&lt;=DATE(2027,1,4)+6,$F28&gt;=DATE(2027,1,4)),1,"")</f>
        <v/>
      </c>
      <c r="AB28">
        <f>IF(AND($E28&lt;=DATE(2027,1,11)+6,$F28&gt;=DATE(2027,1,11)),1,"")</f>
        <v/>
      </c>
      <c r="AC28">
        <f>IF(AND($E28&lt;=DATE(2027,1,18)+6,$F28&gt;=DATE(2027,1,18)),1,"")</f>
        <v/>
      </c>
      <c r="AD28">
        <f>IF(AND($E28&lt;=DATE(2027,1,25)+6,$F28&gt;=DATE(2027,1,25)),1,"")</f>
        <v/>
      </c>
      <c r="AE28">
        <f>IF(AND($E28&lt;=DATE(2027,2,1)+6,$F28&gt;=DATE(2027,2,1)),1,"")</f>
        <v/>
      </c>
      <c r="AF28">
        <f>IF(AND($E28&lt;=DATE(2027,2,8)+6,$F28&gt;=DATE(2027,2,8)),1,"")</f>
        <v/>
      </c>
      <c r="AG28">
        <f>IF(AND($E28&lt;=DATE(2027,2,15)+6,$F28&gt;=DATE(2027,2,15)),1,"")</f>
        <v/>
      </c>
      <c r="AH28">
        <f>IF(AND($E28&lt;=DATE(2027,2,22)+6,$F28&gt;=DATE(2027,2,22)),1,"")</f>
        <v/>
      </c>
      <c r="AI28">
        <f>IF(AND($E28&lt;=DATE(2027,3,1)+6,$F28&gt;=DATE(2027,3,1)),1,"")</f>
        <v/>
      </c>
      <c r="AJ28">
        <f>IF(AND($E28&lt;=DATE(2027,3,8)+6,$F28&gt;=DATE(2027,3,8)),1,"")</f>
        <v/>
      </c>
      <c r="AK28">
        <f>IF(AND($E28&lt;=DATE(2027,3,15)+6,$F28&gt;=DATE(2027,3,15)),1,"")</f>
        <v/>
      </c>
      <c r="AL28">
        <f>IF(AND($E28&lt;=DATE(2027,3,22)+6,$F28&gt;=DATE(2027,3,22)),1,"")</f>
        <v/>
      </c>
      <c r="AM28">
        <f>IF(AND($E28&lt;=DATE(2027,3,29)+6,$F28&gt;=DATE(2027,3,29)),1,"")</f>
        <v/>
      </c>
      <c r="AN28">
        <f>IF(AND($E28&lt;=DATE(2027,4,5)+6,$F28&gt;=DATE(2027,4,5)),1,"")</f>
        <v/>
      </c>
      <c r="AO28">
        <f>IF(AND($E28&lt;=DATE(2027,4,12)+6,$F28&gt;=DATE(2027,4,12)),1,"")</f>
        <v/>
      </c>
      <c r="AP28">
        <f>IF(AND($E28&lt;=DATE(2027,4,19)+6,$F28&gt;=DATE(2027,4,19)),1,"")</f>
        <v/>
      </c>
      <c r="AQ28">
        <f>IF(AND($E28&lt;=DATE(2027,4,26)+6,$F28&gt;=DATE(2027,4,26)),1,"")</f>
        <v/>
      </c>
      <c r="AR28">
        <f>IF(AND($E28&lt;=DATE(2027,5,3)+6,$F28&gt;=DATE(2027,5,3)),1,"")</f>
        <v/>
      </c>
      <c r="AS28">
        <f>IF(AND($E28&lt;=DATE(2027,5,10)+6,$F28&gt;=DATE(2027,5,10)),1,"")</f>
        <v/>
      </c>
      <c r="AT28">
        <f>IF(AND($E28&lt;=DATE(2027,5,17)+6,$F28&gt;=DATE(2027,5,17)),1,"")</f>
        <v/>
      </c>
      <c r="AU28">
        <f>IF(AND($E28&lt;=DATE(2027,5,24)+6,$F28&gt;=DATE(2027,5,24)),1,"")</f>
        <v/>
      </c>
      <c r="AV28">
        <f>IF(AND($E28&lt;=DATE(2027,5,31)+6,$F28&gt;=DATE(2027,5,31)),1,"")</f>
        <v/>
      </c>
      <c r="AW28">
        <f>IF(AND($E28&lt;=DATE(2027,6,7)+6,$F28&gt;=DATE(2027,6,7)),1,"")</f>
        <v/>
      </c>
      <c r="AX28">
        <f>IF(AND($E28&lt;=DATE(2027,6,14)+6,$F28&gt;=DATE(2027,6,14)),1,"")</f>
        <v/>
      </c>
      <c r="AY28">
        <f>IF(AND($E28&lt;=DATE(2027,6,21)+6,$F28&gt;=DATE(2027,6,21)),1,"")</f>
        <v/>
      </c>
      <c r="AZ28">
        <f>IF(AND($E28&lt;=DATE(2027,6,28)+6,$F28&gt;=DATE(2027,6,28)),1,"")</f>
        <v/>
      </c>
      <c r="BA28">
        <f>IF(AND($E28&lt;=DATE(2027,7,5)+6,$F28&gt;=DATE(2027,7,5)),1,"")</f>
        <v/>
      </c>
      <c r="BB28">
        <f>IF(AND($E28&lt;=DATE(2027,7,12)+6,$F28&gt;=DATE(2027,7,12)),1,"")</f>
        <v/>
      </c>
      <c r="BC28">
        <f>IF(AND($E28&lt;=DATE(2027,7,19)+6,$F28&gt;=DATE(2027,7,19)),1,"")</f>
        <v/>
      </c>
      <c r="BD28">
        <f>IF(AND($E28&lt;=DATE(2027,7,26)+6,$F28&gt;=DATE(2027,7,26)),1,"")</f>
        <v/>
      </c>
      <c r="BE28">
        <f>IF(AND($E28&lt;=DATE(2027,8,2)+6,$F28&gt;=DATE(2027,8,2)),1,"")</f>
        <v/>
      </c>
      <c r="BF28">
        <f>IF(AND($E28&lt;=DATE(2027,8,9)+6,$F28&gt;=DATE(2027,8,9)),1,"")</f>
        <v/>
      </c>
      <c r="BG28">
        <f>IF(AND($E28&lt;=DATE(2027,8,16)+6,$F28&gt;=DATE(2027,8,16)),1,"")</f>
        <v/>
      </c>
      <c r="BH28">
        <f>IF(AND($E28&lt;=DATE(2027,8,23)+6,$F28&gt;=DATE(2027,8,23)),1,"")</f>
        <v/>
      </c>
      <c r="BI28">
        <f>IF(AND($E28&lt;=DATE(2027,8,30)+6,$F28&gt;=DATE(2027,8,30)),1,"")</f>
        <v/>
      </c>
      <c r="BJ28">
        <f>IF(AND($E28&lt;=DATE(2027,9,6)+6,$F28&gt;=DATE(2027,9,6)),1,"")</f>
        <v/>
      </c>
      <c r="BK28">
        <f>IF(AND($E28&lt;=DATE(2027,9,13)+6,$F28&gt;=DATE(2027,9,13)),1,"")</f>
        <v/>
      </c>
      <c r="BL28">
        <f>IF(AND($E28&lt;=DATE(2027,9,20)+6,$F28&gt;=DATE(2027,9,20)),1,"")</f>
        <v/>
      </c>
      <c r="BM28">
        <f>IF(AND($E28&lt;=DATE(2027,9,27)+6,$F28&gt;=DATE(2027,9,27)),1,"")</f>
        <v/>
      </c>
    </row>
    <row r="29">
      <c r="A29" t="inlineStr">
        <is>
          <t>5.5</t>
        </is>
      </c>
      <c r="B29" t="inlineStr">
        <is>
          <t>Diwali gift production &amp; dispatch</t>
        </is>
      </c>
      <c r="C29" t="inlineStr">
        <is>
          <t>Production lead</t>
        </is>
      </c>
      <c r="D29" t="inlineStr">
        <is>
          <t>Phase 1</t>
        </is>
      </c>
      <c r="E29" s="9" t="n">
        <v>46315</v>
      </c>
      <c r="F29" s="9" t="n">
        <v>46332</v>
      </c>
      <c r="G29">
        <f>F29-E29+1</f>
        <v/>
      </c>
      <c r="H29" t="inlineStr">
        <is>
          <t>5.1</t>
        </is>
      </c>
      <c r="I29" t="inlineStr">
        <is>
          <t>Delivered orders</t>
        </is>
      </c>
      <c r="J29" t="inlineStr">
        <is>
          <t>Not started</t>
        </is>
      </c>
      <c r="K29" s="10" t="n">
        <v>0</v>
      </c>
      <c r="L29">
        <f>IF(AND($E29&lt;=DATE(2026,9,21)+6,$F29&gt;=DATE(2026,9,21)),1,"")</f>
        <v/>
      </c>
      <c r="M29">
        <f>IF(AND($E29&lt;=DATE(2026,9,28)+6,$F29&gt;=DATE(2026,9,28)),1,"")</f>
        <v/>
      </c>
      <c r="N29">
        <f>IF(AND($E29&lt;=DATE(2026,10,5)+6,$F29&gt;=DATE(2026,10,5)),1,"")</f>
        <v/>
      </c>
      <c r="O29">
        <f>IF(AND($E29&lt;=DATE(2026,10,12)+6,$F29&gt;=DATE(2026,10,12)),1,"")</f>
        <v/>
      </c>
      <c r="P29">
        <f>IF(AND($E29&lt;=DATE(2026,10,19)+6,$F29&gt;=DATE(2026,10,19)),1,"")</f>
        <v/>
      </c>
      <c r="Q29">
        <f>IF(AND($E29&lt;=DATE(2026,10,26)+6,$F29&gt;=DATE(2026,10,26)),1,"")</f>
        <v/>
      </c>
      <c r="R29">
        <f>IF(AND($E29&lt;=DATE(2026,11,2)+6,$F29&gt;=DATE(2026,11,2)),1,"")</f>
        <v/>
      </c>
      <c r="S29">
        <f>IF(AND($E29&lt;=DATE(2026,11,9)+6,$F29&gt;=DATE(2026,11,9)),1,"")</f>
        <v/>
      </c>
      <c r="T29">
        <f>IF(AND($E29&lt;=DATE(2026,11,16)+6,$F29&gt;=DATE(2026,11,16)),1,"")</f>
        <v/>
      </c>
      <c r="U29">
        <f>IF(AND($E29&lt;=DATE(2026,11,23)+6,$F29&gt;=DATE(2026,11,23)),1,"")</f>
        <v/>
      </c>
      <c r="V29">
        <f>IF(AND($E29&lt;=DATE(2026,11,30)+6,$F29&gt;=DATE(2026,11,30)),1,"")</f>
        <v/>
      </c>
      <c r="W29">
        <f>IF(AND($E29&lt;=DATE(2026,12,7)+6,$F29&gt;=DATE(2026,12,7)),1,"")</f>
        <v/>
      </c>
      <c r="X29">
        <f>IF(AND($E29&lt;=DATE(2026,12,14)+6,$F29&gt;=DATE(2026,12,14)),1,"")</f>
        <v/>
      </c>
      <c r="Y29">
        <f>IF(AND($E29&lt;=DATE(2026,12,21)+6,$F29&gt;=DATE(2026,12,21)),1,"")</f>
        <v/>
      </c>
      <c r="Z29">
        <f>IF(AND($E29&lt;=DATE(2026,12,28)+6,$F29&gt;=DATE(2026,12,28)),1,"")</f>
        <v/>
      </c>
      <c r="AA29">
        <f>IF(AND($E29&lt;=DATE(2027,1,4)+6,$F29&gt;=DATE(2027,1,4)),1,"")</f>
        <v/>
      </c>
      <c r="AB29">
        <f>IF(AND($E29&lt;=DATE(2027,1,11)+6,$F29&gt;=DATE(2027,1,11)),1,"")</f>
        <v/>
      </c>
      <c r="AC29">
        <f>IF(AND($E29&lt;=DATE(2027,1,18)+6,$F29&gt;=DATE(2027,1,18)),1,"")</f>
        <v/>
      </c>
      <c r="AD29">
        <f>IF(AND($E29&lt;=DATE(2027,1,25)+6,$F29&gt;=DATE(2027,1,25)),1,"")</f>
        <v/>
      </c>
      <c r="AE29">
        <f>IF(AND($E29&lt;=DATE(2027,2,1)+6,$F29&gt;=DATE(2027,2,1)),1,"")</f>
        <v/>
      </c>
      <c r="AF29">
        <f>IF(AND($E29&lt;=DATE(2027,2,8)+6,$F29&gt;=DATE(2027,2,8)),1,"")</f>
        <v/>
      </c>
      <c r="AG29">
        <f>IF(AND($E29&lt;=DATE(2027,2,15)+6,$F29&gt;=DATE(2027,2,15)),1,"")</f>
        <v/>
      </c>
      <c r="AH29">
        <f>IF(AND($E29&lt;=DATE(2027,2,22)+6,$F29&gt;=DATE(2027,2,22)),1,"")</f>
        <v/>
      </c>
      <c r="AI29">
        <f>IF(AND($E29&lt;=DATE(2027,3,1)+6,$F29&gt;=DATE(2027,3,1)),1,"")</f>
        <v/>
      </c>
      <c r="AJ29">
        <f>IF(AND($E29&lt;=DATE(2027,3,8)+6,$F29&gt;=DATE(2027,3,8)),1,"")</f>
        <v/>
      </c>
      <c r="AK29">
        <f>IF(AND($E29&lt;=DATE(2027,3,15)+6,$F29&gt;=DATE(2027,3,15)),1,"")</f>
        <v/>
      </c>
      <c r="AL29">
        <f>IF(AND($E29&lt;=DATE(2027,3,22)+6,$F29&gt;=DATE(2027,3,22)),1,"")</f>
        <v/>
      </c>
      <c r="AM29">
        <f>IF(AND($E29&lt;=DATE(2027,3,29)+6,$F29&gt;=DATE(2027,3,29)),1,"")</f>
        <v/>
      </c>
      <c r="AN29">
        <f>IF(AND($E29&lt;=DATE(2027,4,5)+6,$F29&gt;=DATE(2027,4,5)),1,"")</f>
        <v/>
      </c>
      <c r="AO29">
        <f>IF(AND($E29&lt;=DATE(2027,4,12)+6,$F29&gt;=DATE(2027,4,12)),1,"")</f>
        <v/>
      </c>
      <c r="AP29">
        <f>IF(AND($E29&lt;=DATE(2027,4,19)+6,$F29&gt;=DATE(2027,4,19)),1,"")</f>
        <v/>
      </c>
      <c r="AQ29">
        <f>IF(AND($E29&lt;=DATE(2027,4,26)+6,$F29&gt;=DATE(2027,4,26)),1,"")</f>
        <v/>
      </c>
      <c r="AR29">
        <f>IF(AND($E29&lt;=DATE(2027,5,3)+6,$F29&gt;=DATE(2027,5,3)),1,"")</f>
        <v/>
      </c>
      <c r="AS29">
        <f>IF(AND($E29&lt;=DATE(2027,5,10)+6,$F29&gt;=DATE(2027,5,10)),1,"")</f>
        <v/>
      </c>
      <c r="AT29">
        <f>IF(AND($E29&lt;=DATE(2027,5,17)+6,$F29&gt;=DATE(2027,5,17)),1,"")</f>
        <v/>
      </c>
      <c r="AU29">
        <f>IF(AND($E29&lt;=DATE(2027,5,24)+6,$F29&gt;=DATE(2027,5,24)),1,"")</f>
        <v/>
      </c>
      <c r="AV29">
        <f>IF(AND($E29&lt;=DATE(2027,5,31)+6,$F29&gt;=DATE(2027,5,31)),1,"")</f>
        <v/>
      </c>
      <c r="AW29">
        <f>IF(AND($E29&lt;=DATE(2027,6,7)+6,$F29&gt;=DATE(2027,6,7)),1,"")</f>
        <v/>
      </c>
      <c r="AX29">
        <f>IF(AND($E29&lt;=DATE(2027,6,14)+6,$F29&gt;=DATE(2027,6,14)),1,"")</f>
        <v/>
      </c>
      <c r="AY29">
        <f>IF(AND($E29&lt;=DATE(2027,6,21)+6,$F29&gt;=DATE(2027,6,21)),1,"")</f>
        <v/>
      </c>
      <c r="AZ29">
        <f>IF(AND($E29&lt;=DATE(2027,6,28)+6,$F29&gt;=DATE(2027,6,28)),1,"")</f>
        <v/>
      </c>
      <c r="BA29">
        <f>IF(AND($E29&lt;=DATE(2027,7,5)+6,$F29&gt;=DATE(2027,7,5)),1,"")</f>
        <v/>
      </c>
      <c r="BB29">
        <f>IF(AND($E29&lt;=DATE(2027,7,12)+6,$F29&gt;=DATE(2027,7,12)),1,"")</f>
        <v/>
      </c>
      <c r="BC29">
        <f>IF(AND($E29&lt;=DATE(2027,7,19)+6,$F29&gt;=DATE(2027,7,19)),1,"")</f>
        <v/>
      </c>
      <c r="BD29">
        <f>IF(AND($E29&lt;=DATE(2027,7,26)+6,$F29&gt;=DATE(2027,7,26)),1,"")</f>
        <v/>
      </c>
      <c r="BE29">
        <f>IF(AND($E29&lt;=DATE(2027,8,2)+6,$F29&gt;=DATE(2027,8,2)),1,"")</f>
        <v/>
      </c>
      <c r="BF29">
        <f>IF(AND($E29&lt;=DATE(2027,8,9)+6,$F29&gt;=DATE(2027,8,9)),1,"")</f>
        <v/>
      </c>
      <c r="BG29">
        <f>IF(AND($E29&lt;=DATE(2027,8,16)+6,$F29&gt;=DATE(2027,8,16)),1,"")</f>
        <v/>
      </c>
      <c r="BH29">
        <f>IF(AND($E29&lt;=DATE(2027,8,23)+6,$F29&gt;=DATE(2027,8,23)),1,"")</f>
        <v/>
      </c>
      <c r="BI29">
        <f>IF(AND($E29&lt;=DATE(2027,8,30)+6,$F29&gt;=DATE(2027,8,30)),1,"")</f>
        <v/>
      </c>
      <c r="BJ29">
        <f>IF(AND($E29&lt;=DATE(2027,9,6)+6,$F29&gt;=DATE(2027,9,6)),1,"")</f>
        <v/>
      </c>
      <c r="BK29">
        <f>IF(AND($E29&lt;=DATE(2027,9,13)+6,$F29&gt;=DATE(2027,9,13)),1,"")</f>
        <v/>
      </c>
      <c r="BL29">
        <f>IF(AND($E29&lt;=DATE(2027,9,20)+6,$F29&gt;=DATE(2027,9,20)),1,"")</f>
        <v/>
      </c>
      <c r="BM29">
        <f>IF(AND($E29&lt;=DATE(2027,9,27)+6,$F29&gt;=DATE(2027,9,27)),1,"")</f>
        <v/>
      </c>
    </row>
    <row r="30">
      <c r="A30" t="inlineStr">
        <is>
          <t>5.6</t>
        </is>
      </c>
      <c r="B30" t="inlineStr">
        <is>
          <t>Sell leftovers online / Instagram</t>
        </is>
      </c>
      <c r="C30" t="inlineStr">
        <is>
          <t>DMTT</t>
        </is>
      </c>
      <c r="D30" t="inlineStr">
        <is>
          <t>Phase 1</t>
        </is>
      </c>
      <c r="E30" s="9" t="n">
        <v>46335</v>
      </c>
      <c r="F30" s="9" t="n">
        <v>46346</v>
      </c>
      <c r="G30">
        <f>F30-E30+1</f>
        <v/>
      </c>
      <c r="H30" t="inlineStr">
        <is>
          <t>5.5</t>
        </is>
      </c>
      <c r="I30" t="inlineStr">
        <is>
          <t>Clearance report</t>
        </is>
      </c>
      <c r="J30" t="inlineStr">
        <is>
          <t>Not started</t>
        </is>
      </c>
      <c r="K30" s="10" t="n">
        <v>0</v>
      </c>
      <c r="L30">
        <f>IF(AND($E30&lt;=DATE(2026,9,21)+6,$F30&gt;=DATE(2026,9,21)),1,"")</f>
        <v/>
      </c>
      <c r="M30">
        <f>IF(AND($E30&lt;=DATE(2026,9,28)+6,$F30&gt;=DATE(2026,9,28)),1,"")</f>
        <v/>
      </c>
      <c r="N30">
        <f>IF(AND($E30&lt;=DATE(2026,10,5)+6,$F30&gt;=DATE(2026,10,5)),1,"")</f>
        <v/>
      </c>
      <c r="O30">
        <f>IF(AND($E30&lt;=DATE(2026,10,12)+6,$F30&gt;=DATE(2026,10,12)),1,"")</f>
        <v/>
      </c>
      <c r="P30">
        <f>IF(AND($E30&lt;=DATE(2026,10,19)+6,$F30&gt;=DATE(2026,10,19)),1,"")</f>
        <v/>
      </c>
      <c r="Q30">
        <f>IF(AND($E30&lt;=DATE(2026,10,26)+6,$F30&gt;=DATE(2026,10,26)),1,"")</f>
        <v/>
      </c>
      <c r="R30">
        <f>IF(AND($E30&lt;=DATE(2026,11,2)+6,$F30&gt;=DATE(2026,11,2)),1,"")</f>
        <v/>
      </c>
      <c r="S30">
        <f>IF(AND($E30&lt;=DATE(2026,11,9)+6,$F30&gt;=DATE(2026,11,9)),1,"")</f>
        <v/>
      </c>
      <c r="T30">
        <f>IF(AND($E30&lt;=DATE(2026,11,16)+6,$F30&gt;=DATE(2026,11,16)),1,"")</f>
        <v/>
      </c>
      <c r="U30">
        <f>IF(AND($E30&lt;=DATE(2026,11,23)+6,$F30&gt;=DATE(2026,11,23)),1,"")</f>
        <v/>
      </c>
      <c r="V30">
        <f>IF(AND($E30&lt;=DATE(2026,11,30)+6,$F30&gt;=DATE(2026,11,30)),1,"")</f>
        <v/>
      </c>
      <c r="W30">
        <f>IF(AND($E30&lt;=DATE(2026,12,7)+6,$F30&gt;=DATE(2026,12,7)),1,"")</f>
        <v/>
      </c>
      <c r="X30">
        <f>IF(AND($E30&lt;=DATE(2026,12,14)+6,$F30&gt;=DATE(2026,12,14)),1,"")</f>
        <v/>
      </c>
      <c r="Y30">
        <f>IF(AND($E30&lt;=DATE(2026,12,21)+6,$F30&gt;=DATE(2026,12,21)),1,"")</f>
        <v/>
      </c>
      <c r="Z30">
        <f>IF(AND($E30&lt;=DATE(2026,12,28)+6,$F30&gt;=DATE(2026,12,28)),1,"")</f>
        <v/>
      </c>
      <c r="AA30">
        <f>IF(AND($E30&lt;=DATE(2027,1,4)+6,$F30&gt;=DATE(2027,1,4)),1,"")</f>
        <v/>
      </c>
      <c r="AB30">
        <f>IF(AND($E30&lt;=DATE(2027,1,11)+6,$F30&gt;=DATE(2027,1,11)),1,"")</f>
        <v/>
      </c>
      <c r="AC30">
        <f>IF(AND($E30&lt;=DATE(2027,1,18)+6,$F30&gt;=DATE(2027,1,18)),1,"")</f>
        <v/>
      </c>
      <c r="AD30">
        <f>IF(AND($E30&lt;=DATE(2027,1,25)+6,$F30&gt;=DATE(2027,1,25)),1,"")</f>
        <v/>
      </c>
      <c r="AE30">
        <f>IF(AND($E30&lt;=DATE(2027,2,1)+6,$F30&gt;=DATE(2027,2,1)),1,"")</f>
        <v/>
      </c>
      <c r="AF30">
        <f>IF(AND($E30&lt;=DATE(2027,2,8)+6,$F30&gt;=DATE(2027,2,8)),1,"")</f>
        <v/>
      </c>
      <c r="AG30">
        <f>IF(AND($E30&lt;=DATE(2027,2,15)+6,$F30&gt;=DATE(2027,2,15)),1,"")</f>
        <v/>
      </c>
      <c r="AH30">
        <f>IF(AND($E30&lt;=DATE(2027,2,22)+6,$F30&gt;=DATE(2027,2,22)),1,"")</f>
        <v/>
      </c>
      <c r="AI30">
        <f>IF(AND($E30&lt;=DATE(2027,3,1)+6,$F30&gt;=DATE(2027,3,1)),1,"")</f>
        <v/>
      </c>
      <c r="AJ30">
        <f>IF(AND($E30&lt;=DATE(2027,3,8)+6,$F30&gt;=DATE(2027,3,8)),1,"")</f>
        <v/>
      </c>
      <c r="AK30">
        <f>IF(AND($E30&lt;=DATE(2027,3,15)+6,$F30&gt;=DATE(2027,3,15)),1,"")</f>
        <v/>
      </c>
      <c r="AL30">
        <f>IF(AND($E30&lt;=DATE(2027,3,22)+6,$F30&gt;=DATE(2027,3,22)),1,"")</f>
        <v/>
      </c>
      <c r="AM30">
        <f>IF(AND($E30&lt;=DATE(2027,3,29)+6,$F30&gt;=DATE(2027,3,29)),1,"")</f>
        <v/>
      </c>
      <c r="AN30">
        <f>IF(AND($E30&lt;=DATE(2027,4,5)+6,$F30&gt;=DATE(2027,4,5)),1,"")</f>
        <v/>
      </c>
      <c r="AO30">
        <f>IF(AND($E30&lt;=DATE(2027,4,12)+6,$F30&gt;=DATE(2027,4,12)),1,"")</f>
        <v/>
      </c>
      <c r="AP30">
        <f>IF(AND($E30&lt;=DATE(2027,4,19)+6,$F30&gt;=DATE(2027,4,19)),1,"")</f>
        <v/>
      </c>
      <c r="AQ30">
        <f>IF(AND($E30&lt;=DATE(2027,4,26)+6,$F30&gt;=DATE(2027,4,26)),1,"")</f>
        <v/>
      </c>
      <c r="AR30">
        <f>IF(AND($E30&lt;=DATE(2027,5,3)+6,$F30&gt;=DATE(2027,5,3)),1,"")</f>
        <v/>
      </c>
      <c r="AS30">
        <f>IF(AND($E30&lt;=DATE(2027,5,10)+6,$F30&gt;=DATE(2027,5,10)),1,"")</f>
        <v/>
      </c>
      <c r="AT30">
        <f>IF(AND($E30&lt;=DATE(2027,5,17)+6,$F30&gt;=DATE(2027,5,17)),1,"")</f>
        <v/>
      </c>
      <c r="AU30">
        <f>IF(AND($E30&lt;=DATE(2027,5,24)+6,$F30&gt;=DATE(2027,5,24)),1,"")</f>
        <v/>
      </c>
      <c r="AV30">
        <f>IF(AND($E30&lt;=DATE(2027,5,31)+6,$F30&gt;=DATE(2027,5,31)),1,"")</f>
        <v/>
      </c>
      <c r="AW30">
        <f>IF(AND($E30&lt;=DATE(2027,6,7)+6,$F30&gt;=DATE(2027,6,7)),1,"")</f>
        <v/>
      </c>
      <c r="AX30">
        <f>IF(AND($E30&lt;=DATE(2027,6,14)+6,$F30&gt;=DATE(2027,6,14)),1,"")</f>
        <v/>
      </c>
      <c r="AY30">
        <f>IF(AND($E30&lt;=DATE(2027,6,21)+6,$F30&gt;=DATE(2027,6,21)),1,"")</f>
        <v/>
      </c>
      <c r="AZ30">
        <f>IF(AND($E30&lt;=DATE(2027,6,28)+6,$F30&gt;=DATE(2027,6,28)),1,"")</f>
        <v/>
      </c>
      <c r="BA30">
        <f>IF(AND($E30&lt;=DATE(2027,7,5)+6,$F30&gt;=DATE(2027,7,5)),1,"")</f>
        <v/>
      </c>
      <c r="BB30">
        <f>IF(AND($E30&lt;=DATE(2027,7,12)+6,$F30&gt;=DATE(2027,7,12)),1,"")</f>
        <v/>
      </c>
      <c r="BC30">
        <f>IF(AND($E30&lt;=DATE(2027,7,19)+6,$F30&gt;=DATE(2027,7,19)),1,"")</f>
        <v/>
      </c>
      <c r="BD30">
        <f>IF(AND($E30&lt;=DATE(2027,7,26)+6,$F30&gt;=DATE(2027,7,26)),1,"")</f>
        <v/>
      </c>
      <c r="BE30">
        <f>IF(AND($E30&lt;=DATE(2027,8,2)+6,$F30&gt;=DATE(2027,8,2)),1,"")</f>
        <v/>
      </c>
      <c r="BF30">
        <f>IF(AND($E30&lt;=DATE(2027,8,9)+6,$F30&gt;=DATE(2027,8,9)),1,"")</f>
        <v/>
      </c>
      <c r="BG30">
        <f>IF(AND($E30&lt;=DATE(2027,8,16)+6,$F30&gt;=DATE(2027,8,16)),1,"")</f>
        <v/>
      </c>
      <c r="BH30">
        <f>IF(AND($E30&lt;=DATE(2027,8,23)+6,$F30&gt;=DATE(2027,8,23)),1,"")</f>
        <v/>
      </c>
      <c r="BI30">
        <f>IF(AND($E30&lt;=DATE(2027,8,30)+6,$F30&gt;=DATE(2027,8,30)),1,"")</f>
        <v/>
      </c>
      <c r="BJ30">
        <f>IF(AND($E30&lt;=DATE(2027,9,6)+6,$F30&gt;=DATE(2027,9,6)),1,"")</f>
        <v/>
      </c>
      <c r="BK30">
        <f>IF(AND($E30&lt;=DATE(2027,9,13)+6,$F30&gt;=DATE(2027,9,13)),1,"")</f>
        <v/>
      </c>
      <c r="BL30">
        <f>IF(AND($E30&lt;=DATE(2027,9,20)+6,$F30&gt;=DATE(2027,9,20)),1,"")</f>
        <v/>
      </c>
      <c r="BM30">
        <f>IF(AND($E30&lt;=DATE(2027,9,27)+6,$F30&gt;=DATE(2027,9,27)),1,"")</f>
        <v/>
      </c>
    </row>
    <row r="31">
      <c r="A31" t="inlineStr">
        <is>
          <t>5.7</t>
        </is>
      </c>
      <c r="B31" t="inlineStr">
        <is>
          <t>Pilot review &amp; lessons learned</t>
        </is>
      </c>
      <c r="C31" t="inlineStr">
        <is>
          <t>Mukunda Dasa</t>
        </is>
      </c>
      <c r="D31" t="inlineStr">
        <is>
          <t>Phase 1</t>
        </is>
      </c>
      <c r="E31" s="9" t="n">
        <v>46349</v>
      </c>
      <c r="F31" s="9" t="n">
        <v>46356</v>
      </c>
      <c r="G31">
        <f>F31-E31+1</f>
        <v/>
      </c>
      <c r="H31" t="inlineStr">
        <is>
          <t>5.6</t>
        </is>
      </c>
      <c r="I31" t="inlineStr">
        <is>
          <t>Review deck</t>
        </is>
      </c>
      <c r="J31" t="inlineStr">
        <is>
          <t>Not started</t>
        </is>
      </c>
      <c r="K31" s="10" t="n">
        <v>0</v>
      </c>
      <c r="L31">
        <f>IF(AND($E31&lt;=DATE(2026,9,21)+6,$F31&gt;=DATE(2026,9,21)),1,"")</f>
        <v/>
      </c>
      <c r="M31">
        <f>IF(AND($E31&lt;=DATE(2026,9,28)+6,$F31&gt;=DATE(2026,9,28)),1,"")</f>
        <v/>
      </c>
      <c r="N31">
        <f>IF(AND($E31&lt;=DATE(2026,10,5)+6,$F31&gt;=DATE(2026,10,5)),1,"")</f>
        <v/>
      </c>
      <c r="O31">
        <f>IF(AND($E31&lt;=DATE(2026,10,12)+6,$F31&gt;=DATE(2026,10,12)),1,"")</f>
        <v/>
      </c>
      <c r="P31">
        <f>IF(AND($E31&lt;=DATE(2026,10,19)+6,$F31&gt;=DATE(2026,10,19)),1,"")</f>
        <v/>
      </c>
      <c r="Q31">
        <f>IF(AND($E31&lt;=DATE(2026,10,26)+6,$F31&gt;=DATE(2026,10,26)),1,"")</f>
        <v/>
      </c>
      <c r="R31">
        <f>IF(AND($E31&lt;=DATE(2026,11,2)+6,$F31&gt;=DATE(2026,11,2)),1,"")</f>
        <v/>
      </c>
      <c r="S31">
        <f>IF(AND($E31&lt;=DATE(2026,11,9)+6,$F31&gt;=DATE(2026,11,9)),1,"")</f>
        <v/>
      </c>
      <c r="T31">
        <f>IF(AND($E31&lt;=DATE(2026,11,16)+6,$F31&gt;=DATE(2026,11,16)),1,"")</f>
        <v/>
      </c>
      <c r="U31">
        <f>IF(AND($E31&lt;=DATE(2026,11,23)+6,$F31&gt;=DATE(2026,11,23)),1,"")</f>
        <v/>
      </c>
      <c r="V31">
        <f>IF(AND($E31&lt;=DATE(2026,11,30)+6,$F31&gt;=DATE(2026,11,30)),1,"")</f>
        <v/>
      </c>
      <c r="W31">
        <f>IF(AND($E31&lt;=DATE(2026,12,7)+6,$F31&gt;=DATE(2026,12,7)),1,"")</f>
        <v/>
      </c>
      <c r="X31">
        <f>IF(AND($E31&lt;=DATE(2026,12,14)+6,$F31&gt;=DATE(2026,12,14)),1,"")</f>
        <v/>
      </c>
      <c r="Y31">
        <f>IF(AND($E31&lt;=DATE(2026,12,21)+6,$F31&gt;=DATE(2026,12,21)),1,"")</f>
        <v/>
      </c>
      <c r="Z31">
        <f>IF(AND($E31&lt;=DATE(2026,12,28)+6,$F31&gt;=DATE(2026,12,28)),1,"")</f>
        <v/>
      </c>
      <c r="AA31">
        <f>IF(AND($E31&lt;=DATE(2027,1,4)+6,$F31&gt;=DATE(2027,1,4)),1,"")</f>
        <v/>
      </c>
      <c r="AB31">
        <f>IF(AND($E31&lt;=DATE(2027,1,11)+6,$F31&gt;=DATE(2027,1,11)),1,"")</f>
        <v/>
      </c>
      <c r="AC31">
        <f>IF(AND($E31&lt;=DATE(2027,1,18)+6,$F31&gt;=DATE(2027,1,18)),1,"")</f>
        <v/>
      </c>
      <c r="AD31">
        <f>IF(AND($E31&lt;=DATE(2027,1,25)+6,$F31&gt;=DATE(2027,1,25)),1,"")</f>
        <v/>
      </c>
      <c r="AE31">
        <f>IF(AND($E31&lt;=DATE(2027,2,1)+6,$F31&gt;=DATE(2027,2,1)),1,"")</f>
        <v/>
      </c>
      <c r="AF31">
        <f>IF(AND($E31&lt;=DATE(2027,2,8)+6,$F31&gt;=DATE(2027,2,8)),1,"")</f>
        <v/>
      </c>
      <c r="AG31">
        <f>IF(AND($E31&lt;=DATE(2027,2,15)+6,$F31&gt;=DATE(2027,2,15)),1,"")</f>
        <v/>
      </c>
      <c r="AH31">
        <f>IF(AND($E31&lt;=DATE(2027,2,22)+6,$F31&gt;=DATE(2027,2,22)),1,"")</f>
        <v/>
      </c>
      <c r="AI31">
        <f>IF(AND($E31&lt;=DATE(2027,3,1)+6,$F31&gt;=DATE(2027,3,1)),1,"")</f>
        <v/>
      </c>
      <c r="AJ31">
        <f>IF(AND($E31&lt;=DATE(2027,3,8)+6,$F31&gt;=DATE(2027,3,8)),1,"")</f>
        <v/>
      </c>
      <c r="AK31">
        <f>IF(AND($E31&lt;=DATE(2027,3,15)+6,$F31&gt;=DATE(2027,3,15)),1,"")</f>
        <v/>
      </c>
      <c r="AL31">
        <f>IF(AND($E31&lt;=DATE(2027,3,22)+6,$F31&gt;=DATE(2027,3,22)),1,"")</f>
        <v/>
      </c>
      <c r="AM31">
        <f>IF(AND($E31&lt;=DATE(2027,3,29)+6,$F31&gt;=DATE(2027,3,29)),1,"")</f>
        <v/>
      </c>
      <c r="AN31">
        <f>IF(AND($E31&lt;=DATE(2027,4,5)+6,$F31&gt;=DATE(2027,4,5)),1,"")</f>
        <v/>
      </c>
      <c r="AO31">
        <f>IF(AND($E31&lt;=DATE(2027,4,12)+6,$F31&gt;=DATE(2027,4,12)),1,"")</f>
        <v/>
      </c>
      <c r="AP31">
        <f>IF(AND($E31&lt;=DATE(2027,4,19)+6,$F31&gt;=DATE(2027,4,19)),1,"")</f>
        <v/>
      </c>
      <c r="AQ31">
        <f>IF(AND($E31&lt;=DATE(2027,4,26)+6,$F31&gt;=DATE(2027,4,26)),1,"")</f>
        <v/>
      </c>
      <c r="AR31">
        <f>IF(AND($E31&lt;=DATE(2027,5,3)+6,$F31&gt;=DATE(2027,5,3)),1,"")</f>
        <v/>
      </c>
      <c r="AS31">
        <f>IF(AND($E31&lt;=DATE(2027,5,10)+6,$F31&gt;=DATE(2027,5,10)),1,"")</f>
        <v/>
      </c>
      <c r="AT31">
        <f>IF(AND($E31&lt;=DATE(2027,5,17)+6,$F31&gt;=DATE(2027,5,17)),1,"")</f>
        <v/>
      </c>
      <c r="AU31">
        <f>IF(AND($E31&lt;=DATE(2027,5,24)+6,$F31&gt;=DATE(2027,5,24)),1,"")</f>
        <v/>
      </c>
      <c r="AV31">
        <f>IF(AND($E31&lt;=DATE(2027,5,31)+6,$F31&gt;=DATE(2027,5,31)),1,"")</f>
        <v/>
      </c>
      <c r="AW31">
        <f>IF(AND($E31&lt;=DATE(2027,6,7)+6,$F31&gt;=DATE(2027,6,7)),1,"")</f>
        <v/>
      </c>
      <c r="AX31">
        <f>IF(AND($E31&lt;=DATE(2027,6,14)+6,$F31&gt;=DATE(2027,6,14)),1,"")</f>
        <v/>
      </c>
      <c r="AY31">
        <f>IF(AND($E31&lt;=DATE(2027,6,21)+6,$F31&gt;=DATE(2027,6,21)),1,"")</f>
        <v/>
      </c>
      <c r="AZ31">
        <f>IF(AND($E31&lt;=DATE(2027,6,28)+6,$F31&gt;=DATE(2027,6,28)),1,"")</f>
        <v/>
      </c>
      <c r="BA31">
        <f>IF(AND($E31&lt;=DATE(2027,7,5)+6,$F31&gt;=DATE(2027,7,5)),1,"")</f>
        <v/>
      </c>
      <c r="BB31">
        <f>IF(AND($E31&lt;=DATE(2027,7,12)+6,$F31&gt;=DATE(2027,7,12)),1,"")</f>
        <v/>
      </c>
      <c r="BC31">
        <f>IF(AND($E31&lt;=DATE(2027,7,19)+6,$F31&gt;=DATE(2027,7,19)),1,"")</f>
        <v/>
      </c>
      <c r="BD31">
        <f>IF(AND($E31&lt;=DATE(2027,7,26)+6,$F31&gt;=DATE(2027,7,26)),1,"")</f>
        <v/>
      </c>
      <c r="BE31">
        <f>IF(AND($E31&lt;=DATE(2027,8,2)+6,$F31&gt;=DATE(2027,8,2)),1,"")</f>
        <v/>
      </c>
      <c r="BF31">
        <f>IF(AND($E31&lt;=DATE(2027,8,9)+6,$F31&gt;=DATE(2027,8,9)),1,"")</f>
        <v/>
      </c>
      <c r="BG31">
        <f>IF(AND($E31&lt;=DATE(2027,8,16)+6,$F31&gt;=DATE(2027,8,16)),1,"")</f>
        <v/>
      </c>
      <c r="BH31">
        <f>IF(AND($E31&lt;=DATE(2027,8,23)+6,$F31&gt;=DATE(2027,8,23)),1,"")</f>
        <v/>
      </c>
      <c r="BI31">
        <f>IF(AND($E31&lt;=DATE(2027,8,30)+6,$F31&gt;=DATE(2027,8,30)),1,"")</f>
        <v/>
      </c>
      <c r="BJ31">
        <f>IF(AND($E31&lt;=DATE(2027,9,6)+6,$F31&gt;=DATE(2027,9,6)),1,"")</f>
        <v/>
      </c>
      <c r="BK31">
        <f>IF(AND($E31&lt;=DATE(2027,9,13)+6,$F31&gt;=DATE(2027,9,13)),1,"")</f>
        <v/>
      </c>
      <c r="BL31">
        <f>IF(AND($E31&lt;=DATE(2027,9,20)+6,$F31&gt;=DATE(2027,9,20)),1,"")</f>
        <v/>
      </c>
      <c r="BM31">
        <f>IF(AND($E31&lt;=DATE(2027,9,27)+6,$F31&gt;=DATE(2027,9,27)),1,"")</f>
        <v/>
      </c>
    </row>
    <row r="32">
      <c r="A32" s="6" t="inlineStr">
        <is>
          <t>6</t>
        </is>
      </c>
      <c r="B32" s="6" t="inlineStr">
        <is>
          <t>Channel launch</t>
        </is>
      </c>
      <c r="C32" s="6" t="inlineStr"/>
      <c r="D32" s="6" t="inlineStr">
        <is>
          <t>Phase 2</t>
        </is>
      </c>
      <c r="E32" s="7" t="n">
        <v>46357</v>
      </c>
      <c r="F32" s="7" t="n">
        <v>46477</v>
      </c>
      <c r="G32" s="6">
        <f>F32-E32+1</f>
        <v/>
      </c>
      <c r="H32" s="6" t="inlineStr"/>
      <c r="I32" s="6" t="inlineStr"/>
      <c r="J32" s="6" t="inlineStr"/>
      <c r="K32" s="8" t="n"/>
      <c r="L32">
        <f>IF(AND($E32&lt;=DATE(2026,9,21)+6,$F32&gt;=DATE(2026,9,21)),1,"")</f>
        <v/>
      </c>
      <c r="M32">
        <f>IF(AND($E32&lt;=DATE(2026,9,28)+6,$F32&gt;=DATE(2026,9,28)),1,"")</f>
        <v/>
      </c>
      <c r="N32">
        <f>IF(AND($E32&lt;=DATE(2026,10,5)+6,$F32&gt;=DATE(2026,10,5)),1,"")</f>
        <v/>
      </c>
      <c r="O32">
        <f>IF(AND($E32&lt;=DATE(2026,10,12)+6,$F32&gt;=DATE(2026,10,12)),1,"")</f>
        <v/>
      </c>
      <c r="P32">
        <f>IF(AND($E32&lt;=DATE(2026,10,19)+6,$F32&gt;=DATE(2026,10,19)),1,"")</f>
        <v/>
      </c>
      <c r="Q32">
        <f>IF(AND($E32&lt;=DATE(2026,10,26)+6,$F32&gt;=DATE(2026,10,26)),1,"")</f>
        <v/>
      </c>
      <c r="R32">
        <f>IF(AND($E32&lt;=DATE(2026,11,2)+6,$F32&gt;=DATE(2026,11,2)),1,"")</f>
        <v/>
      </c>
      <c r="S32">
        <f>IF(AND($E32&lt;=DATE(2026,11,9)+6,$F32&gt;=DATE(2026,11,9)),1,"")</f>
        <v/>
      </c>
      <c r="T32">
        <f>IF(AND($E32&lt;=DATE(2026,11,16)+6,$F32&gt;=DATE(2026,11,16)),1,"")</f>
        <v/>
      </c>
      <c r="U32">
        <f>IF(AND($E32&lt;=DATE(2026,11,23)+6,$F32&gt;=DATE(2026,11,23)),1,"")</f>
        <v/>
      </c>
      <c r="V32">
        <f>IF(AND($E32&lt;=DATE(2026,11,30)+6,$F32&gt;=DATE(2026,11,30)),1,"")</f>
        <v/>
      </c>
      <c r="W32">
        <f>IF(AND($E32&lt;=DATE(2026,12,7)+6,$F32&gt;=DATE(2026,12,7)),1,"")</f>
        <v/>
      </c>
      <c r="X32">
        <f>IF(AND($E32&lt;=DATE(2026,12,14)+6,$F32&gt;=DATE(2026,12,14)),1,"")</f>
        <v/>
      </c>
      <c r="Y32">
        <f>IF(AND($E32&lt;=DATE(2026,12,21)+6,$F32&gt;=DATE(2026,12,21)),1,"")</f>
        <v/>
      </c>
      <c r="Z32">
        <f>IF(AND($E32&lt;=DATE(2026,12,28)+6,$F32&gt;=DATE(2026,12,28)),1,"")</f>
        <v/>
      </c>
      <c r="AA32">
        <f>IF(AND($E32&lt;=DATE(2027,1,4)+6,$F32&gt;=DATE(2027,1,4)),1,"")</f>
        <v/>
      </c>
      <c r="AB32">
        <f>IF(AND($E32&lt;=DATE(2027,1,11)+6,$F32&gt;=DATE(2027,1,11)),1,"")</f>
        <v/>
      </c>
      <c r="AC32">
        <f>IF(AND($E32&lt;=DATE(2027,1,18)+6,$F32&gt;=DATE(2027,1,18)),1,"")</f>
        <v/>
      </c>
      <c r="AD32">
        <f>IF(AND($E32&lt;=DATE(2027,1,25)+6,$F32&gt;=DATE(2027,1,25)),1,"")</f>
        <v/>
      </c>
      <c r="AE32">
        <f>IF(AND($E32&lt;=DATE(2027,2,1)+6,$F32&gt;=DATE(2027,2,1)),1,"")</f>
        <v/>
      </c>
      <c r="AF32">
        <f>IF(AND($E32&lt;=DATE(2027,2,8)+6,$F32&gt;=DATE(2027,2,8)),1,"")</f>
        <v/>
      </c>
      <c r="AG32">
        <f>IF(AND($E32&lt;=DATE(2027,2,15)+6,$F32&gt;=DATE(2027,2,15)),1,"")</f>
        <v/>
      </c>
      <c r="AH32">
        <f>IF(AND($E32&lt;=DATE(2027,2,22)+6,$F32&gt;=DATE(2027,2,22)),1,"")</f>
        <v/>
      </c>
      <c r="AI32">
        <f>IF(AND($E32&lt;=DATE(2027,3,1)+6,$F32&gt;=DATE(2027,3,1)),1,"")</f>
        <v/>
      </c>
      <c r="AJ32">
        <f>IF(AND($E32&lt;=DATE(2027,3,8)+6,$F32&gt;=DATE(2027,3,8)),1,"")</f>
        <v/>
      </c>
      <c r="AK32">
        <f>IF(AND($E32&lt;=DATE(2027,3,15)+6,$F32&gt;=DATE(2027,3,15)),1,"")</f>
        <v/>
      </c>
      <c r="AL32">
        <f>IF(AND($E32&lt;=DATE(2027,3,22)+6,$F32&gt;=DATE(2027,3,22)),1,"")</f>
        <v/>
      </c>
      <c r="AM32">
        <f>IF(AND($E32&lt;=DATE(2027,3,29)+6,$F32&gt;=DATE(2027,3,29)),1,"")</f>
        <v/>
      </c>
      <c r="AN32">
        <f>IF(AND($E32&lt;=DATE(2027,4,5)+6,$F32&gt;=DATE(2027,4,5)),1,"")</f>
        <v/>
      </c>
      <c r="AO32">
        <f>IF(AND($E32&lt;=DATE(2027,4,12)+6,$F32&gt;=DATE(2027,4,12)),1,"")</f>
        <v/>
      </c>
      <c r="AP32">
        <f>IF(AND($E32&lt;=DATE(2027,4,19)+6,$F32&gt;=DATE(2027,4,19)),1,"")</f>
        <v/>
      </c>
      <c r="AQ32">
        <f>IF(AND($E32&lt;=DATE(2027,4,26)+6,$F32&gt;=DATE(2027,4,26)),1,"")</f>
        <v/>
      </c>
      <c r="AR32">
        <f>IF(AND($E32&lt;=DATE(2027,5,3)+6,$F32&gt;=DATE(2027,5,3)),1,"")</f>
        <v/>
      </c>
      <c r="AS32">
        <f>IF(AND($E32&lt;=DATE(2027,5,10)+6,$F32&gt;=DATE(2027,5,10)),1,"")</f>
        <v/>
      </c>
      <c r="AT32">
        <f>IF(AND($E32&lt;=DATE(2027,5,17)+6,$F32&gt;=DATE(2027,5,17)),1,"")</f>
        <v/>
      </c>
      <c r="AU32">
        <f>IF(AND($E32&lt;=DATE(2027,5,24)+6,$F32&gt;=DATE(2027,5,24)),1,"")</f>
        <v/>
      </c>
      <c r="AV32">
        <f>IF(AND($E32&lt;=DATE(2027,5,31)+6,$F32&gt;=DATE(2027,5,31)),1,"")</f>
        <v/>
      </c>
      <c r="AW32">
        <f>IF(AND($E32&lt;=DATE(2027,6,7)+6,$F32&gt;=DATE(2027,6,7)),1,"")</f>
        <v/>
      </c>
      <c r="AX32">
        <f>IF(AND($E32&lt;=DATE(2027,6,14)+6,$F32&gt;=DATE(2027,6,14)),1,"")</f>
        <v/>
      </c>
      <c r="AY32">
        <f>IF(AND($E32&lt;=DATE(2027,6,21)+6,$F32&gt;=DATE(2027,6,21)),1,"")</f>
        <v/>
      </c>
      <c r="AZ32">
        <f>IF(AND($E32&lt;=DATE(2027,6,28)+6,$F32&gt;=DATE(2027,6,28)),1,"")</f>
        <v/>
      </c>
      <c r="BA32">
        <f>IF(AND($E32&lt;=DATE(2027,7,5)+6,$F32&gt;=DATE(2027,7,5)),1,"")</f>
        <v/>
      </c>
      <c r="BB32">
        <f>IF(AND($E32&lt;=DATE(2027,7,12)+6,$F32&gt;=DATE(2027,7,12)),1,"")</f>
        <v/>
      </c>
      <c r="BC32">
        <f>IF(AND($E32&lt;=DATE(2027,7,19)+6,$F32&gt;=DATE(2027,7,19)),1,"")</f>
        <v/>
      </c>
      <c r="BD32">
        <f>IF(AND($E32&lt;=DATE(2027,7,26)+6,$F32&gt;=DATE(2027,7,26)),1,"")</f>
        <v/>
      </c>
      <c r="BE32">
        <f>IF(AND($E32&lt;=DATE(2027,8,2)+6,$F32&gt;=DATE(2027,8,2)),1,"")</f>
        <v/>
      </c>
      <c r="BF32">
        <f>IF(AND($E32&lt;=DATE(2027,8,9)+6,$F32&gt;=DATE(2027,8,9)),1,"")</f>
        <v/>
      </c>
      <c r="BG32">
        <f>IF(AND($E32&lt;=DATE(2027,8,16)+6,$F32&gt;=DATE(2027,8,16)),1,"")</f>
        <v/>
      </c>
      <c r="BH32">
        <f>IF(AND($E32&lt;=DATE(2027,8,23)+6,$F32&gt;=DATE(2027,8,23)),1,"")</f>
        <v/>
      </c>
      <c r="BI32">
        <f>IF(AND($E32&lt;=DATE(2027,8,30)+6,$F32&gt;=DATE(2027,8,30)),1,"")</f>
        <v/>
      </c>
      <c r="BJ32">
        <f>IF(AND($E32&lt;=DATE(2027,9,6)+6,$F32&gt;=DATE(2027,9,6)),1,"")</f>
        <v/>
      </c>
      <c r="BK32">
        <f>IF(AND($E32&lt;=DATE(2027,9,13)+6,$F32&gt;=DATE(2027,9,13)),1,"")</f>
        <v/>
      </c>
      <c r="BL32">
        <f>IF(AND($E32&lt;=DATE(2027,9,20)+6,$F32&gt;=DATE(2027,9,20)),1,"")</f>
        <v/>
      </c>
      <c r="BM32">
        <f>IF(AND($E32&lt;=DATE(2027,9,27)+6,$F32&gt;=DATE(2027,9,27)),1,"")</f>
        <v/>
      </c>
    </row>
    <row r="33">
      <c r="A33" t="inlineStr">
        <is>
          <t>6.1</t>
        </is>
      </c>
      <c r="B33" t="inlineStr">
        <is>
          <t>Shelf-life lab tests &amp; labels</t>
        </is>
      </c>
      <c r="C33" t="inlineStr">
        <is>
          <t>Quality &amp; compliance</t>
        </is>
      </c>
      <c r="D33" t="inlineStr">
        <is>
          <t>Phase 2</t>
        </is>
      </c>
      <c r="E33" s="9" t="n">
        <v>46357</v>
      </c>
      <c r="F33" s="9" t="n">
        <v>46387</v>
      </c>
      <c r="G33">
        <f>F33-E33+1</f>
        <v/>
      </c>
      <c r="H33" t="inlineStr"/>
      <c r="I33" t="inlineStr">
        <is>
          <t>Test reports</t>
        </is>
      </c>
      <c r="J33" t="inlineStr">
        <is>
          <t>Not started</t>
        </is>
      </c>
      <c r="K33" s="10" t="n">
        <v>0</v>
      </c>
      <c r="L33">
        <f>IF(AND($E33&lt;=DATE(2026,9,21)+6,$F33&gt;=DATE(2026,9,21)),1,"")</f>
        <v/>
      </c>
      <c r="M33">
        <f>IF(AND($E33&lt;=DATE(2026,9,28)+6,$F33&gt;=DATE(2026,9,28)),1,"")</f>
        <v/>
      </c>
      <c r="N33">
        <f>IF(AND($E33&lt;=DATE(2026,10,5)+6,$F33&gt;=DATE(2026,10,5)),1,"")</f>
        <v/>
      </c>
      <c r="O33">
        <f>IF(AND($E33&lt;=DATE(2026,10,12)+6,$F33&gt;=DATE(2026,10,12)),1,"")</f>
        <v/>
      </c>
      <c r="P33">
        <f>IF(AND($E33&lt;=DATE(2026,10,19)+6,$F33&gt;=DATE(2026,10,19)),1,"")</f>
        <v/>
      </c>
      <c r="Q33">
        <f>IF(AND($E33&lt;=DATE(2026,10,26)+6,$F33&gt;=DATE(2026,10,26)),1,"")</f>
        <v/>
      </c>
      <c r="R33">
        <f>IF(AND($E33&lt;=DATE(2026,11,2)+6,$F33&gt;=DATE(2026,11,2)),1,"")</f>
        <v/>
      </c>
      <c r="S33">
        <f>IF(AND($E33&lt;=DATE(2026,11,9)+6,$F33&gt;=DATE(2026,11,9)),1,"")</f>
        <v/>
      </c>
      <c r="T33">
        <f>IF(AND($E33&lt;=DATE(2026,11,16)+6,$F33&gt;=DATE(2026,11,16)),1,"")</f>
        <v/>
      </c>
      <c r="U33">
        <f>IF(AND($E33&lt;=DATE(2026,11,23)+6,$F33&gt;=DATE(2026,11,23)),1,"")</f>
        <v/>
      </c>
      <c r="V33">
        <f>IF(AND($E33&lt;=DATE(2026,11,30)+6,$F33&gt;=DATE(2026,11,30)),1,"")</f>
        <v/>
      </c>
      <c r="W33">
        <f>IF(AND($E33&lt;=DATE(2026,12,7)+6,$F33&gt;=DATE(2026,12,7)),1,"")</f>
        <v/>
      </c>
      <c r="X33">
        <f>IF(AND($E33&lt;=DATE(2026,12,14)+6,$F33&gt;=DATE(2026,12,14)),1,"")</f>
        <v/>
      </c>
      <c r="Y33">
        <f>IF(AND($E33&lt;=DATE(2026,12,21)+6,$F33&gt;=DATE(2026,12,21)),1,"")</f>
        <v/>
      </c>
      <c r="Z33">
        <f>IF(AND($E33&lt;=DATE(2026,12,28)+6,$F33&gt;=DATE(2026,12,28)),1,"")</f>
        <v/>
      </c>
      <c r="AA33">
        <f>IF(AND($E33&lt;=DATE(2027,1,4)+6,$F33&gt;=DATE(2027,1,4)),1,"")</f>
        <v/>
      </c>
      <c r="AB33">
        <f>IF(AND($E33&lt;=DATE(2027,1,11)+6,$F33&gt;=DATE(2027,1,11)),1,"")</f>
        <v/>
      </c>
      <c r="AC33">
        <f>IF(AND($E33&lt;=DATE(2027,1,18)+6,$F33&gt;=DATE(2027,1,18)),1,"")</f>
        <v/>
      </c>
      <c r="AD33">
        <f>IF(AND($E33&lt;=DATE(2027,1,25)+6,$F33&gt;=DATE(2027,1,25)),1,"")</f>
        <v/>
      </c>
      <c r="AE33">
        <f>IF(AND($E33&lt;=DATE(2027,2,1)+6,$F33&gt;=DATE(2027,2,1)),1,"")</f>
        <v/>
      </c>
      <c r="AF33">
        <f>IF(AND($E33&lt;=DATE(2027,2,8)+6,$F33&gt;=DATE(2027,2,8)),1,"")</f>
        <v/>
      </c>
      <c r="AG33">
        <f>IF(AND($E33&lt;=DATE(2027,2,15)+6,$F33&gt;=DATE(2027,2,15)),1,"")</f>
        <v/>
      </c>
      <c r="AH33">
        <f>IF(AND($E33&lt;=DATE(2027,2,22)+6,$F33&gt;=DATE(2027,2,22)),1,"")</f>
        <v/>
      </c>
      <c r="AI33">
        <f>IF(AND($E33&lt;=DATE(2027,3,1)+6,$F33&gt;=DATE(2027,3,1)),1,"")</f>
        <v/>
      </c>
      <c r="AJ33">
        <f>IF(AND($E33&lt;=DATE(2027,3,8)+6,$F33&gt;=DATE(2027,3,8)),1,"")</f>
        <v/>
      </c>
      <c r="AK33">
        <f>IF(AND($E33&lt;=DATE(2027,3,15)+6,$F33&gt;=DATE(2027,3,15)),1,"")</f>
        <v/>
      </c>
      <c r="AL33">
        <f>IF(AND($E33&lt;=DATE(2027,3,22)+6,$F33&gt;=DATE(2027,3,22)),1,"")</f>
        <v/>
      </c>
      <c r="AM33">
        <f>IF(AND($E33&lt;=DATE(2027,3,29)+6,$F33&gt;=DATE(2027,3,29)),1,"")</f>
        <v/>
      </c>
      <c r="AN33">
        <f>IF(AND($E33&lt;=DATE(2027,4,5)+6,$F33&gt;=DATE(2027,4,5)),1,"")</f>
        <v/>
      </c>
      <c r="AO33">
        <f>IF(AND($E33&lt;=DATE(2027,4,12)+6,$F33&gt;=DATE(2027,4,12)),1,"")</f>
        <v/>
      </c>
      <c r="AP33">
        <f>IF(AND($E33&lt;=DATE(2027,4,19)+6,$F33&gt;=DATE(2027,4,19)),1,"")</f>
        <v/>
      </c>
      <c r="AQ33">
        <f>IF(AND($E33&lt;=DATE(2027,4,26)+6,$F33&gt;=DATE(2027,4,26)),1,"")</f>
        <v/>
      </c>
      <c r="AR33">
        <f>IF(AND($E33&lt;=DATE(2027,5,3)+6,$F33&gt;=DATE(2027,5,3)),1,"")</f>
        <v/>
      </c>
      <c r="AS33">
        <f>IF(AND($E33&lt;=DATE(2027,5,10)+6,$F33&gt;=DATE(2027,5,10)),1,"")</f>
        <v/>
      </c>
      <c r="AT33">
        <f>IF(AND($E33&lt;=DATE(2027,5,17)+6,$F33&gt;=DATE(2027,5,17)),1,"")</f>
        <v/>
      </c>
      <c r="AU33">
        <f>IF(AND($E33&lt;=DATE(2027,5,24)+6,$F33&gt;=DATE(2027,5,24)),1,"")</f>
        <v/>
      </c>
      <c r="AV33">
        <f>IF(AND($E33&lt;=DATE(2027,5,31)+6,$F33&gt;=DATE(2027,5,31)),1,"")</f>
        <v/>
      </c>
      <c r="AW33">
        <f>IF(AND($E33&lt;=DATE(2027,6,7)+6,$F33&gt;=DATE(2027,6,7)),1,"")</f>
        <v/>
      </c>
      <c r="AX33">
        <f>IF(AND($E33&lt;=DATE(2027,6,14)+6,$F33&gt;=DATE(2027,6,14)),1,"")</f>
        <v/>
      </c>
      <c r="AY33">
        <f>IF(AND($E33&lt;=DATE(2027,6,21)+6,$F33&gt;=DATE(2027,6,21)),1,"")</f>
        <v/>
      </c>
      <c r="AZ33">
        <f>IF(AND($E33&lt;=DATE(2027,6,28)+6,$F33&gt;=DATE(2027,6,28)),1,"")</f>
        <v/>
      </c>
      <c r="BA33">
        <f>IF(AND($E33&lt;=DATE(2027,7,5)+6,$F33&gt;=DATE(2027,7,5)),1,"")</f>
        <v/>
      </c>
      <c r="BB33">
        <f>IF(AND($E33&lt;=DATE(2027,7,12)+6,$F33&gt;=DATE(2027,7,12)),1,"")</f>
        <v/>
      </c>
      <c r="BC33">
        <f>IF(AND($E33&lt;=DATE(2027,7,19)+6,$F33&gt;=DATE(2027,7,19)),1,"")</f>
        <v/>
      </c>
      <c r="BD33">
        <f>IF(AND($E33&lt;=DATE(2027,7,26)+6,$F33&gt;=DATE(2027,7,26)),1,"")</f>
        <v/>
      </c>
      <c r="BE33">
        <f>IF(AND($E33&lt;=DATE(2027,8,2)+6,$F33&gt;=DATE(2027,8,2)),1,"")</f>
        <v/>
      </c>
      <c r="BF33">
        <f>IF(AND($E33&lt;=DATE(2027,8,9)+6,$F33&gt;=DATE(2027,8,9)),1,"")</f>
        <v/>
      </c>
      <c r="BG33">
        <f>IF(AND($E33&lt;=DATE(2027,8,16)+6,$F33&gt;=DATE(2027,8,16)),1,"")</f>
        <v/>
      </c>
      <c r="BH33">
        <f>IF(AND($E33&lt;=DATE(2027,8,23)+6,$F33&gt;=DATE(2027,8,23)),1,"")</f>
        <v/>
      </c>
      <c r="BI33">
        <f>IF(AND($E33&lt;=DATE(2027,8,30)+6,$F33&gt;=DATE(2027,8,30)),1,"")</f>
        <v/>
      </c>
      <c r="BJ33">
        <f>IF(AND($E33&lt;=DATE(2027,9,6)+6,$F33&gt;=DATE(2027,9,6)),1,"")</f>
        <v/>
      </c>
      <c r="BK33">
        <f>IF(AND($E33&lt;=DATE(2027,9,13)+6,$F33&gt;=DATE(2027,9,13)),1,"")</f>
        <v/>
      </c>
      <c r="BL33">
        <f>IF(AND($E33&lt;=DATE(2027,9,20)+6,$F33&gt;=DATE(2027,9,20)),1,"")</f>
        <v/>
      </c>
      <c r="BM33">
        <f>IF(AND($E33&lt;=DATE(2027,9,27)+6,$F33&gt;=DATE(2027,9,27)),1,"")</f>
        <v/>
      </c>
    </row>
    <row r="34">
      <c r="A34" t="inlineStr">
        <is>
          <t>6.2</t>
        </is>
      </c>
      <c r="B34" t="inlineStr">
        <is>
          <t>Shopify store live</t>
        </is>
      </c>
      <c r="C34" t="inlineStr">
        <is>
          <t>DMTT e-commerce</t>
        </is>
      </c>
      <c r="D34" t="inlineStr">
        <is>
          <t>Phase 2</t>
        </is>
      </c>
      <c r="E34" s="9" t="n">
        <v>46357</v>
      </c>
      <c r="F34" s="9" t="n">
        <v>46402</v>
      </c>
      <c r="G34">
        <f>F34-E34+1</f>
        <v/>
      </c>
      <c r="H34" t="inlineStr">
        <is>
          <t>6.1</t>
        </is>
      </c>
      <c r="I34" t="inlineStr">
        <is>
          <t>Live store</t>
        </is>
      </c>
      <c r="J34" t="inlineStr">
        <is>
          <t>Not started</t>
        </is>
      </c>
      <c r="K34" s="10" t="n">
        <v>0</v>
      </c>
      <c r="L34">
        <f>IF(AND($E34&lt;=DATE(2026,9,21)+6,$F34&gt;=DATE(2026,9,21)),1,"")</f>
        <v/>
      </c>
      <c r="M34">
        <f>IF(AND($E34&lt;=DATE(2026,9,28)+6,$F34&gt;=DATE(2026,9,28)),1,"")</f>
        <v/>
      </c>
      <c r="N34">
        <f>IF(AND($E34&lt;=DATE(2026,10,5)+6,$F34&gt;=DATE(2026,10,5)),1,"")</f>
        <v/>
      </c>
      <c r="O34">
        <f>IF(AND($E34&lt;=DATE(2026,10,12)+6,$F34&gt;=DATE(2026,10,12)),1,"")</f>
        <v/>
      </c>
      <c r="P34">
        <f>IF(AND($E34&lt;=DATE(2026,10,19)+6,$F34&gt;=DATE(2026,10,19)),1,"")</f>
        <v/>
      </c>
      <c r="Q34">
        <f>IF(AND($E34&lt;=DATE(2026,10,26)+6,$F34&gt;=DATE(2026,10,26)),1,"")</f>
        <v/>
      </c>
      <c r="R34">
        <f>IF(AND($E34&lt;=DATE(2026,11,2)+6,$F34&gt;=DATE(2026,11,2)),1,"")</f>
        <v/>
      </c>
      <c r="S34">
        <f>IF(AND($E34&lt;=DATE(2026,11,9)+6,$F34&gt;=DATE(2026,11,9)),1,"")</f>
        <v/>
      </c>
      <c r="T34">
        <f>IF(AND($E34&lt;=DATE(2026,11,16)+6,$F34&gt;=DATE(2026,11,16)),1,"")</f>
        <v/>
      </c>
      <c r="U34">
        <f>IF(AND($E34&lt;=DATE(2026,11,23)+6,$F34&gt;=DATE(2026,11,23)),1,"")</f>
        <v/>
      </c>
      <c r="V34">
        <f>IF(AND($E34&lt;=DATE(2026,11,30)+6,$F34&gt;=DATE(2026,11,30)),1,"")</f>
        <v/>
      </c>
      <c r="W34">
        <f>IF(AND($E34&lt;=DATE(2026,12,7)+6,$F34&gt;=DATE(2026,12,7)),1,"")</f>
        <v/>
      </c>
      <c r="X34">
        <f>IF(AND($E34&lt;=DATE(2026,12,14)+6,$F34&gt;=DATE(2026,12,14)),1,"")</f>
        <v/>
      </c>
      <c r="Y34">
        <f>IF(AND($E34&lt;=DATE(2026,12,21)+6,$F34&gt;=DATE(2026,12,21)),1,"")</f>
        <v/>
      </c>
      <c r="Z34">
        <f>IF(AND($E34&lt;=DATE(2026,12,28)+6,$F34&gt;=DATE(2026,12,28)),1,"")</f>
        <v/>
      </c>
      <c r="AA34">
        <f>IF(AND($E34&lt;=DATE(2027,1,4)+6,$F34&gt;=DATE(2027,1,4)),1,"")</f>
        <v/>
      </c>
      <c r="AB34">
        <f>IF(AND($E34&lt;=DATE(2027,1,11)+6,$F34&gt;=DATE(2027,1,11)),1,"")</f>
        <v/>
      </c>
      <c r="AC34">
        <f>IF(AND($E34&lt;=DATE(2027,1,18)+6,$F34&gt;=DATE(2027,1,18)),1,"")</f>
        <v/>
      </c>
      <c r="AD34">
        <f>IF(AND($E34&lt;=DATE(2027,1,25)+6,$F34&gt;=DATE(2027,1,25)),1,"")</f>
        <v/>
      </c>
      <c r="AE34">
        <f>IF(AND($E34&lt;=DATE(2027,2,1)+6,$F34&gt;=DATE(2027,2,1)),1,"")</f>
        <v/>
      </c>
      <c r="AF34">
        <f>IF(AND($E34&lt;=DATE(2027,2,8)+6,$F34&gt;=DATE(2027,2,8)),1,"")</f>
        <v/>
      </c>
      <c r="AG34">
        <f>IF(AND($E34&lt;=DATE(2027,2,15)+6,$F34&gt;=DATE(2027,2,15)),1,"")</f>
        <v/>
      </c>
      <c r="AH34">
        <f>IF(AND($E34&lt;=DATE(2027,2,22)+6,$F34&gt;=DATE(2027,2,22)),1,"")</f>
        <v/>
      </c>
      <c r="AI34">
        <f>IF(AND($E34&lt;=DATE(2027,3,1)+6,$F34&gt;=DATE(2027,3,1)),1,"")</f>
        <v/>
      </c>
      <c r="AJ34">
        <f>IF(AND($E34&lt;=DATE(2027,3,8)+6,$F34&gt;=DATE(2027,3,8)),1,"")</f>
        <v/>
      </c>
      <c r="AK34">
        <f>IF(AND($E34&lt;=DATE(2027,3,15)+6,$F34&gt;=DATE(2027,3,15)),1,"")</f>
        <v/>
      </c>
      <c r="AL34">
        <f>IF(AND($E34&lt;=DATE(2027,3,22)+6,$F34&gt;=DATE(2027,3,22)),1,"")</f>
        <v/>
      </c>
      <c r="AM34">
        <f>IF(AND($E34&lt;=DATE(2027,3,29)+6,$F34&gt;=DATE(2027,3,29)),1,"")</f>
        <v/>
      </c>
      <c r="AN34">
        <f>IF(AND($E34&lt;=DATE(2027,4,5)+6,$F34&gt;=DATE(2027,4,5)),1,"")</f>
        <v/>
      </c>
      <c r="AO34">
        <f>IF(AND($E34&lt;=DATE(2027,4,12)+6,$F34&gt;=DATE(2027,4,12)),1,"")</f>
        <v/>
      </c>
      <c r="AP34">
        <f>IF(AND($E34&lt;=DATE(2027,4,19)+6,$F34&gt;=DATE(2027,4,19)),1,"")</f>
        <v/>
      </c>
      <c r="AQ34">
        <f>IF(AND($E34&lt;=DATE(2027,4,26)+6,$F34&gt;=DATE(2027,4,26)),1,"")</f>
        <v/>
      </c>
      <c r="AR34">
        <f>IF(AND($E34&lt;=DATE(2027,5,3)+6,$F34&gt;=DATE(2027,5,3)),1,"")</f>
        <v/>
      </c>
      <c r="AS34">
        <f>IF(AND($E34&lt;=DATE(2027,5,10)+6,$F34&gt;=DATE(2027,5,10)),1,"")</f>
        <v/>
      </c>
      <c r="AT34">
        <f>IF(AND($E34&lt;=DATE(2027,5,17)+6,$F34&gt;=DATE(2027,5,17)),1,"")</f>
        <v/>
      </c>
      <c r="AU34">
        <f>IF(AND($E34&lt;=DATE(2027,5,24)+6,$F34&gt;=DATE(2027,5,24)),1,"")</f>
        <v/>
      </c>
      <c r="AV34">
        <f>IF(AND($E34&lt;=DATE(2027,5,31)+6,$F34&gt;=DATE(2027,5,31)),1,"")</f>
        <v/>
      </c>
      <c r="AW34">
        <f>IF(AND($E34&lt;=DATE(2027,6,7)+6,$F34&gt;=DATE(2027,6,7)),1,"")</f>
        <v/>
      </c>
      <c r="AX34">
        <f>IF(AND($E34&lt;=DATE(2027,6,14)+6,$F34&gt;=DATE(2027,6,14)),1,"")</f>
        <v/>
      </c>
      <c r="AY34">
        <f>IF(AND($E34&lt;=DATE(2027,6,21)+6,$F34&gt;=DATE(2027,6,21)),1,"")</f>
        <v/>
      </c>
      <c r="AZ34">
        <f>IF(AND($E34&lt;=DATE(2027,6,28)+6,$F34&gt;=DATE(2027,6,28)),1,"")</f>
        <v/>
      </c>
      <c r="BA34">
        <f>IF(AND($E34&lt;=DATE(2027,7,5)+6,$F34&gt;=DATE(2027,7,5)),1,"")</f>
        <v/>
      </c>
      <c r="BB34">
        <f>IF(AND($E34&lt;=DATE(2027,7,12)+6,$F34&gt;=DATE(2027,7,12)),1,"")</f>
        <v/>
      </c>
      <c r="BC34">
        <f>IF(AND($E34&lt;=DATE(2027,7,19)+6,$F34&gt;=DATE(2027,7,19)),1,"")</f>
        <v/>
      </c>
      <c r="BD34">
        <f>IF(AND($E34&lt;=DATE(2027,7,26)+6,$F34&gt;=DATE(2027,7,26)),1,"")</f>
        <v/>
      </c>
      <c r="BE34">
        <f>IF(AND($E34&lt;=DATE(2027,8,2)+6,$F34&gt;=DATE(2027,8,2)),1,"")</f>
        <v/>
      </c>
      <c r="BF34">
        <f>IF(AND($E34&lt;=DATE(2027,8,9)+6,$F34&gt;=DATE(2027,8,9)),1,"")</f>
        <v/>
      </c>
      <c r="BG34">
        <f>IF(AND($E34&lt;=DATE(2027,8,16)+6,$F34&gt;=DATE(2027,8,16)),1,"")</f>
        <v/>
      </c>
      <c r="BH34">
        <f>IF(AND($E34&lt;=DATE(2027,8,23)+6,$F34&gt;=DATE(2027,8,23)),1,"")</f>
        <v/>
      </c>
      <c r="BI34">
        <f>IF(AND($E34&lt;=DATE(2027,8,30)+6,$F34&gt;=DATE(2027,8,30)),1,"")</f>
        <v/>
      </c>
      <c r="BJ34">
        <f>IF(AND($E34&lt;=DATE(2027,9,6)+6,$F34&gt;=DATE(2027,9,6)),1,"")</f>
        <v/>
      </c>
      <c r="BK34">
        <f>IF(AND($E34&lt;=DATE(2027,9,13)+6,$F34&gt;=DATE(2027,9,13)),1,"")</f>
        <v/>
      </c>
      <c r="BL34">
        <f>IF(AND($E34&lt;=DATE(2027,9,20)+6,$F34&gt;=DATE(2027,9,20)),1,"")</f>
        <v/>
      </c>
      <c r="BM34">
        <f>IF(AND($E34&lt;=DATE(2027,9,27)+6,$F34&gt;=DATE(2027,9,27)),1,"")</f>
        <v/>
      </c>
    </row>
    <row r="35">
      <c r="A35" t="inlineStr">
        <is>
          <t>6.3</t>
        </is>
      </c>
      <c r="B35" t="inlineStr">
        <is>
          <t>Amazon listing</t>
        </is>
      </c>
      <c r="C35" t="inlineStr">
        <is>
          <t>E-commerce advisor</t>
        </is>
      </c>
      <c r="D35" t="inlineStr">
        <is>
          <t>Phase 2</t>
        </is>
      </c>
      <c r="E35" s="9" t="n">
        <v>46392</v>
      </c>
      <c r="F35" s="9" t="n">
        <v>46418</v>
      </c>
      <c r="G35">
        <f>F35-E35+1</f>
        <v/>
      </c>
      <c r="H35" t="inlineStr">
        <is>
          <t>6.2</t>
        </is>
      </c>
      <c r="I35" t="inlineStr">
        <is>
          <t>Live listing</t>
        </is>
      </c>
      <c r="J35" t="inlineStr">
        <is>
          <t>Not started</t>
        </is>
      </c>
      <c r="K35" s="10" t="n">
        <v>0</v>
      </c>
      <c r="L35">
        <f>IF(AND($E35&lt;=DATE(2026,9,21)+6,$F35&gt;=DATE(2026,9,21)),1,"")</f>
        <v/>
      </c>
      <c r="M35">
        <f>IF(AND($E35&lt;=DATE(2026,9,28)+6,$F35&gt;=DATE(2026,9,28)),1,"")</f>
        <v/>
      </c>
      <c r="N35">
        <f>IF(AND($E35&lt;=DATE(2026,10,5)+6,$F35&gt;=DATE(2026,10,5)),1,"")</f>
        <v/>
      </c>
      <c r="O35">
        <f>IF(AND($E35&lt;=DATE(2026,10,12)+6,$F35&gt;=DATE(2026,10,12)),1,"")</f>
        <v/>
      </c>
      <c r="P35">
        <f>IF(AND($E35&lt;=DATE(2026,10,19)+6,$F35&gt;=DATE(2026,10,19)),1,"")</f>
        <v/>
      </c>
      <c r="Q35">
        <f>IF(AND($E35&lt;=DATE(2026,10,26)+6,$F35&gt;=DATE(2026,10,26)),1,"")</f>
        <v/>
      </c>
      <c r="R35">
        <f>IF(AND($E35&lt;=DATE(2026,11,2)+6,$F35&gt;=DATE(2026,11,2)),1,"")</f>
        <v/>
      </c>
      <c r="S35">
        <f>IF(AND($E35&lt;=DATE(2026,11,9)+6,$F35&gt;=DATE(2026,11,9)),1,"")</f>
        <v/>
      </c>
      <c r="T35">
        <f>IF(AND($E35&lt;=DATE(2026,11,16)+6,$F35&gt;=DATE(2026,11,16)),1,"")</f>
        <v/>
      </c>
      <c r="U35">
        <f>IF(AND($E35&lt;=DATE(2026,11,23)+6,$F35&gt;=DATE(2026,11,23)),1,"")</f>
        <v/>
      </c>
      <c r="V35">
        <f>IF(AND($E35&lt;=DATE(2026,11,30)+6,$F35&gt;=DATE(2026,11,30)),1,"")</f>
        <v/>
      </c>
      <c r="W35">
        <f>IF(AND($E35&lt;=DATE(2026,12,7)+6,$F35&gt;=DATE(2026,12,7)),1,"")</f>
        <v/>
      </c>
      <c r="X35">
        <f>IF(AND($E35&lt;=DATE(2026,12,14)+6,$F35&gt;=DATE(2026,12,14)),1,"")</f>
        <v/>
      </c>
      <c r="Y35">
        <f>IF(AND($E35&lt;=DATE(2026,12,21)+6,$F35&gt;=DATE(2026,12,21)),1,"")</f>
        <v/>
      </c>
      <c r="Z35">
        <f>IF(AND($E35&lt;=DATE(2026,12,28)+6,$F35&gt;=DATE(2026,12,28)),1,"")</f>
        <v/>
      </c>
      <c r="AA35">
        <f>IF(AND($E35&lt;=DATE(2027,1,4)+6,$F35&gt;=DATE(2027,1,4)),1,"")</f>
        <v/>
      </c>
      <c r="AB35">
        <f>IF(AND($E35&lt;=DATE(2027,1,11)+6,$F35&gt;=DATE(2027,1,11)),1,"")</f>
        <v/>
      </c>
      <c r="AC35">
        <f>IF(AND($E35&lt;=DATE(2027,1,18)+6,$F35&gt;=DATE(2027,1,18)),1,"")</f>
        <v/>
      </c>
      <c r="AD35">
        <f>IF(AND($E35&lt;=DATE(2027,1,25)+6,$F35&gt;=DATE(2027,1,25)),1,"")</f>
        <v/>
      </c>
      <c r="AE35">
        <f>IF(AND($E35&lt;=DATE(2027,2,1)+6,$F35&gt;=DATE(2027,2,1)),1,"")</f>
        <v/>
      </c>
      <c r="AF35">
        <f>IF(AND($E35&lt;=DATE(2027,2,8)+6,$F35&gt;=DATE(2027,2,8)),1,"")</f>
        <v/>
      </c>
      <c r="AG35">
        <f>IF(AND($E35&lt;=DATE(2027,2,15)+6,$F35&gt;=DATE(2027,2,15)),1,"")</f>
        <v/>
      </c>
      <c r="AH35">
        <f>IF(AND($E35&lt;=DATE(2027,2,22)+6,$F35&gt;=DATE(2027,2,22)),1,"")</f>
        <v/>
      </c>
      <c r="AI35">
        <f>IF(AND($E35&lt;=DATE(2027,3,1)+6,$F35&gt;=DATE(2027,3,1)),1,"")</f>
        <v/>
      </c>
      <c r="AJ35">
        <f>IF(AND($E35&lt;=DATE(2027,3,8)+6,$F35&gt;=DATE(2027,3,8)),1,"")</f>
        <v/>
      </c>
      <c r="AK35">
        <f>IF(AND($E35&lt;=DATE(2027,3,15)+6,$F35&gt;=DATE(2027,3,15)),1,"")</f>
        <v/>
      </c>
      <c r="AL35">
        <f>IF(AND($E35&lt;=DATE(2027,3,22)+6,$F35&gt;=DATE(2027,3,22)),1,"")</f>
        <v/>
      </c>
      <c r="AM35">
        <f>IF(AND($E35&lt;=DATE(2027,3,29)+6,$F35&gt;=DATE(2027,3,29)),1,"")</f>
        <v/>
      </c>
      <c r="AN35">
        <f>IF(AND($E35&lt;=DATE(2027,4,5)+6,$F35&gt;=DATE(2027,4,5)),1,"")</f>
        <v/>
      </c>
      <c r="AO35">
        <f>IF(AND($E35&lt;=DATE(2027,4,12)+6,$F35&gt;=DATE(2027,4,12)),1,"")</f>
        <v/>
      </c>
      <c r="AP35">
        <f>IF(AND($E35&lt;=DATE(2027,4,19)+6,$F35&gt;=DATE(2027,4,19)),1,"")</f>
        <v/>
      </c>
      <c r="AQ35">
        <f>IF(AND($E35&lt;=DATE(2027,4,26)+6,$F35&gt;=DATE(2027,4,26)),1,"")</f>
        <v/>
      </c>
      <c r="AR35">
        <f>IF(AND($E35&lt;=DATE(2027,5,3)+6,$F35&gt;=DATE(2027,5,3)),1,"")</f>
        <v/>
      </c>
      <c r="AS35">
        <f>IF(AND($E35&lt;=DATE(2027,5,10)+6,$F35&gt;=DATE(2027,5,10)),1,"")</f>
        <v/>
      </c>
      <c r="AT35">
        <f>IF(AND($E35&lt;=DATE(2027,5,17)+6,$F35&gt;=DATE(2027,5,17)),1,"")</f>
        <v/>
      </c>
      <c r="AU35">
        <f>IF(AND($E35&lt;=DATE(2027,5,24)+6,$F35&gt;=DATE(2027,5,24)),1,"")</f>
        <v/>
      </c>
      <c r="AV35">
        <f>IF(AND($E35&lt;=DATE(2027,5,31)+6,$F35&gt;=DATE(2027,5,31)),1,"")</f>
        <v/>
      </c>
      <c r="AW35">
        <f>IF(AND($E35&lt;=DATE(2027,6,7)+6,$F35&gt;=DATE(2027,6,7)),1,"")</f>
        <v/>
      </c>
      <c r="AX35">
        <f>IF(AND($E35&lt;=DATE(2027,6,14)+6,$F35&gt;=DATE(2027,6,14)),1,"")</f>
        <v/>
      </c>
      <c r="AY35">
        <f>IF(AND($E35&lt;=DATE(2027,6,21)+6,$F35&gt;=DATE(2027,6,21)),1,"")</f>
        <v/>
      </c>
      <c r="AZ35">
        <f>IF(AND($E35&lt;=DATE(2027,6,28)+6,$F35&gt;=DATE(2027,6,28)),1,"")</f>
        <v/>
      </c>
      <c r="BA35">
        <f>IF(AND($E35&lt;=DATE(2027,7,5)+6,$F35&gt;=DATE(2027,7,5)),1,"")</f>
        <v/>
      </c>
      <c r="BB35">
        <f>IF(AND($E35&lt;=DATE(2027,7,12)+6,$F35&gt;=DATE(2027,7,12)),1,"")</f>
        <v/>
      </c>
      <c r="BC35">
        <f>IF(AND($E35&lt;=DATE(2027,7,19)+6,$F35&gt;=DATE(2027,7,19)),1,"")</f>
        <v/>
      </c>
      <c r="BD35">
        <f>IF(AND($E35&lt;=DATE(2027,7,26)+6,$F35&gt;=DATE(2027,7,26)),1,"")</f>
        <v/>
      </c>
      <c r="BE35">
        <f>IF(AND($E35&lt;=DATE(2027,8,2)+6,$F35&gt;=DATE(2027,8,2)),1,"")</f>
        <v/>
      </c>
      <c r="BF35">
        <f>IF(AND($E35&lt;=DATE(2027,8,9)+6,$F35&gt;=DATE(2027,8,9)),1,"")</f>
        <v/>
      </c>
      <c r="BG35">
        <f>IF(AND($E35&lt;=DATE(2027,8,16)+6,$F35&gt;=DATE(2027,8,16)),1,"")</f>
        <v/>
      </c>
      <c r="BH35">
        <f>IF(AND($E35&lt;=DATE(2027,8,23)+6,$F35&gt;=DATE(2027,8,23)),1,"")</f>
        <v/>
      </c>
      <c r="BI35">
        <f>IF(AND($E35&lt;=DATE(2027,8,30)+6,$F35&gt;=DATE(2027,8,30)),1,"")</f>
        <v/>
      </c>
      <c r="BJ35">
        <f>IF(AND($E35&lt;=DATE(2027,9,6)+6,$F35&gt;=DATE(2027,9,6)),1,"")</f>
        <v/>
      </c>
      <c r="BK35">
        <f>IF(AND($E35&lt;=DATE(2027,9,13)+6,$F35&gt;=DATE(2027,9,13)),1,"")</f>
        <v/>
      </c>
      <c r="BL35">
        <f>IF(AND($E35&lt;=DATE(2027,9,20)+6,$F35&gt;=DATE(2027,9,20)),1,"")</f>
        <v/>
      </c>
      <c r="BM35">
        <f>IF(AND($E35&lt;=DATE(2027,9,27)+6,$F35&gt;=DATE(2027,9,27)),1,"")</f>
        <v/>
      </c>
    </row>
    <row r="36">
      <c r="A36" t="inlineStr">
        <is>
          <t>6.4</t>
        </is>
      </c>
      <c r="B36" t="inlineStr">
        <is>
          <t>New Year, Vaikuntha Ekadashi &amp; Sankranti campaigns</t>
        </is>
      </c>
      <c r="C36" t="inlineStr">
        <is>
          <t>DMTT</t>
        </is>
      </c>
      <c r="D36" t="inlineStr">
        <is>
          <t>Phase 2</t>
        </is>
      </c>
      <c r="E36" s="9" t="n">
        <v>46366</v>
      </c>
      <c r="F36" s="9" t="n">
        <v>46402</v>
      </c>
      <c r="G36">
        <f>F36-E36+1</f>
        <v/>
      </c>
      <c r="H36" t="inlineStr"/>
      <c r="I36" t="inlineStr">
        <is>
          <t>Campaign reports</t>
        </is>
      </c>
      <c r="J36" t="inlineStr">
        <is>
          <t>Not started</t>
        </is>
      </c>
      <c r="K36" s="10" t="n">
        <v>0</v>
      </c>
      <c r="L36">
        <f>IF(AND($E36&lt;=DATE(2026,9,21)+6,$F36&gt;=DATE(2026,9,21)),1,"")</f>
        <v/>
      </c>
      <c r="M36">
        <f>IF(AND($E36&lt;=DATE(2026,9,28)+6,$F36&gt;=DATE(2026,9,28)),1,"")</f>
        <v/>
      </c>
      <c r="N36">
        <f>IF(AND($E36&lt;=DATE(2026,10,5)+6,$F36&gt;=DATE(2026,10,5)),1,"")</f>
        <v/>
      </c>
      <c r="O36">
        <f>IF(AND($E36&lt;=DATE(2026,10,12)+6,$F36&gt;=DATE(2026,10,12)),1,"")</f>
        <v/>
      </c>
      <c r="P36">
        <f>IF(AND($E36&lt;=DATE(2026,10,19)+6,$F36&gt;=DATE(2026,10,19)),1,"")</f>
        <v/>
      </c>
      <c r="Q36">
        <f>IF(AND($E36&lt;=DATE(2026,10,26)+6,$F36&gt;=DATE(2026,10,26)),1,"")</f>
        <v/>
      </c>
      <c r="R36">
        <f>IF(AND($E36&lt;=DATE(2026,11,2)+6,$F36&gt;=DATE(2026,11,2)),1,"")</f>
        <v/>
      </c>
      <c r="S36">
        <f>IF(AND($E36&lt;=DATE(2026,11,9)+6,$F36&gt;=DATE(2026,11,9)),1,"")</f>
        <v/>
      </c>
      <c r="T36">
        <f>IF(AND($E36&lt;=DATE(2026,11,16)+6,$F36&gt;=DATE(2026,11,16)),1,"")</f>
        <v/>
      </c>
      <c r="U36">
        <f>IF(AND($E36&lt;=DATE(2026,11,23)+6,$F36&gt;=DATE(2026,11,23)),1,"")</f>
        <v/>
      </c>
      <c r="V36">
        <f>IF(AND($E36&lt;=DATE(2026,11,30)+6,$F36&gt;=DATE(2026,11,30)),1,"")</f>
        <v/>
      </c>
      <c r="W36">
        <f>IF(AND($E36&lt;=DATE(2026,12,7)+6,$F36&gt;=DATE(2026,12,7)),1,"")</f>
        <v/>
      </c>
      <c r="X36">
        <f>IF(AND($E36&lt;=DATE(2026,12,14)+6,$F36&gt;=DATE(2026,12,14)),1,"")</f>
        <v/>
      </c>
      <c r="Y36">
        <f>IF(AND($E36&lt;=DATE(2026,12,21)+6,$F36&gt;=DATE(2026,12,21)),1,"")</f>
        <v/>
      </c>
      <c r="Z36">
        <f>IF(AND($E36&lt;=DATE(2026,12,28)+6,$F36&gt;=DATE(2026,12,28)),1,"")</f>
        <v/>
      </c>
      <c r="AA36">
        <f>IF(AND($E36&lt;=DATE(2027,1,4)+6,$F36&gt;=DATE(2027,1,4)),1,"")</f>
        <v/>
      </c>
      <c r="AB36">
        <f>IF(AND($E36&lt;=DATE(2027,1,11)+6,$F36&gt;=DATE(2027,1,11)),1,"")</f>
        <v/>
      </c>
      <c r="AC36">
        <f>IF(AND($E36&lt;=DATE(2027,1,18)+6,$F36&gt;=DATE(2027,1,18)),1,"")</f>
        <v/>
      </c>
      <c r="AD36">
        <f>IF(AND($E36&lt;=DATE(2027,1,25)+6,$F36&gt;=DATE(2027,1,25)),1,"")</f>
        <v/>
      </c>
      <c r="AE36">
        <f>IF(AND($E36&lt;=DATE(2027,2,1)+6,$F36&gt;=DATE(2027,2,1)),1,"")</f>
        <v/>
      </c>
      <c r="AF36">
        <f>IF(AND($E36&lt;=DATE(2027,2,8)+6,$F36&gt;=DATE(2027,2,8)),1,"")</f>
        <v/>
      </c>
      <c r="AG36">
        <f>IF(AND($E36&lt;=DATE(2027,2,15)+6,$F36&gt;=DATE(2027,2,15)),1,"")</f>
        <v/>
      </c>
      <c r="AH36">
        <f>IF(AND($E36&lt;=DATE(2027,2,22)+6,$F36&gt;=DATE(2027,2,22)),1,"")</f>
        <v/>
      </c>
      <c r="AI36">
        <f>IF(AND($E36&lt;=DATE(2027,3,1)+6,$F36&gt;=DATE(2027,3,1)),1,"")</f>
        <v/>
      </c>
      <c r="AJ36">
        <f>IF(AND($E36&lt;=DATE(2027,3,8)+6,$F36&gt;=DATE(2027,3,8)),1,"")</f>
        <v/>
      </c>
      <c r="AK36">
        <f>IF(AND($E36&lt;=DATE(2027,3,15)+6,$F36&gt;=DATE(2027,3,15)),1,"")</f>
        <v/>
      </c>
      <c r="AL36">
        <f>IF(AND($E36&lt;=DATE(2027,3,22)+6,$F36&gt;=DATE(2027,3,22)),1,"")</f>
        <v/>
      </c>
      <c r="AM36">
        <f>IF(AND($E36&lt;=DATE(2027,3,29)+6,$F36&gt;=DATE(2027,3,29)),1,"")</f>
        <v/>
      </c>
      <c r="AN36">
        <f>IF(AND($E36&lt;=DATE(2027,4,5)+6,$F36&gt;=DATE(2027,4,5)),1,"")</f>
        <v/>
      </c>
      <c r="AO36">
        <f>IF(AND($E36&lt;=DATE(2027,4,12)+6,$F36&gt;=DATE(2027,4,12)),1,"")</f>
        <v/>
      </c>
      <c r="AP36">
        <f>IF(AND($E36&lt;=DATE(2027,4,19)+6,$F36&gt;=DATE(2027,4,19)),1,"")</f>
        <v/>
      </c>
      <c r="AQ36">
        <f>IF(AND($E36&lt;=DATE(2027,4,26)+6,$F36&gt;=DATE(2027,4,26)),1,"")</f>
        <v/>
      </c>
      <c r="AR36">
        <f>IF(AND($E36&lt;=DATE(2027,5,3)+6,$F36&gt;=DATE(2027,5,3)),1,"")</f>
        <v/>
      </c>
      <c r="AS36">
        <f>IF(AND($E36&lt;=DATE(2027,5,10)+6,$F36&gt;=DATE(2027,5,10)),1,"")</f>
        <v/>
      </c>
      <c r="AT36">
        <f>IF(AND($E36&lt;=DATE(2027,5,17)+6,$F36&gt;=DATE(2027,5,17)),1,"")</f>
        <v/>
      </c>
      <c r="AU36">
        <f>IF(AND($E36&lt;=DATE(2027,5,24)+6,$F36&gt;=DATE(2027,5,24)),1,"")</f>
        <v/>
      </c>
      <c r="AV36">
        <f>IF(AND($E36&lt;=DATE(2027,5,31)+6,$F36&gt;=DATE(2027,5,31)),1,"")</f>
        <v/>
      </c>
      <c r="AW36">
        <f>IF(AND($E36&lt;=DATE(2027,6,7)+6,$F36&gt;=DATE(2027,6,7)),1,"")</f>
        <v/>
      </c>
      <c r="AX36">
        <f>IF(AND($E36&lt;=DATE(2027,6,14)+6,$F36&gt;=DATE(2027,6,14)),1,"")</f>
        <v/>
      </c>
      <c r="AY36">
        <f>IF(AND($E36&lt;=DATE(2027,6,21)+6,$F36&gt;=DATE(2027,6,21)),1,"")</f>
        <v/>
      </c>
      <c r="AZ36">
        <f>IF(AND($E36&lt;=DATE(2027,6,28)+6,$F36&gt;=DATE(2027,6,28)),1,"")</f>
        <v/>
      </c>
      <c r="BA36">
        <f>IF(AND($E36&lt;=DATE(2027,7,5)+6,$F36&gt;=DATE(2027,7,5)),1,"")</f>
        <v/>
      </c>
      <c r="BB36">
        <f>IF(AND($E36&lt;=DATE(2027,7,12)+6,$F36&gt;=DATE(2027,7,12)),1,"")</f>
        <v/>
      </c>
      <c r="BC36">
        <f>IF(AND($E36&lt;=DATE(2027,7,19)+6,$F36&gt;=DATE(2027,7,19)),1,"")</f>
        <v/>
      </c>
      <c r="BD36">
        <f>IF(AND($E36&lt;=DATE(2027,7,26)+6,$F36&gt;=DATE(2027,7,26)),1,"")</f>
        <v/>
      </c>
      <c r="BE36">
        <f>IF(AND($E36&lt;=DATE(2027,8,2)+6,$F36&gt;=DATE(2027,8,2)),1,"")</f>
        <v/>
      </c>
      <c r="BF36">
        <f>IF(AND($E36&lt;=DATE(2027,8,9)+6,$F36&gt;=DATE(2027,8,9)),1,"")</f>
        <v/>
      </c>
      <c r="BG36">
        <f>IF(AND($E36&lt;=DATE(2027,8,16)+6,$F36&gt;=DATE(2027,8,16)),1,"")</f>
        <v/>
      </c>
      <c r="BH36">
        <f>IF(AND($E36&lt;=DATE(2027,8,23)+6,$F36&gt;=DATE(2027,8,23)),1,"")</f>
        <v/>
      </c>
      <c r="BI36">
        <f>IF(AND($E36&lt;=DATE(2027,8,30)+6,$F36&gt;=DATE(2027,8,30)),1,"")</f>
        <v/>
      </c>
      <c r="BJ36">
        <f>IF(AND($E36&lt;=DATE(2027,9,6)+6,$F36&gt;=DATE(2027,9,6)),1,"")</f>
        <v/>
      </c>
      <c r="BK36">
        <f>IF(AND($E36&lt;=DATE(2027,9,13)+6,$F36&gt;=DATE(2027,9,13)),1,"")</f>
        <v/>
      </c>
      <c r="BL36">
        <f>IF(AND($E36&lt;=DATE(2027,9,20)+6,$F36&gt;=DATE(2027,9,20)),1,"")</f>
        <v/>
      </c>
      <c r="BM36">
        <f>IF(AND($E36&lt;=DATE(2027,9,27)+6,$F36&gt;=DATE(2027,9,27)),1,"")</f>
        <v/>
      </c>
    </row>
    <row r="37">
      <c r="A37" t="inlineStr">
        <is>
          <t>6.5</t>
        </is>
      </c>
      <c r="B37" t="inlineStr">
        <is>
          <t>Gated community stalls (10 → 30)</t>
        </is>
      </c>
      <c r="C37" t="inlineStr">
        <is>
          <t>Sales rep</t>
        </is>
      </c>
      <c r="D37" t="inlineStr">
        <is>
          <t>Phase 2</t>
        </is>
      </c>
      <c r="E37" s="9" t="n">
        <v>46397</v>
      </c>
      <c r="F37" s="9" t="n">
        <v>46477</v>
      </c>
      <c r="G37">
        <f>F37-E37+1</f>
        <v/>
      </c>
      <c r="H37" t="inlineStr"/>
      <c r="I37" t="inlineStr">
        <is>
          <t>Event log</t>
        </is>
      </c>
      <c r="J37" t="inlineStr">
        <is>
          <t>Not started</t>
        </is>
      </c>
      <c r="K37" s="10" t="n">
        <v>0</v>
      </c>
      <c r="L37">
        <f>IF(AND($E37&lt;=DATE(2026,9,21)+6,$F37&gt;=DATE(2026,9,21)),1,"")</f>
        <v/>
      </c>
      <c r="M37">
        <f>IF(AND($E37&lt;=DATE(2026,9,28)+6,$F37&gt;=DATE(2026,9,28)),1,"")</f>
        <v/>
      </c>
      <c r="N37">
        <f>IF(AND($E37&lt;=DATE(2026,10,5)+6,$F37&gt;=DATE(2026,10,5)),1,"")</f>
        <v/>
      </c>
      <c r="O37">
        <f>IF(AND($E37&lt;=DATE(2026,10,12)+6,$F37&gt;=DATE(2026,10,12)),1,"")</f>
        <v/>
      </c>
      <c r="P37">
        <f>IF(AND($E37&lt;=DATE(2026,10,19)+6,$F37&gt;=DATE(2026,10,19)),1,"")</f>
        <v/>
      </c>
      <c r="Q37">
        <f>IF(AND($E37&lt;=DATE(2026,10,26)+6,$F37&gt;=DATE(2026,10,26)),1,"")</f>
        <v/>
      </c>
      <c r="R37">
        <f>IF(AND($E37&lt;=DATE(2026,11,2)+6,$F37&gt;=DATE(2026,11,2)),1,"")</f>
        <v/>
      </c>
      <c r="S37">
        <f>IF(AND($E37&lt;=DATE(2026,11,9)+6,$F37&gt;=DATE(2026,11,9)),1,"")</f>
        <v/>
      </c>
      <c r="T37">
        <f>IF(AND($E37&lt;=DATE(2026,11,16)+6,$F37&gt;=DATE(2026,11,16)),1,"")</f>
        <v/>
      </c>
      <c r="U37">
        <f>IF(AND($E37&lt;=DATE(2026,11,23)+6,$F37&gt;=DATE(2026,11,23)),1,"")</f>
        <v/>
      </c>
      <c r="V37">
        <f>IF(AND($E37&lt;=DATE(2026,11,30)+6,$F37&gt;=DATE(2026,11,30)),1,"")</f>
        <v/>
      </c>
      <c r="W37">
        <f>IF(AND($E37&lt;=DATE(2026,12,7)+6,$F37&gt;=DATE(2026,12,7)),1,"")</f>
        <v/>
      </c>
      <c r="X37">
        <f>IF(AND($E37&lt;=DATE(2026,12,14)+6,$F37&gt;=DATE(2026,12,14)),1,"")</f>
        <v/>
      </c>
      <c r="Y37">
        <f>IF(AND($E37&lt;=DATE(2026,12,21)+6,$F37&gt;=DATE(2026,12,21)),1,"")</f>
        <v/>
      </c>
      <c r="Z37">
        <f>IF(AND($E37&lt;=DATE(2026,12,28)+6,$F37&gt;=DATE(2026,12,28)),1,"")</f>
        <v/>
      </c>
      <c r="AA37">
        <f>IF(AND($E37&lt;=DATE(2027,1,4)+6,$F37&gt;=DATE(2027,1,4)),1,"")</f>
        <v/>
      </c>
      <c r="AB37">
        <f>IF(AND($E37&lt;=DATE(2027,1,11)+6,$F37&gt;=DATE(2027,1,11)),1,"")</f>
        <v/>
      </c>
      <c r="AC37">
        <f>IF(AND($E37&lt;=DATE(2027,1,18)+6,$F37&gt;=DATE(2027,1,18)),1,"")</f>
        <v/>
      </c>
      <c r="AD37">
        <f>IF(AND($E37&lt;=DATE(2027,1,25)+6,$F37&gt;=DATE(2027,1,25)),1,"")</f>
        <v/>
      </c>
      <c r="AE37">
        <f>IF(AND($E37&lt;=DATE(2027,2,1)+6,$F37&gt;=DATE(2027,2,1)),1,"")</f>
        <v/>
      </c>
      <c r="AF37">
        <f>IF(AND($E37&lt;=DATE(2027,2,8)+6,$F37&gt;=DATE(2027,2,8)),1,"")</f>
        <v/>
      </c>
      <c r="AG37">
        <f>IF(AND($E37&lt;=DATE(2027,2,15)+6,$F37&gt;=DATE(2027,2,15)),1,"")</f>
        <v/>
      </c>
      <c r="AH37">
        <f>IF(AND($E37&lt;=DATE(2027,2,22)+6,$F37&gt;=DATE(2027,2,22)),1,"")</f>
        <v/>
      </c>
      <c r="AI37">
        <f>IF(AND($E37&lt;=DATE(2027,3,1)+6,$F37&gt;=DATE(2027,3,1)),1,"")</f>
        <v/>
      </c>
      <c r="AJ37">
        <f>IF(AND($E37&lt;=DATE(2027,3,8)+6,$F37&gt;=DATE(2027,3,8)),1,"")</f>
        <v/>
      </c>
      <c r="AK37">
        <f>IF(AND($E37&lt;=DATE(2027,3,15)+6,$F37&gt;=DATE(2027,3,15)),1,"")</f>
        <v/>
      </c>
      <c r="AL37">
        <f>IF(AND($E37&lt;=DATE(2027,3,22)+6,$F37&gt;=DATE(2027,3,22)),1,"")</f>
        <v/>
      </c>
      <c r="AM37">
        <f>IF(AND($E37&lt;=DATE(2027,3,29)+6,$F37&gt;=DATE(2027,3,29)),1,"")</f>
        <v/>
      </c>
      <c r="AN37">
        <f>IF(AND($E37&lt;=DATE(2027,4,5)+6,$F37&gt;=DATE(2027,4,5)),1,"")</f>
        <v/>
      </c>
      <c r="AO37">
        <f>IF(AND($E37&lt;=DATE(2027,4,12)+6,$F37&gt;=DATE(2027,4,12)),1,"")</f>
        <v/>
      </c>
      <c r="AP37">
        <f>IF(AND($E37&lt;=DATE(2027,4,19)+6,$F37&gt;=DATE(2027,4,19)),1,"")</f>
        <v/>
      </c>
      <c r="AQ37">
        <f>IF(AND($E37&lt;=DATE(2027,4,26)+6,$F37&gt;=DATE(2027,4,26)),1,"")</f>
        <v/>
      </c>
      <c r="AR37">
        <f>IF(AND($E37&lt;=DATE(2027,5,3)+6,$F37&gt;=DATE(2027,5,3)),1,"")</f>
        <v/>
      </c>
      <c r="AS37">
        <f>IF(AND($E37&lt;=DATE(2027,5,10)+6,$F37&gt;=DATE(2027,5,10)),1,"")</f>
        <v/>
      </c>
      <c r="AT37">
        <f>IF(AND($E37&lt;=DATE(2027,5,17)+6,$F37&gt;=DATE(2027,5,17)),1,"")</f>
        <v/>
      </c>
      <c r="AU37">
        <f>IF(AND($E37&lt;=DATE(2027,5,24)+6,$F37&gt;=DATE(2027,5,24)),1,"")</f>
        <v/>
      </c>
      <c r="AV37">
        <f>IF(AND($E37&lt;=DATE(2027,5,31)+6,$F37&gt;=DATE(2027,5,31)),1,"")</f>
        <v/>
      </c>
      <c r="AW37">
        <f>IF(AND($E37&lt;=DATE(2027,6,7)+6,$F37&gt;=DATE(2027,6,7)),1,"")</f>
        <v/>
      </c>
      <c r="AX37">
        <f>IF(AND($E37&lt;=DATE(2027,6,14)+6,$F37&gt;=DATE(2027,6,14)),1,"")</f>
        <v/>
      </c>
      <c r="AY37">
        <f>IF(AND($E37&lt;=DATE(2027,6,21)+6,$F37&gt;=DATE(2027,6,21)),1,"")</f>
        <v/>
      </c>
      <c r="AZ37">
        <f>IF(AND($E37&lt;=DATE(2027,6,28)+6,$F37&gt;=DATE(2027,6,28)),1,"")</f>
        <v/>
      </c>
      <c r="BA37">
        <f>IF(AND($E37&lt;=DATE(2027,7,5)+6,$F37&gt;=DATE(2027,7,5)),1,"")</f>
        <v/>
      </c>
      <c r="BB37">
        <f>IF(AND($E37&lt;=DATE(2027,7,12)+6,$F37&gt;=DATE(2027,7,12)),1,"")</f>
        <v/>
      </c>
      <c r="BC37">
        <f>IF(AND($E37&lt;=DATE(2027,7,19)+6,$F37&gt;=DATE(2027,7,19)),1,"")</f>
        <v/>
      </c>
      <c r="BD37">
        <f>IF(AND($E37&lt;=DATE(2027,7,26)+6,$F37&gt;=DATE(2027,7,26)),1,"")</f>
        <v/>
      </c>
      <c r="BE37">
        <f>IF(AND($E37&lt;=DATE(2027,8,2)+6,$F37&gt;=DATE(2027,8,2)),1,"")</f>
        <v/>
      </c>
      <c r="BF37">
        <f>IF(AND($E37&lt;=DATE(2027,8,9)+6,$F37&gt;=DATE(2027,8,9)),1,"")</f>
        <v/>
      </c>
      <c r="BG37">
        <f>IF(AND($E37&lt;=DATE(2027,8,16)+6,$F37&gt;=DATE(2027,8,16)),1,"")</f>
        <v/>
      </c>
      <c r="BH37">
        <f>IF(AND($E37&lt;=DATE(2027,8,23)+6,$F37&gt;=DATE(2027,8,23)),1,"")</f>
        <v/>
      </c>
      <c r="BI37">
        <f>IF(AND($E37&lt;=DATE(2027,8,30)+6,$F37&gt;=DATE(2027,8,30)),1,"")</f>
        <v/>
      </c>
      <c r="BJ37">
        <f>IF(AND($E37&lt;=DATE(2027,9,6)+6,$F37&gt;=DATE(2027,9,6)),1,"")</f>
        <v/>
      </c>
      <c r="BK37">
        <f>IF(AND($E37&lt;=DATE(2027,9,13)+6,$F37&gt;=DATE(2027,9,13)),1,"")</f>
        <v/>
      </c>
      <c r="BL37">
        <f>IF(AND($E37&lt;=DATE(2027,9,20)+6,$F37&gt;=DATE(2027,9,20)),1,"")</f>
        <v/>
      </c>
      <c r="BM37">
        <f>IF(AND($E37&lt;=DATE(2027,9,27)+6,$F37&gt;=DATE(2027,9,27)),1,"")</f>
        <v/>
      </c>
    </row>
    <row r="38">
      <c r="A38" t="inlineStr">
        <is>
          <t>6.6</t>
        </is>
      </c>
      <c r="B38" t="inlineStr">
        <is>
          <t>Catering pilot</t>
        </is>
      </c>
      <c r="C38" t="inlineStr">
        <is>
          <t>Production lead</t>
        </is>
      </c>
      <c r="D38" t="inlineStr">
        <is>
          <t>Phase 2</t>
        </is>
      </c>
      <c r="E38" s="9" t="n">
        <v>46402</v>
      </c>
      <c r="F38" s="9" t="n">
        <v>46477</v>
      </c>
      <c r="G38">
        <f>F38-E38+1</f>
        <v/>
      </c>
      <c r="H38" t="inlineStr"/>
      <c r="I38" t="inlineStr">
        <is>
          <t>5+ events</t>
        </is>
      </c>
      <c r="J38" t="inlineStr">
        <is>
          <t>Not started</t>
        </is>
      </c>
      <c r="K38" s="10" t="n">
        <v>0</v>
      </c>
      <c r="L38">
        <f>IF(AND($E38&lt;=DATE(2026,9,21)+6,$F38&gt;=DATE(2026,9,21)),1,"")</f>
        <v/>
      </c>
      <c r="M38">
        <f>IF(AND($E38&lt;=DATE(2026,9,28)+6,$F38&gt;=DATE(2026,9,28)),1,"")</f>
        <v/>
      </c>
      <c r="N38">
        <f>IF(AND($E38&lt;=DATE(2026,10,5)+6,$F38&gt;=DATE(2026,10,5)),1,"")</f>
        <v/>
      </c>
      <c r="O38">
        <f>IF(AND($E38&lt;=DATE(2026,10,12)+6,$F38&gt;=DATE(2026,10,12)),1,"")</f>
        <v/>
      </c>
      <c r="P38">
        <f>IF(AND($E38&lt;=DATE(2026,10,19)+6,$F38&gt;=DATE(2026,10,19)),1,"")</f>
        <v/>
      </c>
      <c r="Q38">
        <f>IF(AND($E38&lt;=DATE(2026,10,26)+6,$F38&gt;=DATE(2026,10,26)),1,"")</f>
        <v/>
      </c>
      <c r="R38">
        <f>IF(AND($E38&lt;=DATE(2026,11,2)+6,$F38&gt;=DATE(2026,11,2)),1,"")</f>
        <v/>
      </c>
      <c r="S38">
        <f>IF(AND($E38&lt;=DATE(2026,11,9)+6,$F38&gt;=DATE(2026,11,9)),1,"")</f>
        <v/>
      </c>
      <c r="T38">
        <f>IF(AND($E38&lt;=DATE(2026,11,16)+6,$F38&gt;=DATE(2026,11,16)),1,"")</f>
        <v/>
      </c>
      <c r="U38">
        <f>IF(AND($E38&lt;=DATE(2026,11,23)+6,$F38&gt;=DATE(2026,11,23)),1,"")</f>
        <v/>
      </c>
      <c r="V38">
        <f>IF(AND($E38&lt;=DATE(2026,11,30)+6,$F38&gt;=DATE(2026,11,30)),1,"")</f>
        <v/>
      </c>
      <c r="W38">
        <f>IF(AND($E38&lt;=DATE(2026,12,7)+6,$F38&gt;=DATE(2026,12,7)),1,"")</f>
        <v/>
      </c>
      <c r="X38">
        <f>IF(AND($E38&lt;=DATE(2026,12,14)+6,$F38&gt;=DATE(2026,12,14)),1,"")</f>
        <v/>
      </c>
      <c r="Y38">
        <f>IF(AND($E38&lt;=DATE(2026,12,21)+6,$F38&gt;=DATE(2026,12,21)),1,"")</f>
        <v/>
      </c>
      <c r="Z38">
        <f>IF(AND($E38&lt;=DATE(2026,12,28)+6,$F38&gt;=DATE(2026,12,28)),1,"")</f>
        <v/>
      </c>
      <c r="AA38">
        <f>IF(AND($E38&lt;=DATE(2027,1,4)+6,$F38&gt;=DATE(2027,1,4)),1,"")</f>
        <v/>
      </c>
      <c r="AB38">
        <f>IF(AND($E38&lt;=DATE(2027,1,11)+6,$F38&gt;=DATE(2027,1,11)),1,"")</f>
        <v/>
      </c>
      <c r="AC38">
        <f>IF(AND($E38&lt;=DATE(2027,1,18)+6,$F38&gt;=DATE(2027,1,18)),1,"")</f>
        <v/>
      </c>
      <c r="AD38">
        <f>IF(AND($E38&lt;=DATE(2027,1,25)+6,$F38&gt;=DATE(2027,1,25)),1,"")</f>
        <v/>
      </c>
      <c r="AE38">
        <f>IF(AND($E38&lt;=DATE(2027,2,1)+6,$F38&gt;=DATE(2027,2,1)),1,"")</f>
        <v/>
      </c>
      <c r="AF38">
        <f>IF(AND($E38&lt;=DATE(2027,2,8)+6,$F38&gt;=DATE(2027,2,8)),1,"")</f>
        <v/>
      </c>
      <c r="AG38">
        <f>IF(AND($E38&lt;=DATE(2027,2,15)+6,$F38&gt;=DATE(2027,2,15)),1,"")</f>
        <v/>
      </c>
      <c r="AH38">
        <f>IF(AND($E38&lt;=DATE(2027,2,22)+6,$F38&gt;=DATE(2027,2,22)),1,"")</f>
        <v/>
      </c>
      <c r="AI38">
        <f>IF(AND($E38&lt;=DATE(2027,3,1)+6,$F38&gt;=DATE(2027,3,1)),1,"")</f>
        <v/>
      </c>
      <c r="AJ38">
        <f>IF(AND($E38&lt;=DATE(2027,3,8)+6,$F38&gt;=DATE(2027,3,8)),1,"")</f>
        <v/>
      </c>
      <c r="AK38">
        <f>IF(AND($E38&lt;=DATE(2027,3,15)+6,$F38&gt;=DATE(2027,3,15)),1,"")</f>
        <v/>
      </c>
      <c r="AL38">
        <f>IF(AND($E38&lt;=DATE(2027,3,22)+6,$F38&gt;=DATE(2027,3,22)),1,"")</f>
        <v/>
      </c>
      <c r="AM38">
        <f>IF(AND($E38&lt;=DATE(2027,3,29)+6,$F38&gt;=DATE(2027,3,29)),1,"")</f>
        <v/>
      </c>
      <c r="AN38">
        <f>IF(AND($E38&lt;=DATE(2027,4,5)+6,$F38&gt;=DATE(2027,4,5)),1,"")</f>
        <v/>
      </c>
      <c r="AO38">
        <f>IF(AND($E38&lt;=DATE(2027,4,12)+6,$F38&gt;=DATE(2027,4,12)),1,"")</f>
        <v/>
      </c>
      <c r="AP38">
        <f>IF(AND($E38&lt;=DATE(2027,4,19)+6,$F38&gt;=DATE(2027,4,19)),1,"")</f>
        <v/>
      </c>
      <c r="AQ38">
        <f>IF(AND($E38&lt;=DATE(2027,4,26)+6,$F38&gt;=DATE(2027,4,26)),1,"")</f>
        <v/>
      </c>
      <c r="AR38">
        <f>IF(AND($E38&lt;=DATE(2027,5,3)+6,$F38&gt;=DATE(2027,5,3)),1,"")</f>
        <v/>
      </c>
      <c r="AS38">
        <f>IF(AND($E38&lt;=DATE(2027,5,10)+6,$F38&gt;=DATE(2027,5,10)),1,"")</f>
        <v/>
      </c>
      <c r="AT38">
        <f>IF(AND($E38&lt;=DATE(2027,5,17)+6,$F38&gt;=DATE(2027,5,17)),1,"")</f>
        <v/>
      </c>
      <c r="AU38">
        <f>IF(AND($E38&lt;=DATE(2027,5,24)+6,$F38&gt;=DATE(2027,5,24)),1,"")</f>
        <v/>
      </c>
      <c r="AV38">
        <f>IF(AND($E38&lt;=DATE(2027,5,31)+6,$F38&gt;=DATE(2027,5,31)),1,"")</f>
        <v/>
      </c>
      <c r="AW38">
        <f>IF(AND($E38&lt;=DATE(2027,6,7)+6,$F38&gt;=DATE(2027,6,7)),1,"")</f>
        <v/>
      </c>
      <c r="AX38">
        <f>IF(AND($E38&lt;=DATE(2027,6,14)+6,$F38&gt;=DATE(2027,6,14)),1,"")</f>
        <v/>
      </c>
      <c r="AY38">
        <f>IF(AND($E38&lt;=DATE(2027,6,21)+6,$F38&gt;=DATE(2027,6,21)),1,"")</f>
        <v/>
      </c>
      <c r="AZ38">
        <f>IF(AND($E38&lt;=DATE(2027,6,28)+6,$F38&gt;=DATE(2027,6,28)),1,"")</f>
        <v/>
      </c>
      <c r="BA38">
        <f>IF(AND($E38&lt;=DATE(2027,7,5)+6,$F38&gt;=DATE(2027,7,5)),1,"")</f>
        <v/>
      </c>
      <c r="BB38">
        <f>IF(AND($E38&lt;=DATE(2027,7,12)+6,$F38&gt;=DATE(2027,7,12)),1,"")</f>
        <v/>
      </c>
      <c r="BC38">
        <f>IF(AND($E38&lt;=DATE(2027,7,19)+6,$F38&gt;=DATE(2027,7,19)),1,"")</f>
        <v/>
      </c>
      <c r="BD38">
        <f>IF(AND($E38&lt;=DATE(2027,7,26)+6,$F38&gt;=DATE(2027,7,26)),1,"")</f>
        <v/>
      </c>
      <c r="BE38">
        <f>IF(AND($E38&lt;=DATE(2027,8,2)+6,$F38&gt;=DATE(2027,8,2)),1,"")</f>
        <v/>
      </c>
      <c r="BF38">
        <f>IF(AND($E38&lt;=DATE(2027,8,9)+6,$F38&gt;=DATE(2027,8,9)),1,"")</f>
        <v/>
      </c>
      <c r="BG38">
        <f>IF(AND($E38&lt;=DATE(2027,8,16)+6,$F38&gt;=DATE(2027,8,16)),1,"")</f>
        <v/>
      </c>
      <c r="BH38">
        <f>IF(AND($E38&lt;=DATE(2027,8,23)+6,$F38&gt;=DATE(2027,8,23)),1,"")</f>
        <v/>
      </c>
      <c r="BI38">
        <f>IF(AND($E38&lt;=DATE(2027,8,30)+6,$F38&gt;=DATE(2027,8,30)),1,"")</f>
        <v/>
      </c>
      <c r="BJ38">
        <f>IF(AND($E38&lt;=DATE(2027,9,6)+6,$F38&gt;=DATE(2027,9,6)),1,"")</f>
        <v/>
      </c>
      <c r="BK38">
        <f>IF(AND($E38&lt;=DATE(2027,9,13)+6,$F38&gt;=DATE(2027,9,13)),1,"")</f>
        <v/>
      </c>
      <c r="BL38">
        <f>IF(AND($E38&lt;=DATE(2027,9,20)+6,$F38&gt;=DATE(2027,9,20)),1,"")</f>
        <v/>
      </c>
      <c r="BM38">
        <f>IF(AND($E38&lt;=DATE(2027,9,27)+6,$F38&gt;=DATE(2027,9,27)),1,"")</f>
        <v/>
      </c>
    </row>
    <row r="39">
      <c r="A39" t="inlineStr">
        <is>
          <t>6.7</t>
        </is>
      </c>
      <c r="B39" t="inlineStr">
        <is>
          <t>CRM + B2B sales executive</t>
        </is>
      </c>
      <c r="C39" t="inlineStr">
        <is>
          <t>Mukunda Dasa</t>
        </is>
      </c>
      <c r="D39" t="inlineStr">
        <is>
          <t>Phase 2</t>
        </is>
      </c>
      <c r="E39" s="9" t="n">
        <v>46388</v>
      </c>
      <c r="F39" s="9" t="n">
        <v>46433</v>
      </c>
      <c r="G39">
        <f>F39-E39+1</f>
        <v/>
      </c>
      <c r="H39" t="inlineStr"/>
      <c r="I39" t="inlineStr">
        <is>
          <t>CRM live</t>
        </is>
      </c>
      <c r="J39" t="inlineStr">
        <is>
          <t>Not started</t>
        </is>
      </c>
      <c r="K39" s="10" t="n">
        <v>0</v>
      </c>
      <c r="L39">
        <f>IF(AND($E39&lt;=DATE(2026,9,21)+6,$F39&gt;=DATE(2026,9,21)),1,"")</f>
        <v/>
      </c>
      <c r="M39">
        <f>IF(AND($E39&lt;=DATE(2026,9,28)+6,$F39&gt;=DATE(2026,9,28)),1,"")</f>
        <v/>
      </c>
      <c r="N39">
        <f>IF(AND($E39&lt;=DATE(2026,10,5)+6,$F39&gt;=DATE(2026,10,5)),1,"")</f>
        <v/>
      </c>
      <c r="O39">
        <f>IF(AND($E39&lt;=DATE(2026,10,12)+6,$F39&gt;=DATE(2026,10,12)),1,"")</f>
        <v/>
      </c>
      <c r="P39">
        <f>IF(AND($E39&lt;=DATE(2026,10,19)+6,$F39&gt;=DATE(2026,10,19)),1,"")</f>
        <v/>
      </c>
      <c r="Q39">
        <f>IF(AND($E39&lt;=DATE(2026,10,26)+6,$F39&gt;=DATE(2026,10,26)),1,"")</f>
        <v/>
      </c>
      <c r="R39">
        <f>IF(AND($E39&lt;=DATE(2026,11,2)+6,$F39&gt;=DATE(2026,11,2)),1,"")</f>
        <v/>
      </c>
      <c r="S39">
        <f>IF(AND($E39&lt;=DATE(2026,11,9)+6,$F39&gt;=DATE(2026,11,9)),1,"")</f>
        <v/>
      </c>
      <c r="T39">
        <f>IF(AND($E39&lt;=DATE(2026,11,16)+6,$F39&gt;=DATE(2026,11,16)),1,"")</f>
        <v/>
      </c>
      <c r="U39">
        <f>IF(AND($E39&lt;=DATE(2026,11,23)+6,$F39&gt;=DATE(2026,11,23)),1,"")</f>
        <v/>
      </c>
      <c r="V39">
        <f>IF(AND($E39&lt;=DATE(2026,11,30)+6,$F39&gt;=DATE(2026,11,30)),1,"")</f>
        <v/>
      </c>
      <c r="W39">
        <f>IF(AND($E39&lt;=DATE(2026,12,7)+6,$F39&gt;=DATE(2026,12,7)),1,"")</f>
        <v/>
      </c>
      <c r="X39">
        <f>IF(AND($E39&lt;=DATE(2026,12,14)+6,$F39&gt;=DATE(2026,12,14)),1,"")</f>
        <v/>
      </c>
      <c r="Y39">
        <f>IF(AND($E39&lt;=DATE(2026,12,21)+6,$F39&gt;=DATE(2026,12,21)),1,"")</f>
        <v/>
      </c>
      <c r="Z39">
        <f>IF(AND($E39&lt;=DATE(2026,12,28)+6,$F39&gt;=DATE(2026,12,28)),1,"")</f>
        <v/>
      </c>
      <c r="AA39">
        <f>IF(AND($E39&lt;=DATE(2027,1,4)+6,$F39&gt;=DATE(2027,1,4)),1,"")</f>
        <v/>
      </c>
      <c r="AB39">
        <f>IF(AND($E39&lt;=DATE(2027,1,11)+6,$F39&gt;=DATE(2027,1,11)),1,"")</f>
        <v/>
      </c>
      <c r="AC39">
        <f>IF(AND($E39&lt;=DATE(2027,1,18)+6,$F39&gt;=DATE(2027,1,18)),1,"")</f>
        <v/>
      </c>
      <c r="AD39">
        <f>IF(AND($E39&lt;=DATE(2027,1,25)+6,$F39&gt;=DATE(2027,1,25)),1,"")</f>
        <v/>
      </c>
      <c r="AE39">
        <f>IF(AND($E39&lt;=DATE(2027,2,1)+6,$F39&gt;=DATE(2027,2,1)),1,"")</f>
        <v/>
      </c>
      <c r="AF39">
        <f>IF(AND($E39&lt;=DATE(2027,2,8)+6,$F39&gt;=DATE(2027,2,8)),1,"")</f>
        <v/>
      </c>
      <c r="AG39">
        <f>IF(AND($E39&lt;=DATE(2027,2,15)+6,$F39&gt;=DATE(2027,2,15)),1,"")</f>
        <v/>
      </c>
      <c r="AH39">
        <f>IF(AND($E39&lt;=DATE(2027,2,22)+6,$F39&gt;=DATE(2027,2,22)),1,"")</f>
        <v/>
      </c>
      <c r="AI39">
        <f>IF(AND($E39&lt;=DATE(2027,3,1)+6,$F39&gt;=DATE(2027,3,1)),1,"")</f>
        <v/>
      </c>
      <c r="AJ39">
        <f>IF(AND($E39&lt;=DATE(2027,3,8)+6,$F39&gt;=DATE(2027,3,8)),1,"")</f>
        <v/>
      </c>
      <c r="AK39">
        <f>IF(AND($E39&lt;=DATE(2027,3,15)+6,$F39&gt;=DATE(2027,3,15)),1,"")</f>
        <v/>
      </c>
      <c r="AL39">
        <f>IF(AND($E39&lt;=DATE(2027,3,22)+6,$F39&gt;=DATE(2027,3,22)),1,"")</f>
        <v/>
      </c>
      <c r="AM39">
        <f>IF(AND($E39&lt;=DATE(2027,3,29)+6,$F39&gt;=DATE(2027,3,29)),1,"")</f>
        <v/>
      </c>
      <c r="AN39">
        <f>IF(AND($E39&lt;=DATE(2027,4,5)+6,$F39&gt;=DATE(2027,4,5)),1,"")</f>
        <v/>
      </c>
      <c r="AO39">
        <f>IF(AND($E39&lt;=DATE(2027,4,12)+6,$F39&gt;=DATE(2027,4,12)),1,"")</f>
        <v/>
      </c>
      <c r="AP39">
        <f>IF(AND($E39&lt;=DATE(2027,4,19)+6,$F39&gt;=DATE(2027,4,19)),1,"")</f>
        <v/>
      </c>
      <c r="AQ39">
        <f>IF(AND($E39&lt;=DATE(2027,4,26)+6,$F39&gt;=DATE(2027,4,26)),1,"")</f>
        <v/>
      </c>
      <c r="AR39">
        <f>IF(AND($E39&lt;=DATE(2027,5,3)+6,$F39&gt;=DATE(2027,5,3)),1,"")</f>
        <v/>
      </c>
      <c r="AS39">
        <f>IF(AND($E39&lt;=DATE(2027,5,10)+6,$F39&gt;=DATE(2027,5,10)),1,"")</f>
        <v/>
      </c>
      <c r="AT39">
        <f>IF(AND($E39&lt;=DATE(2027,5,17)+6,$F39&gt;=DATE(2027,5,17)),1,"")</f>
        <v/>
      </c>
      <c r="AU39">
        <f>IF(AND($E39&lt;=DATE(2027,5,24)+6,$F39&gt;=DATE(2027,5,24)),1,"")</f>
        <v/>
      </c>
      <c r="AV39">
        <f>IF(AND($E39&lt;=DATE(2027,5,31)+6,$F39&gt;=DATE(2027,5,31)),1,"")</f>
        <v/>
      </c>
      <c r="AW39">
        <f>IF(AND($E39&lt;=DATE(2027,6,7)+6,$F39&gt;=DATE(2027,6,7)),1,"")</f>
        <v/>
      </c>
      <c r="AX39">
        <f>IF(AND($E39&lt;=DATE(2027,6,14)+6,$F39&gt;=DATE(2027,6,14)),1,"")</f>
        <v/>
      </c>
      <c r="AY39">
        <f>IF(AND($E39&lt;=DATE(2027,6,21)+6,$F39&gt;=DATE(2027,6,21)),1,"")</f>
        <v/>
      </c>
      <c r="AZ39">
        <f>IF(AND($E39&lt;=DATE(2027,6,28)+6,$F39&gt;=DATE(2027,6,28)),1,"")</f>
        <v/>
      </c>
      <c r="BA39">
        <f>IF(AND($E39&lt;=DATE(2027,7,5)+6,$F39&gt;=DATE(2027,7,5)),1,"")</f>
        <v/>
      </c>
      <c r="BB39">
        <f>IF(AND($E39&lt;=DATE(2027,7,12)+6,$F39&gt;=DATE(2027,7,12)),1,"")</f>
        <v/>
      </c>
      <c r="BC39">
        <f>IF(AND($E39&lt;=DATE(2027,7,19)+6,$F39&gt;=DATE(2027,7,19)),1,"")</f>
        <v/>
      </c>
      <c r="BD39">
        <f>IF(AND($E39&lt;=DATE(2027,7,26)+6,$F39&gt;=DATE(2027,7,26)),1,"")</f>
        <v/>
      </c>
      <c r="BE39">
        <f>IF(AND($E39&lt;=DATE(2027,8,2)+6,$F39&gt;=DATE(2027,8,2)),1,"")</f>
        <v/>
      </c>
      <c r="BF39">
        <f>IF(AND($E39&lt;=DATE(2027,8,9)+6,$F39&gt;=DATE(2027,8,9)),1,"")</f>
        <v/>
      </c>
      <c r="BG39">
        <f>IF(AND($E39&lt;=DATE(2027,8,16)+6,$F39&gt;=DATE(2027,8,16)),1,"")</f>
        <v/>
      </c>
      <c r="BH39">
        <f>IF(AND($E39&lt;=DATE(2027,8,23)+6,$F39&gt;=DATE(2027,8,23)),1,"")</f>
        <v/>
      </c>
      <c r="BI39">
        <f>IF(AND($E39&lt;=DATE(2027,8,30)+6,$F39&gt;=DATE(2027,8,30)),1,"")</f>
        <v/>
      </c>
      <c r="BJ39">
        <f>IF(AND($E39&lt;=DATE(2027,9,6)+6,$F39&gt;=DATE(2027,9,6)),1,"")</f>
        <v/>
      </c>
      <c r="BK39">
        <f>IF(AND($E39&lt;=DATE(2027,9,13)+6,$F39&gt;=DATE(2027,9,13)),1,"")</f>
        <v/>
      </c>
      <c r="BL39">
        <f>IF(AND($E39&lt;=DATE(2027,9,20)+6,$F39&gt;=DATE(2027,9,20)),1,"")</f>
        <v/>
      </c>
      <c r="BM39">
        <f>IF(AND($E39&lt;=DATE(2027,9,27)+6,$F39&gt;=DATE(2027,9,27)),1,"")</f>
        <v/>
      </c>
    </row>
    <row r="40">
      <c r="A40" t="inlineStr">
        <is>
          <t>6.8</t>
        </is>
      </c>
      <c r="B40" t="inlineStr">
        <is>
          <t>Subscription box beta</t>
        </is>
      </c>
      <c r="C40" t="inlineStr">
        <is>
          <t>DMTT</t>
        </is>
      </c>
      <c r="D40" t="inlineStr">
        <is>
          <t>Phase 2</t>
        </is>
      </c>
      <c r="E40" s="9" t="n">
        <v>46419</v>
      </c>
      <c r="F40" s="9" t="n">
        <v>46477</v>
      </c>
      <c r="G40">
        <f>F40-E40+1</f>
        <v/>
      </c>
      <c r="H40" t="inlineStr">
        <is>
          <t>6.2</t>
        </is>
      </c>
      <c r="I40" t="inlineStr">
        <is>
          <t>100 subscribers</t>
        </is>
      </c>
      <c r="J40" t="inlineStr">
        <is>
          <t>Not started</t>
        </is>
      </c>
      <c r="K40" s="10" t="n">
        <v>0</v>
      </c>
      <c r="L40">
        <f>IF(AND($E40&lt;=DATE(2026,9,21)+6,$F40&gt;=DATE(2026,9,21)),1,"")</f>
        <v/>
      </c>
      <c r="M40">
        <f>IF(AND($E40&lt;=DATE(2026,9,28)+6,$F40&gt;=DATE(2026,9,28)),1,"")</f>
        <v/>
      </c>
      <c r="N40">
        <f>IF(AND($E40&lt;=DATE(2026,10,5)+6,$F40&gt;=DATE(2026,10,5)),1,"")</f>
        <v/>
      </c>
      <c r="O40">
        <f>IF(AND($E40&lt;=DATE(2026,10,12)+6,$F40&gt;=DATE(2026,10,12)),1,"")</f>
        <v/>
      </c>
      <c r="P40">
        <f>IF(AND($E40&lt;=DATE(2026,10,19)+6,$F40&gt;=DATE(2026,10,19)),1,"")</f>
        <v/>
      </c>
      <c r="Q40">
        <f>IF(AND($E40&lt;=DATE(2026,10,26)+6,$F40&gt;=DATE(2026,10,26)),1,"")</f>
        <v/>
      </c>
      <c r="R40">
        <f>IF(AND($E40&lt;=DATE(2026,11,2)+6,$F40&gt;=DATE(2026,11,2)),1,"")</f>
        <v/>
      </c>
      <c r="S40">
        <f>IF(AND($E40&lt;=DATE(2026,11,9)+6,$F40&gt;=DATE(2026,11,9)),1,"")</f>
        <v/>
      </c>
      <c r="T40">
        <f>IF(AND($E40&lt;=DATE(2026,11,16)+6,$F40&gt;=DATE(2026,11,16)),1,"")</f>
        <v/>
      </c>
      <c r="U40">
        <f>IF(AND($E40&lt;=DATE(2026,11,23)+6,$F40&gt;=DATE(2026,11,23)),1,"")</f>
        <v/>
      </c>
      <c r="V40">
        <f>IF(AND($E40&lt;=DATE(2026,11,30)+6,$F40&gt;=DATE(2026,11,30)),1,"")</f>
        <v/>
      </c>
      <c r="W40">
        <f>IF(AND($E40&lt;=DATE(2026,12,7)+6,$F40&gt;=DATE(2026,12,7)),1,"")</f>
        <v/>
      </c>
      <c r="X40">
        <f>IF(AND($E40&lt;=DATE(2026,12,14)+6,$F40&gt;=DATE(2026,12,14)),1,"")</f>
        <v/>
      </c>
      <c r="Y40">
        <f>IF(AND($E40&lt;=DATE(2026,12,21)+6,$F40&gt;=DATE(2026,12,21)),1,"")</f>
        <v/>
      </c>
      <c r="Z40">
        <f>IF(AND($E40&lt;=DATE(2026,12,28)+6,$F40&gt;=DATE(2026,12,28)),1,"")</f>
        <v/>
      </c>
      <c r="AA40">
        <f>IF(AND($E40&lt;=DATE(2027,1,4)+6,$F40&gt;=DATE(2027,1,4)),1,"")</f>
        <v/>
      </c>
      <c r="AB40">
        <f>IF(AND($E40&lt;=DATE(2027,1,11)+6,$F40&gt;=DATE(2027,1,11)),1,"")</f>
        <v/>
      </c>
      <c r="AC40">
        <f>IF(AND($E40&lt;=DATE(2027,1,18)+6,$F40&gt;=DATE(2027,1,18)),1,"")</f>
        <v/>
      </c>
      <c r="AD40">
        <f>IF(AND($E40&lt;=DATE(2027,1,25)+6,$F40&gt;=DATE(2027,1,25)),1,"")</f>
        <v/>
      </c>
      <c r="AE40">
        <f>IF(AND($E40&lt;=DATE(2027,2,1)+6,$F40&gt;=DATE(2027,2,1)),1,"")</f>
        <v/>
      </c>
      <c r="AF40">
        <f>IF(AND($E40&lt;=DATE(2027,2,8)+6,$F40&gt;=DATE(2027,2,8)),1,"")</f>
        <v/>
      </c>
      <c r="AG40">
        <f>IF(AND($E40&lt;=DATE(2027,2,15)+6,$F40&gt;=DATE(2027,2,15)),1,"")</f>
        <v/>
      </c>
      <c r="AH40">
        <f>IF(AND($E40&lt;=DATE(2027,2,22)+6,$F40&gt;=DATE(2027,2,22)),1,"")</f>
        <v/>
      </c>
      <c r="AI40">
        <f>IF(AND($E40&lt;=DATE(2027,3,1)+6,$F40&gt;=DATE(2027,3,1)),1,"")</f>
        <v/>
      </c>
      <c r="AJ40">
        <f>IF(AND($E40&lt;=DATE(2027,3,8)+6,$F40&gt;=DATE(2027,3,8)),1,"")</f>
        <v/>
      </c>
      <c r="AK40">
        <f>IF(AND($E40&lt;=DATE(2027,3,15)+6,$F40&gt;=DATE(2027,3,15)),1,"")</f>
        <v/>
      </c>
      <c r="AL40">
        <f>IF(AND($E40&lt;=DATE(2027,3,22)+6,$F40&gt;=DATE(2027,3,22)),1,"")</f>
        <v/>
      </c>
      <c r="AM40">
        <f>IF(AND($E40&lt;=DATE(2027,3,29)+6,$F40&gt;=DATE(2027,3,29)),1,"")</f>
        <v/>
      </c>
      <c r="AN40">
        <f>IF(AND($E40&lt;=DATE(2027,4,5)+6,$F40&gt;=DATE(2027,4,5)),1,"")</f>
        <v/>
      </c>
      <c r="AO40">
        <f>IF(AND($E40&lt;=DATE(2027,4,12)+6,$F40&gt;=DATE(2027,4,12)),1,"")</f>
        <v/>
      </c>
      <c r="AP40">
        <f>IF(AND($E40&lt;=DATE(2027,4,19)+6,$F40&gt;=DATE(2027,4,19)),1,"")</f>
        <v/>
      </c>
      <c r="AQ40">
        <f>IF(AND($E40&lt;=DATE(2027,4,26)+6,$F40&gt;=DATE(2027,4,26)),1,"")</f>
        <v/>
      </c>
      <c r="AR40">
        <f>IF(AND($E40&lt;=DATE(2027,5,3)+6,$F40&gt;=DATE(2027,5,3)),1,"")</f>
        <v/>
      </c>
      <c r="AS40">
        <f>IF(AND($E40&lt;=DATE(2027,5,10)+6,$F40&gt;=DATE(2027,5,10)),1,"")</f>
        <v/>
      </c>
      <c r="AT40">
        <f>IF(AND($E40&lt;=DATE(2027,5,17)+6,$F40&gt;=DATE(2027,5,17)),1,"")</f>
        <v/>
      </c>
      <c r="AU40">
        <f>IF(AND($E40&lt;=DATE(2027,5,24)+6,$F40&gt;=DATE(2027,5,24)),1,"")</f>
        <v/>
      </c>
      <c r="AV40">
        <f>IF(AND($E40&lt;=DATE(2027,5,31)+6,$F40&gt;=DATE(2027,5,31)),1,"")</f>
        <v/>
      </c>
      <c r="AW40">
        <f>IF(AND($E40&lt;=DATE(2027,6,7)+6,$F40&gt;=DATE(2027,6,7)),1,"")</f>
        <v/>
      </c>
      <c r="AX40">
        <f>IF(AND($E40&lt;=DATE(2027,6,14)+6,$F40&gt;=DATE(2027,6,14)),1,"")</f>
        <v/>
      </c>
      <c r="AY40">
        <f>IF(AND($E40&lt;=DATE(2027,6,21)+6,$F40&gt;=DATE(2027,6,21)),1,"")</f>
        <v/>
      </c>
      <c r="AZ40">
        <f>IF(AND($E40&lt;=DATE(2027,6,28)+6,$F40&gt;=DATE(2027,6,28)),1,"")</f>
        <v/>
      </c>
      <c r="BA40">
        <f>IF(AND($E40&lt;=DATE(2027,7,5)+6,$F40&gt;=DATE(2027,7,5)),1,"")</f>
        <v/>
      </c>
      <c r="BB40">
        <f>IF(AND($E40&lt;=DATE(2027,7,12)+6,$F40&gt;=DATE(2027,7,12)),1,"")</f>
        <v/>
      </c>
      <c r="BC40">
        <f>IF(AND($E40&lt;=DATE(2027,7,19)+6,$F40&gt;=DATE(2027,7,19)),1,"")</f>
        <v/>
      </c>
      <c r="BD40">
        <f>IF(AND($E40&lt;=DATE(2027,7,26)+6,$F40&gt;=DATE(2027,7,26)),1,"")</f>
        <v/>
      </c>
      <c r="BE40">
        <f>IF(AND($E40&lt;=DATE(2027,8,2)+6,$F40&gt;=DATE(2027,8,2)),1,"")</f>
        <v/>
      </c>
      <c r="BF40">
        <f>IF(AND($E40&lt;=DATE(2027,8,9)+6,$F40&gt;=DATE(2027,8,9)),1,"")</f>
        <v/>
      </c>
      <c r="BG40">
        <f>IF(AND($E40&lt;=DATE(2027,8,16)+6,$F40&gt;=DATE(2027,8,16)),1,"")</f>
        <v/>
      </c>
      <c r="BH40">
        <f>IF(AND($E40&lt;=DATE(2027,8,23)+6,$F40&gt;=DATE(2027,8,23)),1,"")</f>
        <v/>
      </c>
      <c r="BI40">
        <f>IF(AND($E40&lt;=DATE(2027,8,30)+6,$F40&gt;=DATE(2027,8,30)),1,"")</f>
        <v/>
      </c>
      <c r="BJ40">
        <f>IF(AND($E40&lt;=DATE(2027,9,6)+6,$F40&gt;=DATE(2027,9,6)),1,"")</f>
        <v/>
      </c>
      <c r="BK40">
        <f>IF(AND($E40&lt;=DATE(2027,9,13)+6,$F40&gt;=DATE(2027,9,13)),1,"")</f>
        <v/>
      </c>
      <c r="BL40">
        <f>IF(AND($E40&lt;=DATE(2027,9,20)+6,$F40&gt;=DATE(2027,9,20)),1,"")</f>
        <v/>
      </c>
      <c r="BM40">
        <f>IF(AND($E40&lt;=DATE(2027,9,27)+6,$F40&gt;=DATE(2027,9,27)),1,"")</f>
        <v/>
      </c>
    </row>
    <row r="41">
      <c r="A41" s="6" t="inlineStr">
        <is>
          <t>7</t>
        </is>
      </c>
      <c r="B41" s="6" t="inlineStr">
        <is>
          <t>Scale in Hyderabad</t>
        </is>
      </c>
      <c r="C41" s="6" t="inlineStr"/>
      <c r="D41" s="6" t="inlineStr">
        <is>
          <t>Phase 3</t>
        </is>
      </c>
      <c r="E41" s="7" t="n">
        <v>46478</v>
      </c>
      <c r="F41" s="7" t="n">
        <v>46660</v>
      </c>
      <c r="G41" s="6">
        <f>F41-E41+1</f>
        <v/>
      </c>
      <c r="H41" s="6" t="inlineStr"/>
      <c r="I41" s="6" t="inlineStr"/>
      <c r="J41" s="6" t="inlineStr"/>
      <c r="K41" s="8" t="n"/>
      <c r="L41">
        <f>IF(AND($E41&lt;=DATE(2026,9,21)+6,$F41&gt;=DATE(2026,9,21)),1,"")</f>
        <v/>
      </c>
      <c r="M41">
        <f>IF(AND($E41&lt;=DATE(2026,9,28)+6,$F41&gt;=DATE(2026,9,28)),1,"")</f>
        <v/>
      </c>
      <c r="N41">
        <f>IF(AND($E41&lt;=DATE(2026,10,5)+6,$F41&gt;=DATE(2026,10,5)),1,"")</f>
        <v/>
      </c>
      <c r="O41">
        <f>IF(AND($E41&lt;=DATE(2026,10,12)+6,$F41&gt;=DATE(2026,10,12)),1,"")</f>
        <v/>
      </c>
      <c r="P41">
        <f>IF(AND($E41&lt;=DATE(2026,10,19)+6,$F41&gt;=DATE(2026,10,19)),1,"")</f>
        <v/>
      </c>
      <c r="Q41">
        <f>IF(AND($E41&lt;=DATE(2026,10,26)+6,$F41&gt;=DATE(2026,10,26)),1,"")</f>
        <v/>
      </c>
      <c r="R41">
        <f>IF(AND($E41&lt;=DATE(2026,11,2)+6,$F41&gt;=DATE(2026,11,2)),1,"")</f>
        <v/>
      </c>
      <c r="S41">
        <f>IF(AND($E41&lt;=DATE(2026,11,9)+6,$F41&gt;=DATE(2026,11,9)),1,"")</f>
        <v/>
      </c>
      <c r="T41">
        <f>IF(AND($E41&lt;=DATE(2026,11,16)+6,$F41&gt;=DATE(2026,11,16)),1,"")</f>
        <v/>
      </c>
      <c r="U41">
        <f>IF(AND($E41&lt;=DATE(2026,11,23)+6,$F41&gt;=DATE(2026,11,23)),1,"")</f>
        <v/>
      </c>
      <c r="V41">
        <f>IF(AND($E41&lt;=DATE(2026,11,30)+6,$F41&gt;=DATE(2026,11,30)),1,"")</f>
        <v/>
      </c>
      <c r="W41">
        <f>IF(AND($E41&lt;=DATE(2026,12,7)+6,$F41&gt;=DATE(2026,12,7)),1,"")</f>
        <v/>
      </c>
      <c r="X41">
        <f>IF(AND($E41&lt;=DATE(2026,12,14)+6,$F41&gt;=DATE(2026,12,14)),1,"")</f>
        <v/>
      </c>
      <c r="Y41">
        <f>IF(AND($E41&lt;=DATE(2026,12,21)+6,$F41&gt;=DATE(2026,12,21)),1,"")</f>
        <v/>
      </c>
      <c r="Z41">
        <f>IF(AND($E41&lt;=DATE(2026,12,28)+6,$F41&gt;=DATE(2026,12,28)),1,"")</f>
        <v/>
      </c>
      <c r="AA41">
        <f>IF(AND($E41&lt;=DATE(2027,1,4)+6,$F41&gt;=DATE(2027,1,4)),1,"")</f>
        <v/>
      </c>
      <c r="AB41">
        <f>IF(AND($E41&lt;=DATE(2027,1,11)+6,$F41&gt;=DATE(2027,1,11)),1,"")</f>
        <v/>
      </c>
      <c r="AC41">
        <f>IF(AND($E41&lt;=DATE(2027,1,18)+6,$F41&gt;=DATE(2027,1,18)),1,"")</f>
        <v/>
      </c>
      <c r="AD41">
        <f>IF(AND($E41&lt;=DATE(2027,1,25)+6,$F41&gt;=DATE(2027,1,25)),1,"")</f>
        <v/>
      </c>
      <c r="AE41">
        <f>IF(AND($E41&lt;=DATE(2027,2,1)+6,$F41&gt;=DATE(2027,2,1)),1,"")</f>
        <v/>
      </c>
      <c r="AF41">
        <f>IF(AND($E41&lt;=DATE(2027,2,8)+6,$F41&gt;=DATE(2027,2,8)),1,"")</f>
        <v/>
      </c>
      <c r="AG41">
        <f>IF(AND($E41&lt;=DATE(2027,2,15)+6,$F41&gt;=DATE(2027,2,15)),1,"")</f>
        <v/>
      </c>
      <c r="AH41">
        <f>IF(AND($E41&lt;=DATE(2027,2,22)+6,$F41&gt;=DATE(2027,2,22)),1,"")</f>
        <v/>
      </c>
      <c r="AI41">
        <f>IF(AND($E41&lt;=DATE(2027,3,1)+6,$F41&gt;=DATE(2027,3,1)),1,"")</f>
        <v/>
      </c>
      <c r="AJ41">
        <f>IF(AND($E41&lt;=DATE(2027,3,8)+6,$F41&gt;=DATE(2027,3,8)),1,"")</f>
        <v/>
      </c>
      <c r="AK41">
        <f>IF(AND($E41&lt;=DATE(2027,3,15)+6,$F41&gt;=DATE(2027,3,15)),1,"")</f>
        <v/>
      </c>
      <c r="AL41">
        <f>IF(AND($E41&lt;=DATE(2027,3,22)+6,$F41&gt;=DATE(2027,3,22)),1,"")</f>
        <v/>
      </c>
      <c r="AM41">
        <f>IF(AND($E41&lt;=DATE(2027,3,29)+6,$F41&gt;=DATE(2027,3,29)),1,"")</f>
        <v/>
      </c>
      <c r="AN41">
        <f>IF(AND($E41&lt;=DATE(2027,4,5)+6,$F41&gt;=DATE(2027,4,5)),1,"")</f>
        <v/>
      </c>
      <c r="AO41">
        <f>IF(AND($E41&lt;=DATE(2027,4,12)+6,$F41&gt;=DATE(2027,4,12)),1,"")</f>
        <v/>
      </c>
      <c r="AP41">
        <f>IF(AND($E41&lt;=DATE(2027,4,19)+6,$F41&gt;=DATE(2027,4,19)),1,"")</f>
        <v/>
      </c>
      <c r="AQ41">
        <f>IF(AND($E41&lt;=DATE(2027,4,26)+6,$F41&gt;=DATE(2027,4,26)),1,"")</f>
        <v/>
      </c>
      <c r="AR41">
        <f>IF(AND($E41&lt;=DATE(2027,5,3)+6,$F41&gt;=DATE(2027,5,3)),1,"")</f>
        <v/>
      </c>
      <c r="AS41">
        <f>IF(AND($E41&lt;=DATE(2027,5,10)+6,$F41&gt;=DATE(2027,5,10)),1,"")</f>
        <v/>
      </c>
      <c r="AT41">
        <f>IF(AND($E41&lt;=DATE(2027,5,17)+6,$F41&gt;=DATE(2027,5,17)),1,"")</f>
        <v/>
      </c>
      <c r="AU41">
        <f>IF(AND($E41&lt;=DATE(2027,5,24)+6,$F41&gt;=DATE(2027,5,24)),1,"")</f>
        <v/>
      </c>
      <c r="AV41">
        <f>IF(AND($E41&lt;=DATE(2027,5,31)+6,$F41&gt;=DATE(2027,5,31)),1,"")</f>
        <v/>
      </c>
      <c r="AW41">
        <f>IF(AND($E41&lt;=DATE(2027,6,7)+6,$F41&gt;=DATE(2027,6,7)),1,"")</f>
        <v/>
      </c>
      <c r="AX41">
        <f>IF(AND($E41&lt;=DATE(2027,6,14)+6,$F41&gt;=DATE(2027,6,14)),1,"")</f>
        <v/>
      </c>
      <c r="AY41">
        <f>IF(AND($E41&lt;=DATE(2027,6,21)+6,$F41&gt;=DATE(2027,6,21)),1,"")</f>
        <v/>
      </c>
      <c r="AZ41">
        <f>IF(AND($E41&lt;=DATE(2027,6,28)+6,$F41&gt;=DATE(2027,6,28)),1,"")</f>
        <v/>
      </c>
      <c r="BA41">
        <f>IF(AND($E41&lt;=DATE(2027,7,5)+6,$F41&gt;=DATE(2027,7,5)),1,"")</f>
        <v/>
      </c>
      <c r="BB41">
        <f>IF(AND($E41&lt;=DATE(2027,7,12)+6,$F41&gt;=DATE(2027,7,12)),1,"")</f>
        <v/>
      </c>
      <c r="BC41">
        <f>IF(AND($E41&lt;=DATE(2027,7,19)+6,$F41&gt;=DATE(2027,7,19)),1,"")</f>
        <v/>
      </c>
      <c r="BD41">
        <f>IF(AND($E41&lt;=DATE(2027,7,26)+6,$F41&gt;=DATE(2027,7,26)),1,"")</f>
        <v/>
      </c>
      <c r="BE41">
        <f>IF(AND($E41&lt;=DATE(2027,8,2)+6,$F41&gt;=DATE(2027,8,2)),1,"")</f>
        <v/>
      </c>
      <c r="BF41">
        <f>IF(AND($E41&lt;=DATE(2027,8,9)+6,$F41&gt;=DATE(2027,8,9)),1,"")</f>
        <v/>
      </c>
      <c r="BG41">
        <f>IF(AND($E41&lt;=DATE(2027,8,16)+6,$F41&gt;=DATE(2027,8,16)),1,"")</f>
        <v/>
      </c>
      <c r="BH41">
        <f>IF(AND($E41&lt;=DATE(2027,8,23)+6,$F41&gt;=DATE(2027,8,23)),1,"")</f>
        <v/>
      </c>
      <c r="BI41">
        <f>IF(AND($E41&lt;=DATE(2027,8,30)+6,$F41&gt;=DATE(2027,8,30)),1,"")</f>
        <v/>
      </c>
      <c r="BJ41">
        <f>IF(AND($E41&lt;=DATE(2027,9,6)+6,$F41&gt;=DATE(2027,9,6)),1,"")</f>
        <v/>
      </c>
      <c r="BK41">
        <f>IF(AND($E41&lt;=DATE(2027,9,13)+6,$F41&gt;=DATE(2027,9,13)),1,"")</f>
        <v/>
      </c>
      <c r="BL41">
        <f>IF(AND($E41&lt;=DATE(2027,9,20)+6,$F41&gt;=DATE(2027,9,20)),1,"")</f>
        <v/>
      </c>
      <c r="BM41">
        <f>IF(AND($E41&lt;=DATE(2027,9,27)+6,$F41&gt;=DATE(2027,9,27)),1,"")</f>
        <v/>
      </c>
    </row>
    <row r="42">
      <c r="A42" t="inlineStr">
        <is>
          <t>7.1</t>
        </is>
      </c>
      <c r="B42" t="inlineStr">
        <is>
          <t>Pagoda costing, procurement &amp; installation</t>
        </is>
      </c>
      <c r="C42" t="inlineStr">
        <is>
          <t>Facilities</t>
        </is>
      </c>
      <c r="D42" t="inlineStr">
        <is>
          <t>Phase 3</t>
        </is>
      </c>
      <c r="E42" s="9" t="n">
        <v>46478</v>
      </c>
      <c r="F42" s="9" t="n">
        <v>46568</v>
      </c>
      <c r="G42">
        <f>F42-E42+1</f>
        <v/>
      </c>
      <c r="H42" t="inlineStr"/>
      <c r="I42" t="inlineStr">
        <is>
          <t>Pagodas installed</t>
        </is>
      </c>
      <c r="J42" t="inlineStr">
        <is>
          <t>Not started</t>
        </is>
      </c>
      <c r="K42" s="10" t="n">
        <v>0</v>
      </c>
      <c r="L42">
        <f>IF(AND($E42&lt;=DATE(2026,9,21)+6,$F42&gt;=DATE(2026,9,21)),1,"")</f>
        <v/>
      </c>
      <c r="M42">
        <f>IF(AND($E42&lt;=DATE(2026,9,28)+6,$F42&gt;=DATE(2026,9,28)),1,"")</f>
        <v/>
      </c>
      <c r="N42">
        <f>IF(AND($E42&lt;=DATE(2026,10,5)+6,$F42&gt;=DATE(2026,10,5)),1,"")</f>
        <v/>
      </c>
      <c r="O42">
        <f>IF(AND($E42&lt;=DATE(2026,10,12)+6,$F42&gt;=DATE(2026,10,12)),1,"")</f>
        <v/>
      </c>
      <c r="P42">
        <f>IF(AND($E42&lt;=DATE(2026,10,19)+6,$F42&gt;=DATE(2026,10,19)),1,"")</f>
        <v/>
      </c>
      <c r="Q42">
        <f>IF(AND($E42&lt;=DATE(2026,10,26)+6,$F42&gt;=DATE(2026,10,26)),1,"")</f>
        <v/>
      </c>
      <c r="R42">
        <f>IF(AND($E42&lt;=DATE(2026,11,2)+6,$F42&gt;=DATE(2026,11,2)),1,"")</f>
        <v/>
      </c>
      <c r="S42">
        <f>IF(AND($E42&lt;=DATE(2026,11,9)+6,$F42&gt;=DATE(2026,11,9)),1,"")</f>
        <v/>
      </c>
      <c r="T42">
        <f>IF(AND($E42&lt;=DATE(2026,11,16)+6,$F42&gt;=DATE(2026,11,16)),1,"")</f>
        <v/>
      </c>
      <c r="U42">
        <f>IF(AND($E42&lt;=DATE(2026,11,23)+6,$F42&gt;=DATE(2026,11,23)),1,"")</f>
        <v/>
      </c>
      <c r="V42">
        <f>IF(AND($E42&lt;=DATE(2026,11,30)+6,$F42&gt;=DATE(2026,11,30)),1,"")</f>
        <v/>
      </c>
      <c r="W42">
        <f>IF(AND($E42&lt;=DATE(2026,12,7)+6,$F42&gt;=DATE(2026,12,7)),1,"")</f>
        <v/>
      </c>
      <c r="X42">
        <f>IF(AND($E42&lt;=DATE(2026,12,14)+6,$F42&gt;=DATE(2026,12,14)),1,"")</f>
        <v/>
      </c>
      <c r="Y42">
        <f>IF(AND($E42&lt;=DATE(2026,12,21)+6,$F42&gt;=DATE(2026,12,21)),1,"")</f>
        <v/>
      </c>
      <c r="Z42">
        <f>IF(AND($E42&lt;=DATE(2026,12,28)+6,$F42&gt;=DATE(2026,12,28)),1,"")</f>
        <v/>
      </c>
      <c r="AA42">
        <f>IF(AND($E42&lt;=DATE(2027,1,4)+6,$F42&gt;=DATE(2027,1,4)),1,"")</f>
        <v/>
      </c>
      <c r="AB42">
        <f>IF(AND($E42&lt;=DATE(2027,1,11)+6,$F42&gt;=DATE(2027,1,11)),1,"")</f>
        <v/>
      </c>
      <c r="AC42">
        <f>IF(AND($E42&lt;=DATE(2027,1,18)+6,$F42&gt;=DATE(2027,1,18)),1,"")</f>
        <v/>
      </c>
      <c r="AD42">
        <f>IF(AND($E42&lt;=DATE(2027,1,25)+6,$F42&gt;=DATE(2027,1,25)),1,"")</f>
        <v/>
      </c>
      <c r="AE42">
        <f>IF(AND($E42&lt;=DATE(2027,2,1)+6,$F42&gt;=DATE(2027,2,1)),1,"")</f>
        <v/>
      </c>
      <c r="AF42">
        <f>IF(AND($E42&lt;=DATE(2027,2,8)+6,$F42&gt;=DATE(2027,2,8)),1,"")</f>
        <v/>
      </c>
      <c r="AG42">
        <f>IF(AND($E42&lt;=DATE(2027,2,15)+6,$F42&gt;=DATE(2027,2,15)),1,"")</f>
        <v/>
      </c>
      <c r="AH42">
        <f>IF(AND($E42&lt;=DATE(2027,2,22)+6,$F42&gt;=DATE(2027,2,22)),1,"")</f>
        <v/>
      </c>
      <c r="AI42">
        <f>IF(AND($E42&lt;=DATE(2027,3,1)+6,$F42&gt;=DATE(2027,3,1)),1,"")</f>
        <v/>
      </c>
      <c r="AJ42">
        <f>IF(AND($E42&lt;=DATE(2027,3,8)+6,$F42&gt;=DATE(2027,3,8)),1,"")</f>
        <v/>
      </c>
      <c r="AK42">
        <f>IF(AND($E42&lt;=DATE(2027,3,15)+6,$F42&gt;=DATE(2027,3,15)),1,"")</f>
        <v/>
      </c>
      <c r="AL42">
        <f>IF(AND($E42&lt;=DATE(2027,3,22)+6,$F42&gt;=DATE(2027,3,22)),1,"")</f>
        <v/>
      </c>
      <c r="AM42">
        <f>IF(AND($E42&lt;=DATE(2027,3,29)+6,$F42&gt;=DATE(2027,3,29)),1,"")</f>
        <v/>
      </c>
      <c r="AN42">
        <f>IF(AND($E42&lt;=DATE(2027,4,5)+6,$F42&gt;=DATE(2027,4,5)),1,"")</f>
        <v/>
      </c>
      <c r="AO42">
        <f>IF(AND($E42&lt;=DATE(2027,4,12)+6,$F42&gt;=DATE(2027,4,12)),1,"")</f>
        <v/>
      </c>
      <c r="AP42">
        <f>IF(AND($E42&lt;=DATE(2027,4,19)+6,$F42&gt;=DATE(2027,4,19)),1,"")</f>
        <v/>
      </c>
      <c r="AQ42">
        <f>IF(AND($E42&lt;=DATE(2027,4,26)+6,$F42&gt;=DATE(2027,4,26)),1,"")</f>
        <v/>
      </c>
      <c r="AR42">
        <f>IF(AND($E42&lt;=DATE(2027,5,3)+6,$F42&gt;=DATE(2027,5,3)),1,"")</f>
        <v/>
      </c>
      <c r="AS42">
        <f>IF(AND($E42&lt;=DATE(2027,5,10)+6,$F42&gt;=DATE(2027,5,10)),1,"")</f>
        <v/>
      </c>
      <c r="AT42">
        <f>IF(AND($E42&lt;=DATE(2027,5,17)+6,$F42&gt;=DATE(2027,5,17)),1,"")</f>
        <v/>
      </c>
      <c r="AU42">
        <f>IF(AND($E42&lt;=DATE(2027,5,24)+6,$F42&gt;=DATE(2027,5,24)),1,"")</f>
        <v/>
      </c>
      <c r="AV42">
        <f>IF(AND($E42&lt;=DATE(2027,5,31)+6,$F42&gt;=DATE(2027,5,31)),1,"")</f>
        <v/>
      </c>
      <c r="AW42">
        <f>IF(AND($E42&lt;=DATE(2027,6,7)+6,$F42&gt;=DATE(2027,6,7)),1,"")</f>
        <v/>
      </c>
      <c r="AX42">
        <f>IF(AND($E42&lt;=DATE(2027,6,14)+6,$F42&gt;=DATE(2027,6,14)),1,"")</f>
        <v/>
      </c>
      <c r="AY42">
        <f>IF(AND($E42&lt;=DATE(2027,6,21)+6,$F42&gt;=DATE(2027,6,21)),1,"")</f>
        <v/>
      </c>
      <c r="AZ42">
        <f>IF(AND($E42&lt;=DATE(2027,6,28)+6,$F42&gt;=DATE(2027,6,28)),1,"")</f>
        <v/>
      </c>
      <c r="BA42">
        <f>IF(AND($E42&lt;=DATE(2027,7,5)+6,$F42&gt;=DATE(2027,7,5)),1,"")</f>
        <v/>
      </c>
      <c r="BB42">
        <f>IF(AND($E42&lt;=DATE(2027,7,12)+6,$F42&gt;=DATE(2027,7,12)),1,"")</f>
        <v/>
      </c>
      <c r="BC42">
        <f>IF(AND($E42&lt;=DATE(2027,7,19)+6,$F42&gt;=DATE(2027,7,19)),1,"")</f>
        <v/>
      </c>
      <c r="BD42">
        <f>IF(AND($E42&lt;=DATE(2027,7,26)+6,$F42&gt;=DATE(2027,7,26)),1,"")</f>
        <v/>
      </c>
      <c r="BE42">
        <f>IF(AND($E42&lt;=DATE(2027,8,2)+6,$F42&gt;=DATE(2027,8,2)),1,"")</f>
        <v/>
      </c>
      <c r="BF42">
        <f>IF(AND($E42&lt;=DATE(2027,8,9)+6,$F42&gt;=DATE(2027,8,9)),1,"")</f>
        <v/>
      </c>
      <c r="BG42">
        <f>IF(AND($E42&lt;=DATE(2027,8,16)+6,$F42&gt;=DATE(2027,8,16)),1,"")</f>
        <v/>
      </c>
      <c r="BH42">
        <f>IF(AND($E42&lt;=DATE(2027,8,23)+6,$F42&gt;=DATE(2027,8,23)),1,"")</f>
        <v/>
      </c>
      <c r="BI42">
        <f>IF(AND($E42&lt;=DATE(2027,8,30)+6,$F42&gt;=DATE(2027,8,30)),1,"")</f>
        <v/>
      </c>
      <c r="BJ42">
        <f>IF(AND($E42&lt;=DATE(2027,9,6)+6,$F42&gt;=DATE(2027,9,6)),1,"")</f>
        <v/>
      </c>
      <c r="BK42">
        <f>IF(AND($E42&lt;=DATE(2027,9,13)+6,$F42&gt;=DATE(2027,9,13)),1,"")</f>
        <v/>
      </c>
      <c r="BL42">
        <f>IF(AND($E42&lt;=DATE(2027,9,20)+6,$F42&gt;=DATE(2027,9,20)),1,"")</f>
        <v/>
      </c>
      <c r="BM42">
        <f>IF(AND($E42&lt;=DATE(2027,9,27)+6,$F42&gt;=DATE(2027,9,27)),1,"")</f>
        <v/>
      </c>
    </row>
    <row r="43">
      <c r="A43" t="inlineStr">
        <is>
          <t>7.2</t>
        </is>
      </c>
      <c r="B43" t="inlineStr">
        <is>
          <t>Pickles, papads, powders launch</t>
        </is>
      </c>
      <c r="C43" t="inlineStr">
        <is>
          <t>Production lead</t>
        </is>
      </c>
      <c r="D43" t="inlineStr">
        <is>
          <t>Phase 3</t>
        </is>
      </c>
      <c r="E43" s="9" t="n">
        <v>46492</v>
      </c>
      <c r="F43" s="9" t="n">
        <v>46568</v>
      </c>
      <c r="G43">
        <f>F43-E43+1</f>
        <v/>
      </c>
      <c r="H43" t="inlineStr">
        <is>
          <t>6.1</t>
        </is>
      </c>
      <c r="I43" t="inlineStr">
        <is>
          <t>New SKUs</t>
        </is>
      </c>
      <c r="J43" t="inlineStr">
        <is>
          <t>Not started</t>
        </is>
      </c>
      <c r="K43" s="10" t="n">
        <v>0</v>
      </c>
      <c r="L43">
        <f>IF(AND($E43&lt;=DATE(2026,9,21)+6,$F43&gt;=DATE(2026,9,21)),1,"")</f>
        <v/>
      </c>
      <c r="M43">
        <f>IF(AND($E43&lt;=DATE(2026,9,28)+6,$F43&gt;=DATE(2026,9,28)),1,"")</f>
        <v/>
      </c>
      <c r="N43">
        <f>IF(AND($E43&lt;=DATE(2026,10,5)+6,$F43&gt;=DATE(2026,10,5)),1,"")</f>
        <v/>
      </c>
      <c r="O43">
        <f>IF(AND($E43&lt;=DATE(2026,10,12)+6,$F43&gt;=DATE(2026,10,12)),1,"")</f>
        <v/>
      </c>
      <c r="P43">
        <f>IF(AND($E43&lt;=DATE(2026,10,19)+6,$F43&gt;=DATE(2026,10,19)),1,"")</f>
        <v/>
      </c>
      <c r="Q43">
        <f>IF(AND($E43&lt;=DATE(2026,10,26)+6,$F43&gt;=DATE(2026,10,26)),1,"")</f>
        <v/>
      </c>
      <c r="R43">
        <f>IF(AND($E43&lt;=DATE(2026,11,2)+6,$F43&gt;=DATE(2026,11,2)),1,"")</f>
        <v/>
      </c>
      <c r="S43">
        <f>IF(AND($E43&lt;=DATE(2026,11,9)+6,$F43&gt;=DATE(2026,11,9)),1,"")</f>
        <v/>
      </c>
      <c r="T43">
        <f>IF(AND($E43&lt;=DATE(2026,11,16)+6,$F43&gt;=DATE(2026,11,16)),1,"")</f>
        <v/>
      </c>
      <c r="U43">
        <f>IF(AND($E43&lt;=DATE(2026,11,23)+6,$F43&gt;=DATE(2026,11,23)),1,"")</f>
        <v/>
      </c>
      <c r="V43">
        <f>IF(AND($E43&lt;=DATE(2026,11,30)+6,$F43&gt;=DATE(2026,11,30)),1,"")</f>
        <v/>
      </c>
      <c r="W43">
        <f>IF(AND($E43&lt;=DATE(2026,12,7)+6,$F43&gt;=DATE(2026,12,7)),1,"")</f>
        <v/>
      </c>
      <c r="X43">
        <f>IF(AND($E43&lt;=DATE(2026,12,14)+6,$F43&gt;=DATE(2026,12,14)),1,"")</f>
        <v/>
      </c>
      <c r="Y43">
        <f>IF(AND($E43&lt;=DATE(2026,12,21)+6,$F43&gt;=DATE(2026,12,21)),1,"")</f>
        <v/>
      </c>
      <c r="Z43">
        <f>IF(AND($E43&lt;=DATE(2026,12,28)+6,$F43&gt;=DATE(2026,12,28)),1,"")</f>
        <v/>
      </c>
      <c r="AA43">
        <f>IF(AND($E43&lt;=DATE(2027,1,4)+6,$F43&gt;=DATE(2027,1,4)),1,"")</f>
        <v/>
      </c>
      <c r="AB43">
        <f>IF(AND($E43&lt;=DATE(2027,1,11)+6,$F43&gt;=DATE(2027,1,11)),1,"")</f>
        <v/>
      </c>
      <c r="AC43">
        <f>IF(AND($E43&lt;=DATE(2027,1,18)+6,$F43&gt;=DATE(2027,1,18)),1,"")</f>
        <v/>
      </c>
      <c r="AD43">
        <f>IF(AND($E43&lt;=DATE(2027,1,25)+6,$F43&gt;=DATE(2027,1,25)),1,"")</f>
        <v/>
      </c>
      <c r="AE43">
        <f>IF(AND($E43&lt;=DATE(2027,2,1)+6,$F43&gt;=DATE(2027,2,1)),1,"")</f>
        <v/>
      </c>
      <c r="AF43">
        <f>IF(AND($E43&lt;=DATE(2027,2,8)+6,$F43&gt;=DATE(2027,2,8)),1,"")</f>
        <v/>
      </c>
      <c r="AG43">
        <f>IF(AND($E43&lt;=DATE(2027,2,15)+6,$F43&gt;=DATE(2027,2,15)),1,"")</f>
        <v/>
      </c>
      <c r="AH43">
        <f>IF(AND($E43&lt;=DATE(2027,2,22)+6,$F43&gt;=DATE(2027,2,22)),1,"")</f>
        <v/>
      </c>
      <c r="AI43">
        <f>IF(AND($E43&lt;=DATE(2027,3,1)+6,$F43&gt;=DATE(2027,3,1)),1,"")</f>
        <v/>
      </c>
      <c r="AJ43">
        <f>IF(AND($E43&lt;=DATE(2027,3,8)+6,$F43&gt;=DATE(2027,3,8)),1,"")</f>
        <v/>
      </c>
      <c r="AK43">
        <f>IF(AND($E43&lt;=DATE(2027,3,15)+6,$F43&gt;=DATE(2027,3,15)),1,"")</f>
        <v/>
      </c>
      <c r="AL43">
        <f>IF(AND($E43&lt;=DATE(2027,3,22)+6,$F43&gt;=DATE(2027,3,22)),1,"")</f>
        <v/>
      </c>
      <c r="AM43">
        <f>IF(AND($E43&lt;=DATE(2027,3,29)+6,$F43&gt;=DATE(2027,3,29)),1,"")</f>
        <v/>
      </c>
      <c r="AN43">
        <f>IF(AND($E43&lt;=DATE(2027,4,5)+6,$F43&gt;=DATE(2027,4,5)),1,"")</f>
        <v/>
      </c>
      <c r="AO43">
        <f>IF(AND($E43&lt;=DATE(2027,4,12)+6,$F43&gt;=DATE(2027,4,12)),1,"")</f>
        <v/>
      </c>
      <c r="AP43">
        <f>IF(AND($E43&lt;=DATE(2027,4,19)+6,$F43&gt;=DATE(2027,4,19)),1,"")</f>
        <v/>
      </c>
      <c r="AQ43">
        <f>IF(AND($E43&lt;=DATE(2027,4,26)+6,$F43&gt;=DATE(2027,4,26)),1,"")</f>
        <v/>
      </c>
      <c r="AR43">
        <f>IF(AND($E43&lt;=DATE(2027,5,3)+6,$F43&gt;=DATE(2027,5,3)),1,"")</f>
        <v/>
      </c>
      <c r="AS43">
        <f>IF(AND($E43&lt;=DATE(2027,5,10)+6,$F43&gt;=DATE(2027,5,10)),1,"")</f>
        <v/>
      </c>
      <c r="AT43">
        <f>IF(AND($E43&lt;=DATE(2027,5,17)+6,$F43&gt;=DATE(2027,5,17)),1,"")</f>
        <v/>
      </c>
      <c r="AU43">
        <f>IF(AND($E43&lt;=DATE(2027,5,24)+6,$F43&gt;=DATE(2027,5,24)),1,"")</f>
        <v/>
      </c>
      <c r="AV43">
        <f>IF(AND($E43&lt;=DATE(2027,5,31)+6,$F43&gt;=DATE(2027,5,31)),1,"")</f>
        <v/>
      </c>
      <c r="AW43">
        <f>IF(AND($E43&lt;=DATE(2027,6,7)+6,$F43&gt;=DATE(2027,6,7)),1,"")</f>
        <v/>
      </c>
      <c r="AX43">
        <f>IF(AND($E43&lt;=DATE(2027,6,14)+6,$F43&gt;=DATE(2027,6,14)),1,"")</f>
        <v/>
      </c>
      <c r="AY43">
        <f>IF(AND($E43&lt;=DATE(2027,6,21)+6,$F43&gt;=DATE(2027,6,21)),1,"")</f>
        <v/>
      </c>
      <c r="AZ43">
        <f>IF(AND($E43&lt;=DATE(2027,6,28)+6,$F43&gt;=DATE(2027,6,28)),1,"")</f>
        <v/>
      </c>
      <c r="BA43">
        <f>IF(AND($E43&lt;=DATE(2027,7,5)+6,$F43&gt;=DATE(2027,7,5)),1,"")</f>
        <v/>
      </c>
      <c r="BB43">
        <f>IF(AND($E43&lt;=DATE(2027,7,12)+6,$F43&gt;=DATE(2027,7,12)),1,"")</f>
        <v/>
      </c>
      <c r="BC43">
        <f>IF(AND($E43&lt;=DATE(2027,7,19)+6,$F43&gt;=DATE(2027,7,19)),1,"")</f>
        <v/>
      </c>
      <c r="BD43">
        <f>IF(AND($E43&lt;=DATE(2027,7,26)+6,$F43&gt;=DATE(2027,7,26)),1,"")</f>
        <v/>
      </c>
      <c r="BE43">
        <f>IF(AND($E43&lt;=DATE(2027,8,2)+6,$F43&gt;=DATE(2027,8,2)),1,"")</f>
        <v/>
      </c>
      <c r="BF43">
        <f>IF(AND($E43&lt;=DATE(2027,8,9)+6,$F43&gt;=DATE(2027,8,9)),1,"")</f>
        <v/>
      </c>
      <c r="BG43">
        <f>IF(AND($E43&lt;=DATE(2027,8,16)+6,$F43&gt;=DATE(2027,8,16)),1,"")</f>
        <v/>
      </c>
      <c r="BH43">
        <f>IF(AND($E43&lt;=DATE(2027,8,23)+6,$F43&gt;=DATE(2027,8,23)),1,"")</f>
        <v/>
      </c>
      <c r="BI43">
        <f>IF(AND($E43&lt;=DATE(2027,8,30)+6,$F43&gt;=DATE(2027,8,30)),1,"")</f>
        <v/>
      </c>
      <c r="BJ43">
        <f>IF(AND($E43&lt;=DATE(2027,9,6)+6,$F43&gt;=DATE(2027,9,6)),1,"")</f>
        <v/>
      </c>
      <c r="BK43">
        <f>IF(AND($E43&lt;=DATE(2027,9,13)+6,$F43&gt;=DATE(2027,9,13)),1,"")</f>
        <v/>
      </c>
      <c r="BL43">
        <f>IF(AND($E43&lt;=DATE(2027,9,20)+6,$F43&gt;=DATE(2027,9,20)),1,"")</f>
        <v/>
      </c>
      <c r="BM43">
        <f>IF(AND($E43&lt;=DATE(2027,9,27)+6,$F43&gt;=DATE(2027,9,27)),1,"")</f>
        <v/>
      </c>
    </row>
    <row r="44">
      <c r="A44" t="inlineStr">
        <is>
          <t>7.3</t>
        </is>
      </c>
      <c r="B44" t="inlineStr">
        <is>
          <t>Learning visits: Mysore &amp; Ahmedabad</t>
        </is>
      </c>
      <c r="C44" t="inlineStr">
        <is>
          <t>Production lead</t>
        </is>
      </c>
      <c r="D44" t="inlineStr">
        <is>
          <t>Phase 3</t>
        </is>
      </c>
      <c r="E44" s="9" t="n">
        <v>46492</v>
      </c>
      <c r="F44" s="9" t="n">
        <v>46522</v>
      </c>
      <c r="G44">
        <f>F44-E44+1</f>
        <v/>
      </c>
      <c r="H44" t="inlineStr"/>
      <c r="I44" t="inlineStr">
        <is>
          <t>Visit report</t>
        </is>
      </c>
      <c r="J44" t="inlineStr">
        <is>
          <t>Not started</t>
        </is>
      </c>
      <c r="K44" s="10" t="n">
        <v>0</v>
      </c>
      <c r="L44">
        <f>IF(AND($E44&lt;=DATE(2026,9,21)+6,$F44&gt;=DATE(2026,9,21)),1,"")</f>
        <v/>
      </c>
      <c r="M44">
        <f>IF(AND($E44&lt;=DATE(2026,9,28)+6,$F44&gt;=DATE(2026,9,28)),1,"")</f>
        <v/>
      </c>
      <c r="N44">
        <f>IF(AND($E44&lt;=DATE(2026,10,5)+6,$F44&gt;=DATE(2026,10,5)),1,"")</f>
        <v/>
      </c>
      <c r="O44">
        <f>IF(AND($E44&lt;=DATE(2026,10,12)+6,$F44&gt;=DATE(2026,10,12)),1,"")</f>
        <v/>
      </c>
      <c r="P44">
        <f>IF(AND($E44&lt;=DATE(2026,10,19)+6,$F44&gt;=DATE(2026,10,19)),1,"")</f>
        <v/>
      </c>
      <c r="Q44">
        <f>IF(AND($E44&lt;=DATE(2026,10,26)+6,$F44&gt;=DATE(2026,10,26)),1,"")</f>
        <v/>
      </c>
      <c r="R44">
        <f>IF(AND($E44&lt;=DATE(2026,11,2)+6,$F44&gt;=DATE(2026,11,2)),1,"")</f>
        <v/>
      </c>
      <c r="S44">
        <f>IF(AND($E44&lt;=DATE(2026,11,9)+6,$F44&gt;=DATE(2026,11,9)),1,"")</f>
        <v/>
      </c>
      <c r="T44">
        <f>IF(AND($E44&lt;=DATE(2026,11,16)+6,$F44&gt;=DATE(2026,11,16)),1,"")</f>
        <v/>
      </c>
      <c r="U44">
        <f>IF(AND($E44&lt;=DATE(2026,11,23)+6,$F44&gt;=DATE(2026,11,23)),1,"")</f>
        <v/>
      </c>
      <c r="V44">
        <f>IF(AND($E44&lt;=DATE(2026,11,30)+6,$F44&gt;=DATE(2026,11,30)),1,"")</f>
        <v/>
      </c>
      <c r="W44">
        <f>IF(AND($E44&lt;=DATE(2026,12,7)+6,$F44&gt;=DATE(2026,12,7)),1,"")</f>
        <v/>
      </c>
      <c r="X44">
        <f>IF(AND($E44&lt;=DATE(2026,12,14)+6,$F44&gt;=DATE(2026,12,14)),1,"")</f>
        <v/>
      </c>
      <c r="Y44">
        <f>IF(AND($E44&lt;=DATE(2026,12,21)+6,$F44&gt;=DATE(2026,12,21)),1,"")</f>
        <v/>
      </c>
      <c r="Z44">
        <f>IF(AND($E44&lt;=DATE(2026,12,28)+6,$F44&gt;=DATE(2026,12,28)),1,"")</f>
        <v/>
      </c>
      <c r="AA44">
        <f>IF(AND($E44&lt;=DATE(2027,1,4)+6,$F44&gt;=DATE(2027,1,4)),1,"")</f>
        <v/>
      </c>
      <c r="AB44">
        <f>IF(AND($E44&lt;=DATE(2027,1,11)+6,$F44&gt;=DATE(2027,1,11)),1,"")</f>
        <v/>
      </c>
      <c r="AC44">
        <f>IF(AND($E44&lt;=DATE(2027,1,18)+6,$F44&gt;=DATE(2027,1,18)),1,"")</f>
        <v/>
      </c>
      <c r="AD44">
        <f>IF(AND($E44&lt;=DATE(2027,1,25)+6,$F44&gt;=DATE(2027,1,25)),1,"")</f>
        <v/>
      </c>
      <c r="AE44">
        <f>IF(AND($E44&lt;=DATE(2027,2,1)+6,$F44&gt;=DATE(2027,2,1)),1,"")</f>
        <v/>
      </c>
      <c r="AF44">
        <f>IF(AND($E44&lt;=DATE(2027,2,8)+6,$F44&gt;=DATE(2027,2,8)),1,"")</f>
        <v/>
      </c>
      <c r="AG44">
        <f>IF(AND($E44&lt;=DATE(2027,2,15)+6,$F44&gt;=DATE(2027,2,15)),1,"")</f>
        <v/>
      </c>
      <c r="AH44">
        <f>IF(AND($E44&lt;=DATE(2027,2,22)+6,$F44&gt;=DATE(2027,2,22)),1,"")</f>
        <v/>
      </c>
      <c r="AI44">
        <f>IF(AND($E44&lt;=DATE(2027,3,1)+6,$F44&gt;=DATE(2027,3,1)),1,"")</f>
        <v/>
      </c>
      <c r="AJ44">
        <f>IF(AND($E44&lt;=DATE(2027,3,8)+6,$F44&gt;=DATE(2027,3,8)),1,"")</f>
        <v/>
      </c>
      <c r="AK44">
        <f>IF(AND($E44&lt;=DATE(2027,3,15)+6,$F44&gt;=DATE(2027,3,15)),1,"")</f>
        <v/>
      </c>
      <c r="AL44">
        <f>IF(AND($E44&lt;=DATE(2027,3,22)+6,$F44&gt;=DATE(2027,3,22)),1,"")</f>
        <v/>
      </c>
      <c r="AM44">
        <f>IF(AND($E44&lt;=DATE(2027,3,29)+6,$F44&gt;=DATE(2027,3,29)),1,"")</f>
        <v/>
      </c>
      <c r="AN44">
        <f>IF(AND($E44&lt;=DATE(2027,4,5)+6,$F44&gt;=DATE(2027,4,5)),1,"")</f>
        <v/>
      </c>
      <c r="AO44">
        <f>IF(AND($E44&lt;=DATE(2027,4,12)+6,$F44&gt;=DATE(2027,4,12)),1,"")</f>
        <v/>
      </c>
      <c r="AP44">
        <f>IF(AND($E44&lt;=DATE(2027,4,19)+6,$F44&gt;=DATE(2027,4,19)),1,"")</f>
        <v/>
      </c>
      <c r="AQ44">
        <f>IF(AND($E44&lt;=DATE(2027,4,26)+6,$F44&gt;=DATE(2027,4,26)),1,"")</f>
        <v/>
      </c>
      <c r="AR44">
        <f>IF(AND($E44&lt;=DATE(2027,5,3)+6,$F44&gt;=DATE(2027,5,3)),1,"")</f>
        <v/>
      </c>
      <c r="AS44">
        <f>IF(AND($E44&lt;=DATE(2027,5,10)+6,$F44&gt;=DATE(2027,5,10)),1,"")</f>
        <v/>
      </c>
      <c r="AT44">
        <f>IF(AND($E44&lt;=DATE(2027,5,17)+6,$F44&gt;=DATE(2027,5,17)),1,"")</f>
        <v/>
      </c>
      <c r="AU44">
        <f>IF(AND($E44&lt;=DATE(2027,5,24)+6,$F44&gt;=DATE(2027,5,24)),1,"")</f>
        <v/>
      </c>
      <c r="AV44">
        <f>IF(AND($E44&lt;=DATE(2027,5,31)+6,$F44&gt;=DATE(2027,5,31)),1,"")</f>
        <v/>
      </c>
      <c r="AW44">
        <f>IF(AND($E44&lt;=DATE(2027,6,7)+6,$F44&gt;=DATE(2027,6,7)),1,"")</f>
        <v/>
      </c>
      <c r="AX44">
        <f>IF(AND($E44&lt;=DATE(2027,6,14)+6,$F44&gt;=DATE(2027,6,14)),1,"")</f>
        <v/>
      </c>
      <c r="AY44">
        <f>IF(AND($E44&lt;=DATE(2027,6,21)+6,$F44&gt;=DATE(2027,6,21)),1,"")</f>
        <v/>
      </c>
      <c r="AZ44">
        <f>IF(AND($E44&lt;=DATE(2027,6,28)+6,$F44&gt;=DATE(2027,6,28)),1,"")</f>
        <v/>
      </c>
      <c r="BA44">
        <f>IF(AND($E44&lt;=DATE(2027,7,5)+6,$F44&gt;=DATE(2027,7,5)),1,"")</f>
        <v/>
      </c>
      <c r="BB44">
        <f>IF(AND($E44&lt;=DATE(2027,7,12)+6,$F44&gt;=DATE(2027,7,12)),1,"")</f>
        <v/>
      </c>
      <c r="BC44">
        <f>IF(AND($E44&lt;=DATE(2027,7,19)+6,$F44&gt;=DATE(2027,7,19)),1,"")</f>
        <v/>
      </c>
      <c r="BD44">
        <f>IF(AND($E44&lt;=DATE(2027,7,26)+6,$F44&gt;=DATE(2027,7,26)),1,"")</f>
        <v/>
      </c>
      <c r="BE44">
        <f>IF(AND($E44&lt;=DATE(2027,8,2)+6,$F44&gt;=DATE(2027,8,2)),1,"")</f>
        <v/>
      </c>
      <c r="BF44">
        <f>IF(AND($E44&lt;=DATE(2027,8,9)+6,$F44&gt;=DATE(2027,8,9)),1,"")</f>
        <v/>
      </c>
      <c r="BG44">
        <f>IF(AND($E44&lt;=DATE(2027,8,16)+6,$F44&gt;=DATE(2027,8,16)),1,"")</f>
        <v/>
      </c>
      <c r="BH44">
        <f>IF(AND($E44&lt;=DATE(2027,8,23)+6,$F44&gt;=DATE(2027,8,23)),1,"")</f>
        <v/>
      </c>
      <c r="BI44">
        <f>IF(AND($E44&lt;=DATE(2027,8,30)+6,$F44&gt;=DATE(2027,8,30)),1,"")</f>
        <v/>
      </c>
      <c r="BJ44">
        <f>IF(AND($E44&lt;=DATE(2027,9,6)+6,$F44&gt;=DATE(2027,9,6)),1,"")</f>
        <v/>
      </c>
      <c r="BK44">
        <f>IF(AND($E44&lt;=DATE(2027,9,13)+6,$F44&gt;=DATE(2027,9,13)),1,"")</f>
        <v/>
      </c>
      <c r="BL44">
        <f>IF(AND($E44&lt;=DATE(2027,9,20)+6,$F44&gt;=DATE(2027,9,20)),1,"")</f>
        <v/>
      </c>
      <c r="BM44">
        <f>IF(AND($E44&lt;=DATE(2027,9,27)+6,$F44&gt;=DATE(2027,9,27)),1,"")</f>
        <v/>
      </c>
    </row>
    <row r="45">
      <c r="A45" t="inlineStr">
        <is>
          <t>7.4</t>
        </is>
      </c>
      <c r="B45" t="inlineStr">
        <is>
          <t>Janmashtami 2027 10× plan &amp; execution</t>
        </is>
      </c>
      <c r="C45" t="inlineStr">
        <is>
          <t>Mukunda Dasa + Production lead</t>
        </is>
      </c>
      <c r="D45" t="inlineStr">
        <is>
          <t>Phase 3</t>
        </is>
      </c>
      <c r="E45" s="9" t="n">
        <v>46539</v>
      </c>
      <c r="F45" s="9" t="n">
        <v>46635</v>
      </c>
      <c r="G45">
        <f>F45-E45+1</f>
        <v/>
      </c>
      <c r="H45" t="inlineStr">
        <is>
          <t>7.1</t>
        </is>
      </c>
      <c r="I45" t="inlineStr">
        <is>
          <t>Festival report</t>
        </is>
      </c>
      <c r="J45" t="inlineStr">
        <is>
          <t>Not started</t>
        </is>
      </c>
      <c r="K45" s="10" t="n">
        <v>0</v>
      </c>
      <c r="L45">
        <f>IF(AND($E45&lt;=DATE(2026,9,21)+6,$F45&gt;=DATE(2026,9,21)),1,"")</f>
        <v/>
      </c>
      <c r="M45">
        <f>IF(AND($E45&lt;=DATE(2026,9,28)+6,$F45&gt;=DATE(2026,9,28)),1,"")</f>
        <v/>
      </c>
      <c r="N45">
        <f>IF(AND($E45&lt;=DATE(2026,10,5)+6,$F45&gt;=DATE(2026,10,5)),1,"")</f>
        <v/>
      </c>
      <c r="O45">
        <f>IF(AND($E45&lt;=DATE(2026,10,12)+6,$F45&gt;=DATE(2026,10,12)),1,"")</f>
        <v/>
      </c>
      <c r="P45">
        <f>IF(AND($E45&lt;=DATE(2026,10,19)+6,$F45&gt;=DATE(2026,10,19)),1,"")</f>
        <v/>
      </c>
      <c r="Q45">
        <f>IF(AND($E45&lt;=DATE(2026,10,26)+6,$F45&gt;=DATE(2026,10,26)),1,"")</f>
        <v/>
      </c>
      <c r="R45">
        <f>IF(AND($E45&lt;=DATE(2026,11,2)+6,$F45&gt;=DATE(2026,11,2)),1,"")</f>
        <v/>
      </c>
      <c r="S45">
        <f>IF(AND($E45&lt;=DATE(2026,11,9)+6,$F45&gt;=DATE(2026,11,9)),1,"")</f>
        <v/>
      </c>
      <c r="T45">
        <f>IF(AND($E45&lt;=DATE(2026,11,16)+6,$F45&gt;=DATE(2026,11,16)),1,"")</f>
        <v/>
      </c>
      <c r="U45">
        <f>IF(AND($E45&lt;=DATE(2026,11,23)+6,$F45&gt;=DATE(2026,11,23)),1,"")</f>
        <v/>
      </c>
      <c r="V45">
        <f>IF(AND($E45&lt;=DATE(2026,11,30)+6,$F45&gt;=DATE(2026,11,30)),1,"")</f>
        <v/>
      </c>
      <c r="W45">
        <f>IF(AND($E45&lt;=DATE(2026,12,7)+6,$F45&gt;=DATE(2026,12,7)),1,"")</f>
        <v/>
      </c>
      <c r="X45">
        <f>IF(AND($E45&lt;=DATE(2026,12,14)+6,$F45&gt;=DATE(2026,12,14)),1,"")</f>
        <v/>
      </c>
      <c r="Y45">
        <f>IF(AND($E45&lt;=DATE(2026,12,21)+6,$F45&gt;=DATE(2026,12,21)),1,"")</f>
        <v/>
      </c>
      <c r="Z45">
        <f>IF(AND($E45&lt;=DATE(2026,12,28)+6,$F45&gt;=DATE(2026,12,28)),1,"")</f>
        <v/>
      </c>
      <c r="AA45">
        <f>IF(AND($E45&lt;=DATE(2027,1,4)+6,$F45&gt;=DATE(2027,1,4)),1,"")</f>
        <v/>
      </c>
      <c r="AB45">
        <f>IF(AND($E45&lt;=DATE(2027,1,11)+6,$F45&gt;=DATE(2027,1,11)),1,"")</f>
        <v/>
      </c>
      <c r="AC45">
        <f>IF(AND($E45&lt;=DATE(2027,1,18)+6,$F45&gt;=DATE(2027,1,18)),1,"")</f>
        <v/>
      </c>
      <c r="AD45">
        <f>IF(AND($E45&lt;=DATE(2027,1,25)+6,$F45&gt;=DATE(2027,1,25)),1,"")</f>
        <v/>
      </c>
      <c r="AE45">
        <f>IF(AND($E45&lt;=DATE(2027,2,1)+6,$F45&gt;=DATE(2027,2,1)),1,"")</f>
        <v/>
      </c>
      <c r="AF45">
        <f>IF(AND($E45&lt;=DATE(2027,2,8)+6,$F45&gt;=DATE(2027,2,8)),1,"")</f>
        <v/>
      </c>
      <c r="AG45">
        <f>IF(AND($E45&lt;=DATE(2027,2,15)+6,$F45&gt;=DATE(2027,2,15)),1,"")</f>
        <v/>
      </c>
      <c r="AH45">
        <f>IF(AND($E45&lt;=DATE(2027,2,22)+6,$F45&gt;=DATE(2027,2,22)),1,"")</f>
        <v/>
      </c>
      <c r="AI45">
        <f>IF(AND($E45&lt;=DATE(2027,3,1)+6,$F45&gt;=DATE(2027,3,1)),1,"")</f>
        <v/>
      </c>
      <c r="AJ45">
        <f>IF(AND($E45&lt;=DATE(2027,3,8)+6,$F45&gt;=DATE(2027,3,8)),1,"")</f>
        <v/>
      </c>
      <c r="AK45">
        <f>IF(AND($E45&lt;=DATE(2027,3,15)+6,$F45&gt;=DATE(2027,3,15)),1,"")</f>
        <v/>
      </c>
      <c r="AL45">
        <f>IF(AND($E45&lt;=DATE(2027,3,22)+6,$F45&gt;=DATE(2027,3,22)),1,"")</f>
        <v/>
      </c>
      <c r="AM45">
        <f>IF(AND($E45&lt;=DATE(2027,3,29)+6,$F45&gt;=DATE(2027,3,29)),1,"")</f>
        <v/>
      </c>
      <c r="AN45">
        <f>IF(AND($E45&lt;=DATE(2027,4,5)+6,$F45&gt;=DATE(2027,4,5)),1,"")</f>
        <v/>
      </c>
      <c r="AO45">
        <f>IF(AND($E45&lt;=DATE(2027,4,12)+6,$F45&gt;=DATE(2027,4,12)),1,"")</f>
        <v/>
      </c>
      <c r="AP45">
        <f>IF(AND($E45&lt;=DATE(2027,4,19)+6,$F45&gt;=DATE(2027,4,19)),1,"")</f>
        <v/>
      </c>
      <c r="AQ45">
        <f>IF(AND($E45&lt;=DATE(2027,4,26)+6,$F45&gt;=DATE(2027,4,26)),1,"")</f>
        <v/>
      </c>
      <c r="AR45">
        <f>IF(AND($E45&lt;=DATE(2027,5,3)+6,$F45&gt;=DATE(2027,5,3)),1,"")</f>
        <v/>
      </c>
      <c r="AS45">
        <f>IF(AND($E45&lt;=DATE(2027,5,10)+6,$F45&gt;=DATE(2027,5,10)),1,"")</f>
        <v/>
      </c>
      <c r="AT45">
        <f>IF(AND($E45&lt;=DATE(2027,5,17)+6,$F45&gt;=DATE(2027,5,17)),1,"")</f>
        <v/>
      </c>
      <c r="AU45">
        <f>IF(AND($E45&lt;=DATE(2027,5,24)+6,$F45&gt;=DATE(2027,5,24)),1,"")</f>
        <v/>
      </c>
      <c r="AV45">
        <f>IF(AND($E45&lt;=DATE(2027,5,31)+6,$F45&gt;=DATE(2027,5,31)),1,"")</f>
        <v/>
      </c>
      <c r="AW45">
        <f>IF(AND($E45&lt;=DATE(2027,6,7)+6,$F45&gt;=DATE(2027,6,7)),1,"")</f>
        <v/>
      </c>
      <c r="AX45">
        <f>IF(AND($E45&lt;=DATE(2027,6,14)+6,$F45&gt;=DATE(2027,6,14)),1,"")</f>
        <v/>
      </c>
      <c r="AY45">
        <f>IF(AND($E45&lt;=DATE(2027,6,21)+6,$F45&gt;=DATE(2027,6,21)),1,"")</f>
        <v/>
      </c>
      <c r="AZ45">
        <f>IF(AND($E45&lt;=DATE(2027,6,28)+6,$F45&gt;=DATE(2027,6,28)),1,"")</f>
        <v/>
      </c>
      <c r="BA45">
        <f>IF(AND($E45&lt;=DATE(2027,7,5)+6,$F45&gt;=DATE(2027,7,5)),1,"")</f>
        <v/>
      </c>
      <c r="BB45">
        <f>IF(AND($E45&lt;=DATE(2027,7,12)+6,$F45&gt;=DATE(2027,7,12)),1,"")</f>
        <v/>
      </c>
      <c r="BC45">
        <f>IF(AND($E45&lt;=DATE(2027,7,19)+6,$F45&gt;=DATE(2027,7,19)),1,"")</f>
        <v/>
      </c>
      <c r="BD45">
        <f>IF(AND($E45&lt;=DATE(2027,7,26)+6,$F45&gt;=DATE(2027,7,26)),1,"")</f>
        <v/>
      </c>
      <c r="BE45">
        <f>IF(AND($E45&lt;=DATE(2027,8,2)+6,$F45&gt;=DATE(2027,8,2)),1,"")</f>
        <v/>
      </c>
      <c r="BF45">
        <f>IF(AND($E45&lt;=DATE(2027,8,9)+6,$F45&gt;=DATE(2027,8,9)),1,"")</f>
        <v/>
      </c>
      <c r="BG45">
        <f>IF(AND($E45&lt;=DATE(2027,8,16)+6,$F45&gt;=DATE(2027,8,16)),1,"")</f>
        <v/>
      </c>
      <c r="BH45">
        <f>IF(AND($E45&lt;=DATE(2027,8,23)+6,$F45&gt;=DATE(2027,8,23)),1,"")</f>
        <v/>
      </c>
      <c r="BI45">
        <f>IF(AND($E45&lt;=DATE(2027,8,30)+6,$F45&gt;=DATE(2027,8,30)),1,"")</f>
        <v/>
      </c>
      <c r="BJ45">
        <f>IF(AND($E45&lt;=DATE(2027,9,6)+6,$F45&gt;=DATE(2027,9,6)),1,"")</f>
        <v/>
      </c>
      <c r="BK45">
        <f>IF(AND($E45&lt;=DATE(2027,9,13)+6,$F45&gt;=DATE(2027,9,13)),1,"")</f>
        <v/>
      </c>
      <c r="BL45">
        <f>IF(AND($E45&lt;=DATE(2027,9,20)+6,$F45&gt;=DATE(2027,9,20)),1,"")</f>
        <v/>
      </c>
      <c r="BM45">
        <f>IF(AND($E45&lt;=DATE(2027,9,27)+6,$F45&gt;=DATE(2027,9,27)),1,"")</f>
        <v/>
      </c>
    </row>
    <row r="46">
      <c r="A46" t="inlineStr">
        <is>
          <t>7.5</t>
        </is>
      </c>
      <c r="B46" t="inlineStr">
        <is>
          <t>Year-1 review &amp; Year-2 budget</t>
        </is>
      </c>
      <c r="C46" t="inlineStr">
        <is>
          <t>Mukunda Dasa</t>
        </is>
      </c>
      <c r="D46" t="inlineStr">
        <is>
          <t>Phase 3</t>
        </is>
      </c>
      <c r="E46" s="9" t="n">
        <v>46640</v>
      </c>
      <c r="F46" s="9" t="n">
        <v>46660</v>
      </c>
      <c r="G46">
        <f>F46-E46+1</f>
        <v/>
      </c>
      <c r="H46" t="inlineStr">
        <is>
          <t>7.4</t>
        </is>
      </c>
      <c r="I46" t="inlineStr">
        <is>
          <t>Annual report</t>
        </is>
      </c>
      <c r="J46" t="inlineStr">
        <is>
          <t>Not started</t>
        </is>
      </c>
      <c r="K46" s="10" t="n">
        <v>0</v>
      </c>
      <c r="L46">
        <f>IF(AND($E46&lt;=DATE(2026,9,21)+6,$F46&gt;=DATE(2026,9,21)),1,"")</f>
        <v/>
      </c>
      <c r="M46">
        <f>IF(AND($E46&lt;=DATE(2026,9,28)+6,$F46&gt;=DATE(2026,9,28)),1,"")</f>
        <v/>
      </c>
      <c r="N46">
        <f>IF(AND($E46&lt;=DATE(2026,10,5)+6,$F46&gt;=DATE(2026,10,5)),1,"")</f>
        <v/>
      </c>
      <c r="O46">
        <f>IF(AND($E46&lt;=DATE(2026,10,12)+6,$F46&gt;=DATE(2026,10,12)),1,"")</f>
        <v/>
      </c>
      <c r="P46">
        <f>IF(AND($E46&lt;=DATE(2026,10,19)+6,$F46&gt;=DATE(2026,10,19)),1,"")</f>
        <v/>
      </c>
      <c r="Q46">
        <f>IF(AND($E46&lt;=DATE(2026,10,26)+6,$F46&gt;=DATE(2026,10,26)),1,"")</f>
        <v/>
      </c>
      <c r="R46">
        <f>IF(AND($E46&lt;=DATE(2026,11,2)+6,$F46&gt;=DATE(2026,11,2)),1,"")</f>
        <v/>
      </c>
      <c r="S46">
        <f>IF(AND($E46&lt;=DATE(2026,11,9)+6,$F46&gt;=DATE(2026,11,9)),1,"")</f>
        <v/>
      </c>
      <c r="T46">
        <f>IF(AND($E46&lt;=DATE(2026,11,16)+6,$F46&gt;=DATE(2026,11,16)),1,"")</f>
        <v/>
      </c>
      <c r="U46">
        <f>IF(AND($E46&lt;=DATE(2026,11,23)+6,$F46&gt;=DATE(2026,11,23)),1,"")</f>
        <v/>
      </c>
      <c r="V46">
        <f>IF(AND($E46&lt;=DATE(2026,11,30)+6,$F46&gt;=DATE(2026,11,30)),1,"")</f>
        <v/>
      </c>
      <c r="W46">
        <f>IF(AND($E46&lt;=DATE(2026,12,7)+6,$F46&gt;=DATE(2026,12,7)),1,"")</f>
        <v/>
      </c>
      <c r="X46">
        <f>IF(AND($E46&lt;=DATE(2026,12,14)+6,$F46&gt;=DATE(2026,12,14)),1,"")</f>
        <v/>
      </c>
      <c r="Y46">
        <f>IF(AND($E46&lt;=DATE(2026,12,21)+6,$F46&gt;=DATE(2026,12,21)),1,"")</f>
        <v/>
      </c>
      <c r="Z46">
        <f>IF(AND($E46&lt;=DATE(2026,12,28)+6,$F46&gt;=DATE(2026,12,28)),1,"")</f>
        <v/>
      </c>
      <c r="AA46">
        <f>IF(AND($E46&lt;=DATE(2027,1,4)+6,$F46&gt;=DATE(2027,1,4)),1,"")</f>
        <v/>
      </c>
      <c r="AB46">
        <f>IF(AND($E46&lt;=DATE(2027,1,11)+6,$F46&gt;=DATE(2027,1,11)),1,"")</f>
        <v/>
      </c>
      <c r="AC46">
        <f>IF(AND($E46&lt;=DATE(2027,1,18)+6,$F46&gt;=DATE(2027,1,18)),1,"")</f>
        <v/>
      </c>
      <c r="AD46">
        <f>IF(AND($E46&lt;=DATE(2027,1,25)+6,$F46&gt;=DATE(2027,1,25)),1,"")</f>
        <v/>
      </c>
      <c r="AE46">
        <f>IF(AND($E46&lt;=DATE(2027,2,1)+6,$F46&gt;=DATE(2027,2,1)),1,"")</f>
        <v/>
      </c>
      <c r="AF46">
        <f>IF(AND($E46&lt;=DATE(2027,2,8)+6,$F46&gt;=DATE(2027,2,8)),1,"")</f>
        <v/>
      </c>
      <c r="AG46">
        <f>IF(AND($E46&lt;=DATE(2027,2,15)+6,$F46&gt;=DATE(2027,2,15)),1,"")</f>
        <v/>
      </c>
      <c r="AH46">
        <f>IF(AND($E46&lt;=DATE(2027,2,22)+6,$F46&gt;=DATE(2027,2,22)),1,"")</f>
        <v/>
      </c>
      <c r="AI46">
        <f>IF(AND($E46&lt;=DATE(2027,3,1)+6,$F46&gt;=DATE(2027,3,1)),1,"")</f>
        <v/>
      </c>
      <c r="AJ46">
        <f>IF(AND($E46&lt;=DATE(2027,3,8)+6,$F46&gt;=DATE(2027,3,8)),1,"")</f>
        <v/>
      </c>
      <c r="AK46">
        <f>IF(AND($E46&lt;=DATE(2027,3,15)+6,$F46&gt;=DATE(2027,3,15)),1,"")</f>
        <v/>
      </c>
      <c r="AL46">
        <f>IF(AND($E46&lt;=DATE(2027,3,22)+6,$F46&gt;=DATE(2027,3,22)),1,"")</f>
        <v/>
      </c>
      <c r="AM46">
        <f>IF(AND($E46&lt;=DATE(2027,3,29)+6,$F46&gt;=DATE(2027,3,29)),1,"")</f>
        <v/>
      </c>
      <c r="AN46">
        <f>IF(AND($E46&lt;=DATE(2027,4,5)+6,$F46&gt;=DATE(2027,4,5)),1,"")</f>
        <v/>
      </c>
      <c r="AO46">
        <f>IF(AND($E46&lt;=DATE(2027,4,12)+6,$F46&gt;=DATE(2027,4,12)),1,"")</f>
        <v/>
      </c>
      <c r="AP46">
        <f>IF(AND($E46&lt;=DATE(2027,4,19)+6,$F46&gt;=DATE(2027,4,19)),1,"")</f>
        <v/>
      </c>
      <c r="AQ46">
        <f>IF(AND($E46&lt;=DATE(2027,4,26)+6,$F46&gt;=DATE(2027,4,26)),1,"")</f>
        <v/>
      </c>
      <c r="AR46">
        <f>IF(AND($E46&lt;=DATE(2027,5,3)+6,$F46&gt;=DATE(2027,5,3)),1,"")</f>
        <v/>
      </c>
      <c r="AS46">
        <f>IF(AND($E46&lt;=DATE(2027,5,10)+6,$F46&gt;=DATE(2027,5,10)),1,"")</f>
        <v/>
      </c>
      <c r="AT46">
        <f>IF(AND($E46&lt;=DATE(2027,5,17)+6,$F46&gt;=DATE(2027,5,17)),1,"")</f>
        <v/>
      </c>
      <c r="AU46">
        <f>IF(AND($E46&lt;=DATE(2027,5,24)+6,$F46&gt;=DATE(2027,5,24)),1,"")</f>
        <v/>
      </c>
      <c r="AV46">
        <f>IF(AND($E46&lt;=DATE(2027,5,31)+6,$F46&gt;=DATE(2027,5,31)),1,"")</f>
        <v/>
      </c>
      <c r="AW46">
        <f>IF(AND($E46&lt;=DATE(2027,6,7)+6,$F46&gt;=DATE(2027,6,7)),1,"")</f>
        <v/>
      </c>
      <c r="AX46">
        <f>IF(AND($E46&lt;=DATE(2027,6,14)+6,$F46&gt;=DATE(2027,6,14)),1,"")</f>
        <v/>
      </c>
      <c r="AY46">
        <f>IF(AND($E46&lt;=DATE(2027,6,21)+6,$F46&gt;=DATE(2027,6,21)),1,"")</f>
        <v/>
      </c>
      <c r="AZ46">
        <f>IF(AND($E46&lt;=DATE(2027,6,28)+6,$F46&gt;=DATE(2027,6,28)),1,"")</f>
        <v/>
      </c>
      <c r="BA46">
        <f>IF(AND($E46&lt;=DATE(2027,7,5)+6,$F46&gt;=DATE(2027,7,5)),1,"")</f>
        <v/>
      </c>
      <c r="BB46">
        <f>IF(AND($E46&lt;=DATE(2027,7,12)+6,$F46&gt;=DATE(2027,7,12)),1,"")</f>
        <v/>
      </c>
      <c r="BC46">
        <f>IF(AND($E46&lt;=DATE(2027,7,19)+6,$F46&gt;=DATE(2027,7,19)),1,"")</f>
        <v/>
      </c>
      <c r="BD46">
        <f>IF(AND($E46&lt;=DATE(2027,7,26)+6,$F46&gt;=DATE(2027,7,26)),1,"")</f>
        <v/>
      </c>
      <c r="BE46">
        <f>IF(AND($E46&lt;=DATE(2027,8,2)+6,$F46&gt;=DATE(2027,8,2)),1,"")</f>
        <v/>
      </c>
      <c r="BF46">
        <f>IF(AND($E46&lt;=DATE(2027,8,9)+6,$F46&gt;=DATE(2027,8,9)),1,"")</f>
        <v/>
      </c>
      <c r="BG46">
        <f>IF(AND($E46&lt;=DATE(2027,8,16)+6,$F46&gt;=DATE(2027,8,16)),1,"")</f>
        <v/>
      </c>
      <c r="BH46">
        <f>IF(AND($E46&lt;=DATE(2027,8,23)+6,$F46&gt;=DATE(2027,8,23)),1,"")</f>
        <v/>
      </c>
      <c r="BI46">
        <f>IF(AND($E46&lt;=DATE(2027,8,30)+6,$F46&gt;=DATE(2027,8,30)),1,"")</f>
        <v/>
      </c>
      <c r="BJ46">
        <f>IF(AND($E46&lt;=DATE(2027,9,6)+6,$F46&gt;=DATE(2027,9,6)),1,"")</f>
        <v/>
      </c>
      <c r="BK46">
        <f>IF(AND($E46&lt;=DATE(2027,9,13)+6,$F46&gt;=DATE(2027,9,13)),1,"")</f>
        <v/>
      </c>
      <c r="BL46">
        <f>IF(AND($E46&lt;=DATE(2027,9,20)+6,$F46&gt;=DATE(2027,9,20)),1,"")</f>
        <v/>
      </c>
      <c r="BM46">
        <f>IF(AND($E46&lt;=DATE(2027,9,27)+6,$F46&gt;=DATE(2027,9,27)),1,"")</f>
        <v/>
      </c>
    </row>
    <row r="47">
      <c r="A47" s="6" t="inlineStr">
        <is>
          <t>8</t>
        </is>
      </c>
      <c r="B47" s="6" t="inlineStr">
        <is>
          <t>Year 2+: unit, QSR, exports</t>
        </is>
      </c>
      <c r="C47" s="6" t="inlineStr"/>
      <c r="D47" s="6" t="inlineStr">
        <is>
          <t>Phase 4</t>
        </is>
      </c>
      <c r="E47" s="7" t="n">
        <v>46661</v>
      </c>
      <c r="F47" s="7" t="n">
        <v>47026</v>
      </c>
      <c r="G47" s="6">
        <f>F47-E47+1</f>
        <v/>
      </c>
      <c r="H47" s="6" t="inlineStr"/>
      <c r="I47" s="6" t="inlineStr"/>
      <c r="J47" s="6" t="inlineStr"/>
      <c r="K47" s="8" t="n"/>
      <c r="L47">
        <f>IF(AND($E47&lt;=DATE(2026,9,21)+6,$F47&gt;=DATE(2026,9,21)),1,"")</f>
        <v/>
      </c>
      <c r="M47">
        <f>IF(AND($E47&lt;=DATE(2026,9,28)+6,$F47&gt;=DATE(2026,9,28)),1,"")</f>
        <v/>
      </c>
      <c r="N47">
        <f>IF(AND($E47&lt;=DATE(2026,10,5)+6,$F47&gt;=DATE(2026,10,5)),1,"")</f>
        <v/>
      </c>
      <c r="O47">
        <f>IF(AND($E47&lt;=DATE(2026,10,12)+6,$F47&gt;=DATE(2026,10,12)),1,"")</f>
        <v/>
      </c>
      <c r="P47">
        <f>IF(AND($E47&lt;=DATE(2026,10,19)+6,$F47&gt;=DATE(2026,10,19)),1,"")</f>
        <v/>
      </c>
      <c r="Q47">
        <f>IF(AND($E47&lt;=DATE(2026,10,26)+6,$F47&gt;=DATE(2026,10,26)),1,"")</f>
        <v/>
      </c>
      <c r="R47">
        <f>IF(AND($E47&lt;=DATE(2026,11,2)+6,$F47&gt;=DATE(2026,11,2)),1,"")</f>
        <v/>
      </c>
      <c r="S47">
        <f>IF(AND($E47&lt;=DATE(2026,11,9)+6,$F47&gt;=DATE(2026,11,9)),1,"")</f>
        <v/>
      </c>
      <c r="T47">
        <f>IF(AND($E47&lt;=DATE(2026,11,16)+6,$F47&gt;=DATE(2026,11,16)),1,"")</f>
        <v/>
      </c>
      <c r="U47">
        <f>IF(AND($E47&lt;=DATE(2026,11,23)+6,$F47&gt;=DATE(2026,11,23)),1,"")</f>
        <v/>
      </c>
      <c r="V47">
        <f>IF(AND($E47&lt;=DATE(2026,11,30)+6,$F47&gt;=DATE(2026,11,30)),1,"")</f>
        <v/>
      </c>
      <c r="W47">
        <f>IF(AND($E47&lt;=DATE(2026,12,7)+6,$F47&gt;=DATE(2026,12,7)),1,"")</f>
        <v/>
      </c>
      <c r="X47">
        <f>IF(AND($E47&lt;=DATE(2026,12,14)+6,$F47&gt;=DATE(2026,12,14)),1,"")</f>
        <v/>
      </c>
      <c r="Y47">
        <f>IF(AND($E47&lt;=DATE(2026,12,21)+6,$F47&gt;=DATE(2026,12,21)),1,"")</f>
        <v/>
      </c>
      <c r="Z47">
        <f>IF(AND($E47&lt;=DATE(2026,12,28)+6,$F47&gt;=DATE(2026,12,28)),1,"")</f>
        <v/>
      </c>
      <c r="AA47">
        <f>IF(AND($E47&lt;=DATE(2027,1,4)+6,$F47&gt;=DATE(2027,1,4)),1,"")</f>
        <v/>
      </c>
      <c r="AB47">
        <f>IF(AND($E47&lt;=DATE(2027,1,11)+6,$F47&gt;=DATE(2027,1,11)),1,"")</f>
        <v/>
      </c>
      <c r="AC47">
        <f>IF(AND($E47&lt;=DATE(2027,1,18)+6,$F47&gt;=DATE(2027,1,18)),1,"")</f>
        <v/>
      </c>
      <c r="AD47">
        <f>IF(AND($E47&lt;=DATE(2027,1,25)+6,$F47&gt;=DATE(2027,1,25)),1,"")</f>
        <v/>
      </c>
      <c r="AE47">
        <f>IF(AND($E47&lt;=DATE(2027,2,1)+6,$F47&gt;=DATE(2027,2,1)),1,"")</f>
        <v/>
      </c>
      <c r="AF47">
        <f>IF(AND($E47&lt;=DATE(2027,2,8)+6,$F47&gt;=DATE(2027,2,8)),1,"")</f>
        <v/>
      </c>
      <c r="AG47">
        <f>IF(AND($E47&lt;=DATE(2027,2,15)+6,$F47&gt;=DATE(2027,2,15)),1,"")</f>
        <v/>
      </c>
      <c r="AH47">
        <f>IF(AND($E47&lt;=DATE(2027,2,22)+6,$F47&gt;=DATE(2027,2,22)),1,"")</f>
        <v/>
      </c>
      <c r="AI47">
        <f>IF(AND($E47&lt;=DATE(2027,3,1)+6,$F47&gt;=DATE(2027,3,1)),1,"")</f>
        <v/>
      </c>
      <c r="AJ47">
        <f>IF(AND($E47&lt;=DATE(2027,3,8)+6,$F47&gt;=DATE(2027,3,8)),1,"")</f>
        <v/>
      </c>
      <c r="AK47">
        <f>IF(AND($E47&lt;=DATE(2027,3,15)+6,$F47&gt;=DATE(2027,3,15)),1,"")</f>
        <v/>
      </c>
      <c r="AL47">
        <f>IF(AND($E47&lt;=DATE(2027,3,22)+6,$F47&gt;=DATE(2027,3,22)),1,"")</f>
        <v/>
      </c>
      <c r="AM47">
        <f>IF(AND($E47&lt;=DATE(2027,3,29)+6,$F47&gt;=DATE(2027,3,29)),1,"")</f>
        <v/>
      </c>
      <c r="AN47">
        <f>IF(AND($E47&lt;=DATE(2027,4,5)+6,$F47&gt;=DATE(2027,4,5)),1,"")</f>
        <v/>
      </c>
      <c r="AO47">
        <f>IF(AND($E47&lt;=DATE(2027,4,12)+6,$F47&gt;=DATE(2027,4,12)),1,"")</f>
        <v/>
      </c>
      <c r="AP47">
        <f>IF(AND($E47&lt;=DATE(2027,4,19)+6,$F47&gt;=DATE(2027,4,19)),1,"")</f>
        <v/>
      </c>
      <c r="AQ47">
        <f>IF(AND($E47&lt;=DATE(2027,4,26)+6,$F47&gt;=DATE(2027,4,26)),1,"")</f>
        <v/>
      </c>
      <c r="AR47">
        <f>IF(AND($E47&lt;=DATE(2027,5,3)+6,$F47&gt;=DATE(2027,5,3)),1,"")</f>
        <v/>
      </c>
      <c r="AS47">
        <f>IF(AND($E47&lt;=DATE(2027,5,10)+6,$F47&gt;=DATE(2027,5,10)),1,"")</f>
        <v/>
      </c>
      <c r="AT47">
        <f>IF(AND($E47&lt;=DATE(2027,5,17)+6,$F47&gt;=DATE(2027,5,17)),1,"")</f>
        <v/>
      </c>
      <c r="AU47">
        <f>IF(AND($E47&lt;=DATE(2027,5,24)+6,$F47&gt;=DATE(2027,5,24)),1,"")</f>
        <v/>
      </c>
      <c r="AV47">
        <f>IF(AND($E47&lt;=DATE(2027,5,31)+6,$F47&gt;=DATE(2027,5,31)),1,"")</f>
        <v/>
      </c>
      <c r="AW47">
        <f>IF(AND($E47&lt;=DATE(2027,6,7)+6,$F47&gt;=DATE(2027,6,7)),1,"")</f>
        <v/>
      </c>
      <c r="AX47">
        <f>IF(AND($E47&lt;=DATE(2027,6,14)+6,$F47&gt;=DATE(2027,6,14)),1,"")</f>
        <v/>
      </c>
      <c r="AY47">
        <f>IF(AND($E47&lt;=DATE(2027,6,21)+6,$F47&gt;=DATE(2027,6,21)),1,"")</f>
        <v/>
      </c>
      <c r="AZ47">
        <f>IF(AND($E47&lt;=DATE(2027,6,28)+6,$F47&gt;=DATE(2027,6,28)),1,"")</f>
        <v/>
      </c>
      <c r="BA47">
        <f>IF(AND($E47&lt;=DATE(2027,7,5)+6,$F47&gt;=DATE(2027,7,5)),1,"")</f>
        <v/>
      </c>
      <c r="BB47">
        <f>IF(AND($E47&lt;=DATE(2027,7,12)+6,$F47&gt;=DATE(2027,7,12)),1,"")</f>
        <v/>
      </c>
      <c r="BC47">
        <f>IF(AND($E47&lt;=DATE(2027,7,19)+6,$F47&gt;=DATE(2027,7,19)),1,"")</f>
        <v/>
      </c>
      <c r="BD47">
        <f>IF(AND($E47&lt;=DATE(2027,7,26)+6,$F47&gt;=DATE(2027,7,26)),1,"")</f>
        <v/>
      </c>
      <c r="BE47">
        <f>IF(AND($E47&lt;=DATE(2027,8,2)+6,$F47&gt;=DATE(2027,8,2)),1,"")</f>
        <v/>
      </c>
      <c r="BF47">
        <f>IF(AND($E47&lt;=DATE(2027,8,9)+6,$F47&gt;=DATE(2027,8,9)),1,"")</f>
        <v/>
      </c>
      <c r="BG47">
        <f>IF(AND($E47&lt;=DATE(2027,8,16)+6,$F47&gt;=DATE(2027,8,16)),1,"")</f>
        <v/>
      </c>
      <c r="BH47">
        <f>IF(AND($E47&lt;=DATE(2027,8,23)+6,$F47&gt;=DATE(2027,8,23)),1,"")</f>
        <v/>
      </c>
      <c r="BI47">
        <f>IF(AND($E47&lt;=DATE(2027,8,30)+6,$F47&gt;=DATE(2027,8,30)),1,"")</f>
        <v/>
      </c>
      <c r="BJ47">
        <f>IF(AND($E47&lt;=DATE(2027,9,6)+6,$F47&gt;=DATE(2027,9,6)),1,"")</f>
        <v/>
      </c>
      <c r="BK47">
        <f>IF(AND($E47&lt;=DATE(2027,9,13)+6,$F47&gt;=DATE(2027,9,13)),1,"")</f>
        <v/>
      </c>
      <c r="BL47">
        <f>IF(AND($E47&lt;=DATE(2027,9,20)+6,$F47&gt;=DATE(2027,9,20)),1,"")</f>
        <v/>
      </c>
      <c r="BM47">
        <f>IF(AND($E47&lt;=DATE(2027,9,27)+6,$F47&gt;=DATE(2027,9,27)),1,"")</f>
        <v/>
      </c>
    </row>
    <row r="48">
      <c r="A48" t="inlineStr">
        <is>
          <t>8.1</t>
        </is>
      </c>
      <c r="B48" t="inlineStr">
        <is>
          <t>Dedicated production unit business case &amp; build</t>
        </is>
      </c>
      <c r="C48" t="inlineStr">
        <is>
          <t>Temple leadership</t>
        </is>
      </c>
      <c r="D48" t="inlineStr">
        <is>
          <t>Phase 4</t>
        </is>
      </c>
      <c r="E48" s="9" t="n">
        <v>46661</v>
      </c>
      <c r="F48" s="9" t="n">
        <v>46843</v>
      </c>
      <c r="G48">
        <f>F48-E48+1</f>
        <v/>
      </c>
      <c r="H48" t="inlineStr">
        <is>
          <t>7.5</t>
        </is>
      </c>
      <c r="I48" t="inlineStr">
        <is>
          <t>Unit live</t>
        </is>
      </c>
      <c r="J48" t="inlineStr">
        <is>
          <t>Not started</t>
        </is>
      </c>
      <c r="K48" s="10" t="n">
        <v>0</v>
      </c>
      <c r="L48">
        <f>IF(AND($E48&lt;=DATE(2026,9,21)+6,$F48&gt;=DATE(2026,9,21)),1,"")</f>
        <v/>
      </c>
      <c r="M48">
        <f>IF(AND($E48&lt;=DATE(2026,9,28)+6,$F48&gt;=DATE(2026,9,28)),1,"")</f>
        <v/>
      </c>
      <c r="N48">
        <f>IF(AND($E48&lt;=DATE(2026,10,5)+6,$F48&gt;=DATE(2026,10,5)),1,"")</f>
        <v/>
      </c>
      <c r="O48">
        <f>IF(AND($E48&lt;=DATE(2026,10,12)+6,$F48&gt;=DATE(2026,10,12)),1,"")</f>
        <v/>
      </c>
      <c r="P48">
        <f>IF(AND($E48&lt;=DATE(2026,10,19)+6,$F48&gt;=DATE(2026,10,19)),1,"")</f>
        <v/>
      </c>
      <c r="Q48">
        <f>IF(AND($E48&lt;=DATE(2026,10,26)+6,$F48&gt;=DATE(2026,10,26)),1,"")</f>
        <v/>
      </c>
      <c r="R48">
        <f>IF(AND($E48&lt;=DATE(2026,11,2)+6,$F48&gt;=DATE(2026,11,2)),1,"")</f>
        <v/>
      </c>
      <c r="S48">
        <f>IF(AND($E48&lt;=DATE(2026,11,9)+6,$F48&gt;=DATE(2026,11,9)),1,"")</f>
        <v/>
      </c>
      <c r="T48">
        <f>IF(AND($E48&lt;=DATE(2026,11,16)+6,$F48&gt;=DATE(2026,11,16)),1,"")</f>
        <v/>
      </c>
      <c r="U48">
        <f>IF(AND($E48&lt;=DATE(2026,11,23)+6,$F48&gt;=DATE(2026,11,23)),1,"")</f>
        <v/>
      </c>
      <c r="V48">
        <f>IF(AND($E48&lt;=DATE(2026,11,30)+6,$F48&gt;=DATE(2026,11,30)),1,"")</f>
        <v/>
      </c>
      <c r="W48">
        <f>IF(AND($E48&lt;=DATE(2026,12,7)+6,$F48&gt;=DATE(2026,12,7)),1,"")</f>
        <v/>
      </c>
      <c r="X48">
        <f>IF(AND($E48&lt;=DATE(2026,12,14)+6,$F48&gt;=DATE(2026,12,14)),1,"")</f>
        <v/>
      </c>
      <c r="Y48">
        <f>IF(AND($E48&lt;=DATE(2026,12,21)+6,$F48&gt;=DATE(2026,12,21)),1,"")</f>
        <v/>
      </c>
      <c r="Z48">
        <f>IF(AND($E48&lt;=DATE(2026,12,28)+6,$F48&gt;=DATE(2026,12,28)),1,"")</f>
        <v/>
      </c>
      <c r="AA48">
        <f>IF(AND($E48&lt;=DATE(2027,1,4)+6,$F48&gt;=DATE(2027,1,4)),1,"")</f>
        <v/>
      </c>
      <c r="AB48">
        <f>IF(AND($E48&lt;=DATE(2027,1,11)+6,$F48&gt;=DATE(2027,1,11)),1,"")</f>
        <v/>
      </c>
      <c r="AC48">
        <f>IF(AND($E48&lt;=DATE(2027,1,18)+6,$F48&gt;=DATE(2027,1,18)),1,"")</f>
        <v/>
      </c>
      <c r="AD48">
        <f>IF(AND($E48&lt;=DATE(2027,1,25)+6,$F48&gt;=DATE(2027,1,25)),1,"")</f>
        <v/>
      </c>
      <c r="AE48">
        <f>IF(AND($E48&lt;=DATE(2027,2,1)+6,$F48&gt;=DATE(2027,2,1)),1,"")</f>
        <v/>
      </c>
      <c r="AF48">
        <f>IF(AND($E48&lt;=DATE(2027,2,8)+6,$F48&gt;=DATE(2027,2,8)),1,"")</f>
        <v/>
      </c>
      <c r="AG48">
        <f>IF(AND($E48&lt;=DATE(2027,2,15)+6,$F48&gt;=DATE(2027,2,15)),1,"")</f>
        <v/>
      </c>
      <c r="AH48">
        <f>IF(AND($E48&lt;=DATE(2027,2,22)+6,$F48&gt;=DATE(2027,2,22)),1,"")</f>
        <v/>
      </c>
      <c r="AI48">
        <f>IF(AND($E48&lt;=DATE(2027,3,1)+6,$F48&gt;=DATE(2027,3,1)),1,"")</f>
        <v/>
      </c>
      <c r="AJ48">
        <f>IF(AND($E48&lt;=DATE(2027,3,8)+6,$F48&gt;=DATE(2027,3,8)),1,"")</f>
        <v/>
      </c>
      <c r="AK48">
        <f>IF(AND($E48&lt;=DATE(2027,3,15)+6,$F48&gt;=DATE(2027,3,15)),1,"")</f>
        <v/>
      </c>
      <c r="AL48">
        <f>IF(AND($E48&lt;=DATE(2027,3,22)+6,$F48&gt;=DATE(2027,3,22)),1,"")</f>
        <v/>
      </c>
      <c r="AM48">
        <f>IF(AND($E48&lt;=DATE(2027,3,29)+6,$F48&gt;=DATE(2027,3,29)),1,"")</f>
        <v/>
      </c>
      <c r="AN48">
        <f>IF(AND($E48&lt;=DATE(2027,4,5)+6,$F48&gt;=DATE(2027,4,5)),1,"")</f>
        <v/>
      </c>
      <c r="AO48">
        <f>IF(AND($E48&lt;=DATE(2027,4,12)+6,$F48&gt;=DATE(2027,4,12)),1,"")</f>
        <v/>
      </c>
      <c r="AP48">
        <f>IF(AND($E48&lt;=DATE(2027,4,19)+6,$F48&gt;=DATE(2027,4,19)),1,"")</f>
        <v/>
      </c>
      <c r="AQ48">
        <f>IF(AND($E48&lt;=DATE(2027,4,26)+6,$F48&gt;=DATE(2027,4,26)),1,"")</f>
        <v/>
      </c>
      <c r="AR48">
        <f>IF(AND($E48&lt;=DATE(2027,5,3)+6,$F48&gt;=DATE(2027,5,3)),1,"")</f>
        <v/>
      </c>
      <c r="AS48">
        <f>IF(AND($E48&lt;=DATE(2027,5,10)+6,$F48&gt;=DATE(2027,5,10)),1,"")</f>
        <v/>
      </c>
      <c r="AT48">
        <f>IF(AND($E48&lt;=DATE(2027,5,17)+6,$F48&gt;=DATE(2027,5,17)),1,"")</f>
        <v/>
      </c>
      <c r="AU48">
        <f>IF(AND($E48&lt;=DATE(2027,5,24)+6,$F48&gt;=DATE(2027,5,24)),1,"")</f>
        <v/>
      </c>
      <c r="AV48">
        <f>IF(AND($E48&lt;=DATE(2027,5,31)+6,$F48&gt;=DATE(2027,5,31)),1,"")</f>
        <v/>
      </c>
      <c r="AW48">
        <f>IF(AND($E48&lt;=DATE(2027,6,7)+6,$F48&gt;=DATE(2027,6,7)),1,"")</f>
        <v/>
      </c>
      <c r="AX48">
        <f>IF(AND($E48&lt;=DATE(2027,6,14)+6,$F48&gt;=DATE(2027,6,14)),1,"")</f>
        <v/>
      </c>
      <c r="AY48">
        <f>IF(AND($E48&lt;=DATE(2027,6,21)+6,$F48&gt;=DATE(2027,6,21)),1,"")</f>
        <v/>
      </c>
      <c r="AZ48">
        <f>IF(AND($E48&lt;=DATE(2027,6,28)+6,$F48&gt;=DATE(2027,6,28)),1,"")</f>
        <v/>
      </c>
      <c r="BA48">
        <f>IF(AND($E48&lt;=DATE(2027,7,5)+6,$F48&gt;=DATE(2027,7,5)),1,"")</f>
        <v/>
      </c>
      <c r="BB48">
        <f>IF(AND($E48&lt;=DATE(2027,7,12)+6,$F48&gt;=DATE(2027,7,12)),1,"")</f>
        <v/>
      </c>
      <c r="BC48">
        <f>IF(AND($E48&lt;=DATE(2027,7,19)+6,$F48&gt;=DATE(2027,7,19)),1,"")</f>
        <v/>
      </c>
      <c r="BD48">
        <f>IF(AND($E48&lt;=DATE(2027,7,26)+6,$F48&gt;=DATE(2027,7,26)),1,"")</f>
        <v/>
      </c>
      <c r="BE48">
        <f>IF(AND($E48&lt;=DATE(2027,8,2)+6,$F48&gt;=DATE(2027,8,2)),1,"")</f>
        <v/>
      </c>
      <c r="BF48">
        <f>IF(AND($E48&lt;=DATE(2027,8,9)+6,$F48&gt;=DATE(2027,8,9)),1,"")</f>
        <v/>
      </c>
      <c r="BG48">
        <f>IF(AND($E48&lt;=DATE(2027,8,16)+6,$F48&gt;=DATE(2027,8,16)),1,"")</f>
        <v/>
      </c>
      <c r="BH48">
        <f>IF(AND($E48&lt;=DATE(2027,8,23)+6,$F48&gt;=DATE(2027,8,23)),1,"")</f>
        <v/>
      </c>
      <c r="BI48">
        <f>IF(AND($E48&lt;=DATE(2027,8,30)+6,$F48&gt;=DATE(2027,8,30)),1,"")</f>
        <v/>
      </c>
      <c r="BJ48">
        <f>IF(AND($E48&lt;=DATE(2027,9,6)+6,$F48&gt;=DATE(2027,9,6)),1,"")</f>
        <v/>
      </c>
      <c r="BK48">
        <f>IF(AND($E48&lt;=DATE(2027,9,13)+6,$F48&gt;=DATE(2027,9,13)),1,"")</f>
        <v/>
      </c>
      <c r="BL48">
        <f>IF(AND($E48&lt;=DATE(2027,9,20)+6,$F48&gt;=DATE(2027,9,20)),1,"")</f>
        <v/>
      </c>
      <c r="BM48">
        <f>IF(AND($E48&lt;=DATE(2027,9,27)+6,$F48&gt;=DATE(2027,9,27)),1,"")</f>
        <v/>
      </c>
    </row>
    <row r="49">
      <c r="A49" t="inlineStr">
        <is>
          <t>8.2</t>
        </is>
      </c>
      <c r="B49" t="inlineStr">
        <is>
          <t>QSR brand licence &amp; 1–3 pilots</t>
        </is>
      </c>
      <c r="C49" t="inlineStr">
        <is>
          <t>Mukunda Dasa</t>
        </is>
      </c>
      <c r="D49" t="inlineStr">
        <is>
          <t>Phase 4</t>
        </is>
      </c>
      <c r="E49" s="9" t="n">
        <v>46661</v>
      </c>
      <c r="F49" s="9" t="n">
        <v>46934</v>
      </c>
      <c r="G49">
        <f>F49-E49+1</f>
        <v/>
      </c>
      <c r="H49" t="inlineStr">
        <is>
          <t>7.5</t>
        </is>
      </c>
      <c r="I49" t="inlineStr">
        <is>
          <t>Pilot outlets</t>
        </is>
      </c>
      <c r="J49" t="inlineStr">
        <is>
          <t>Not started</t>
        </is>
      </c>
      <c r="K49" s="10" t="n">
        <v>0</v>
      </c>
      <c r="L49">
        <f>IF(AND($E49&lt;=DATE(2026,9,21)+6,$F49&gt;=DATE(2026,9,21)),1,"")</f>
        <v/>
      </c>
      <c r="M49">
        <f>IF(AND($E49&lt;=DATE(2026,9,28)+6,$F49&gt;=DATE(2026,9,28)),1,"")</f>
        <v/>
      </c>
      <c r="N49">
        <f>IF(AND($E49&lt;=DATE(2026,10,5)+6,$F49&gt;=DATE(2026,10,5)),1,"")</f>
        <v/>
      </c>
      <c r="O49">
        <f>IF(AND($E49&lt;=DATE(2026,10,12)+6,$F49&gt;=DATE(2026,10,12)),1,"")</f>
        <v/>
      </c>
      <c r="P49">
        <f>IF(AND($E49&lt;=DATE(2026,10,19)+6,$F49&gt;=DATE(2026,10,19)),1,"")</f>
        <v/>
      </c>
      <c r="Q49">
        <f>IF(AND($E49&lt;=DATE(2026,10,26)+6,$F49&gt;=DATE(2026,10,26)),1,"")</f>
        <v/>
      </c>
      <c r="R49">
        <f>IF(AND($E49&lt;=DATE(2026,11,2)+6,$F49&gt;=DATE(2026,11,2)),1,"")</f>
        <v/>
      </c>
      <c r="S49">
        <f>IF(AND($E49&lt;=DATE(2026,11,9)+6,$F49&gt;=DATE(2026,11,9)),1,"")</f>
        <v/>
      </c>
      <c r="T49">
        <f>IF(AND($E49&lt;=DATE(2026,11,16)+6,$F49&gt;=DATE(2026,11,16)),1,"")</f>
        <v/>
      </c>
      <c r="U49">
        <f>IF(AND($E49&lt;=DATE(2026,11,23)+6,$F49&gt;=DATE(2026,11,23)),1,"")</f>
        <v/>
      </c>
      <c r="V49">
        <f>IF(AND($E49&lt;=DATE(2026,11,30)+6,$F49&gt;=DATE(2026,11,30)),1,"")</f>
        <v/>
      </c>
      <c r="W49">
        <f>IF(AND($E49&lt;=DATE(2026,12,7)+6,$F49&gt;=DATE(2026,12,7)),1,"")</f>
        <v/>
      </c>
      <c r="X49">
        <f>IF(AND($E49&lt;=DATE(2026,12,14)+6,$F49&gt;=DATE(2026,12,14)),1,"")</f>
        <v/>
      </c>
      <c r="Y49">
        <f>IF(AND($E49&lt;=DATE(2026,12,21)+6,$F49&gt;=DATE(2026,12,21)),1,"")</f>
        <v/>
      </c>
      <c r="Z49">
        <f>IF(AND($E49&lt;=DATE(2026,12,28)+6,$F49&gt;=DATE(2026,12,28)),1,"")</f>
        <v/>
      </c>
      <c r="AA49">
        <f>IF(AND($E49&lt;=DATE(2027,1,4)+6,$F49&gt;=DATE(2027,1,4)),1,"")</f>
        <v/>
      </c>
      <c r="AB49">
        <f>IF(AND($E49&lt;=DATE(2027,1,11)+6,$F49&gt;=DATE(2027,1,11)),1,"")</f>
        <v/>
      </c>
      <c r="AC49">
        <f>IF(AND($E49&lt;=DATE(2027,1,18)+6,$F49&gt;=DATE(2027,1,18)),1,"")</f>
        <v/>
      </c>
      <c r="AD49">
        <f>IF(AND($E49&lt;=DATE(2027,1,25)+6,$F49&gt;=DATE(2027,1,25)),1,"")</f>
        <v/>
      </c>
      <c r="AE49">
        <f>IF(AND($E49&lt;=DATE(2027,2,1)+6,$F49&gt;=DATE(2027,2,1)),1,"")</f>
        <v/>
      </c>
      <c r="AF49">
        <f>IF(AND($E49&lt;=DATE(2027,2,8)+6,$F49&gt;=DATE(2027,2,8)),1,"")</f>
        <v/>
      </c>
      <c r="AG49">
        <f>IF(AND($E49&lt;=DATE(2027,2,15)+6,$F49&gt;=DATE(2027,2,15)),1,"")</f>
        <v/>
      </c>
      <c r="AH49">
        <f>IF(AND($E49&lt;=DATE(2027,2,22)+6,$F49&gt;=DATE(2027,2,22)),1,"")</f>
        <v/>
      </c>
      <c r="AI49">
        <f>IF(AND($E49&lt;=DATE(2027,3,1)+6,$F49&gt;=DATE(2027,3,1)),1,"")</f>
        <v/>
      </c>
      <c r="AJ49">
        <f>IF(AND($E49&lt;=DATE(2027,3,8)+6,$F49&gt;=DATE(2027,3,8)),1,"")</f>
        <v/>
      </c>
      <c r="AK49">
        <f>IF(AND($E49&lt;=DATE(2027,3,15)+6,$F49&gt;=DATE(2027,3,15)),1,"")</f>
        <v/>
      </c>
      <c r="AL49">
        <f>IF(AND($E49&lt;=DATE(2027,3,22)+6,$F49&gt;=DATE(2027,3,22)),1,"")</f>
        <v/>
      </c>
      <c r="AM49">
        <f>IF(AND($E49&lt;=DATE(2027,3,29)+6,$F49&gt;=DATE(2027,3,29)),1,"")</f>
        <v/>
      </c>
      <c r="AN49">
        <f>IF(AND($E49&lt;=DATE(2027,4,5)+6,$F49&gt;=DATE(2027,4,5)),1,"")</f>
        <v/>
      </c>
      <c r="AO49">
        <f>IF(AND($E49&lt;=DATE(2027,4,12)+6,$F49&gt;=DATE(2027,4,12)),1,"")</f>
        <v/>
      </c>
      <c r="AP49">
        <f>IF(AND($E49&lt;=DATE(2027,4,19)+6,$F49&gt;=DATE(2027,4,19)),1,"")</f>
        <v/>
      </c>
      <c r="AQ49">
        <f>IF(AND($E49&lt;=DATE(2027,4,26)+6,$F49&gt;=DATE(2027,4,26)),1,"")</f>
        <v/>
      </c>
      <c r="AR49">
        <f>IF(AND($E49&lt;=DATE(2027,5,3)+6,$F49&gt;=DATE(2027,5,3)),1,"")</f>
        <v/>
      </c>
      <c r="AS49">
        <f>IF(AND($E49&lt;=DATE(2027,5,10)+6,$F49&gt;=DATE(2027,5,10)),1,"")</f>
        <v/>
      </c>
      <c r="AT49">
        <f>IF(AND($E49&lt;=DATE(2027,5,17)+6,$F49&gt;=DATE(2027,5,17)),1,"")</f>
        <v/>
      </c>
      <c r="AU49">
        <f>IF(AND($E49&lt;=DATE(2027,5,24)+6,$F49&gt;=DATE(2027,5,24)),1,"")</f>
        <v/>
      </c>
      <c r="AV49">
        <f>IF(AND($E49&lt;=DATE(2027,5,31)+6,$F49&gt;=DATE(2027,5,31)),1,"")</f>
        <v/>
      </c>
      <c r="AW49">
        <f>IF(AND($E49&lt;=DATE(2027,6,7)+6,$F49&gt;=DATE(2027,6,7)),1,"")</f>
        <v/>
      </c>
      <c r="AX49">
        <f>IF(AND($E49&lt;=DATE(2027,6,14)+6,$F49&gt;=DATE(2027,6,14)),1,"")</f>
        <v/>
      </c>
      <c r="AY49">
        <f>IF(AND($E49&lt;=DATE(2027,6,21)+6,$F49&gt;=DATE(2027,6,21)),1,"")</f>
        <v/>
      </c>
      <c r="AZ49">
        <f>IF(AND($E49&lt;=DATE(2027,6,28)+6,$F49&gt;=DATE(2027,6,28)),1,"")</f>
        <v/>
      </c>
      <c r="BA49">
        <f>IF(AND($E49&lt;=DATE(2027,7,5)+6,$F49&gt;=DATE(2027,7,5)),1,"")</f>
        <v/>
      </c>
      <c r="BB49">
        <f>IF(AND($E49&lt;=DATE(2027,7,12)+6,$F49&gt;=DATE(2027,7,12)),1,"")</f>
        <v/>
      </c>
      <c r="BC49">
        <f>IF(AND($E49&lt;=DATE(2027,7,19)+6,$F49&gt;=DATE(2027,7,19)),1,"")</f>
        <v/>
      </c>
      <c r="BD49">
        <f>IF(AND($E49&lt;=DATE(2027,7,26)+6,$F49&gt;=DATE(2027,7,26)),1,"")</f>
        <v/>
      </c>
      <c r="BE49">
        <f>IF(AND($E49&lt;=DATE(2027,8,2)+6,$F49&gt;=DATE(2027,8,2)),1,"")</f>
        <v/>
      </c>
      <c r="BF49">
        <f>IF(AND($E49&lt;=DATE(2027,8,9)+6,$F49&gt;=DATE(2027,8,9)),1,"")</f>
        <v/>
      </c>
      <c r="BG49">
        <f>IF(AND($E49&lt;=DATE(2027,8,16)+6,$F49&gt;=DATE(2027,8,16)),1,"")</f>
        <v/>
      </c>
      <c r="BH49">
        <f>IF(AND($E49&lt;=DATE(2027,8,23)+6,$F49&gt;=DATE(2027,8,23)),1,"")</f>
        <v/>
      </c>
      <c r="BI49">
        <f>IF(AND($E49&lt;=DATE(2027,8,30)+6,$F49&gt;=DATE(2027,8,30)),1,"")</f>
        <v/>
      </c>
      <c r="BJ49">
        <f>IF(AND($E49&lt;=DATE(2027,9,6)+6,$F49&gt;=DATE(2027,9,6)),1,"")</f>
        <v/>
      </c>
      <c r="BK49">
        <f>IF(AND($E49&lt;=DATE(2027,9,13)+6,$F49&gt;=DATE(2027,9,13)),1,"")</f>
        <v/>
      </c>
      <c r="BL49">
        <f>IF(AND($E49&lt;=DATE(2027,9,20)+6,$F49&gt;=DATE(2027,9,20)),1,"")</f>
        <v/>
      </c>
      <c r="BM49">
        <f>IF(AND($E49&lt;=DATE(2027,9,27)+6,$F49&gt;=DATE(2027,9,27)),1,"")</f>
        <v/>
      </c>
    </row>
    <row r="50">
      <c r="A50" t="inlineStr">
        <is>
          <t>8.3</t>
        </is>
      </c>
      <c r="B50" t="inlineStr">
        <is>
          <t>Export readiness (IEC, APEDA, partners)</t>
        </is>
      </c>
      <c r="C50" t="inlineStr">
        <is>
          <t>Mukunda Dasa</t>
        </is>
      </c>
      <c r="D50" t="inlineStr">
        <is>
          <t>Phase 4</t>
        </is>
      </c>
      <c r="E50" s="9" t="n">
        <v>46753</v>
      </c>
      <c r="F50" s="9" t="n">
        <v>47026</v>
      </c>
      <c r="G50">
        <f>F50-E50+1</f>
        <v/>
      </c>
      <c r="H50" t="inlineStr">
        <is>
          <t>8.1</t>
        </is>
      </c>
      <c r="I50" t="inlineStr">
        <is>
          <t>First export order</t>
        </is>
      </c>
      <c r="J50" t="inlineStr">
        <is>
          <t>Not started</t>
        </is>
      </c>
      <c r="K50" s="10" t="n">
        <v>0</v>
      </c>
      <c r="L50">
        <f>IF(AND($E50&lt;=DATE(2026,9,21)+6,$F50&gt;=DATE(2026,9,21)),1,"")</f>
        <v/>
      </c>
      <c r="M50">
        <f>IF(AND($E50&lt;=DATE(2026,9,28)+6,$F50&gt;=DATE(2026,9,28)),1,"")</f>
        <v/>
      </c>
      <c r="N50">
        <f>IF(AND($E50&lt;=DATE(2026,10,5)+6,$F50&gt;=DATE(2026,10,5)),1,"")</f>
        <v/>
      </c>
      <c r="O50">
        <f>IF(AND($E50&lt;=DATE(2026,10,12)+6,$F50&gt;=DATE(2026,10,12)),1,"")</f>
        <v/>
      </c>
      <c r="P50">
        <f>IF(AND($E50&lt;=DATE(2026,10,19)+6,$F50&gt;=DATE(2026,10,19)),1,"")</f>
        <v/>
      </c>
      <c r="Q50">
        <f>IF(AND($E50&lt;=DATE(2026,10,26)+6,$F50&gt;=DATE(2026,10,26)),1,"")</f>
        <v/>
      </c>
      <c r="R50">
        <f>IF(AND($E50&lt;=DATE(2026,11,2)+6,$F50&gt;=DATE(2026,11,2)),1,"")</f>
        <v/>
      </c>
      <c r="S50">
        <f>IF(AND($E50&lt;=DATE(2026,11,9)+6,$F50&gt;=DATE(2026,11,9)),1,"")</f>
        <v/>
      </c>
      <c r="T50">
        <f>IF(AND($E50&lt;=DATE(2026,11,16)+6,$F50&gt;=DATE(2026,11,16)),1,"")</f>
        <v/>
      </c>
      <c r="U50">
        <f>IF(AND($E50&lt;=DATE(2026,11,23)+6,$F50&gt;=DATE(2026,11,23)),1,"")</f>
        <v/>
      </c>
      <c r="V50">
        <f>IF(AND($E50&lt;=DATE(2026,11,30)+6,$F50&gt;=DATE(2026,11,30)),1,"")</f>
        <v/>
      </c>
      <c r="W50">
        <f>IF(AND($E50&lt;=DATE(2026,12,7)+6,$F50&gt;=DATE(2026,12,7)),1,"")</f>
        <v/>
      </c>
      <c r="X50">
        <f>IF(AND($E50&lt;=DATE(2026,12,14)+6,$F50&gt;=DATE(2026,12,14)),1,"")</f>
        <v/>
      </c>
      <c r="Y50">
        <f>IF(AND($E50&lt;=DATE(2026,12,21)+6,$F50&gt;=DATE(2026,12,21)),1,"")</f>
        <v/>
      </c>
      <c r="Z50">
        <f>IF(AND($E50&lt;=DATE(2026,12,28)+6,$F50&gt;=DATE(2026,12,28)),1,"")</f>
        <v/>
      </c>
      <c r="AA50">
        <f>IF(AND($E50&lt;=DATE(2027,1,4)+6,$F50&gt;=DATE(2027,1,4)),1,"")</f>
        <v/>
      </c>
      <c r="AB50">
        <f>IF(AND($E50&lt;=DATE(2027,1,11)+6,$F50&gt;=DATE(2027,1,11)),1,"")</f>
        <v/>
      </c>
      <c r="AC50">
        <f>IF(AND($E50&lt;=DATE(2027,1,18)+6,$F50&gt;=DATE(2027,1,18)),1,"")</f>
        <v/>
      </c>
      <c r="AD50">
        <f>IF(AND($E50&lt;=DATE(2027,1,25)+6,$F50&gt;=DATE(2027,1,25)),1,"")</f>
        <v/>
      </c>
      <c r="AE50">
        <f>IF(AND($E50&lt;=DATE(2027,2,1)+6,$F50&gt;=DATE(2027,2,1)),1,"")</f>
        <v/>
      </c>
      <c r="AF50">
        <f>IF(AND($E50&lt;=DATE(2027,2,8)+6,$F50&gt;=DATE(2027,2,8)),1,"")</f>
        <v/>
      </c>
      <c r="AG50">
        <f>IF(AND($E50&lt;=DATE(2027,2,15)+6,$F50&gt;=DATE(2027,2,15)),1,"")</f>
        <v/>
      </c>
      <c r="AH50">
        <f>IF(AND($E50&lt;=DATE(2027,2,22)+6,$F50&gt;=DATE(2027,2,22)),1,"")</f>
        <v/>
      </c>
      <c r="AI50">
        <f>IF(AND($E50&lt;=DATE(2027,3,1)+6,$F50&gt;=DATE(2027,3,1)),1,"")</f>
        <v/>
      </c>
      <c r="AJ50">
        <f>IF(AND($E50&lt;=DATE(2027,3,8)+6,$F50&gt;=DATE(2027,3,8)),1,"")</f>
        <v/>
      </c>
      <c r="AK50">
        <f>IF(AND($E50&lt;=DATE(2027,3,15)+6,$F50&gt;=DATE(2027,3,15)),1,"")</f>
        <v/>
      </c>
      <c r="AL50">
        <f>IF(AND($E50&lt;=DATE(2027,3,22)+6,$F50&gt;=DATE(2027,3,22)),1,"")</f>
        <v/>
      </c>
      <c r="AM50">
        <f>IF(AND($E50&lt;=DATE(2027,3,29)+6,$F50&gt;=DATE(2027,3,29)),1,"")</f>
        <v/>
      </c>
      <c r="AN50">
        <f>IF(AND($E50&lt;=DATE(2027,4,5)+6,$F50&gt;=DATE(2027,4,5)),1,"")</f>
        <v/>
      </c>
      <c r="AO50">
        <f>IF(AND($E50&lt;=DATE(2027,4,12)+6,$F50&gt;=DATE(2027,4,12)),1,"")</f>
        <v/>
      </c>
      <c r="AP50">
        <f>IF(AND($E50&lt;=DATE(2027,4,19)+6,$F50&gt;=DATE(2027,4,19)),1,"")</f>
        <v/>
      </c>
      <c r="AQ50">
        <f>IF(AND($E50&lt;=DATE(2027,4,26)+6,$F50&gt;=DATE(2027,4,26)),1,"")</f>
        <v/>
      </c>
      <c r="AR50">
        <f>IF(AND($E50&lt;=DATE(2027,5,3)+6,$F50&gt;=DATE(2027,5,3)),1,"")</f>
        <v/>
      </c>
      <c r="AS50">
        <f>IF(AND($E50&lt;=DATE(2027,5,10)+6,$F50&gt;=DATE(2027,5,10)),1,"")</f>
        <v/>
      </c>
      <c r="AT50">
        <f>IF(AND($E50&lt;=DATE(2027,5,17)+6,$F50&gt;=DATE(2027,5,17)),1,"")</f>
        <v/>
      </c>
      <c r="AU50">
        <f>IF(AND($E50&lt;=DATE(2027,5,24)+6,$F50&gt;=DATE(2027,5,24)),1,"")</f>
        <v/>
      </c>
      <c r="AV50">
        <f>IF(AND($E50&lt;=DATE(2027,5,31)+6,$F50&gt;=DATE(2027,5,31)),1,"")</f>
        <v/>
      </c>
      <c r="AW50">
        <f>IF(AND($E50&lt;=DATE(2027,6,7)+6,$F50&gt;=DATE(2027,6,7)),1,"")</f>
        <v/>
      </c>
      <c r="AX50">
        <f>IF(AND($E50&lt;=DATE(2027,6,14)+6,$F50&gt;=DATE(2027,6,14)),1,"")</f>
        <v/>
      </c>
      <c r="AY50">
        <f>IF(AND($E50&lt;=DATE(2027,6,21)+6,$F50&gt;=DATE(2027,6,21)),1,"")</f>
        <v/>
      </c>
      <c r="AZ50">
        <f>IF(AND($E50&lt;=DATE(2027,6,28)+6,$F50&gt;=DATE(2027,6,28)),1,"")</f>
        <v/>
      </c>
      <c r="BA50">
        <f>IF(AND($E50&lt;=DATE(2027,7,5)+6,$F50&gt;=DATE(2027,7,5)),1,"")</f>
        <v/>
      </c>
      <c r="BB50">
        <f>IF(AND($E50&lt;=DATE(2027,7,12)+6,$F50&gt;=DATE(2027,7,12)),1,"")</f>
        <v/>
      </c>
      <c r="BC50">
        <f>IF(AND($E50&lt;=DATE(2027,7,19)+6,$F50&gt;=DATE(2027,7,19)),1,"")</f>
        <v/>
      </c>
      <c r="BD50">
        <f>IF(AND($E50&lt;=DATE(2027,7,26)+6,$F50&gt;=DATE(2027,7,26)),1,"")</f>
        <v/>
      </c>
      <c r="BE50">
        <f>IF(AND($E50&lt;=DATE(2027,8,2)+6,$F50&gt;=DATE(2027,8,2)),1,"")</f>
        <v/>
      </c>
      <c r="BF50">
        <f>IF(AND($E50&lt;=DATE(2027,8,9)+6,$F50&gt;=DATE(2027,8,9)),1,"")</f>
        <v/>
      </c>
      <c r="BG50">
        <f>IF(AND($E50&lt;=DATE(2027,8,16)+6,$F50&gt;=DATE(2027,8,16)),1,"")</f>
        <v/>
      </c>
      <c r="BH50">
        <f>IF(AND($E50&lt;=DATE(2027,8,23)+6,$F50&gt;=DATE(2027,8,23)),1,"")</f>
        <v/>
      </c>
      <c r="BI50">
        <f>IF(AND($E50&lt;=DATE(2027,8,30)+6,$F50&gt;=DATE(2027,8,30)),1,"")</f>
        <v/>
      </c>
      <c r="BJ50">
        <f>IF(AND($E50&lt;=DATE(2027,9,6)+6,$F50&gt;=DATE(2027,9,6)),1,"")</f>
        <v/>
      </c>
      <c r="BK50">
        <f>IF(AND($E50&lt;=DATE(2027,9,13)+6,$F50&gt;=DATE(2027,9,13)),1,"")</f>
        <v/>
      </c>
      <c r="BL50">
        <f>IF(AND($E50&lt;=DATE(2027,9,20)+6,$F50&gt;=DATE(2027,9,20)),1,"")</f>
        <v/>
      </c>
      <c r="BM50">
        <f>IF(AND($E50&lt;=DATE(2027,9,27)+6,$F50&gt;=DATE(2027,9,27)),1,"")</f>
        <v/>
      </c>
    </row>
  </sheetData>
  <conditionalFormatting sqref="L2:BM50">
    <cfRule type="expression" priority="1" dxfId="0">
      <formula>AND(L2=1,ISERROR(FIND(".",$A2)))</formula>
    </cfRule>
    <cfRule type="cellIs" priority="2" operator="equal" dxfId="1">
      <formula>1</formula>
    </cfRule>
  </conditionalFormatting>
  <conditionalFormatting sqref="J2:J50">
    <cfRule type="cellIs" priority="3" operator="equal" dxfId="2">
      <formula>"Done"</formula>
    </cfRule>
    <cfRule type="cellIs" priority="4" operator="equal" dxfId="3">
      <formula>"Blocked"</formula>
    </cfRule>
    <cfRule type="cellIs" priority="5" operator="equal" dxfId="4">
      <formula>"In progress"</formula>
    </cfRule>
  </conditionalFormatting>
  <dataValidations count="1">
    <dataValidation sqref="J2:J50" showDropDown="0" showInputMessage="0" showErrorMessage="0" allowBlank="1" type="list">
      <formula1>"Not started,In progress,Blocked,Done"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50" customWidth="1" min="3" max="3"/>
    <col width="14" customWidth="1" min="4" max="4"/>
  </cols>
  <sheetData>
    <row r="1">
      <c r="A1" s="4" t="inlineStr">
        <is>
          <t>Milestone</t>
        </is>
      </c>
      <c r="B1" s="4" t="inlineStr">
        <is>
          <t>Target date</t>
        </is>
      </c>
      <c r="C1" s="4" t="inlineStr">
        <is>
          <t>Gate criteria</t>
        </is>
      </c>
      <c r="D1" s="4" t="inlineStr">
        <is>
          <t>Status</t>
        </is>
      </c>
    </row>
    <row r="2">
      <c r="A2" s="11" t="inlineStr">
        <is>
          <t>M1 Plan circulated</t>
        </is>
      </c>
      <c r="B2" s="11" t="inlineStr">
        <is>
          <t>30 Sep 2026</t>
        </is>
      </c>
      <c r="C2" s="11" t="inlineStr">
        <is>
          <t>Plan shared with production lead and manager</t>
        </is>
      </c>
      <c r="D2" s="11" t="inlineStr"/>
    </row>
    <row r="3">
      <c r="A3" s="11" t="inlineStr">
        <is>
          <t>M2 Decision meeting / charter signed</t>
        </is>
      </c>
      <c r="B3" s="11" t="inlineStr">
        <is>
          <t>5 Oct 2026</t>
        </is>
      </c>
      <c r="C3" s="11" t="inlineStr">
        <is>
          <t>Products, quantities, budget, pricing agreed</t>
        </is>
      </c>
      <c r="D3" s="11" t="inlineStr"/>
    </row>
    <row r="4">
      <c r="A4" s="11" t="inlineStr">
        <is>
          <t>M3 Sales kit ready</t>
        </is>
      </c>
      <c r="B4" s="11" t="inlineStr">
        <is>
          <t>12 Oct 2026</t>
        </is>
      </c>
      <c r="C4" s="11" t="inlineStr">
        <is>
          <t>Catalogue, prices, 10 sample boxes</t>
        </is>
      </c>
      <c r="D4" s="11" t="inlineStr"/>
    </row>
    <row r="5">
      <c r="A5" s="11" t="inlineStr">
        <is>
          <t>M4 Dasara delivered</t>
        </is>
      </c>
      <c r="B5" s="11" t="inlineStr">
        <is>
          <t>20 Oct 2026</t>
        </is>
      </c>
      <c r="C5" s="11" t="inlineStr">
        <is>
          <t>Stalls live, first corporate orders delivered</t>
        </is>
      </c>
      <c r="D5" s="11" t="inlineStr"/>
    </row>
    <row r="6">
      <c r="A6" s="11" t="inlineStr">
        <is>
          <t>M5 Diwali delivered</t>
        </is>
      </c>
      <c r="B6" s="11" t="inlineStr">
        <is>
          <t>6 Nov 2026</t>
        </is>
      </c>
      <c r="C6" s="11" t="inlineStr">
        <is>
          <t>All Diwali orders dispatched on time</t>
        </is>
      </c>
      <c r="D6" s="11" t="inlineStr"/>
    </row>
    <row r="7">
      <c r="A7" s="11" t="inlineStr">
        <is>
          <t>M6 Pilot review</t>
        </is>
      </c>
      <c r="B7" s="11" t="inlineStr">
        <is>
          <t>30 Nov 2026</t>
        </is>
      </c>
      <c r="C7" s="11" t="inlineStr">
        <is>
          <t>P&amp;L, ROI, lessons; go/no-go for Phase 2</t>
        </is>
      </c>
      <c r="D7" s="11" t="inlineStr"/>
    </row>
    <row r="8">
      <c r="A8" s="11" t="inlineStr">
        <is>
          <t>M7 Online store live</t>
        </is>
      </c>
      <c r="B8" s="11" t="inlineStr">
        <is>
          <t>15 Jan 2027</t>
        </is>
      </c>
      <c r="C8" s="11" t="inlineStr">
        <is>
          <t>Shopify live with ≥12 SKUs</t>
        </is>
      </c>
      <c r="D8" s="11" t="inlineStr"/>
    </row>
    <row r="9">
      <c r="A9" s="11" t="inlineStr">
        <is>
          <t>M8 Pagodas installed</t>
        </is>
      </c>
      <c r="B9" s="11" t="inlineStr">
        <is>
          <t>30 Jun 2027</t>
        </is>
      </c>
      <c r="C9" s="11" t="inlineStr">
        <is>
          <t>Permanent stalls in place</t>
        </is>
      </c>
      <c r="D9" s="11" t="inlineStr"/>
    </row>
    <row r="10">
      <c r="A10" s="11" t="inlineStr">
        <is>
          <t>M9 Janmashtami 2027</t>
        </is>
      </c>
      <c r="B10" s="11" t="inlineStr">
        <is>
          <t>Sep 2027</t>
        </is>
      </c>
      <c r="C10" s="11" t="inlineStr">
        <is>
          <t>Counter sales ≥ ₹30 L (base) / ₹60 L (stretch)</t>
        </is>
      </c>
      <c r="D10" s="11" t="inlineStr"/>
    </row>
    <row r="11">
      <c r="A11" s="11" t="inlineStr">
        <is>
          <t>M10 Year-1 review</t>
        </is>
      </c>
      <c r="B11" s="11" t="inlineStr">
        <is>
          <t>30 Sep 2027</t>
        </is>
      </c>
      <c r="C11" s="11" t="inlineStr">
        <is>
          <t>Annual report and Year-2 budget approved</t>
        </is>
      </c>
      <c r="D11" s="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0" customWidth="1" min="2" max="2"/>
    <col width="30" customWidth="1" min="3" max="3"/>
    <col width="22" customWidth="1" min="4" max="4"/>
    <col width="12" customWidth="1" min="5" max="5"/>
    <col width="30" customWidth="1" min="6" max="6"/>
  </cols>
  <sheetData>
    <row r="1">
      <c r="A1" s="4" t="inlineStr">
        <is>
          <t>#</t>
        </is>
      </c>
      <c r="B1" s="4" t="inlineStr">
        <is>
          <t>Action</t>
        </is>
      </c>
      <c r="C1" s="4" t="inlineStr">
        <is>
          <t>Owner</t>
        </is>
      </c>
      <c r="D1" s="4" t="inlineStr">
        <is>
          <t>Due</t>
        </is>
      </c>
      <c r="E1" s="4" t="inlineStr">
        <is>
          <t>Status</t>
        </is>
      </c>
      <c r="F1" s="4" t="inlineStr">
        <is>
          <t>Notes</t>
        </is>
      </c>
    </row>
    <row r="2">
      <c r="A2" s="11" t="inlineStr">
        <is>
          <t>A1</t>
        </is>
      </c>
      <c r="B2" s="11" t="inlineStr">
        <is>
          <t>Provide the order confirmation information requested for prasadam orders</t>
        </is>
      </c>
      <c r="C2" s="11" t="inlineStr">
        <is>
          <t>Production team (order coordinator)</t>
        </is>
      </c>
      <c r="D2" s="11" t="inlineStr">
        <is>
          <t>29 Sep 2026</t>
        </is>
      </c>
      <c r="E2" s="11" t="inlineStr">
        <is>
          <t>Open</t>
        </is>
      </c>
      <c r="F2" s="11" t="inlineStr"/>
    </row>
    <row r="3">
      <c r="A3" s="11" t="inlineStr">
        <is>
          <t>A2</t>
        </is>
      </c>
      <c r="B3" s="11" t="inlineStr">
        <is>
          <t>Hire an additional person for prasadam production work</t>
        </is>
      </c>
      <c r="C3" s="11" t="inlineStr">
        <is>
          <t>Production lead</t>
        </is>
      </c>
      <c r="D3" s="11" t="inlineStr">
        <is>
          <t>10 Oct 2026</t>
        </is>
      </c>
      <c r="E3" s="11" t="inlineStr">
        <is>
          <t>Open</t>
        </is>
      </c>
      <c r="F3" s="11" t="inlineStr"/>
    </row>
    <row r="4">
      <c r="A4" s="11" t="inlineStr">
        <is>
          <t>A3</t>
        </is>
      </c>
      <c r="B4" s="11" t="inlineStr">
        <is>
          <t>Propose available budget and requested items to production for samples and planning</t>
        </is>
      </c>
      <c r="C4" s="11" t="inlineStr">
        <is>
          <t>Mukunda Dasa's team</t>
        </is>
      </c>
      <c r="D4" s="11" t="inlineStr">
        <is>
          <t>30 Sep 2026</t>
        </is>
      </c>
      <c r="E4" s="11" t="inlineStr">
        <is>
          <t>Open</t>
        </is>
      </c>
      <c r="F4" s="11" t="inlineStr"/>
    </row>
    <row r="5">
      <c r="A5" s="11" t="inlineStr">
        <is>
          <t>A4</t>
        </is>
      </c>
      <c r="B5" s="11" t="inlineStr">
        <is>
          <t>Analyse 6–12 months of prasadam purchases and order volumes; share regular and festival estimates</t>
        </is>
      </c>
      <c r="C5" s="11" t="inlineStr">
        <is>
          <t>DMTT data</t>
        </is>
      </c>
      <c r="D5" s="11" t="inlineStr">
        <is>
          <t>3 Oct 2026</t>
        </is>
      </c>
      <c r="E5" s="11" t="inlineStr">
        <is>
          <t>Open</t>
        </is>
      </c>
      <c r="F5" s="11" t="inlineStr"/>
    </row>
    <row r="6">
      <c r="A6" s="11" t="inlineStr">
        <is>
          <t>A5</t>
        </is>
      </c>
      <c r="B6" s="11" t="inlineStr">
        <is>
          <t>Prepare and send the detailed plan for the prasadam and sweets vertical</t>
        </is>
      </c>
      <c r="C6" s="11" t="inlineStr">
        <is>
          <t>Mukunda Dasa</t>
        </is>
      </c>
      <c r="D6" s="11" t="inlineStr">
        <is>
          <t>30 Sep 2026 (this document)</t>
        </is>
      </c>
      <c r="E6" s="11" t="inlineStr">
        <is>
          <t>Open</t>
        </is>
      </c>
      <c r="F6" s="11" t="inlineStr"/>
    </row>
    <row r="7">
      <c r="A7" s="11" t="inlineStr">
        <is>
          <t>A6</t>
        </is>
      </c>
      <c r="B7" s="11" t="inlineStr">
        <is>
          <t>Identify additional prasadam products with longer shelf life</t>
        </is>
      </c>
      <c r="C7" s="11" t="inlineStr">
        <is>
          <t>Production lead</t>
        </is>
      </c>
      <c r="D7" s="11" t="inlineStr">
        <is>
          <t>4 Oct 2026</t>
        </is>
      </c>
      <c r="E7" s="11" t="inlineStr">
        <is>
          <t>Open</t>
        </is>
      </c>
      <c r="F7" s="11" t="inlineStr"/>
    </row>
    <row r="8">
      <c r="A8" s="11" t="inlineStr">
        <is>
          <t>A7</t>
        </is>
      </c>
      <c r="B8" s="11" t="inlineStr">
        <is>
          <t>Prepare packaging and product presentation for bulk corporate gifting</t>
        </is>
      </c>
      <c r="C8" s="11" t="inlineStr">
        <is>
          <t>DMTT designer + Production lead</t>
        </is>
      </c>
      <c r="D8" s="11" t="inlineStr">
        <is>
          <t>10 Oct 2026</t>
        </is>
      </c>
      <c r="E8" s="11" t="inlineStr">
        <is>
          <t>Open</t>
        </is>
      </c>
      <c r="F8" s="11" t="inlineStr"/>
    </row>
    <row r="9">
      <c r="A9" s="11" t="inlineStr">
        <is>
          <t>A8</t>
        </is>
      </c>
      <c r="B9" s="11" t="inlineStr">
        <is>
          <t>Send a representative to support meetings with large company owners</t>
        </is>
      </c>
      <c r="C9" s="11" t="inlineStr">
        <is>
          <t>Mukunda Dasa</t>
        </is>
      </c>
      <c r="D9" s="11" t="inlineStr">
        <is>
          <t>3 Oct 2026</t>
        </is>
      </c>
      <c r="E9" s="11" t="inlineStr">
        <is>
          <t>Open</t>
        </is>
      </c>
      <c r="F9" s="11" t="inlineStr"/>
    </row>
    <row r="10">
      <c r="A10" s="11" t="inlineStr">
        <is>
          <t>A9</t>
        </is>
      </c>
      <c r="B10" s="11" t="inlineStr">
        <is>
          <t>Hold the finalisation meeting on products and quantities</t>
        </is>
      </c>
      <c r="C10" s="11" t="inlineStr">
        <is>
          <t>Mukunda Dasa</t>
        </is>
      </c>
      <c r="D10" s="11" t="inlineStr">
        <is>
          <t>5 Oct 2026</t>
        </is>
      </c>
      <c r="E10" s="11" t="inlineStr">
        <is>
          <t>Open</t>
        </is>
      </c>
      <c r="F10" s="11" t="inlineStr"/>
    </row>
    <row r="11">
      <c r="A11" s="11" t="inlineStr">
        <is>
          <t>A10</t>
        </is>
      </c>
      <c r="B11" s="11" t="inlineStr">
        <is>
          <t>Route all prasadam orders only to the internal production lead</t>
        </is>
      </c>
      <c r="C11" s="11" t="inlineStr">
        <is>
          <t>All departments</t>
        </is>
      </c>
      <c r="D11" s="11" t="inlineStr">
        <is>
          <t>Immediate</t>
        </is>
      </c>
      <c r="E11" s="11" t="inlineStr">
        <is>
          <t>Open</t>
        </is>
      </c>
      <c r="F11" s="11" t="inlineStr"/>
    </row>
    <row r="12">
      <c r="A12" s="11" t="inlineStr">
        <is>
          <t>A11</t>
        </is>
      </c>
      <c r="B12" s="11" t="inlineStr">
        <is>
          <t>Get pagoda costing done</t>
        </is>
      </c>
      <c r="C12" s="11" t="inlineStr">
        <is>
          <t>Facilities</t>
        </is>
      </c>
      <c r="D12" s="11" t="inlineStr">
        <is>
          <t>31 Oct 2026</t>
        </is>
      </c>
      <c r="E12" s="11" t="inlineStr">
        <is>
          <t>Open</t>
        </is>
      </c>
      <c r="F12" s="11" t="inlineStr"/>
    </row>
    <row r="13">
      <c r="A13" s="11" t="inlineStr">
        <is>
          <t>A12</t>
        </is>
      </c>
      <c r="B13" s="11" t="inlineStr">
        <is>
          <t>Respond to the Chinmaya Mission 50,000-meal request</t>
        </is>
      </c>
      <c r="C13" s="11" t="inlineStr">
        <is>
          <t>Mukunda Dasa</t>
        </is>
      </c>
      <c r="D13" s="11" t="inlineStr">
        <is>
          <t>Immediate</t>
        </is>
      </c>
      <c r="E13" s="11" t="inlineStr">
        <is>
          <t>Open</t>
        </is>
      </c>
      <c r="F13" s="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4" t="inlineStr">
        <is>
          <t>Activity</t>
        </is>
      </c>
      <c r="B1" s="4" t="inlineStr">
        <is>
          <t>Sponsor</t>
        </is>
      </c>
      <c r="C1" s="4" t="inlineStr">
        <is>
          <t>Mukunda Dasa</t>
        </is>
      </c>
      <c r="D1" s="4" t="inlineStr">
        <is>
          <t>Production lead</t>
        </is>
      </c>
      <c r="E1" s="4" t="inlineStr">
        <is>
          <t>Prod. manager</t>
        </is>
      </c>
      <c r="F1" s="4" t="inlineStr">
        <is>
          <t>DMTT</t>
        </is>
      </c>
      <c r="G1" s="4" t="inlineStr">
        <is>
          <t>Sales rep</t>
        </is>
      </c>
      <c r="H1" s="4" t="inlineStr">
        <is>
          <t>Finance</t>
        </is>
      </c>
      <c r="I1" s="4" t="inlineStr">
        <is>
          <t>Quality</t>
        </is>
      </c>
    </row>
    <row r="2">
      <c r="A2" s="11" t="inlineStr">
        <is>
          <t>Vertical strategy &amp; budget</t>
        </is>
      </c>
      <c r="B2" s="12" t="inlineStr">
        <is>
          <t>A</t>
        </is>
      </c>
      <c r="C2" s="13" t="inlineStr">
        <is>
          <t>R</t>
        </is>
      </c>
      <c r="D2" s="14" t="inlineStr">
        <is>
          <t>C</t>
        </is>
      </c>
      <c r="E2" s="14" t="inlineStr">
        <is>
          <t>C</t>
        </is>
      </c>
      <c r="F2" s="14" t="inlineStr">
        <is>
          <t>C</t>
        </is>
      </c>
      <c r="G2" s="15" t="inlineStr">
        <is>
          <t>I</t>
        </is>
      </c>
      <c r="H2" s="14" t="inlineStr">
        <is>
          <t>C</t>
        </is>
      </c>
      <c r="I2" s="15" t="inlineStr">
        <is>
          <t>I</t>
        </is>
      </c>
    </row>
    <row r="3">
      <c r="A3" s="11" t="inlineStr">
        <is>
          <t>Product list, recipes, samples</t>
        </is>
      </c>
      <c r="B3" s="15" t="inlineStr">
        <is>
          <t>I</t>
        </is>
      </c>
      <c r="C3" s="14" t="inlineStr">
        <is>
          <t>C</t>
        </is>
      </c>
      <c r="D3" s="16" t="inlineStr">
        <is>
          <t>R/A</t>
        </is>
      </c>
      <c r="E3" s="14" t="inlineStr">
        <is>
          <t>C</t>
        </is>
      </c>
      <c r="F3" s="15" t="inlineStr">
        <is>
          <t>I</t>
        </is>
      </c>
      <c r="G3" s="15" t="inlineStr">
        <is>
          <t>I</t>
        </is>
      </c>
      <c r="H3" s="15" t="inlineStr">
        <is>
          <t>I</t>
        </is>
      </c>
      <c r="I3" s="14" t="inlineStr">
        <is>
          <t>C</t>
        </is>
      </c>
    </row>
    <row r="4">
      <c r="A4" s="11" t="inlineStr">
        <is>
          <t>Costing &amp; pricing</t>
        </is>
      </c>
      <c r="B4" s="15" t="inlineStr">
        <is>
          <t>I</t>
        </is>
      </c>
      <c r="C4" s="12" t="inlineStr">
        <is>
          <t>A</t>
        </is>
      </c>
      <c r="D4" s="13" t="inlineStr">
        <is>
          <t>R</t>
        </is>
      </c>
      <c r="E4" s="14" t="inlineStr">
        <is>
          <t>C</t>
        </is>
      </c>
      <c r="F4" s="14" t="inlineStr">
        <is>
          <t>C</t>
        </is>
      </c>
      <c r="G4" s="14" t="inlineStr">
        <is>
          <t>C</t>
        </is>
      </c>
      <c r="H4" s="14" t="inlineStr">
        <is>
          <t>C</t>
        </is>
      </c>
      <c r="I4" s="15" t="inlineStr">
        <is>
          <t>I</t>
        </is>
      </c>
    </row>
    <row r="5">
      <c r="A5" s="11" t="inlineStr">
        <is>
          <t>Packaging &amp; catalogue design</t>
        </is>
      </c>
      <c r="B5" s="15" t="inlineStr">
        <is>
          <t>I</t>
        </is>
      </c>
      <c r="C5" s="12" t="inlineStr">
        <is>
          <t>A</t>
        </is>
      </c>
      <c r="D5" s="14" t="inlineStr">
        <is>
          <t>C</t>
        </is>
      </c>
      <c r="E5" s="15" t="inlineStr">
        <is>
          <t>I</t>
        </is>
      </c>
      <c r="F5" s="13" t="inlineStr">
        <is>
          <t>R</t>
        </is>
      </c>
      <c r="G5" s="14" t="inlineStr">
        <is>
          <t>C</t>
        </is>
      </c>
      <c r="H5" s="15" t="inlineStr">
        <is>
          <t>I</t>
        </is>
      </c>
      <c r="I5" s="14" t="inlineStr">
        <is>
          <t>C</t>
        </is>
      </c>
    </row>
    <row r="6">
      <c r="A6" s="11" t="inlineStr">
        <is>
          <t>Corporate &amp; white-label sales</t>
        </is>
      </c>
      <c r="B6" s="15" t="inlineStr">
        <is>
          <t>I</t>
        </is>
      </c>
      <c r="C6" s="12" t="inlineStr">
        <is>
          <t>A</t>
        </is>
      </c>
      <c r="D6" s="14" t="inlineStr">
        <is>
          <t>C</t>
        </is>
      </c>
      <c r="E6" s="15" t="inlineStr">
        <is>
          <t>I</t>
        </is>
      </c>
      <c r="F6" s="14" t="inlineStr">
        <is>
          <t>C</t>
        </is>
      </c>
      <c r="G6" s="13" t="inlineStr">
        <is>
          <t>R</t>
        </is>
      </c>
      <c r="H6" s="15" t="inlineStr">
        <is>
          <t>I</t>
        </is>
      </c>
      <c r="I6" s="15" t="inlineStr">
        <is>
          <t>I</t>
        </is>
      </c>
    </row>
    <row r="7">
      <c r="A7" s="11" t="inlineStr">
        <is>
          <t>Festival stalls</t>
        </is>
      </c>
      <c r="B7" s="15" t="inlineStr">
        <is>
          <t>I</t>
        </is>
      </c>
      <c r="C7" s="12" t="inlineStr">
        <is>
          <t>A</t>
        </is>
      </c>
      <c r="D7" s="13" t="inlineStr">
        <is>
          <t>R</t>
        </is>
      </c>
      <c r="E7" s="14" t="inlineStr">
        <is>
          <t>C</t>
        </is>
      </c>
      <c r="F7" s="14" t="inlineStr">
        <is>
          <t>C</t>
        </is>
      </c>
      <c r="G7" s="14" t="inlineStr">
        <is>
          <t>C</t>
        </is>
      </c>
      <c r="H7" s="14" t="inlineStr">
        <is>
          <t>C</t>
        </is>
      </c>
      <c r="I7" s="14" t="inlineStr">
        <is>
          <t>C</t>
        </is>
      </c>
    </row>
    <row r="8">
      <c r="A8" s="11" t="inlineStr">
        <is>
          <t>Internal weekly orders</t>
        </is>
      </c>
      <c r="B8" s="15" t="inlineStr">
        <is>
          <t>I</t>
        </is>
      </c>
      <c r="C8" s="12" t="inlineStr">
        <is>
          <t>A</t>
        </is>
      </c>
      <c r="D8" s="13" t="inlineStr">
        <is>
          <t>R</t>
        </is>
      </c>
      <c r="E8" s="15" t="inlineStr">
        <is>
          <t>I</t>
        </is>
      </c>
      <c r="F8" s="14" t="inlineStr">
        <is>
          <t>C</t>
        </is>
      </c>
      <c r="G8" s="15" t="inlineStr">
        <is>
          <t>I</t>
        </is>
      </c>
      <c r="H8" s="14" t="inlineStr">
        <is>
          <t>C</t>
        </is>
      </c>
      <c r="I8" s="15" t="inlineStr">
        <is>
          <t>I</t>
        </is>
      </c>
    </row>
    <row r="9">
      <c r="A9" s="11" t="inlineStr">
        <is>
          <t>E-commerce &amp; logistics</t>
        </is>
      </c>
      <c r="B9" s="15" t="inlineStr">
        <is>
          <t>I</t>
        </is>
      </c>
      <c r="C9" s="12" t="inlineStr">
        <is>
          <t>A</t>
        </is>
      </c>
      <c r="D9" s="14" t="inlineStr">
        <is>
          <t>C</t>
        </is>
      </c>
      <c r="E9" s="15" t="inlineStr">
        <is>
          <t>I</t>
        </is>
      </c>
      <c r="F9" s="13" t="inlineStr">
        <is>
          <t>R</t>
        </is>
      </c>
      <c r="G9" s="15" t="inlineStr">
        <is>
          <t>I</t>
        </is>
      </c>
      <c r="H9" s="14" t="inlineStr">
        <is>
          <t>C</t>
        </is>
      </c>
      <c r="I9" s="15" t="inlineStr">
        <is>
          <t>I</t>
        </is>
      </c>
    </row>
    <row r="10">
      <c r="A10" s="11" t="inlineStr">
        <is>
          <t>Compliance (FSSAI, labels, hygiene)</t>
        </is>
      </c>
      <c r="B10" s="15" t="inlineStr">
        <is>
          <t>I</t>
        </is>
      </c>
      <c r="C10" s="14" t="inlineStr">
        <is>
          <t>C</t>
        </is>
      </c>
      <c r="D10" s="13" t="inlineStr">
        <is>
          <t>R</t>
        </is>
      </c>
      <c r="E10" s="14" t="inlineStr">
        <is>
          <t>C</t>
        </is>
      </c>
      <c r="F10" s="15" t="inlineStr">
        <is>
          <t>I</t>
        </is>
      </c>
      <c r="G10" s="15" t="inlineStr">
        <is>
          <t>I</t>
        </is>
      </c>
      <c r="H10" s="15" t="inlineStr">
        <is>
          <t>I</t>
        </is>
      </c>
      <c r="I10" s="12" t="inlineStr">
        <is>
          <t>A</t>
        </is>
      </c>
    </row>
    <row r="11">
      <c r="A11" s="11" t="inlineStr">
        <is>
          <t>ROI tracking &amp; reporting</t>
        </is>
      </c>
      <c r="B11" s="15" t="inlineStr">
        <is>
          <t>I</t>
        </is>
      </c>
      <c r="C11" s="12" t="inlineStr">
        <is>
          <t>A</t>
        </is>
      </c>
      <c r="D11" s="14" t="inlineStr">
        <is>
          <t>C</t>
        </is>
      </c>
      <c r="E11" s="15" t="inlineStr">
        <is>
          <t>I</t>
        </is>
      </c>
      <c r="F11" s="13" t="inlineStr">
        <is>
          <t>R</t>
        </is>
      </c>
      <c r="G11" s="15" t="inlineStr">
        <is>
          <t>I</t>
        </is>
      </c>
      <c r="H11" s="13" t="inlineStr">
        <is>
          <t>R</t>
        </is>
      </c>
      <c r="I11" s="15" t="inlineStr">
        <is>
          <t>I</t>
        </is>
      </c>
    </row>
    <row r="12">
      <c r="A12" s="11" t="inlineStr">
        <is>
          <t>Hiring &amp; staffing</t>
        </is>
      </c>
      <c r="B12" s="15" t="inlineStr">
        <is>
          <t>I</t>
        </is>
      </c>
      <c r="C12" s="14" t="inlineStr">
        <is>
          <t>C</t>
        </is>
      </c>
      <c r="D12" s="13" t="inlineStr">
        <is>
          <t>R</t>
        </is>
      </c>
      <c r="E12" s="12" t="inlineStr">
        <is>
          <t>A</t>
        </is>
      </c>
      <c r="F12" s="15" t="inlineStr">
        <is>
          <t>I</t>
        </is>
      </c>
      <c r="G12" s="15" t="inlineStr">
        <is>
          <t>I</t>
        </is>
      </c>
      <c r="H12" s="14" t="inlineStr">
        <is>
          <t>C</t>
        </is>
      </c>
      <c r="I12" s="15" t="inlineStr">
        <is>
          <t>I</t>
        </is>
      </c>
    </row>
    <row r="13">
      <c r="A13" s="11" t="inlineStr">
        <is>
          <t>Capex (pagodas, machines, unit)</t>
        </is>
      </c>
      <c r="B13" s="12" t="inlineStr">
        <is>
          <t>A</t>
        </is>
      </c>
      <c r="C13" s="13" t="inlineStr">
        <is>
          <t>R</t>
        </is>
      </c>
      <c r="D13" s="14" t="inlineStr">
        <is>
          <t>C</t>
        </is>
      </c>
      <c r="E13" s="14" t="inlineStr">
        <is>
          <t>C</t>
        </is>
      </c>
      <c r="F13" s="15" t="inlineStr">
        <is>
          <t>I</t>
        </is>
      </c>
      <c r="G13" s="15" t="inlineStr">
        <is>
          <t>I</t>
        </is>
      </c>
      <c r="H13" s="14" t="inlineStr">
        <is>
          <t>C</t>
        </is>
      </c>
      <c r="I13" s="14" t="inlineStr">
        <is>
          <t>C</t>
        </is>
      </c>
    </row>
    <row r="15">
      <c r="A15" t="inlineStr">
        <is>
          <t>R = Responsible · A = Accountable · C = Consulted · I = Informed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</cols>
  <sheetData>
    <row r="1">
      <c r="A1" s="4" t="inlineStr">
        <is>
          <t>Role</t>
        </is>
      </c>
      <c r="B1" s="4" t="inlineStr">
        <is>
          <t>Person</t>
        </is>
      </c>
      <c r="C1" s="4" t="inlineStr">
        <is>
          <t>Responsibility</t>
        </is>
      </c>
    </row>
    <row r="2">
      <c r="A2" s="11" t="inlineStr">
        <is>
          <t>Executive sponsor</t>
        </is>
      </c>
      <c r="B2" s="11" t="inlineStr">
        <is>
          <t>Temple leadership</t>
        </is>
      </c>
      <c r="C2" s="11" t="inlineStr">
        <is>
          <t>Approves budget, brand use and major decisions</t>
        </is>
      </c>
    </row>
    <row r="3">
      <c r="A3" s="11" t="inlineStr">
        <is>
          <t>Vertical lead – marketing, sales &amp; technology</t>
        </is>
      </c>
      <c r="B3" s="11" t="inlineStr">
        <is>
          <t>Mukunda Dasa</t>
        </is>
      </c>
      <c r="C3" s="11" t="inlineStr">
        <is>
          <t>Vision, network, marketing, e-commerce, DMTT reporting</t>
        </is>
      </c>
    </row>
    <row r="4">
      <c r="A4" s="11" t="inlineStr">
        <is>
          <t>Production lead</t>
        </is>
      </c>
      <c r="B4" s="11" t="inlineStr">
        <is>
          <t>Prabhu (production)</t>
        </is>
      </c>
      <c r="C4" s="11" t="inlineStr">
        <is>
          <t>Recipes, costing, samples, capacity, kitchen team</t>
        </is>
      </c>
    </row>
    <row r="5">
      <c r="A5" s="11" t="inlineStr">
        <is>
          <t>Production manager (reporting line)</t>
        </is>
      </c>
      <c r="B5" s="11" t="inlineStr">
        <is>
          <t>Production lead's manager</t>
        </is>
      </c>
      <c r="C5" s="11" t="inlineStr">
        <is>
          <t>Approves production commitments and resources</t>
        </is>
      </c>
    </row>
    <row r="6">
      <c r="A6" s="11" t="inlineStr">
        <is>
          <t>E-commerce &amp; logistics advisor</t>
        </is>
      </c>
      <c r="B6" s="11" t="inlineStr">
        <is>
          <t>Subhadra Radha Devi Mataji</t>
        </is>
      </c>
      <c r="C6" s="11" t="inlineStr">
        <is>
          <t>Shopify/Amazon, fastest shipping</t>
        </is>
      </c>
    </row>
    <row r="7">
      <c r="A7" s="11" t="inlineStr">
        <is>
          <t>Corporate sales representative</t>
        </is>
      </c>
      <c r="B7" s="11" t="inlineStr">
        <is>
          <t>To be assigned by Mukunda Dasa</t>
        </is>
      </c>
      <c r="C7" s="11" t="inlineStr">
        <is>
          <t>Joins owner meetings; manages B2B pipeline</t>
        </is>
      </c>
    </row>
    <row r="8">
      <c r="A8" s="11" t="inlineStr">
        <is>
          <t>Order coordinator (new hire)</t>
        </is>
      </c>
      <c r="B8" s="11" t="inlineStr">
        <is>
          <t>To hire now</t>
        </is>
      </c>
      <c r="C8" s="11" t="inlineStr">
        <is>
          <t>Order confirmations, internal orders, production calendar</t>
        </is>
      </c>
    </row>
    <row r="9">
      <c r="A9" s="11" t="inlineStr">
        <is>
          <t>Design &amp; packaging</t>
        </is>
      </c>
      <c r="B9" s="11" t="inlineStr">
        <is>
          <t>DMTT designer</t>
        </is>
      </c>
      <c r="C9" s="11" t="inlineStr">
        <is>
          <t>Catalogue, boxes, stickers, white-label mock-ups</t>
        </is>
      </c>
    </row>
    <row r="10">
      <c r="A10" s="11" t="inlineStr">
        <is>
          <t>Data &amp; AI</t>
        </is>
      </c>
      <c r="B10" s="11" t="inlineStr">
        <is>
          <t>DMTT data scientists</t>
        </is>
      </c>
      <c r="C10" s="11" t="inlineStr">
        <is>
          <t>Demand analysis, targeting, ROI dashboard</t>
        </is>
      </c>
    </row>
    <row r="11">
      <c r="A11" s="11" t="inlineStr">
        <is>
          <t>Finance</t>
        </is>
      </c>
      <c r="B11" s="11" t="inlineStr">
        <is>
          <t>Accounts team</t>
        </is>
      </c>
      <c r="C11" s="11" t="inlineStr">
        <is>
          <t>Cost centre, GST, P&amp;L, ROI</t>
        </is>
      </c>
    </row>
    <row r="12">
      <c r="A12" s="11" t="inlineStr">
        <is>
          <t>Quality &amp; compliance</t>
        </is>
      </c>
      <c r="B12" s="11" t="inlineStr">
        <is>
          <t>To assign</t>
        </is>
      </c>
      <c r="C12" s="11" t="inlineStr">
        <is>
          <t>FSSAI, labelling, hygiene audits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2" customWidth="1" min="2" max="2"/>
    <col width="11" customWidth="1" min="3" max="3"/>
    <col width="11" customWidth="1" min="4" max="4"/>
    <col width="8" customWidth="1" min="5" max="5"/>
    <col width="60" customWidth="1" min="6" max="6"/>
    <col width="20" customWidth="1" min="7" max="7"/>
    <col width="10" customWidth="1" min="8" max="8"/>
  </cols>
  <sheetData>
    <row r="1">
      <c r="A1" s="4" t="inlineStr">
        <is>
          <t>ID</t>
        </is>
      </c>
      <c r="B1" s="4" t="inlineStr">
        <is>
          <t>Risk</t>
        </is>
      </c>
      <c r="C1" s="4" t="inlineStr">
        <is>
          <t>Likelihood (1-5)</t>
        </is>
      </c>
      <c r="D1" s="4" t="inlineStr">
        <is>
          <t>Impact (1-5)</t>
        </is>
      </c>
      <c r="E1" s="4" t="inlineStr">
        <is>
          <t>Score</t>
        </is>
      </c>
      <c r="F1" s="4" t="inlineStr">
        <is>
          <t>Mitigation</t>
        </is>
      </c>
      <c r="G1" s="4" t="inlineStr">
        <is>
          <t>Owner</t>
        </is>
      </c>
      <c r="H1" s="4" t="inlineStr">
        <is>
          <t>Status</t>
        </is>
      </c>
    </row>
    <row r="2">
      <c r="A2" s="11" t="inlineStr">
        <is>
          <t>R-01</t>
        </is>
      </c>
      <c r="B2" s="11" t="inlineStr">
        <is>
          <t>Kitchen cannot meet Diwali peak volume</t>
        </is>
      </c>
      <c r="C2" s="17" t="n">
        <v>4</v>
      </c>
      <c r="D2" s="17" t="n">
        <v>5</v>
      </c>
      <c r="E2" s="11">
        <f>C2*D2</f>
        <v/>
      </c>
      <c r="F2" s="11" t="inlineStr">
        <is>
          <t>Forecast from order data; seasonal staff; cap orders by capacity; 50% advance; partner kitchens on standby</t>
        </is>
      </c>
      <c r="G2" s="11" t="inlineStr">
        <is>
          <t>Production lead</t>
        </is>
      </c>
      <c r="H2" s="11" t="inlineStr">
        <is>
          <t>Open</t>
        </is>
      </c>
    </row>
    <row r="3">
      <c r="A3" s="11" t="inlineStr">
        <is>
          <t>R-02</t>
        </is>
      </c>
      <c r="B3" s="11" t="inlineStr">
        <is>
          <t>Premium-only pricing fails to cover fixed costs</t>
        </is>
      </c>
      <c r="C3" s="17" t="n">
        <v>3</v>
      </c>
      <c r="D3" s="17" t="n">
        <v>4</v>
      </c>
      <c r="E3" s="11">
        <f>C3*D3</f>
        <v/>
      </c>
      <c r="F3" s="11" t="inlineStr">
        <is>
          <t>Two-tier model; mass tier for volume; monthly margin review</t>
        </is>
      </c>
      <c r="G3" s="11" t="inlineStr">
        <is>
          <t>Mukunda Dasa</t>
        </is>
      </c>
      <c r="H3" s="11" t="inlineStr">
        <is>
          <t>Open</t>
        </is>
      </c>
    </row>
    <row r="4">
      <c r="A4" s="11" t="inlineStr">
        <is>
          <t>R-03</t>
        </is>
      </c>
      <c r="B4" s="11" t="inlineStr">
        <is>
          <t>Food-safety incident harms temple reputation</t>
        </is>
      </c>
      <c r="C4" s="17" t="n">
        <v>2</v>
      </c>
      <c r="D4" s="17" t="n">
        <v>5</v>
      </c>
      <c r="E4" s="11">
        <f>C4*D4</f>
        <v/>
      </c>
      <c r="F4" s="11" t="inlineStr">
        <is>
          <t>FSSAI compliance, hygiene SOPs, batch codes, shelf-life tests, staff medical checks, recall plan</t>
        </is>
      </c>
      <c r="G4" s="11" t="inlineStr">
        <is>
          <t>Quality</t>
        </is>
      </c>
      <c r="H4" s="11" t="inlineStr">
        <is>
          <t>Open</t>
        </is>
      </c>
    </row>
    <row r="5">
      <c r="A5" s="11" t="inlineStr">
        <is>
          <t>R-04</t>
        </is>
      </c>
      <c r="B5" s="11" t="inlineStr">
        <is>
          <t>Use of the ISKCON name on commercial packaging questioned</t>
        </is>
      </c>
      <c r="C5" s="17" t="n">
        <v>3</v>
      </c>
      <c r="D5" s="17" t="n">
        <v>4</v>
      </c>
      <c r="E5" s="11">
        <f>C5*D5</f>
        <v/>
      </c>
      <c r="F5" s="11" t="inlineStr">
        <is>
          <t>Written approval from temple leadership / group legal; consistent brand guidelines; consider a sub-brand</t>
        </is>
      </c>
      <c r="G5" s="11" t="inlineStr">
        <is>
          <t>Sponsor</t>
        </is>
      </c>
      <c r="H5" s="11" t="inlineStr">
        <is>
          <t>Open</t>
        </is>
      </c>
    </row>
    <row r="6">
      <c r="A6" s="11" t="inlineStr">
        <is>
          <t>R-05</t>
        </is>
      </c>
      <c r="B6" s="11" t="inlineStr">
        <is>
          <t>Perception that prasadam is being commercialised</t>
        </is>
      </c>
      <c r="C6" s="17" t="n">
        <v>3</v>
      </c>
      <c r="D6" s="17" t="n">
        <v>3</v>
      </c>
      <c r="E6" s="11">
        <f>C6*D6</f>
        <v/>
      </c>
      <c r="F6" s="11" t="inlineStr">
        <is>
          <t>Passive selling, devotional messaging, transparent use of proceeds, prasadam offered first</t>
        </is>
      </c>
      <c r="G6" s="11" t="inlineStr">
        <is>
          <t>Mukunda Dasa</t>
        </is>
      </c>
      <c r="H6" s="11" t="inlineStr">
        <is>
          <t>Open</t>
        </is>
      </c>
    </row>
    <row r="7">
      <c r="A7" s="11" t="inlineStr">
        <is>
          <t>R-06</t>
        </is>
      </c>
      <c r="B7" s="11" t="inlineStr">
        <is>
          <t>Ingredient price spikes (ghee, jaggery, nuts)</t>
        </is>
      </c>
      <c r="C7" s="17" t="n">
        <v>4</v>
      </c>
      <c r="D7" s="17" t="n">
        <v>3</v>
      </c>
      <c r="E7" s="11">
        <f>C7*D7</f>
        <v/>
      </c>
      <c r="F7" s="11" t="inlineStr">
        <is>
          <t>Forward-buy before season, two suppliers, sugar/jaggery flexibility, price validity clauses</t>
        </is>
      </c>
      <c r="G7" s="11" t="inlineStr">
        <is>
          <t>Production lead</t>
        </is>
      </c>
      <c r="H7" s="11" t="inlineStr">
        <is>
          <t>Open</t>
        </is>
      </c>
    </row>
    <row r="8">
      <c r="A8" s="11" t="inlineStr">
        <is>
          <t>R-07</t>
        </is>
      </c>
      <c r="B8" s="11" t="inlineStr">
        <is>
          <t>Festival sales below plan; leftover stock</t>
        </is>
      </c>
      <c r="C8" s="17" t="n">
        <v>3</v>
      </c>
      <c r="D8" s="17" t="n">
        <v>3</v>
      </c>
      <c r="E8" s="11">
        <f>C8*D8</f>
        <v/>
      </c>
      <c r="F8" s="11" t="inlineStr">
        <is>
          <t>Shelf-stable SKUs, pre-orders, online/Instagram clearance</t>
        </is>
      </c>
      <c r="G8" s="11" t="inlineStr">
        <is>
          <t>DMTT</t>
        </is>
      </c>
      <c r="H8" s="11" t="inlineStr">
        <is>
          <t>Open</t>
        </is>
      </c>
    </row>
    <row r="9">
      <c r="A9" s="11" t="inlineStr">
        <is>
          <t>R-08</t>
        </is>
      </c>
      <c r="B9" s="11" t="inlineStr">
        <is>
          <t>Late B2B deliveries during peak</t>
        </is>
      </c>
      <c r="C9" s="17" t="n">
        <v>3</v>
      </c>
      <c r="D9" s="17" t="n">
        <v>4</v>
      </c>
      <c r="E9" s="11">
        <f>C9*D9</f>
        <v/>
      </c>
      <c r="F9" s="11" t="inlineStr">
        <is>
          <t>Production calendar, cut-off dates, dispatch buffer, own vehicle</t>
        </is>
      </c>
      <c r="G9" s="11" t="inlineStr">
        <is>
          <t>Order coordinator</t>
        </is>
      </c>
      <c r="H9" s="11" t="inlineStr">
        <is>
          <t>Open</t>
        </is>
      </c>
    </row>
    <row r="10">
      <c r="A10" s="11" t="inlineStr">
        <is>
          <t>R-09</t>
        </is>
      </c>
      <c r="B10" s="11" t="inlineStr">
        <is>
          <t>Staff overload across departments</t>
        </is>
      </c>
      <c r="C10" s="17" t="n">
        <v>4</v>
      </c>
      <c r="D10" s="17" t="n">
        <v>3</v>
      </c>
      <c r="E10" s="11">
        <f>C10*D10</f>
        <v/>
      </c>
      <c r="F10" s="11" t="inlineStr">
        <is>
          <t>Dedicated hires; clear RACI; hours tracked in DMTT</t>
        </is>
      </c>
      <c r="G10" s="11" t="inlineStr">
        <is>
          <t>Prod. manager</t>
        </is>
      </c>
      <c r="H10" s="11" t="inlineStr">
        <is>
          <t>Open</t>
        </is>
      </c>
    </row>
    <row r="11">
      <c r="A11" s="11" t="inlineStr">
        <is>
          <t>R-10</t>
        </is>
      </c>
      <c r="B11" s="11" t="inlineStr">
        <is>
          <t>Online shipping damage/spoilage</t>
        </is>
      </c>
      <c r="C11" s="17" t="n">
        <v>3</v>
      </c>
      <c r="D11" s="17" t="n">
        <v>3</v>
      </c>
      <c r="E11" s="11">
        <f>C11*D11</f>
        <v/>
      </c>
      <c r="F11" s="11" t="inlineStr">
        <is>
          <t>Moisture-proof packs, tested courier partners, only shelf-stable items online</t>
        </is>
      </c>
      <c r="G11" s="11" t="inlineStr">
        <is>
          <t>E-commerce advisor</t>
        </is>
      </c>
      <c r="H11" s="11" t="inlineStr">
        <is>
          <t>Open</t>
        </is>
      </c>
    </row>
    <row r="12">
      <c r="A12" s="11" t="inlineStr">
        <is>
          <t>R-11</t>
        </is>
      </c>
      <c r="B12" s="11" t="inlineStr">
        <is>
          <t>Rain disrupts festival stalls</t>
        </is>
      </c>
      <c r="C12" s="17" t="n">
        <v>3</v>
      </c>
      <c r="D12" s="17" t="n">
        <v>3</v>
      </c>
      <c r="E12" s="11">
        <f>C12*D12</f>
        <v/>
      </c>
      <c r="F12" s="11" t="inlineStr">
        <is>
          <t>Rain-proof pagodas; indoor fallback locations</t>
        </is>
      </c>
      <c r="G12" s="11" t="inlineStr">
        <is>
          <t>Facilities</t>
        </is>
      </c>
      <c r="H12" s="11" t="inlineStr">
        <is>
          <t>Open</t>
        </is>
      </c>
    </row>
    <row r="13">
      <c r="A13" s="11" t="inlineStr">
        <is>
          <t>R-12</t>
        </is>
      </c>
      <c r="B13" s="11" t="inlineStr">
        <is>
          <t>Cash/stock leakage at stalls</t>
        </is>
      </c>
      <c r="C13" s="17" t="n">
        <v>2</v>
      </c>
      <c r="D13" s="17" t="n">
        <v>3</v>
      </c>
      <c r="E13" s="11">
        <f>C13*D13</f>
        <v/>
      </c>
      <c r="F13" s="11" t="inlineStr">
        <is>
          <t>UPI-first, POS, stock reconciliation per shift</t>
        </is>
      </c>
      <c r="G13" s="11" t="inlineStr">
        <is>
          <t>Finance</t>
        </is>
      </c>
      <c r="H13" s="11" t="inlineStr">
        <is>
          <t>Open</t>
        </is>
      </c>
    </row>
    <row r="14">
      <c r="A14" s="11" t="inlineStr">
        <is>
          <t>R-13</t>
        </is>
      </c>
      <c r="B14" s="11" t="inlineStr">
        <is>
          <t>QSR partner quality not aligned with temple standards</t>
        </is>
      </c>
      <c r="C14" s="17" t="n">
        <v>3</v>
      </c>
      <c r="D14" s="17" t="n">
        <v>5</v>
      </c>
      <c r="E14" s="11">
        <f>C14*D14</f>
        <v/>
      </c>
      <c r="F14" s="11" t="inlineStr">
        <is>
          <t>Strict brand licence, audits, satvik SOPs, exit clauses</t>
        </is>
      </c>
      <c r="G14" s="11" t="inlineStr">
        <is>
          <t>Sponsor</t>
        </is>
      </c>
      <c r="H14" s="11" t="inlineStr">
        <is>
          <t>Open</t>
        </is>
      </c>
    </row>
    <row r="15">
      <c r="A15" s="11" t="inlineStr">
        <is>
          <t>R-14</t>
        </is>
      </c>
      <c r="B15" s="11" t="inlineStr">
        <is>
          <t>Regulatory changes (FSSAI, GST)</t>
        </is>
      </c>
      <c r="C15" s="17" t="n">
        <v>2</v>
      </c>
      <c r="D15" s="17" t="n">
        <v>2</v>
      </c>
      <c r="E15" s="11">
        <f>C15*D15</f>
        <v/>
      </c>
      <c r="F15" s="11" t="inlineStr">
        <is>
          <t>Quarterly compliance review</t>
        </is>
      </c>
      <c r="G15" s="11" t="inlineStr">
        <is>
          <t>Finance</t>
        </is>
      </c>
      <c r="H15" s="11" t="inlineStr">
        <is>
          <t>Open</t>
        </is>
      </c>
    </row>
  </sheetData>
  <conditionalFormatting sqref="E2:E15">
    <cfRule type="cellIs" priority="1" operator="greaterThanOrEqual" dxfId="5">
      <formula>15</formula>
    </cfRule>
    <cfRule type="cellIs" priority="2" operator="between" dxfId="6">
      <formula>8</formula>
      <formula>14</formula>
    </cfRule>
    <cfRule type="cellIs" priority="3" operator="lessThan" dxfId="2">
      <formula>8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55" customWidth="1" min="9" max="9"/>
  </cols>
  <sheetData>
    <row r="1">
      <c r="A1" s="3" t="inlineStr">
        <is>
          <t>All figures ₹ lakh. Yellow cells = inputs [ESTIMATE]. Replace with real order data.</t>
        </is>
      </c>
    </row>
    <row r="2">
      <c r="A2" s="18" t="inlineStr">
        <is>
          <t>Revenue stream</t>
        </is>
      </c>
      <c r="B2" s="18" t="inlineStr">
        <is>
          <t>Year 1</t>
        </is>
      </c>
      <c r="C2" s="18" t="inlineStr">
        <is>
          <t>Y2 growth ×</t>
        </is>
      </c>
      <c r="D2" s="18" t="inlineStr">
        <is>
          <t>Year 2</t>
        </is>
      </c>
      <c r="E2" s="18" t="inlineStr">
        <is>
          <t>Y3 growth ×</t>
        </is>
      </c>
      <c r="F2" s="18" t="inlineStr">
        <is>
          <t>Year 3</t>
        </is>
      </c>
      <c r="G2" s="18" t="inlineStr">
        <is>
          <t>Gross margin %</t>
        </is>
      </c>
      <c r="H2" s="18" t="inlineStr">
        <is>
          <t>Y1 gross profit</t>
        </is>
      </c>
      <c r="I2" s="18" t="inlineStr">
        <is>
          <t>Basis</t>
        </is>
      </c>
    </row>
    <row r="3">
      <c r="A3" t="inlineStr">
        <is>
          <t>Internal supply (R1)</t>
        </is>
      </c>
      <c r="B3" s="19" t="n">
        <v>36</v>
      </c>
      <c r="C3" s="19" t="n">
        <v>1.3</v>
      </c>
      <c r="D3" s="20">
        <f>B3*C3</f>
        <v/>
      </c>
      <c r="E3" s="19" t="n">
        <v>1.2</v>
      </c>
      <c r="F3" s="20">
        <f>D3*E3</f>
        <v/>
      </c>
      <c r="G3" s="21" t="n">
        <v>0.25</v>
      </c>
      <c r="H3" s="20">
        <f>B3*G3</f>
        <v/>
      </c>
      <c r="I3" t="inlineStr">
        <is>
          <t>₹3 L/month average across departments</t>
        </is>
      </c>
    </row>
    <row r="4">
      <c r="A4" t="inlineStr">
        <is>
          <t>Festival stalls (R2)</t>
        </is>
      </c>
      <c r="B4" s="19" t="n">
        <v>45</v>
      </c>
      <c r="C4" s="19" t="n">
        <v>1.8</v>
      </c>
      <c r="D4" s="20">
        <f>B4*C4</f>
        <v/>
      </c>
      <c r="E4" s="19" t="n">
        <v>1.5</v>
      </c>
      <c r="F4" s="20">
        <f>D4*E4</f>
        <v/>
      </c>
      <c r="G4" s="21" t="n">
        <v>0.5</v>
      </c>
      <c r="H4" s="20">
        <f>B4*G4</f>
        <v/>
      </c>
      <c r="I4" t="inlineStr">
        <is>
          <t>Janmashtami 2027 ₹30 L (5× first year) + other festivals ₹15 L</t>
        </is>
      </c>
    </row>
    <row r="5">
      <c r="A5" t="inlineStr">
        <is>
          <t>Restaurant &amp; lawn uplift (R3)</t>
        </is>
      </c>
      <c r="B5" s="19" t="n">
        <v>18</v>
      </c>
      <c r="C5" s="19" t="n">
        <v>1.5</v>
      </c>
      <c r="D5" s="20">
        <f>B5*C5</f>
        <v/>
      </c>
      <c r="E5" s="19" t="n">
        <v>1.4</v>
      </c>
      <c r="F5" s="20">
        <f>D5*E5</f>
        <v/>
      </c>
      <c r="G5" s="21" t="n">
        <v>0.35</v>
      </c>
      <c r="H5" s="20">
        <f>B5*G5</f>
        <v/>
      </c>
      <c r="I5" t="inlineStr">
        <is>
          <t>Incremental ₹1.5 L/month</t>
        </is>
      </c>
    </row>
    <row r="6">
      <c r="A6" t="inlineStr">
        <is>
          <t>Corporate gifting – own brand (R4)</t>
        </is>
      </c>
      <c r="B6" s="19" t="n">
        <v>30</v>
      </c>
      <c r="C6" s="19" t="n">
        <v>2.2</v>
      </c>
      <c r="D6" s="20">
        <f>B6*C6</f>
        <v/>
      </c>
      <c r="E6" s="19" t="n">
        <v>1.8</v>
      </c>
      <c r="F6" s="20">
        <f>D6*E6</f>
        <v/>
      </c>
      <c r="G6" s="21" t="n">
        <v>0.4</v>
      </c>
      <c r="H6" s="20">
        <f>B6*G6</f>
        <v/>
      </c>
      <c r="I6" t="inlineStr">
        <is>
          <t>Diwali/Dasara 5,000 boxes × ₹450 + New Year/Sankranti</t>
        </is>
      </c>
    </row>
    <row r="7">
      <c r="A7" t="inlineStr">
        <is>
          <t>White-label gifting (R5)</t>
        </is>
      </c>
      <c r="B7" s="19" t="n">
        <v>12</v>
      </c>
      <c r="C7" s="19" t="n">
        <v>2.5</v>
      </c>
      <c r="D7" s="20">
        <f>B7*C7</f>
        <v/>
      </c>
      <c r="E7" s="19" t="n">
        <v>1.8</v>
      </c>
      <c r="F7" s="20">
        <f>D7*E7</f>
        <v/>
      </c>
      <c r="G7" s="21" t="n">
        <v>0.4</v>
      </c>
      <c r="H7" s="20">
        <f>B7*G7</f>
        <v/>
      </c>
      <c r="I7" t="inlineStr">
        <is>
          <t>8–10 clients</t>
        </is>
      </c>
    </row>
    <row r="8">
      <c r="A8" t="inlineStr">
        <is>
          <t>Daily snacking retail (R6)</t>
        </is>
      </c>
      <c r="B8" s="19" t="n">
        <v>15</v>
      </c>
      <c r="C8" s="19" t="n">
        <v>1.8</v>
      </c>
      <c r="D8" s="20">
        <f>B8*C8</f>
        <v/>
      </c>
      <c r="E8" s="19" t="n">
        <v>1.6</v>
      </c>
      <c r="F8" s="20">
        <f>D8*E8</f>
        <v/>
      </c>
      <c r="G8" s="21" t="n">
        <v>0.4</v>
      </c>
      <c r="H8" s="20">
        <f>B8*G8</f>
        <v/>
      </c>
      <c r="I8" t="inlineStr">
        <is>
          <t>Top-10 SKUs via shop and counters</t>
        </is>
      </c>
    </row>
    <row r="9">
      <c r="A9" t="inlineStr">
        <is>
          <t>E-commerce (R7)</t>
        </is>
      </c>
      <c r="B9" s="19" t="n">
        <v>18</v>
      </c>
      <c r="C9" s="19" t="n">
        <v>3</v>
      </c>
      <c r="D9" s="20">
        <f>B9*C9</f>
        <v/>
      </c>
      <c r="E9" s="19" t="n">
        <v>2</v>
      </c>
      <c r="F9" s="20">
        <f>D9*E9</f>
        <v/>
      </c>
      <c r="G9" s="21" t="n">
        <v>0.3</v>
      </c>
      <c r="H9" s="20">
        <f>B9*G9</f>
        <v/>
      </c>
      <c r="I9" t="inlineStr">
        <is>
          <t>Ramp ₹0.5 L → ₹3 L/month</t>
        </is>
      </c>
    </row>
    <row r="10">
      <c r="A10" t="inlineStr">
        <is>
          <t>Catering &amp; bulk meals (R8)</t>
        </is>
      </c>
      <c r="B10" s="19" t="n">
        <v>20</v>
      </c>
      <c r="C10" s="19" t="n">
        <v>2.5</v>
      </c>
      <c r="D10" s="20">
        <f>B10*C10</f>
        <v/>
      </c>
      <c r="E10" s="19" t="n">
        <v>2</v>
      </c>
      <c r="F10" s="20">
        <f>D10*E10</f>
        <v/>
      </c>
      <c r="G10" s="21" t="n">
        <v>0.25</v>
      </c>
      <c r="H10" s="20">
        <f>B10*G10</f>
        <v/>
      </c>
      <c r="I10" t="inlineStr">
        <is>
          <t>Events + 1 large order</t>
        </is>
      </c>
    </row>
    <row r="11">
      <c r="A11" t="inlineStr">
        <is>
          <t>Gated communities (R9)</t>
        </is>
      </c>
      <c r="B11" s="19" t="n">
        <v>10</v>
      </c>
      <c r="C11" s="19" t="n">
        <v>2</v>
      </c>
      <c r="D11" s="20">
        <f>B11*C11</f>
        <v/>
      </c>
      <c r="E11" s="19" t="n">
        <v>1.5</v>
      </c>
      <c r="F11" s="20">
        <f>D11*E11</f>
        <v/>
      </c>
      <c r="G11" s="21" t="n">
        <v>0.4</v>
      </c>
      <c r="H11" s="20">
        <f>B11*G11</f>
        <v/>
      </c>
      <c r="I11" t="inlineStr">
        <is>
          <t>10→30 communities, ₹12k–₹15k per event</t>
        </is>
      </c>
    </row>
    <row r="12">
      <c r="A12" t="inlineStr">
        <is>
          <t>Outbound B2B &amp; life events (R10)</t>
        </is>
      </c>
      <c r="B12" s="19" t="n">
        <v>8</v>
      </c>
      <c r="C12" s="19" t="n">
        <v>2.5</v>
      </c>
      <c r="D12" s="20">
        <f>B12*C12</f>
        <v/>
      </c>
      <c r="E12" s="19" t="n">
        <v>2</v>
      </c>
      <c r="F12" s="20">
        <f>D12*E12</f>
        <v/>
      </c>
      <c r="G12" s="21" t="n">
        <v>0.35</v>
      </c>
      <c r="H12" s="20">
        <f>B12*G12</f>
        <v/>
      </c>
      <c r="I12" t="inlineStr">
        <is>
          <t>Sales executive from Phase 2</t>
        </is>
      </c>
    </row>
    <row r="13">
      <c r="A13" t="inlineStr">
        <is>
          <t>Pickles, papads, powders (R11)</t>
        </is>
      </c>
      <c r="B13" s="19" t="n">
        <v>4</v>
      </c>
      <c r="C13" s="19" t="n">
        <v>3</v>
      </c>
      <c r="D13" s="20">
        <f>B13*C13</f>
        <v/>
      </c>
      <c r="E13" s="19" t="n">
        <v>2</v>
      </c>
      <c r="F13" s="20">
        <f>D13*E13</f>
        <v/>
      </c>
      <c r="G13" s="21" t="n">
        <v>0.4</v>
      </c>
      <c r="H13" s="20">
        <f>B13*G13</f>
        <v/>
      </c>
      <c r="I13" t="inlineStr">
        <is>
          <t>Launch Phase 3</t>
        </is>
      </c>
    </row>
    <row r="14">
      <c r="A14" t="inlineStr">
        <is>
          <t>Donor &amp; sponsor packs (R14)</t>
        </is>
      </c>
      <c r="B14" s="19" t="n">
        <v>8</v>
      </c>
      <c r="C14" s="19" t="n">
        <v>1.5</v>
      </c>
      <c r="D14" s="20">
        <f>B14*C14</f>
        <v/>
      </c>
      <c r="E14" s="19" t="n">
        <v>1.3</v>
      </c>
      <c r="F14" s="20">
        <f>D14*E14</f>
        <v/>
      </c>
      <c r="G14" s="21" t="n">
        <v>0.35</v>
      </c>
      <c r="H14" s="20">
        <f>B14*G14</f>
        <v/>
      </c>
      <c r="I14" t="inlineStr">
        <is>
          <t>Bahumana, monsoon tins</t>
        </is>
      </c>
    </row>
    <row r="15">
      <c r="A15" t="inlineStr">
        <is>
          <t>QSR royalty (R12)</t>
        </is>
      </c>
      <c r="B15" s="19" t="n">
        <v>0</v>
      </c>
      <c r="C15" s="19" t="n">
        <v>0</v>
      </c>
      <c r="D15" s="20">
        <f>B15*C15</f>
        <v/>
      </c>
      <c r="E15" s="19" t="n">
        <v>0</v>
      </c>
      <c r="F15" s="20">
        <f>D15*E15</f>
        <v/>
      </c>
      <c r="G15" s="21" t="n">
        <v>1</v>
      </c>
      <c r="H15" s="20">
        <f>B15*G15</f>
        <v/>
      </c>
      <c r="I15" t="inlineStr">
        <is>
          <t>Year 2 pilots; Year 3 royalty modelled separately</t>
        </is>
      </c>
    </row>
    <row r="16">
      <c r="A16" s="6" t="inlineStr">
        <is>
          <t>Total revenue</t>
        </is>
      </c>
      <c r="B16" s="22">
        <f>SUM(B3:B15)</f>
        <v/>
      </c>
      <c r="C16" s="6" t="inlineStr"/>
      <c r="D16" s="22">
        <f>SUM(D3:D15)</f>
        <v/>
      </c>
      <c r="E16" s="6" t="inlineStr"/>
      <c r="F16" s="22">
        <f>SUM(F3:F15)</f>
        <v/>
      </c>
      <c r="G16" s="8">
        <f>H16/B16</f>
        <v/>
      </c>
      <c r="H16" s="22">
        <f>SUM(H3:H15)</f>
        <v/>
      </c>
      <c r="I16" s="6" t="inlineStr"/>
    </row>
    <row r="17"/>
    <row r="18">
      <c r="A18" s="18" t="inlineStr">
        <is>
          <t>Year-1 incremental operating costs</t>
        </is>
      </c>
      <c r="B18" s="18" t="inlineStr">
        <is>
          <t>₹ lakh</t>
        </is>
      </c>
      <c r="C18" s="18" t="inlineStr">
        <is>
          <t>Note</t>
        </is>
      </c>
      <c r="D18" s="18" t="n"/>
      <c r="E18" s="18" t="n"/>
      <c r="F18" s="18" t="n"/>
      <c r="G18" s="18" t="n"/>
      <c r="H18" s="18" t="n"/>
      <c r="I18" s="18" t="n"/>
    </row>
    <row r="19">
      <c r="A19" t="inlineStr">
        <is>
          <t>Additional staff salaries</t>
        </is>
      </c>
      <c r="B19" s="19" t="n">
        <v>24</v>
      </c>
      <c r="C19" t="inlineStr">
        <is>
          <t>1 order coordinator now + seasonal cooks + sales exec (Phase 2)</t>
        </is>
      </c>
    </row>
    <row r="20">
      <c r="A20" t="inlineStr">
        <is>
          <t>Marketing (ads, content, samples)</t>
        </is>
      </c>
      <c r="B20" s="19" t="n">
        <v>12</v>
      </c>
      <c r="C20" t="inlineStr">
        <is>
          <t>≈5% of revenue</t>
        </is>
      </c>
    </row>
    <row r="21">
      <c r="A21" t="inlineStr">
        <is>
          <t>Packaging design &amp; moulds</t>
        </is>
      </c>
      <c r="B21" s="19" t="n">
        <v>3</v>
      </c>
      <c r="C21" t="inlineStr">
        <is>
          <t>One-time catalogue, dies, stickers</t>
        </is>
      </c>
    </row>
    <row r="22">
      <c r="A22" t="inlineStr">
        <is>
          <t>Pagodas &amp; stall kits</t>
        </is>
      </c>
      <c r="B22" s="19" t="n">
        <v>6</v>
      </c>
      <c r="C22" t="inlineStr">
        <is>
          <t>Rain-proof pagodas, tables, signage, POS</t>
        </is>
      </c>
    </row>
    <row r="23">
      <c r="A23" t="inlineStr">
        <is>
          <t>Technology (Shopify, apps, POS, CRM)</t>
        </is>
      </c>
      <c r="B23" s="19" t="n">
        <v>3</v>
      </c>
      <c r="C23" t="inlineStr">
        <is>
          <t>Subscriptions and integrations</t>
        </is>
      </c>
    </row>
    <row r="24">
      <c r="A24" t="inlineStr">
        <is>
          <t>Utilities &amp; kitchen overheads (allocated)</t>
        </is>
      </c>
      <c r="B24" s="19" t="n">
        <v>8</v>
      </c>
      <c r="C24" t="inlineStr">
        <is>
          <t>Power, gas, water, maintenance</t>
        </is>
      </c>
    </row>
    <row r="25">
      <c r="A25" t="inlineStr">
        <is>
          <t>Compliance, testing, licences</t>
        </is>
      </c>
      <c r="B25" s="19" t="n">
        <v>2</v>
      </c>
      <c r="C25" t="inlineStr">
        <is>
          <t>Shelf-life tests, FSSAI, audits</t>
        </is>
      </c>
    </row>
    <row r="26">
      <c r="A26" t="inlineStr">
        <is>
          <t>Logistics not charged to customers</t>
        </is>
      </c>
      <c r="B26" s="19" t="n">
        <v>5</v>
      </c>
      <c r="C26" t="inlineStr">
        <is>
          <t>Free-shipping offers, B2B deliveries</t>
        </is>
      </c>
    </row>
    <row r="27">
      <c r="A27" t="inlineStr">
        <is>
          <t>Contingency</t>
        </is>
      </c>
      <c r="B27" s="19" t="n">
        <v>4</v>
      </c>
      <c r="C27" t="inlineStr">
        <is>
          <t>≈5%</t>
        </is>
      </c>
    </row>
    <row r="28">
      <c r="A28" s="2" t="inlineStr">
        <is>
          <t>Total opex</t>
        </is>
      </c>
      <c r="B28" s="23">
        <f>SUM(B19:B27)</f>
        <v/>
      </c>
    </row>
    <row r="29"/>
    <row r="30">
      <c r="A30" s="18" t="inlineStr">
        <is>
          <t>Year-1 summary</t>
        </is>
      </c>
      <c r="B30" s="18" t="inlineStr">
        <is>
          <t>₹ lakh</t>
        </is>
      </c>
      <c r="C30" s="18" t="n"/>
      <c r="D30" s="18" t="n"/>
      <c r="E30" s="18" t="n"/>
      <c r="F30" s="18" t="n"/>
      <c r="G30" s="18" t="n"/>
      <c r="H30" s="18" t="n"/>
      <c r="I30" s="18" t="n"/>
    </row>
    <row r="31">
      <c r="A31" t="inlineStr">
        <is>
          <t>Gross revenue</t>
        </is>
      </c>
      <c r="B31" s="20">
        <f>B16</f>
        <v/>
      </c>
    </row>
    <row r="32">
      <c r="A32" t="inlineStr">
        <is>
          <t>Gross profit</t>
        </is>
      </c>
      <c r="B32" s="20">
        <f>H16</f>
        <v/>
      </c>
    </row>
    <row r="33">
      <c r="A33" t="inlineStr">
        <is>
          <t>Operating costs</t>
        </is>
      </c>
      <c r="B33" s="20">
        <f>B28</f>
        <v/>
      </c>
    </row>
    <row r="34">
      <c r="A34" s="2" t="inlineStr">
        <is>
          <t>Net contribution (before capex)</t>
        </is>
      </c>
      <c r="B34" s="23">
        <f>H16-B28</f>
        <v/>
      </c>
    </row>
    <row r="35">
      <c r="A35" t="inlineStr">
        <is>
          <t>Net margin %</t>
        </is>
      </c>
      <c r="B35" s="24">
        <f>B34/B16</f>
        <v/>
      </c>
    </row>
    <row r="36"/>
    <row r="37">
      <c r="A37" s="18" t="inlineStr">
        <is>
          <t>Capex item</t>
        </is>
      </c>
      <c r="B37" s="18" t="inlineStr">
        <is>
          <t>Estimate</t>
        </is>
      </c>
      <c r="C37" s="18" t="inlineStr">
        <is>
          <t>When</t>
        </is>
      </c>
      <c r="D37" s="18" t="n"/>
      <c r="E37" s="18" t="n"/>
      <c r="F37" s="18" t="n"/>
      <c r="G37" s="18" t="n"/>
      <c r="H37" s="18" t="n"/>
      <c r="I37" s="18" t="n"/>
    </row>
    <row r="38">
      <c r="A38" t="inlineStr">
        <is>
          <t>Small machines (chikki cutter, laddu maker, sealing, packing)</t>
        </is>
      </c>
      <c r="B38" t="inlineStr">
        <is>
          <t>₹8–15 L</t>
        </is>
      </c>
      <c r="C38" t="inlineStr">
        <is>
          <t>Phase 2–3</t>
        </is>
      </c>
    </row>
    <row r="39">
      <c r="A39" t="inlineStr">
        <is>
          <t>Permanent pagodas (8–12 units)</t>
        </is>
      </c>
      <c r="B39" t="inlineStr">
        <is>
          <t>₹6–12 L</t>
        </is>
      </c>
      <c r="C39" t="inlineStr">
        <is>
          <t>Phase 3</t>
        </is>
      </c>
    </row>
    <row r="40">
      <c r="A40" t="inlineStr">
        <is>
          <t>Storage racks, dehumidifier, weighing &amp; labelling</t>
        </is>
      </c>
      <c r="B40" t="inlineStr">
        <is>
          <t>₹3–5 L</t>
        </is>
      </c>
      <c r="C40" t="inlineStr">
        <is>
          <t>Phase 2</t>
        </is>
      </c>
    </row>
    <row r="41">
      <c r="A41" t="inlineStr">
        <is>
          <t>Dedicated production unit fit-out</t>
        </is>
      </c>
      <c r="B41" t="inlineStr">
        <is>
          <t>₹50 L–1.5 Cr</t>
        </is>
      </c>
      <c r="C41" t="inlineStr">
        <is>
          <t>Phase 4 (only after demand is proven)</t>
        </is>
      </c>
    </row>
    <row r="42">
      <c r="A42" t="inlineStr">
        <is>
          <t>Delivery vehicle</t>
        </is>
      </c>
      <c r="B42" t="inlineStr">
        <is>
          <t>₹8–12 L</t>
        </is>
      </c>
      <c r="C42" t="inlineStr">
        <is>
          <t>Phase 3–4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2" customWidth="1" min="7" max="7"/>
    <col width="10" customWidth="1" min="8" max="8"/>
  </cols>
  <sheetData>
    <row r="1">
      <c r="A1" s="4" t="inlineStr">
        <is>
          <t>Item</t>
        </is>
      </c>
      <c r="B1" s="4" t="inlineStr">
        <is>
          <t>MRP ₹ (incl. 5% GST)</t>
        </is>
      </c>
      <c r="C1" s="4" t="inlineStr">
        <is>
          <t>Net of GST</t>
        </is>
      </c>
      <c r="D1" s="4" t="inlineStr">
        <is>
          <t>Ingredients</t>
        </is>
      </c>
      <c r="E1" s="4" t="inlineStr">
        <is>
          <t>Packaging</t>
        </is>
      </c>
      <c r="F1" s="4" t="inlineStr">
        <is>
          <t>Labour &amp; overhead</t>
        </is>
      </c>
      <c r="G1" s="4" t="inlineStr">
        <is>
          <t>Gross profit</t>
        </is>
      </c>
      <c r="H1" s="4" t="inlineStr">
        <is>
          <t>GM %</t>
        </is>
      </c>
    </row>
    <row r="2">
      <c r="A2" s="11" t="inlineStr">
        <is>
          <t>Seva box (₹350)</t>
        </is>
      </c>
      <c r="B2" s="17" t="n">
        <v>350</v>
      </c>
      <c r="C2" s="25">
        <f>B2/1.05</f>
        <v/>
      </c>
      <c r="D2" s="17" t="n">
        <v>140</v>
      </c>
      <c r="E2" s="17" t="n">
        <v>35</v>
      </c>
      <c r="F2" s="17" t="n">
        <v>50</v>
      </c>
      <c r="G2" s="25">
        <f>C2-D2-E2-F2</f>
        <v/>
      </c>
      <c r="H2" s="26">
        <f>G2/C2</f>
        <v/>
      </c>
    </row>
    <row r="3">
      <c r="A3" s="11" t="inlineStr">
        <is>
          <t>Utsav box (₹900)</t>
        </is>
      </c>
      <c r="B3" s="17" t="n">
        <v>900</v>
      </c>
      <c r="C3" s="25">
        <f>B3/1.05</f>
        <v/>
      </c>
      <c r="D3" s="17" t="n">
        <v>360</v>
      </c>
      <c r="E3" s="17" t="n">
        <v>90</v>
      </c>
      <c r="F3" s="17" t="n">
        <v>110</v>
      </c>
      <c r="G3" s="25">
        <f>C3-D3-E3-F3</f>
        <v/>
      </c>
      <c r="H3" s="26">
        <f>G3/C3</f>
        <v/>
      </c>
    </row>
    <row r="4">
      <c r="A4" s="11" t="inlineStr">
        <is>
          <t>Vaikuntha box (₹2,000)</t>
        </is>
      </c>
      <c r="B4" s="17" t="n">
        <v>2000</v>
      </c>
      <c r="C4" s="25">
        <f>B4/1.05</f>
        <v/>
      </c>
      <c r="D4" s="17" t="n">
        <v>850</v>
      </c>
      <c r="E4" s="17" t="n">
        <v>300</v>
      </c>
      <c r="F4" s="17" t="n">
        <v>200</v>
      </c>
      <c r="G4" s="25">
        <f>C4-D4-E4-F4</f>
        <v/>
      </c>
      <c r="H4" s="26">
        <f>G4/C4</f>
        <v/>
      </c>
    </row>
    <row r="5">
      <c r="A5" s="11" t="inlineStr">
        <is>
          <t>Chikki 200 g (₹80)</t>
        </is>
      </c>
      <c r="B5" s="17" t="n">
        <v>80</v>
      </c>
      <c r="C5" s="25">
        <f>B5/1.05</f>
        <v/>
      </c>
      <c r="D5" s="17" t="n">
        <v>32</v>
      </c>
      <c r="E5" s="17" t="n">
        <v>8</v>
      </c>
      <c r="F5" s="17" t="n">
        <v>12</v>
      </c>
      <c r="G5" s="25">
        <f>C5-D5-E5-F5</f>
        <v/>
      </c>
      <c r="H5" s="26">
        <f>G5/C5</f>
        <v/>
      </c>
    </row>
    <row r="6">
      <c r="A6" s="11" t="inlineStr">
        <is>
          <t>Namkeen 500 g (₹180)</t>
        </is>
      </c>
      <c r="B6" s="17" t="n">
        <v>180</v>
      </c>
      <c r="C6" s="25">
        <f>B6/1.05</f>
        <v/>
      </c>
      <c r="D6" s="17" t="n">
        <v>75</v>
      </c>
      <c r="E6" s="17" t="n">
        <v>12</v>
      </c>
      <c r="F6" s="17" t="n">
        <v>25</v>
      </c>
      <c r="G6" s="25">
        <f>C6-D6-E6-F6</f>
        <v/>
      </c>
      <c r="H6" s="26">
        <f>G6/C6</f>
        <v/>
      </c>
    </row>
    <row r="7">
      <c r="A7" s="11" t="inlineStr">
        <is>
          <t>Festival combo (₹200)</t>
        </is>
      </c>
      <c r="B7" s="17" t="n">
        <v>200</v>
      </c>
      <c r="C7" s="25">
        <f>B7/1.05</f>
        <v/>
      </c>
      <c r="D7" s="17" t="n">
        <v>80</v>
      </c>
      <c r="E7" s="17" t="n">
        <v>12</v>
      </c>
      <c r="F7" s="17" t="n">
        <v>28</v>
      </c>
      <c r="G7" s="25">
        <f>C7-D7-E7-F7</f>
        <v/>
      </c>
      <c r="H7" s="26">
        <f>G7/C7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0" customWidth="1" min="2" max="2"/>
    <col width="10" customWidth="1" min="3" max="3"/>
    <col width="11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4" t="inlineStr">
        <is>
          <t>KPI</t>
        </is>
      </c>
      <c r="B1" s="4" t="inlineStr">
        <is>
          <t>Definition</t>
        </is>
      </c>
      <c r="C1" s="4" t="inlineStr">
        <is>
          <t>Unit</t>
        </is>
      </c>
      <c r="D1" s="4" t="inlineStr">
        <is>
          <t>Frequency</t>
        </is>
      </c>
      <c r="E1" s="4" t="inlineStr">
        <is>
          <t>Target</t>
        </is>
      </c>
      <c r="F1" s="4" t="inlineStr">
        <is>
          <t>Oct-26</t>
        </is>
      </c>
      <c r="G1" s="4" t="inlineStr">
        <is>
          <t>Nov-26</t>
        </is>
      </c>
      <c r="H1" s="4" t="inlineStr">
        <is>
          <t>Dec-26</t>
        </is>
      </c>
      <c r="I1" s="4" t="inlineStr">
        <is>
          <t>Jan-27</t>
        </is>
      </c>
      <c r="J1" s="4" t="inlineStr">
        <is>
          <t>Feb-27</t>
        </is>
      </c>
      <c r="K1" s="4" t="inlineStr">
        <is>
          <t>Mar-27</t>
        </is>
      </c>
      <c r="L1" s="4" t="inlineStr">
        <is>
          <t>Apr-27</t>
        </is>
      </c>
      <c r="M1" s="4" t="inlineStr">
        <is>
          <t>May-27</t>
        </is>
      </c>
      <c r="N1" s="4" t="inlineStr">
        <is>
          <t>Jun-27</t>
        </is>
      </c>
      <c r="O1" s="4" t="inlineStr">
        <is>
          <t>Jul-27</t>
        </is>
      </c>
      <c r="P1" s="4" t="inlineStr">
        <is>
          <t>Aug-27</t>
        </is>
      </c>
      <c r="Q1" s="4" t="inlineStr">
        <is>
          <t>Sep-27</t>
        </is>
      </c>
    </row>
    <row r="2">
      <c r="A2" s="11" t="inlineStr">
        <is>
          <t>Revenue</t>
        </is>
      </c>
      <c r="B2" s="11" t="inlineStr">
        <is>
          <t>Monthly gross revenue by stream</t>
        </is>
      </c>
      <c r="C2" s="11" t="inlineStr">
        <is>
          <t>₹ lakh</t>
        </is>
      </c>
      <c r="D2" s="11" t="inlineStr">
        <is>
          <t>Monthly</t>
        </is>
      </c>
      <c r="E2" s="27" t="inlineStr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</row>
    <row r="3">
      <c r="A3" s="11" t="inlineStr">
        <is>
          <t>Gross margin</t>
        </is>
      </c>
      <c r="B3" s="11" t="inlineStr">
        <is>
          <t>Revenue minus ingredients, packaging, direct labour</t>
        </is>
      </c>
      <c r="C3" s="11" t="inlineStr">
        <is>
          <t>%</t>
        </is>
      </c>
      <c r="D3" s="11" t="inlineStr">
        <is>
          <t>Monthly</t>
        </is>
      </c>
      <c r="E3" s="27" t="inlineStr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27" t="n"/>
      <c r="Q3" s="27" t="n"/>
    </row>
    <row r="4">
      <c r="A4" s="11" t="inlineStr">
        <is>
          <t>ROI</t>
        </is>
      </c>
      <c r="B4" s="11" t="inlineStr">
        <is>
          <t>(Contribution − DMTT &amp; marketing cost) ÷ total invested cost</t>
        </is>
      </c>
      <c r="C4" s="11" t="inlineStr">
        <is>
          <t>%</t>
        </is>
      </c>
      <c r="D4" s="11" t="inlineStr">
        <is>
          <t>Monthly</t>
        </is>
      </c>
      <c r="E4" s="27" t="inlineStr"/>
      <c r="F4" s="27" t="n"/>
      <c r="G4" s="27" t="n"/>
      <c r="H4" s="27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</row>
    <row r="5">
      <c r="A5" s="11" t="inlineStr">
        <is>
          <t>Hours invested</t>
        </is>
      </c>
      <c r="B5" s="11" t="inlineStr">
        <is>
          <t>Hours spent by DMTT, production, sales on the vertical</t>
        </is>
      </c>
      <c r="C5" s="11" t="inlineStr">
        <is>
          <t>hours</t>
        </is>
      </c>
      <c r="D5" s="11" t="inlineStr">
        <is>
          <t>Weekly</t>
        </is>
      </c>
      <c r="E5" s="27" t="inlineStr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</row>
    <row r="6">
      <c r="A6" s="11" t="inlineStr">
        <is>
          <t>Festival sales</t>
        </is>
      </c>
      <c r="B6" s="11" t="inlineStr">
        <is>
          <t>Sales per festival and per stall-hour</t>
        </is>
      </c>
      <c r="C6" s="11" t="inlineStr">
        <is>
          <t>₹</t>
        </is>
      </c>
      <c r="D6" s="11" t="inlineStr">
        <is>
          <t>Per event</t>
        </is>
      </c>
      <c r="E6" s="27" t="inlineStr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</row>
    <row r="7">
      <c r="A7" s="11" t="inlineStr">
        <is>
          <t>Corporate pipeline</t>
        </is>
      </c>
      <c r="B7" s="11" t="inlineStr">
        <is>
          <t>Leads, meetings, proposals, POs, boxes</t>
        </is>
      </c>
      <c r="C7" s="11" t="inlineStr">
        <is>
          <t>count</t>
        </is>
      </c>
      <c r="D7" s="11" t="inlineStr">
        <is>
          <t>Weekly</t>
        </is>
      </c>
      <c r="E7" s="27" t="inlineStr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</row>
    <row r="8">
      <c r="A8" s="11" t="inlineStr">
        <is>
          <t>Online</t>
        </is>
      </c>
      <c r="B8" s="11" t="inlineStr">
        <is>
          <t>Orders, conversion rate, CAC, ROAS, repeat rate</t>
        </is>
      </c>
      <c r="C8" s="11" t="inlineStr">
        <is>
          <t>various</t>
        </is>
      </c>
      <c r="D8" s="11" t="inlineStr">
        <is>
          <t>Weekly</t>
        </is>
      </c>
      <c r="E8" s="27" t="inlineStr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</row>
    <row r="9">
      <c r="A9" s="11" t="inlineStr">
        <is>
          <t>Operations</t>
        </is>
      </c>
      <c r="B9" s="11" t="inlineStr">
        <is>
          <t>On-time delivery %, order fill rate, spoilage %</t>
        </is>
      </c>
      <c r="C9" s="11" t="inlineStr">
        <is>
          <t>%</t>
        </is>
      </c>
      <c r="D9" s="11" t="inlineStr">
        <is>
          <t>Weekly</t>
        </is>
      </c>
      <c r="E9" s="27" t="inlineStr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</row>
    <row r="10">
      <c r="A10" s="11" t="inlineStr">
        <is>
          <t>Quality</t>
        </is>
      </c>
      <c r="B10" s="11" t="inlineStr">
        <is>
          <t>Complaints per 1,000 orders; audit score</t>
        </is>
      </c>
      <c r="C10" s="11" t="inlineStr">
        <is>
          <t>count / score</t>
        </is>
      </c>
      <c r="D10" s="11" t="inlineStr">
        <is>
          <t>Monthly</t>
        </is>
      </c>
      <c r="E10" s="27" t="inlineStr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</row>
    <row r="11">
      <c r="A11" s="11" t="inlineStr">
        <is>
          <t>Customer</t>
        </is>
      </c>
      <c r="B11" s="11" t="inlineStr">
        <is>
          <t>Rating, NPS, repeat B2B clients</t>
        </is>
      </c>
      <c r="C11" s="11" t="inlineStr">
        <is>
          <t>score</t>
        </is>
      </c>
      <c r="D11" s="11" t="inlineStr">
        <is>
          <t>Quarterly</t>
        </is>
      </c>
      <c r="E11" s="27" t="inlineStr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0" customWidth="1" min="9" max="9"/>
    <col width="12" customWidth="1" min="10" max="10"/>
    <col width="10" customWidth="1" min="11" max="11"/>
    <col width="11" customWidth="1" min="12" max="12"/>
    <col width="14" customWidth="1" min="13" max="13"/>
    <col width="14" customWidth="1" min="14" max="14"/>
    <col width="9" customWidth="1" min="15" max="15"/>
  </cols>
  <sheetData>
    <row r="1">
      <c r="A1" s="4" t="inlineStr">
        <is>
          <t>Month</t>
        </is>
      </c>
      <c r="B1" s="4" t="inlineStr">
        <is>
          <t>Stream (R1–R14)</t>
        </is>
      </c>
      <c r="C1" s="4" t="inlineStr">
        <is>
          <t>Revenue ₹</t>
        </is>
      </c>
      <c r="D1" s="4" t="inlineStr">
        <is>
          <t>Ingredients ₹</t>
        </is>
      </c>
      <c r="E1" s="4" t="inlineStr">
        <is>
          <t>Packaging ₹</t>
        </is>
      </c>
      <c r="F1" s="4" t="inlineStr">
        <is>
          <t>Direct labour ₹</t>
        </is>
      </c>
      <c r="G1" s="4" t="inlineStr">
        <is>
          <t>Marketing ₹</t>
        </is>
      </c>
      <c r="H1" s="4" t="inlineStr">
        <is>
          <t>Overheads ₹</t>
        </is>
      </c>
      <c r="I1" s="4" t="inlineStr">
        <is>
          <t>DMTT hours</t>
        </is>
      </c>
      <c r="J1" s="4" t="inlineStr">
        <is>
          <t>Production hours</t>
        </is>
      </c>
      <c r="K1" s="4" t="inlineStr">
        <is>
          <t>Sales hours</t>
        </is>
      </c>
      <c r="L1" s="4" t="inlineStr">
        <is>
          <t>Hourly cost ₹</t>
        </is>
      </c>
      <c r="M1" s="4" t="inlineStr">
        <is>
          <t>Value of hours ₹</t>
        </is>
      </c>
      <c r="N1" s="4" t="inlineStr">
        <is>
          <t>Contribution ₹</t>
        </is>
      </c>
      <c r="O1" s="4" t="inlineStr">
        <is>
          <t>ROI %</t>
        </is>
      </c>
    </row>
    <row r="2">
      <c r="A2" s="28" t="n"/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>
        <f>IF(L2="","",(I2+J2+K2)*L2)</f>
        <v/>
      </c>
      <c r="N2">
        <f>IF(C2="","",C2-SUM(D2:H2)-N(M2))</f>
        <v/>
      </c>
      <c r="O2" s="10">
        <f>IF(C2="","",N2/(SUM(D2:H2)+N(M2)))</f>
        <v/>
      </c>
    </row>
    <row r="3">
      <c r="A3" s="28" t="n"/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>
        <f>IF(L3="","",(I3+J3+K3)*L3)</f>
        <v/>
      </c>
      <c r="N3">
        <f>IF(C3="","",C3-SUM(D3:H3)-N(M3))</f>
        <v/>
      </c>
      <c r="O3" s="10">
        <f>IF(C3="","",N3/(SUM(D3:H3)+N(M3)))</f>
        <v/>
      </c>
    </row>
    <row r="4">
      <c r="A4" s="28" t="n"/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>
        <f>IF(L4="","",(I4+J4+K4)*L4)</f>
        <v/>
      </c>
      <c r="N4">
        <f>IF(C4="","",C4-SUM(D4:H4)-N(M4))</f>
        <v/>
      </c>
      <c r="O4" s="10">
        <f>IF(C4="","",N4/(SUM(D4:H4)+N(M4)))</f>
        <v/>
      </c>
    </row>
    <row r="5">
      <c r="A5" s="28" t="n"/>
      <c r="B5" s="28" t="n"/>
      <c r="C5" s="28" t="n"/>
      <c r="D5" s="28" t="n"/>
      <c r="E5" s="28" t="n"/>
      <c r="F5" s="28" t="n"/>
      <c r="G5" s="28" t="n"/>
      <c r="H5" s="28" t="n"/>
      <c r="I5" s="28" t="n"/>
      <c r="J5" s="28" t="n"/>
      <c r="K5" s="28" t="n"/>
      <c r="L5" s="28" t="n"/>
      <c r="M5">
        <f>IF(L5="","",(I5+J5+K5)*L5)</f>
        <v/>
      </c>
      <c r="N5">
        <f>IF(C5="","",C5-SUM(D5:H5)-N(M5))</f>
        <v/>
      </c>
      <c r="O5" s="10">
        <f>IF(C5="","",N5/(SUM(D5:H5)+N(M5)))</f>
        <v/>
      </c>
    </row>
    <row r="6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>
        <f>IF(L6="","",(I6+J6+K6)*L6)</f>
        <v/>
      </c>
      <c r="N6">
        <f>IF(C6="","",C6-SUM(D6:H6)-N(M6))</f>
        <v/>
      </c>
      <c r="O6" s="10">
        <f>IF(C6="","",N6/(SUM(D6:H6)+N(M6)))</f>
        <v/>
      </c>
    </row>
    <row r="7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>
        <f>IF(L7="","",(I7+J7+K7)*L7)</f>
        <v/>
      </c>
      <c r="N7">
        <f>IF(C7="","",C7-SUM(D7:H7)-N(M7))</f>
        <v/>
      </c>
      <c r="O7" s="10">
        <f>IF(C7="","",N7/(SUM(D7:H7)+N(M7)))</f>
        <v/>
      </c>
    </row>
    <row r="8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>
        <f>IF(L8="","",(I8+J8+K8)*L8)</f>
        <v/>
      </c>
      <c r="N8">
        <f>IF(C8="","",C8-SUM(D8:H8)-N(M8))</f>
        <v/>
      </c>
      <c r="O8" s="10">
        <f>IF(C8="","",N8/(SUM(D8:H8)+N(M8)))</f>
        <v/>
      </c>
    </row>
    <row r="9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>
        <f>IF(L9="","",(I9+J9+K9)*L9)</f>
        <v/>
      </c>
      <c r="N9">
        <f>IF(C9="","",C9-SUM(D9:H9)-N(M9))</f>
        <v/>
      </c>
      <c r="O9" s="10">
        <f>IF(C9="","",N9/(SUM(D9:H9)+N(M9)))</f>
        <v/>
      </c>
    </row>
    <row r="10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>
        <f>IF(L10="","",(I10+J10+K10)*L10)</f>
        <v/>
      </c>
      <c r="N10">
        <f>IF(C10="","",C10-SUM(D10:H10)-N(M10))</f>
        <v/>
      </c>
      <c r="O10" s="10">
        <f>IF(C10="","",N10/(SUM(D10:H10)+N(M10)))</f>
        <v/>
      </c>
    </row>
    <row r="11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>
        <f>IF(L11="","",(I11+J11+K11)*L11)</f>
        <v/>
      </c>
      <c r="N11">
        <f>IF(C11="","",C11-SUM(D11:H11)-N(M11))</f>
        <v/>
      </c>
      <c r="O11" s="10">
        <f>IF(C11="","",N11/(SUM(D11:H11)+N(M11)))</f>
        <v/>
      </c>
    </row>
    <row r="12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>
        <f>IF(L12="","",(I12+J12+K12)*L12)</f>
        <v/>
      </c>
      <c r="N12">
        <f>IF(C12="","",C12-SUM(D12:H12)-N(M12))</f>
        <v/>
      </c>
      <c r="O12" s="10">
        <f>IF(C12="","",N12/(SUM(D12:H12)+N(M12)))</f>
        <v/>
      </c>
    </row>
    <row r="13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>
        <f>IF(L13="","",(I13+J13+K13)*L13)</f>
        <v/>
      </c>
      <c r="N13">
        <f>IF(C13="","",C13-SUM(D13:H13)-N(M13))</f>
        <v/>
      </c>
      <c r="O13" s="10">
        <f>IF(C13="","",N13/(SUM(D13:H13)+N(M13)))</f>
        <v/>
      </c>
    </row>
    <row r="14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>
        <f>IF(L14="","",(I14+J14+K14)*L14)</f>
        <v/>
      </c>
      <c r="N14">
        <f>IF(C14="","",C14-SUM(D14:H14)-N(M14))</f>
        <v/>
      </c>
      <c r="O14" s="10">
        <f>IF(C14="","",N14/(SUM(D14:H14)+N(M14)))</f>
        <v/>
      </c>
    </row>
    <row r="15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>
        <f>IF(L15="","",(I15+J15+K15)*L15)</f>
        <v/>
      </c>
      <c r="N15">
        <f>IF(C15="","",C15-SUM(D15:H15)-N(M15))</f>
        <v/>
      </c>
      <c r="O15" s="10">
        <f>IF(C15="","",N15/(SUM(D15:H15)+N(M15)))</f>
        <v/>
      </c>
    </row>
    <row r="16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>
        <f>IF(L16="","",(I16+J16+K16)*L16)</f>
        <v/>
      </c>
      <c r="N16">
        <f>IF(C16="","",C16-SUM(D16:H16)-N(M16))</f>
        <v/>
      </c>
      <c r="O16" s="10">
        <f>IF(C16="","",N16/(SUM(D16:H16)+N(M16)))</f>
        <v/>
      </c>
    </row>
    <row r="17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>
        <f>IF(L17="","",(I17+J17+K17)*L17)</f>
        <v/>
      </c>
      <c r="N17">
        <f>IF(C17="","",C17-SUM(D17:H17)-N(M17))</f>
        <v/>
      </c>
      <c r="O17" s="10">
        <f>IF(C17="","",N17/(SUM(D17:H17)+N(M17)))</f>
        <v/>
      </c>
    </row>
    <row r="18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>
        <f>IF(L18="","",(I18+J18+K18)*L18)</f>
        <v/>
      </c>
      <c r="N18">
        <f>IF(C18="","",C18-SUM(D18:H18)-N(M18))</f>
        <v/>
      </c>
      <c r="O18" s="10">
        <f>IF(C18="","",N18/(SUM(D18:H18)+N(M18)))</f>
        <v/>
      </c>
    </row>
    <row r="19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>
        <f>IF(L19="","",(I19+J19+K19)*L19)</f>
        <v/>
      </c>
      <c r="N19">
        <f>IF(C19="","",C19-SUM(D19:H19)-N(M19))</f>
        <v/>
      </c>
      <c r="O19" s="10">
        <f>IF(C19="","",N19/(SUM(D19:H19)+N(M19)))</f>
        <v/>
      </c>
    </row>
    <row r="20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>
        <f>IF(L20="","",(I20+J20+K20)*L20)</f>
        <v/>
      </c>
      <c r="N20">
        <f>IF(C20="","",C20-SUM(D20:H20)-N(M20))</f>
        <v/>
      </c>
      <c r="O20" s="10">
        <f>IF(C20="","",N20/(SUM(D20:H20)+N(M20)))</f>
        <v/>
      </c>
    </row>
    <row r="21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>
        <f>IF(L21="","",(I21+J21+K21)*L21)</f>
        <v/>
      </c>
      <c r="N21">
        <f>IF(C21="","",C21-SUM(D21:H21)-N(M21))</f>
        <v/>
      </c>
      <c r="O21" s="10">
        <f>IF(C21="","",N21/(SUM(D21:H21)+N(M21)))</f>
        <v/>
      </c>
    </row>
    <row r="22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>
        <f>IF(L22="","",(I22+J22+K22)*L22)</f>
        <v/>
      </c>
      <c r="N22">
        <f>IF(C22="","",C22-SUM(D22:H22)-N(M22))</f>
        <v/>
      </c>
      <c r="O22" s="10">
        <f>IF(C22="","",N22/(SUM(D22:H22)+N(M22)))</f>
        <v/>
      </c>
    </row>
    <row r="23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>
        <f>IF(L23="","",(I23+J23+K23)*L23)</f>
        <v/>
      </c>
      <c r="N23">
        <f>IF(C23="","",C23-SUM(D23:H23)-N(M23))</f>
        <v/>
      </c>
      <c r="O23" s="10">
        <f>IF(C23="","",N23/(SUM(D23:H23)+N(M23)))</f>
        <v/>
      </c>
    </row>
    <row r="24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>
        <f>IF(L24="","",(I24+J24+K24)*L24)</f>
        <v/>
      </c>
      <c r="N24">
        <f>IF(C24="","",C24-SUM(D24:H24)-N(M24))</f>
        <v/>
      </c>
      <c r="O24" s="10">
        <f>IF(C24="","",N24/(SUM(D24:H24)+N(M24)))</f>
        <v/>
      </c>
    </row>
    <row r="25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>
        <f>IF(L25="","",(I25+J25+K25)*L25)</f>
        <v/>
      </c>
      <c r="N25">
        <f>IF(C25="","",C25-SUM(D25:H25)-N(M25))</f>
        <v/>
      </c>
      <c r="O25" s="10">
        <f>IF(C25="","",N25/(SUM(D25:H25)+N(M25)))</f>
        <v/>
      </c>
    </row>
    <row r="26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>
        <f>IF(L26="","",(I26+J26+K26)*L26)</f>
        <v/>
      </c>
      <c r="N26">
        <f>IF(C26="","",C26-SUM(D26:H26)-N(M26))</f>
        <v/>
      </c>
      <c r="O26" s="10">
        <f>IF(C26="","",N26/(SUM(D26:H26)+N(M26)))</f>
        <v/>
      </c>
    </row>
    <row r="27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>
        <f>IF(L27="","",(I27+J27+K27)*L27)</f>
        <v/>
      </c>
      <c r="N27">
        <f>IF(C27="","",C27-SUM(D27:H27)-N(M27))</f>
        <v/>
      </c>
      <c r="O27" s="10">
        <f>IF(C27="","",N27/(SUM(D27:H27)+N(M27)))</f>
        <v/>
      </c>
    </row>
    <row r="28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>
        <f>IF(L28="","",(I28+J28+K28)*L28)</f>
        <v/>
      </c>
      <c r="N28">
        <f>IF(C28="","",C28-SUM(D28:H28)-N(M28))</f>
        <v/>
      </c>
      <c r="O28" s="10">
        <f>IF(C28="","",N28/(SUM(D28:H28)+N(M28)))</f>
        <v/>
      </c>
    </row>
    <row r="29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>
        <f>IF(L29="","",(I29+J29+K29)*L29)</f>
        <v/>
      </c>
      <c r="N29">
        <f>IF(C29="","",C29-SUM(D29:H29)-N(M29))</f>
        <v/>
      </c>
      <c r="O29" s="10">
        <f>IF(C29="","",N29/(SUM(D29:H29)+N(M29)))</f>
        <v/>
      </c>
    </row>
    <row r="30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>
        <f>IF(L30="","",(I30+J30+K30)*L30)</f>
        <v/>
      </c>
      <c r="N30">
        <f>IF(C30="","",C30-SUM(D30:H30)-N(M30))</f>
        <v/>
      </c>
      <c r="O30" s="10">
        <f>IF(C30="","",N30/(SUM(D30:H30)+N(M30)))</f>
        <v/>
      </c>
    </row>
    <row r="31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>
        <f>IF(L31="","",(I31+J31+K31)*L31)</f>
        <v/>
      </c>
      <c r="N31">
        <f>IF(C31="","",C31-SUM(D31:H31)-N(M31))</f>
        <v/>
      </c>
      <c r="O31" s="10">
        <f>IF(C31="","",N31/(SUM(D31:H31)+N(M31)))</f>
        <v/>
      </c>
    </row>
    <row r="32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>
        <f>IF(L32="","",(I32+J32+K32)*L32)</f>
        <v/>
      </c>
      <c r="N32">
        <f>IF(C32="","",C32-SUM(D32:H32)-N(M32))</f>
        <v/>
      </c>
      <c r="O32" s="10">
        <f>IF(C32="","",N32/(SUM(D32:H32)+N(M32)))</f>
        <v/>
      </c>
    </row>
    <row r="33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>
        <f>IF(L33="","",(I33+J33+K33)*L33)</f>
        <v/>
      </c>
      <c r="N33">
        <f>IF(C33="","",C33-SUM(D33:H33)-N(M33))</f>
        <v/>
      </c>
      <c r="O33" s="10">
        <f>IF(C33="","",N33/(SUM(D33:H33)+N(M33)))</f>
        <v/>
      </c>
    </row>
    <row r="34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>
        <f>IF(L34="","",(I34+J34+K34)*L34)</f>
        <v/>
      </c>
      <c r="N34">
        <f>IF(C34="","",C34-SUM(D34:H34)-N(M34))</f>
        <v/>
      </c>
      <c r="O34" s="10">
        <f>IF(C34="","",N34/(SUM(D34:H34)+N(M34)))</f>
        <v/>
      </c>
    </row>
    <row r="35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>
        <f>IF(L35="","",(I35+J35+K35)*L35)</f>
        <v/>
      </c>
      <c r="N35">
        <f>IF(C35="","",C35-SUM(D35:H35)-N(M35))</f>
        <v/>
      </c>
      <c r="O35" s="10">
        <f>IF(C35="","",N35/(SUM(D35:H35)+N(M35)))</f>
        <v/>
      </c>
    </row>
    <row r="36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>
        <f>IF(L36="","",(I36+J36+K36)*L36)</f>
        <v/>
      </c>
      <c r="N36">
        <f>IF(C36="","",C36-SUM(D36:H36)-N(M36))</f>
        <v/>
      </c>
      <c r="O36" s="10">
        <f>IF(C36="","",N36/(SUM(D36:H36)+N(M36)))</f>
        <v/>
      </c>
    </row>
    <row r="37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>
        <f>IF(L37="","",(I37+J37+K37)*L37)</f>
        <v/>
      </c>
      <c r="N37">
        <f>IF(C37="","",C37-SUM(D37:H37)-N(M37))</f>
        <v/>
      </c>
      <c r="O37" s="10">
        <f>IF(C37="","",N37/(SUM(D37:H37)+N(M37)))</f>
        <v/>
      </c>
    </row>
    <row r="38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>
        <f>IF(L38="","",(I38+J38+K38)*L38)</f>
        <v/>
      </c>
      <c r="N38">
        <f>IF(C38="","",C38-SUM(D38:H38)-N(M38))</f>
        <v/>
      </c>
      <c r="O38" s="10">
        <f>IF(C38="","",N38/(SUM(D38:H38)+N(M38)))</f>
        <v/>
      </c>
    </row>
    <row r="39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>
        <f>IF(L39="","",(I39+J39+K39)*L39)</f>
        <v/>
      </c>
      <c r="N39">
        <f>IF(C39="","",C39-SUM(D39:H39)-N(M39))</f>
        <v/>
      </c>
      <c r="O39" s="10">
        <f>IF(C39="","",N39/(SUM(D39:H39)+N(M39)))</f>
        <v/>
      </c>
    </row>
    <row r="40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>
        <f>IF(L40="","",(I40+J40+K40)*L40)</f>
        <v/>
      </c>
      <c r="N40">
        <f>IF(C40="","",C40-SUM(D40:H40)-N(M40))</f>
        <v/>
      </c>
      <c r="O40" s="10">
        <f>IF(C40="","",N40/(SUM(D40:H40)+N(M40)))</f>
        <v/>
      </c>
    </row>
    <row r="41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>
        <f>IF(L41="","",(I41+J41+K41)*L41)</f>
        <v/>
      </c>
      <c r="N41">
        <f>IF(C41="","",C41-SUM(D41:H41)-N(M41))</f>
        <v/>
      </c>
      <c r="O41" s="10">
        <f>IF(C41="","",N41/(SUM(D41:H41)+N(M41)))</f>
        <v/>
      </c>
    </row>
  </sheetData>
  <dataValidations count="1">
    <dataValidation sqref="B2:B41" showDropDown="0" showInputMessage="0" showErrorMessage="0" allowBlank="1" type="list">
      <formula1>"R1,R2,R3,R4,R5,R6,R7,R8,R9,R10,R11,R12,R13,R14"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45" customWidth="1" min="3" max="3"/>
    <col width="35" customWidth="1" min="4" max="4"/>
    <col width="45" customWidth="1" min="5" max="5"/>
    <col width="12" customWidth="1" min="6" max="6"/>
    <col width="12" customWidth="1" min="7" max="7"/>
    <col width="14" customWidth="1" min="8" max="8"/>
    <col width="35" customWidth="1" min="9" max="9"/>
  </cols>
  <sheetData>
    <row r="1">
      <c r="A1" s="4" t="inlineStr">
        <is>
          <t>ID</t>
        </is>
      </c>
      <c r="B1" s="4" t="inlineStr">
        <is>
          <t>Stream</t>
        </is>
      </c>
      <c r="C1" s="4" t="inlineStr">
        <is>
          <t>What</t>
        </is>
      </c>
      <c r="D1" s="4" t="inlineStr">
        <is>
          <t>Why</t>
        </is>
      </c>
      <c r="E1" s="4" t="inlineStr">
        <is>
          <t>How</t>
        </is>
      </c>
      <c r="F1" s="4" t="inlineStr">
        <is>
          <t>Phase</t>
        </is>
      </c>
      <c r="G1" s="4" t="inlineStr">
        <is>
          <t>Capex</t>
        </is>
      </c>
      <c r="H1" s="4" t="inlineStr">
        <is>
          <t>Margin</t>
        </is>
      </c>
      <c r="I1" s="4" t="inlineStr">
        <is>
          <t>KPIs</t>
        </is>
      </c>
    </row>
    <row r="2">
      <c r="A2" s="11" t="inlineStr">
        <is>
          <t>R1</t>
        </is>
      </c>
      <c r="B2" s="11" t="inlineStr">
        <is>
          <t>Internal supply to departments</t>
        </is>
      </c>
      <c r="C2" s="11" t="inlineStr">
        <is>
          <t>Weekly standing orders to Culture Connect, LLP, online donors dispatch, corporate relations and campaigns, with one fixed delivery day and festival top-ups.</t>
        </is>
      </c>
      <c r="D2" s="11" t="inlineStr">
        <is>
          <t>Guaranteed base load for the kitchen from day one; replaces outside vendors.</t>
        </is>
      </c>
      <c r="E2" s="11" t="inlineStr">
        <is>
          <t>Order-trend analysis (6–12 months) → minimum weekly quantity per department → internal price list → order form in the system.</t>
        </is>
      </c>
      <c r="F2" s="11" t="inlineStr">
        <is>
          <t>Phase 0–1</t>
        </is>
      </c>
      <c r="G2" s="11" t="inlineStr">
        <is>
          <t>Low</t>
        </is>
      </c>
      <c r="H2" s="11" t="inlineStr">
        <is>
          <t>Low–Medium</t>
        </is>
      </c>
      <c r="I2" s="11" t="inlineStr">
        <is>
          <t>Weekly order fulfilment %, on-time %, internal cost saved vs outside vendors</t>
        </is>
      </c>
    </row>
    <row r="3">
      <c r="A3" s="11" t="inlineStr">
        <is>
          <t>R2</t>
        </is>
      </c>
      <c r="B3" s="11" t="inlineStr">
        <is>
          <t>Festival stalls and counters</t>
        </is>
      </c>
      <c r="C3" s="11" t="inlineStr">
        <is>
          <t>Rows of stalls at high-footfall points on festival days; permanent rain-proof pagodas; restaurant takes the entire lawn.</t>
        </is>
      </c>
      <c r="D3" s="11" t="inlineStr">
        <is>
          <t>Proven: Janmashtami 2026 sold out at ≈₹6 lakh with limited counters. Target 10×.</t>
        </is>
      </c>
      <c r="E3" s="11" t="inlineStr">
        <is>
          <t>Footfall map → stall layout (entrance, exit queue, Goshala path, staircases, garden, waterfall, Samskara) → UPI + POS → stock plan from calendar → leftovers go online.</t>
        </is>
      </c>
      <c r="F3" s="11" t="inlineStr">
        <is>
          <t>Phase 1 onward</t>
        </is>
      </c>
      <c r="G3" s="11" t="inlineStr">
        <is>
          <t>Medium (pagodas)</t>
        </is>
      </c>
      <c r="H3" s="11" t="inlineStr">
        <is>
          <t>High</t>
        </is>
      </c>
      <c r="I3" s="11" t="inlineStr">
        <is>
          <t>Sales per festival, sales per stall per hour, stock-out time, leftover %</t>
        </is>
      </c>
    </row>
    <row r="4">
      <c r="A4" s="11" t="inlineStr">
        <is>
          <t>R3</t>
        </is>
      </c>
      <c r="B4" s="11" t="inlineStr">
        <is>
          <t>Temple restaurant and lawn food court</t>
        </is>
      </c>
      <c r="C4" s="11" t="inlineStr">
        <is>
          <t>Restaurant as the daily anchor; on festival days full-length counters, chairs and round tables across the lawn.</t>
        </is>
      </c>
      <c r="D4" s="11" t="inlineStr">
        <is>
          <t>Captures every visitor; 365-day revenue.</t>
        </is>
      </c>
      <c r="E4" s="11" t="inlineStr">
        <is>
          <t>Menu engineering, QR ordering, festival lawn SOP, rental furniture contracts.</t>
        </is>
      </c>
      <c r="F4" s="11" t="inlineStr">
        <is>
          <t>Phase 1–3</t>
        </is>
      </c>
      <c r="G4" s="11" t="inlineStr">
        <is>
          <t>Medium</t>
        </is>
      </c>
      <c r="H4" s="11" t="inlineStr">
        <is>
          <t>Medium</t>
        </is>
      </c>
      <c r="I4" s="11" t="inlineStr">
        <is>
          <t>Daily covers, average bill, festival-day revenue</t>
        </is>
      </c>
    </row>
    <row r="5">
      <c r="A5" s="11" t="inlineStr">
        <is>
          <t>R4</t>
        </is>
      </c>
      <c r="B5" s="11" t="inlineStr">
        <is>
          <t>Corporate gifting (own brand)</t>
        </is>
      </c>
      <c r="C5" s="11" t="inlineStr">
        <is>
          <t>Dasara, Diwali, New Year, Sankranti and other gift boxes in three tiers, with dry fruits and sweets; samples, menu, price list.</t>
        </is>
      </c>
      <c r="D5" s="11" t="inlineStr">
        <is>
          <t>About 58% of Diwali gifting is corporate; our network reaches owners directly; three companies have already asked.</t>
        </is>
      </c>
      <c r="E5" s="11" t="inlineStr">
        <is>
          <t>Gift catalogue + samples → owner meetings (Mukunda Dasa with production rep) → PO with 50% advance → production calendar → dispatch.</t>
        </is>
      </c>
      <c r="F5" s="11" t="inlineStr">
        <is>
          <t>Phase 1 onward</t>
        </is>
      </c>
      <c r="G5" s="11" t="inlineStr">
        <is>
          <t>Low (packaging)</t>
        </is>
      </c>
      <c r="H5" s="11" t="inlineStr">
        <is>
          <t>High</t>
        </is>
      </c>
      <c r="I5" s="11" t="inlineStr">
        <is>
          <t>Boxes sold, average order value, repeat clients, advance collected</t>
        </is>
      </c>
    </row>
    <row r="6">
      <c r="A6" s="11" t="inlineStr">
        <is>
          <t>R5</t>
        </is>
      </c>
      <c r="B6" s="11" t="inlineStr">
        <is>
          <t>White-label / co-branded gifting</t>
        </is>
      </c>
      <c r="C6" s="11" t="inlineStr">
        <is>
          <t>Same boxes with the client's logo and message (sticker or printed sleeve), so their brand travels with our prasadam.</t>
        </is>
      </c>
      <c r="D6" s="11" t="inlineStr">
        <is>
          <t>Companies are already paying some vendor; the owner prefers a trusted source.</t>
        </is>
      </c>
      <c r="E6" s="11" t="inlineStr">
        <is>
          <t>Brand-sticker template, MOQ per design, proof approval, 10–15 day lead time.</t>
        </is>
      </c>
      <c r="F6" s="11" t="inlineStr">
        <is>
          <t>Phase 1 onward</t>
        </is>
      </c>
      <c r="G6" s="11" t="inlineStr">
        <is>
          <t>Low</t>
        </is>
      </c>
      <c r="H6" s="11" t="inlineStr">
        <is>
          <t>High</t>
        </is>
      </c>
      <c r="I6" s="11" t="inlineStr">
        <is>
          <t>White-label orders, lead time, design approval cycle</t>
        </is>
      </c>
    </row>
    <row r="7">
      <c r="A7" s="11" t="inlineStr">
        <is>
          <t>R6</t>
        </is>
      </c>
      <c r="B7" s="11" t="inlineStr">
        <is>
          <t>Daily snacking (365-day retail)</t>
        </is>
      </c>
      <c r="C7" s="11" t="inlineStr">
        <is>
          <t>Sweets and savories unconnected to festivals: chikkis, kaja, khara, namkeen, puri unde, laddus, 250 g weekly specials.</t>
        </is>
      </c>
      <c r="D7" s="11" t="inlineStr">
        <is>
          <t>Evergreen demand; rotation keeps the kitchen busy.</t>
        </is>
      </c>
      <c r="E7" s="11" t="inlineStr">
        <is>
          <t>Top-10 SKU list, standard pack sizes, shelf-life testing, temple shop + restaurant + online.</t>
        </is>
      </c>
      <c r="F7" s="11" t="inlineStr">
        <is>
          <t>Phase 1–2</t>
        </is>
      </c>
      <c r="G7" s="11" t="inlineStr">
        <is>
          <t>Low</t>
        </is>
      </c>
      <c r="H7" s="11" t="inlineStr">
        <is>
          <t>Medium</t>
        </is>
      </c>
      <c r="I7" s="11" t="inlineStr">
        <is>
          <t>Units per SKU per week, sell-through, returns/spoilage</t>
        </is>
      </c>
    </row>
    <row r="8">
      <c r="A8" s="11" t="inlineStr">
        <is>
          <t>R7</t>
        </is>
      </c>
      <c r="B8" s="11" t="inlineStr">
        <is>
          <t>E-commerce (own store + marketplaces)</t>
        </is>
      </c>
      <c r="C8" s="11" t="inlineStr">
        <is>
          <t>Shopify store and Amazon listing for shelf-stable items, pan-India shipping, subscriptions, donor bundles.</t>
        </is>
      </c>
      <c r="D8" s="11" t="inlineStr">
        <is>
          <t>Scale through technology; reuse donor dispatch and Amazon experience (≈15,000 parcels).</t>
        </is>
      </c>
      <c r="E8" s="11" t="inlineStr">
        <is>
          <t>Catalogue &amp; photography → Shopify + payment + courier aggregator → Amazon → ads funnel → WhatsApp retargeting.</t>
        </is>
      </c>
      <c r="F8" s="11" t="inlineStr">
        <is>
          <t>Phase 2</t>
        </is>
      </c>
      <c r="G8" s="11" t="inlineStr">
        <is>
          <t>Low</t>
        </is>
      </c>
      <c r="H8" s="11" t="inlineStr">
        <is>
          <t>Medium</t>
        </is>
      </c>
      <c r="I8" s="11" t="inlineStr">
        <is>
          <t>Orders/month, CAC, ROAS, repeat rate, delivery TAT</t>
        </is>
      </c>
    </row>
    <row r="9">
      <c r="A9" s="11" t="inlineStr">
        <is>
          <t>R8</t>
        </is>
      </c>
      <c r="B9" s="11" t="inlineStr">
        <is>
          <t>Catering and bulk meals</t>
        </is>
      </c>
      <c r="C9" s="11" t="inlineStr">
        <is>
          <t>Satvik catering for house programmes, life events, corporate and institutional events; bulk meal packets (e.g. 50,000 meals).</t>
        </is>
      </c>
      <c r="D9" s="11" t="inlineStr">
        <is>
          <t>Strong demand; many requests already; high visibility for the brand.</t>
        </is>
      </c>
      <c r="E9" s="11" t="inlineStr">
        <is>
          <t>Start with drop-off catering from existing kitchen; partner kitchens for very large orders; later dedicated catering unit.</t>
        </is>
      </c>
      <c r="F9" s="11" t="inlineStr">
        <is>
          <t>Phase 2–4</t>
        </is>
      </c>
      <c r="G9" s="11" t="inlineStr">
        <is>
          <t>High (at scale)</t>
        </is>
      </c>
      <c r="H9" s="11" t="inlineStr">
        <is>
          <t>Medium</t>
        </is>
      </c>
      <c r="I9" s="11" t="inlineStr">
        <is>
          <t>Events/month, plates served, per-plate margin, feedback score</t>
        </is>
      </c>
    </row>
    <row r="10">
      <c r="A10" s="11" t="inlineStr">
        <is>
          <t>R9</t>
        </is>
      </c>
      <c r="B10" s="11" t="inlineStr">
        <is>
          <t>Gated community flea markets</t>
        </is>
      </c>
      <c r="C10" s="11" t="inlineStr">
        <is>
          <t>Weekend stalls in ~100 gated communities, pre-orders for festivals, community WhatsApp groups.</t>
        </is>
      </c>
      <c r="D10" s="11" t="inlineStr">
        <is>
          <t>Access already exists; organisers have given free stalls.</t>
        </is>
      </c>
      <c r="E10" s="11" t="inlineStr">
        <is>
          <t>Mobile stall kit, 2-person team, route calendar, lead capture for donor/preaching programmes.</t>
        </is>
      </c>
      <c r="F10" s="11" t="inlineStr">
        <is>
          <t>Phase 2</t>
        </is>
      </c>
      <c r="G10" s="11" t="inlineStr">
        <is>
          <t>Low</t>
        </is>
      </c>
      <c r="H10" s="11" t="inlineStr">
        <is>
          <t>Medium</t>
        </is>
      </c>
      <c r="I10" s="11" t="inlineStr">
        <is>
          <t>Events/month, sales/event, leads captured</t>
        </is>
      </c>
    </row>
    <row r="11">
      <c r="A11" s="11" t="inlineStr">
        <is>
          <t>R10</t>
        </is>
      </c>
      <c r="B11" s="11" t="inlineStr">
        <is>
          <t>Outbound B2B and life-event sales</t>
        </is>
      </c>
      <c r="C11" s="11" t="inlineStr">
        <is>
          <t>Sell to companies, event managers and families for openings, naming ceremonies, birthdays, weddings, vehicle pujas.</t>
        </is>
      </c>
      <c r="D11" s="11" t="inlineStr">
        <is>
          <t>The open 'public circle' beyond our own contacts.</t>
        </is>
      </c>
      <c r="E11" s="11" t="inlineStr">
        <is>
          <t>Sales executive, CRM pipeline, Google Ads for 'satvik catering Hyderabad', referral fees for event planners.</t>
        </is>
      </c>
      <c r="F11" s="11" t="inlineStr">
        <is>
          <t>Phase 2–3</t>
        </is>
      </c>
      <c r="G11" s="11" t="inlineStr">
        <is>
          <t>Low</t>
        </is>
      </c>
      <c r="H11" s="11" t="inlineStr">
        <is>
          <t>Medium</t>
        </is>
      </c>
      <c r="I11" s="11" t="inlineStr">
        <is>
          <t>Leads, conversion %, revenue per salesperson</t>
        </is>
      </c>
    </row>
    <row r="12">
      <c r="A12" s="11" t="inlineStr">
        <is>
          <t>R11</t>
        </is>
      </c>
      <c r="B12" s="11" t="inlineStr">
        <is>
          <t>Pickles, papads and powders</t>
        </is>
      </c>
      <c r="C12" s="11" t="inlineStr">
        <is>
          <t>Masala powders, sambar powder, pickles, papads: very long shelf life, ideal for online and export.</t>
        </is>
      </c>
      <c r="D12" s="11" t="inlineStr">
        <is>
          <t>Adjacent vertical with low spoilage; strong Andhra/Telangana demand.</t>
        </is>
      </c>
      <c r="E12" s="11" t="inlineStr">
        <is>
          <t>Recipe standardisation, lab testing, FSSAI labelling, co-packer if needed.</t>
        </is>
      </c>
      <c r="F12" s="11" t="inlineStr">
        <is>
          <t>Phase 3</t>
        </is>
      </c>
      <c r="G12" s="11" t="inlineStr">
        <is>
          <t>Low–Medium</t>
        </is>
      </c>
      <c r="H12" s="11" t="inlineStr">
        <is>
          <t>Medium–High</t>
        </is>
      </c>
      <c r="I12" s="11" t="inlineStr">
        <is>
          <t>SKUs live, online share, export enquiries</t>
        </is>
      </c>
    </row>
    <row r="13">
      <c r="A13" s="11" t="inlineStr">
        <is>
          <t>R12</t>
        </is>
      </c>
      <c r="B13" s="11" t="inlineStr">
        <is>
          <t>QSR and fine-dine restaurants</t>
        </is>
      </c>
      <c r="C13" s="11" t="inlineStr">
        <is>
          <t>Satvik quick-service outlets under the brand via the interested franchise partner; vision of 100 QSRs in Hyderabad; later fine dine.</t>
        </is>
      </c>
      <c r="D13" s="11" t="inlineStr">
        <is>
          <t>Partner offers network, funds and execution; pure-veg QSR is under-served.</t>
        </is>
      </c>
      <c r="E13" s="11" t="inlineStr">
        <is>
          <t>Brand licence agreement, central kitchen, 1–3 pilot outlets, SOPs, then scale.</t>
        </is>
      </c>
      <c r="F13" s="11" t="inlineStr">
        <is>
          <t>Phase 4–5</t>
        </is>
      </c>
      <c r="G13" s="11" t="inlineStr">
        <is>
          <t>Partner-funded</t>
        </is>
      </c>
      <c r="H13" s="11" t="inlineStr">
        <is>
          <t>Royalty 4–8% [ESTIMATE]</t>
        </is>
      </c>
      <c r="I13" s="11" t="inlineStr">
        <is>
          <t>Outlets live, royalty income, food-safety audit scores</t>
        </is>
      </c>
    </row>
    <row r="14">
      <c r="A14" s="11" t="inlineStr">
        <is>
          <t>R13</t>
        </is>
      </c>
      <c r="B14" s="11" t="inlineStr">
        <is>
          <t>Exports and diaspora</t>
        </is>
      </c>
      <c r="C14" s="11" t="inlineStr">
        <is>
          <t>Long-shelf-life range for diaspora markets and temples abroad.</t>
        </is>
      </c>
      <c r="D14" s="11" t="inlineStr">
        <is>
          <t>Family business in Malaysia; European contacts; ISKCON global network.</t>
        </is>
      </c>
      <c r="E14" s="11" t="inlineStr">
        <is>
          <t>Central FSSAI licence + IEC + APEDA; export partner; destination-country labelling.</t>
        </is>
      </c>
      <c r="F14" s="11" t="inlineStr">
        <is>
          <t>Phase 5</t>
        </is>
      </c>
      <c r="G14" s="11" t="inlineStr">
        <is>
          <t>Medium</t>
        </is>
      </c>
      <c r="H14" s="11" t="inlineStr">
        <is>
          <t>Medium–High</t>
        </is>
      </c>
      <c r="I14" s="11" t="inlineStr">
        <is>
          <t>Countries served, export revenue</t>
        </is>
      </c>
    </row>
    <row r="15">
      <c r="A15" s="11" t="inlineStr">
        <is>
          <t>R14</t>
        </is>
      </c>
      <c r="B15" s="11" t="inlineStr">
        <is>
          <t>Donor and sponsor packs</t>
        </is>
      </c>
      <c r="C15" s="11" t="inlineStr">
        <is>
          <t>Bahumana gift boxes for big donors, sponsor prasadam for festivals, 5 kg namkeen tins in monsoon.</t>
        </is>
      </c>
      <c r="D15" s="11" t="inlineStr">
        <is>
          <t>Deepens donor relationships; big donors already ask.</t>
        </is>
      </c>
      <c r="E15" s="11" t="inlineStr">
        <is>
          <t>Donor-care team offers packs with campaigns; sponsorship tiers include prasadam.</t>
        </is>
      </c>
      <c r="F15" s="11" t="inlineStr">
        <is>
          <t>Phase 1 onward</t>
        </is>
      </c>
      <c r="G15" s="11" t="inlineStr">
        <is>
          <t>Low</t>
        </is>
      </c>
      <c r="H15" s="11" t="inlineStr">
        <is>
          <t>Medium</t>
        </is>
      </c>
      <c r="I15" s="11" t="inlineStr">
        <is>
          <t>Packs sent, donor retention uplift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40" customWidth="1" min="3" max="3"/>
    <col width="30" customWidth="1" min="4" max="4"/>
    <col width="40" customWidth="1" min="5" max="5"/>
    <col width="36" customWidth="1" min="6" max="6"/>
    <col width="16" customWidth="1" min="7" max="7"/>
  </cols>
  <sheetData>
    <row r="1">
      <c r="A1" s="4" t="inlineStr">
        <is>
          <t>Audience</t>
        </is>
      </c>
      <c r="B1" s="4" t="inlineStr">
        <is>
          <t>Circle</t>
        </is>
      </c>
      <c r="C1" s="4" t="inlineStr">
        <is>
          <t>Who</t>
        </is>
      </c>
      <c r="D1" s="4" t="inlineStr">
        <is>
          <t>Needs</t>
        </is>
      </c>
      <c r="E1" s="4" t="inlineStr">
        <is>
          <t>Offer</t>
        </is>
      </c>
      <c r="F1" s="4" t="inlineStr">
        <is>
          <t>Channel</t>
        </is>
      </c>
      <c r="G1" s="4" t="inlineStr">
        <is>
          <t>Price</t>
        </is>
      </c>
    </row>
    <row r="2">
      <c r="A2" s="11" t="inlineStr">
        <is>
          <t>Temple visitors and festival crowds</t>
        </is>
      </c>
      <c r="B2" s="11" t="inlineStr">
        <is>
          <t>Circle 1: those who come to us</t>
        </is>
      </c>
      <c r="C2" s="11" t="inlineStr">
        <is>
          <t>Daily visitors, weekend families, festival crowds (Janmashtami, Mahalaya, Ratha Yatra, Gaura Purnima, etc.)</t>
        </is>
      </c>
      <c r="D2" s="11" t="inlineStr">
        <is>
          <t>Quick purchase, prasadam to take home, meals on the lawn</t>
        </is>
      </c>
      <c r="E2" s="11" t="inlineStr">
        <is>
          <t>Restaurant, lawn food court, multiple festival stalls, take-home packs, 250 g see-through boxes</t>
        </is>
      </c>
      <c r="F2" s="11" t="inlineStr">
        <is>
          <t>Stalls at entrance/exit/Goshala path, restaurant, QR menus, UPI</t>
        </is>
      </c>
      <c r="G2" s="11" t="inlineStr">
        <is>
          <t>Mass tier ₹30–₹250</t>
        </is>
      </c>
    </row>
    <row r="3">
      <c r="A3" s="11" t="inlineStr">
        <is>
          <t>Donors and life members</t>
        </is>
      </c>
      <c r="B3" s="11" t="inlineStr">
        <is>
          <t>Circle 1: those who come to us</t>
        </is>
      </c>
      <c r="C3" s="11" t="inlineStr">
        <is>
          <t>Online donors across India, big donors, sponsors, Virpaksha daily donors</t>
        </is>
      </c>
      <c r="D3" s="11" t="inlineStr">
        <is>
          <t>Blessed prasadam at home; gifts for family and staff</t>
        </is>
      </c>
      <c r="E3" s="11" t="inlineStr">
        <is>
          <t>Donor prasadam packs, bahumana boxes, 5 kg namkeen tins, festival hampers</t>
        </is>
      </c>
      <c r="F3" s="11" t="inlineStr">
        <is>
          <t>Existing donor dispatch system, WhatsApp, donor-care calls</t>
        </is>
      </c>
      <c r="G3" s="11" t="inlineStr">
        <is>
          <t>Mid to premium</t>
        </is>
      </c>
    </row>
    <row r="4">
      <c r="A4" s="11" t="inlineStr">
        <is>
          <t>Internal departments</t>
        </is>
      </c>
      <c r="B4" s="11" t="inlineStr">
        <is>
          <t>Circle 1: those who come to us</t>
        </is>
      </c>
      <c r="C4" s="11" t="inlineStr">
        <is>
          <t>Culture Connect, LLP, online donor team, corporate relations, campaigns</t>
        </is>
      </c>
      <c r="D4" s="11" t="inlineStr">
        <is>
          <t>Reliable weekly supply at an agreed rate</t>
        </is>
      </c>
      <c r="E4" s="11" t="inlineStr">
        <is>
          <t>Weekly standing order, one fixed delivery day, festival top-ups</t>
        </is>
      </c>
      <c r="F4" s="11" t="inlineStr">
        <is>
          <t>Internal order form in the system; monthly budget per department</t>
        </is>
      </c>
      <c r="G4" s="11" t="inlineStr">
        <is>
          <t>Internal transfer price (cost + agreed margin)</t>
        </is>
      </c>
    </row>
    <row r="5">
      <c r="A5" s="11" t="inlineStr">
        <is>
          <t>Corporate companies</t>
        </is>
      </c>
      <c r="B5" s="11" t="inlineStr">
        <is>
          <t>Circle 2: those we go to (B2B)</t>
        </is>
      </c>
      <c r="C5" s="11" t="inlineStr">
        <is>
          <t>Owners/HR/admin of firms with 500–10,000+ staff (steel, IT, pharma, real estate, T-Hub startups)</t>
        </is>
      </c>
      <c r="D5" s="11" t="inlineStr">
        <is>
          <t>Festival gifts for staff and clients, on time, branded, within budget</t>
        </is>
      </c>
      <c r="E5" s="11" t="inlineStr">
        <is>
          <t>Own-brand gift boxes (3 tiers) and white-label boxes with company branding; samples, menu, price list</t>
        </is>
      </c>
      <c r="F5" s="11" t="inlineStr">
        <is>
          <t>Owner-level meetings (Mukunda Dasa + production rep), chamber and BNI referrals, LinkedIn, email</t>
        </is>
      </c>
      <c r="G5" s="11" t="inlineStr">
        <is>
          <t>₹250–₹2,500 per box; volume slabs</t>
        </is>
      </c>
    </row>
    <row r="6">
      <c r="A6" s="11" t="inlineStr">
        <is>
          <t>Educational institutions</t>
        </is>
      </c>
      <c r="B6" s="11" t="inlineStr">
        <is>
          <t>Circle 2: those we go to (B2B)</t>
        </is>
      </c>
      <c r="C6" s="11" t="inlineStr">
        <is>
          <t>MNR group (42 institutions) and other school/college chains</t>
        </is>
      </c>
      <c r="D6" s="11" t="inlineStr">
        <is>
          <t>Gifts for staff and students; event snacks</t>
        </is>
      </c>
      <c r="E6" s="11" t="inlineStr">
        <is>
          <t>Low-ticket student packs, staff boxes, event catering</t>
        </is>
      </c>
      <c r="F6" s="11" t="inlineStr">
        <is>
          <t>Chairman relationships; academic-calendar planning</t>
        </is>
      </c>
      <c r="G6" s="11" t="inlineStr">
        <is>
          <t>Mass tier with bulk slabs</t>
        </is>
      </c>
    </row>
    <row r="7">
      <c r="A7" s="11" t="inlineStr">
        <is>
          <t>Associations and professional networks</t>
        </is>
      </c>
      <c r="B7" s="11" t="inlineStr">
        <is>
          <t>Circle 2: those we go to (B2B)</t>
        </is>
      </c>
      <c r="C7" s="11" t="inlineStr">
        <is>
          <t>Telangana Chamber of Commerce, BNI, Rotary, Round Table, Alpha Circle, ICSI/ICAI Hyderabad chapters</t>
        </is>
      </c>
      <c r="D7" s="11" t="inlineStr">
        <is>
          <t>Member gifts, event hampers, meeting snacks</t>
        </is>
      </c>
      <c r="E7" s="11" t="inlineStr">
        <is>
          <t>Co-branded hampers, member discount codes, event snack boxes</t>
        </is>
      </c>
      <c r="F7" s="11" t="inlineStr">
        <is>
          <t>Presidents/secretaries, chapter meetings, newsletters</t>
        </is>
      </c>
      <c r="G7" s="11" t="inlineStr">
        <is>
          <t>Mid tier</t>
        </is>
      </c>
    </row>
    <row r="8">
      <c r="A8" s="11" t="inlineStr">
        <is>
          <t>Event management companies</t>
        </is>
      </c>
      <c r="B8" s="11" t="inlineStr">
        <is>
          <t>Circle 2: those we go to (B2B)</t>
        </is>
      </c>
      <c r="C8" s="11" t="inlineStr">
        <is>
          <t>Firms running Dandiya, weddings, corporate events (e.g. Naukaran Entertainment)</t>
        </is>
      </c>
      <c r="D8" s="11" t="inlineStr">
        <is>
          <t>Return gifts, event food counters</t>
        </is>
      </c>
      <c r="E8" s="11" t="inlineStr">
        <is>
          <t>Return-gift boxes, live counters, catering</t>
        </is>
      </c>
      <c r="F8" s="11" t="inlineStr">
        <is>
          <t>Partner commission / referral fee</t>
        </is>
      </c>
      <c r="G8" s="11" t="inlineStr">
        <is>
          <t>Mid tier</t>
        </is>
      </c>
    </row>
    <row r="9">
      <c r="A9" s="11" t="inlineStr">
        <is>
          <t>Gated communities</t>
        </is>
      </c>
      <c r="B9" s="11" t="inlineStr">
        <is>
          <t>Circle 3: open public (B2C outside)</t>
        </is>
      </c>
      <c r="C9" s="11" t="inlineStr">
        <is>
          <t>~100 gated communities with weekend flea markets</t>
        </is>
      </c>
      <c r="D9" s="11" t="inlineStr">
        <is>
          <t>Tasty, pure snacks; festival supplies</t>
        </is>
      </c>
      <c r="E9" s="11" t="inlineStr">
        <is>
          <t>Weekend stall with top sellers, pre-order for festivals, community WhatsApp group</t>
        </is>
      </c>
      <c r="F9" s="11" t="inlineStr">
        <is>
          <t>Flea-market organisers (free stalls offered before), RWA committees</t>
        </is>
      </c>
      <c r="G9" s="11" t="inlineStr">
        <is>
          <t>Mass tier</t>
        </is>
      </c>
    </row>
    <row r="10">
      <c r="A10" s="11" t="inlineStr">
        <is>
          <t>Life-event families (open circle)</t>
        </is>
      </c>
      <c r="B10" s="11" t="inlineStr">
        <is>
          <t>Circle 3: open public (B2C outside)</t>
        </is>
      </c>
      <c r="C10" s="11" t="inlineStr">
        <is>
          <t>Families holding house-warming, naming ceremony, birthdays, weddings, car/vehicle puja, shop openings, shraddha</t>
        </is>
      </c>
      <c r="D10" s="11" t="inlineStr">
        <is>
          <t>Prasadam packs, return gifts, satvik catering</t>
        </is>
      </c>
      <c r="E10" s="11" t="inlineStr">
        <is>
          <t>Occasion packs, catering menus, bulk sweets</t>
        </is>
      </c>
      <c r="F10" s="11" t="inlineStr">
        <is>
          <t>Google Ads, Instagram, referrals, temple ceremony desk</t>
        </is>
      </c>
      <c r="G10" s="11" t="inlineStr">
        <is>
          <t>Mid tier</t>
        </is>
      </c>
    </row>
    <row r="11">
      <c r="A11" s="11" t="inlineStr">
        <is>
          <t>Online shoppers across India</t>
        </is>
      </c>
      <c r="B11" s="11" t="inlineStr">
        <is>
          <t>Circle 4: digital</t>
        </is>
      </c>
      <c r="C11" s="11" t="inlineStr">
        <is>
          <t>Social-media followers, NRIs sending gifts home, health-conscious buyers</t>
        </is>
      </c>
      <c r="D11" s="11" t="inlineStr">
        <is>
          <t>Trusted, pure, shelf-stable sweets delivered fast</t>
        </is>
      </c>
      <c r="E11" s="11" t="inlineStr">
        <is>
          <t>Shopify store + Amazon; subscriptions; diabetic-friendly namkeen; jaggery range</t>
        </is>
      </c>
      <c r="F11" s="11" t="inlineStr">
        <is>
          <t>Meta Ads, Google Ads, WhatsApp, RCS, SMS, SEO, influencers</t>
        </is>
      </c>
      <c r="G11" s="11" t="inlineStr">
        <is>
          <t>Mid tier + shipping</t>
        </is>
      </c>
    </row>
    <row r="12">
      <c r="A12" s="11" t="inlineStr">
        <is>
          <t>Health-conscious and diabetic buyers</t>
        </is>
      </c>
      <c r="B12" s="11" t="inlineStr">
        <is>
          <t>Circle 4: digital</t>
        </is>
      </c>
      <c r="C12" s="11" t="inlineStr">
        <is>
          <t>Buyers avoiding refined sugar, chemicals and colours</t>
        </is>
      </c>
      <c r="D12" s="11" t="inlineStr">
        <is>
          <t>Jaggery-based, low-sugar, millet, poha puffed rice</t>
        </is>
      </c>
      <c r="E12" s="11" t="inlineStr">
        <is>
          <t>'Satvik Wellness' sub-range; namkeen for diabetics</t>
        </is>
      </c>
      <c r="F12" s="11" t="inlineStr">
        <is>
          <t>Content marketing, doctors/yoga communities</t>
        </is>
      </c>
      <c r="G12" s="11" t="inlineStr">
        <is>
          <t>Premium</t>
        </is>
      </c>
    </row>
    <row r="13">
      <c r="A13" s="11" t="inlineStr">
        <is>
          <t>Institutional bulk / large gatherings</t>
        </is>
      </c>
      <c r="B13" s="11" t="inlineStr">
        <is>
          <t>Circle 5: scale</t>
        </is>
      </c>
      <c r="C13" s="11" t="inlineStr">
        <is>
          <t>Spiritual/cultural organisations (e.g. Chinmaya Mission 50,000 meals), government and corporate events</t>
        </is>
      </c>
      <c r="D13" s="11" t="inlineStr">
        <is>
          <t>Very large volumes, on time, hygienic</t>
        </is>
      </c>
      <c r="E13" s="11" t="inlineStr">
        <is>
          <t>Bulk meal packets, prasadam packs, catering</t>
        </is>
      </c>
      <c r="F13" s="11" t="inlineStr">
        <is>
          <t>Direct leadership contact; tender responses</t>
        </is>
      </c>
      <c r="G13" s="11" t="inlineStr">
        <is>
          <t>Per-plate contract</t>
        </is>
      </c>
    </row>
    <row r="14">
      <c r="A14" s="11" t="inlineStr">
        <is>
          <t>QSR and restaurant diners</t>
        </is>
      </c>
      <c r="B14" s="11" t="inlineStr">
        <is>
          <t>Circle 5: scale</t>
        </is>
      </c>
      <c r="C14" s="11" t="inlineStr">
        <is>
          <t>Urban young families and office-goers wanting pure veg fast food</t>
        </is>
      </c>
      <c r="D14" s="11" t="inlineStr">
        <is>
          <t>Fast, affordable, pure veg</t>
        </is>
      </c>
      <c r="E14" s="11" t="inlineStr">
        <is>
          <t>Satvik QSR outlets (franchise with partner), later fine dine</t>
        </is>
      </c>
      <c r="F14" s="11" t="inlineStr">
        <is>
          <t>Franchise partner, food-delivery apps</t>
        </is>
      </c>
      <c r="G14" s="11" t="inlineStr">
        <is>
          <t>₹99–₹399 meals</t>
        </is>
      </c>
    </row>
    <row r="15">
      <c r="A15" s="11" t="inlineStr">
        <is>
          <t>Export and diaspora</t>
        </is>
      </c>
      <c r="B15" s="11" t="inlineStr">
        <is>
          <t>Circle 5: scale</t>
        </is>
      </c>
      <c r="C15" s="11" t="inlineStr">
        <is>
          <t>Indian diaspora (Malaysia, Europe, USA, Middle East), ISKCON temples abroad, Indian grocery stores</t>
        </is>
      </c>
      <c r="D15" s="11" t="inlineStr">
        <is>
          <t>Authentic long-shelf-life sweets, pickles, powders</t>
        </is>
      </c>
      <c r="E15" s="11" t="inlineStr">
        <is>
          <t>Export-grade packaged range</t>
        </is>
      </c>
      <c r="F15" s="11" t="inlineStr">
        <is>
          <t>Family business in Malaysia, European contacts, APEDA, Amazon Global</t>
        </is>
      </c>
      <c r="G15" s="11" t="inlineStr">
        <is>
          <t>Export pricing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20" customWidth="1" min="5" max="5"/>
    <col width="22" customWidth="1" min="6" max="6"/>
    <col width="40" customWidth="1" min="7" max="7"/>
  </cols>
  <sheetData>
    <row r="1">
      <c r="A1" s="4" t="inlineStr">
        <is>
          <t>Product</t>
        </is>
      </c>
      <c r="B1" s="4" t="inlineStr">
        <is>
          <t>Category</t>
        </is>
      </c>
      <c r="C1" s="4" t="inlineStr">
        <is>
          <t>Shelf life (days)</t>
        </is>
      </c>
      <c r="D1" s="4" t="inlineStr">
        <is>
          <t>Tier</t>
        </is>
      </c>
      <c r="E1" s="4" t="inlineStr">
        <is>
          <t>Sweetener</t>
        </is>
      </c>
      <c r="F1" s="4" t="inlineStr">
        <is>
          <t>Pack sizes</t>
        </is>
      </c>
      <c r="G1" s="4" t="inlineStr">
        <is>
          <t>Notes</t>
        </is>
      </c>
    </row>
    <row r="2">
      <c r="A2" s="11" t="inlineStr">
        <is>
          <t>Groundnut chikki</t>
        </is>
      </c>
      <c r="B2" s="11" t="inlineStr">
        <is>
          <t>Sweet – brittle</t>
        </is>
      </c>
      <c r="C2" s="11" t="inlineStr">
        <is>
          <t>60–90</t>
        </is>
      </c>
      <c r="D2" s="11" t="inlineStr">
        <is>
          <t>Mass</t>
        </is>
      </c>
      <c r="E2" s="11" t="inlineStr">
        <is>
          <t>Jaggery</t>
        </is>
      </c>
      <c r="F2" s="11" t="inlineStr">
        <is>
          <t>100 g, 200 g, 500 g</t>
        </is>
      </c>
      <c r="G2" s="11" t="inlineStr">
        <is>
          <t>Top shelf-life item; ideal for online and gifting</t>
        </is>
      </c>
    </row>
    <row r="3">
      <c r="A3" s="11" t="inlineStr">
        <is>
          <t>Til chikki (black &amp; white)</t>
        </is>
      </c>
      <c r="B3" s="11" t="inlineStr">
        <is>
          <t>Sweet – brittle</t>
        </is>
      </c>
      <c r="C3" s="11" t="inlineStr">
        <is>
          <t>60–90</t>
        </is>
      </c>
      <c r="D3" s="11" t="inlineStr">
        <is>
          <t>Mass/Premium</t>
        </is>
      </c>
      <c r="E3" s="11" t="inlineStr">
        <is>
          <t>Jaggery</t>
        </is>
      </c>
      <c r="F3" s="11" t="inlineStr">
        <is>
          <t>100 g, 200 g</t>
        </is>
      </c>
      <c r="G3" s="11" t="inlineStr">
        <is>
          <t>Sankranti hero product</t>
        </is>
      </c>
    </row>
    <row r="4">
      <c r="A4" s="11" t="inlineStr">
        <is>
          <t>Dry-fruit chikki</t>
        </is>
      </c>
      <c r="B4" s="11" t="inlineStr">
        <is>
          <t>Sweet – brittle</t>
        </is>
      </c>
      <c r="C4" s="11" t="inlineStr">
        <is>
          <t>45–60</t>
        </is>
      </c>
      <c r="D4" s="11" t="inlineStr">
        <is>
          <t>Premium</t>
        </is>
      </c>
      <c r="E4" s="11" t="inlineStr">
        <is>
          <t>Jaggery/Sugar</t>
        </is>
      </c>
      <c r="F4" s="11" t="inlineStr">
        <is>
          <t>200 g, gift tin</t>
        </is>
      </c>
      <c r="G4" s="11" t="inlineStr">
        <is>
          <t>Corporate gifting</t>
        </is>
      </c>
    </row>
    <row r="5">
      <c r="A5" s="11" t="inlineStr">
        <is>
          <t>Puri unde (puffed-rice balls)</t>
        </is>
      </c>
      <c r="B5" s="11" t="inlineStr">
        <is>
          <t>Sweet – laddu</t>
        </is>
      </c>
      <c r="C5" s="11" t="inlineStr">
        <is>
          <t>20–30</t>
        </is>
      </c>
      <c r="D5" s="11" t="inlineStr">
        <is>
          <t>Mass</t>
        </is>
      </c>
      <c r="E5" s="11" t="inlineStr">
        <is>
          <t>Jaggery, coconut, elaichi</t>
        </is>
      </c>
      <c r="F5" s="11" t="inlineStr">
        <is>
          <t>6-pc, 12-pc</t>
        </is>
      </c>
      <c r="G5" s="11" t="inlineStr">
        <is>
          <t>Karnataka favourite; light, healthy</t>
        </is>
      </c>
    </row>
    <row r="6">
      <c r="A6" s="11" t="inlineStr">
        <is>
          <t>Poha puffed-rice unde</t>
        </is>
      </c>
      <c r="B6" s="11" t="inlineStr">
        <is>
          <t>Sweet – laddu</t>
        </is>
      </c>
      <c r="C6" s="11" t="inlineStr">
        <is>
          <t>20–30</t>
        </is>
      </c>
      <c r="D6" s="11" t="inlineStr">
        <is>
          <t>Wellness</t>
        </is>
      </c>
      <c r="E6" s="11" t="inlineStr">
        <is>
          <t>Jaggery</t>
        </is>
      </c>
      <c r="F6" s="11" t="inlineStr">
        <is>
          <t>6-pc</t>
        </is>
      </c>
      <c r="G6" s="11" t="inlineStr">
        <is>
          <t>For health-conscious buyers</t>
        </is>
      </c>
    </row>
    <row r="7">
      <c r="A7" s="11" t="inlineStr">
        <is>
          <t>Kaja / square kaja</t>
        </is>
      </c>
      <c r="B7" s="11" t="inlineStr">
        <is>
          <t>Sweet – fried</t>
        </is>
      </c>
      <c r="C7" s="11" t="inlineStr">
        <is>
          <t>15–20</t>
        </is>
      </c>
      <c r="D7" s="11" t="inlineStr">
        <is>
          <t>Mass</t>
        </is>
      </c>
      <c r="E7" s="11" t="inlineStr">
        <is>
          <t>Sugar syrup</t>
        </is>
      </c>
      <c r="F7" s="11" t="inlineStr">
        <is>
          <t>250 g, 500 g</t>
        </is>
      </c>
      <c r="G7" s="11" t="inlineStr">
        <is>
          <t>Andhra classic</t>
        </is>
      </c>
    </row>
    <row r="8">
      <c r="A8" s="11" t="inlineStr">
        <is>
          <t>Besan / boondi laddu</t>
        </is>
      </c>
      <c r="B8" s="11" t="inlineStr">
        <is>
          <t>Sweet – laddu</t>
        </is>
      </c>
      <c r="C8" s="11" t="inlineStr">
        <is>
          <t>10–15</t>
        </is>
      </c>
      <c r="D8" s="11" t="inlineStr">
        <is>
          <t>Mass/Premium</t>
        </is>
      </c>
      <c r="E8" s="11" t="inlineStr">
        <is>
          <t>Sugar, ghee</t>
        </is>
      </c>
      <c r="F8" s="11" t="inlineStr">
        <is>
          <t>250 g, 500 g, 1 kg</t>
        </is>
      </c>
      <c r="G8" s="11" t="inlineStr">
        <is>
          <t>Festival and temple staple</t>
        </is>
      </c>
    </row>
    <row r="9">
      <c r="A9" s="11" t="inlineStr">
        <is>
          <t>Dry-fruit laddu</t>
        </is>
      </c>
      <c r="B9" s="11" t="inlineStr">
        <is>
          <t>Sweet – laddu</t>
        </is>
      </c>
      <c r="C9" s="11" t="inlineStr">
        <is>
          <t>20–30</t>
        </is>
      </c>
      <c r="D9" s="11" t="inlineStr">
        <is>
          <t>Premium</t>
        </is>
      </c>
      <c r="E9" s="11" t="inlineStr">
        <is>
          <t>Dates/jaggery</t>
        </is>
      </c>
      <c r="F9" s="11" t="inlineStr">
        <is>
          <t>250 g, gift box</t>
        </is>
      </c>
      <c r="G9" s="11" t="inlineStr">
        <is>
          <t>No added sugar option</t>
        </is>
      </c>
    </row>
    <row r="10">
      <c r="A10" s="11" t="inlineStr">
        <is>
          <t>Mysore pak</t>
        </is>
      </c>
      <c r="B10" s="11" t="inlineStr">
        <is>
          <t>Sweet – ghee</t>
        </is>
      </c>
      <c r="C10" s="11" t="inlineStr">
        <is>
          <t>15–20</t>
        </is>
      </c>
      <c r="D10" s="11" t="inlineStr">
        <is>
          <t>Premium</t>
        </is>
      </c>
      <c r="E10" s="11" t="inlineStr">
        <is>
          <t>Sugar, ghee</t>
        </is>
      </c>
      <c r="F10" s="11" t="inlineStr">
        <is>
          <t>250 g, 500 g</t>
        </is>
      </c>
      <c r="G10" s="11" t="inlineStr">
        <is>
          <t>Gift box star</t>
        </is>
      </c>
    </row>
    <row r="11">
      <c r="A11" s="11" t="inlineStr">
        <is>
          <t>Khara / mixture namkeen</t>
        </is>
      </c>
      <c r="B11" s="11" t="inlineStr">
        <is>
          <t>Savory</t>
        </is>
      </c>
      <c r="C11" s="11" t="inlineStr">
        <is>
          <t>30–45</t>
        </is>
      </c>
      <c r="D11" s="11" t="inlineStr">
        <is>
          <t>Mass</t>
        </is>
      </c>
      <c r="E11" s="11" t="inlineStr">
        <is>
          <t>—</t>
        </is>
      </c>
      <c r="F11" s="11" t="inlineStr">
        <is>
          <t>200 g, 500 g, 5 kg tin</t>
        </is>
      </c>
      <c r="G11" s="11" t="inlineStr">
        <is>
          <t>Diabetic-friendly choice</t>
        </is>
      </c>
    </row>
    <row r="12">
      <c r="A12" s="11" t="inlineStr">
        <is>
          <t>Chakli / murukku</t>
        </is>
      </c>
      <c r="B12" s="11" t="inlineStr">
        <is>
          <t>Savory</t>
        </is>
      </c>
      <c r="C12" s="11" t="inlineStr">
        <is>
          <t>30–45</t>
        </is>
      </c>
      <c r="D12" s="11" t="inlineStr">
        <is>
          <t>Mass</t>
        </is>
      </c>
      <c r="E12" s="11" t="inlineStr">
        <is>
          <t>—</t>
        </is>
      </c>
      <c r="F12" s="11" t="inlineStr">
        <is>
          <t>200 g, 400 g</t>
        </is>
      </c>
      <c r="G12" s="11" t="inlineStr">
        <is>
          <t>All-season</t>
        </is>
      </c>
    </row>
    <row r="13">
      <c r="A13" s="11" t="inlineStr">
        <is>
          <t>Ribbon pakoda / chekkalu</t>
        </is>
      </c>
      <c r="B13" s="11" t="inlineStr">
        <is>
          <t>Savory</t>
        </is>
      </c>
      <c r="C13" s="11" t="inlineStr">
        <is>
          <t>30–45</t>
        </is>
      </c>
      <c r="D13" s="11" t="inlineStr">
        <is>
          <t>Mass</t>
        </is>
      </c>
      <c r="E13" s="11" t="inlineStr">
        <is>
          <t>—</t>
        </is>
      </c>
      <c r="F13" s="11" t="inlineStr">
        <is>
          <t>200 g</t>
        </is>
      </c>
      <c r="G13" s="11" t="inlineStr">
        <is>
          <t>Telangana favourite</t>
        </is>
      </c>
    </row>
    <row r="14">
      <c r="A14" s="11" t="inlineStr">
        <is>
          <t>Roasted/spiced nuts</t>
        </is>
      </c>
      <c r="B14" s="11" t="inlineStr">
        <is>
          <t>Savory</t>
        </is>
      </c>
      <c r="C14" s="11" t="inlineStr">
        <is>
          <t>60–90</t>
        </is>
      </c>
      <c r="D14" s="11" t="inlineStr">
        <is>
          <t>Premium</t>
        </is>
      </c>
      <c r="E14" s="11" t="inlineStr">
        <is>
          <t>—</t>
        </is>
      </c>
      <c r="F14" s="11" t="inlineStr">
        <is>
          <t>150 g tins</t>
        </is>
      </c>
      <c r="G14" s="11" t="inlineStr">
        <is>
          <t>Gift boxes</t>
        </is>
      </c>
    </row>
    <row r="15">
      <c r="A15" s="11" t="inlineStr">
        <is>
          <t>Masala powders &amp; sambar powder</t>
        </is>
      </c>
      <c r="B15" s="11" t="inlineStr">
        <is>
          <t>Pantry</t>
        </is>
      </c>
      <c r="C15" s="11" t="inlineStr">
        <is>
          <t>180+</t>
        </is>
      </c>
      <c r="D15" s="11" t="inlineStr">
        <is>
          <t>Mid</t>
        </is>
      </c>
      <c r="E15" s="11" t="inlineStr">
        <is>
          <t>—</t>
        </is>
      </c>
      <c r="F15" s="11" t="inlineStr">
        <is>
          <t>100 g, 250 g</t>
        </is>
      </c>
      <c r="G15" s="11" t="inlineStr">
        <is>
          <t>Pickles/powders vertical</t>
        </is>
      </c>
    </row>
    <row r="16">
      <c r="A16" s="11" t="inlineStr">
        <is>
          <t>Pickles</t>
        </is>
      </c>
      <c r="B16" s="11" t="inlineStr">
        <is>
          <t>Pantry</t>
        </is>
      </c>
      <c r="C16" s="11" t="inlineStr">
        <is>
          <t>180+</t>
        </is>
      </c>
      <c r="D16" s="11" t="inlineStr">
        <is>
          <t>Mid</t>
        </is>
      </c>
      <c r="E16" s="11" t="inlineStr">
        <is>
          <t>—</t>
        </is>
      </c>
      <c r="F16" s="11" t="inlineStr">
        <is>
          <t>250 g, 500 g</t>
        </is>
      </c>
      <c r="G16" s="11" t="inlineStr">
        <is>
          <t>Satvik (no onion/garlic) differentiator</t>
        </is>
      </c>
    </row>
    <row r="17">
      <c r="A17" s="11" t="inlineStr">
        <is>
          <t>Papads</t>
        </is>
      </c>
      <c r="B17" s="11" t="inlineStr">
        <is>
          <t>Pantry</t>
        </is>
      </c>
      <c r="C17" s="11" t="inlineStr">
        <is>
          <t>180+</t>
        </is>
      </c>
      <c r="D17" s="11" t="inlineStr">
        <is>
          <t>Mass</t>
        </is>
      </c>
      <c r="E17" s="11" t="inlineStr">
        <is>
          <t>—</t>
        </is>
      </c>
      <c r="F17" s="11" t="inlineStr">
        <is>
          <t>200 g</t>
        </is>
      </c>
      <c r="G17" s="11" t="inlineStr">
        <is>
          <t>Long shelf life</t>
        </is>
      </c>
    </row>
    <row r="18">
      <c r="A18" s="11" t="inlineStr">
        <is>
          <t>Dry fruits assortment</t>
        </is>
      </c>
      <c r="B18" s="11" t="inlineStr">
        <is>
          <t>Gifting</t>
        </is>
      </c>
      <c r="C18" s="11" t="inlineStr">
        <is>
          <t>90+</t>
        </is>
      </c>
      <c r="D18" s="11" t="inlineStr">
        <is>
          <t>Premium</t>
        </is>
      </c>
      <c r="E18" s="11" t="inlineStr">
        <is>
          <t>—</t>
        </is>
      </c>
      <c r="F18" s="11" t="inlineStr">
        <is>
          <t>Gift boxes</t>
        </is>
      </c>
      <c r="G18" s="11" t="inlineStr">
        <is>
          <t>Wooden box option</t>
        </is>
      </c>
    </row>
    <row r="19">
      <c r="A19" s="11" t="inlineStr">
        <is>
          <t>Weekly special (250 g box)</t>
        </is>
      </c>
      <c r="B19" s="11" t="inlineStr">
        <is>
          <t>Rotating</t>
        </is>
      </c>
      <c r="C19" s="11" t="inlineStr">
        <is>
          <t>7–20</t>
        </is>
      </c>
      <c r="D19" s="11" t="inlineStr">
        <is>
          <t>Mass</t>
        </is>
      </c>
      <c r="E19" s="11" t="inlineStr">
        <is>
          <t>Varies</t>
        </is>
      </c>
      <c r="F19" s="11" t="inlineStr">
        <is>
          <t>250 g see-through</t>
        </is>
      </c>
      <c r="G19" s="11" t="inlineStr">
        <is>
          <t>Already tested with very good response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60" customWidth="1" min="3" max="3"/>
    <col width="40" customWidth="1" min="4" max="4"/>
  </cols>
  <sheetData>
    <row r="1">
      <c r="A1" s="4" t="inlineStr">
        <is>
          <t>Tier</t>
        </is>
      </c>
      <c r="B1" s="4" t="inlineStr">
        <is>
          <t>Price</t>
        </is>
      </c>
      <c r="C1" s="4" t="inlineStr">
        <is>
          <t>Contents</t>
        </is>
      </c>
      <c r="D1" s="4" t="inlineStr">
        <is>
          <t>Best for</t>
        </is>
      </c>
    </row>
    <row r="2">
      <c r="A2" s="11" t="inlineStr">
        <is>
          <t>Seva box</t>
        </is>
      </c>
      <c r="B2" s="11" t="inlineStr">
        <is>
          <t>₹250–₹450</t>
        </is>
      </c>
      <c r="C2" s="11" t="inlineStr">
        <is>
          <t>3 items (chikki, namkeen, laddu) in a see-through or card box with brand sticker</t>
        </is>
      </c>
      <c r="D2" s="11" t="inlineStr">
        <is>
          <t>Staff gifting at scale, students, communities</t>
        </is>
      </c>
    </row>
    <row r="3">
      <c r="A3" s="11" t="inlineStr">
        <is>
          <t>Utsav box</t>
        </is>
      </c>
      <c r="B3" s="11" t="inlineStr">
        <is>
          <t>₹600–₹1,200</t>
        </is>
      </c>
      <c r="C3" s="11" t="inlineStr">
        <is>
          <t>5–6 items including a premium sweet and dry fruits in a printed rigid box</t>
        </is>
      </c>
      <c r="D3" s="11" t="inlineStr">
        <is>
          <t>Employees, association members, donors</t>
        </is>
      </c>
    </row>
    <row r="4">
      <c r="A4" s="11" t="inlineStr">
        <is>
          <t>Vaikuntha box</t>
        </is>
      </c>
      <c r="B4" s="11" t="inlineStr">
        <is>
          <t>₹1,500–₹3,000+</t>
        </is>
      </c>
      <c r="C4" s="11" t="inlineStr">
        <is>
          <t>Wooden box, dry fruits, premium sweets, small Deity picture / Gita card</t>
        </is>
      </c>
      <c r="D4" s="11" t="inlineStr">
        <is>
          <t>Clients, VIPs, directors, big donors</t>
        </is>
      </c>
    </row>
    <row r="5">
      <c r="A5" s="11" t="inlineStr">
        <is>
          <t>White-label add-on</t>
        </is>
      </c>
      <c r="B5" s="11" t="inlineStr">
        <is>
          <t>+₹15–₹60 per box</t>
        </is>
      </c>
      <c r="C5" s="11" t="inlineStr">
        <is>
          <t>Client logo sticker/sleeve, greeting card, custom message</t>
        </is>
      </c>
      <c r="D5" s="11" t="inlineStr">
        <is>
          <t>Any tier, MOQ applies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44" customWidth="1" min="3" max="3"/>
    <col width="12" customWidth="1" min="4" max="4"/>
    <col width="14" customWidth="1" min="5" max="5"/>
    <col width="14" customWidth="1" min="6" max="6"/>
    <col width="16" customWidth="1" min="7" max="7"/>
  </cols>
  <sheetData>
    <row r="1">
      <c r="A1" s="4" t="inlineStr">
        <is>
          <t>Festival</t>
        </is>
      </c>
      <c r="B1" s="4" t="inlineStr">
        <is>
          <t>When (approx.)</t>
        </is>
      </c>
      <c r="C1" s="4" t="inlineStr">
        <is>
          <t>Opportunity</t>
        </is>
      </c>
      <c r="D1" s="4" t="inlineStr">
        <is>
          <t>Demand</t>
        </is>
      </c>
      <c r="E1" s="4" t="inlineStr">
        <is>
          <t>Forecast qty</t>
        </is>
      </c>
      <c r="F1" s="4" t="inlineStr">
        <is>
          <t>Staff needed</t>
        </is>
      </c>
      <c r="G1" s="4" t="inlineStr">
        <is>
          <t>Owner</t>
        </is>
      </c>
    </row>
    <row r="2">
      <c r="A2" s="11" t="inlineStr">
        <is>
          <t>Mahalaya / Pitru Paksha</t>
        </is>
      </c>
      <c r="B2" s="11" t="inlineStr">
        <is>
          <t>26 Sep – 10 Oct 2026</t>
        </is>
      </c>
      <c r="C2" s="11" t="inlineStr">
        <is>
          <t>Stalls for devotees doing service; prasadam packs</t>
        </is>
      </c>
      <c r="D2" s="11" t="inlineStr">
        <is>
          <t>Medium</t>
        </is>
      </c>
      <c r="E2" s="11" t="inlineStr"/>
      <c r="F2" s="11" t="inlineStr"/>
      <c r="G2" s="11" t="inlineStr"/>
    </row>
    <row r="3">
      <c r="A3" s="11" t="inlineStr">
        <is>
          <t>Navaratri &amp; Dasara (Vijayadashami)</t>
        </is>
      </c>
      <c r="B3" s="11" t="inlineStr">
        <is>
          <t>11 – 20 Oct 2026</t>
        </is>
      </c>
      <c r="C3" s="11" t="inlineStr">
        <is>
          <t>Corporate &amp; institution gifting, Dandiya tie-ups</t>
        </is>
      </c>
      <c r="D3" s="11" t="inlineStr">
        <is>
          <t>Very high</t>
        </is>
      </c>
      <c r="E3" s="11" t="inlineStr"/>
      <c r="F3" s="11" t="inlineStr"/>
      <c r="G3" s="11" t="inlineStr"/>
    </row>
    <row r="4">
      <c r="A4" s="11" t="inlineStr">
        <is>
          <t>Deepavali</t>
        </is>
      </c>
      <c r="B4" s="11" t="inlineStr">
        <is>
          <t>8 Nov 2026</t>
        </is>
      </c>
      <c r="C4" s="11" t="inlineStr">
        <is>
          <t>Gift boxes, white-label, donors</t>
        </is>
      </c>
      <c r="D4" s="11" t="inlineStr">
        <is>
          <t>Very high</t>
        </is>
      </c>
      <c r="E4" s="11" t="inlineStr"/>
      <c r="F4" s="11" t="inlineStr"/>
      <c r="G4" s="11" t="inlineStr"/>
    </row>
    <row r="5">
      <c r="A5" s="11" t="inlineStr">
        <is>
          <t>Kartika month / Damodara</t>
        </is>
      </c>
      <c r="B5" s="11" t="inlineStr">
        <is>
          <t>Oct – Nov 2026</t>
        </is>
      </c>
      <c r="C5" s="11" t="inlineStr">
        <is>
          <t>Lamp-offering visitors; stalls</t>
        </is>
      </c>
      <c r="D5" s="11" t="inlineStr">
        <is>
          <t>High</t>
        </is>
      </c>
      <c r="E5" s="11" t="inlineStr"/>
      <c r="F5" s="11" t="inlineStr"/>
      <c r="G5" s="11" t="inlineStr"/>
    </row>
    <row r="6">
      <c r="A6" s="11" t="inlineStr">
        <is>
          <t>Gita Jayanti</t>
        </is>
      </c>
      <c r="B6" s="11" t="inlineStr">
        <is>
          <t>Dec 2026</t>
        </is>
      </c>
      <c r="C6" s="11" t="inlineStr">
        <is>
          <t>Gita + prasadam gift packs</t>
        </is>
      </c>
      <c r="D6" s="11" t="inlineStr">
        <is>
          <t>Medium</t>
        </is>
      </c>
      <c r="E6" s="11" t="inlineStr"/>
      <c r="F6" s="11" t="inlineStr"/>
      <c r="G6" s="11" t="inlineStr"/>
    </row>
    <row r="7">
      <c r="A7" s="11" t="inlineStr">
        <is>
          <t>New Year</t>
        </is>
      </c>
      <c r="B7" s="11" t="inlineStr">
        <is>
          <t>1 Jan 2027</t>
        </is>
      </c>
      <c r="C7" s="11" t="inlineStr">
        <is>
          <t>Corporate new-year gifting</t>
        </is>
      </c>
      <c r="D7" s="11" t="inlineStr">
        <is>
          <t>High</t>
        </is>
      </c>
      <c r="E7" s="11" t="inlineStr"/>
      <c r="F7" s="11" t="inlineStr"/>
      <c r="G7" s="11" t="inlineStr"/>
    </row>
    <row r="8">
      <c r="A8" s="11" t="inlineStr">
        <is>
          <t>Vaikuntha Ekadashi</t>
        </is>
      </c>
      <c r="B8" s="11" t="inlineStr">
        <is>
          <t>Dec 2026 / Jan 2027</t>
        </is>
      </c>
      <c r="C8" s="11" t="inlineStr">
        <is>
          <t>Huge footfall; stalls</t>
        </is>
      </c>
      <c r="D8" s="11" t="inlineStr">
        <is>
          <t>Very high</t>
        </is>
      </c>
      <c r="E8" s="11" t="inlineStr"/>
      <c r="F8" s="11" t="inlineStr"/>
      <c r="G8" s="11" t="inlineStr"/>
    </row>
    <row r="9">
      <c r="A9" s="11" t="inlineStr">
        <is>
          <t>Makara Sankranti</t>
        </is>
      </c>
      <c r="B9" s="11" t="inlineStr">
        <is>
          <t>14 Jan 2027</t>
        </is>
      </c>
      <c r="C9" s="11" t="inlineStr">
        <is>
          <t>Til chikki, sweets, gifting</t>
        </is>
      </c>
      <c r="D9" s="11" t="inlineStr">
        <is>
          <t>High</t>
        </is>
      </c>
      <c r="E9" s="11" t="inlineStr"/>
      <c r="F9" s="11" t="inlineStr"/>
      <c r="G9" s="11" t="inlineStr"/>
    </row>
    <row r="10">
      <c r="A10" s="11" t="inlineStr">
        <is>
          <t>Gaura Purnima / Holi</t>
        </is>
      </c>
      <c r="B10" s="11" t="inlineStr">
        <is>
          <t>Mar 2027</t>
        </is>
      </c>
      <c r="C10" s="11" t="inlineStr">
        <is>
          <t>Stalls, festival feast</t>
        </is>
      </c>
      <c r="D10" s="11" t="inlineStr">
        <is>
          <t>Medium</t>
        </is>
      </c>
      <c r="E10" s="11" t="inlineStr"/>
      <c r="F10" s="11" t="inlineStr"/>
      <c r="G10" s="11" t="inlineStr"/>
    </row>
    <row r="11">
      <c r="A11" s="11" t="inlineStr">
        <is>
          <t>Ugadi &amp; Sri Rama Navami</t>
        </is>
      </c>
      <c r="B11" s="11" t="inlineStr">
        <is>
          <t>Mar – Apr 2027</t>
        </is>
      </c>
      <c r="C11" s="11" t="inlineStr">
        <is>
          <t>Ugadi packs, gifting</t>
        </is>
      </c>
      <c r="D11" s="11" t="inlineStr">
        <is>
          <t>Medium</t>
        </is>
      </c>
      <c r="E11" s="11" t="inlineStr"/>
      <c r="F11" s="11" t="inlineStr"/>
      <c r="G11" s="11" t="inlineStr"/>
    </row>
    <row r="12">
      <c r="A12" s="11" t="inlineStr">
        <is>
          <t>Narasimha Chaturdashi</t>
        </is>
      </c>
      <c r="B12" s="11" t="inlineStr">
        <is>
          <t>May 2027</t>
        </is>
      </c>
      <c r="C12" s="11" t="inlineStr">
        <is>
          <t>Stalls</t>
        </is>
      </c>
      <c r="D12" s="11" t="inlineStr">
        <is>
          <t>Medium</t>
        </is>
      </c>
      <c r="E12" s="11" t="inlineStr"/>
      <c r="F12" s="11" t="inlineStr"/>
      <c r="G12" s="11" t="inlineStr"/>
    </row>
    <row r="13">
      <c r="A13" s="11" t="inlineStr">
        <is>
          <t>Ratha Yatra</t>
        </is>
      </c>
      <c r="B13" s="11" t="inlineStr">
        <is>
          <t>Jun – Jul 2027</t>
        </is>
      </c>
      <c r="C13" s="11" t="inlineStr">
        <is>
          <t>Street stalls along the route</t>
        </is>
      </c>
      <c r="D13" s="11" t="inlineStr">
        <is>
          <t>High</t>
        </is>
      </c>
      <c r="E13" s="11" t="inlineStr"/>
      <c r="F13" s="11" t="inlineStr"/>
      <c r="G13" s="11" t="inlineStr"/>
    </row>
    <row r="14">
      <c r="A14" s="11" t="inlineStr">
        <is>
          <t>Sri Krishna Janmashtami</t>
        </is>
      </c>
      <c r="B14" s="11" t="inlineStr">
        <is>
          <t>Aug/Sep 2027</t>
        </is>
      </c>
      <c r="C14" s="11" t="inlineStr">
        <is>
          <t>10× target on counters, online pre-orders</t>
        </is>
      </c>
      <c r="D14" s="11" t="inlineStr">
        <is>
          <t>Very high</t>
        </is>
      </c>
      <c r="E14" s="11" t="inlineStr"/>
      <c r="F14" s="11" t="inlineStr"/>
      <c r="G14" s="11" t="inlineStr"/>
    </row>
    <row r="15">
      <c r="A15" s="11" t="inlineStr">
        <is>
          <t>Ganesh Chaturthi</t>
        </is>
      </c>
      <c r="B15" s="11" t="inlineStr">
        <is>
          <t>Sep 2027</t>
        </is>
      </c>
      <c r="C15" s="11" t="inlineStr">
        <is>
          <t>Laddu/modak demand, gifting</t>
        </is>
      </c>
      <c r="D15" s="11" t="inlineStr">
        <is>
          <t>High</t>
        </is>
      </c>
      <c r="E15" s="11" t="inlineStr"/>
      <c r="F15" s="11" t="inlineStr"/>
      <c r="G15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0" customWidth="1" min="2" max="2"/>
    <col width="10" customWidth="1" min="3" max="3"/>
    <col width="16" customWidth="1" min="4" max="4"/>
    <col width="12" customWidth="1" min="5" max="5"/>
  </cols>
  <sheetData>
    <row r="1">
      <c r="A1" s="4" t="inlineStr">
        <is>
          <t>Idea</t>
        </is>
      </c>
      <c r="B1" s="4" t="inlineStr">
        <is>
          <t>Description</t>
        </is>
      </c>
      <c r="C1" s="4" t="inlineStr">
        <is>
          <t>Priority</t>
        </is>
      </c>
      <c r="D1" s="4" t="inlineStr">
        <is>
          <t>Owner</t>
        </is>
      </c>
      <c r="E1" s="4" t="inlineStr">
        <is>
          <t>Test by</t>
        </is>
      </c>
    </row>
    <row r="2">
      <c r="A2" s="11" t="inlineStr">
        <is>
          <t>Satvik Subscription Box</t>
        </is>
      </c>
      <c r="B2" s="11" t="inlineStr">
        <is>
          <t>Monthly box of 4–6 seasonal sweets and savories delivered to homes and offices; donor-exclusive pricing.</t>
        </is>
      </c>
      <c r="C2" s="11" t="inlineStr"/>
      <c r="D2" s="11" t="inlineStr"/>
      <c r="E2" s="11" t="inlineStr"/>
    </row>
    <row r="3">
      <c r="A3" s="11" t="inlineStr">
        <is>
          <t>Festival Pre-order App/Page</t>
        </is>
      </c>
      <c r="B3" s="11" t="inlineStr">
        <is>
          <t>Pre-book Janmashtami/Diwali boxes online; pick up at a dedicated counter to avoid queues; stock planned from pre-orders.</t>
        </is>
      </c>
      <c r="C3" s="11" t="inlineStr"/>
      <c r="D3" s="11" t="inlineStr"/>
      <c r="E3" s="11" t="inlineStr"/>
    </row>
    <row r="4">
      <c r="A4" s="11" t="inlineStr">
        <is>
          <t>Corporate 'Prasadam Friday'</t>
        </is>
      </c>
      <c r="B4" s="11" t="inlineStr">
        <is>
          <t>Weekly snack trays for company pantries on a subscription contract.</t>
        </is>
      </c>
      <c r="C4" s="11" t="inlineStr"/>
      <c r="D4" s="11" t="inlineStr"/>
      <c r="E4" s="11" t="inlineStr"/>
    </row>
    <row r="5">
      <c r="A5" s="11" t="inlineStr">
        <is>
          <t>Student and hostel packs</t>
        </is>
      </c>
      <c r="B5" s="11" t="inlineStr">
        <is>
          <t>Low-ticket packs for MNR and other institutions during exams and festivals.</t>
        </is>
      </c>
      <c r="C5" s="11" t="inlineStr"/>
      <c r="D5" s="11" t="inlineStr"/>
      <c r="E5" s="11" t="inlineStr"/>
    </row>
    <row r="6">
      <c r="A6" s="11" t="inlineStr">
        <is>
          <t>Diabetic-friendly namkeen line</t>
        </is>
      </c>
      <c r="B6" s="11" t="inlineStr">
        <is>
          <t>Clearly labelled low-sugar/no-sugar range for donors who cannot eat sweets.</t>
        </is>
      </c>
      <c r="C6" s="11" t="inlineStr"/>
      <c r="D6" s="11" t="inlineStr"/>
      <c r="E6" s="11" t="inlineStr"/>
    </row>
    <row r="7">
      <c r="A7" s="11" t="inlineStr">
        <is>
          <t>Jaggery &amp; millet wellness range</t>
        </is>
      </c>
      <c r="B7" s="11" t="inlineStr">
        <is>
          <t>Premium health range (jaggery chikki, millet laddu, poha puffed-rice unde).</t>
        </is>
      </c>
      <c r="C7" s="11" t="inlineStr"/>
      <c r="D7" s="11" t="inlineStr"/>
      <c r="E7" s="11" t="inlineStr"/>
    </row>
    <row r="8">
      <c r="A8" s="11" t="inlineStr">
        <is>
          <t>Occasion kits</t>
        </is>
      </c>
      <c r="B8" s="11" t="inlineStr">
        <is>
          <t>House-warming, naming ceremony, vehicle puja, shraddha and wedding return-gift kits.</t>
        </is>
      </c>
      <c r="C8" s="11" t="inlineStr"/>
      <c r="D8" s="11" t="inlineStr"/>
      <c r="E8" s="11" t="inlineStr"/>
    </row>
    <row r="9">
      <c r="A9" s="11" t="inlineStr">
        <is>
          <t>Monsoon namkeen tins</t>
        </is>
      </c>
      <c r="B9" s="11" t="inlineStr">
        <is>
          <t>5 kg tins for big donors and showrooms in the rainy season.</t>
        </is>
      </c>
      <c r="C9" s="11" t="inlineStr"/>
      <c r="D9" s="11" t="inlineStr"/>
      <c r="E9" s="11" t="inlineStr"/>
    </row>
    <row r="10">
      <c r="A10" s="11" t="inlineStr">
        <is>
          <t>World-record event</t>
        </is>
      </c>
      <c r="B10" s="11" t="inlineStr">
        <is>
          <t>Largest laddu / largest chikki / most prasadam packets in a day for PR (India Book of Records).</t>
        </is>
      </c>
      <c r="C10" s="11" t="inlineStr"/>
      <c r="D10" s="11" t="inlineStr"/>
      <c r="E10" s="11" t="inlineStr"/>
    </row>
    <row r="11">
      <c r="A11" s="11" t="inlineStr">
        <is>
          <t>Live-kitchen experiences</t>
        </is>
      </c>
      <c r="B11" s="11" t="inlineStr">
        <is>
          <t>Weekend 'make your own laddu' workshops for families and corporate teams.</t>
        </is>
      </c>
      <c r="C11" s="11" t="inlineStr"/>
      <c r="D11" s="11" t="inlineStr"/>
      <c r="E11" s="11" t="inlineStr"/>
    </row>
    <row r="12">
      <c r="A12" s="11" t="inlineStr">
        <is>
          <t>Temple-to-desk vending</t>
        </is>
      </c>
      <c r="B12" s="11" t="inlineStr">
        <is>
          <t>Branded shelf-stable snack racks in corporate offices and co-working spaces.</t>
        </is>
      </c>
      <c r="C12" s="11" t="inlineStr"/>
      <c r="D12" s="11" t="inlineStr"/>
      <c r="E12" s="11" t="inlineStr"/>
    </row>
    <row r="13">
      <c r="A13" s="11" t="inlineStr">
        <is>
          <t>Instagram flash sales</t>
        </is>
      </c>
      <c r="B13" s="11" t="inlineStr">
        <is>
          <t>Clear post-festival leftover stock with limited-time offers.</t>
        </is>
      </c>
      <c r="C13" s="11" t="inlineStr"/>
      <c r="D13" s="11" t="inlineStr"/>
      <c r="E13" s="11" t="inlineStr"/>
    </row>
    <row r="14">
      <c r="A14" s="11" t="inlineStr">
        <is>
          <t>Referral programme for event planners</t>
        </is>
      </c>
      <c r="B14" s="11" t="inlineStr">
        <is>
          <t>Commission for every catering or return-gift order referred.</t>
        </is>
      </c>
      <c r="C14" s="11" t="inlineStr"/>
      <c r="D14" s="11" t="inlineStr"/>
      <c r="E14" s="11" t="inlineStr"/>
    </row>
    <row r="15">
      <c r="A15" s="11" t="inlineStr">
        <is>
          <t>Sponsor-a-box</t>
        </is>
      </c>
      <c r="B15" s="11" t="inlineStr">
        <is>
          <t>Donors sponsor prasadam boxes distributed to the needy on festivals (cause marketing).</t>
        </is>
      </c>
      <c r="C15" s="11" t="inlineStr"/>
      <c r="D15" s="11" t="inlineStr"/>
      <c r="E15" s="11" t="inlineStr"/>
    </row>
    <row r="16">
      <c r="A16" s="11" t="inlineStr">
        <is>
          <t>Travelling prasadam (Yatra tie-in)</t>
        </is>
      </c>
      <c r="B16" s="11" t="inlineStr">
        <is>
          <t>Shelf-stable packs for yatris on the temple's pilgrimage tours (links to the Yatra department).</t>
        </is>
      </c>
      <c r="C16" s="11" t="inlineStr"/>
      <c r="D16" s="11" t="inlineStr"/>
      <c r="E16" s="11" t="inlineStr"/>
    </row>
    <row r="17">
      <c r="A17" s="11" t="inlineStr">
        <is>
          <t>NRI gifting portal</t>
        </is>
      </c>
      <c r="B17" s="11" t="inlineStr">
        <is>
          <t>Order from abroad, delivered to family in India for festivals.</t>
        </is>
      </c>
      <c r="C17" s="11" t="inlineStr"/>
      <c r="D17" s="11" t="inlineStr"/>
      <c r="E17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8" customWidth="1" min="2" max="2"/>
    <col width="50" customWidth="1" min="3" max="3"/>
    <col width="12" customWidth="1" min="4" max="4"/>
  </cols>
  <sheetData>
    <row r="1">
      <c r="A1" s="4" t="inlineStr">
        <is>
          <t>Question</t>
        </is>
      </c>
      <c r="B1" s="4" t="inlineStr">
        <is>
          <t>Owner</t>
        </is>
      </c>
      <c r="C1" s="4" t="inlineStr">
        <is>
          <t>Answer</t>
        </is>
      </c>
      <c r="D1" s="4" t="inlineStr">
        <is>
          <t>Date</t>
        </is>
      </c>
    </row>
    <row r="2">
      <c r="A2" s="11" t="inlineStr">
        <is>
          <t>Final product list, quantities and weekly minimum per department?</t>
        </is>
      </c>
      <c r="B2" s="11" t="inlineStr"/>
      <c r="C2" s="11" t="inlineStr"/>
      <c r="D2" s="11" t="inlineStr"/>
    </row>
    <row r="3">
      <c r="A3" s="11" t="inlineStr">
        <is>
          <t>Budget allocated for prasadam per department (LLP, Culture Connect, online donors)?</t>
        </is>
      </c>
      <c r="B3" s="11" t="inlineStr"/>
      <c r="C3" s="11" t="inlineStr"/>
      <c r="D3" s="11" t="inlineStr"/>
    </row>
    <row r="4">
      <c r="A4" s="11" t="inlineStr">
        <is>
          <t>Pricing model split between premium and competitive tiers?</t>
        </is>
      </c>
      <c r="B4" s="11" t="inlineStr"/>
      <c r="C4" s="11" t="inlineStr"/>
      <c r="D4" s="11" t="inlineStr"/>
    </row>
    <row r="5">
      <c r="A5" s="11" t="inlineStr">
        <is>
          <t>Real production capacity per day now, with one more hire, and at peak with seasonal staff?</t>
        </is>
      </c>
      <c r="B5" s="11" t="inlineStr"/>
      <c r="C5" s="11" t="inlineStr"/>
      <c r="D5" s="11" t="inlineStr"/>
    </row>
    <row r="6">
      <c r="A6" s="11" t="inlineStr">
        <is>
          <t>Which infrastructure and staffing investments are justified before demand is validated?</t>
        </is>
      </c>
      <c r="B6" s="11" t="inlineStr"/>
      <c r="C6" s="11" t="inlineStr"/>
      <c r="D6" s="11" t="inlineStr"/>
    </row>
    <row r="7">
      <c r="A7" s="11" t="inlineStr">
        <is>
          <t>Brand name on packs: 'ISKCON Hyderabad', 'Hare Krishna Golden Temple', or a sub-brand?</t>
        </is>
      </c>
      <c r="B7" s="11" t="inlineStr"/>
      <c r="C7" s="11" t="inlineStr"/>
      <c r="D7" s="11" t="inlineStr"/>
    </row>
    <row r="8">
      <c r="A8" s="11" t="inlineStr">
        <is>
          <t>Which FSSAI licence covers commercial sale and e-commerce, and does it cover off-site stalls?</t>
        </is>
      </c>
      <c r="B8" s="11" t="inlineStr"/>
      <c r="C8" s="11" t="inlineStr"/>
      <c r="D8" s="11" t="inlineStr"/>
    </row>
    <row r="9">
      <c r="A9" s="11" t="inlineStr">
        <is>
          <t>Transfer-pricing and profit-sharing between production and marketing teams?</t>
        </is>
      </c>
      <c r="B9" s="11" t="inlineStr"/>
      <c r="C9" s="11" t="inlineStr"/>
      <c r="D9" s="11" t="inlineStr"/>
    </row>
    <row r="10">
      <c r="A10" s="11" t="inlineStr">
        <is>
          <t>Who owns catering for very large orders (50,000 meals) until a catering unit exists?</t>
        </is>
      </c>
      <c r="B10" s="11" t="inlineStr"/>
      <c r="C10" s="11" t="inlineStr"/>
      <c r="D10" s="1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70" customWidth="1" min="2" max="2"/>
    <col width="24" customWidth="1" min="3" max="3"/>
    <col width="50" customWidth="1" min="4" max="4"/>
  </cols>
  <sheetData>
    <row r="1">
      <c r="A1" s="4" t="inlineStr">
        <is>
          <t>Topic</t>
        </is>
      </c>
      <c r="B1" s="4" t="inlineStr">
        <is>
          <t>Finding</t>
        </is>
      </c>
      <c r="C1" s="4" t="inlineStr">
        <is>
          <t>Source</t>
        </is>
      </c>
      <c r="D1" s="4" t="inlineStr">
        <is>
          <t>URL</t>
        </is>
      </c>
    </row>
    <row r="2">
      <c r="A2" s="11" t="inlineStr">
        <is>
          <t>India packaged sweets market</t>
        </is>
      </c>
      <c r="B2" s="11" t="inlineStr">
        <is>
          <t>₹8,431 crore in 2025, forecast ₹30,506 crore by 2034 (≈16% CAGR). Boxes are the largest packaging format (49%).</t>
        </is>
      </c>
      <c r="C2" s="11" t="inlineStr">
        <is>
          <t>IMARC Group</t>
        </is>
      </c>
      <c r="D2" s="11" t="inlineStr">
        <is>
          <t>https://www.imarcgroup.com/india-packaged-sweets-market</t>
        </is>
      </c>
    </row>
    <row r="3">
      <c r="A3" s="11" t="inlineStr">
        <is>
          <t>India namkeen market</t>
        </is>
      </c>
      <c r="B3" s="11" t="inlineStr">
        <is>
          <t>Expected to grow by USD 4.89 billion between 2025 and 2030 at ≈10.2% CAGR; Tier-II/III retail expansion is a driver.</t>
        </is>
      </c>
      <c r="C3" s="11" t="inlineStr">
        <is>
          <t>Technavio</t>
        </is>
      </c>
      <c r="D3" s="11" t="inlineStr">
        <is>
          <t>https://www.technavio.com/report/namkeen-market-industry-in-india-analysis</t>
        </is>
      </c>
    </row>
    <row r="4">
      <c r="A4" s="11" t="inlineStr">
        <is>
          <t>Corporate gifting</t>
        </is>
      </c>
      <c r="B4" s="11" t="inlineStr">
        <is>
          <t>India's corporate gifting market could cross ₹27,000 crore by 2030, with organised players taking nearly half.</t>
        </is>
      </c>
      <c r="C4" s="11" t="inlineStr">
        <is>
          <t>Chococraft industry note</t>
        </is>
      </c>
      <c r="D4" s="11" t="inlineStr">
        <is>
          <t>https://www.chococraft.in/blogs/corporate-gifts/corporate-gifting-industry-india-2025-2030</t>
        </is>
      </c>
    </row>
    <row r="5">
      <c r="A5" s="11" t="inlineStr">
        <is>
          <t>Diwali gifting mix</t>
        </is>
      </c>
      <c r="B5" s="11" t="inlineStr">
        <is>
          <t>About 58% of Diwali gifts in 2025 were for corporate celebrations and 42% personal.</t>
        </is>
      </c>
      <c r="C5" s="11" t="inlineStr">
        <is>
          <t>Outlook India / MyFlowerTree report</t>
        </is>
      </c>
      <c r="D5" s="11" t="inlineStr">
        <is>
          <t>https://www.outlookindia.com/xhub/featured-insights/diwali-gifting-report-2025-what-india-is-really-buying-for-the-festival-of-lights</t>
        </is>
      </c>
    </row>
    <row r="6">
      <c r="A6" s="11" t="inlineStr">
        <is>
          <t>Premiumisation</t>
        </is>
      </c>
      <c r="B6" s="11" t="inlineStr">
        <is>
          <t>Consumers increasingly prefer premium packaged sweets, curated hampers and customised assortments.</t>
        </is>
      </c>
      <c r="C6" s="11" t="inlineStr">
        <is>
          <t>Mordor Intelligence</t>
        </is>
      </c>
      <c r="D6" s="11" t="inlineStr">
        <is>
          <t>https://www.mordorintelligence.com/industry-reports/india-sweets-market</t>
        </is>
      </c>
    </row>
    <row r="7">
      <c r="A7" s="11" t="inlineStr">
        <is>
          <t>GST 2.0</t>
        </is>
      </c>
      <c r="B7" s="11" t="inlineStr">
        <is>
          <t>From 22 Sept 2025, pre-packaged and labelled namkeen, bhujia and mixtures moved from 12% to 5% GST; sweets are at 5%. Lower tax helps the mass segment.</t>
        </is>
      </c>
      <c r="C7" s="11" t="inlineStr">
        <is>
          <t>Upstox / GST Council 56th meeting</t>
        </is>
      </c>
      <c r="D7" s="11" t="inlineStr">
        <is>
          <t>https://upstox.com/news/personal-finance/latest-updates/gst-rate-cut-2025-namkeens-bhujia-and-other-pre-packaged-and-labelled-goods-to-get-cheaper-from-september-22/article-180743/</t>
        </is>
      </c>
    </row>
    <row r="8">
      <c r="A8" s="11" t="inlineStr">
        <is>
          <t>FSSAI licence thresholds</t>
        </is>
      </c>
      <c r="B8" s="11" t="inlineStr">
        <is>
          <t>From 1 April 2026 Basic Registration covers turnover up to ₹1.5 crore (was ₹12 lakh); Central Licence threshold raised from ₹20 crore to ₹50 crore; State Licence in between.</t>
        </is>
      </c>
      <c r="C8" s="11" t="inlineStr">
        <is>
          <t>Mondaq / FSSAI order of 13 March 2026</t>
        </is>
      </c>
      <c r="D8" s="11" t="inlineStr">
        <is>
          <t>https://www.mondaq.com/india/food-and-drugs-law/1801924/fssai-raises-turnover-limits-for-food-business-registration-and-licensing</t>
        </is>
      </c>
    </row>
    <row r="9">
      <c r="A9" s="11" t="inlineStr">
        <is>
          <t>Labelling</t>
        </is>
      </c>
      <c r="B9" s="11" t="inlineStr">
        <is>
          <t>Pre-packaged sweets must show date of manufacture and best-before date. The best-before display for loose sweets on trays is now voluntary (recommended anyway).</t>
        </is>
      </c>
      <c r="C9" s="11" t="inlineStr">
        <is>
          <t>FSSAI / Free Press Journal</t>
        </is>
      </c>
      <c r="D9" s="11" t="inlineStr">
        <is>
          <t>https://www.freepressjournal.in/mumbai/fssai-removes-mandatory-best-before-date-requirement-for-non-packaged-sweets-fda-to-intensify-festival-season-inspections</t>
        </is>
      </c>
    </row>
    <row r="10">
      <c r="A10" s="11" t="inlineStr">
        <is>
          <t>Temple precedent</t>
        </is>
      </c>
      <c r="B10" s="11" t="inlineStr">
        <is>
          <t>ISKCON Govinda's (Bangalore) runs an online store with same-day delivery slots for sweets, snacks, bakery, thalis and catering.</t>
        </is>
      </c>
      <c r="C10" s="11" t="inlineStr">
        <is>
          <t>iskcongovindas.in</t>
        </is>
      </c>
      <c r="D10" s="11" t="inlineStr">
        <is>
          <t>https://iskcongovindas.in/</t>
        </is>
      </c>
    </row>
    <row r="11">
      <c r="A11" s="11" t="inlineStr">
        <is>
          <t>Local competition</t>
        </is>
      </c>
      <c r="B11" s="11" t="inlineStr">
        <is>
          <t>Hyderabad incumbents: G Pulla Reddy (since 1948, pure ghee, gifting page), Almond House (ships worldwide), Vellanki Foods, Dadu's, Pista House, Olive Mithai, Godavari Vantillu.</t>
        </is>
      </c>
      <c r="C11" s="11" t="inlineStr">
        <is>
          <t>Brand sites / IndiaShopping</t>
        </is>
      </c>
      <c r="D11" s="11" t="inlineStr">
        <is>
          <t>https://indiashopping.io/blogs/route-to-roots/famous-sweet-shops-in-hyderabad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2026-09-26T14:27:38Z</dcterms:created>
  <dcterms:modified xmlns:dcterms="http://purl.org/dc/terms/" xmlns:xsi="http://www.w3.org/2001/XMLSchema-instance" xsi:type="dcterms:W3CDTF">2026-09-26T14:27:38Z</dcterms:modified>
</cp:coreProperties>
</file>